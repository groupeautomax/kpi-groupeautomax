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4\"/>
    </mc:Choice>
  </mc:AlternateContent>
  <xr:revisionPtr revIDLastSave="0" documentId="13_ncr:1_{A086DFBF-872E-48EF-9DE3-060E3CECA391}" xr6:coauthVersionLast="47" xr6:coauthVersionMax="47" xr10:uidLastSave="{00000000-0000-0000-0000-000000000000}"/>
  <bookViews>
    <workbookView xWindow="-108" yWindow="-108" windowWidth="23256" windowHeight="13896" activeTab="1" xr2:uid="{508BF4A0-C9FC-49F5-A5A9-A2907877ABE5}"/>
  </bookViews>
  <sheets>
    <sheet name="Paramètre" sheetId="2" r:id="rId1"/>
    <sheet name="Conso" sheetId="1" r:id="rId2"/>
    <sheet name="START" sheetId="3" r:id="rId3"/>
    <sheet name="2024-10" sheetId="30" r:id="rId4"/>
    <sheet name="Print_Mois" sheetId="32" r:id="rId5"/>
    <sheet name="2024-12" sheetId="31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3">#REF!</definedName>
    <definedName name="Ticker" localSheetId="5">#REF!</definedName>
    <definedName name="Ticker" localSheetId="4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'2024-10'!$C$1:$S$353,'2024-10'!$V$402:$AO$498</definedName>
    <definedName name="_xlnm.Print_Area" localSheetId="5">'2024-12'!$C$1:$S$353,'2024-12'!$V$402:$AO$498</definedName>
    <definedName name="_xlnm.Print_Area" localSheetId="1">Conso!$C$1:$S$398,Conso!$V$401:$AO$497</definedName>
    <definedName name="_xlnm.Print_Area" localSheetId="4">Print_Mois!$C$1:$S$353,Print_Mois!$V$402:$AO$498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97" i="32" l="1"/>
  <c r="AO497" i="32" s="1"/>
  <c r="AL496" i="32"/>
  <c r="AO496" i="32" s="1"/>
  <c r="AF496" i="32"/>
  <c r="AN496" i="32" s="1"/>
  <c r="Z496" i="32"/>
  <c r="AO495" i="32"/>
  <c r="AL495" i="32"/>
  <c r="AO494" i="32"/>
  <c r="AL494" i="32"/>
  <c r="AI494" i="32"/>
  <c r="AF494" i="32"/>
  <c r="AN494" i="32" s="1"/>
  <c r="Z494" i="32"/>
  <c r="AL493" i="32"/>
  <c r="AO493" i="32" s="1"/>
  <c r="AF493" i="32"/>
  <c r="Z493" i="32"/>
  <c r="AI493" i="32" s="1"/>
  <c r="AO492" i="32"/>
  <c r="AN492" i="32"/>
  <c r="AL492" i="32"/>
  <c r="AH492" i="32"/>
  <c r="AF492" i="32"/>
  <c r="Z492" i="32"/>
  <c r="AI492" i="32" s="1"/>
  <c r="AL491" i="32"/>
  <c r="AF491" i="32"/>
  <c r="AN491" i="32" s="1"/>
  <c r="AO491" i="32" s="1"/>
  <c r="Z491" i="32"/>
  <c r="AO482" i="32"/>
  <c r="AN482" i="32"/>
  <c r="AL480" i="32"/>
  <c r="AL477" i="32"/>
  <c r="AO477" i="32" s="1"/>
  <c r="Z477" i="32"/>
  <c r="AL469" i="32"/>
  <c r="AN469" i="32" s="1"/>
  <c r="AO469" i="32" s="1"/>
  <c r="AF469" i="32"/>
  <c r="AH469" i="32" s="1"/>
  <c r="AI469" i="32" s="1"/>
  <c r="Z469" i="32"/>
  <c r="AO467" i="32"/>
  <c r="AN467" i="32"/>
  <c r="AH467" i="32"/>
  <c r="AL462" i="32"/>
  <c r="AF462" i="32"/>
  <c r="AN461" i="32"/>
  <c r="AO461" i="32" s="1"/>
  <c r="AL461" i="32"/>
  <c r="AI461" i="32"/>
  <c r="AH461" i="32"/>
  <c r="AF461" i="32"/>
  <c r="Z461" i="32"/>
  <c r="AL460" i="32"/>
  <c r="AF460" i="32"/>
  <c r="AN460" i="32" s="1"/>
  <c r="AO460" i="32" s="1"/>
  <c r="Z460" i="32"/>
  <c r="AL459" i="32"/>
  <c r="AF459" i="32"/>
  <c r="Z459" i="32"/>
  <c r="AN458" i="32"/>
  <c r="AO458" i="32" s="1"/>
  <c r="AL458" i="32"/>
  <c r="AH458" i="32"/>
  <c r="AF458" i="32"/>
  <c r="Z458" i="32"/>
  <c r="AI458" i="32" s="1"/>
  <c r="AL457" i="32"/>
  <c r="AF457" i="32"/>
  <c r="AN457" i="32" s="1"/>
  <c r="AO457" i="32" s="1"/>
  <c r="Z457" i="32"/>
  <c r="AL456" i="32"/>
  <c r="AO456" i="32" s="1"/>
  <c r="AI456" i="32"/>
  <c r="AH456" i="32"/>
  <c r="AF456" i="32"/>
  <c r="AN456" i="32" s="1"/>
  <c r="Z456" i="32"/>
  <c r="AN455" i="32"/>
  <c r="AO455" i="32" s="1"/>
  <c r="AL455" i="32"/>
  <c r="AH455" i="32"/>
  <c r="AI455" i="32" s="1"/>
  <c r="AF455" i="32"/>
  <c r="Z455" i="32"/>
  <c r="AO454" i="32"/>
  <c r="AL454" i="32"/>
  <c r="AN454" i="32" s="1"/>
  <c r="AF454" i="32"/>
  <c r="Z454" i="32"/>
  <c r="AL453" i="32"/>
  <c r="AF453" i="32"/>
  <c r="Z453" i="32"/>
  <c r="AL420" i="32"/>
  <c r="AF420" i="32"/>
  <c r="Z420" i="32"/>
  <c r="Q394" i="32"/>
  <c r="Q394" i="32" a="1"/>
  <c r="L394" i="32"/>
  <c r="S394" i="32" s="1"/>
  <c r="F394" i="32"/>
  <c r="Q393" i="32" a="1"/>
  <c r="Q393" i="32" s="1"/>
  <c r="L393" i="32"/>
  <c r="S393" i="32" s="1"/>
  <c r="F393" i="32"/>
  <c r="Q392" i="32" a="1"/>
  <c r="Q392" i="32" s="1"/>
  <c r="L392" i="32"/>
  <c r="F392" i="32"/>
  <c r="Q391" i="32"/>
  <c r="Q391" i="32" a="1"/>
  <c r="L391" i="32"/>
  <c r="F391" i="32"/>
  <c r="Q390" i="32" a="1"/>
  <c r="Q390" i="32" s="1"/>
  <c r="S390" i="32" s="1"/>
  <c r="L390" i="32"/>
  <c r="F390" i="32"/>
  <c r="S389" i="32"/>
  <c r="Q389" i="32"/>
  <c r="Q389" i="32" a="1"/>
  <c r="L389" i="32"/>
  <c r="F389" i="32"/>
  <c r="Q388" i="32"/>
  <c r="Q388" i="32" a="1"/>
  <c r="L388" i="32"/>
  <c r="F388" i="32"/>
  <c r="Q387" i="32" a="1"/>
  <c r="Q387" i="32" s="1"/>
  <c r="L387" i="32"/>
  <c r="F387" i="32"/>
  <c r="Q386" i="32" a="1"/>
  <c r="Q386" i="32" s="1"/>
  <c r="L386" i="32"/>
  <c r="S386" i="32" s="1"/>
  <c r="F386" i="32"/>
  <c r="Q385" i="32" a="1"/>
  <c r="Q385" i="32" s="1"/>
  <c r="S385" i="32" s="1"/>
  <c r="L385" i="32"/>
  <c r="F385" i="32"/>
  <c r="Q384" i="32" a="1"/>
  <c r="Q384" i="32" s="1"/>
  <c r="S384" i="32" s="1"/>
  <c r="L384" i="32"/>
  <c r="F384" i="32"/>
  <c r="S383" i="32"/>
  <c r="Q383" i="32"/>
  <c r="Q383" i="32" a="1"/>
  <c r="L383" i="32"/>
  <c r="F383" i="32"/>
  <c r="Q382" i="32"/>
  <c r="Q382" i="32" a="1"/>
  <c r="L382" i="32"/>
  <c r="F382" i="32"/>
  <c r="Q381" i="32" a="1"/>
  <c r="Q381" i="32" s="1"/>
  <c r="L381" i="32"/>
  <c r="S381" i="32" s="1"/>
  <c r="F381" i="32"/>
  <c r="Q380" i="32" a="1"/>
  <c r="Q380" i="32" s="1"/>
  <c r="L380" i="32"/>
  <c r="S380" i="32" s="1"/>
  <c r="F380" i="32"/>
  <c r="Q379" i="32"/>
  <c r="Q379" i="32" a="1"/>
  <c r="L379" i="32"/>
  <c r="F379" i="32"/>
  <c r="S378" i="32"/>
  <c r="Q378" i="32"/>
  <c r="Q378" i="32" a="1"/>
  <c r="L378" i="32"/>
  <c r="F378" i="32"/>
  <c r="F395" i="32" s="1"/>
  <c r="E395" i="32" s="1"/>
  <c r="S376" i="32"/>
  <c r="Q376" i="32"/>
  <c r="Q376" i="32" a="1"/>
  <c r="L376" i="32"/>
  <c r="F376" i="32"/>
  <c r="Q375" i="32"/>
  <c r="Q375" i="32" a="1"/>
  <c r="L375" i="32"/>
  <c r="S375" i="32" s="1"/>
  <c r="F375" i="32"/>
  <c r="Q374" i="32"/>
  <c r="Q374" i="32" a="1"/>
  <c r="L374" i="32"/>
  <c r="S374" i="32" s="1"/>
  <c r="F374" i="32"/>
  <c r="Q373" i="32" a="1"/>
  <c r="Q373" i="32" s="1"/>
  <c r="L373" i="32"/>
  <c r="S373" i="32" s="1"/>
  <c r="F373" i="32"/>
  <c r="Q372" i="32" a="1"/>
  <c r="Q372" i="32" s="1"/>
  <c r="L372" i="32"/>
  <c r="F372" i="32"/>
  <c r="Q371" i="32" a="1"/>
  <c r="Q371" i="32" s="1"/>
  <c r="S371" i="32" s="1"/>
  <c r="L371" i="32"/>
  <c r="F371" i="32"/>
  <c r="Q370" i="32" a="1"/>
  <c r="Q370" i="32" s="1"/>
  <c r="S370" i="32" s="1"/>
  <c r="L370" i="32"/>
  <c r="F370" i="32"/>
  <c r="S369" i="32"/>
  <c r="Q369" i="32"/>
  <c r="Q369" i="32" a="1"/>
  <c r="L369" i="32"/>
  <c r="F369" i="32"/>
  <c r="Q368" i="32"/>
  <c r="Q368" i="32" a="1"/>
  <c r="L368" i="32"/>
  <c r="F368" i="32"/>
  <c r="Q367" i="32" a="1"/>
  <c r="Q367" i="32" s="1"/>
  <c r="L367" i="32"/>
  <c r="S367" i="32" s="1"/>
  <c r="F367" i="32"/>
  <c r="Q366" i="32" a="1"/>
  <c r="Q366" i="32" s="1"/>
  <c r="L366" i="32"/>
  <c r="F366" i="32"/>
  <c r="Q365" i="32"/>
  <c r="Q365" i="32" a="1"/>
  <c r="L365" i="32"/>
  <c r="S365" i="32" s="1"/>
  <c r="F365" i="32"/>
  <c r="L362" i="32"/>
  <c r="J362" i="32"/>
  <c r="K362" i="32" s="1"/>
  <c r="D362" i="32"/>
  <c r="E362" i="32" s="1"/>
  <c r="Q360" i="32" a="1"/>
  <c r="Q360" i="32" s="1"/>
  <c r="O360" i="32"/>
  <c r="O360" i="32" a="1"/>
  <c r="L360" i="32"/>
  <c r="K360" i="32"/>
  <c r="J360" i="32"/>
  <c r="F360" i="32"/>
  <c r="F362" i="32" s="1"/>
  <c r="E360" i="32"/>
  <c r="D360" i="32"/>
  <c r="N352" i="32"/>
  <c r="Q348" i="32" a="1"/>
  <c r="Q348" i="32" s="1"/>
  <c r="N348" i="32"/>
  <c r="L348" i="32"/>
  <c r="S348" i="32" s="1"/>
  <c r="F348" i="32"/>
  <c r="Q347" i="32" a="1"/>
  <c r="Q347" i="32" s="1"/>
  <c r="S347" i="32" s="1"/>
  <c r="N347" i="32"/>
  <c r="L347" i="32"/>
  <c r="F347" i="32"/>
  <c r="Q346" i="32" a="1"/>
  <c r="Q346" i="32" s="1"/>
  <c r="N346" i="32"/>
  <c r="L346" i="32"/>
  <c r="F346" i="32"/>
  <c r="S345" i="32"/>
  <c r="Q345" i="32" a="1"/>
  <c r="Q345" i="32" s="1"/>
  <c r="N345" i="32"/>
  <c r="L345" i="32"/>
  <c r="F345" i="32"/>
  <c r="Q344" i="32" a="1"/>
  <c r="Q344" i="32" s="1"/>
  <c r="N344" i="32"/>
  <c r="L344" i="32"/>
  <c r="S344" i="32" s="1"/>
  <c r="F344" i="32"/>
  <c r="S343" i="32"/>
  <c r="Q343" i="32" a="1"/>
  <c r="Q343" i="32" s="1"/>
  <c r="N343" i="32"/>
  <c r="L343" i="32"/>
  <c r="F343" i="32"/>
  <c r="Q342" i="32" a="1"/>
  <c r="Q342" i="32" s="1"/>
  <c r="N342" i="32"/>
  <c r="L342" i="32"/>
  <c r="S342" i="32" s="1"/>
  <c r="F342" i="32"/>
  <c r="Q341" i="32" a="1"/>
  <c r="Q341" i="32" s="1"/>
  <c r="S341" i="32" s="1"/>
  <c r="N341" i="32"/>
  <c r="L341" i="32"/>
  <c r="F341" i="32"/>
  <c r="Q340" i="32" a="1"/>
  <c r="Q340" i="32" s="1"/>
  <c r="N340" i="32"/>
  <c r="L340" i="32"/>
  <c r="S340" i="32" s="1"/>
  <c r="F340" i="32"/>
  <c r="Q339" i="32" a="1"/>
  <c r="Q339" i="32" s="1"/>
  <c r="S339" i="32" s="1"/>
  <c r="L339" i="32"/>
  <c r="N339" i="32" s="1"/>
  <c r="F339" i="32"/>
  <c r="Q338" i="32" a="1"/>
  <c r="Q338" i="32" s="1"/>
  <c r="N338" i="32"/>
  <c r="L338" i="32"/>
  <c r="F338" i="32"/>
  <c r="S337" i="32"/>
  <c r="Q337" i="32"/>
  <c r="L337" i="32"/>
  <c r="N337" i="32" s="1"/>
  <c r="S336" i="32"/>
  <c r="Q336" i="32"/>
  <c r="Q336" i="32" a="1"/>
  <c r="L336" i="32"/>
  <c r="F336" i="32"/>
  <c r="S335" i="32"/>
  <c r="Q335" i="32" a="1"/>
  <c r="Q335" i="32" s="1"/>
  <c r="L335" i="32"/>
  <c r="F335" i="32"/>
  <c r="S334" i="32"/>
  <c r="Q334" i="32"/>
  <c r="Q334" i="32" a="1"/>
  <c r="L334" i="32"/>
  <c r="F334" i="32"/>
  <c r="Q333" i="32" a="1"/>
  <c r="Q333" i="32" s="1"/>
  <c r="S333" i="32" s="1"/>
  <c r="L333" i="32"/>
  <c r="F333" i="32"/>
  <c r="S332" i="32"/>
  <c r="Q332" i="32"/>
  <c r="Q332" i="32" a="1"/>
  <c r="L332" i="32"/>
  <c r="N332" i="32" s="1"/>
  <c r="F332" i="32"/>
  <c r="Q331" i="32" a="1"/>
  <c r="Q331" i="32" s="1"/>
  <c r="L331" i="32"/>
  <c r="L349" i="32" s="1"/>
  <c r="F331" i="32"/>
  <c r="F330" i="32"/>
  <c r="Q329" i="32" a="1"/>
  <c r="Q329" i="32" s="1"/>
  <c r="L329" i="32"/>
  <c r="F329" i="32"/>
  <c r="Q328" i="32" a="1"/>
  <c r="Q328" i="32" s="1"/>
  <c r="N328" i="32"/>
  <c r="L328" i="32"/>
  <c r="S328" i="32" s="1"/>
  <c r="F328" i="32"/>
  <c r="S327" i="32"/>
  <c r="Q327" i="32" a="1"/>
  <c r="Q327" i="32" s="1"/>
  <c r="N327" i="32"/>
  <c r="L327" i="32"/>
  <c r="F327" i="32"/>
  <c r="Q326" i="32" a="1"/>
  <c r="Q326" i="32" s="1"/>
  <c r="L326" i="32"/>
  <c r="S326" i="32" s="1"/>
  <c r="F326" i="32"/>
  <c r="Q325" i="32" a="1"/>
  <c r="Q325" i="32" s="1"/>
  <c r="L325" i="32"/>
  <c r="N325" i="32" s="1"/>
  <c r="F325" i="32"/>
  <c r="Q324" i="32" a="1"/>
  <c r="Q324" i="32" s="1"/>
  <c r="N324" i="32"/>
  <c r="L324" i="32"/>
  <c r="F324" i="32"/>
  <c r="Q323" i="32" a="1"/>
  <c r="Q323" i="32" s="1"/>
  <c r="L323" i="32"/>
  <c r="N323" i="32" s="1"/>
  <c r="F323" i="32"/>
  <c r="Q322" i="32" a="1"/>
  <c r="Q322" i="32" s="1"/>
  <c r="L322" i="32"/>
  <c r="F322" i="32"/>
  <c r="Q321" i="32" a="1"/>
  <c r="Q321" i="32" s="1"/>
  <c r="L321" i="32"/>
  <c r="F321" i="32"/>
  <c r="Q320" i="32" a="1"/>
  <c r="Q320" i="32" s="1"/>
  <c r="L320" i="32"/>
  <c r="S320" i="32" s="1"/>
  <c r="F320" i="32"/>
  <c r="S319" i="32"/>
  <c r="Q319" i="32" a="1"/>
  <c r="Q319" i="32" s="1"/>
  <c r="N319" i="32"/>
  <c r="L319" i="32"/>
  <c r="F319" i="32"/>
  <c r="Q318" i="32" a="1"/>
  <c r="Q318" i="32" s="1"/>
  <c r="L318" i="32"/>
  <c r="F318" i="32"/>
  <c r="S312" i="32"/>
  <c r="R312" i="32" s="1"/>
  <c r="Q312" i="32" a="1"/>
  <c r="Q312" i="32" s="1"/>
  <c r="O312" i="32" a="1"/>
  <c r="O312" i="32" s="1"/>
  <c r="P312" i="32" s="1"/>
  <c r="L312" i="32"/>
  <c r="J312" i="32"/>
  <c r="K312" i="32" s="1"/>
  <c r="F312" i="32"/>
  <c r="E312" i="32"/>
  <c r="D312" i="32"/>
  <c r="Q308" i="32"/>
  <c r="S308" i="32" s="1"/>
  <c r="Q308" i="32" a="1"/>
  <c r="O308" i="32" a="1"/>
  <c r="O308" i="32" s="1"/>
  <c r="L308" i="32"/>
  <c r="J308" i="32"/>
  <c r="F308" i="32"/>
  <c r="N308" i="32" s="1"/>
  <c r="D308" i="32"/>
  <c r="Q307" i="32" a="1"/>
  <c r="Q307" i="32" s="1"/>
  <c r="O307" i="32" a="1"/>
  <c r="O307" i="32" s="1"/>
  <c r="L307" i="32"/>
  <c r="J307" i="32"/>
  <c r="F307" i="32"/>
  <c r="D307" i="32"/>
  <c r="E307" i="32" s="1"/>
  <c r="F304" i="32"/>
  <c r="F309" i="32" s="1"/>
  <c r="F314" i="32" s="1"/>
  <c r="Q303" i="32" a="1"/>
  <c r="Q303" i="32" s="1"/>
  <c r="S303" i="32" s="1"/>
  <c r="O303" i="32"/>
  <c r="O303" i="32" a="1"/>
  <c r="L303" i="32"/>
  <c r="N303" i="32" s="1"/>
  <c r="K303" i="32"/>
  <c r="J303" i="32"/>
  <c r="F303" i="32"/>
  <c r="E303" i="32"/>
  <c r="D303" i="32"/>
  <c r="S302" i="32"/>
  <c r="Q302" i="32" a="1"/>
  <c r="Q302" i="32" s="1"/>
  <c r="O302" i="32" a="1"/>
  <c r="O302" i="32" s="1"/>
  <c r="P302" i="32" s="1"/>
  <c r="N302" i="32"/>
  <c r="L302" i="32"/>
  <c r="J302" i="32"/>
  <c r="K302" i="32" s="1"/>
  <c r="F302" i="32"/>
  <c r="E302" i="32"/>
  <c r="D302" i="32"/>
  <c r="Q301" i="32" a="1"/>
  <c r="Q301" i="32" s="1"/>
  <c r="O301" i="32"/>
  <c r="R301" i="32" s="1"/>
  <c r="O301" i="32" a="1"/>
  <c r="N301" i="32"/>
  <c r="M301" i="32"/>
  <c r="L301" i="32"/>
  <c r="S301" i="32" s="1"/>
  <c r="K301" i="32"/>
  <c r="J301" i="32"/>
  <c r="F301" i="32"/>
  <c r="E301" i="32"/>
  <c r="D301" i="32"/>
  <c r="Q300" i="32"/>
  <c r="S300" i="32" s="1"/>
  <c r="Q300" i="32" a="1"/>
  <c r="O300" i="32"/>
  <c r="O300" i="32" a="1"/>
  <c r="N300" i="32"/>
  <c r="M300" i="32"/>
  <c r="L300" i="32"/>
  <c r="K300" i="32"/>
  <c r="J300" i="32"/>
  <c r="F300" i="32"/>
  <c r="D300" i="32"/>
  <c r="E300" i="32" s="1"/>
  <c r="Q299" i="32"/>
  <c r="S299" i="32" s="1"/>
  <c r="Q299" i="32" a="1"/>
  <c r="O299" i="32"/>
  <c r="P299" i="32" s="1"/>
  <c r="O299" i="32" a="1"/>
  <c r="N299" i="32"/>
  <c r="L299" i="32"/>
  <c r="K299" i="32"/>
  <c r="J299" i="32"/>
  <c r="F299" i="32"/>
  <c r="D299" i="32"/>
  <c r="E299" i="32" s="1"/>
  <c r="Q298" i="32"/>
  <c r="Q298" i="32" a="1"/>
  <c r="O298" i="32" a="1"/>
  <c r="O298" i="32" s="1"/>
  <c r="N298" i="32"/>
  <c r="M298" i="32"/>
  <c r="L298" i="32"/>
  <c r="K298" i="32"/>
  <c r="J298" i="32"/>
  <c r="F298" i="32"/>
  <c r="E298" i="32"/>
  <c r="D298" i="32"/>
  <c r="Q297" i="32" a="1"/>
  <c r="Q297" i="32" s="1"/>
  <c r="O297" i="32"/>
  <c r="P297" i="32" s="1"/>
  <c r="O297" i="32" a="1"/>
  <c r="N297" i="32"/>
  <c r="L297" i="32"/>
  <c r="J297" i="32"/>
  <c r="F297" i="32"/>
  <c r="E297" i="32"/>
  <c r="D297" i="32"/>
  <c r="R296" i="32"/>
  <c r="Q296" i="32"/>
  <c r="S296" i="32" s="1"/>
  <c r="Q296" i="32" a="1"/>
  <c r="O296" i="32"/>
  <c r="O296" i="32" a="1"/>
  <c r="N296" i="32"/>
  <c r="L296" i="32"/>
  <c r="K296" i="32"/>
  <c r="J296" i="32"/>
  <c r="F296" i="32"/>
  <c r="D296" i="32"/>
  <c r="R295" i="32"/>
  <c r="Q295" i="32"/>
  <c r="Q295" i="32" a="1"/>
  <c r="O295" i="32"/>
  <c r="O295" i="32" a="1"/>
  <c r="N295" i="32"/>
  <c r="L295" i="32"/>
  <c r="J295" i="32"/>
  <c r="F295" i="32"/>
  <c r="E295" i="32"/>
  <c r="D295" i="32"/>
  <c r="N288" i="32"/>
  <c r="P285" i="32"/>
  <c r="Q284" i="32"/>
  <c r="Q284" i="32" a="1"/>
  <c r="L284" i="32"/>
  <c r="F284" i="32"/>
  <c r="Q283" i="32"/>
  <c r="S283" i="32" s="1"/>
  <c r="Q283" i="32" a="1"/>
  <c r="N283" i="32"/>
  <c r="L283" i="32"/>
  <c r="F283" i="32"/>
  <c r="Q282" i="32"/>
  <c r="Q282" i="32" a="1"/>
  <c r="L282" i="32"/>
  <c r="F282" i="32"/>
  <c r="Q281" i="32"/>
  <c r="S281" i="32" s="1"/>
  <c r="Q281" i="32" a="1"/>
  <c r="N281" i="32"/>
  <c r="L281" i="32"/>
  <c r="F281" i="32"/>
  <c r="Q280" i="32"/>
  <c r="Q280" i="32" a="1"/>
  <c r="L280" i="32"/>
  <c r="F280" i="32"/>
  <c r="S279" i="32"/>
  <c r="Q279" i="32"/>
  <c r="Q279" i="32" a="1"/>
  <c r="N279" i="32"/>
  <c r="L279" i="32"/>
  <c r="F279" i="32"/>
  <c r="Q278" i="32"/>
  <c r="Q278" i="32" a="1"/>
  <c r="L278" i="32"/>
  <c r="F278" i="32"/>
  <c r="S277" i="32"/>
  <c r="Q277" i="32"/>
  <c r="Q277" i="32" a="1"/>
  <c r="N277" i="32"/>
  <c r="L277" i="32"/>
  <c r="F277" i="32"/>
  <c r="Q276" i="32"/>
  <c r="Q276" i="32" a="1"/>
  <c r="L276" i="32"/>
  <c r="F276" i="32"/>
  <c r="S275" i="32"/>
  <c r="Q275" i="32"/>
  <c r="Q275" i="32" a="1"/>
  <c r="N275" i="32"/>
  <c r="L275" i="32"/>
  <c r="F275" i="32"/>
  <c r="Q274" i="32"/>
  <c r="Q274" i="32" a="1"/>
  <c r="L274" i="32"/>
  <c r="F274" i="32"/>
  <c r="S273" i="32"/>
  <c r="Q273" i="32"/>
  <c r="Q273" i="32" a="1"/>
  <c r="N273" i="32"/>
  <c r="L273" i="32"/>
  <c r="Q272" i="32"/>
  <c r="Q272" i="32" a="1"/>
  <c r="L272" i="32"/>
  <c r="F272" i="32"/>
  <c r="Q271" i="32" a="1"/>
  <c r="Q271" i="32" s="1"/>
  <c r="L271" i="32"/>
  <c r="F271" i="32"/>
  <c r="Q270" i="32"/>
  <c r="Q270" i="32" a="1"/>
  <c r="L270" i="32"/>
  <c r="F270" i="32"/>
  <c r="Q269" i="32"/>
  <c r="Q269" i="32" a="1"/>
  <c r="L269" i="32"/>
  <c r="F269" i="32"/>
  <c r="Q268" i="32" a="1"/>
  <c r="Q268" i="32" s="1"/>
  <c r="L268" i="32"/>
  <c r="F268" i="32"/>
  <c r="Q267" i="32" a="1"/>
  <c r="Q267" i="32" s="1"/>
  <c r="L267" i="32"/>
  <c r="F267" i="32"/>
  <c r="L266" i="32"/>
  <c r="S265" i="32"/>
  <c r="Q265" i="32" a="1"/>
  <c r="Q265" i="32" s="1"/>
  <c r="L265" i="32"/>
  <c r="F265" i="32"/>
  <c r="N265" i="32" s="1"/>
  <c r="S264" i="32"/>
  <c r="Q264" i="32" a="1"/>
  <c r="Q264" i="32" s="1"/>
  <c r="L264" i="32"/>
  <c r="F264" i="32"/>
  <c r="N264" i="32" s="1"/>
  <c r="S263" i="32"/>
  <c r="Q263" i="32" a="1"/>
  <c r="Q263" i="32" s="1"/>
  <c r="N263" i="32"/>
  <c r="L263" i="32"/>
  <c r="F263" i="32"/>
  <c r="Q262" i="32" a="1"/>
  <c r="Q262" i="32" s="1"/>
  <c r="S262" i="32" s="1"/>
  <c r="N262" i="32"/>
  <c r="L262" i="32"/>
  <c r="F262" i="32"/>
  <c r="Q261" i="32" a="1"/>
  <c r="Q261" i="32" s="1"/>
  <c r="S261" i="32" s="1"/>
  <c r="L261" i="32"/>
  <c r="F261" i="32"/>
  <c r="N261" i="32" s="1"/>
  <c r="Q260" i="32" a="1"/>
  <c r="Q260" i="32" s="1"/>
  <c r="S260" i="32" s="1"/>
  <c r="L260" i="32"/>
  <c r="F260" i="32"/>
  <c r="N260" i="32" s="1"/>
  <c r="S259" i="32"/>
  <c r="Q259" i="32" a="1"/>
  <c r="Q259" i="32" s="1"/>
  <c r="L259" i="32"/>
  <c r="F259" i="32"/>
  <c r="N259" i="32" s="1"/>
  <c r="Q258" i="32" a="1"/>
  <c r="Q258" i="32" s="1"/>
  <c r="S258" i="32" s="1"/>
  <c r="N258" i="32"/>
  <c r="L258" i="32"/>
  <c r="F258" i="32"/>
  <c r="S257" i="32"/>
  <c r="Q257" i="32" a="1"/>
  <c r="Q257" i="32" s="1"/>
  <c r="L257" i="32"/>
  <c r="F257" i="32"/>
  <c r="N257" i="32" s="1"/>
  <c r="Q256" i="32" a="1"/>
  <c r="Q256" i="32" s="1"/>
  <c r="S256" i="32" s="1"/>
  <c r="L256" i="32"/>
  <c r="F256" i="32"/>
  <c r="N256" i="32" s="1"/>
  <c r="Q255" i="32" a="1"/>
  <c r="Q255" i="32" s="1"/>
  <c r="S255" i="32" s="1"/>
  <c r="N255" i="32"/>
  <c r="L255" i="32"/>
  <c r="F255" i="32"/>
  <c r="Q254" i="32"/>
  <c r="Q254" i="32" a="1"/>
  <c r="L254" i="32"/>
  <c r="F254" i="32"/>
  <c r="P250" i="32"/>
  <c r="E250" i="32"/>
  <c r="S248" i="32"/>
  <c r="Q248" i="32"/>
  <c r="F248" i="32"/>
  <c r="R247" i="32"/>
  <c r="M247" i="32"/>
  <c r="L247" i="32"/>
  <c r="K247" i="32"/>
  <c r="J247" i="32"/>
  <c r="S245" i="32"/>
  <c r="L245" i="32"/>
  <c r="Q244" i="32" a="1"/>
  <c r="Q244" i="32" s="1"/>
  <c r="Q245" i="32" s="1"/>
  <c r="P244" i="32"/>
  <c r="P244" i="32" a="1"/>
  <c r="O244" i="32"/>
  <c r="R244" i="32" s="1"/>
  <c r="O244" i="32" a="1"/>
  <c r="M244" i="32"/>
  <c r="L244" i="32"/>
  <c r="S244" i="32" s="1"/>
  <c r="K244" i="32"/>
  <c r="K250" i="32" s="1"/>
  <c r="J244" i="32"/>
  <c r="F244" i="32"/>
  <c r="E244" i="32"/>
  <c r="D244" i="32"/>
  <c r="L242" i="32"/>
  <c r="Q241" i="32" a="1"/>
  <c r="Q241" i="32" s="1"/>
  <c r="P241" i="32"/>
  <c r="P241" i="32" a="1"/>
  <c r="O241" i="32"/>
  <c r="O241" i="32" a="1"/>
  <c r="N241" i="32"/>
  <c r="N242" i="32" s="1"/>
  <c r="L241" i="32"/>
  <c r="K241" i="32"/>
  <c r="J241" i="32"/>
  <c r="F241" i="32"/>
  <c r="E241" i="32"/>
  <c r="M241" i="32" s="1"/>
  <c r="D241" i="32"/>
  <c r="N232" i="32"/>
  <c r="Q228" i="32" a="1"/>
  <c r="Q228" i="32" s="1"/>
  <c r="S228" i="32" s="1"/>
  <c r="N228" i="32"/>
  <c r="L228" i="32"/>
  <c r="F228" i="32"/>
  <c r="Q227" i="32"/>
  <c r="Q227" i="32" a="1"/>
  <c r="L227" i="32"/>
  <c r="F227" i="32"/>
  <c r="Q226" i="32"/>
  <c r="Q226" i="32" a="1"/>
  <c r="L226" i="32"/>
  <c r="F226" i="32"/>
  <c r="N226" i="32" s="1"/>
  <c r="Q225" i="32"/>
  <c r="Q225" i="32" a="1"/>
  <c r="L225" i="32"/>
  <c r="S225" i="32" s="1"/>
  <c r="F225" i="32"/>
  <c r="Q224" i="32" a="1"/>
  <c r="Q224" i="32" s="1"/>
  <c r="L224" i="32"/>
  <c r="F224" i="32"/>
  <c r="S223" i="32"/>
  <c r="Q223" i="32"/>
  <c r="Q223" i="32" a="1"/>
  <c r="L223" i="32"/>
  <c r="F223" i="32"/>
  <c r="Q222" i="32" a="1"/>
  <c r="Q222" i="32" s="1"/>
  <c r="L222" i="32"/>
  <c r="F222" i="32"/>
  <c r="S221" i="32"/>
  <c r="Q221" i="32"/>
  <c r="Q221" i="32" a="1"/>
  <c r="L221" i="32"/>
  <c r="F221" i="32"/>
  <c r="Q220" i="32" a="1"/>
  <c r="Q220" i="32" s="1"/>
  <c r="L220" i="32"/>
  <c r="S220" i="32" s="1"/>
  <c r="F220" i="32"/>
  <c r="S219" i="32"/>
  <c r="Q219" i="32"/>
  <c r="Q219" i="32" a="1"/>
  <c r="L219" i="32"/>
  <c r="N219" i="32" s="1"/>
  <c r="F219" i="32"/>
  <c r="Q218" i="32"/>
  <c r="Q218" i="32" a="1"/>
  <c r="L218" i="32"/>
  <c r="F218" i="32"/>
  <c r="Q217" i="32"/>
  <c r="Q217" i="32" a="1"/>
  <c r="L217" i="32"/>
  <c r="N217" i="32" s="1"/>
  <c r="Q216" i="32" a="1"/>
  <c r="Q216" i="32" s="1"/>
  <c r="L216" i="32"/>
  <c r="F216" i="32"/>
  <c r="Q215" i="32"/>
  <c r="S215" i="32" s="1"/>
  <c r="Q215" i="32" a="1"/>
  <c r="L215" i="32"/>
  <c r="F215" i="32"/>
  <c r="N215" i="32" s="1"/>
  <c r="Q214" i="32" a="1"/>
  <c r="Q214" i="32" s="1"/>
  <c r="S214" i="32" s="1"/>
  <c r="N214" i="32"/>
  <c r="L214" i="32"/>
  <c r="F214" i="32"/>
  <c r="Q213" i="32"/>
  <c r="S213" i="32" s="1"/>
  <c r="Q213" i="32" a="1"/>
  <c r="L213" i="32"/>
  <c r="F213" i="32"/>
  <c r="Q212" i="32" a="1"/>
  <c r="Q212" i="32" s="1"/>
  <c r="L212" i="32"/>
  <c r="S212" i="32" s="1"/>
  <c r="F212" i="32"/>
  <c r="F229" i="32" s="1"/>
  <c r="S211" i="32"/>
  <c r="Q211" i="32"/>
  <c r="Q211" i="32" a="1"/>
  <c r="L211" i="32"/>
  <c r="N211" i="32" s="1"/>
  <c r="F211" i="32"/>
  <c r="Q209" i="32" a="1"/>
  <c r="Q209" i="32" s="1"/>
  <c r="L209" i="32"/>
  <c r="F209" i="32"/>
  <c r="Q208" i="32" a="1"/>
  <c r="Q208" i="32" s="1"/>
  <c r="N208" i="32"/>
  <c r="L208" i="32"/>
  <c r="F208" i="32"/>
  <c r="Q207" i="32" a="1"/>
  <c r="Q207" i="32" s="1"/>
  <c r="N207" i="32"/>
  <c r="L207" i="32"/>
  <c r="F207" i="32"/>
  <c r="Q206" i="32"/>
  <c r="Q206" i="32" a="1"/>
  <c r="L206" i="32"/>
  <c r="S206" i="32" s="1"/>
  <c r="F206" i="32"/>
  <c r="Q205" i="32" a="1"/>
  <c r="Q205" i="32" s="1"/>
  <c r="L205" i="32"/>
  <c r="F205" i="32"/>
  <c r="Q204" i="32" a="1"/>
  <c r="Q204" i="32" s="1"/>
  <c r="S204" i="32" s="1"/>
  <c r="N204" i="32"/>
  <c r="L204" i="32"/>
  <c r="F204" i="32"/>
  <c r="Q203" i="32" a="1"/>
  <c r="Q203" i="32" s="1"/>
  <c r="L203" i="32"/>
  <c r="S203" i="32" s="1"/>
  <c r="F203" i="32"/>
  <c r="S202" i="32"/>
  <c r="Q202" i="32"/>
  <c r="Q202" i="32" a="1"/>
  <c r="L202" i="32"/>
  <c r="F202" i="32"/>
  <c r="Q201" i="32" a="1"/>
  <c r="Q201" i="32" s="1"/>
  <c r="L201" i="32"/>
  <c r="F201" i="32"/>
  <c r="E201" i="32"/>
  <c r="Q200" i="32" a="1"/>
  <c r="Q200" i="32" s="1"/>
  <c r="S200" i="32" s="1"/>
  <c r="N200" i="32"/>
  <c r="L200" i="32"/>
  <c r="F200" i="32"/>
  <c r="Q199" i="32"/>
  <c r="Q199" i="32" a="1"/>
  <c r="L199" i="32"/>
  <c r="F199" i="32"/>
  <c r="F210" i="32" s="1"/>
  <c r="Q198" i="32" a="1"/>
  <c r="Q198" i="32" s="1"/>
  <c r="N198" i="32"/>
  <c r="L198" i="32"/>
  <c r="F198" i="32"/>
  <c r="F192" i="32"/>
  <c r="Q191" i="32"/>
  <c r="Q191" i="32" a="1"/>
  <c r="P191" i="32" a="1"/>
  <c r="P191" i="32" s="1"/>
  <c r="Q192" i="32" s="1"/>
  <c r="M191" i="32"/>
  <c r="L191" i="32"/>
  <c r="L192" i="32" s="1"/>
  <c r="K191" i="32"/>
  <c r="J191" i="32"/>
  <c r="F191" i="32"/>
  <c r="N191" i="32" s="1"/>
  <c r="E191" i="32"/>
  <c r="S188" i="32"/>
  <c r="R188" i="32"/>
  <c r="Q188" i="32"/>
  <c r="Q188" i="32" a="1"/>
  <c r="P188" i="32" a="1"/>
  <c r="P188" i="32" s="1"/>
  <c r="Q189" i="32" s="1"/>
  <c r="N188" i="32"/>
  <c r="L188" i="32"/>
  <c r="K188" i="32"/>
  <c r="L189" i="32" s="1"/>
  <c r="F188" i="32"/>
  <c r="F189" i="32" s="1"/>
  <c r="E188" i="32"/>
  <c r="Q184" i="32" a="1"/>
  <c r="Q184" i="32" s="1"/>
  <c r="L184" i="32"/>
  <c r="F184" i="32"/>
  <c r="P183" i="32"/>
  <c r="M182" i="32"/>
  <c r="K182" i="32"/>
  <c r="R181" i="32"/>
  <c r="Q181" i="32"/>
  <c r="Q181" i="32" a="1"/>
  <c r="P181" i="32"/>
  <c r="P181" i="32" a="1"/>
  <c r="O181" i="32"/>
  <c r="O181" i="32" a="1"/>
  <c r="L181" i="32"/>
  <c r="K181" i="32"/>
  <c r="J181" i="32"/>
  <c r="F181" i="32"/>
  <c r="E181" i="32"/>
  <c r="M181" i="32" s="1"/>
  <c r="D181" i="32"/>
  <c r="E180" i="32"/>
  <c r="R179" i="32"/>
  <c r="Q178" i="32" a="1"/>
  <c r="Q178" i="32" s="1"/>
  <c r="P178" i="32" a="1"/>
  <c r="P178" i="32" s="1"/>
  <c r="P180" i="32" s="1"/>
  <c r="O178" i="32"/>
  <c r="R178" i="32" s="1"/>
  <c r="O178" i="32" a="1"/>
  <c r="L178" i="32"/>
  <c r="K178" i="32"/>
  <c r="J178" i="32"/>
  <c r="F178" i="32"/>
  <c r="E178" i="32"/>
  <c r="F179" i="32" s="1"/>
  <c r="D178" i="32"/>
  <c r="K177" i="32"/>
  <c r="E177" i="32"/>
  <c r="S175" i="32"/>
  <c r="Q175" i="32" a="1"/>
  <c r="Q175" i="32" s="1"/>
  <c r="P175" i="32" a="1"/>
  <c r="P175" i="32" s="1"/>
  <c r="P177" i="32" s="1"/>
  <c r="O175" i="32"/>
  <c r="R175" i="32" s="1"/>
  <c r="O175" i="32" a="1"/>
  <c r="M175" i="32"/>
  <c r="L175" i="32"/>
  <c r="L176" i="32" s="1"/>
  <c r="K175" i="32"/>
  <c r="J175" i="32"/>
  <c r="F175" i="32"/>
  <c r="E175" i="32"/>
  <c r="D175" i="32"/>
  <c r="K174" i="32"/>
  <c r="L173" i="32"/>
  <c r="Q172" i="32" a="1"/>
  <c r="Q172" i="32" s="1"/>
  <c r="P172" i="32" a="1"/>
  <c r="P172" i="32" s="1"/>
  <c r="O172" i="32" a="1"/>
  <c r="O172" i="32" s="1"/>
  <c r="N172" i="32"/>
  <c r="M172" i="32"/>
  <c r="L172" i="32"/>
  <c r="K172" i="32"/>
  <c r="J172" i="32"/>
  <c r="J185" i="32" s="1"/>
  <c r="F172" i="32"/>
  <c r="E172" i="32"/>
  <c r="F173" i="32" s="1"/>
  <c r="D172" i="32"/>
  <c r="Q162" i="32" a="1"/>
  <c r="Q162" i="32" s="1"/>
  <c r="L162" i="32"/>
  <c r="N162" i="32" s="1"/>
  <c r="F162" i="32"/>
  <c r="Q161" i="32" a="1"/>
  <c r="Q161" i="32" s="1"/>
  <c r="L161" i="32"/>
  <c r="S161" i="32" s="1"/>
  <c r="F161" i="32"/>
  <c r="Q160" i="32"/>
  <c r="Q160" i="32" a="1"/>
  <c r="L160" i="32"/>
  <c r="S160" i="32" s="1"/>
  <c r="F160" i="32"/>
  <c r="Q159" i="32" a="1"/>
  <c r="Q159" i="32" s="1"/>
  <c r="L159" i="32"/>
  <c r="F159" i="32"/>
  <c r="Q158" i="32"/>
  <c r="S158" i="32" s="1"/>
  <c r="Q158" i="32" a="1"/>
  <c r="L158" i="32"/>
  <c r="F158" i="32"/>
  <c r="Q157" i="32" a="1"/>
  <c r="Q157" i="32" s="1"/>
  <c r="L157" i="32"/>
  <c r="S157" i="32" s="1"/>
  <c r="F157" i="32"/>
  <c r="S156" i="32"/>
  <c r="Q156" i="32"/>
  <c r="Q156" i="32" a="1"/>
  <c r="F156" i="32"/>
  <c r="N156" i="32" s="1"/>
  <c r="Q152" i="32" a="1"/>
  <c r="Q152" i="32" s="1"/>
  <c r="L152" i="32"/>
  <c r="F152" i="32"/>
  <c r="Q151" i="32" a="1"/>
  <c r="Q151" i="32" s="1"/>
  <c r="N151" i="32"/>
  <c r="L151" i="32"/>
  <c r="S151" i="32" s="1"/>
  <c r="F151" i="32"/>
  <c r="Q150" i="32" a="1"/>
  <c r="Q150" i="32" s="1"/>
  <c r="L150" i="32"/>
  <c r="F150" i="32"/>
  <c r="Q149" i="32" a="1"/>
  <c r="Q149" i="32" s="1"/>
  <c r="L149" i="32"/>
  <c r="S149" i="32" s="1"/>
  <c r="F149" i="32"/>
  <c r="N149" i="32" s="1"/>
  <c r="S148" i="32"/>
  <c r="Q148" i="32"/>
  <c r="Q148" i="32" a="1"/>
  <c r="N148" i="32"/>
  <c r="L148" i="32"/>
  <c r="F148" i="32"/>
  <c r="Q147" i="32" a="1"/>
  <c r="Q147" i="32" s="1"/>
  <c r="L147" i="32"/>
  <c r="S147" i="32" s="1"/>
  <c r="F147" i="32"/>
  <c r="N147" i="32" s="1"/>
  <c r="Q146" i="32"/>
  <c r="S146" i="32" s="1"/>
  <c r="Q146" i="32" a="1"/>
  <c r="N146" i="32"/>
  <c r="L146" i="32"/>
  <c r="F146" i="32"/>
  <c r="Q145" i="32" a="1"/>
  <c r="Q145" i="32" s="1"/>
  <c r="L145" i="32"/>
  <c r="F145" i="32"/>
  <c r="N145" i="32" s="1"/>
  <c r="Q144" i="32" a="1"/>
  <c r="Q144" i="32" s="1"/>
  <c r="L144" i="32"/>
  <c r="S144" i="32" s="1"/>
  <c r="F144" i="32"/>
  <c r="Q143" i="32" a="1"/>
  <c r="Q143" i="32" s="1"/>
  <c r="N143" i="32"/>
  <c r="L143" i="32"/>
  <c r="S143" i="32" s="1"/>
  <c r="F143" i="32"/>
  <c r="Q142" i="32" a="1"/>
  <c r="Q142" i="32" s="1"/>
  <c r="L142" i="32"/>
  <c r="N142" i="32" s="1"/>
  <c r="F142" i="32"/>
  <c r="Q141" i="32" a="1"/>
  <c r="Q141" i="32" s="1"/>
  <c r="L141" i="32"/>
  <c r="F141" i="32"/>
  <c r="N141" i="32" s="1"/>
  <c r="S140" i="32"/>
  <c r="Q140" i="32" a="1"/>
  <c r="Q140" i="32" s="1"/>
  <c r="N140" i="32"/>
  <c r="L140" i="32"/>
  <c r="F140" i="32"/>
  <c r="Q139" i="32" a="1"/>
  <c r="Q139" i="32" s="1"/>
  <c r="N139" i="32"/>
  <c r="L139" i="32"/>
  <c r="S139" i="32" s="1"/>
  <c r="F139" i="32"/>
  <c r="Q138" i="32" a="1"/>
  <c r="Q138" i="32" s="1"/>
  <c r="L138" i="32"/>
  <c r="F138" i="32"/>
  <c r="Q137" i="32" a="1"/>
  <c r="Q137" i="32" s="1"/>
  <c r="N137" i="32"/>
  <c r="L137" i="32"/>
  <c r="F137" i="32"/>
  <c r="Q136" i="32"/>
  <c r="Q136" i="32" a="1"/>
  <c r="L136" i="32"/>
  <c r="F136" i="32"/>
  <c r="Q134" i="32"/>
  <c r="S134" i="32" s="1"/>
  <c r="Q134" i="32" a="1"/>
  <c r="L134" i="32"/>
  <c r="F134" i="32"/>
  <c r="N134" i="32" s="1"/>
  <c r="S133" i="32"/>
  <c r="Q133" i="32"/>
  <c r="Q133" i="32" a="1"/>
  <c r="L133" i="32"/>
  <c r="F133" i="32"/>
  <c r="N133" i="32" s="1"/>
  <c r="Q132" i="32" a="1"/>
  <c r="Q132" i="32" s="1"/>
  <c r="S132" i="32" s="1"/>
  <c r="L132" i="32"/>
  <c r="F132" i="32"/>
  <c r="N132" i="32" s="1"/>
  <c r="Q131" i="32"/>
  <c r="S131" i="32" s="1"/>
  <c r="Q131" i="32" a="1"/>
  <c r="L131" i="32"/>
  <c r="N131" i="32" s="1"/>
  <c r="F131" i="32"/>
  <c r="Q130" i="32" a="1"/>
  <c r="Q130" i="32" s="1"/>
  <c r="S130" i="32" s="1"/>
  <c r="L130" i="32"/>
  <c r="F130" i="32"/>
  <c r="N130" i="32" s="1"/>
  <c r="Q129" i="32"/>
  <c r="Q129" i="32" a="1"/>
  <c r="L129" i="32"/>
  <c r="F129" i="32"/>
  <c r="Q128" i="32"/>
  <c r="S128" i="32" s="1"/>
  <c r="Q128" i="32" a="1"/>
  <c r="L128" i="32"/>
  <c r="F128" i="32"/>
  <c r="N128" i="32" s="1"/>
  <c r="S127" i="32"/>
  <c r="Q127" i="32"/>
  <c r="Q127" i="32" a="1"/>
  <c r="L127" i="32"/>
  <c r="F127" i="32"/>
  <c r="N127" i="32" s="1"/>
  <c r="Q126" i="32" a="1"/>
  <c r="Q126" i="32" s="1"/>
  <c r="S126" i="32" s="1"/>
  <c r="L126" i="32"/>
  <c r="N126" i="32" s="1"/>
  <c r="F126" i="32"/>
  <c r="Q125" i="32"/>
  <c r="Q125" i="32" a="1"/>
  <c r="L125" i="32"/>
  <c r="N125" i="32" s="1"/>
  <c r="F125" i="32"/>
  <c r="Q124" i="32"/>
  <c r="S124" i="32" s="1"/>
  <c r="Q124" i="32" a="1"/>
  <c r="L124" i="32"/>
  <c r="N124" i="32" s="1"/>
  <c r="F124" i="32"/>
  <c r="Q123" i="32"/>
  <c r="Q123" i="32" a="1"/>
  <c r="L123" i="32"/>
  <c r="F123" i="32"/>
  <c r="F135" i="32" s="1"/>
  <c r="E135" i="32" s="1"/>
  <c r="F122" i="32"/>
  <c r="E122" i="32"/>
  <c r="Q121" i="32" a="1"/>
  <c r="Q121" i="32" s="1"/>
  <c r="N121" i="32"/>
  <c r="L121" i="32"/>
  <c r="F121" i="32"/>
  <c r="Q120" i="32" a="1"/>
  <c r="Q120" i="32" s="1"/>
  <c r="L120" i="32"/>
  <c r="S120" i="32" s="1"/>
  <c r="K120" i="32"/>
  <c r="F120" i="32"/>
  <c r="E120" i="32" s="1"/>
  <c r="Q119" i="32" a="1"/>
  <c r="Q119" i="32" s="1"/>
  <c r="L119" i="32"/>
  <c r="N119" i="32" s="1"/>
  <c r="F119" i="32"/>
  <c r="Q118" i="32" a="1"/>
  <c r="Q118" i="32" s="1"/>
  <c r="L118" i="32"/>
  <c r="F118" i="32"/>
  <c r="Q117" i="32"/>
  <c r="Q117" i="32" a="1"/>
  <c r="N117" i="32"/>
  <c r="L117" i="32"/>
  <c r="F117" i="32"/>
  <c r="Q116" i="32" a="1"/>
  <c r="Q116" i="32" s="1"/>
  <c r="L116" i="32"/>
  <c r="K116" i="32" s="1"/>
  <c r="F116" i="32"/>
  <c r="Q115" i="32" a="1"/>
  <c r="Q115" i="32" s="1"/>
  <c r="L115" i="32"/>
  <c r="N115" i="32" s="1"/>
  <c r="F115" i="32"/>
  <c r="Q114" i="32" a="1"/>
  <c r="Q114" i="32" s="1"/>
  <c r="L114" i="32"/>
  <c r="N114" i="32" s="1"/>
  <c r="F114" i="32"/>
  <c r="Q113" i="32"/>
  <c r="Q113" i="32" a="1"/>
  <c r="L113" i="32"/>
  <c r="N113" i="32" s="1"/>
  <c r="F113" i="32"/>
  <c r="Q112" i="32"/>
  <c r="Q112" i="32" a="1"/>
  <c r="L112" i="32"/>
  <c r="F112" i="32"/>
  <c r="Q104" i="32"/>
  <c r="Q104" i="32" a="1"/>
  <c r="L104" i="32"/>
  <c r="F104" i="32"/>
  <c r="E104" i="32"/>
  <c r="D104" i="32"/>
  <c r="Q103" i="32"/>
  <c r="Q103" i="32" a="1"/>
  <c r="L103" i="32"/>
  <c r="N103" i="32" s="1"/>
  <c r="F103" i="32"/>
  <c r="F105" i="32" s="1"/>
  <c r="D113" i="32" s="1"/>
  <c r="E103" i="32"/>
  <c r="D103" i="32"/>
  <c r="S102" i="32"/>
  <c r="Q102" i="32"/>
  <c r="Q102" i="32" a="1"/>
  <c r="L102" i="32"/>
  <c r="F102" i="32"/>
  <c r="N102" i="32" s="1"/>
  <c r="D102" i="32"/>
  <c r="E102" i="32" s="1"/>
  <c r="R100" i="32"/>
  <c r="Q100" i="32"/>
  <c r="Q100" i="32" a="1"/>
  <c r="O100" i="32" a="1"/>
  <c r="O100" i="32" s="1"/>
  <c r="L100" i="32"/>
  <c r="J100" i="32"/>
  <c r="F100" i="32"/>
  <c r="D100" i="32"/>
  <c r="E100" i="32" s="1"/>
  <c r="A99" i="32"/>
  <c r="D99" i="32" s="1"/>
  <c r="E99" i="32" s="1"/>
  <c r="P98" i="32"/>
  <c r="E98" i="32"/>
  <c r="A98" i="32"/>
  <c r="L97" i="32"/>
  <c r="J97" i="32"/>
  <c r="K121" i="32" s="1"/>
  <c r="F97" i="32"/>
  <c r="F108" i="32" s="1"/>
  <c r="D97" i="32"/>
  <c r="A97" i="32"/>
  <c r="Q96" i="32"/>
  <c r="O96" i="32"/>
  <c r="P96" i="32" s="1"/>
  <c r="L96" i="32"/>
  <c r="J96" i="32"/>
  <c r="F96" i="32"/>
  <c r="D96" i="32"/>
  <c r="E96" i="32" s="1"/>
  <c r="A96" i="32"/>
  <c r="Q95" i="32" a="1"/>
  <c r="Q95" i="32" s="1"/>
  <c r="O95" i="32"/>
  <c r="O95" i="32" a="1"/>
  <c r="L95" i="32"/>
  <c r="J95" i="32"/>
  <c r="F95" i="32"/>
  <c r="D95" i="32"/>
  <c r="E95" i="32" s="1"/>
  <c r="Q94" i="32" a="1"/>
  <c r="Q94" i="32" s="1"/>
  <c r="O94" i="32" a="1"/>
  <c r="O94" i="32" s="1"/>
  <c r="P94" i="32" s="1"/>
  <c r="N94" i="32"/>
  <c r="L94" i="32"/>
  <c r="J94" i="32"/>
  <c r="F94" i="32"/>
  <c r="D94" i="32"/>
  <c r="Q93" i="32" a="1"/>
  <c r="Q93" i="32" s="1"/>
  <c r="L93" i="32"/>
  <c r="F93" i="32"/>
  <c r="Q82" i="32" a="1"/>
  <c r="Q82" i="32" s="1"/>
  <c r="L82" i="32"/>
  <c r="S82" i="32" s="1"/>
  <c r="F82" i="32"/>
  <c r="Q81" i="32" a="1"/>
  <c r="Q81" i="32" s="1"/>
  <c r="S81" i="32" s="1"/>
  <c r="L81" i="32"/>
  <c r="F81" i="32"/>
  <c r="N81" i="32" s="1"/>
  <c r="Q80" i="32" a="1"/>
  <c r="Q80" i="32" s="1"/>
  <c r="L80" i="32"/>
  <c r="N80" i="32" s="1"/>
  <c r="F80" i="32"/>
  <c r="Q79" i="32" a="1"/>
  <c r="Q79" i="32" s="1"/>
  <c r="S79" i="32" s="1"/>
  <c r="N79" i="32"/>
  <c r="L79" i="32"/>
  <c r="F79" i="32"/>
  <c r="Q78" i="32" a="1"/>
  <c r="Q78" i="32" s="1"/>
  <c r="L78" i="32"/>
  <c r="S78" i="32" s="1"/>
  <c r="F78" i="32"/>
  <c r="Q77" i="32" a="1"/>
  <c r="Q77" i="32" s="1"/>
  <c r="S77" i="32" s="1"/>
  <c r="N77" i="32"/>
  <c r="L77" i="32"/>
  <c r="F77" i="32"/>
  <c r="Q76" i="32" a="1"/>
  <c r="Q76" i="32" s="1"/>
  <c r="L76" i="32"/>
  <c r="S76" i="32" s="1"/>
  <c r="F76" i="32"/>
  <c r="Q75" i="32"/>
  <c r="L75" i="32"/>
  <c r="F75" i="32"/>
  <c r="F83" i="32" s="1"/>
  <c r="Q71" i="32" a="1"/>
  <c r="Q71" i="32" s="1"/>
  <c r="S71" i="32" s="1"/>
  <c r="N71" i="32"/>
  <c r="L71" i="32"/>
  <c r="F71" i="32"/>
  <c r="Q70" i="32" a="1"/>
  <c r="Q70" i="32" s="1"/>
  <c r="L70" i="32"/>
  <c r="F70" i="32"/>
  <c r="Q69" i="32" a="1"/>
  <c r="Q69" i="32" s="1"/>
  <c r="S69" i="32" s="1"/>
  <c r="F69" i="32"/>
  <c r="N69" i="32" s="1"/>
  <c r="Q68" i="32"/>
  <c r="S68" i="32" s="1"/>
  <c r="Q68" i="32" a="1"/>
  <c r="L68" i="32"/>
  <c r="F68" i="32"/>
  <c r="N68" i="32" s="1"/>
  <c r="Q67" i="32"/>
  <c r="Q67" i="32" a="1"/>
  <c r="L67" i="32"/>
  <c r="S67" i="32" s="1"/>
  <c r="F67" i="32"/>
  <c r="Q66" i="32"/>
  <c r="Q66" i="32" a="1"/>
  <c r="L66" i="32"/>
  <c r="F66" i="32"/>
  <c r="Q65" i="32"/>
  <c r="Q65" i="32" a="1"/>
  <c r="L65" i="32"/>
  <c r="F65" i="32"/>
  <c r="N65" i="32" s="1"/>
  <c r="Q64" i="32"/>
  <c r="Q64" i="32" a="1"/>
  <c r="L64" i="32"/>
  <c r="F64" i="32"/>
  <c r="Q63" i="32"/>
  <c r="Q63" i="32" a="1"/>
  <c r="L63" i="32"/>
  <c r="F63" i="32"/>
  <c r="N63" i="32" s="1"/>
  <c r="Q62" i="32"/>
  <c r="Q62" i="32" a="1"/>
  <c r="L62" i="32"/>
  <c r="S62" i="32" s="1"/>
  <c r="F62" i="32"/>
  <c r="Q61" i="32" a="1"/>
  <c r="Q61" i="32" s="1"/>
  <c r="N61" i="32"/>
  <c r="L61" i="32"/>
  <c r="F61" i="32"/>
  <c r="Q60" i="32"/>
  <c r="Q60" i="32" a="1"/>
  <c r="L60" i="32"/>
  <c r="F60" i="32"/>
  <c r="Q59" i="32" a="1"/>
  <c r="Q59" i="32" s="1"/>
  <c r="L59" i="32"/>
  <c r="F59" i="32"/>
  <c r="Q58" i="32"/>
  <c r="Q58" i="32" a="1"/>
  <c r="L58" i="32"/>
  <c r="N58" i="32" s="1"/>
  <c r="F58" i="32"/>
  <c r="Q57" i="32" a="1"/>
  <c r="Q57" i="32" s="1"/>
  <c r="L57" i="32"/>
  <c r="F57" i="32"/>
  <c r="Q56" i="32"/>
  <c r="S56" i="32" s="1"/>
  <c r="Q56" i="32" a="1"/>
  <c r="L56" i="32"/>
  <c r="N56" i="32" s="1"/>
  <c r="F56" i="32"/>
  <c r="Q55" i="32"/>
  <c r="Q55" i="32" a="1"/>
  <c r="L55" i="32"/>
  <c r="S55" i="32" s="1"/>
  <c r="F55" i="32"/>
  <c r="Q53" i="32" a="1"/>
  <c r="Q53" i="32" s="1"/>
  <c r="L53" i="32"/>
  <c r="S53" i="32" s="1"/>
  <c r="F53" i="32"/>
  <c r="D53" i="32"/>
  <c r="Q52" i="32" a="1"/>
  <c r="Q52" i="32" s="1"/>
  <c r="L52" i="32"/>
  <c r="F52" i="32"/>
  <c r="Q51" i="32"/>
  <c r="S51" i="32" s="1"/>
  <c r="Q51" i="32" a="1"/>
  <c r="N51" i="32"/>
  <c r="L51" i="32"/>
  <c r="F51" i="32"/>
  <c r="Q50" i="32" a="1"/>
  <c r="Q50" i="32" s="1"/>
  <c r="L50" i="32"/>
  <c r="F50" i="32"/>
  <c r="Q49" i="32"/>
  <c r="S49" i="32" s="1"/>
  <c r="Q49" i="32" a="1"/>
  <c r="N49" i="32"/>
  <c r="L49" i="32"/>
  <c r="F49" i="32"/>
  <c r="Q48" i="32" a="1"/>
  <c r="Q48" i="32" s="1"/>
  <c r="L48" i="32"/>
  <c r="F48" i="32"/>
  <c r="Q47" i="32" a="1"/>
  <c r="Q47" i="32" s="1"/>
  <c r="S47" i="32" s="1"/>
  <c r="N47" i="32"/>
  <c r="L47" i="32"/>
  <c r="F47" i="32"/>
  <c r="Q46" i="32" a="1"/>
  <c r="Q46" i="32" s="1"/>
  <c r="L46" i="32"/>
  <c r="F46" i="32"/>
  <c r="Q45" i="32" a="1"/>
  <c r="Q45" i="32" s="1"/>
  <c r="L45" i="32"/>
  <c r="L54" i="32" s="1"/>
  <c r="F45" i="32"/>
  <c r="Q44" i="32" a="1"/>
  <c r="Q44" i="32" s="1"/>
  <c r="L44" i="32"/>
  <c r="F44" i="32"/>
  <c r="Q43" i="32" a="1"/>
  <c r="Q43" i="32" s="1"/>
  <c r="L43" i="32"/>
  <c r="S43" i="32" s="1"/>
  <c r="F43" i="32"/>
  <c r="Q42" i="32"/>
  <c r="Q42" i="32" a="1"/>
  <c r="L42" i="32"/>
  <c r="F42" i="32"/>
  <c r="Q40" i="32" a="1"/>
  <c r="Q40" i="32" s="1"/>
  <c r="L40" i="32"/>
  <c r="K40" i="32" s="1"/>
  <c r="F40" i="32"/>
  <c r="Q39" i="32" a="1"/>
  <c r="Q39" i="32" s="1"/>
  <c r="L39" i="32"/>
  <c r="K39" i="32"/>
  <c r="F39" i="32"/>
  <c r="S38" i="32"/>
  <c r="Q38" i="32"/>
  <c r="Q38" i="32" a="1"/>
  <c r="L38" i="32"/>
  <c r="K38" i="32" s="1"/>
  <c r="F38" i="32"/>
  <c r="Q37" i="32" a="1"/>
  <c r="Q37" i="32" s="1"/>
  <c r="N37" i="32"/>
  <c r="L37" i="32"/>
  <c r="F37" i="32"/>
  <c r="Q36" i="32" a="1"/>
  <c r="Q36" i="32" s="1"/>
  <c r="L36" i="32"/>
  <c r="F36" i="32"/>
  <c r="Q35" i="32"/>
  <c r="Q35" i="32" a="1"/>
  <c r="L35" i="32"/>
  <c r="F35" i="32"/>
  <c r="Q34" i="32" a="1"/>
  <c r="Q34" i="32" s="1"/>
  <c r="L34" i="32"/>
  <c r="F34" i="32"/>
  <c r="F41" i="32" s="1"/>
  <c r="Q33" i="32"/>
  <c r="Q33" i="32" a="1"/>
  <c r="L33" i="32"/>
  <c r="N33" i="32" s="1"/>
  <c r="F33" i="32"/>
  <c r="Q32" i="32" a="1"/>
  <c r="Q32" i="32" s="1"/>
  <c r="L32" i="32"/>
  <c r="F32" i="32"/>
  <c r="Q31" i="32" a="1"/>
  <c r="Q31" i="32" s="1"/>
  <c r="N31" i="32"/>
  <c r="L31" i="32"/>
  <c r="F31" i="32"/>
  <c r="Q23" i="32" a="1"/>
  <c r="Q23" i="32" s="1"/>
  <c r="S23" i="32" s="1"/>
  <c r="L23" i="32"/>
  <c r="F23" i="32"/>
  <c r="E23" i="32"/>
  <c r="D23" i="32"/>
  <c r="Q22" i="32"/>
  <c r="Q22" i="32" a="1"/>
  <c r="L22" i="32"/>
  <c r="F22" i="32"/>
  <c r="D22" i="32"/>
  <c r="E22" i="32" s="1"/>
  <c r="Q21" i="32" a="1"/>
  <c r="Q21" i="32" s="1"/>
  <c r="L21" i="32"/>
  <c r="F21" i="32"/>
  <c r="D21" i="32"/>
  <c r="E21" i="32" s="1"/>
  <c r="S19" i="32"/>
  <c r="R19" i="32"/>
  <c r="Q19" i="32"/>
  <c r="Q19" i="32" a="1"/>
  <c r="L19" i="32"/>
  <c r="F19" i="32"/>
  <c r="N19" i="32" s="1"/>
  <c r="D19" i="32"/>
  <c r="E19" i="32" s="1"/>
  <c r="Q17" i="32" a="1"/>
  <c r="Q17" i="32" s="1"/>
  <c r="S17" i="32" s="1"/>
  <c r="O17" i="32"/>
  <c r="P17" i="32" s="1"/>
  <c r="O17" i="32" a="1"/>
  <c r="L17" i="32"/>
  <c r="N17" i="32" s="1"/>
  <c r="J17" i="32"/>
  <c r="F17" i="32"/>
  <c r="D17" i="32"/>
  <c r="E17" i="32" s="1"/>
  <c r="R15" i="32"/>
  <c r="Q15" i="32"/>
  <c r="Q15" i="32" a="1"/>
  <c r="O15" i="32" a="1"/>
  <c r="O15" i="32" s="1"/>
  <c r="L15" i="32"/>
  <c r="J15" i="32"/>
  <c r="F15" i="32"/>
  <c r="N15" i="32" s="1"/>
  <c r="D15" i="32"/>
  <c r="AF14" i="32"/>
  <c r="AF15" i="32" s="1"/>
  <c r="AE15" i="32" s="1"/>
  <c r="Q12" i="32" a="1"/>
  <c r="Q12" i="32" s="1"/>
  <c r="O12" i="32" a="1"/>
  <c r="O12" i="32" s="1"/>
  <c r="M12" i="32"/>
  <c r="L12" i="32"/>
  <c r="K12" i="32"/>
  <c r="J12" i="32"/>
  <c r="F12" i="32"/>
  <c r="E12" i="32"/>
  <c r="D12" i="32"/>
  <c r="Q11" i="32" a="1"/>
  <c r="Q11" i="32" s="1"/>
  <c r="S11" i="32" s="1"/>
  <c r="O11" i="32" a="1"/>
  <c r="O11" i="32" s="1"/>
  <c r="L11" i="32"/>
  <c r="N11" i="32" s="1"/>
  <c r="J11" i="32"/>
  <c r="F11" i="32"/>
  <c r="D11" i="32"/>
  <c r="E11" i="32" s="1"/>
  <c r="R10" i="32"/>
  <c r="Q10" i="32" a="1"/>
  <c r="Q10" i="32" s="1"/>
  <c r="S10" i="32" s="1"/>
  <c r="P10" i="32"/>
  <c r="O10" i="32" a="1"/>
  <c r="O10" i="32" s="1"/>
  <c r="L10" i="32"/>
  <c r="N10" i="32" s="1"/>
  <c r="J10" i="32"/>
  <c r="M10" i="32" s="1"/>
  <c r="F10" i="32"/>
  <c r="D10" i="32"/>
  <c r="E10" i="32" s="1"/>
  <c r="R9" i="32"/>
  <c r="Q9" i="32" a="1"/>
  <c r="Q9" i="32" s="1"/>
  <c r="S9" i="32" s="1"/>
  <c r="O9" i="32"/>
  <c r="P9" i="32" s="1"/>
  <c r="O9" i="32" a="1"/>
  <c r="L9" i="32"/>
  <c r="N9" i="32" s="1"/>
  <c r="J9" i="32"/>
  <c r="K9" i="32" s="1"/>
  <c r="F9" i="32"/>
  <c r="E9" i="32"/>
  <c r="D9" i="32"/>
  <c r="W8" i="32"/>
  <c r="Q8" i="32" a="1"/>
  <c r="Q8" i="32" s="1"/>
  <c r="O8" i="32" a="1"/>
  <c r="O8" i="32" s="1"/>
  <c r="P8" i="32" s="1"/>
  <c r="L8" i="32"/>
  <c r="S8" i="32" s="1"/>
  <c r="J8" i="32"/>
  <c r="F8" i="32"/>
  <c r="D8" i="32"/>
  <c r="E8" i="32" s="1"/>
  <c r="Q7" i="32" a="1"/>
  <c r="Q7" i="32" s="1"/>
  <c r="O7" i="32" a="1"/>
  <c r="O7" i="32" s="1"/>
  <c r="M7" i="32"/>
  <c r="L7" i="32"/>
  <c r="K7" i="32" s="1"/>
  <c r="J7" i="32"/>
  <c r="F7" i="32"/>
  <c r="D7" i="32"/>
  <c r="E7" i="32" s="1"/>
  <c r="Q6" i="32" a="1"/>
  <c r="Q6" i="32" s="1"/>
  <c r="O6" i="32"/>
  <c r="M6" i="32"/>
  <c r="L6" i="32"/>
  <c r="J6" i="32"/>
  <c r="F6" i="32"/>
  <c r="E6" i="32"/>
  <c r="D6" i="32"/>
  <c r="Q5" i="32" a="1"/>
  <c r="Q5" i="32" s="1"/>
  <c r="L5" i="32"/>
  <c r="F5" i="32"/>
  <c r="S1" i="32"/>
  <c r="S236" i="32" s="1"/>
  <c r="C1" i="32"/>
  <c r="P11" i="32" l="1"/>
  <c r="R11" i="32"/>
  <c r="S59" i="32"/>
  <c r="N59" i="32"/>
  <c r="P121" i="32"/>
  <c r="AI491" i="32"/>
  <c r="N216" i="32"/>
  <c r="S216" i="32"/>
  <c r="L153" i="32"/>
  <c r="N136" i="32"/>
  <c r="S136" i="32"/>
  <c r="Q242" i="32"/>
  <c r="S241" i="32"/>
  <c r="S242" i="32" s="1"/>
  <c r="N12" i="32"/>
  <c r="S12" i="32"/>
  <c r="Q54" i="32"/>
  <c r="K8" i="32"/>
  <c r="R8" i="32"/>
  <c r="M8" i="32"/>
  <c r="M13" i="32" s="1"/>
  <c r="R12" i="32"/>
  <c r="P12" i="32"/>
  <c r="S15" i="32"/>
  <c r="P15" i="32"/>
  <c r="AL464" i="32"/>
  <c r="AL448" i="32"/>
  <c r="Z447" i="32"/>
  <c r="C236" i="32"/>
  <c r="Z416" i="32" s="1"/>
  <c r="Z480" i="32"/>
  <c r="AL476" i="32"/>
  <c r="AO476" i="32" s="1"/>
  <c r="AF497" i="32"/>
  <c r="AF478" i="32"/>
  <c r="Z473" i="32"/>
  <c r="AF423" i="32"/>
  <c r="AL418" i="32"/>
  <c r="AL417" i="32"/>
  <c r="Z448" i="32"/>
  <c r="Z443" i="32"/>
  <c r="AL439" i="32"/>
  <c r="AF476" i="32"/>
  <c r="Z471" i="32"/>
  <c r="AL463" i="32"/>
  <c r="AL466" i="32" s="1"/>
  <c r="AO466" i="32" s="1"/>
  <c r="Z495" i="32"/>
  <c r="AI495" i="32" s="1"/>
  <c r="Z476" i="32"/>
  <c r="AL472" i="32"/>
  <c r="AO472" i="32" s="1"/>
  <c r="V485" i="32"/>
  <c r="AF479" i="32"/>
  <c r="Z474" i="32"/>
  <c r="AL427" i="32"/>
  <c r="AO427" i="32" s="1"/>
  <c r="AF424" i="32"/>
  <c r="AF418" i="32"/>
  <c r="AL440" i="32"/>
  <c r="AO440" i="32" s="1"/>
  <c r="AF437" i="32"/>
  <c r="AF432" i="32"/>
  <c r="V402" i="32"/>
  <c r="Z442" i="32"/>
  <c r="AL438" i="32"/>
  <c r="AF435" i="32"/>
  <c r="Z418" i="32"/>
  <c r="AF414" i="32"/>
  <c r="AF474" i="32"/>
  <c r="AL431" i="32"/>
  <c r="AL465" i="32"/>
  <c r="Z451" i="32"/>
  <c r="AI451" i="32" s="1"/>
  <c r="C291" i="32"/>
  <c r="C356" i="32" s="1"/>
  <c r="C89" i="32"/>
  <c r="AL443" i="32" s="1"/>
  <c r="AL445" i="32"/>
  <c r="AF445" i="32"/>
  <c r="AL425" i="32"/>
  <c r="AO425" i="32" s="1"/>
  <c r="C168" i="32"/>
  <c r="Q13" i="32"/>
  <c r="J13" i="32"/>
  <c r="P116" i="32"/>
  <c r="F74" i="32"/>
  <c r="Q41" i="32"/>
  <c r="S37" i="32"/>
  <c r="S129" i="32"/>
  <c r="N129" i="32"/>
  <c r="Q83" i="32"/>
  <c r="N161" i="32"/>
  <c r="S267" i="32"/>
  <c r="L285" i="32"/>
  <c r="N267" i="32"/>
  <c r="S276" i="32"/>
  <c r="N276" i="32"/>
  <c r="M308" i="32"/>
  <c r="K308" i="32"/>
  <c r="N6" i="32"/>
  <c r="L13" i="32"/>
  <c r="S6" i="32"/>
  <c r="S22" i="32"/>
  <c r="N22" i="32"/>
  <c r="L24" i="32"/>
  <c r="P100" i="32"/>
  <c r="S100" i="32"/>
  <c r="S118" i="32"/>
  <c r="P118" i="32"/>
  <c r="N144" i="32"/>
  <c r="S116" i="32"/>
  <c r="N116" i="32"/>
  <c r="N7" i="32"/>
  <c r="S7" i="32"/>
  <c r="D24" i="32"/>
  <c r="F24" i="32"/>
  <c r="D32" i="32" s="1"/>
  <c r="N152" i="32"/>
  <c r="S152" i="32"/>
  <c r="R303" i="32"/>
  <c r="P303" i="32"/>
  <c r="O32" i="32"/>
  <c r="D105" i="32"/>
  <c r="E105" i="32" s="1"/>
  <c r="E121" i="32"/>
  <c r="E117" i="32"/>
  <c r="E114" i="32"/>
  <c r="D108" i="32"/>
  <c r="E108" i="32" s="1"/>
  <c r="E112" i="32"/>
  <c r="E115" i="32"/>
  <c r="E113" i="32"/>
  <c r="P114" i="32"/>
  <c r="S114" i="32"/>
  <c r="Q122" i="32"/>
  <c r="R172" i="32"/>
  <c r="O185" i="32"/>
  <c r="F13" i="32"/>
  <c r="R7" i="32"/>
  <c r="P7" i="32"/>
  <c r="Q24" i="32"/>
  <c r="S21" i="32"/>
  <c r="E97" i="32"/>
  <c r="E118" i="32"/>
  <c r="P174" i="32"/>
  <c r="P185" i="32"/>
  <c r="P194" i="32" s="1"/>
  <c r="S224" i="32"/>
  <c r="N224" i="32"/>
  <c r="F353" i="32"/>
  <c r="F231" i="32"/>
  <c r="Q179" i="32"/>
  <c r="N66" i="32"/>
  <c r="S66" i="32"/>
  <c r="S45" i="32"/>
  <c r="N45" i="32"/>
  <c r="K6" i="32"/>
  <c r="S52" i="32"/>
  <c r="N52" i="32"/>
  <c r="P95" i="32"/>
  <c r="O97" i="32"/>
  <c r="Q173" i="32"/>
  <c r="Q185" i="32"/>
  <c r="Q210" i="32"/>
  <c r="S198" i="32"/>
  <c r="M178" i="32"/>
  <c r="K180" i="32"/>
  <c r="S227" i="32"/>
  <c r="N227" i="32"/>
  <c r="F250" i="32"/>
  <c r="F245" i="32"/>
  <c r="N333" i="32"/>
  <c r="P6" i="32"/>
  <c r="E15" i="32"/>
  <c r="S57" i="32"/>
  <c r="Q97" i="32"/>
  <c r="N120" i="32"/>
  <c r="L179" i="32"/>
  <c r="N179" i="32" s="1"/>
  <c r="N203" i="32"/>
  <c r="S268" i="32"/>
  <c r="N268" i="32"/>
  <c r="S39" i="32"/>
  <c r="N43" i="32"/>
  <c r="F72" i="32"/>
  <c r="N57" i="32"/>
  <c r="S159" i="32"/>
  <c r="K159" i="32"/>
  <c r="J159" i="32" s="1"/>
  <c r="N320" i="32"/>
  <c r="F351" i="32"/>
  <c r="E351" i="32" s="1"/>
  <c r="E330" i="32"/>
  <c r="S36" i="32"/>
  <c r="N39" i="32"/>
  <c r="M97" i="32"/>
  <c r="M98" i="32" s="1"/>
  <c r="K102" i="32"/>
  <c r="R102" i="32" s="1"/>
  <c r="L105" i="32"/>
  <c r="S150" i="32"/>
  <c r="N247" i="32"/>
  <c r="S247" i="32"/>
  <c r="N248" i="32"/>
  <c r="N55" i="32"/>
  <c r="N60" i="32"/>
  <c r="N67" i="32"/>
  <c r="R95" i="32"/>
  <c r="R96" i="32"/>
  <c r="M96" i="32"/>
  <c r="S103" i="32"/>
  <c r="D112" i="32"/>
  <c r="K117" i="32"/>
  <c r="N157" i="32"/>
  <c r="K185" i="32"/>
  <c r="N181" i="32"/>
  <c r="L182" i="32"/>
  <c r="S181" i="32"/>
  <c r="S201" i="32"/>
  <c r="K201" i="32"/>
  <c r="N201" i="32"/>
  <c r="N212" i="32"/>
  <c r="S217" i="32"/>
  <c r="N220" i="32"/>
  <c r="M295" i="32"/>
  <c r="J304" i="32"/>
  <c r="K295" i="32"/>
  <c r="D13" i="32"/>
  <c r="M9" i="32"/>
  <c r="K10" i="32"/>
  <c r="K17" i="32"/>
  <c r="R17" i="32"/>
  <c r="S46" i="32"/>
  <c r="N46" i="32"/>
  <c r="N53" i="32"/>
  <c r="S65" i="32"/>
  <c r="N76" i="32"/>
  <c r="N78" i="32"/>
  <c r="S80" i="32"/>
  <c r="S83" i="32" s="1"/>
  <c r="E94" i="32"/>
  <c r="K95" i="32"/>
  <c r="K96" i="32"/>
  <c r="K100" i="32"/>
  <c r="M100" i="32"/>
  <c r="E119" i="32"/>
  <c r="Q135" i="32"/>
  <c r="S125" i="32"/>
  <c r="S137" i="32"/>
  <c r="S162" i="32"/>
  <c r="L304" i="32"/>
  <c r="R298" i="32"/>
  <c r="P298" i="32"/>
  <c r="S318" i="32"/>
  <c r="L330" i="32"/>
  <c r="N318" i="32"/>
  <c r="R360" i="32"/>
  <c r="O362" i="32"/>
  <c r="N64" i="32"/>
  <c r="S329" i="32"/>
  <c r="N329" i="32"/>
  <c r="N34" i="32"/>
  <c r="L83" i="32"/>
  <c r="N75" i="32"/>
  <c r="K113" i="32"/>
  <c r="K112" i="32"/>
  <c r="K118" i="32"/>
  <c r="K114" i="32"/>
  <c r="K119" i="32"/>
  <c r="K115" i="32"/>
  <c r="K103" i="32"/>
  <c r="R103" i="32" s="1"/>
  <c r="K97" i="32"/>
  <c r="J105" i="32"/>
  <c r="S209" i="32"/>
  <c r="N209" i="32"/>
  <c r="F99" i="32"/>
  <c r="O13" i="32"/>
  <c r="J113" i="32"/>
  <c r="S113" i="32"/>
  <c r="F266" i="32"/>
  <c r="N254" i="32"/>
  <c r="F349" i="32"/>
  <c r="E349" i="32" s="1"/>
  <c r="N334" i="32"/>
  <c r="S34" i="32"/>
  <c r="N36" i="32"/>
  <c r="M11" i="32"/>
  <c r="Q72" i="32"/>
  <c r="S95" i="32"/>
  <c r="F176" i="32"/>
  <c r="N175" i="32"/>
  <c r="L210" i="32"/>
  <c r="Q266" i="32"/>
  <c r="Q287" i="32" s="1"/>
  <c r="S280" i="32"/>
  <c r="N280" i="32"/>
  <c r="R299" i="32"/>
  <c r="R307" i="32"/>
  <c r="P307" i="32"/>
  <c r="N312" i="32"/>
  <c r="M312" i="32"/>
  <c r="S360" i="32"/>
  <c r="Q362" i="32"/>
  <c r="S362" i="32" s="1"/>
  <c r="P360" i="32"/>
  <c r="K11" i="32"/>
  <c r="M17" i="32"/>
  <c r="N38" i="32"/>
  <c r="F54" i="32"/>
  <c r="S44" i="32"/>
  <c r="N44" i="32"/>
  <c r="S60" i="32"/>
  <c r="S72" i="32" s="1"/>
  <c r="S63" i="32"/>
  <c r="K94" i="32"/>
  <c r="R94" i="32"/>
  <c r="R97" i="32" s="1"/>
  <c r="R98" i="32" s="1"/>
  <c r="M95" i="32"/>
  <c r="L122" i="32"/>
  <c r="J112" i="32"/>
  <c r="S112" i="32"/>
  <c r="N112" i="32"/>
  <c r="P115" i="32"/>
  <c r="N202" i="32"/>
  <c r="N221" i="32"/>
  <c r="L248" i="32"/>
  <c r="S254" i="32"/>
  <c r="O304" i="32"/>
  <c r="P296" i="32"/>
  <c r="Q285" i="32"/>
  <c r="N118" i="32"/>
  <c r="E159" i="32"/>
  <c r="D159" i="32" s="1"/>
  <c r="F182" i="32"/>
  <c r="S222" i="32"/>
  <c r="P308" i="32"/>
  <c r="R308" i="32"/>
  <c r="N326" i="32"/>
  <c r="S50" i="32"/>
  <c r="N50" i="32"/>
  <c r="N222" i="32"/>
  <c r="S323" i="32"/>
  <c r="N8" i="32"/>
  <c r="N97" i="32"/>
  <c r="N98" i="32" s="1"/>
  <c r="L108" i="32"/>
  <c r="P120" i="32"/>
  <c r="M15" i="32"/>
  <c r="N21" i="32"/>
  <c r="L72" i="32"/>
  <c r="N82" i="32"/>
  <c r="N159" i="32"/>
  <c r="K186" i="32"/>
  <c r="N225" i="32"/>
  <c r="R6" i="32"/>
  <c r="N70" i="32"/>
  <c r="S70" i="32"/>
  <c r="S96" i="32"/>
  <c r="N96" i="32"/>
  <c r="L163" i="32"/>
  <c r="S40" i="32"/>
  <c r="S42" i="32"/>
  <c r="S94" i="32"/>
  <c r="S97" i="32" s="1"/>
  <c r="N95" i="32"/>
  <c r="K104" i="32"/>
  <c r="R104" i="32" s="1"/>
  <c r="S115" i="32"/>
  <c r="S119" i="32"/>
  <c r="L185" i="32"/>
  <c r="M188" i="32"/>
  <c r="S205" i="32"/>
  <c r="S266" i="32"/>
  <c r="N266" i="32"/>
  <c r="S270" i="32"/>
  <c r="N270" i="32"/>
  <c r="S278" i="32"/>
  <c r="N278" i="32"/>
  <c r="R297" i="32"/>
  <c r="S322" i="32"/>
  <c r="N322" i="32"/>
  <c r="AO453" i="32"/>
  <c r="S356" i="32"/>
  <c r="S291" i="32"/>
  <c r="AO402" i="32"/>
  <c r="S168" i="32"/>
  <c r="AO485" i="32"/>
  <c r="S89" i="32"/>
  <c r="D185" i="32"/>
  <c r="N206" i="32"/>
  <c r="M296" i="32"/>
  <c r="E296" i="32"/>
  <c r="S142" i="32"/>
  <c r="S284" i="32"/>
  <c r="N284" i="32"/>
  <c r="R302" i="32"/>
  <c r="N62" i="32"/>
  <c r="E174" i="32"/>
  <c r="M297" i="32"/>
  <c r="K297" i="32"/>
  <c r="S48" i="32"/>
  <c r="N48" i="32"/>
  <c r="S64" i="32"/>
  <c r="L135" i="32"/>
  <c r="N123" i="32"/>
  <c r="K15" i="32"/>
  <c r="S123" i="32"/>
  <c r="S32" i="32"/>
  <c r="S35" i="32"/>
  <c r="N23" i="32"/>
  <c r="L41" i="32"/>
  <c r="S31" i="32"/>
  <c r="N32" i="32"/>
  <c r="S33" i="32"/>
  <c r="N35" i="32"/>
  <c r="N40" i="32"/>
  <c r="N42" i="32"/>
  <c r="S58" i="32"/>
  <c r="S61" i="32"/>
  <c r="M94" i="32"/>
  <c r="S104" i="32"/>
  <c r="N104" i="32"/>
  <c r="J108" i="32"/>
  <c r="E116" i="32"/>
  <c r="S138" i="32"/>
  <c r="N205" i="32"/>
  <c r="S208" i="32"/>
  <c r="F285" i="32"/>
  <c r="E285" i="32" s="1"/>
  <c r="L287" i="32"/>
  <c r="S325" i="32"/>
  <c r="S145" i="32"/>
  <c r="N158" i="32"/>
  <c r="N163" i="32" s="1"/>
  <c r="S184" i="32"/>
  <c r="S199" i="32"/>
  <c r="N199" i="32"/>
  <c r="N213" i="32"/>
  <c r="S218" i="32"/>
  <c r="R300" i="32"/>
  <c r="P300" i="32"/>
  <c r="S321" i="32"/>
  <c r="N321" i="32"/>
  <c r="N336" i="32"/>
  <c r="L395" i="32"/>
  <c r="K395" i="32" s="1"/>
  <c r="S117" i="32"/>
  <c r="F153" i="32"/>
  <c r="E153" i="32" s="1"/>
  <c r="N138" i="32"/>
  <c r="N150" i="32"/>
  <c r="N160" i="32"/>
  <c r="F185" i="32"/>
  <c r="N184" i="32"/>
  <c r="N218" i="32"/>
  <c r="N223" i="32"/>
  <c r="S271" i="32"/>
  <c r="N271" i="32"/>
  <c r="S274" i="32"/>
  <c r="N274" i="32"/>
  <c r="S295" i="32"/>
  <c r="Q304" i="32"/>
  <c r="P295" i="32"/>
  <c r="P301" i="32"/>
  <c r="N100" i="32"/>
  <c r="S121" i="32"/>
  <c r="S141" i="32"/>
  <c r="Q163" i="32"/>
  <c r="S172" i="32"/>
  <c r="N178" i="32"/>
  <c r="S178" i="32"/>
  <c r="Q229" i="32"/>
  <c r="S226" i="32"/>
  <c r="S272" i="32"/>
  <c r="N272" i="32"/>
  <c r="D304" i="32"/>
  <c r="K307" i="32"/>
  <c r="M307" i="32"/>
  <c r="Q349" i="32"/>
  <c r="S331" i="32"/>
  <c r="S372" i="32"/>
  <c r="L377" i="32"/>
  <c r="Q105" i="32"/>
  <c r="P119" i="32"/>
  <c r="Q153" i="32"/>
  <c r="S163" i="32"/>
  <c r="Q176" i="32"/>
  <c r="Q182" i="32"/>
  <c r="E185" i="32"/>
  <c r="E194" i="32" s="1"/>
  <c r="S207" i="32"/>
  <c r="R241" i="32"/>
  <c r="N244" i="32"/>
  <c r="N245" i="32" s="1"/>
  <c r="L250" i="32"/>
  <c r="S269" i="32"/>
  <c r="N269" i="32"/>
  <c r="S282" i="32"/>
  <c r="N282" i="32"/>
  <c r="N307" i="32"/>
  <c r="S307" i="32"/>
  <c r="S379" i="32"/>
  <c r="S395" i="32" s="1"/>
  <c r="S392" i="32"/>
  <c r="AH453" i="32"/>
  <c r="AN453" i="32"/>
  <c r="AN466" i="32" s="1"/>
  <c r="S368" i="32"/>
  <c r="F163" i="32"/>
  <c r="F242" i="32"/>
  <c r="P287" i="32"/>
  <c r="F377" i="32"/>
  <c r="S387" i="32"/>
  <c r="L229" i="32"/>
  <c r="Q250" i="32"/>
  <c r="P266" i="32"/>
  <c r="Q330" i="32"/>
  <c r="Q377" i="32"/>
  <c r="S388" i="32"/>
  <c r="S391" i="32"/>
  <c r="AH454" i="32"/>
  <c r="AI454" i="32" s="1"/>
  <c r="AN459" i="32"/>
  <c r="AH459" i="32"/>
  <c r="AI459" i="32" s="1"/>
  <c r="S297" i="32"/>
  <c r="M299" i="32"/>
  <c r="E308" i="32"/>
  <c r="S324" i="32"/>
  <c r="N335" i="32"/>
  <c r="S338" i="32"/>
  <c r="S346" i="32"/>
  <c r="Q395" i="32"/>
  <c r="P395" i="32" s="1"/>
  <c r="AO459" i="32"/>
  <c r="S298" i="32"/>
  <c r="S366" i="32"/>
  <c r="S382" i="32"/>
  <c r="AN493" i="32"/>
  <c r="AH493" i="32"/>
  <c r="N331" i="32"/>
  <c r="AH420" i="32"/>
  <c r="AI420" i="32" s="1"/>
  <c r="AI453" i="32"/>
  <c r="AH460" i="32"/>
  <c r="AI460" i="32" s="1"/>
  <c r="AH494" i="32"/>
  <c r="AH496" i="32"/>
  <c r="AI496" i="32" s="1"/>
  <c r="AN420" i="32"/>
  <c r="AO420" i="32" s="1"/>
  <c r="AH457" i="32"/>
  <c r="AI457" i="32" s="1"/>
  <c r="AH491" i="32"/>
  <c r="AI416" i="32" l="1"/>
  <c r="Y416" i="32"/>
  <c r="AH474" i="32"/>
  <c r="AI474" i="32" s="1"/>
  <c r="AH437" i="32"/>
  <c r="AO418" i="32"/>
  <c r="AK418" i="32"/>
  <c r="AI418" i="32"/>
  <c r="Y418" i="32"/>
  <c r="AL422" i="32"/>
  <c r="AL412" i="32"/>
  <c r="AL426" i="32"/>
  <c r="AO426" i="32" s="1"/>
  <c r="Q397" i="32"/>
  <c r="P397" i="32" s="1"/>
  <c r="P377" i="32"/>
  <c r="L289" i="32"/>
  <c r="S250" i="32"/>
  <c r="S251" i="32" s="1"/>
  <c r="N250" i="32"/>
  <c r="N251" i="32" s="1"/>
  <c r="K266" i="32"/>
  <c r="L251" i="32"/>
  <c r="K72" i="32"/>
  <c r="E13" i="32"/>
  <c r="M14" i="32"/>
  <c r="D27" i="32"/>
  <c r="Q108" i="32"/>
  <c r="S98" i="32"/>
  <c r="O112" i="32"/>
  <c r="Q155" i="32"/>
  <c r="P122" i="32"/>
  <c r="N13" i="32"/>
  <c r="N14" i="32" s="1"/>
  <c r="K22" i="32"/>
  <c r="R22" i="32" s="1"/>
  <c r="J27" i="32"/>
  <c r="K23" i="32"/>
  <c r="R23" i="32" s="1"/>
  <c r="K21" i="32"/>
  <c r="R21" i="32" s="1"/>
  <c r="K13" i="32"/>
  <c r="Z465" i="32"/>
  <c r="AI465" i="32" s="1"/>
  <c r="AL413" i="32"/>
  <c r="AF471" i="32"/>
  <c r="Z412" i="32"/>
  <c r="AF475" i="32"/>
  <c r="N349" i="32"/>
  <c r="Q351" i="32"/>
  <c r="AF425" i="32"/>
  <c r="Q27" i="32"/>
  <c r="P72" i="32" s="1"/>
  <c r="O31" i="32"/>
  <c r="AF439" i="32"/>
  <c r="Z463" i="32"/>
  <c r="AL435" i="32"/>
  <c r="AF421" i="32"/>
  <c r="AL474" i="32"/>
  <c r="AO474" i="32" s="1"/>
  <c r="AL421" i="32"/>
  <c r="AL423" i="32"/>
  <c r="AN423" i="32" s="1"/>
  <c r="E54" i="32"/>
  <c r="K194" i="32"/>
  <c r="M185" i="32"/>
  <c r="Z437" i="32"/>
  <c r="Z446" i="32"/>
  <c r="Z475" i="32"/>
  <c r="AL473" i="32"/>
  <c r="AO473" i="32" s="1"/>
  <c r="AF472" i="32"/>
  <c r="Z439" i="32"/>
  <c r="AL432" i="32"/>
  <c r="AL424" i="32"/>
  <c r="AL414" i="32"/>
  <c r="AN414" i="32" s="1"/>
  <c r="Z478" i="32"/>
  <c r="AH478" i="32" s="1"/>
  <c r="AI478" i="32" s="1"/>
  <c r="Z438" i="32"/>
  <c r="Z425" i="32"/>
  <c r="AI425" i="32" s="1"/>
  <c r="Z427" i="32"/>
  <c r="AI427" i="32" s="1"/>
  <c r="F155" i="32"/>
  <c r="AN435" i="32"/>
  <c r="AH435" i="32"/>
  <c r="AO417" i="32"/>
  <c r="AK417" i="32"/>
  <c r="N153" i="32"/>
  <c r="K153" i="32"/>
  <c r="S153" i="32"/>
  <c r="P229" i="32"/>
  <c r="D31" i="32"/>
  <c r="F27" i="32"/>
  <c r="E37" i="32"/>
  <c r="E32" i="32"/>
  <c r="E24" i="32"/>
  <c r="E38" i="32"/>
  <c r="E33" i="32"/>
  <c r="E31" i="32"/>
  <c r="E36" i="32"/>
  <c r="E34" i="32"/>
  <c r="E82" i="32"/>
  <c r="D82" i="32" s="1"/>
  <c r="E39" i="32"/>
  <c r="S106" i="32"/>
  <c r="O27" i="32"/>
  <c r="P13" i="32"/>
  <c r="O24" i="32"/>
  <c r="L351" i="32"/>
  <c r="N330" i="32"/>
  <c r="S330" i="32"/>
  <c r="S13" i="32"/>
  <c r="S14" i="32" s="1"/>
  <c r="AH497" i="32"/>
  <c r="AN497" i="32"/>
  <c r="K377" i="32"/>
  <c r="S377" i="32"/>
  <c r="L397" i="32"/>
  <c r="E40" i="32"/>
  <c r="N83" i="32"/>
  <c r="Z444" i="32"/>
  <c r="Z464" i="32"/>
  <c r="AI464" i="32" s="1"/>
  <c r="Z470" i="32"/>
  <c r="Z432" i="32"/>
  <c r="AI432" i="32" s="1"/>
  <c r="Z449" i="32"/>
  <c r="AI449" i="32" s="1"/>
  <c r="AF495" i="32"/>
  <c r="AF428" i="32"/>
  <c r="Z414" i="32"/>
  <c r="S349" i="32"/>
  <c r="Z413" i="32"/>
  <c r="AL442" i="32"/>
  <c r="AF470" i="32"/>
  <c r="AF426" i="32"/>
  <c r="Z410" i="32"/>
  <c r="AL434" i="32"/>
  <c r="AL478" i="32"/>
  <c r="AO478" i="32" s="1"/>
  <c r="S287" i="32"/>
  <c r="K287" i="32"/>
  <c r="N54" i="32"/>
  <c r="J24" i="32"/>
  <c r="M105" i="32"/>
  <c r="K105" i="32"/>
  <c r="S304" i="32"/>
  <c r="S305" i="32" s="1"/>
  <c r="N304" i="32"/>
  <c r="N305" i="32" s="1"/>
  <c r="L309" i="32"/>
  <c r="P210" i="32"/>
  <c r="Q231" i="32"/>
  <c r="P231" i="32" s="1"/>
  <c r="Q251" i="32"/>
  <c r="Q289" i="32"/>
  <c r="P289" i="32" s="1"/>
  <c r="K304" i="32"/>
  <c r="J309" i="32"/>
  <c r="M304" i="32"/>
  <c r="Q194" i="32"/>
  <c r="Q186" i="32"/>
  <c r="Z417" i="32"/>
  <c r="AL471" i="32"/>
  <c r="AO471" i="32" s="1"/>
  <c r="AF413" i="32"/>
  <c r="AF480" i="32"/>
  <c r="AL475" i="32"/>
  <c r="AO475" i="32" s="1"/>
  <c r="AF444" i="32"/>
  <c r="AF434" i="32"/>
  <c r="Z431" i="32"/>
  <c r="Z423" i="32"/>
  <c r="Z497" i="32"/>
  <c r="AI497" i="32" s="1"/>
  <c r="AF443" i="32"/>
  <c r="AF438" i="32"/>
  <c r="AL428" i="32"/>
  <c r="O113" i="32"/>
  <c r="K41" i="32"/>
  <c r="L74" i="32"/>
  <c r="S41" i="32"/>
  <c r="N41" i="32"/>
  <c r="R304" i="32"/>
  <c r="O309" i="32"/>
  <c r="P304" i="32"/>
  <c r="AH414" i="32"/>
  <c r="AE414" i="32"/>
  <c r="AN424" i="32"/>
  <c r="AH424" i="32"/>
  <c r="AO445" i="32"/>
  <c r="Z429" i="32"/>
  <c r="Z409" i="32"/>
  <c r="AF412" i="32"/>
  <c r="Z426" i="32"/>
  <c r="AI426" i="32" s="1"/>
  <c r="AL430" i="32"/>
  <c r="N229" i="32"/>
  <c r="S229" i="32"/>
  <c r="F194" i="32"/>
  <c r="F186" i="32"/>
  <c r="L194" i="32"/>
  <c r="L186" i="32"/>
  <c r="S185" i="32"/>
  <c r="S186" i="32" s="1"/>
  <c r="N185" i="32"/>
  <c r="N186" i="32" s="1"/>
  <c r="L165" i="32"/>
  <c r="L109" i="32"/>
  <c r="S108" i="32"/>
  <c r="N108" i="32"/>
  <c r="N109" i="32" s="1"/>
  <c r="E72" i="32"/>
  <c r="AF450" i="32"/>
  <c r="Z479" i="32"/>
  <c r="AH479" i="32" s="1"/>
  <c r="AI479" i="32" s="1"/>
  <c r="AL437" i="32"/>
  <c r="AN437" i="32" s="1"/>
  <c r="Z436" i="32"/>
  <c r="AF409" i="32"/>
  <c r="AL441" i="32"/>
  <c r="E304" i="32"/>
  <c r="D309" i="32"/>
  <c r="S135" i="32"/>
  <c r="N135" i="32"/>
  <c r="K135" i="32"/>
  <c r="R13" i="32"/>
  <c r="R14" i="32" s="1"/>
  <c r="AF411" i="32"/>
  <c r="Z472" i="32"/>
  <c r="Z422" i="32"/>
  <c r="AL409" i="32"/>
  <c r="AL410" i="32"/>
  <c r="AF449" i="32"/>
  <c r="Z441" i="32"/>
  <c r="AF441" i="32"/>
  <c r="AL429" i="32"/>
  <c r="Z411" i="32"/>
  <c r="AF448" i="32"/>
  <c r="Z445" i="32"/>
  <c r="Z435" i="32"/>
  <c r="N122" i="32"/>
  <c r="K122" i="32"/>
  <c r="S122" i="32"/>
  <c r="L155" i="32"/>
  <c r="L231" i="32"/>
  <c r="S210" i="32"/>
  <c r="N210" i="32"/>
  <c r="K210" i="32"/>
  <c r="P135" i="32"/>
  <c r="F251" i="32"/>
  <c r="F289" i="32"/>
  <c r="P97" i="32"/>
  <c r="O108" i="32"/>
  <c r="O105" i="32"/>
  <c r="P105" i="32" s="1"/>
  <c r="P112" i="32"/>
  <c r="P113" i="32"/>
  <c r="P117" i="32"/>
  <c r="E35" i="32"/>
  <c r="K285" i="32"/>
  <c r="S285" i="32"/>
  <c r="Z434" i="32"/>
  <c r="AL450" i="32"/>
  <c r="AO450" i="32" s="1"/>
  <c r="AF422" i="32"/>
  <c r="AF427" i="32"/>
  <c r="AF415" i="32"/>
  <c r="AF416" i="32"/>
  <c r="AF463" i="32"/>
  <c r="AF446" i="32"/>
  <c r="AL444" i="32"/>
  <c r="AF431" i="32"/>
  <c r="AL415" i="32"/>
  <c r="AL451" i="32"/>
  <c r="AO451" i="32" s="1"/>
  <c r="Z450" i="32"/>
  <c r="AI450" i="32" s="1"/>
  <c r="AF440" i="32"/>
  <c r="M108" i="32"/>
  <c r="M109" i="32" s="1"/>
  <c r="R108" i="32"/>
  <c r="K108" i="32"/>
  <c r="S363" i="32"/>
  <c r="Q399" i="32"/>
  <c r="E231" i="32"/>
  <c r="E74" i="32"/>
  <c r="AH418" i="32"/>
  <c r="AE418" i="32"/>
  <c r="AN418" i="32"/>
  <c r="AH445" i="32"/>
  <c r="AN445" i="32"/>
  <c r="S54" i="32"/>
  <c r="R185" i="32"/>
  <c r="P186" i="32"/>
  <c r="AH476" i="32"/>
  <c r="AI476" i="32" s="1"/>
  <c r="AN476" i="32"/>
  <c r="L27" i="32"/>
  <c r="J31" i="32"/>
  <c r="AF447" i="32"/>
  <c r="AL479" i="32"/>
  <c r="AO479" i="32" s="1"/>
  <c r="AF410" i="32"/>
  <c r="N72" i="32"/>
  <c r="AF429" i="32"/>
  <c r="Z421" i="32"/>
  <c r="AF477" i="32"/>
  <c r="Z440" i="32"/>
  <c r="AI440" i="32" s="1"/>
  <c r="Z415" i="32"/>
  <c r="AL447" i="32"/>
  <c r="Z428" i="32"/>
  <c r="AL446" i="32"/>
  <c r="Z430" i="32"/>
  <c r="S105" i="32"/>
  <c r="N105" i="32"/>
  <c r="N106" i="32" s="1"/>
  <c r="N285" i="32"/>
  <c r="Q74" i="32"/>
  <c r="AL411" i="32"/>
  <c r="F397" i="32"/>
  <c r="E377" i="32"/>
  <c r="Q309" i="32"/>
  <c r="F287" i="32"/>
  <c r="E287" i="32" s="1"/>
  <c r="E266" i="32"/>
  <c r="R362" i="32"/>
  <c r="P362" i="32"/>
  <c r="N24" i="32"/>
  <c r="N25" i="32" s="1"/>
  <c r="J32" i="32"/>
  <c r="S24" i="32"/>
  <c r="S25" i="32" s="1"/>
  <c r="AL436" i="32"/>
  <c r="AF465" i="32"/>
  <c r="AH465" i="32" s="1"/>
  <c r="AF442" i="32"/>
  <c r="AF430" i="32"/>
  <c r="Z424" i="32"/>
  <c r="AF417" i="32"/>
  <c r="AL470" i="32"/>
  <c r="AF451" i="32"/>
  <c r="AL449" i="32"/>
  <c r="AO449" i="32" s="1"/>
  <c r="AF436" i="32"/>
  <c r="AL416" i="32"/>
  <c r="AF464" i="32"/>
  <c r="AH464" i="32" s="1"/>
  <c r="AF473" i="32"/>
  <c r="AN440" i="32" l="1"/>
  <c r="AH440" i="32"/>
  <c r="AI445" i="32"/>
  <c r="AN477" i="32"/>
  <c r="AH477" i="32"/>
  <c r="AI477" i="32" s="1"/>
  <c r="AH448" i="32"/>
  <c r="AI448" i="32" s="1"/>
  <c r="AN448" i="32"/>
  <c r="AO448" i="32" s="1"/>
  <c r="P41" i="32"/>
  <c r="AM414" i="32"/>
  <c r="AG414" i="32"/>
  <c r="AH432" i="32"/>
  <c r="AK415" i="32"/>
  <c r="AL452" i="32"/>
  <c r="AN436" i="32"/>
  <c r="AO436" i="32" s="1"/>
  <c r="AH436" i="32"/>
  <c r="AI436" i="32" s="1"/>
  <c r="AN412" i="32"/>
  <c r="AH412" i="32"/>
  <c r="AI412" i="32" s="1"/>
  <c r="AE412" i="32"/>
  <c r="AH410" i="32"/>
  <c r="AI410" i="32" s="1"/>
  <c r="AE410" i="32"/>
  <c r="AN410" i="32"/>
  <c r="AI441" i="32"/>
  <c r="AN426" i="32"/>
  <c r="AH426" i="32"/>
  <c r="AI444" i="32"/>
  <c r="S351" i="32"/>
  <c r="N351" i="32"/>
  <c r="N289" i="32"/>
  <c r="S289" i="32"/>
  <c r="AN449" i="32"/>
  <c r="AH449" i="32"/>
  <c r="Y429" i="32"/>
  <c r="AH443" i="32"/>
  <c r="AI443" i="32" s="1"/>
  <c r="AN443" i="32"/>
  <c r="AO443" i="32" s="1"/>
  <c r="Q195" i="32"/>
  <c r="Q233" i="32"/>
  <c r="P233" i="32" s="1"/>
  <c r="AF481" i="32"/>
  <c r="AH470" i="32"/>
  <c r="AI470" i="32" s="1"/>
  <c r="AN470" i="32"/>
  <c r="AO470" i="32" s="1"/>
  <c r="P24" i="32"/>
  <c r="P33" i="32"/>
  <c r="P40" i="32"/>
  <c r="P38" i="32"/>
  <c r="P31" i="32"/>
  <c r="P32" i="32"/>
  <c r="P36" i="32"/>
  <c r="P37" i="32"/>
  <c r="P39" i="32"/>
  <c r="P34" i="32"/>
  <c r="P35" i="32"/>
  <c r="AI439" i="32"/>
  <c r="AH421" i="32"/>
  <c r="AI421" i="32" s="1"/>
  <c r="AN421" i="32"/>
  <c r="AF433" i="32"/>
  <c r="Y412" i="32"/>
  <c r="AN495" i="32"/>
  <c r="AH495" i="32"/>
  <c r="Q85" i="32"/>
  <c r="P85" i="32" s="1"/>
  <c r="S28" i="32"/>
  <c r="P42" i="32"/>
  <c r="AE480" i="32"/>
  <c r="AH480" i="32"/>
  <c r="AI480" i="32" s="1"/>
  <c r="AD480" i="32"/>
  <c r="AN480" i="32"/>
  <c r="AO480" i="32" s="1"/>
  <c r="Z433" i="32"/>
  <c r="AM418" i="32"/>
  <c r="AG418" i="32"/>
  <c r="AE413" i="32"/>
  <c r="AN413" i="32"/>
  <c r="AO413" i="32" s="1"/>
  <c r="AH413" i="32"/>
  <c r="AI413" i="32" s="1"/>
  <c r="AO416" i="32"/>
  <c r="AK416" i="32"/>
  <c r="P74" i="32"/>
  <c r="Z481" i="32"/>
  <c r="AN431" i="32"/>
  <c r="AO431" i="32" s="1"/>
  <c r="AH431" i="32"/>
  <c r="AI431" i="32" s="1"/>
  <c r="AI417" i="32"/>
  <c r="Y417" i="32"/>
  <c r="Y410" i="32"/>
  <c r="AO424" i="32"/>
  <c r="AO421" i="32"/>
  <c r="AL433" i="32"/>
  <c r="Y409" i="32"/>
  <c r="Z419" i="32"/>
  <c r="AN438" i="32"/>
  <c r="AO438" i="32" s="1"/>
  <c r="AH438" i="32"/>
  <c r="AI438" i="32" s="1"/>
  <c r="AN475" i="32"/>
  <c r="AH475" i="32"/>
  <c r="AI475" i="32" s="1"/>
  <c r="P155" i="32"/>
  <c r="AN451" i="32"/>
  <c r="AH451" i="32"/>
  <c r="AN446" i="32"/>
  <c r="AH446" i="32"/>
  <c r="N231" i="32"/>
  <c r="K231" i="32"/>
  <c r="S231" i="32"/>
  <c r="AL481" i="32"/>
  <c r="Y430" i="32"/>
  <c r="AH447" i="32"/>
  <c r="AI447" i="32" s="1"/>
  <c r="AN447" i="32"/>
  <c r="AO447" i="32" s="1"/>
  <c r="AH463" i="32"/>
  <c r="AH466" i="32" s="1"/>
  <c r="AF466" i="32"/>
  <c r="S155" i="32"/>
  <c r="N155" i="32"/>
  <c r="K155" i="32"/>
  <c r="AO410" i="32"/>
  <c r="AK410" i="32"/>
  <c r="AE409" i="32"/>
  <c r="AF419" i="32"/>
  <c r="AN409" i="32"/>
  <c r="AO409" i="32" s="1"/>
  <c r="AH409" i="32"/>
  <c r="AI409" i="32" s="1"/>
  <c r="O314" i="32"/>
  <c r="R309" i="32"/>
  <c r="P309" i="32"/>
  <c r="AN472" i="32"/>
  <c r="AH472" i="32"/>
  <c r="AI472" i="32" s="1"/>
  <c r="AO435" i="32"/>
  <c r="AN471" i="32"/>
  <c r="AH471" i="32"/>
  <c r="AI471" i="32" s="1"/>
  <c r="AN474" i="32"/>
  <c r="E397" i="32"/>
  <c r="F399" i="32"/>
  <c r="AK414" i="32"/>
  <c r="AO414" i="32"/>
  <c r="AH441" i="32"/>
  <c r="AN441" i="32"/>
  <c r="AO441" i="32" s="1"/>
  <c r="E309" i="32"/>
  <c r="D314" i="32"/>
  <c r="S165" i="32"/>
  <c r="AO428" i="32"/>
  <c r="AH416" i="32"/>
  <c r="AE416" i="32"/>
  <c r="AN416" i="32"/>
  <c r="L233" i="32"/>
  <c r="L195" i="32"/>
  <c r="S194" i="32"/>
  <c r="S195" i="32" s="1"/>
  <c r="N194" i="32"/>
  <c r="N195" i="32" s="1"/>
  <c r="Y413" i="32"/>
  <c r="S397" i="32"/>
  <c r="K397" i="32"/>
  <c r="L399" i="32"/>
  <c r="S399" i="32" s="1"/>
  <c r="P27" i="32"/>
  <c r="AK413" i="32"/>
  <c r="S109" i="32"/>
  <c r="Q165" i="32"/>
  <c r="P165" i="32" s="1"/>
  <c r="P54" i="32"/>
  <c r="Y428" i="32"/>
  <c r="AI428" i="32"/>
  <c r="L85" i="32"/>
  <c r="L28" i="32"/>
  <c r="N27" i="32"/>
  <c r="S27" i="32"/>
  <c r="S85" i="32" s="1"/>
  <c r="K54" i="32"/>
  <c r="AN439" i="32"/>
  <c r="AO439" i="32" s="1"/>
  <c r="AH439" i="32"/>
  <c r="E27" i="32"/>
  <c r="E78" i="32"/>
  <c r="AN430" i="32"/>
  <c r="AO430" i="32" s="1"/>
  <c r="AH430" i="32"/>
  <c r="AI430" i="32" s="1"/>
  <c r="Q314" i="32"/>
  <c r="AL407" i="32" s="1"/>
  <c r="AN427" i="32"/>
  <c r="AH427" i="32"/>
  <c r="P108" i="32"/>
  <c r="R109" i="32"/>
  <c r="F233" i="32"/>
  <c r="F400" i="32" s="1"/>
  <c r="F195" i="32"/>
  <c r="E210" i="32"/>
  <c r="E229" i="32"/>
  <c r="AN478" i="32"/>
  <c r="AN434" i="32"/>
  <c r="AO434" i="32" s="1"/>
  <c r="AH434" i="32"/>
  <c r="AF452" i="32"/>
  <c r="Y414" i="32"/>
  <c r="AI414" i="32"/>
  <c r="Z407" i="32"/>
  <c r="F85" i="32"/>
  <c r="E41" i="32"/>
  <c r="E155" i="32"/>
  <c r="F165" i="32"/>
  <c r="N165" i="32" s="1"/>
  <c r="AI446" i="32"/>
  <c r="AO412" i="32"/>
  <c r="AK412" i="32"/>
  <c r="AN473" i="32"/>
  <c r="AH473" i="32"/>
  <c r="AI473" i="32" s="1"/>
  <c r="AK411" i="32"/>
  <c r="AI434" i="32"/>
  <c r="Z452" i="32"/>
  <c r="X452" i="32" s="1"/>
  <c r="AH425" i="32"/>
  <c r="AN425" i="32"/>
  <c r="K78" i="32"/>
  <c r="M27" i="32"/>
  <c r="M28" i="32" s="1"/>
  <c r="K27" i="32"/>
  <c r="R27" i="32"/>
  <c r="R28" i="32" s="1"/>
  <c r="M250" i="32"/>
  <c r="R250" i="32"/>
  <c r="Y411" i="32"/>
  <c r="AI411" i="32"/>
  <c r="AN429" i="32"/>
  <c r="AO429" i="32" s="1"/>
  <c r="AH429" i="32"/>
  <c r="AI429" i="32" s="1"/>
  <c r="N309" i="32"/>
  <c r="N310" i="32" s="1"/>
  <c r="L314" i="32"/>
  <c r="S309" i="32"/>
  <c r="S310" i="32" s="1"/>
  <c r="AO423" i="32"/>
  <c r="AH417" i="32"/>
  <c r="AE417" i="32"/>
  <c r="AN417" i="32"/>
  <c r="AO446" i="32"/>
  <c r="AL419" i="32"/>
  <c r="AK409" i="32"/>
  <c r="K309" i="32"/>
  <c r="M309" i="32"/>
  <c r="J314" i="32"/>
  <c r="AF406" i="32" s="1"/>
  <c r="K31" i="32"/>
  <c r="K36" i="32"/>
  <c r="M24" i="32"/>
  <c r="K24" i="32"/>
  <c r="K32" i="32"/>
  <c r="K37" i="32"/>
  <c r="K82" i="32"/>
  <c r="J82" i="32" s="1"/>
  <c r="K33" i="32"/>
  <c r="K35" i="32"/>
  <c r="K34" i="32"/>
  <c r="AI463" i="32"/>
  <c r="Z466" i="32"/>
  <c r="AI424" i="32"/>
  <c r="AH415" i="32"/>
  <c r="AE415" i="32"/>
  <c r="AN415" i="32"/>
  <c r="AO415" i="32" s="1"/>
  <c r="AO437" i="32"/>
  <c r="AN442" i="32"/>
  <c r="AO442" i="32" s="1"/>
  <c r="AH442" i="32"/>
  <c r="AI442" i="32" s="1"/>
  <c r="Y415" i="32"/>
  <c r="AI415" i="32"/>
  <c r="AH423" i="32"/>
  <c r="AI423" i="32" s="1"/>
  <c r="P153" i="32"/>
  <c r="AN422" i="32"/>
  <c r="AO422" i="32" s="1"/>
  <c r="AH422" i="32"/>
  <c r="AI422" i="32" s="1"/>
  <c r="AI435" i="32"/>
  <c r="AE411" i="32"/>
  <c r="AN411" i="32"/>
  <c r="AO411" i="32" s="1"/>
  <c r="AH411" i="32"/>
  <c r="AH450" i="32"/>
  <c r="AN450" i="32"/>
  <c r="K229" i="32"/>
  <c r="S74" i="32"/>
  <c r="K74" i="32"/>
  <c r="N74" i="32"/>
  <c r="AN444" i="32"/>
  <c r="AO444" i="32" s="1"/>
  <c r="AH444" i="32"/>
  <c r="N287" i="32"/>
  <c r="AH428" i="32"/>
  <c r="AN428" i="32"/>
  <c r="AN479" i="32"/>
  <c r="AI437" i="32"/>
  <c r="AJ466" i="32" l="1"/>
  <c r="AJ419" i="32"/>
  <c r="AJ452" i="32"/>
  <c r="AJ433" i="32"/>
  <c r="AJ412" i="32"/>
  <c r="AJ414" i="32"/>
  <c r="AJ415" i="32"/>
  <c r="AJ409" i="32"/>
  <c r="AJ413" i="32"/>
  <c r="AJ411" i="32"/>
  <c r="AJ410" i="32"/>
  <c r="AM412" i="32"/>
  <c r="AG412" i="32"/>
  <c r="AF468" i="32"/>
  <c r="AN419" i="32"/>
  <c r="AH419" i="32"/>
  <c r="AI419" i="32" s="1"/>
  <c r="AO419" i="32"/>
  <c r="AL468" i="32"/>
  <c r="AJ468" i="32" s="1"/>
  <c r="X407" i="32"/>
  <c r="M194" i="32"/>
  <c r="Z468" i="32"/>
  <c r="X468" i="32" s="1"/>
  <c r="X419" i="32"/>
  <c r="X433" i="32"/>
  <c r="X481" i="32"/>
  <c r="L315" i="32"/>
  <c r="N314" i="32"/>
  <c r="N315" i="32" s="1"/>
  <c r="L353" i="32"/>
  <c r="S314" i="32"/>
  <c r="K349" i="32"/>
  <c r="K330" i="32"/>
  <c r="AG409" i="32"/>
  <c r="AM409" i="32"/>
  <c r="AM413" i="32"/>
  <c r="AG413" i="32"/>
  <c r="AN481" i="32"/>
  <c r="AH481" i="32"/>
  <c r="AI481" i="32" s="1"/>
  <c r="K351" i="32"/>
  <c r="E314" i="32"/>
  <c r="Z406" i="32"/>
  <c r="Y448" i="32" s="1"/>
  <c r="AO481" i="32"/>
  <c r="AG411" i="32"/>
  <c r="AM411" i="32"/>
  <c r="AM415" i="32"/>
  <c r="AG415" i="32"/>
  <c r="N233" i="32"/>
  <c r="S233" i="32"/>
  <c r="AM417" i="32"/>
  <c r="AG417" i="32"/>
  <c r="AH452" i="32"/>
  <c r="AI452" i="32" s="1"/>
  <c r="AF407" i="32"/>
  <c r="AD481" i="32" s="1"/>
  <c r="AD466" i="32"/>
  <c r="AN433" i="32"/>
  <c r="AO433" i="32" s="1"/>
  <c r="AH433" i="32"/>
  <c r="AI433" i="32" s="1"/>
  <c r="X466" i="32"/>
  <c r="AI466" i="32"/>
  <c r="K314" i="32"/>
  <c r="M314" i="32"/>
  <c r="AN452" i="32"/>
  <c r="AO452" i="32" s="1"/>
  <c r="Q353" i="32"/>
  <c r="P353" i="32" s="1"/>
  <c r="S315" i="32"/>
  <c r="P330" i="32"/>
  <c r="P349" i="32"/>
  <c r="N28" i="32"/>
  <c r="N85" i="32"/>
  <c r="AM416" i="32"/>
  <c r="AG416" i="32"/>
  <c r="P314" i="32"/>
  <c r="R314" i="32"/>
  <c r="AL406" i="32"/>
  <c r="AJ407" i="32" s="1"/>
  <c r="AG410" i="32"/>
  <c r="AM410" i="32"/>
  <c r="P351" i="32"/>
  <c r="AD419" i="32" l="1"/>
  <c r="AH407" i="32"/>
  <c r="AI407" i="32" s="1"/>
  <c r="AD407" i="32"/>
  <c r="AF483" i="32"/>
  <c r="AN407" i="32"/>
  <c r="AO407" i="32" s="1"/>
  <c r="AD468" i="32"/>
  <c r="AN468" i="32"/>
  <c r="AH468" i="32"/>
  <c r="AI468" i="32" s="1"/>
  <c r="AO468" i="32"/>
  <c r="S353" i="32"/>
  <c r="N353" i="32"/>
  <c r="L400" i="32"/>
  <c r="AD452" i="32"/>
  <c r="AL483" i="32"/>
  <c r="AK483" i="32" s="1"/>
  <c r="AD433" i="32"/>
  <c r="Z483" i="32"/>
  <c r="Y483" i="32" l="1"/>
  <c r="Z489" i="32"/>
  <c r="AH483" i="32"/>
  <c r="AI483" i="32" s="1"/>
  <c r="AE483" i="32"/>
  <c r="AF489" i="32"/>
  <c r="AN483" i="32"/>
  <c r="AO483" i="32"/>
  <c r="AL489" i="32"/>
  <c r="AL498" i="32" l="1"/>
  <c r="AL488" i="32"/>
  <c r="AK489" i="32"/>
  <c r="AN489" i="32"/>
  <c r="AO489" i="32" s="1"/>
  <c r="AF488" i="32"/>
  <c r="AH489" i="32"/>
  <c r="AI489" i="32" s="1"/>
  <c r="AF498" i="32"/>
  <c r="AE489" i="32"/>
  <c r="Z488" i="32"/>
  <c r="Y488" i="32" s="1"/>
  <c r="Z498" i="32"/>
  <c r="Y498" i="32" s="1"/>
  <c r="Y489" i="32"/>
  <c r="AN498" i="32" l="1"/>
  <c r="AO498" i="32" s="1"/>
  <c r="AH498" i="32"/>
  <c r="AI498" i="32" s="1"/>
  <c r="AE498" i="32"/>
  <c r="AO488" i="32"/>
  <c r="AK488" i="32"/>
  <c r="AH488" i="32"/>
  <c r="AI488" i="32" s="1"/>
  <c r="AE488" i="32"/>
  <c r="AN488" i="32"/>
  <c r="AK498" i="32"/>
  <c r="AO497" i="30" l="1"/>
  <c r="AL497" i="30"/>
  <c r="AL496" i="30"/>
  <c r="AO496" i="30" s="1"/>
  <c r="AF496" i="30"/>
  <c r="AN496" i="30" s="1"/>
  <c r="Z496" i="30"/>
  <c r="AO495" i="30"/>
  <c r="AL495" i="30"/>
  <c r="AL494" i="30"/>
  <c r="AO494" i="30" s="1"/>
  <c r="AI494" i="30"/>
  <c r="AH494" i="30"/>
  <c r="AF494" i="30"/>
  <c r="Z494" i="30"/>
  <c r="AL493" i="30"/>
  <c r="AO493" i="30" s="1"/>
  <c r="AF493" i="30"/>
  <c r="AN493" i="30" s="1"/>
  <c r="Z493" i="30"/>
  <c r="AI493" i="30" s="1"/>
  <c r="AL492" i="30"/>
  <c r="AO492" i="30" s="1"/>
  <c r="AI492" i="30"/>
  <c r="AF492" i="30"/>
  <c r="AH492" i="30" s="1"/>
  <c r="Z492" i="30"/>
  <c r="AL491" i="30"/>
  <c r="AF491" i="30"/>
  <c r="Z491" i="30"/>
  <c r="AO482" i="30"/>
  <c r="AN482" i="30"/>
  <c r="AL480" i="30"/>
  <c r="AL477" i="30"/>
  <c r="AO477" i="30" s="1"/>
  <c r="Z477" i="30"/>
  <c r="AL469" i="30"/>
  <c r="AF469" i="30"/>
  <c r="Z469" i="30"/>
  <c r="AO467" i="30"/>
  <c r="AN467" i="30"/>
  <c r="AH467" i="30"/>
  <c r="AL462" i="30"/>
  <c r="AF462" i="30"/>
  <c r="AL461" i="30"/>
  <c r="AF461" i="30"/>
  <c r="AN461" i="30" s="1"/>
  <c r="Z461" i="30"/>
  <c r="AL460" i="30"/>
  <c r="AI460" i="30"/>
  <c r="AH460" i="30"/>
  <c r="AF460" i="30"/>
  <c r="AN460" i="30" s="1"/>
  <c r="AO460" i="30" s="1"/>
  <c r="Z460" i="30"/>
  <c r="AL459" i="30"/>
  <c r="AH459" i="30"/>
  <c r="AI459" i="30" s="1"/>
  <c r="AF459" i="30"/>
  <c r="AN459" i="30" s="1"/>
  <c r="AO459" i="30" s="1"/>
  <c r="Z459" i="30"/>
  <c r="AL458" i="30"/>
  <c r="AF458" i="30"/>
  <c r="AH458" i="30" s="1"/>
  <c r="AI458" i="30" s="1"/>
  <c r="Z458" i="30"/>
  <c r="AL457" i="30"/>
  <c r="AF457" i="30"/>
  <c r="Z457" i="30"/>
  <c r="AO456" i="30"/>
  <c r="AN456" i="30"/>
  <c r="AL456" i="30"/>
  <c r="AI456" i="30"/>
  <c r="AF456" i="30"/>
  <c r="AH456" i="30" s="1"/>
  <c r="Z456" i="30"/>
  <c r="AL455" i="30"/>
  <c r="AF455" i="30"/>
  <c r="AN455" i="30" s="1"/>
  <c r="AO455" i="30" s="1"/>
  <c r="Z455" i="30"/>
  <c r="AL454" i="30"/>
  <c r="AF454" i="30"/>
  <c r="Z454" i="30"/>
  <c r="AL453" i="30"/>
  <c r="AI453" i="30"/>
  <c r="AF453" i="30"/>
  <c r="Z453" i="30"/>
  <c r="AH453" i="30" s="1"/>
  <c r="AL420" i="30"/>
  <c r="AH420" i="30"/>
  <c r="AI420" i="30" s="1"/>
  <c r="AF420" i="30"/>
  <c r="Z420" i="30"/>
  <c r="V402" i="30"/>
  <c r="Q394" i="30"/>
  <c r="Q394" i="30" a="1"/>
  <c r="L394" i="30"/>
  <c r="S394" i="30" s="1"/>
  <c r="F394" i="30"/>
  <c r="S393" i="30"/>
  <c r="Q393" i="30"/>
  <c r="Q393" i="30" a="1"/>
  <c r="L393" i="30"/>
  <c r="F393" i="30"/>
  <c r="Q392" i="30" a="1"/>
  <c r="Q392" i="30" s="1"/>
  <c r="L392" i="30"/>
  <c r="S392" i="30" s="1"/>
  <c r="F392" i="30"/>
  <c r="Q391" i="30" a="1"/>
  <c r="Q391" i="30" s="1"/>
  <c r="S391" i="30" s="1"/>
  <c r="L391" i="30"/>
  <c r="F391" i="30"/>
  <c r="Q390" i="30" a="1"/>
  <c r="Q390" i="30" s="1"/>
  <c r="S390" i="30" s="1"/>
  <c r="L390" i="30"/>
  <c r="F390" i="30"/>
  <c r="Q389" i="30" a="1"/>
  <c r="Q389" i="30" s="1"/>
  <c r="L389" i="30"/>
  <c r="S389" i="30" s="1"/>
  <c r="F389" i="30"/>
  <c r="Q388" i="30" a="1"/>
  <c r="Q388" i="30" s="1"/>
  <c r="S388" i="30" s="1"/>
  <c r="L388" i="30"/>
  <c r="F388" i="30"/>
  <c r="Q387" i="30" a="1"/>
  <c r="Q387" i="30" s="1"/>
  <c r="S387" i="30" s="1"/>
  <c r="L387" i="30"/>
  <c r="F387" i="30"/>
  <c r="Q386" i="30"/>
  <c r="S386" i="30" s="1"/>
  <c r="Q386" i="30" a="1"/>
  <c r="L386" i="30"/>
  <c r="F386" i="30"/>
  <c r="Q385" i="30" a="1"/>
  <c r="Q385" i="30" s="1"/>
  <c r="L385" i="30"/>
  <c r="S385" i="30" s="1"/>
  <c r="F385" i="30"/>
  <c r="Q384" i="30" a="1"/>
  <c r="Q384" i="30" s="1"/>
  <c r="L384" i="30"/>
  <c r="F384" i="30"/>
  <c r="Q383" i="30"/>
  <c r="S383" i="30" s="1"/>
  <c r="Q383" i="30" a="1"/>
  <c r="L383" i="30"/>
  <c r="F383" i="30"/>
  <c r="Q382" i="30"/>
  <c r="Q382" i="30" a="1"/>
  <c r="L382" i="30"/>
  <c r="S382" i="30" s="1"/>
  <c r="F382" i="30"/>
  <c r="S381" i="30"/>
  <c r="Q381" i="30"/>
  <c r="Q381" i="30" a="1"/>
  <c r="L381" i="30"/>
  <c r="F381" i="30"/>
  <c r="Q380" i="30" a="1"/>
  <c r="Q380" i="30" s="1"/>
  <c r="L380" i="30"/>
  <c r="S380" i="30" s="1"/>
  <c r="F380" i="30"/>
  <c r="Q379" i="30" a="1"/>
  <c r="Q379" i="30" s="1"/>
  <c r="S379" i="30" s="1"/>
  <c r="L379" i="30"/>
  <c r="F379" i="30"/>
  <c r="S378" i="30"/>
  <c r="Q378" i="30"/>
  <c r="Q378" i="30" a="1"/>
  <c r="L378" i="30"/>
  <c r="F378" i="30"/>
  <c r="Q376" i="30"/>
  <c r="Q376" i="30" a="1"/>
  <c r="L376" i="30"/>
  <c r="S376" i="30" s="1"/>
  <c r="F376" i="30"/>
  <c r="Q375" i="30" a="1"/>
  <c r="Q375" i="30" s="1"/>
  <c r="L375" i="30"/>
  <c r="F375" i="30"/>
  <c r="Q374" i="30" a="1"/>
  <c r="Q374" i="30" s="1"/>
  <c r="S374" i="30" s="1"/>
  <c r="L374" i="30"/>
  <c r="F374" i="30"/>
  <c r="Q373" i="30" a="1"/>
  <c r="Q373" i="30" s="1"/>
  <c r="S373" i="30" s="1"/>
  <c r="L373" i="30"/>
  <c r="F373" i="30"/>
  <c r="S372" i="30"/>
  <c r="Q372" i="30"/>
  <c r="Q372" i="30" a="1"/>
  <c r="L372" i="30"/>
  <c r="F372" i="30"/>
  <c r="Q371" i="30" a="1"/>
  <c r="Q371" i="30" s="1"/>
  <c r="L371" i="30"/>
  <c r="F371" i="30"/>
  <c r="Q370" i="30" a="1"/>
  <c r="Q370" i="30" s="1"/>
  <c r="L370" i="30"/>
  <c r="F370" i="30"/>
  <c r="Q369" i="30"/>
  <c r="Q369" i="30" a="1"/>
  <c r="L369" i="30"/>
  <c r="S369" i="30" s="1"/>
  <c r="F369" i="30"/>
  <c r="S368" i="30"/>
  <c r="Q368" i="30"/>
  <c r="Q368" i="30" a="1"/>
  <c r="L368" i="30"/>
  <c r="F368" i="30"/>
  <c r="S367" i="30"/>
  <c r="Q367" i="30"/>
  <c r="Q367" i="30" a="1"/>
  <c r="L367" i="30"/>
  <c r="F367" i="30"/>
  <c r="Q366" i="30" a="1"/>
  <c r="Q366" i="30" s="1"/>
  <c r="L366" i="30"/>
  <c r="F366" i="30"/>
  <c r="S365" i="30"/>
  <c r="Q365" i="30" a="1"/>
  <c r="Q365" i="30" s="1"/>
  <c r="L365" i="30"/>
  <c r="F365" i="30"/>
  <c r="F362" i="30"/>
  <c r="Q360" i="30" a="1"/>
  <c r="Q360" i="30" s="1"/>
  <c r="Q362" i="30" s="1"/>
  <c r="P360" i="30"/>
  <c r="O360" i="30"/>
  <c r="O360" i="30" a="1"/>
  <c r="L360" i="30"/>
  <c r="J360" i="30"/>
  <c r="K360" i="30" s="1"/>
  <c r="F360" i="30"/>
  <c r="E360" i="30" s="1"/>
  <c r="D360" i="30"/>
  <c r="D362" i="30" s="1"/>
  <c r="E362" i="30" s="1"/>
  <c r="N352" i="30"/>
  <c r="Q348" i="30" a="1"/>
  <c r="Q348" i="30" s="1"/>
  <c r="N348" i="30"/>
  <c r="L348" i="30"/>
  <c r="F348" i="30"/>
  <c r="S347" i="30"/>
  <c r="Q347" i="30"/>
  <c r="Q347" i="30" a="1"/>
  <c r="L347" i="30"/>
  <c r="N347" i="30" s="1"/>
  <c r="F347" i="30"/>
  <c r="Q346" i="30" a="1"/>
  <c r="Q346" i="30" s="1"/>
  <c r="L346" i="30"/>
  <c r="S346" i="30" s="1"/>
  <c r="F346" i="30"/>
  <c r="S345" i="30"/>
  <c r="Q345" i="30"/>
  <c r="Q345" i="30" a="1"/>
  <c r="L345" i="30"/>
  <c r="N345" i="30" s="1"/>
  <c r="F345" i="30"/>
  <c r="Q344" i="30" a="1"/>
  <c r="Q344" i="30" s="1"/>
  <c r="N344" i="30"/>
  <c r="L344" i="30"/>
  <c r="F344" i="30"/>
  <c r="Q343" i="30" a="1"/>
  <c r="Q343" i="30" s="1"/>
  <c r="L343" i="30"/>
  <c r="F343" i="30"/>
  <c r="Q342" i="30" a="1"/>
  <c r="Q342" i="30" s="1"/>
  <c r="N342" i="30"/>
  <c r="L342" i="30"/>
  <c r="S342" i="30" s="1"/>
  <c r="F342" i="30"/>
  <c r="Q341" i="30" a="1"/>
  <c r="Q341" i="30" s="1"/>
  <c r="S341" i="30" s="1"/>
  <c r="L341" i="30"/>
  <c r="N341" i="30" s="1"/>
  <c r="F341" i="30"/>
  <c r="Q340" i="30" a="1"/>
  <c r="Q340" i="30" s="1"/>
  <c r="N340" i="30"/>
  <c r="L340" i="30"/>
  <c r="F340" i="30"/>
  <c r="S339" i="30"/>
  <c r="Q339" i="30"/>
  <c r="Q339" i="30" a="1"/>
  <c r="L339" i="30"/>
  <c r="N339" i="30" s="1"/>
  <c r="F339" i="30"/>
  <c r="Q338" i="30" a="1"/>
  <c r="Q338" i="30" s="1"/>
  <c r="L338" i="30"/>
  <c r="S338" i="30" s="1"/>
  <c r="F338" i="30"/>
  <c r="S337" i="30"/>
  <c r="Q337" i="30"/>
  <c r="N337" i="30"/>
  <c r="L337" i="30"/>
  <c r="S336" i="30"/>
  <c r="Q336" i="30"/>
  <c r="Q336" i="30" a="1"/>
  <c r="L336" i="30"/>
  <c r="F336" i="30"/>
  <c r="Q335" i="30" a="1"/>
  <c r="Q335" i="30" s="1"/>
  <c r="N335" i="30"/>
  <c r="L335" i="30"/>
  <c r="F335" i="30"/>
  <c r="Q334" i="30"/>
  <c r="Q334" i="30" a="1"/>
  <c r="L334" i="30"/>
  <c r="F334" i="30"/>
  <c r="Q333" i="30" a="1"/>
  <c r="Q333" i="30" s="1"/>
  <c r="L333" i="30"/>
  <c r="F333" i="30"/>
  <c r="Q332" i="30"/>
  <c r="Q332" i="30" a="1"/>
  <c r="L332" i="30"/>
  <c r="F332" i="30"/>
  <c r="Q331" i="30"/>
  <c r="Q331" i="30" a="1"/>
  <c r="L331" i="30"/>
  <c r="F331" i="30"/>
  <c r="F349" i="30" s="1"/>
  <c r="L330" i="30"/>
  <c r="Q329" i="30"/>
  <c r="Q329" i="30" a="1"/>
  <c r="L329" i="30"/>
  <c r="F329" i="30"/>
  <c r="Q328" i="30" a="1"/>
  <c r="Q328" i="30" s="1"/>
  <c r="L328" i="30"/>
  <c r="F328" i="30"/>
  <c r="F330" i="30" s="1"/>
  <c r="Q327" i="30"/>
  <c r="S327" i="30" s="1"/>
  <c r="Q327" i="30" a="1"/>
  <c r="L327" i="30"/>
  <c r="F327" i="30"/>
  <c r="N327" i="30" s="1"/>
  <c r="Q326" i="30" a="1"/>
  <c r="Q326" i="30" s="1"/>
  <c r="N326" i="30"/>
  <c r="L326" i="30"/>
  <c r="F326" i="30"/>
  <c r="Q325" i="30" a="1"/>
  <c r="Q325" i="30" s="1"/>
  <c r="S325" i="30" s="1"/>
  <c r="N325" i="30"/>
  <c r="L325" i="30"/>
  <c r="F325" i="30"/>
  <c r="Q324" i="30" a="1"/>
  <c r="Q324" i="30" s="1"/>
  <c r="L324" i="30"/>
  <c r="F324" i="30"/>
  <c r="Q323" i="30" a="1"/>
  <c r="Q323" i="30" s="1"/>
  <c r="L323" i="30"/>
  <c r="S323" i="30" s="1"/>
  <c r="F323" i="30"/>
  <c r="Q322" i="30" a="1"/>
  <c r="Q322" i="30" s="1"/>
  <c r="L322" i="30"/>
  <c r="S322" i="30" s="1"/>
  <c r="F322" i="30"/>
  <c r="Q321" i="30"/>
  <c r="Q321" i="30" a="1"/>
  <c r="L321" i="30"/>
  <c r="F321" i="30"/>
  <c r="Q320" i="30" a="1"/>
  <c r="Q320" i="30" s="1"/>
  <c r="N320" i="30"/>
  <c r="L320" i="30"/>
  <c r="F320" i="30"/>
  <c r="Q319" i="30" a="1"/>
  <c r="Q319" i="30" s="1"/>
  <c r="N319" i="30"/>
  <c r="L319" i="30"/>
  <c r="S319" i="30" s="1"/>
  <c r="F319" i="30"/>
  <c r="Q318" i="30" a="1"/>
  <c r="Q318" i="30" s="1"/>
  <c r="L318" i="30"/>
  <c r="S318" i="30" s="1"/>
  <c r="F318" i="30"/>
  <c r="Q312" i="30" a="1"/>
  <c r="Q312" i="30" s="1"/>
  <c r="P312" i="30"/>
  <c r="O312" i="30"/>
  <c r="O312" i="30" a="1"/>
  <c r="N312" i="30"/>
  <c r="M312" i="30"/>
  <c r="L312" i="30"/>
  <c r="K312" i="30"/>
  <c r="J312" i="30"/>
  <c r="F312" i="30"/>
  <c r="E312" i="30"/>
  <c r="D312" i="30"/>
  <c r="Q308" i="30"/>
  <c r="S308" i="30" s="1"/>
  <c r="Q308" i="30" a="1"/>
  <c r="O308" i="30"/>
  <c r="O308" i="30" a="1"/>
  <c r="L308" i="30"/>
  <c r="N308" i="30" s="1"/>
  <c r="J308" i="30"/>
  <c r="F308" i="30"/>
  <c r="E308" i="30" s="1"/>
  <c r="D308" i="30"/>
  <c r="R307" i="30"/>
  <c r="Q307" i="30" a="1"/>
  <c r="Q307" i="30" s="1"/>
  <c r="P307" i="30" s="1"/>
  <c r="O307" i="30" a="1"/>
  <c r="O307" i="30" s="1"/>
  <c r="L307" i="30"/>
  <c r="N307" i="30" s="1"/>
  <c r="K307" i="30"/>
  <c r="J307" i="30"/>
  <c r="F307" i="30"/>
  <c r="E307" i="30"/>
  <c r="D307" i="30"/>
  <c r="S303" i="30"/>
  <c r="Q303" i="30" a="1"/>
  <c r="Q303" i="30" s="1"/>
  <c r="O303" i="30" a="1"/>
  <c r="O303" i="30" s="1"/>
  <c r="L303" i="30"/>
  <c r="K303" i="30"/>
  <c r="J303" i="30"/>
  <c r="F303" i="30"/>
  <c r="N303" i="30" s="1"/>
  <c r="E303" i="30"/>
  <c r="D303" i="30"/>
  <c r="Q302" i="30" a="1"/>
  <c r="Q302" i="30" s="1"/>
  <c r="P302" i="30"/>
  <c r="O302" i="30"/>
  <c r="R302" i="30" s="1"/>
  <c r="O302" i="30" a="1"/>
  <c r="L302" i="30"/>
  <c r="S302" i="30" s="1"/>
  <c r="J302" i="30"/>
  <c r="K302" i="30" s="1"/>
  <c r="F302" i="30"/>
  <c r="D302" i="30"/>
  <c r="E302" i="30" s="1"/>
  <c r="Q301" i="30"/>
  <c r="Q301" i="30" a="1"/>
  <c r="O301" i="30" a="1"/>
  <c r="O301" i="30" s="1"/>
  <c r="N301" i="30"/>
  <c r="M301" i="30"/>
  <c r="L301" i="30"/>
  <c r="S301" i="30" s="1"/>
  <c r="J301" i="30"/>
  <c r="K301" i="30" s="1"/>
  <c r="F301" i="30"/>
  <c r="E301" i="30"/>
  <c r="D301" i="30"/>
  <c r="Q300" i="30" a="1"/>
  <c r="Q300" i="30" s="1"/>
  <c r="O300" i="30"/>
  <c r="O300" i="30" a="1"/>
  <c r="L300" i="30"/>
  <c r="N300" i="30" s="1"/>
  <c r="K300" i="30"/>
  <c r="J300" i="30"/>
  <c r="M300" i="30" s="1"/>
  <c r="F300" i="30"/>
  <c r="D300" i="30"/>
  <c r="E300" i="30" s="1"/>
  <c r="S299" i="30"/>
  <c r="Q299" i="30"/>
  <c r="Q299" i="30" a="1"/>
  <c r="O299" i="30" a="1"/>
  <c r="O299" i="30" s="1"/>
  <c r="P299" i="30" s="1"/>
  <c r="L299" i="30"/>
  <c r="J299" i="30"/>
  <c r="K299" i="30" s="1"/>
  <c r="F299" i="30"/>
  <c r="N299" i="30" s="1"/>
  <c r="E299" i="30"/>
  <c r="D299" i="30"/>
  <c r="Q298" i="30" a="1"/>
  <c r="Q298" i="30" s="1"/>
  <c r="O298" i="30"/>
  <c r="O298" i="30" a="1"/>
  <c r="L298" i="30"/>
  <c r="J298" i="30"/>
  <c r="F298" i="30"/>
  <c r="D298" i="30"/>
  <c r="E298" i="30" s="1"/>
  <c r="R297" i="30"/>
  <c r="Q297" i="30"/>
  <c r="Q297" i="30" a="1"/>
  <c r="O297" i="30" a="1"/>
  <c r="O297" i="30" s="1"/>
  <c r="N297" i="30"/>
  <c r="L297" i="30"/>
  <c r="J297" i="30"/>
  <c r="K297" i="30" s="1"/>
  <c r="F297" i="30"/>
  <c r="D297" i="30"/>
  <c r="Q296" i="30"/>
  <c r="P296" i="30" s="1"/>
  <c r="Q296" i="30" a="1"/>
  <c r="O296" i="30"/>
  <c r="O296" i="30" a="1"/>
  <c r="L296" i="30"/>
  <c r="N296" i="30" s="1"/>
  <c r="J296" i="30"/>
  <c r="F296" i="30"/>
  <c r="D296" i="30"/>
  <c r="E296" i="30" s="1"/>
  <c r="R295" i="30"/>
  <c r="Q295" i="30"/>
  <c r="Q295" i="30" a="1"/>
  <c r="O295" i="30" a="1"/>
  <c r="O295" i="30" s="1"/>
  <c r="L295" i="30"/>
  <c r="J295" i="30"/>
  <c r="K295" i="30" s="1"/>
  <c r="F295" i="30"/>
  <c r="N295" i="30" s="1"/>
  <c r="E295" i="30"/>
  <c r="D295" i="30"/>
  <c r="N288" i="30"/>
  <c r="Q284" i="30" a="1"/>
  <c r="Q284" i="30" s="1"/>
  <c r="N284" i="30"/>
  <c r="L284" i="30"/>
  <c r="F284" i="30"/>
  <c r="Q283" i="30" a="1"/>
  <c r="Q283" i="30" s="1"/>
  <c r="L283" i="30"/>
  <c r="F283" i="30"/>
  <c r="Q282" i="30" a="1"/>
  <c r="Q282" i="30" s="1"/>
  <c r="L282" i="30"/>
  <c r="F282" i="30"/>
  <c r="Q281" i="30"/>
  <c r="Q281" i="30" a="1"/>
  <c r="L281" i="30"/>
  <c r="F281" i="30"/>
  <c r="Q280" i="30" a="1"/>
  <c r="Q280" i="30" s="1"/>
  <c r="L280" i="30"/>
  <c r="F280" i="30"/>
  <c r="Q279" i="30" a="1"/>
  <c r="Q279" i="30" s="1"/>
  <c r="L279" i="30"/>
  <c r="F279" i="30"/>
  <c r="Q278" i="30" a="1"/>
  <c r="Q278" i="30" s="1"/>
  <c r="L278" i="30"/>
  <c r="S278" i="30" s="1"/>
  <c r="F278" i="30"/>
  <c r="Q277" i="30" a="1"/>
  <c r="Q277" i="30" s="1"/>
  <c r="N277" i="30"/>
  <c r="L277" i="30"/>
  <c r="F277" i="30"/>
  <c r="Q276" i="30" a="1"/>
  <c r="Q276" i="30" s="1"/>
  <c r="N276" i="30"/>
  <c r="L276" i="30"/>
  <c r="F276" i="30"/>
  <c r="Q275" i="30" a="1"/>
  <c r="Q275" i="30" s="1"/>
  <c r="L275" i="30"/>
  <c r="F275" i="30"/>
  <c r="Q274" i="30" a="1"/>
  <c r="Q274" i="30" s="1"/>
  <c r="N274" i="30"/>
  <c r="L274" i="30"/>
  <c r="F274" i="30"/>
  <c r="Q273" i="30"/>
  <c r="Q273" i="30" a="1"/>
  <c r="L273" i="30"/>
  <c r="Q272" i="30" a="1"/>
  <c r="Q272" i="30" s="1"/>
  <c r="L272" i="30"/>
  <c r="F272" i="30"/>
  <c r="Q271" i="30" a="1"/>
  <c r="Q271" i="30" s="1"/>
  <c r="L271" i="30"/>
  <c r="S271" i="30" s="1"/>
  <c r="F271" i="30"/>
  <c r="Q270" i="30" a="1"/>
  <c r="Q270" i="30" s="1"/>
  <c r="L270" i="30"/>
  <c r="S270" i="30" s="1"/>
  <c r="F270" i="30"/>
  <c r="N270" i="30" s="1"/>
  <c r="Q269" i="30" a="1"/>
  <c r="Q269" i="30" s="1"/>
  <c r="L269" i="30"/>
  <c r="S269" i="30" s="1"/>
  <c r="F269" i="30"/>
  <c r="S268" i="30"/>
  <c r="Q268" i="30" a="1"/>
  <c r="Q268" i="30" s="1"/>
  <c r="L268" i="30"/>
  <c r="N268" i="30" s="1"/>
  <c r="F268" i="30"/>
  <c r="Q267" i="30" a="1"/>
  <c r="Q267" i="30" s="1"/>
  <c r="L267" i="30"/>
  <c r="S267" i="30" s="1"/>
  <c r="F267" i="30"/>
  <c r="F266" i="30"/>
  <c r="Q265" i="30"/>
  <c r="Q265" i="30" a="1"/>
  <c r="L265" i="30"/>
  <c r="F265" i="30"/>
  <c r="Q264" i="30"/>
  <c r="Q264" i="30" a="1"/>
  <c r="L264" i="30"/>
  <c r="F264" i="30"/>
  <c r="Q263" i="30" a="1"/>
  <c r="Q263" i="30" s="1"/>
  <c r="L263" i="30"/>
  <c r="F263" i="30"/>
  <c r="Q262" i="30" a="1"/>
  <c r="Q262" i="30" s="1"/>
  <c r="N262" i="30"/>
  <c r="L262" i="30"/>
  <c r="F262" i="30"/>
  <c r="Q261" i="30" a="1"/>
  <c r="Q261" i="30" s="1"/>
  <c r="N261" i="30"/>
  <c r="L261" i="30"/>
  <c r="S261" i="30" s="1"/>
  <c r="F261" i="30"/>
  <c r="Q260" i="30"/>
  <c r="Q260" i="30" a="1"/>
  <c r="L260" i="30"/>
  <c r="F260" i="30"/>
  <c r="S259" i="30"/>
  <c r="Q259" i="30"/>
  <c r="Q259" i="30" a="1"/>
  <c r="L259" i="30"/>
  <c r="N259" i="30" s="1"/>
  <c r="F259" i="30"/>
  <c r="Q258" i="30" a="1"/>
  <c r="Q258" i="30" s="1"/>
  <c r="L258" i="30"/>
  <c r="F258" i="30"/>
  <c r="Q257" i="30"/>
  <c r="S257" i="30" s="1"/>
  <c r="Q257" i="30" a="1"/>
  <c r="L257" i="30"/>
  <c r="N257" i="30" s="1"/>
  <c r="F257" i="30"/>
  <c r="Q256" i="30" a="1"/>
  <c r="Q256" i="30" s="1"/>
  <c r="L256" i="30"/>
  <c r="F256" i="30"/>
  <c r="Q255" i="30" a="1"/>
  <c r="Q255" i="30" s="1"/>
  <c r="S255" i="30" s="1"/>
  <c r="N255" i="30"/>
  <c r="L255" i="30"/>
  <c r="F255" i="30"/>
  <c r="Q254" i="30"/>
  <c r="Q254" i="30" a="1"/>
  <c r="L254" i="30"/>
  <c r="F254" i="30"/>
  <c r="F250" i="30"/>
  <c r="S248" i="30"/>
  <c r="Q248" i="30"/>
  <c r="F248" i="30"/>
  <c r="S247" i="30"/>
  <c r="R247" i="30"/>
  <c r="L247" i="30"/>
  <c r="K247" i="30"/>
  <c r="M247" i="30" s="1"/>
  <c r="J247" i="30"/>
  <c r="F245" i="30"/>
  <c r="Q244" i="30"/>
  <c r="Q244" i="30" a="1"/>
  <c r="P244" i="30"/>
  <c r="P244" i="30" a="1"/>
  <c r="O244" i="30" a="1"/>
  <c r="O244" i="30" s="1"/>
  <c r="R244" i="30" s="1"/>
  <c r="L244" i="30"/>
  <c r="K244" i="30"/>
  <c r="J244" i="30"/>
  <c r="F244" i="30"/>
  <c r="N244" i="30" s="1"/>
  <c r="N245" i="30" s="1"/>
  <c r="E244" i="30"/>
  <c r="E250" i="30" s="1"/>
  <c r="D244" i="30"/>
  <c r="Q241" i="30" a="1"/>
  <c r="Q241" i="30" s="1"/>
  <c r="P241" i="30" a="1"/>
  <c r="P241" i="30" s="1"/>
  <c r="P250" i="30" s="1"/>
  <c r="O241" i="30" a="1"/>
  <c r="O241" i="30" s="1"/>
  <c r="R241" i="30" s="1"/>
  <c r="N241" i="30"/>
  <c r="N242" i="30" s="1"/>
  <c r="M241" i="30"/>
  <c r="L241" i="30"/>
  <c r="K241" i="30"/>
  <c r="J241" i="30"/>
  <c r="F241" i="30"/>
  <c r="E241" i="30"/>
  <c r="F242" i="30" s="1"/>
  <c r="D241" i="30"/>
  <c r="C236" i="30"/>
  <c r="N232" i="30"/>
  <c r="F229" i="30"/>
  <c r="Q228" i="30" a="1"/>
  <c r="Q228" i="30" s="1"/>
  <c r="L228" i="30"/>
  <c r="S228" i="30" s="1"/>
  <c r="F228" i="30"/>
  <c r="N228" i="30" s="1"/>
  <c r="S227" i="30"/>
  <c r="Q227" i="30" a="1"/>
  <c r="Q227" i="30" s="1"/>
  <c r="L227" i="30"/>
  <c r="N227" i="30" s="1"/>
  <c r="F227" i="30"/>
  <c r="S226" i="30"/>
  <c r="Q226" i="30" a="1"/>
  <c r="Q226" i="30" s="1"/>
  <c r="L226" i="30"/>
  <c r="N226" i="30" s="1"/>
  <c r="F226" i="30"/>
  <c r="Q225" i="30" a="1"/>
  <c r="Q225" i="30" s="1"/>
  <c r="N225" i="30"/>
  <c r="L225" i="30"/>
  <c r="S225" i="30" s="1"/>
  <c r="F225" i="30"/>
  <c r="Q224" i="30" a="1"/>
  <c r="Q224" i="30" s="1"/>
  <c r="S224" i="30" s="1"/>
  <c r="N224" i="30"/>
  <c r="L224" i="30"/>
  <c r="F224" i="30"/>
  <c r="Q223" i="30" a="1"/>
  <c r="Q223" i="30" s="1"/>
  <c r="L223" i="30"/>
  <c r="S223" i="30" s="1"/>
  <c r="F223" i="30"/>
  <c r="Q222" i="30" a="1"/>
  <c r="Q222" i="30" s="1"/>
  <c r="S222" i="30" s="1"/>
  <c r="N222" i="30"/>
  <c r="L222" i="30"/>
  <c r="F222" i="30"/>
  <c r="Q221" i="30" a="1"/>
  <c r="Q221" i="30" s="1"/>
  <c r="L221" i="30"/>
  <c r="S221" i="30" s="1"/>
  <c r="F221" i="30"/>
  <c r="Q220" i="30" a="1"/>
  <c r="Q220" i="30" s="1"/>
  <c r="L220" i="30"/>
  <c r="F220" i="30"/>
  <c r="N220" i="30" s="1"/>
  <c r="Q219" i="30" a="1"/>
  <c r="Q219" i="30" s="1"/>
  <c r="Q229" i="30" s="1"/>
  <c r="L219" i="30"/>
  <c r="F219" i="30"/>
  <c r="N219" i="30" s="1"/>
  <c r="Q218" i="30" a="1"/>
  <c r="Q218" i="30" s="1"/>
  <c r="L218" i="30"/>
  <c r="F218" i="30"/>
  <c r="Q217" i="30" a="1"/>
  <c r="Q217" i="30" s="1"/>
  <c r="S217" i="30" s="1"/>
  <c r="N217" i="30"/>
  <c r="L217" i="30"/>
  <c r="Q216" i="30"/>
  <c r="Q216" i="30" a="1"/>
  <c r="L216" i="30"/>
  <c r="S216" i="30" s="1"/>
  <c r="F216" i="30"/>
  <c r="N216" i="30" s="1"/>
  <c r="S215" i="30"/>
  <c r="Q215" i="30"/>
  <c r="Q215" i="30" a="1"/>
  <c r="L215" i="30"/>
  <c r="F215" i="30"/>
  <c r="N215" i="30" s="1"/>
  <c r="Q214" i="30"/>
  <c r="Q214" i="30" a="1"/>
  <c r="L214" i="30"/>
  <c r="S214" i="30" s="1"/>
  <c r="F214" i="30"/>
  <c r="S213" i="30"/>
  <c r="Q213" i="30"/>
  <c r="Q213" i="30" a="1"/>
  <c r="L213" i="30"/>
  <c r="N213" i="30" s="1"/>
  <c r="F213" i="30"/>
  <c r="Q212" i="30"/>
  <c r="Q212" i="30" a="1"/>
  <c r="L212" i="30"/>
  <c r="S212" i="30" s="1"/>
  <c r="F212" i="30"/>
  <c r="Q211" i="30"/>
  <c r="S211" i="30" s="1"/>
  <c r="Q211" i="30" a="1"/>
  <c r="N211" i="30"/>
  <c r="L211" i="30"/>
  <c r="F211" i="30"/>
  <c r="Q209" i="30"/>
  <c r="Q209" i="30" a="1"/>
  <c r="L209" i="30"/>
  <c r="S209" i="30" s="1"/>
  <c r="F209" i="30"/>
  <c r="Q208" i="30"/>
  <c r="Q208" i="30" a="1"/>
  <c r="L208" i="30"/>
  <c r="S208" i="30" s="1"/>
  <c r="F208" i="30"/>
  <c r="Q207" i="30" a="1"/>
  <c r="Q207" i="30" s="1"/>
  <c r="L207" i="30"/>
  <c r="F207" i="30"/>
  <c r="Q206" i="30" a="1"/>
  <c r="Q206" i="30" s="1"/>
  <c r="L206" i="30"/>
  <c r="F206" i="30"/>
  <c r="N206" i="30" s="1"/>
  <c r="Q205" i="30" a="1"/>
  <c r="Q205" i="30" s="1"/>
  <c r="L205" i="30"/>
  <c r="F205" i="30"/>
  <c r="Q204" i="30" a="1"/>
  <c r="Q204" i="30" s="1"/>
  <c r="L204" i="30"/>
  <c r="F204" i="30"/>
  <c r="Q203" i="30" a="1"/>
  <c r="Q203" i="30" s="1"/>
  <c r="L203" i="30"/>
  <c r="F203" i="30"/>
  <c r="Q202" i="30" a="1"/>
  <c r="Q202" i="30" s="1"/>
  <c r="L202" i="30"/>
  <c r="F202" i="30"/>
  <c r="Q201" i="30"/>
  <c r="Q201" i="30" a="1"/>
  <c r="L201" i="30"/>
  <c r="F201" i="30"/>
  <c r="E201" i="30"/>
  <c r="Q200" i="30"/>
  <c r="S200" i="30" s="1"/>
  <c r="Q200" i="30" a="1"/>
  <c r="N200" i="30"/>
  <c r="L200" i="30"/>
  <c r="F200" i="30"/>
  <c r="Q199" i="30" a="1"/>
  <c r="Q199" i="30" s="1"/>
  <c r="S199" i="30" s="1"/>
  <c r="L199" i="30"/>
  <c r="F199" i="30"/>
  <c r="N199" i="30" s="1"/>
  <c r="S198" i="30"/>
  <c r="Q198" i="30"/>
  <c r="Q198" i="30" a="1"/>
  <c r="N198" i="30"/>
  <c r="L198" i="30"/>
  <c r="F198" i="30"/>
  <c r="Q191" i="30" a="1"/>
  <c r="Q191" i="30" s="1"/>
  <c r="Q192" i="30" s="1"/>
  <c r="P191" i="30"/>
  <c r="P191" i="30" a="1"/>
  <c r="L191" i="30"/>
  <c r="L192" i="30" s="1"/>
  <c r="K191" i="30"/>
  <c r="J191" i="30"/>
  <c r="F191" i="30"/>
  <c r="E191" i="30"/>
  <c r="M191" i="30" s="1"/>
  <c r="R188" i="30"/>
  <c r="Q188" i="30"/>
  <c r="Q188" i="30" a="1"/>
  <c r="P188" i="30"/>
  <c r="P188" i="30" a="1"/>
  <c r="M188" i="30"/>
  <c r="L188" i="30"/>
  <c r="K188" i="30"/>
  <c r="F188" i="30"/>
  <c r="F189" i="30" s="1"/>
  <c r="E188" i="30"/>
  <c r="Q184" i="30" a="1"/>
  <c r="Q184" i="30" s="1"/>
  <c r="S184" i="30" s="1"/>
  <c r="L184" i="30"/>
  <c r="F184" i="30"/>
  <c r="F185" i="30" s="1"/>
  <c r="M182" i="30"/>
  <c r="K182" i="30"/>
  <c r="Q181" i="30"/>
  <c r="Q181" i="30" a="1"/>
  <c r="P181" i="30"/>
  <c r="P183" i="30" s="1"/>
  <c r="P181" i="30" a="1"/>
  <c r="O181" i="30"/>
  <c r="R181" i="30" s="1"/>
  <c r="O181" i="30" a="1"/>
  <c r="L181" i="30"/>
  <c r="N181" i="30" s="1"/>
  <c r="K181" i="30"/>
  <c r="J181" i="30"/>
  <c r="F181" i="30"/>
  <c r="E181" i="30"/>
  <c r="D181" i="30"/>
  <c r="K180" i="30"/>
  <c r="E180" i="30"/>
  <c r="R179" i="30"/>
  <c r="Q178" i="30" a="1"/>
  <c r="Q178" i="30" s="1"/>
  <c r="P178" i="30" a="1"/>
  <c r="P178" i="30" s="1"/>
  <c r="P180" i="30" s="1"/>
  <c r="O178" i="30"/>
  <c r="R178" i="30" s="1"/>
  <c r="O178" i="30" a="1"/>
  <c r="N178" i="30"/>
  <c r="L178" i="30"/>
  <c r="K178" i="30"/>
  <c r="M178" i="30" s="1"/>
  <c r="J178" i="30"/>
  <c r="F178" i="30"/>
  <c r="E178" i="30"/>
  <c r="F179" i="30" s="1"/>
  <c r="D178" i="30"/>
  <c r="D185" i="30" s="1"/>
  <c r="K177" i="30"/>
  <c r="E177" i="30"/>
  <c r="L176" i="30"/>
  <c r="Q175" i="30"/>
  <c r="Q175" i="30" a="1"/>
  <c r="P175" i="30" a="1"/>
  <c r="P175" i="30" s="1"/>
  <c r="O175" i="30"/>
  <c r="R175" i="30" s="1"/>
  <c r="O175" i="30" a="1"/>
  <c r="N175" i="30"/>
  <c r="M175" i="30"/>
  <c r="L175" i="30"/>
  <c r="S175" i="30" s="1"/>
  <c r="K175" i="30"/>
  <c r="J175" i="30"/>
  <c r="F175" i="30"/>
  <c r="F176" i="30" s="1"/>
  <c r="E175" i="30"/>
  <c r="E185" i="30" s="1"/>
  <c r="D175" i="30"/>
  <c r="K174" i="30"/>
  <c r="E174" i="30"/>
  <c r="Q173" i="30"/>
  <c r="F173" i="30"/>
  <c r="Q172" i="30" a="1"/>
  <c r="Q172" i="30" s="1"/>
  <c r="P172" i="30"/>
  <c r="P174" i="30" s="1"/>
  <c r="P172" i="30" a="1"/>
  <c r="O172" i="30" a="1"/>
  <c r="O172" i="30" s="1"/>
  <c r="M172" i="30"/>
  <c r="L172" i="30"/>
  <c r="K172" i="30"/>
  <c r="J172" i="30"/>
  <c r="J185" i="30" s="1"/>
  <c r="F172" i="30"/>
  <c r="E172" i="30"/>
  <c r="D172" i="30"/>
  <c r="Q162" i="30" a="1"/>
  <c r="Q162" i="30" s="1"/>
  <c r="Q163" i="30" s="1"/>
  <c r="L162" i="30"/>
  <c r="F162" i="30"/>
  <c r="Q161" i="30"/>
  <c r="S161" i="30" s="1"/>
  <c r="Q161" i="30" a="1"/>
  <c r="N161" i="30"/>
  <c r="L161" i="30"/>
  <c r="F161" i="30"/>
  <c r="Q160" i="30" a="1"/>
  <c r="Q160" i="30" s="1"/>
  <c r="L160" i="30"/>
  <c r="F160" i="30"/>
  <c r="S159" i="30"/>
  <c r="Q159" i="30"/>
  <c r="Q159" i="30" a="1"/>
  <c r="L159" i="30"/>
  <c r="F159" i="30"/>
  <c r="Q158" i="30" a="1"/>
  <c r="Q158" i="30" s="1"/>
  <c r="L158" i="30"/>
  <c r="S158" i="30" s="1"/>
  <c r="F158" i="30"/>
  <c r="S157" i="30"/>
  <c r="Q157" i="30"/>
  <c r="Q157" i="30" a="1"/>
  <c r="L157" i="30"/>
  <c r="F157" i="30"/>
  <c r="Q156" i="30" a="1"/>
  <c r="Q156" i="30" s="1"/>
  <c r="S156" i="30" s="1"/>
  <c r="N156" i="30"/>
  <c r="F156" i="30"/>
  <c r="Q152" i="30" a="1"/>
  <c r="Q152" i="30" s="1"/>
  <c r="L152" i="30"/>
  <c r="S152" i="30" s="1"/>
  <c r="F152" i="30"/>
  <c r="Q151" i="30" a="1"/>
  <c r="Q151" i="30" s="1"/>
  <c r="L151" i="30"/>
  <c r="F151" i="30"/>
  <c r="Q150" i="30" a="1"/>
  <c r="Q150" i="30" s="1"/>
  <c r="L150" i="30"/>
  <c r="F150" i="30"/>
  <c r="Q149" i="30"/>
  <c r="Q149" i="30" a="1"/>
  <c r="L149" i="30"/>
  <c r="F149" i="30"/>
  <c r="Q148" i="30" a="1"/>
  <c r="Q148" i="30" s="1"/>
  <c r="L148" i="30"/>
  <c r="S148" i="30" s="1"/>
  <c r="F148" i="30"/>
  <c r="S147" i="30"/>
  <c r="Q147" i="30"/>
  <c r="Q147" i="30" a="1"/>
  <c r="L147" i="30"/>
  <c r="N147" i="30" s="1"/>
  <c r="F147" i="30"/>
  <c r="Q146" i="30" a="1"/>
  <c r="Q146" i="30" s="1"/>
  <c r="L146" i="30"/>
  <c r="F146" i="30"/>
  <c r="Q145" i="30" a="1"/>
  <c r="Q145" i="30" s="1"/>
  <c r="N145" i="30"/>
  <c r="L145" i="30"/>
  <c r="F145" i="30"/>
  <c r="Q144" i="30" a="1"/>
  <c r="Q144" i="30" s="1"/>
  <c r="L144" i="30"/>
  <c r="F144" i="30"/>
  <c r="Q143" i="30"/>
  <c r="Q143" i="30" a="1"/>
  <c r="L143" i="30"/>
  <c r="F143" i="30"/>
  <c r="Q142" i="30" a="1"/>
  <c r="Q142" i="30" s="1"/>
  <c r="L142" i="30"/>
  <c r="F142" i="30"/>
  <c r="Q141" i="30"/>
  <c r="Q141" i="30" a="1"/>
  <c r="L141" i="30"/>
  <c r="F141" i="30"/>
  <c r="F153" i="30" s="1"/>
  <c r="Q140" i="30" a="1"/>
  <c r="Q140" i="30" s="1"/>
  <c r="L140" i="30"/>
  <c r="F140" i="30"/>
  <c r="S139" i="30"/>
  <c r="Q139" i="30"/>
  <c r="Q139" i="30" a="1"/>
  <c r="L139" i="30"/>
  <c r="N139" i="30" s="1"/>
  <c r="F139" i="30"/>
  <c r="Q138" i="30" a="1"/>
  <c r="Q138" i="30" s="1"/>
  <c r="L138" i="30"/>
  <c r="F138" i="30"/>
  <c r="Q137" i="30"/>
  <c r="Q137" i="30" a="1"/>
  <c r="N137" i="30"/>
  <c r="L137" i="30"/>
  <c r="F137" i="30"/>
  <c r="Q136" i="30" a="1"/>
  <c r="Q136" i="30" s="1"/>
  <c r="L136" i="30"/>
  <c r="F136" i="30"/>
  <c r="Q134" i="30" a="1"/>
  <c r="Q134" i="30" s="1"/>
  <c r="L134" i="30"/>
  <c r="F134" i="30"/>
  <c r="Q133" i="30"/>
  <c r="S133" i="30" s="1"/>
  <c r="Q133" i="30" a="1"/>
  <c r="N133" i="30"/>
  <c r="L133" i="30"/>
  <c r="F133" i="30"/>
  <c r="Q132" i="30" a="1"/>
  <c r="Q132" i="30" s="1"/>
  <c r="L132" i="30"/>
  <c r="F132" i="30"/>
  <c r="Q131" i="30"/>
  <c r="S131" i="30" s="1"/>
  <c r="Q131" i="30" a="1"/>
  <c r="N131" i="30"/>
  <c r="L131" i="30"/>
  <c r="F131" i="30"/>
  <c r="Q130" i="30" a="1"/>
  <c r="Q130" i="30" s="1"/>
  <c r="L130" i="30"/>
  <c r="F130" i="30"/>
  <c r="Q129" i="30" a="1"/>
  <c r="Q129" i="30" s="1"/>
  <c r="S129" i="30" s="1"/>
  <c r="N129" i="30"/>
  <c r="L129" i="30"/>
  <c r="F129" i="30"/>
  <c r="Q128" i="30" a="1"/>
  <c r="Q128" i="30" s="1"/>
  <c r="L128" i="30"/>
  <c r="F128" i="30"/>
  <c r="Q127" i="30"/>
  <c r="S127" i="30" s="1"/>
  <c r="Q127" i="30" a="1"/>
  <c r="N127" i="30"/>
  <c r="L127" i="30"/>
  <c r="F127" i="30"/>
  <c r="Q126" i="30" a="1"/>
  <c r="Q126" i="30" s="1"/>
  <c r="L126" i="30"/>
  <c r="F126" i="30"/>
  <c r="Q125" i="30"/>
  <c r="S125" i="30" s="1"/>
  <c r="Q125" i="30" a="1"/>
  <c r="N125" i="30"/>
  <c r="L125" i="30"/>
  <c r="F125" i="30"/>
  <c r="Q124" i="30" a="1"/>
  <c r="Q124" i="30" s="1"/>
  <c r="L124" i="30"/>
  <c r="F124" i="30"/>
  <c r="Q123" i="30"/>
  <c r="Q135" i="30" s="1"/>
  <c r="Q123" i="30" a="1"/>
  <c r="L123" i="30"/>
  <c r="N123" i="30" s="1"/>
  <c r="F123" i="30"/>
  <c r="Q121" i="30" a="1"/>
  <c r="Q121" i="30" s="1"/>
  <c r="L121" i="30"/>
  <c r="F121" i="30"/>
  <c r="N121" i="30" s="1"/>
  <c r="Q120" i="30" a="1"/>
  <c r="Q120" i="30" s="1"/>
  <c r="L120" i="30"/>
  <c r="F120" i="30"/>
  <c r="E120" i="30" s="1"/>
  <c r="S119" i="30"/>
  <c r="Q119" i="30" a="1"/>
  <c r="Q119" i="30" s="1"/>
  <c r="L119" i="30"/>
  <c r="F119" i="30"/>
  <c r="N119" i="30" s="1"/>
  <c r="Q118" i="30"/>
  <c r="Q118" i="30" a="1"/>
  <c r="L118" i="30"/>
  <c r="K118" i="30"/>
  <c r="F118" i="30"/>
  <c r="E118" i="30" s="1"/>
  <c r="S117" i="30"/>
  <c r="Q117" i="30"/>
  <c r="Q117" i="30" a="1"/>
  <c r="L117" i="30"/>
  <c r="N117" i="30" s="1"/>
  <c r="K117" i="30"/>
  <c r="F117" i="30"/>
  <c r="E117" i="30"/>
  <c r="Q116" i="30" a="1"/>
  <c r="Q116" i="30" s="1"/>
  <c r="L116" i="30"/>
  <c r="N116" i="30" s="1"/>
  <c r="F116" i="30"/>
  <c r="Q115" i="30" a="1"/>
  <c r="Q115" i="30" s="1"/>
  <c r="L115" i="30"/>
  <c r="K115" i="30" s="1"/>
  <c r="F115" i="30"/>
  <c r="E115" i="30" s="1"/>
  <c r="Q114" i="30" a="1"/>
  <c r="Q114" i="30" s="1"/>
  <c r="L114" i="30"/>
  <c r="F114" i="30"/>
  <c r="E114" i="30"/>
  <c r="S113" i="30"/>
  <c r="Q113" i="30" a="1"/>
  <c r="Q113" i="30" s="1"/>
  <c r="L113" i="30"/>
  <c r="N113" i="30" s="1"/>
  <c r="F113" i="30"/>
  <c r="Q112" i="30"/>
  <c r="Q112" i="30" a="1"/>
  <c r="L112" i="30"/>
  <c r="N112" i="30" s="1"/>
  <c r="F112" i="30"/>
  <c r="F122" i="30" s="1"/>
  <c r="E112" i="30"/>
  <c r="J108" i="30"/>
  <c r="Q104" i="30" a="1"/>
  <c r="Q104" i="30" s="1"/>
  <c r="L104" i="30"/>
  <c r="N104" i="30" s="1"/>
  <c r="F104" i="30"/>
  <c r="D104" i="30"/>
  <c r="E104" i="30" s="1"/>
  <c r="Q103" i="30" a="1"/>
  <c r="Q103" i="30" s="1"/>
  <c r="S103" i="30" s="1"/>
  <c r="L103" i="30"/>
  <c r="K103" i="30"/>
  <c r="R103" i="30" s="1"/>
  <c r="F103" i="30"/>
  <c r="N103" i="30" s="1"/>
  <c r="E103" i="30"/>
  <c r="D103" i="30"/>
  <c r="Q102" i="30"/>
  <c r="Q102" i="30" a="1"/>
  <c r="N102" i="30"/>
  <c r="L102" i="30"/>
  <c r="F102" i="30"/>
  <c r="E102" i="30"/>
  <c r="D102" i="30"/>
  <c r="Q100" i="30" a="1"/>
  <c r="Q100" i="30" s="1"/>
  <c r="S100" i="30" s="1"/>
  <c r="O100" i="30" a="1"/>
  <c r="O100" i="30" s="1"/>
  <c r="P100" i="30" s="1"/>
  <c r="L100" i="30"/>
  <c r="J100" i="30"/>
  <c r="F100" i="30"/>
  <c r="D100" i="30"/>
  <c r="E100" i="30" s="1"/>
  <c r="A99" i="30"/>
  <c r="P98" i="30"/>
  <c r="M98" i="30"/>
  <c r="E98" i="30"/>
  <c r="A98" i="30"/>
  <c r="Q97" i="30"/>
  <c r="M97" i="30"/>
  <c r="J97" i="30"/>
  <c r="K121" i="30" s="1"/>
  <c r="A97" i="30"/>
  <c r="Q96" i="30"/>
  <c r="O96" i="30"/>
  <c r="R96" i="30" s="1"/>
  <c r="M96" i="30"/>
  <c r="L96" i="30"/>
  <c r="K96" i="30"/>
  <c r="J96" i="30"/>
  <c r="D96" i="30"/>
  <c r="A96" i="30"/>
  <c r="F96" i="30" s="1"/>
  <c r="E96" i="30" s="1"/>
  <c r="Q95" i="30"/>
  <c r="Q95" i="30" a="1"/>
  <c r="O95" i="30" a="1"/>
  <c r="O95" i="30" s="1"/>
  <c r="L95" i="30"/>
  <c r="K95" i="30"/>
  <c r="J95" i="30"/>
  <c r="M95" i="30" s="1"/>
  <c r="F95" i="30"/>
  <c r="E95" i="30"/>
  <c r="D95" i="30"/>
  <c r="D97" i="30" s="1"/>
  <c r="R94" i="30"/>
  <c r="Q94" i="30"/>
  <c r="Q94" i="30" a="1"/>
  <c r="O94" i="30" a="1"/>
  <c r="O94" i="30" s="1"/>
  <c r="P94" i="30" s="1"/>
  <c r="M94" i="30"/>
  <c r="L94" i="30"/>
  <c r="L97" i="30" s="1"/>
  <c r="J94" i="30"/>
  <c r="F94" i="30"/>
  <c r="D94" i="30"/>
  <c r="Q93" i="30"/>
  <c r="Q93" i="30" a="1"/>
  <c r="L93" i="30"/>
  <c r="F93" i="30"/>
  <c r="C89" i="30"/>
  <c r="Q82" i="30" a="1"/>
  <c r="Q82" i="30" s="1"/>
  <c r="S82" i="30" s="1"/>
  <c r="N82" i="30"/>
  <c r="L82" i="30"/>
  <c r="F82" i="30"/>
  <c r="Q81" i="30" a="1"/>
  <c r="Q81" i="30" s="1"/>
  <c r="L81" i="30"/>
  <c r="F81" i="30"/>
  <c r="Q80" i="30"/>
  <c r="S80" i="30" s="1"/>
  <c r="Q80" i="30" a="1"/>
  <c r="N80" i="30"/>
  <c r="L80" i="30"/>
  <c r="F80" i="30"/>
  <c r="Q79" i="30" a="1"/>
  <c r="Q79" i="30" s="1"/>
  <c r="L79" i="30"/>
  <c r="F79" i="30"/>
  <c r="Q78" i="30" a="1"/>
  <c r="Q78" i="30" s="1"/>
  <c r="S78" i="30" s="1"/>
  <c r="L78" i="30"/>
  <c r="F78" i="30"/>
  <c r="N78" i="30" s="1"/>
  <c r="Q77" i="30"/>
  <c r="Q77" i="30" a="1"/>
  <c r="L77" i="30"/>
  <c r="S77" i="30" s="1"/>
  <c r="F77" i="30"/>
  <c r="Q76" i="30"/>
  <c r="Q76" i="30" a="1"/>
  <c r="L76" i="30"/>
  <c r="N76" i="30" s="1"/>
  <c r="F76" i="30"/>
  <c r="Q75" i="30"/>
  <c r="N75" i="30"/>
  <c r="L75" i="30"/>
  <c r="F75" i="30"/>
  <c r="Q71" i="30" a="1"/>
  <c r="Q71" i="30" s="1"/>
  <c r="N71" i="30"/>
  <c r="L71" i="30"/>
  <c r="S71" i="30" s="1"/>
  <c r="F71" i="30"/>
  <c r="Q70" i="30"/>
  <c r="Q70" i="30" a="1"/>
  <c r="L70" i="30"/>
  <c r="N70" i="30" s="1"/>
  <c r="F70" i="30"/>
  <c r="Q69" i="30" a="1"/>
  <c r="Q69" i="30" s="1"/>
  <c r="S69" i="30" s="1"/>
  <c r="N69" i="30"/>
  <c r="F69" i="30"/>
  <c r="S68" i="30"/>
  <c r="Q68" i="30"/>
  <c r="Q68" i="30" a="1"/>
  <c r="N68" i="30"/>
  <c r="L68" i="30"/>
  <c r="F68" i="30"/>
  <c r="Q67" i="30" a="1"/>
  <c r="Q67" i="30" s="1"/>
  <c r="L67" i="30"/>
  <c r="N67" i="30" s="1"/>
  <c r="F67" i="30"/>
  <c r="Q66" i="30" a="1"/>
  <c r="Q66" i="30" s="1"/>
  <c r="S66" i="30" s="1"/>
  <c r="L66" i="30"/>
  <c r="F66" i="30"/>
  <c r="Q65" i="30" a="1"/>
  <c r="Q65" i="30" s="1"/>
  <c r="L65" i="30"/>
  <c r="F65" i="30"/>
  <c r="Q64" i="30"/>
  <c r="S64" i="30" s="1"/>
  <c r="Q64" i="30" a="1"/>
  <c r="L64" i="30"/>
  <c r="N64" i="30" s="1"/>
  <c r="F64" i="30"/>
  <c r="Q63" i="30"/>
  <c r="Q63" i="30" a="1"/>
  <c r="L63" i="30"/>
  <c r="F63" i="30"/>
  <c r="Q62" i="30" a="1"/>
  <c r="Q62" i="30" s="1"/>
  <c r="L62" i="30"/>
  <c r="S62" i="30" s="1"/>
  <c r="F62" i="30"/>
  <c r="Q61" i="30" a="1"/>
  <c r="Q61" i="30" s="1"/>
  <c r="L61" i="30"/>
  <c r="F61" i="30"/>
  <c r="Q60" i="30"/>
  <c r="Q60" i="30" a="1"/>
  <c r="L60" i="30"/>
  <c r="F60" i="30"/>
  <c r="Q59" i="30" a="1"/>
  <c r="Q59" i="30" s="1"/>
  <c r="L59" i="30"/>
  <c r="F59" i="30"/>
  <c r="Q58" i="30" a="1"/>
  <c r="Q58" i="30" s="1"/>
  <c r="S58" i="30" s="1"/>
  <c r="L58" i="30"/>
  <c r="F58" i="30"/>
  <c r="Q57" i="30" a="1"/>
  <c r="Q57" i="30" s="1"/>
  <c r="L57" i="30"/>
  <c r="F57" i="30"/>
  <c r="Q56" i="30"/>
  <c r="S56" i="30" s="1"/>
  <c r="Q56" i="30" a="1"/>
  <c r="L56" i="30"/>
  <c r="N56" i="30" s="1"/>
  <c r="F56" i="30"/>
  <c r="Q55" i="30"/>
  <c r="Q55" i="30" a="1"/>
  <c r="L55" i="30"/>
  <c r="F55" i="30"/>
  <c r="F72" i="30" s="1"/>
  <c r="S53" i="30"/>
  <c r="Q53" i="30" a="1"/>
  <c r="Q53" i="30" s="1"/>
  <c r="L53" i="30"/>
  <c r="N53" i="30" s="1"/>
  <c r="F53" i="30"/>
  <c r="D53" i="30"/>
  <c r="Q52" i="30" a="1"/>
  <c r="Q52" i="30" s="1"/>
  <c r="L52" i="30"/>
  <c r="F52" i="30"/>
  <c r="Q51" i="30"/>
  <c r="Q51" i="30" a="1"/>
  <c r="N51" i="30"/>
  <c r="L51" i="30"/>
  <c r="F51" i="30"/>
  <c r="Q50" i="30" a="1"/>
  <c r="Q50" i="30" s="1"/>
  <c r="L50" i="30"/>
  <c r="F50" i="30"/>
  <c r="Q49" i="30" a="1"/>
  <c r="Q49" i="30" s="1"/>
  <c r="L49" i="30"/>
  <c r="F49" i="30"/>
  <c r="Q48" i="30"/>
  <c r="Q48" i="30" a="1"/>
  <c r="L48" i="30"/>
  <c r="F48" i="30"/>
  <c r="Q47" i="30"/>
  <c r="Q47" i="30" a="1"/>
  <c r="L47" i="30"/>
  <c r="S47" i="30" s="1"/>
  <c r="F47" i="30"/>
  <c r="Q46" i="30" a="1"/>
  <c r="Q46" i="30" s="1"/>
  <c r="L46" i="30"/>
  <c r="F46" i="30"/>
  <c r="Q45" i="30" a="1"/>
  <c r="Q45" i="30" s="1"/>
  <c r="L45" i="30"/>
  <c r="F45" i="30"/>
  <c r="Q44" i="30" a="1"/>
  <c r="Q44" i="30" s="1"/>
  <c r="L44" i="30"/>
  <c r="F44" i="30"/>
  <c r="Q43" i="30"/>
  <c r="Q43" i="30" a="1"/>
  <c r="N43" i="30"/>
  <c r="L43" i="30"/>
  <c r="F43" i="30"/>
  <c r="Q42" i="30" a="1"/>
  <c r="Q42" i="30" s="1"/>
  <c r="L42" i="30"/>
  <c r="N42" i="30" s="1"/>
  <c r="F42" i="30"/>
  <c r="Q40" i="30" a="1"/>
  <c r="Q40" i="30" s="1"/>
  <c r="L40" i="30"/>
  <c r="N40" i="30" s="1"/>
  <c r="K40" i="30"/>
  <c r="F40" i="30"/>
  <c r="Q39" i="30"/>
  <c r="Q39" i="30" a="1"/>
  <c r="N39" i="30"/>
  <c r="L39" i="30"/>
  <c r="F39" i="30"/>
  <c r="Q38" i="30" a="1"/>
  <c r="Q38" i="30" s="1"/>
  <c r="L38" i="30"/>
  <c r="K38" i="30" s="1"/>
  <c r="F38" i="30"/>
  <c r="Q37" i="30" a="1"/>
  <c r="Q37" i="30" s="1"/>
  <c r="L37" i="30"/>
  <c r="F37" i="30"/>
  <c r="Q36" i="30" a="1"/>
  <c r="Q36" i="30" s="1"/>
  <c r="L36" i="30"/>
  <c r="N36" i="30" s="1"/>
  <c r="F36" i="30"/>
  <c r="Q35" i="30"/>
  <c r="Q35" i="30" a="1"/>
  <c r="L35" i="30"/>
  <c r="N35" i="30" s="1"/>
  <c r="F35" i="30"/>
  <c r="Q34" i="30" a="1"/>
  <c r="Q34" i="30" s="1"/>
  <c r="N34" i="30"/>
  <c r="L34" i="30"/>
  <c r="F34" i="30"/>
  <c r="Q33" i="30" a="1"/>
  <c r="Q33" i="30" s="1"/>
  <c r="L33" i="30"/>
  <c r="N33" i="30" s="1"/>
  <c r="F33" i="30"/>
  <c r="F41" i="30" s="1"/>
  <c r="Q32" i="30" a="1"/>
  <c r="Q32" i="30" s="1"/>
  <c r="L32" i="30"/>
  <c r="F32" i="30"/>
  <c r="Q31" i="30" a="1"/>
  <c r="Q31" i="30" s="1"/>
  <c r="N31" i="30"/>
  <c r="L31" i="30"/>
  <c r="L41" i="30" s="1"/>
  <c r="F31" i="30"/>
  <c r="Q23" i="30" a="1"/>
  <c r="Q23" i="30" s="1"/>
  <c r="L23" i="30"/>
  <c r="N23" i="30" s="1"/>
  <c r="F23" i="30"/>
  <c r="E23" i="30"/>
  <c r="D23" i="30"/>
  <c r="Q22" i="30"/>
  <c r="Q22" i="30" a="1"/>
  <c r="L22" i="30"/>
  <c r="L24" i="30" s="1"/>
  <c r="F22" i="30"/>
  <c r="F24" i="30" s="1"/>
  <c r="D32" i="30" s="1"/>
  <c r="E22" i="30"/>
  <c r="D22" i="30"/>
  <c r="Q21" i="30" a="1"/>
  <c r="Q21" i="30" s="1"/>
  <c r="N21" i="30"/>
  <c r="L21" i="30"/>
  <c r="F21" i="30"/>
  <c r="D21" i="30"/>
  <c r="E21" i="30" s="1"/>
  <c r="R19" i="30"/>
  <c r="Q19" i="30" a="1"/>
  <c r="Q19" i="30" s="1"/>
  <c r="S19" i="30" s="1"/>
  <c r="L19" i="30"/>
  <c r="N19" i="30" s="1"/>
  <c r="F19" i="30"/>
  <c r="D19" i="30"/>
  <c r="E19" i="30" s="1"/>
  <c r="Q17" i="30"/>
  <c r="Q17" i="30" a="1"/>
  <c r="O17" i="30" a="1"/>
  <c r="O17" i="30" s="1"/>
  <c r="P17" i="30" s="1"/>
  <c r="M17" i="30"/>
  <c r="L17" i="30"/>
  <c r="N17" i="30" s="1"/>
  <c r="J17" i="30"/>
  <c r="F17" i="30"/>
  <c r="D17" i="30"/>
  <c r="Q15" i="30" a="1"/>
  <c r="Q15" i="30" s="1"/>
  <c r="O15" i="30" a="1"/>
  <c r="O15" i="30" s="1"/>
  <c r="R15" i="30" s="1"/>
  <c r="L15" i="30"/>
  <c r="K15" i="30" s="1"/>
  <c r="J15" i="30"/>
  <c r="F15" i="30"/>
  <c r="D15" i="30"/>
  <c r="M15" i="30" s="1"/>
  <c r="AF14" i="30"/>
  <c r="AF15" i="30" s="1"/>
  <c r="AE15" i="30" s="1"/>
  <c r="Q12" i="30" a="1"/>
  <c r="Q12" i="30" s="1"/>
  <c r="O12" i="30" a="1"/>
  <c r="O12" i="30" s="1"/>
  <c r="L12" i="30"/>
  <c r="N12" i="30" s="1"/>
  <c r="K12" i="30"/>
  <c r="J12" i="30"/>
  <c r="M12" i="30" s="1"/>
  <c r="F12" i="30"/>
  <c r="E12" i="30"/>
  <c r="D12" i="30"/>
  <c r="R11" i="30"/>
  <c r="Q11" i="30" a="1"/>
  <c r="Q11" i="30" s="1"/>
  <c r="S11" i="30" s="1"/>
  <c r="P11" i="30"/>
  <c r="O11" i="30" a="1"/>
  <c r="O11" i="30" s="1"/>
  <c r="N11" i="30"/>
  <c r="L11" i="30"/>
  <c r="K11" i="30"/>
  <c r="J11" i="30"/>
  <c r="F11" i="30"/>
  <c r="D11" i="30"/>
  <c r="M11" i="30" s="1"/>
  <c r="R10" i="30"/>
  <c r="Q10" i="30" a="1"/>
  <c r="Q10" i="30" s="1"/>
  <c r="P10" i="30"/>
  <c r="O10" i="30" a="1"/>
  <c r="O10" i="30" s="1"/>
  <c r="L10" i="30"/>
  <c r="J10" i="30"/>
  <c r="M10" i="30" s="1"/>
  <c r="F10" i="30"/>
  <c r="E10" i="30"/>
  <c r="D10" i="30"/>
  <c r="R9" i="30"/>
  <c r="Q9" i="30" a="1"/>
  <c r="Q9" i="30" s="1"/>
  <c r="S9" i="30" s="1"/>
  <c r="P9" i="30"/>
  <c r="O9" i="30" a="1"/>
  <c r="O9" i="30" s="1"/>
  <c r="N9" i="30"/>
  <c r="M9" i="30"/>
  <c r="L9" i="30"/>
  <c r="K9" i="30"/>
  <c r="J9" i="30"/>
  <c r="F9" i="30"/>
  <c r="E9" i="30"/>
  <c r="D9" i="30"/>
  <c r="W8" i="30"/>
  <c r="Q8" i="30"/>
  <c r="S8" i="30" s="1"/>
  <c r="Q8" i="30" a="1"/>
  <c r="O8" i="30"/>
  <c r="P8" i="30" s="1"/>
  <c r="O8" i="30" a="1"/>
  <c r="L8" i="30"/>
  <c r="J8" i="30"/>
  <c r="F8" i="30"/>
  <c r="D8" i="30"/>
  <c r="E8" i="30" s="1"/>
  <c r="Q7" i="30"/>
  <c r="S7" i="30" s="1"/>
  <c r="Q7" i="30" a="1"/>
  <c r="O7" i="30" a="1"/>
  <c r="O7" i="30" s="1"/>
  <c r="L7" i="30"/>
  <c r="N7" i="30" s="1"/>
  <c r="J7" i="30"/>
  <c r="F7" i="30"/>
  <c r="D7" i="30"/>
  <c r="D13" i="30" s="1"/>
  <c r="D24" i="30" s="1"/>
  <c r="Q6" i="30"/>
  <c r="S6" i="30" s="1"/>
  <c r="Q6" i="30" a="1"/>
  <c r="O6" i="30"/>
  <c r="P6" i="30" s="1"/>
  <c r="L6" i="30"/>
  <c r="L13" i="30" s="1"/>
  <c r="L27" i="30" s="1"/>
  <c r="J6" i="30"/>
  <c r="F6" i="30"/>
  <c r="F13" i="30" s="1"/>
  <c r="E6" i="30"/>
  <c r="D6" i="30"/>
  <c r="Q5" i="30" a="1"/>
  <c r="Q5" i="30" s="1"/>
  <c r="L5" i="30"/>
  <c r="F5" i="30"/>
  <c r="S1" i="30"/>
  <c r="S89" i="30" s="1"/>
  <c r="C1" i="30"/>
  <c r="P120" i="30" l="1"/>
  <c r="E37" i="30"/>
  <c r="P12" i="30"/>
  <c r="R12" i="30"/>
  <c r="E34" i="30"/>
  <c r="E35" i="30"/>
  <c r="E36" i="30"/>
  <c r="E40" i="30"/>
  <c r="E33" i="30"/>
  <c r="E38" i="30"/>
  <c r="E31" i="30"/>
  <c r="E24" i="30"/>
  <c r="E32" i="30"/>
  <c r="AL473" i="30"/>
  <c r="AO473" i="30" s="1"/>
  <c r="P7" i="30"/>
  <c r="R7" i="30"/>
  <c r="O13" i="30"/>
  <c r="F27" i="30"/>
  <c r="N27" i="30" s="1"/>
  <c r="D31" i="30"/>
  <c r="J112" i="30"/>
  <c r="N97" i="30"/>
  <c r="N98" i="30" s="1"/>
  <c r="L108" i="30"/>
  <c r="K97" i="30"/>
  <c r="R95" i="30"/>
  <c r="O97" i="30"/>
  <c r="P95" i="30"/>
  <c r="P121" i="30"/>
  <c r="S121" i="30"/>
  <c r="AF426" i="30"/>
  <c r="K41" i="30"/>
  <c r="N41" i="30"/>
  <c r="S34" i="30"/>
  <c r="P116" i="30"/>
  <c r="Q54" i="30"/>
  <c r="S104" i="30"/>
  <c r="Q105" i="30"/>
  <c r="Q24" i="30"/>
  <c r="S21" i="30"/>
  <c r="Q41" i="30"/>
  <c r="O31" i="30"/>
  <c r="E39" i="30"/>
  <c r="AL475" i="30"/>
  <c r="AO475" i="30" s="1"/>
  <c r="P135" i="30"/>
  <c r="N24" i="30"/>
  <c r="N25" i="30" s="1"/>
  <c r="R97" i="30"/>
  <c r="R98" i="30" s="1"/>
  <c r="S49" i="30"/>
  <c r="F97" i="30"/>
  <c r="E94" i="30"/>
  <c r="S118" i="30"/>
  <c r="N118" i="30"/>
  <c r="S44" i="30"/>
  <c r="N44" i="30"/>
  <c r="L185" i="30"/>
  <c r="L173" i="30"/>
  <c r="S172" i="30"/>
  <c r="E194" i="30"/>
  <c r="S57" i="30"/>
  <c r="N57" i="30"/>
  <c r="S282" i="30"/>
  <c r="N282" i="30"/>
  <c r="J13" i="30"/>
  <c r="R6" i="30"/>
  <c r="R13" i="30" s="1"/>
  <c r="R14" i="30" s="1"/>
  <c r="M6" i="30"/>
  <c r="M13" i="30" s="1"/>
  <c r="M14" i="30" s="1"/>
  <c r="K7" i="30"/>
  <c r="K8" i="30"/>
  <c r="R8" i="30"/>
  <c r="E11" i="30"/>
  <c r="S12" i="30"/>
  <c r="N22" i="30"/>
  <c r="S23" i="30"/>
  <c r="D27" i="30"/>
  <c r="S50" i="30"/>
  <c r="N50" i="30"/>
  <c r="S70" i="30"/>
  <c r="S79" i="30"/>
  <c r="N79" i="30"/>
  <c r="E119" i="30"/>
  <c r="S142" i="30"/>
  <c r="N142" i="30"/>
  <c r="F251" i="30"/>
  <c r="S272" i="30"/>
  <c r="N272" i="30"/>
  <c r="S279" i="30"/>
  <c r="N279" i="30"/>
  <c r="M299" i="30"/>
  <c r="N318" i="30"/>
  <c r="F351" i="30"/>
  <c r="S59" i="30"/>
  <c r="N59" i="30"/>
  <c r="S258" i="30"/>
  <c r="N258" i="30"/>
  <c r="S52" i="30"/>
  <c r="N52" i="30"/>
  <c r="S67" i="30"/>
  <c r="L349" i="30"/>
  <c r="S331" i="30"/>
  <c r="S349" i="30" s="1"/>
  <c r="N331" i="30"/>
  <c r="S10" i="30"/>
  <c r="S13" i="30" s="1"/>
  <c r="P15" i="30"/>
  <c r="N38" i="30"/>
  <c r="S42" i="30"/>
  <c r="S76" i="30"/>
  <c r="N94" i="30"/>
  <c r="P114" i="30"/>
  <c r="S123" i="30"/>
  <c r="N172" i="30"/>
  <c r="N8" i="30"/>
  <c r="E13" i="30"/>
  <c r="S38" i="30"/>
  <c r="S45" i="30"/>
  <c r="S55" i="30"/>
  <c r="N55" i="30"/>
  <c r="S63" i="30"/>
  <c r="N63" i="30"/>
  <c r="D99" i="30"/>
  <c r="E99" i="30" s="1"/>
  <c r="F99" i="30"/>
  <c r="F105" i="30"/>
  <c r="D113" i="30" s="1"/>
  <c r="S124" i="30"/>
  <c r="N124" i="30"/>
  <c r="S130" i="30"/>
  <c r="N130" i="30"/>
  <c r="L189" i="30"/>
  <c r="S188" i="30"/>
  <c r="N188" i="30"/>
  <c r="N191" i="30"/>
  <c r="P266" i="30"/>
  <c r="P285" i="30"/>
  <c r="Q250" i="30"/>
  <c r="P287" i="30"/>
  <c r="S245" i="30"/>
  <c r="Q245" i="30"/>
  <c r="R303" i="30"/>
  <c r="P303" i="30"/>
  <c r="Q330" i="30"/>
  <c r="Q13" i="30"/>
  <c r="S151" i="30"/>
  <c r="N151" i="30"/>
  <c r="S114" i="30"/>
  <c r="N114" i="30"/>
  <c r="S116" i="30"/>
  <c r="N60" i="30"/>
  <c r="M7" i="30"/>
  <c r="M8" i="30"/>
  <c r="S15" i="30"/>
  <c r="S17" i="30"/>
  <c r="J32" i="30"/>
  <c r="S37" i="30"/>
  <c r="N45" i="30"/>
  <c r="N54" i="30" s="1"/>
  <c r="N58" i="30"/>
  <c r="S60" i="30"/>
  <c r="N66" i="30"/>
  <c r="N77" i="30"/>
  <c r="L105" i="30"/>
  <c r="S112" i="30"/>
  <c r="S149" i="30"/>
  <c r="N149" i="30"/>
  <c r="Q242" i="30"/>
  <c r="S244" i="30"/>
  <c r="N269" i="30"/>
  <c r="M298" i="30"/>
  <c r="K298" i="30"/>
  <c r="N15" i="30"/>
  <c r="S141" i="30"/>
  <c r="N141" i="30"/>
  <c r="L285" i="30"/>
  <c r="S138" i="30"/>
  <c r="N138" i="30"/>
  <c r="F192" i="30"/>
  <c r="S219" i="30"/>
  <c r="S81" i="30"/>
  <c r="N81" i="30"/>
  <c r="S40" i="30"/>
  <c r="S265" i="30"/>
  <c r="N265" i="30"/>
  <c r="K6" i="30"/>
  <c r="S35" i="30"/>
  <c r="N6" i="30"/>
  <c r="K10" i="30"/>
  <c r="E15" i="30"/>
  <c r="N37" i="30"/>
  <c r="F54" i="30"/>
  <c r="E54" i="30" s="1"/>
  <c r="S48" i="30"/>
  <c r="N48" i="30"/>
  <c r="Q72" i="30"/>
  <c r="F83" i="30"/>
  <c r="E113" i="30"/>
  <c r="S115" i="30"/>
  <c r="N115" i="30"/>
  <c r="S143" i="30"/>
  <c r="N143" i="30"/>
  <c r="S146" i="30"/>
  <c r="N146" i="30"/>
  <c r="S205" i="30"/>
  <c r="N205" i="30"/>
  <c r="S260" i="30"/>
  <c r="N260" i="30"/>
  <c r="L266" i="30"/>
  <c r="M297" i="30"/>
  <c r="E297" i="30"/>
  <c r="S120" i="30"/>
  <c r="S36" i="30"/>
  <c r="N49" i="30"/>
  <c r="L54" i="30"/>
  <c r="K54" i="30" s="1"/>
  <c r="E229" i="30"/>
  <c r="P301" i="30"/>
  <c r="R301" i="30"/>
  <c r="K94" i="30"/>
  <c r="S94" i="30"/>
  <c r="S65" i="30"/>
  <c r="N65" i="30"/>
  <c r="S366" i="30"/>
  <c r="L377" i="30"/>
  <c r="E17" i="30"/>
  <c r="S22" i="30"/>
  <c r="J31" i="30"/>
  <c r="S32" i="30"/>
  <c r="S39" i="30"/>
  <c r="K39" i="30"/>
  <c r="S43" i="30"/>
  <c r="S51" i="30"/>
  <c r="S61" i="30"/>
  <c r="N61" i="30"/>
  <c r="J113" i="30"/>
  <c r="P119" i="30"/>
  <c r="S137" i="30"/>
  <c r="L153" i="30"/>
  <c r="M181" i="30"/>
  <c r="F182" i="30"/>
  <c r="S263" i="30"/>
  <c r="N330" i="30"/>
  <c r="S330" i="30"/>
  <c r="L83" i="30"/>
  <c r="N120" i="30"/>
  <c r="N334" i="30"/>
  <c r="S334" i="30"/>
  <c r="S126" i="30"/>
  <c r="N126" i="30"/>
  <c r="E7" i="30"/>
  <c r="S132" i="30"/>
  <c r="N132" i="30"/>
  <c r="N47" i="30"/>
  <c r="N321" i="30"/>
  <c r="S321" i="30"/>
  <c r="N10" i="30"/>
  <c r="N32" i="30"/>
  <c r="N83" i="30"/>
  <c r="Q108" i="30"/>
  <c r="S128" i="30"/>
  <c r="N128" i="30"/>
  <c r="S140" i="30"/>
  <c r="N140" i="30"/>
  <c r="F186" i="30"/>
  <c r="F194" i="30"/>
  <c r="S202" i="30"/>
  <c r="L210" i="30"/>
  <c r="N209" i="30"/>
  <c r="F285" i="30"/>
  <c r="E285" i="30" s="1"/>
  <c r="L72" i="30"/>
  <c r="K72" i="30" s="1"/>
  <c r="AI457" i="30"/>
  <c r="N62" i="30"/>
  <c r="N95" i="30"/>
  <c r="S95" i="30"/>
  <c r="P96" i="30"/>
  <c r="L135" i="30"/>
  <c r="N271" i="30"/>
  <c r="S145" i="30"/>
  <c r="S33" i="30"/>
  <c r="S356" i="30"/>
  <c r="AO402" i="30"/>
  <c r="S291" i="30"/>
  <c r="AO485" i="30"/>
  <c r="S168" i="30"/>
  <c r="S236" i="30"/>
  <c r="K17" i="30"/>
  <c r="R17" i="30"/>
  <c r="S31" i="30"/>
  <c r="S46" i="30"/>
  <c r="N46" i="30"/>
  <c r="S96" i="30"/>
  <c r="N96" i="30"/>
  <c r="N100" i="30"/>
  <c r="K100" i="30"/>
  <c r="P113" i="30"/>
  <c r="L122" i="30"/>
  <c r="S134" i="30"/>
  <c r="N134" i="30"/>
  <c r="N158" i="30"/>
  <c r="P185" i="30"/>
  <c r="P194" i="30" s="1"/>
  <c r="N184" i="30"/>
  <c r="N202" i="30"/>
  <c r="R308" i="30"/>
  <c r="P308" i="30"/>
  <c r="Z470" i="30"/>
  <c r="AL443" i="30"/>
  <c r="AF440" i="30"/>
  <c r="Z435" i="30"/>
  <c r="Z430" i="30"/>
  <c r="AL428" i="30"/>
  <c r="AF412" i="30"/>
  <c r="AF445" i="30"/>
  <c r="Z440" i="30"/>
  <c r="AI440" i="30" s="1"/>
  <c r="AL436" i="30"/>
  <c r="AL431" i="30"/>
  <c r="AF425" i="30"/>
  <c r="AL476" i="30"/>
  <c r="AO476" i="30" s="1"/>
  <c r="AL441" i="30"/>
  <c r="AF438" i="30"/>
  <c r="Z425" i="30"/>
  <c r="AI425" i="30" s="1"/>
  <c r="AL421" i="30"/>
  <c r="Z412" i="30"/>
  <c r="Z473" i="30"/>
  <c r="AL446" i="30"/>
  <c r="AF443" i="30"/>
  <c r="Z438" i="30"/>
  <c r="AL434" i="30"/>
  <c r="AF428" i="30"/>
  <c r="AL417" i="30"/>
  <c r="AF409" i="30"/>
  <c r="Z497" i="30"/>
  <c r="AI497" i="30" s="1"/>
  <c r="Z478" i="30"/>
  <c r="AL474" i="30"/>
  <c r="AO474" i="30" s="1"/>
  <c r="AF471" i="30"/>
  <c r="AL439" i="30"/>
  <c r="Z428" i="30"/>
  <c r="Z423" i="30"/>
  <c r="AL414" i="30"/>
  <c r="Z410" i="30"/>
  <c r="AF495" i="30"/>
  <c r="AL463" i="30"/>
  <c r="Z436" i="30"/>
  <c r="Z431" i="30"/>
  <c r="AL424" i="30"/>
  <c r="AF421" i="30"/>
  <c r="AL413" i="30"/>
  <c r="V485" i="30"/>
  <c r="Z474" i="30"/>
  <c r="AL447" i="30"/>
  <c r="AF444" i="30"/>
  <c r="Z439" i="30"/>
  <c r="AL435" i="30"/>
  <c r="AL430" i="30"/>
  <c r="AF418" i="30"/>
  <c r="AF415" i="30"/>
  <c r="AF413" i="30"/>
  <c r="Z495" i="30"/>
  <c r="AI495" i="30" s="1"/>
  <c r="AF474" i="30"/>
  <c r="AF451" i="30"/>
  <c r="C291" i="30"/>
  <c r="C356" i="30" s="1"/>
  <c r="AF470" i="30"/>
  <c r="AF447" i="30"/>
  <c r="AL442" i="30"/>
  <c r="AF434" i="30"/>
  <c r="AF427" i="30"/>
  <c r="AL422" i="30"/>
  <c r="Z417" i="30"/>
  <c r="AL472" i="30"/>
  <c r="AO472" i="30" s="1"/>
  <c r="AF465" i="30"/>
  <c r="Z422" i="30"/>
  <c r="AL409" i="30"/>
  <c r="Z476" i="30"/>
  <c r="AF472" i="30"/>
  <c r="Z465" i="30"/>
  <c r="AI465" i="30" s="1"/>
  <c r="AL445" i="30"/>
  <c r="Z441" i="30"/>
  <c r="AF429" i="30"/>
  <c r="AL425" i="30"/>
  <c r="AO425" i="30" s="1"/>
  <c r="Z421" i="30"/>
  <c r="AL411" i="30"/>
  <c r="C168" i="30"/>
  <c r="Z444" i="30" s="1"/>
  <c r="Z463" i="30"/>
  <c r="AI463" i="30" s="1"/>
  <c r="Z449" i="30"/>
  <c r="AI449" i="30" s="1"/>
  <c r="AL432" i="30"/>
  <c r="Z479" i="30"/>
  <c r="AL440" i="30"/>
  <c r="AO440" i="30" s="1"/>
  <c r="AF432" i="30"/>
  <c r="AH432" i="30" s="1"/>
  <c r="Z432" i="30"/>
  <c r="AI432" i="30" s="1"/>
  <c r="Z424" i="30"/>
  <c r="AF446" i="30"/>
  <c r="AL438" i="30"/>
  <c r="Z418" i="30"/>
  <c r="Z446" i="30"/>
  <c r="AL437" i="30"/>
  <c r="AF430" i="30"/>
  <c r="AF422" i="30"/>
  <c r="R172" i="30"/>
  <c r="Q176" i="30"/>
  <c r="F210" i="30"/>
  <c r="S220" i="30"/>
  <c r="M307" i="30"/>
  <c r="S375" i="30"/>
  <c r="AN491" i="30"/>
  <c r="AH491" i="30"/>
  <c r="Q83" i="30"/>
  <c r="E78" i="30"/>
  <c r="R100" i="30"/>
  <c r="K102" i="30"/>
  <c r="R102" i="30" s="1"/>
  <c r="K119" i="30"/>
  <c r="Q185" i="30"/>
  <c r="P177" i="30"/>
  <c r="Q179" i="30"/>
  <c r="S178" i="30"/>
  <c r="Q304" i="30"/>
  <c r="Z434" i="30"/>
  <c r="AL450" i="30"/>
  <c r="AO450" i="30" s="1"/>
  <c r="AN457" i="30"/>
  <c r="AH457" i="30"/>
  <c r="E82" i="30"/>
  <c r="D82" i="30" s="1"/>
  <c r="E97" i="30"/>
  <c r="E159" i="30"/>
  <c r="D159" i="30" s="1"/>
  <c r="E116" i="30"/>
  <c r="D108" i="30"/>
  <c r="D105" i="30"/>
  <c r="S102" i="30"/>
  <c r="P112" i="30"/>
  <c r="O112" i="30"/>
  <c r="Q122" i="30"/>
  <c r="K114" i="30"/>
  <c r="P117" i="30"/>
  <c r="E121" i="30"/>
  <c r="F135" i="30"/>
  <c r="F163" i="30"/>
  <c r="O185" i="30"/>
  <c r="Q210" i="30"/>
  <c r="S264" i="30"/>
  <c r="S136" i="30"/>
  <c r="N136" i="30"/>
  <c r="S144" i="30"/>
  <c r="N144" i="30"/>
  <c r="N163" i="30"/>
  <c r="K159" i="30"/>
  <c r="J159" i="30" s="1"/>
  <c r="S204" i="30"/>
  <c r="S207" i="30"/>
  <c r="S218" i="30"/>
  <c r="N218" i="30"/>
  <c r="S241" i="30"/>
  <c r="S242" i="30" s="1"/>
  <c r="L242" i="30"/>
  <c r="M244" i="30"/>
  <c r="K250" i="30"/>
  <c r="S256" i="30"/>
  <c r="N264" i="30"/>
  <c r="S295" i="30"/>
  <c r="N302" i="30"/>
  <c r="R360" i="30"/>
  <c r="O362" i="30"/>
  <c r="AH455" i="30"/>
  <c r="AI455" i="30" s="1"/>
  <c r="M100" i="30"/>
  <c r="Q153" i="30"/>
  <c r="N159" i="30"/>
  <c r="N204" i="30"/>
  <c r="N207" i="30"/>
  <c r="N256" i="30"/>
  <c r="N267" i="30"/>
  <c r="AF480" i="30"/>
  <c r="K120" i="30"/>
  <c r="K116" i="30"/>
  <c r="J105" i="30"/>
  <c r="K113" i="30"/>
  <c r="K112" i="30"/>
  <c r="K104" i="30"/>
  <c r="R104" i="30" s="1"/>
  <c r="Q182" i="30"/>
  <c r="S181" i="30"/>
  <c r="L229" i="30"/>
  <c r="S254" i="30"/>
  <c r="N254" i="30"/>
  <c r="Q285" i="30"/>
  <c r="S277" i="30"/>
  <c r="S280" i="30"/>
  <c r="N280" i="30"/>
  <c r="S333" i="30"/>
  <c r="S363" i="30"/>
  <c r="Z437" i="30"/>
  <c r="S150" i="30"/>
  <c r="L163" i="30"/>
  <c r="S162" i="30"/>
  <c r="N162" i="30"/>
  <c r="K185" i="30"/>
  <c r="K201" i="30"/>
  <c r="S262" i="30"/>
  <c r="S274" i="30"/>
  <c r="D304" i="30"/>
  <c r="P297" i="30"/>
  <c r="M308" i="30"/>
  <c r="K308" i="30"/>
  <c r="S324" i="30"/>
  <c r="N324" i="30"/>
  <c r="N333" i="30"/>
  <c r="Z426" i="30"/>
  <c r="AI426" i="30" s="1"/>
  <c r="AF442" i="30"/>
  <c r="S160" i="30"/>
  <c r="S163" i="30" s="1"/>
  <c r="L245" i="30"/>
  <c r="S275" i="30"/>
  <c r="S283" i="30"/>
  <c r="M296" i="30"/>
  <c r="S297" i="30"/>
  <c r="S298" i="30"/>
  <c r="N298" i="30"/>
  <c r="R300" i="30"/>
  <c r="S328" i="30"/>
  <c r="N328" i="30"/>
  <c r="N160" i="30"/>
  <c r="Q189" i="30"/>
  <c r="S203" i="30"/>
  <c r="N223" i="30"/>
  <c r="N263" i="30"/>
  <c r="N275" i="30"/>
  <c r="N283" i="30"/>
  <c r="K296" i="30"/>
  <c r="P300" i="30"/>
  <c r="F304" i="30"/>
  <c r="F309" i="30" s="1"/>
  <c r="F314" i="30" s="1"/>
  <c r="F353" i="30" s="1"/>
  <c r="Q349" i="30"/>
  <c r="N343" i="30"/>
  <c r="S343" i="30"/>
  <c r="S370" i="30"/>
  <c r="F395" i="30"/>
  <c r="E395" i="30" s="1"/>
  <c r="AN458" i="30"/>
  <c r="AO458" i="30" s="1"/>
  <c r="AH496" i="30"/>
  <c r="AI496" i="30" s="1"/>
  <c r="N148" i="30"/>
  <c r="N150" i="30"/>
  <c r="N152" i="30"/>
  <c r="N203" i="30"/>
  <c r="N212" i="30"/>
  <c r="N214" i="30"/>
  <c r="Q266" i="30"/>
  <c r="Q287" i="30" s="1"/>
  <c r="L304" i="30"/>
  <c r="J304" i="30"/>
  <c r="L395" i="30"/>
  <c r="K395" i="30" s="1"/>
  <c r="AN469" i="30"/>
  <c r="AH469" i="30"/>
  <c r="AI469" i="30" s="1"/>
  <c r="AH493" i="30"/>
  <c r="L179" i="30"/>
  <c r="N179" i="30" s="1"/>
  <c r="L182" i="30"/>
  <c r="S201" i="30"/>
  <c r="N208" i="30"/>
  <c r="N221" i="30"/>
  <c r="N248" i="30"/>
  <c r="L248" i="30"/>
  <c r="S273" i="30"/>
  <c r="N278" i="30"/>
  <c r="S281" i="30"/>
  <c r="M295" i="30"/>
  <c r="R298" i="30"/>
  <c r="N323" i="30"/>
  <c r="S329" i="30"/>
  <c r="N329" i="30"/>
  <c r="N332" i="30"/>
  <c r="S332" i="30"/>
  <c r="AO453" i="30"/>
  <c r="AN453" i="30"/>
  <c r="N157" i="30"/>
  <c r="N201" i="30"/>
  <c r="S206" i="30"/>
  <c r="N247" i="30"/>
  <c r="E266" i="30"/>
  <c r="N273" i="30"/>
  <c r="N281" i="30"/>
  <c r="R296" i="30"/>
  <c r="P298" i="30"/>
  <c r="R299" i="30"/>
  <c r="S312" i="30"/>
  <c r="R312" i="30" s="1"/>
  <c r="S335" i="30"/>
  <c r="S276" i="30"/>
  <c r="S284" i="30"/>
  <c r="P295" i="30"/>
  <c r="O304" i="30"/>
  <c r="S307" i="30"/>
  <c r="Q377" i="30"/>
  <c r="AI491" i="30"/>
  <c r="L250" i="30"/>
  <c r="J362" i="30"/>
  <c r="K362" i="30" s="1"/>
  <c r="Q395" i="30"/>
  <c r="P395" i="30" s="1"/>
  <c r="AO457" i="30"/>
  <c r="S296" i="30"/>
  <c r="S300" i="30"/>
  <c r="S326" i="30"/>
  <c r="S340" i="30"/>
  <c r="S348" i="30"/>
  <c r="S384" i="30"/>
  <c r="S395" i="30" s="1"/>
  <c r="AO491" i="30"/>
  <c r="AN494" i="30"/>
  <c r="F377" i="30"/>
  <c r="AO469" i="30"/>
  <c r="N338" i="30"/>
  <c r="N346" i="30"/>
  <c r="N322" i="30"/>
  <c r="S360" i="30"/>
  <c r="L362" i="30"/>
  <c r="AN454" i="30"/>
  <c r="AO454" i="30" s="1"/>
  <c r="AH454" i="30"/>
  <c r="AO461" i="30"/>
  <c r="AN492" i="30"/>
  <c r="S320" i="30"/>
  <c r="N336" i="30"/>
  <c r="S344" i="30"/>
  <c r="S371" i="30"/>
  <c r="AN420" i="30"/>
  <c r="AO420" i="30" s="1"/>
  <c r="AH461" i="30"/>
  <c r="AI461" i="30" s="1"/>
  <c r="N28" i="30" l="1"/>
  <c r="AO445" i="30"/>
  <c r="AH425" i="30"/>
  <c r="AN425" i="30"/>
  <c r="Q289" i="30"/>
  <c r="P289" i="30" s="1"/>
  <c r="Q251" i="30"/>
  <c r="AH426" i="30"/>
  <c r="F400" i="30"/>
  <c r="AK409" i="30"/>
  <c r="AO409" i="30"/>
  <c r="AN445" i="30"/>
  <c r="S83" i="30"/>
  <c r="E27" i="30"/>
  <c r="F108" i="30"/>
  <c r="E135" i="30" s="1"/>
  <c r="D112" i="30"/>
  <c r="P41" i="30"/>
  <c r="Q74" i="30"/>
  <c r="P74" i="30" s="1"/>
  <c r="O32" i="30"/>
  <c r="AI454" i="30"/>
  <c r="R304" i="30"/>
  <c r="P304" i="30"/>
  <c r="O309" i="30"/>
  <c r="F287" i="30"/>
  <c r="N285" i="30"/>
  <c r="AI444" i="30"/>
  <c r="AF414" i="30"/>
  <c r="Z415" i="30"/>
  <c r="AL410" i="30"/>
  <c r="AF449" i="30"/>
  <c r="AF441" i="30"/>
  <c r="AL429" i="30"/>
  <c r="Z411" i="30"/>
  <c r="AF448" i="30"/>
  <c r="Z445" i="30"/>
  <c r="AF450" i="30"/>
  <c r="Z447" i="30"/>
  <c r="S210" i="30"/>
  <c r="N210" i="30"/>
  <c r="L231" i="30"/>
  <c r="K210" i="30"/>
  <c r="Q27" i="30"/>
  <c r="S14" i="30"/>
  <c r="S54" i="30"/>
  <c r="S304" i="30"/>
  <c r="S305" i="30" s="1"/>
  <c r="L309" i="30"/>
  <c r="N304" i="30"/>
  <c r="N305" i="30" s="1"/>
  <c r="K105" i="30"/>
  <c r="M105" i="30"/>
  <c r="P186" i="30"/>
  <c r="R185" i="30"/>
  <c r="Q186" i="30"/>
  <c r="Q194" i="30"/>
  <c r="Y410" i="30"/>
  <c r="S106" i="30"/>
  <c r="S362" i="30"/>
  <c r="AN472" i="30"/>
  <c r="AH472" i="30"/>
  <c r="AI472" i="30" s="1"/>
  <c r="AN430" i="30"/>
  <c r="AO430" i="30" s="1"/>
  <c r="AH430" i="30"/>
  <c r="AH444" i="30"/>
  <c r="S153" i="30"/>
  <c r="N153" i="30"/>
  <c r="K153" i="30"/>
  <c r="P54" i="30"/>
  <c r="AE415" i="30"/>
  <c r="AH415" i="30"/>
  <c r="AI428" i="30"/>
  <c r="AI418" i="30"/>
  <c r="Y418" i="30"/>
  <c r="AK411" i="30"/>
  <c r="AF435" i="30"/>
  <c r="AF416" i="30"/>
  <c r="AF463" i="30"/>
  <c r="AL444" i="30"/>
  <c r="AF431" i="30"/>
  <c r="AL415" i="30"/>
  <c r="AL451" i="30"/>
  <c r="AO451" i="30" s="1"/>
  <c r="Z450" i="30"/>
  <c r="AI450" i="30" s="1"/>
  <c r="AL471" i="30"/>
  <c r="AO471" i="30" s="1"/>
  <c r="AL448" i="30"/>
  <c r="K377" i="30"/>
  <c r="S377" i="30"/>
  <c r="L397" i="30"/>
  <c r="Q351" i="30"/>
  <c r="N72" i="30"/>
  <c r="N85" i="30" s="1"/>
  <c r="L28" i="30"/>
  <c r="E72" i="30"/>
  <c r="AN451" i="30"/>
  <c r="AH428" i="30"/>
  <c r="AN428" i="30"/>
  <c r="Y412" i="30"/>
  <c r="AI412" i="30"/>
  <c r="P72" i="30"/>
  <c r="S250" i="30"/>
  <c r="S251" i="30" s="1"/>
  <c r="K266" i="30"/>
  <c r="N250" i="30"/>
  <c r="N251" i="30" s="1"/>
  <c r="R362" i="30"/>
  <c r="P362" i="30"/>
  <c r="AN421" i="30"/>
  <c r="AH421" i="30"/>
  <c r="AN442" i="30"/>
  <c r="AO442" i="30" s="1"/>
  <c r="M185" i="30"/>
  <c r="K194" i="30"/>
  <c r="K186" i="30"/>
  <c r="AN434" i="30"/>
  <c r="AH434" i="30"/>
  <c r="AK414" i="30"/>
  <c r="AN440" i="30"/>
  <c r="AH440" i="30"/>
  <c r="AN447" i="30"/>
  <c r="AO447" i="30" s="1"/>
  <c r="AH447" i="30"/>
  <c r="AE409" i="30"/>
  <c r="AN409" i="30"/>
  <c r="N229" i="30"/>
  <c r="S229" i="30"/>
  <c r="P122" i="30"/>
  <c r="Q155" i="30"/>
  <c r="P155" i="30" s="1"/>
  <c r="L251" i="30"/>
  <c r="AI434" i="30"/>
  <c r="AI421" i="30"/>
  <c r="Z442" i="30"/>
  <c r="AH442" i="30" s="1"/>
  <c r="Z451" i="30"/>
  <c r="AI451" i="30" s="1"/>
  <c r="AF417" i="30"/>
  <c r="AL470" i="30"/>
  <c r="AL449" i="30"/>
  <c r="AO449" i="30" s="1"/>
  <c r="AF436" i="30"/>
  <c r="AL416" i="30"/>
  <c r="AL419" i="30" s="1"/>
  <c r="AF464" i="30"/>
  <c r="AF473" i="30"/>
  <c r="Z475" i="30"/>
  <c r="AL464" i="30"/>
  <c r="AL466" i="30" s="1"/>
  <c r="AO466" i="30" s="1"/>
  <c r="L155" i="30"/>
  <c r="S122" i="30"/>
  <c r="N122" i="30"/>
  <c r="K122" i="30"/>
  <c r="S135" i="30"/>
  <c r="N135" i="30"/>
  <c r="K135" i="30"/>
  <c r="F195" i="30"/>
  <c r="F233" i="30"/>
  <c r="N13" i="30"/>
  <c r="N14" i="30" s="1"/>
  <c r="S72" i="30"/>
  <c r="S24" i="30"/>
  <c r="S25" i="30" s="1"/>
  <c r="AK413" i="30"/>
  <c r="AE480" i="30"/>
  <c r="AD480" i="30"/>
  <c r="AH480" i="30"/>
  <c r="AI480" i="30" s="1"/>
  <c r="AN480" i="30"/>
  <c r="AO480" i="30" s="1"/>
  <c r="AE413" i="30"/>
  <c r="AN413" i="30"/>
  <c r="AO413" i="30" s="1"/>
  <c r="AH438" i="30"/>
  <c r="AI438" i="30" s="1"/>
  <c r="AN438" i="30"/>
  <c r="AO438" i="30" s="1"/>
  <c r="Q309" i="30"/>
  <c r="AH465" i="30"/>
  <c r="E349" i="30"/>
  <c r="Z407" i="30"/>
  <c r="F85" i="30"/>
  <c r="AN429" i="30"/>
  <c r="AF424" i="30"/>
  <c r="AF479" i="30"/>
  <c r="Z471" i="30"/>
  <c r="Z443" i="30"/>
  <c r="AL418" i="30"/>
  <c r="AF478" i="30"/>
  <c r="Z480" i="30"/>
  <c r="Z414" i="30"/>
  <c r="AF475" i="30"/>
  <c r="L287" i="30"/>
  <c r="S266" i="30"/>
  <c r="N266" i="30"/>
  <c r="S285" i="30"/>
  <c r="K285" i="30"/>
  <c r="Z472" i="30"/>
  <c r="AL465" i="30"/>
  <c r="E41" i="30"/>
  <c r="AN495" i="30"/>
  <c r="AH495" i="30"/>
  <c r="AO428" i="30"/>
  <c r="AN474" i="30"/>
  <c r="AH474" i="30"/>
  <c r="AI474" i="30" s="1"/>
  <c r="AO421" i="30"/>
  <c r="S108" i="30"/>
  <c r="S109" i="30" s="1"/>
  <c r="L165" i="30"/>
  <c r="AN422" i="30"/>
  <c r="AH422" i="30"/>
  <c r="AI422" i="30" s="1"/>
  <c r="K22" i="30"/>
  <c r="R22" i="30" s="1"/>
  <c r="J24" i="30"/>
  <c r="K13" i="30"/>
  <c r="J27" i="30"/>
  <c r="K23" i="30"/>
  <c r="R23" i="30" s="1"/>
  <c r="K21" i="30"/>
  <c r="R21" i="30" s="1"/>
  <c r="L74" i="30"/>
  <c r="Q397" i="30"/>
  <c r="P377" i="30"/>
  <c r="AH443" i="30"/>
  <c r="AN443" i="30"/>
  <c r="AO443" i="30" s="1"/>
  <c r="AH470" i="30"/>
  <c r="AI470" i="30" s="1"/>
  <c r="AN470" i="30"/>
  <c r="AE412" i="30"/>
  <c r="AN412" i="30"/>
  <c r="AH412" i="30"/>
  <c r="O113" i="30"/>
  <c r="F155" i="30"/>
  <c r="E377" i="30"/>
  <c r="F397" i="30"/>
  <c r="AN466" i="30"/>
  <c r="D309" i="30"/>
  <c r="E304" i="30"/>
  <c r="P153" i="30"/>
  <c r="E105" i="30"/>
  <c r="AF437" i="30"/>
  <c r="AF477" i="30"/>
  <c r="AL412" i="30"/>
  <c r="AL427" i="30"/>
  <c r="AO427" i="30" s="1"/>
  <c r="AF476" i="30"/>
  <c r="Z448" i="30"/>
  <c r="AF423" i="30"/>
  <c r="AF497" i="30"/>
  <c r="AF411" i="30"/>
  <c r="AL423" i="30"/>
  <c r="AL433" i="30" s="1"/>
  <c r="AL478" i="30"/>
  <c r="AO478" i="30" s="1"/>
  <c r="L351" i="30"/>
  <c r="S97" i="30"/>
  <c r="S98" i="30" s="1"/>
  <c r="N105" i="30"/>
  <c r="N106" i="30" s="1"/>
  <c r="S105" i="30"/>
  <c r="E330" i="30"/>
  <c r="L194" i="30"/>
  <c r="K229" i="30" s="1"/>
  <c r="N185" i="30"/>
  <c r="N186" i="30" s="1"/>
  <c r="L186" i="30"/>
  <c r="S185" i="30"/>
  <c r="S186" i="30" s="1"/>
  <c r="P97" i="30"/>
  <c r="O105" i="30"/>
  <c r="P105" i="30" s="1"/>
  <c r="O108" i="30"/>
  <c r="P118" i="30"/>
  <c r="O27" i="30"/>
  <c r="P27" i="30" s="1"/>
  <c r="P13" i="30"/>
  <c r="O24" i="30"/>
  <c r="F74" i="30"/>
  <c r="E74" i="30" s="1"/>
  <c r="AO422" i="30"/>
  <c r="AN471" i="30"/>
  <c r="AH471" i="30"/>
  <c r="AI471" i="30" s="1"/>
  <c r="AN427" i="30"/>
  <c r="AH427" i="30"/>
  <c r="AI430" i="30"/>
  <c r="AN446" i="30"/>
  <c r="AO446" i="30" s="1"/>
  <c r="AH446" i="30"/>
  <c r="AI446" i="30" s="1"/>
  <c r="AN418" i="30"/>
  <c r="AH418" i="30"/>
  <c r="AE418" i="30"/>
  <c r="AO417" i="30"/>
  <c r="AK417" i="30"/>
  <c r="J309" i="30"/>
  <c r="K304" i="30"/>
  <c r="M304" i="30"/>
  <c r="Q231" i="30"/>
  <c r="M108" i="30"/>
  <c r="M109" i="30" s="1"/>
  <c r="F231" i="30"/>
  <c r="E231" i="30" s="1"/>
  <c r="E210" i="30"/>
  <c r="AI417" i="30"/>
  <c r="Y417" i="30"/>
  <c r="AF439" i="30"/>
  <c r="Z429" i="30"/>
  <c r="Z409" i="30"/>
  <c r="AL479" i="30"/>
  <c r="AO479" i="30" s="1"/>
  <c r="Z464" i="30"/>
  <c r="AL426" i="30"/>
  <c r="AO426" i="30" s="1"/>
  <c r="AF410" i="30"/>
  <c r="Z413" i="30"/>
  <c r="Z427" i="30"/>
  <c r="K108" i="30"/>
  <c r="N349" i="30"/>
  <c r="E351" i="30"/>
  <c r="Z416" i="30"/>
  <c r="S41" i="30"/>
  <c r="P115" i="30"/>
  <c r="AN439" i="30" l="1"/>
  <c r="AO439" i="30" s="1"/>
  <c r="AH439" i="30"/>
  <c r="AI439" i="30" s="1"/>
  <c r="M309" i="30"/>
  <c r="K309" i="30"/>
  <c r="J314" i="30"/>
  <c r="AF406" i="30" s="1"/>
  <c r="AI409" i="30"/>
  <c r="Z419" i="30"/>
  <c r="Y409" i="30"/>
  <c r="AG409" i="30" s="1"/>
  <c r="R109" i="30"/>
  <c r="P108" i="30"/>
  <c r="R108" i="30"/>
  <c r="S351" i="30"/>
  <c r="N351" i="30"/>
  <c r="K351" i="30"/>
  <c r="K78" i="30"/>
  <c r="M27" i="30"/>
  <c r="M28" i="30" s="1"/>
  <c r="K27" i="30"/>
  <c r="R27" i="30"/>
  <c r="R28" i="30" s="1"/>
  <c r="N287" i="30"/>
  <c r="K287" i="30"/>
  <c r="S287" i="30"/>
  <c r="AH473" i="30"/>
  <c r="AI473" i="30" s="1"/>
  <c r="AN473" i="30"/>
  <c r="AH409" i="30"/>
  <c r="AO415" i="30"/>
  <c r="AK415" i="30"/>
  <c r="Y428" i="30"/>
  <c r="Q195" i="30"/>
  <c r="Q233" i="30"/>
  <c r="P233" i="30" s="1"/>
  <c r="P229" i="30"/>
  <c r="AK410" i="30"/>
  <c r="Y429" i="30"/>
  <c r="Y430" i="30"/>
  <c r="AN475" i="30"/>
  <c r="AH475" i="30"/>
  <c r="AI475" i="30" s="1"/>
  <c r="AH464" i="30"/>
  <c r="R250" i="30"/>
  <c r="M250" i="30"/>
  <c r="L289" i="30"/>
  <c r="AN431" i="30"/>
  <c r="AO431" i="30" s="1"/>
  <c r="AH431" i="30"/>
  <c r="AI431" i="30" s="1"/>
  <c r="S231" i="30"/>
  <c r="K231" i="30"/>
  <c r="N231" i="30"/>
  <c r="Y415" i="30"/>
  <c r="AG415" i="30" s="1"/>
  <c r="AI415" i="30"/>
  <c r="AO444" i="30"/>
  <c r="AN436" i="30"/>
  <c r="AO436" i="30" s="1"/>
  <c r="AH436" i="30"/>
  <c r="AI436" i="30" s="1"/>
  <c r="AM415" i="30"/>
  <c r="AN416" i="30"/>
  <c r="AE416" i="30"/>
  <c r="AH416" i="30"/>
  <c r="AN415" i="30"/>
  <c r="AI447" i="30"/>
  <c r="AF481" i="30"/>
  <c r="AM418" i="30"/>
  <c r="AG418" i="30"/>
  <c r="AH423" i="30"/>
  <c r="AI423" i="30" s="1"/>
  <c r="AN423" i="30"/>
  <c r="AO423" i="30" s="1"/>
  <c r="E397" i="30"/>
  <c r="F399" i="30"/>
  <c r="AO418" i="30"/>
  <c r="AK418" i="30"/>
  <c r="AL481" i="30"/>
  <c r="AO470" i="30"/>
  <c r="S397" i="30"/>
  <c r="K397" i="30"/>
  <c r="AH435" i="30"/>
  <c r="AI435" i="30" s="1"/>
  <c r="AN435" i="30"/>
  <c r="AO435" i="30" s="1"/>
  <c r="AH450" i="30"/>
  <c r="AN450" i="30"/>
  <c r="AN426" i="30"/>
  <c r="Y414" i="30"/>
  <c r="AI414" i="30"/>
  <c r="AI448" i="30"/>
  <c r="S165" i="30"/>
  <c r="N165" i="30"/>
  <c r="AH463" i="30"/>
  <c r="AH466" i="30" s="1"/>
  <c r="AF466" i="30"/>
  <c r="F165" i="30"/>
  <c r="E153" i="30"/>
  <c r="E122" i="30"/>
  <c r="AN417" i="30"/>
  <c r="AH417" i="30"/>
  <c r="AE417" i="30"/>
  <c r="E287" i="30"/>
  <c r="F289" i="30"/>
  <c r="Y413" i="30"/>
  <c r="AM413" i="30" s="1"/>
  <c r="AI413" i="30"/>
  <c r="S195" i="30"/>
  <c r="L195" i="30"/>
  <c r="M194" i="30" s="1"/>
  <c r="S194" i="30"/>
  <c r="L233" i="30"/>
  <c r="N194" i="30"/>
  <c r="N195" i="30" s="1"/>
  <c r="AN476" i="30"/>
  <c r="AH476" i="30"/>
  <c r="AI476" i="30" s="1"/>
  <c r="E155" i="30"/>
  <c r="N108" i="30"/>
  <c r="N109" i="30" s="1"/>
  <c r="Z481" i="30"/>
  <c r="X481" i="30" s="1"/>
  <c r="AL452" i="30"/>
  <c r="L399" i="30"/>
  <c r="S399" i="30" s="1"/>
  <c r="S309" i="30"/>
  <c r="S310" i="30" s="1"/>
  <c r="N309" i="30"/>
  <c r="N310" i="30" s="1"/>
  <c r="L314" i="30"/>
  <c r="AH448" i="30"/>
  <c r="AN448" i="30"/>
  <c r="O314" i="30"/>
  <c r="R309" i="30"/>
  <c r="P309" i="30"/>
  <c r="K24" i="30"/>
  <c r="M24" i="30"/>
  <c r="K36" i="30"/>
  <c r="K82" i="30"/>
  <c r="J82" i="30" s="1"/>
  <c r="K35" i="30"/>
  <c r="K32" i="30"/>
  <c r="K37" i="30"/>
  <c r="K31" i="30"/>
  <c r="K33" i="30"/>
  <c r="K34" i="30"/>
  <c r="AE411" i="30"/>
  <c r="AN411" i="30"/>
  <c r="AO411" i="30" s="1"/>
  <c r="AH411" i="30"/>
  <c r="AI411" i="30" s="1"/>
  <c r="D314" i="30"/>
  <c r="E309" i="30"/>
  <c r="AI427" i="30"/>
  <c r="Z433" i="30"/>
  <c r="X433" i="30" s="1"/>
  <c r="AN479" i="30"/>
  <c r="AH479" i="30"/>
  <c r="AI479" i="30" s="1"/>
  <c r="AO448" i="30"/>
  <c r="Y411" i="30"/>
  <c r="AH445" i="30"/>
  <c r="AI445" i="30" s="1"/>
  <c r="E108" i="30"/>
  <c r="AO412" i="30"/>
  <c r="AK412" i="30"/>
  <c r="K74" i="30"/>
  <c r="S74" i="30"/>
  <c r="N74" i="30"/>
  <c r="L85" i="30"/>
  <c r="L109" i="30"/>
  <c r="AN424" i="30"/>
  <c r="AO424" i="30" s="1"/>
  <c r="AH424" i="30"/>
  <c r="AI424" i="30" s="1"/>
  <c r="N155" i="30"/>
  <c r="K155" i="30"/>
  <c r="S155" i="30"/>
  <c r="AO429" i="30"/>
  <c r="AI416" i="30"/>
  <c r="Y416" i="30"/>
  <c r="AN414" i="30"/>
  <c r="AO414" i="30" s="1"/>
  <c r="AH414" i="30"/>
  <c r="AE414" i="30"/>
  <c r="AH497" i="30"/>
  <c r="AN497" i="30"/>
  <c r="AI443" i="30"/>
  <c r="Q314" i="30"/>
  <c r="AL407" i="30" s="1"/>
  <c r="AH410" i="30"/>
  <c r="AI410" i="30" s="1"/>
  <c r="AE410" i="30"/>
  <c r="AN410" i="30"/>
  <c r="AO410" i="30" s="1"/>
  <c r="P24" i="30"/>
  <c r="P34" i="30"/>
  <c r="P35" i="30"/>
  <c r="P33" i="30"/>
  <c r="P36" i="30"/>
  <c r="P39" i="30"/>
  <c r="P37" i="30"/>
  <c r="P32" i="30"/>
  <c r="P38" i="30"/>
  <c r="P31" i="30"/>
  <c r="P40" i="30"/>
  <c r="AI464" i="30"/>
  <c r="Z466" i="30"/>
  <c r="P231" i="30"/>
  <c r="AN477" i="30"/>
  <c r="AH477" i="30"/>
  <c r="AI477" i="30" s="1"/>
  <c r="AH429" i="30"/>
  <c r="AI429" i="30" s="1"/>
  <c r="AH413" i="30"/>
  <c r="AF419" i="30"/>
  <c r="AF452" i="30"/>
  <c r="AH451" i="30"/>
  <c r="AN441" i="30"/>
  <c r="AO441" i="30" s="1"/>
  <c r="AH441" i="30"/>
  <c r="AI441" i="30" s="1"/>
  <c r="AO416" i="30"/>
  <c r="AK416" i="30"/>
  <c r="AH478" i="30"/>
  <c r="AI478" i="30" s="1"/>
  <c r="AN478" i="30"/>
  <c r="P397" i="30"/>
  <c r="Q399" i="30"/>
  <c r="AI442" i="30"/>
  <c r="AO434" i="30"/>
  <c r="P210" i="30"/>
  <c r="Q165" i="30"/>
  <c r="P165" i="30" s="1"/>
  <c r="AN437" i="30"/>
  <c r="AO437" i="30" s="1"/>
  <c r="AH437" i="30"/>
  <c r="AI437" i="30" s="1"/>
  <c r="AM412" i="30"/>
  <c r="AG412" i="30"/>
  <c r="Z452" i="30"/>
  <c r="X452" i="30" s="1"/>
  <c r="AN444" i="30"/>
  <c r="Q85" i="30"/>
  <c r="P85" i="30" s="1"/>
  <c r="S27" i="30"/>
  <c r="S85" i="30" s="1"/>
  <c r="P42" i="30"/>
  <c r="AN449" i="30"/>
  <c r="AH449" i="30"/>
  <c r="AF433" i="30"/>
  <c r="AJ466" i="30" l="1"/>
  <c r="AJ419" i="30"/>
  <c r="AJ433" i="30"/>
  <c r="AL483" i="30"/>
  <c r="AJ468" i="30"/>
  <c r="AJ452" i="30"/>
  <c r="AJ409" i="30"/>
  <c r="AJ411" i="30"/>
  <c r="AJ414" i="30"/>
  <c r="AJ413" i="30"/>
  <c r="AJ410" i="30"/>
  <c r="AJ415" i="30"/>
  <c r="AJ412" i="30"/>
  <c r="AI466" i="30"/>
  <c r="X466" i="30"/>
  <c r="AF468" i="30"/>
  <c r="AN419" i="30"/>
  <c r="AO419" i="30" s="1"/>
  <c r="AH419" i="30"/>
  <c r="AI419" i="30" s="1"/>
  <c r="AM417" i="30"/>
  <c r="AG417" i="30"/>
  <c r="AN452" i="30"/>
  <c r="AG410" i="30"/>
  <c r="AM410" i="30"/>
  <c r="Z468" i="30"/>
  <c r="X419" i="30"/>
  <c r="P314" i="30"/>
  <c r="R314" i="30"/>
  <c r="AL406" i="30"/>
  <c r="AO481" i="30"/>
  <c r="S28" i="30"/>
  <c r="M314" i="30"/>
  <c r="K314" i="30"/>
  <c r="AG411" i="30"/>
  <c r="AM411" i="30"/>
  <c r="AM416" i="30"/>
  <c r="AG416" i="30"/>
  <c r="AO452" i="30"/>
  <c r="Q353" i="30"/>
  <c r="P353" i="30" s="1"/>
  <c r="P349" i="30"/>
  <c r="P330" i="30"/>
  <c r="AM409" i="30"/>
  <c r="AM414" i="30"/>
  <c r="AG414" i="30"/>
  <c r="S233" i="30"/>
  <c r="N233" i="30"/>
  <c r="E314" i="30"/>
  <c r="Z406" i="30"/>
  <c r="L315" i="30"/>
  <c r="S314" i="30"/>
  <c r="S315" i="30" s="1"/>
  <c r="N314" i="30"/>
  <c r="N315" i="30" s="1"/>
  <c r="L353" i="30"/>
  <c r="K330" i="30"/>
  <c r="AF407" i="30"/>
  <c r="AD433" i="30" s="1"/>
  <c r="K349" i="30"/>
  <c r="P351" i="30"/>
  <c r="AG413" i="30"/>
  <c r="AL468" i="30"/>
  <c r="AH481" i="30"/>
  <c r="AI481" i="30" s="1"/>
  <c r="AN481" i="30"/>
  <c r="AH452" i="30"/>
  <c r="AI452" i="30" s="1"/>
  <c r="AH433" i="30"/>
  <c r="AI433" i="30" s="1"/>
  <c r="AN433" i="30"/>
  <c r="AO433" i="30" s="1"/>
  <c r="S289" i="30"/>
  <c r="N289" i="30"/>
  <c r="AK483" i="30" l="1"/>
  <c r="AH407" i="30"/>
  <c r="AI407" i="30" s="1"/>
  <c r="AD407" i="30"/>
  <c r="AF483" i="30"/>
  <c r="AN407" i="30"/>
  <c r="AO407" i="30" s="1"/>
  <c r="AD452" i="30"/>
  <c r="AD466" i="30"/>
  <c r="AD419" i="30"/>
  <c r="AH468" i="30"/>
  <c r="AI468" i="30" s="1"/>
  <c r="AD468" i="30"/>
  <c r="AN468" i="30"/>
  <c r="AD481" i="30"/>
  <c r="X407" i="30"/>
  <c r="Y448" i="30"/>
  <c r="AL489" i="30"/>
  <c r="S353" i="30"/>
  <c r="N353" i="30"/>
  <c r="L400" i="30"/>
  <c r="AO468" i="30"/>
  <c r="AJ407" i="30"/>
  <c r="X468" i="30"/>
  <c r="Z483" i="30"/>
  <c r="AH483" i="30" l="1"/>
  <c r="AI483" i="30" s="1"/>
  <c r="AE483" i="30"/>
  <c r="AF489" i="30"/>
  <c r="AN483" i="30"/>
  <c r="AO483" i="30" s="1"/>
  <c r="AL498" i="30"/>
  <c r="AL488" i="30"/>
  <c r="AK489" i="30"/>
  <c r="Z489" i="30"/>
  <c r="Y483" i="30"/>
  <c r="AK498" i="30" l="1"/>
  <c r="AN489" i="30"/>
  <c r="AO489" i="30" s="1"/>
  <c r="AF488" i="30"/>
  <c r="AH489" i="30"/>
  <c r="AI489" i="30" s="1"/>
  <c r="AF498" i="30"/>
  <c r="AE489" i="30"/>
  <c r="Z488" i="30"/>
  <c r="Y488" i="30" s="1"/>
  <c r="Z498" i="30"/>
  <c r="Y498" i="30" s="1"/>
  <c r="Y489" i="30"/>
  <c r="AK488" i="30"/>
  <c r="AH488" i="30" l="1"/>
  <c r="AI488" i="30" s="1"/>
  <c r="AE488" i="30"/>
  <c r="AN488" i="30"/>
  <c r="AO488" i="30" s="1"/>
  <c r="AN498" i="30"/>
  <c r="AO498" i="30" s="1"/>
  <c r="AH498" i="30"/>
  <c r="AI498" i="30" s="1"/>
  <c r="AE498" i="30"/>
  <c r="AL461" i="1" l="1"/>
  <c r="Q144" i="1" l="1"/>
  <c r="F144" i="1"/>
  <c r="Q158" i="1"/>
  <c r="AL453" i="1"/>
  <c r="AL493" i="1"/>
  <c r="AL492" i="1"/>
  <c r="AL491" i="1"/>
  <c r="AO491" i="1" s="1"/>
  <c r="AL490" i="1"/>
  <c r="AL489" i="1"/>
  <c r="AO489" i="1" s="1"/>
  <c r="AL468" i="1"/>
  <c r="AL456" i="1"/>
  <c r="AL419" i="1"/>
  <c r="Q347" i="1"/>
  <c r="I347" i="1"/>
  <c r="F347" i="1"/>
  <c r="I346" i="1"/>
  <c r="F346" i="1"/>
  <c r="Q345" i="1"/>
  <c r="I345" i="1"/>
  <c r="F345" i="1"/>
  <c r="Q284" i="1"/>
  <c r="I284" i="1"/>
  <c r="F284" i="1"/>
  <c r="Q283" i="1"/>
  <c r="I283" i="1"/>
  <c r="F283" i="1"/>
  <c r="Q282" i="1"/>
  <c r="I282" i="1"/>
  <c r="F282" i="1"/>
  <c r="Q228" i="1"/>
  <c r="I228" i="1"/>
  <c r="F228" i="1"/>
  <c r="Q227" i="1"/>
  <c r="I227" i="1"/>
  <c r="F227" i="1"/>
  <c r="Q226" i="1"/>
  <c r="I226" i="1"/>
  <c r="F226" i="1"/>
  <c r="Q209" i="1"/>
  <c r="I209" i="1"/>
  <c r="F209" i="1"/>
  <c r="Q162" i="1"/>
  <c r="I162" i="1"/>
  <c r="F162" i="1"/>
  <c r="I161" i="1"/>
  <c r="Q160" i="1"/>
  <c r="I160" i="1"/>
  <c r="F160" i="1"/>
  <c r="Q159" i="1"/>
  <c r="I159" i="1"/>
  <c r="F159" i="1"/>
  <c r="I158" i="1"/>
  <c r="F158" i="1"/>
  <c r="Q157" i="1"/>
  <c r="I157" i="1"/>
  <c r="Q156" i="1"/>
  <c r="I156" i="1"/>
  <c r="F156" i="1"/>
  <c r="Q152" i="1"/>
  <c r="I152" i="1"/>
  <c r="F152" i="1"/>
  <c r="Q151" i="1"/>
  <c r="I151" i="1"/>
  <c r="F151" i="1"/>
  <c r="Q150" i="1"/>
  <c r="I150" i="1"/>
  <c r="F150" i="1"/>
  <c r="I149" i="1"/>
  <c r="F149" i="1"/>
  <c r="Q148" i="1"/>
  <c r="I148" i="1"/>
  <c r="F148" i="1"/>
  <c r="Q147" i="1"/>
  <c r="I147" i="1"/>
  <c r="F147" i="1"/>
  <c r="I146" i="1"/>
  <c r="F146" i="1"/>
  <c r="Q145" i="1"/>
  <c r="I145" i="1"/>
  <c r="F145" i="1"/>
  <c r="I144" i="1"/>
  <c r="Q143" i="1"/>
  <c r="I143" i="1"/>
  <c r="F143" i="1"/>
  <c r="Q142" i="1"/>
  <c r="I142" i="1"/>
  <c r="F142" i="1"/>
  <c r="Q141" i="1"/>
  <c r="I141" i="1"/>
  <c r="F141" i="1"/>
  <c r="Q140" i="1"/>
  <c r="I140" i="1"/>
  <c r="F140" i="1"/>
  <c r="I139" i="1"/>
  <c r="F139" i="1"/>
  <c r="Q138" i="1"/>
  <c r="I138" i="1"/>
  <c r="Q137" i="1"/>
  <c r="I137" i="1"/>
  <c r="Q136" i="1"/>
  <c r="I136" i="1"/>
  <c r="Q121" i="1"/>
  <c r="I121" i="1"/>
  <c r="F121" i="1"/>
  <c r="I120" i="1"/>
  <c r="F120" i="1"/>
  <c r="Q119" i="1"/>
  <c r="I119" i="1"/>
  <c r="F119" i="1"/>
  <c r="Q134" i="1"/>
  <c r="I134" i="1"/>
  <c r="F134" i="1"/>
  <c r="Q133" i="1"/>
  <c r="I133" i="1"/>
  <c r="F133" i="1"/>
  <c r="Q132" i="1"/>
  <c r="I132" i="1"/>
  <c r="F132" i="1"/>
  <c r="Q131" i="1"/>
  <c r="I131" i="1"/>
  <c r="F131" i="1"/>
  <c r="Q130" i="1"/>
  <c r="I130" i="1"/>
  <c r="F130" i="1"/>
  <c r="Q129" i="1"/>
  <c r="I129" i="1"/>
  <c r="F129" i="1"/>
  <c r="Q128" i="1"/>
  <c r="I128" i="1"/>
  <c r="F128" i="1"/>
  <c r="Q127" i="1"/>
  <c r="I127" i="1"/>
  <c r="F127" i="1"/>
  <c r="Q126" i="1"/>
  <c r="I126" i="1"/>
  <c r="F126" i="1"/>
  <c r="Q125" i="1"/>
  <c r="I125" i="1"/>
  <c r="Q124" i="1"/>
  <c r="I124" i="1"/>
  <c r="F124" i="1"/>
  <c r="I123" i="1"/>
  <c r="F123" i="1"/>
  <c r="Q118" i="1"/>
  <c r="I118" i="1"/>
  <c r="F118" i="1"/>
  <c r="Q117" i="1"/>
  <c r="I117" i="1"/>
  <c r="F117" i="1"/>
  <c r="Q116" i="1"/>
  <c r="I116" i="1"/>
  <c r="F116" i="1"/>
  <c r="Q115" i="1"/>
  <c r="I115" i="1"/>
  <c r="F115" i="1"/>
  <c r="Q114" i="1"/>
  <c r="I114" i="1"/>
  <c r="F114" i="1"/>
  <c r="Q113" i="1"/>
  <c r="I113" i="1"/>
  <c r="F113" i="1"/>
  <c r="Q112" i="1"/>
  <c r="I112" i="1"/>
  <c r="F112" i="1"/>
  <c r="AC479" i="1"/>
  <c r="AC478" i="1"/>
  <c r="AC477" i="1"/>
  <c r="AC431" i="1"/>
  <c r="AC430" i="1"/>
  <c r="AC417" i="1"/>
  <c r="AC416" i="1"/>
  <c r="AB416" i="1" s="1"/>
  <c r="AC415" i="1"/>
  <c r="AB415" i="1" s="1"/>
  <c r="AC496" i="1"/>
  <c r="AC495" i="1"/>
  <c r="AB495" i="1" s="1"/>
  <c r="AC494" i="1"/>
  <c r="AB494" i="1" s="1"/>
  <c r="AC493" i="1"/>
  <c r="AC492" i="1"/>
  <c r="AC491" i="1"/>
  <c r="AB491" i="1" s="1"/>
  <c r="AC490" i="1"/>
  <c r="AB490" i="1" s="1"/>
  <c r="AF489" i="1"/>
  <c r="AC489" i="1"/>
  <c r="Z489" i="1"/>
  <c r="AI489" i="1" s="1"/>
  <c r="AL464" i="1" l="1"/>
  <c r="Z464" i="1"/>
  <c r="Z462" i="1"/>
  <c r="AH489" i="1"/>
  <c r="AB417" i="1"/>
  <c r="Q139" i="1"/>
  <c r="Q161" i="1"/>
  <c r="AL457" i="1"/>
  <c r="AL459" i="1"/>
  <c r="Q146" i="1"/>
  <c r="Q346" i="1"/>
  <c r="Q120" i="1"/>
  <c r="F157" i="1"/>
  <c r="AL452" i="1"/>
  <c r="Q123" i="1"/>
  <c r="F137" i="1"/>
  <c r="F161" i="1"/>
  <c r="AL460" i="1"/>
  <c r="F125" i="1"/>
  <c r="AL454" i="1"/>
  <c r="F138" i="1"/>
  <c r="AL455" i="1"/>
  <c r="F136" i="1"/>
  <c r="AL458" i="1"/>
  <c r="AB477" i="1"/>
  <c r="AB493" i="1"/>
  <c r="AB496" i="1"/>
  <c r="AB478" i="1"/>
  <c r="AB492" i="1"/>
  <c r="AB431" i="1"/>
  <c r="AB479" i="1"/>
  <c r="G113" i="1"/>
  <c r="AB430" i="1"/>
  <c r="AO493" i="1"/>
  <c r="AN489" i="1"/>
  <c r="AB489" i="1"/>
  <c r="AC476" i="1"/>
  <c r="AC475" i="1"/>
  <c r="AC474" i="1"/>
  <c r="AB474" i="1" s="1"/>
  <c r="AC473" i="1"/>
  <c r="AB473" i="1" s="1"/>
  <c r="AC472" i="1"/>
  <c r="AC471" i="1"/>
  <c r="AC470" i="1"/>
  <c r="AB470" i="1" s="1"/>
  <c r="AC469" i="1"/>
  <c r="AC468" i="1"/>
  <c r="AO461" i="1"/>
  <c r="AC461" i="1"/>
  <c r="Z461" i="1"/>
  <c r="AC460" i="1"/>
  <c r="AB460" i="1" s="1"/>
  <c r="AC459" i="1"/>
  <c r="AB459" i="1" s="1"/>
  <c r="AC458" i="1"/>
  <c r="AC457" i="1"/>
  <c r="AC456" i="1"/>
  <c r="AB456" i="1" s="1"/>
  <c r="AC455" i="1"/>
  <c r="AB455" i="1" s="1"/>
  <c r="AC454" i="1"/>
  <c r="AC453" i="1"/>
  <c r="AB453" i="1" s="1"/>
  <c r="AC452" i="1"/>
  <c r="AC450" i="1"/>
  <c r="AC449" i="1"/>
  <c r="AB449" i="1" s="1"/>
  <c r="AC448" i="1"/>
  <c r="AC447" i="1"/>
  <c r="AC446" i="1"/>
  <c r="AB446" i="1" s="1"/>
  <c r="AC445" i="1"/>
  <c r="AB445" i="1" s="1"/>
  <c r="AC444" i="1"/>
  <c r="AB444" i="1" s="1"/>
  <c r="AC443" i="1"/>
  <c r="AC442" i="1"/>
  <c r="AB442" i="1" s="1"/>
  <c r="AC441" i="1"/>
  <c r="AB441" i="1" s="1"/>
  <c r="AC440" i="1"/>
  <c r="AC439" i="1"/>
  <c r="AC438" i="1"/>
  <c r="AC437" i="1"/>
  <c r="AB437" i="1" s="1"/>
  <c r="AC436" i="1"/>
  <c r="AB436" i="1" s="1"/>
  <c r="AC435" i="1"/>
  <c r="AC434" i="1"/>
  <c r="AB434" i="1" s="1"/>
  <c r="AC433" i="1"/>
  <c r="AB433" i="1" s="1"/>
  <c r="AC429" i="1"/>
  <c r="AB429" i="1" s="1"/>
  <c r="AC428" i="1"/>
  <c r="AC427" i="1"/>
  <c r="AB427" i="1" s="1"/>
  <c r="AC426" i="1"/>
  <c r="AC425" i="1"/>
  <c r="AB425" i="1" s="1"/>
  <c r="AC424" i="1"/>
  <c r="AB424" i="1" s="1"/>
  <c r="AC423" i="1"/>
  <c r="AC422" i="1"/>
  <c r="AC421" i="1"/>
  <c r="AB421" i="1" s="1"/>
  <c r="AC420" i="1"/>
  <c r="AB420" i="1" s="1"/>
  <c r="AC419" i="1"/>
  <c r="AC414" i="1"/>
  <c r="AC413" i="1"/>
  <c r="AC412" i="1"/>
  <c r="AC411" i="1"/>
  <c r="AB411" i="1" s="1"/>
  <c r="AC410" i="1"/>
  <c r="AC409" i="1"/>
  <c r="AC408" i="1"/>
  <c r="Q104" i="1"/>
  <c r="O104" i="1"/>
  <c r="P104" i="1" s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J102" i="1"/>
  <c r="K102" i="1" s="1"/>
  <c r="I102" i="1"/>
  <c r="G102" i="1"/>
  <c r="H102" i="1" s="1"/>
  <c r="F102" i="1"/>
  <c r="D102" i="1"/>
  <c r="E102" i="1" s="1"/>
  <c r="Q100" i="1"/>
  <c r="O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I184" i="1"/>
  <c r="F184" i="1"/>
  <c r="Q359" i="1"/>
  <c r="O359" i="1"/>
  <c r="I359" i="1"/>
  <c r="G359" i="1"/>
  <c r="F359" i="1"/>
  <c r="D359" i="1"/>
  <c r="M359" i="1" s="1"/>
  <c r="I344" i="1"/>
  <c r="F344" i="1"/>
  <c r="Q343" i="1"/>
  <c r="I343" i="1"/>
  <c r="F343" i="1"/>
  <c r="Q342" i="1"/>
  <c r="I342" i="1"/>
  <c r="F342" i="1"/>
  <c r="Q341" i="1"/>
  <c r="I341" i="1"/>
  <c r="F341" i="1"/>
  <c r="Q340" i="1"/>
  <c r="I340" i="1"/>
  <c r="F340" i="1"/>
  <c r="Q339" i="1"/>
  <c r="I339" i="1"/>
  <c r="F339" i="1"/>
  <c r="Q338" i="1"/>
  <c r="I338" i="1"/>
  <c r="F338" i="1"/>
  <c r="Q337" i="1"/>
  <c r="I337" i="1"/>
  <c r="F337" i="1"/>
  <c r="Q336" i="1"/>
  <c r="I336" i="1"/>
  <c r="F336" i="1"/>
  <c r="Q335" i="1"/>
  <c r="I335" i="1"/>
  <c r="F335" i="1"/>
  <c r="Q334" i="1"/>
  <c r="I334" i="1"/>
  <c r="F334" i="1"/>
  <c r="Q333" i="1"/>
  <c r="I333" i="1"/>
  <c r="F333" i="1"/>
  <c r="Q332" i="1"/>
  <c r="I332" i="1"/>
  <c r="F332" i="1"/>
  <c r="Q331" i="1"/>
  <c r="I331" i="1"/>
  <c r="F331" i="1"/>
  <c r="Q330" i="1"/>
  <c r="I330" i="1"/>
  <c r="F330" i="1"/>
  <c r="Q328" i="1"/>
  <c r="I328" i="1"/>
  <c r="F328" i="1"/>
  <c r="Q327" i="1"/>
  <c r="I327" i="1"/>
  <c r="F327" i="1"/>
  <c r="Q326" i="1"/>
  <c r="I326" i="1"/>
  <c r="F326" i="1"/>
  <c r="Q325" i="1"/>
  <c r="I325" i="1"/>
  <c r="F325" i="1"/>
  <c r="Q324" i="1"/>
  <c r="I324" i="1"/>
  <c r="F324" i="1"/>
  <c r="Q323" i="1"/>
  <c r="I323" i="1"/>
  <c r="F323" i="1"/>
  <c r="Q322" i="1"/>
  <c r="I322" i="1"/>
  <c r="F322" i="1"/>
  <c r="Q321" i="1"/>
  <c r="I321" i="1"/>
  <c r="F321" i="1"/>
  <c r="Q320" i="1"/>
  <c r="I320" i="1"/>
  <c r="F320" i="1"/>
  <c r="Q319" i="1"/>
  <c r="I319" i="1"/>
  <c r="F319" i="1"/>
  <c r="Q318" i="1"/>
  <c r="I318" i="1"/>
  <c r="F318" i="1"/>
  <c r="Q312" i="1"/>
  <c r="O312" i="1"/>
  <c r="R312" i="1" s="1"/>
  <c r="I312" i="1"/>
  <c r="G312" i="1"/>
  <c r="H312" i="1" s="1"/>
  <c r="F312" i="1"/>
  <c r="D312" i="1"/>
  <c r="E312" i="1" s="1"/>
  <c r="Q311" i="1"/>
  <c r="O311" i="1"/>
  <c r="R311" i="1" s="1"/>
  <c r="L311" i="1"/>
  <c r="J311" i="1"/>
  <c r="I311" i="1"/>
  <c r="G311" i="1"/>
  <c r="H311" i="1" s="1"/>
  <c r="F311" i="1"/>
  <c r="D311" i="1"/>
  <c r="E311" i="1" s="1"/>
  <c r="Q308" i="1"/>
  <c r="O308" i="1"/>
  <c r="I308" i="1"/>
  <c r="G308" i="1"/>
  <c r="H308" i="1" s="1"/>
  <c r="F308" i="1"/>
  <c r="D308" i="1"/>
  <c r="Q307" i="1"/>
  <c r="O307" i="1"/>
  <c r="I307" i="1"/>
  <c r="G307" i="1"/>
  <c r="H307" i="1" s="1"/>
  <c r="F307" i="1"/>
  <c r="D307" i="1"/>
  <c r="Q303" i="1"/>
  <c r="O303" i="1"/>
  <c r="P303" i="1" s="1"/>
  <c r="I303" i="1"/>
  <c r="G303" i="1"/>
  <c r="H303" i="1" s="1"/>
  <c r="F303" i="1"/>
  <c r="D303" i="1"/>
  <c r="E303" i="1" s="1"/>
  <c r="Q302" i="1"/>
  <c r="O302" i="1"/>
  <c r="R302" i="1" s="1"/>
  <c r="I302" i="1"/>
  <c r="G302" i="1"/>
  <c r="H302" i="1" s="1"/>
  <c r="F302" i="1"/>
  <c r="D302" i="1"/>
  <c r="E302" i="1" s="1"/>
  <c r="Q301" i="1"/>
  <c r="O301" i="1"/>
  <c r="R301" i="1" s="1"/>
  <c r="I301" i="1"/>
  <c r="G301" i="1"/>
  <c r="H301" i="1" s="1"/>
  <c r="F301" i="1"/>
  <c r="D301" i="1"/>
  <c r="E301" i="1" s="1"/>
  <c r="Q300" i="1"/>
  <c r="O300" i="1"/>
  <c r="I300" i="1"/>
  <c r="G300" i="1"/>
  <c r="H300" i="1" s="1"/>
  <c r="F300" i="1"/>
  <c r="D300" i="1"/>
  <c r="Q299" i="1"/>
  <c r="O299" i="1"/>
  <c r="I299" i="1"/>
  <c r="G299" i="1"/>
  <c r="H299" i="1" s="1"/>
  <c r="F299" i="1"/>
  <c r="D299" i="1"/>
  <c r="Q298" i="1"/>
  <c r="O298" i="1"/>
  <c r="I298" i="1"/>
  <c r="G298" i="1"/>
  <c r="H298" i="1" s="1"/>
  <c r="F298" i="1"/>
  <c r="D298" i="1"/>
  <c r="Q297" i="1"/>
  <c r="O297" i="1"/>
  <c r="I297" i="1"/>
  <c r="G297" i="1"/>
  <c r="H297" i="1" s="1"/>
  <c r="F297" i="1"/>
  <c r="D297" i="1"/>
  <c r="Q296" i="1"/>
  <c r="O296" i="1"/>
  <c r="I296" i="1"/>
  <c r="G296" i="1"/>
  <c r="H296" i="1" s="1"/>
  <c r="F296" i="1"/>
  <c r="D296" i="1"/>
  <c r="Q295" i="1"/>
  <c r="O295" i="1"/>
  <c r="I295" i="1"/>
  <c r="G295" i="1"/>
  <c r="F295" i="1"/>
  <c r="D295" i="1"/>
  <c r="I281" i="1"/>
  <c r="F281" i="1"/>
  <c r="Q280" i="1"/>
  <c r="I280" i="1"/>
  <c r="F280" i="1"/>
  <c r="Q279" i="1"/>
  <c r="I279" i="1"/>
  <c r="F279" i="1"/>
  <c r="Q278" i="1"/>
  <c r="I278" i="1"/>
  <c r="F278" i="1"/>
  <c r="Q277" i="1"/>
  <c r="I277" i="1"/>
  <c r="F277" i="1"/>
  <c r="Q276" i="1"/>
  <c r="I276" i="1"/>
  <c r="F276" i="1"/>
  <c r="Q275" i="1"/>
  <c r="I275" i="1"/>
  <c r="F275" i="1"/>
  <c r="Q274" i="1"/>
  <c r="I274" i="1"/>
  <c r="F274" i="1"/>
  <c r="Q273" i="1"/>
  <c r="I273" i="1"/>
  <c r="F273" i="1"/>
  <c r="Q272" i="1"/>
  <c r="I272" i="1"/>
  <c r="F272" i="1"/>
  <c r="Q271" i="1"/>
  <c r="I271" i="1"/>
  <c r="F271" i="1"/>
  <c r="Q270" i="1"/>
  <c r="I270" i="1"/>
  <c r="F270" i="1"/>
  <c r="Q269" i="1"/>
  <c r="I269" i="1"/>
  <c r="F269" i="1"/>
  <c r="Q268" i="1"/>
  <c r="I268" i="1"/>
  <c r="F268" i="1"/>
  <c r="Q267" i="1"/>
  <c r="I267" i="1"/>
  <c r="F267" i="1"/>
  <c r="Q264" i="1"/>
  <c r="I264" i="1"/>
  <c r="F264" i="1"/>
  <c r="Q263" i="1"/>
  <c r="I263" i="1"/>
  <c r="F263" i="1"/>
  <c r="Q262" i="1"/>
  <c r="I262" i="1"/>
  <c r="F262" i="1"/>
  <c r="Q261" i="1"/>
  <c r="I261" i="1"/>
  <c r="F261" i="1"/>
  <c r="Q260" i="1"/>
  <c r="I260" i="1"/>
  <c r="F260" i="1"/>
  <c r="Q259" i="1"/>
  <c r="I259" i="1"/>
  <c r="F259" i="1"/>
  <c r="Q258" i="1"/>
  <c r="I258" i="1"/>
  <c r="F258" i="1"/>
  <c r="Q257" i="1"/>
  <c r="I257" i="1"/>
  <c r="F257" i="1"/>
  <c r="Q256" i="1"/>
  <c r="I256" i="1"/>
  <c r="F256" i="1"/>
  <c r="Q255" i="1"/>
  <c r="I255" i="1"/>
  <c r="F255" i="1"/>
  <c r="Q254" i="1"/>
  <c r="I254" i="1"/>
  <c r="F254" i="1"/>
  <c r="Q247" i="1"/>
  <c r="P247" i="1"/>
  <c r="O247" i="1"/>
  <c r="R247" i="1" s="1"/>
  <c r="I247" i="1"/>
  <c r="H247" i="1"/>
  <c r="G247" i="1"/>
  <c r="F247" i="1"/>
  <c r="E247" i="1"/>
  <c r="D247" i="1"/>
  <c r="Q244" i="1"/>
  <c r="P244" i="1"/>
  <c r="O244" i="1"/>
  <c r="R244" i="1" s="1"/>
  <c r="I244" i="1"/>
  <c r="H244" i="1"/>
  <c r="G244" i="1"/>
  <c r="F244" i="1"/>
  <c r="E244" i="1"/>
  <c r="D244" i="1"/>
  <c r="Q241" i="1"/>
  <c r="P241" i="1"/>
  <c r="O241" i="1"/>
  <c r="I241" i="1"/>
  <c r="H241" i="1"/>
  <c r="G241" i="1"/>
  <c r="F241" i="1"/>
  <c r="E241" i="1"/>
  <c r="D241" i="1"/>
  <c r="I225" i="1"/>
  <c r="F225" i="1"/>
  <c r="Q224" i="1"/>
  <c r="I224" i="1"/>
  <c r="F224" i="1"/>
  <c r="Q223" i="1"/>
  <c r="I223" i="1"/>
  <c r="F223" i="1"/>
  <c r="Q222" i="1"/>
  <c r="I222" i="1"/>
  <c r="F222" i="1"/>
  <c r="Q221" i="1"/>
  <c r="I221" i="1"/>
  <c r="F221" i="1"/>
  <c r="Q220" i="1"/>
  <c r="I220" i="1"/>
  <c r="F220" i="1"/>
  <c r="Q219" i="1"/>
  <c r="I219" i="1"/>
  <c r="F219" i="1"/>
  <c r="Q218" i="1"/>
  <c r="I218" i="1"/>
  <c r="F218" i="1"/>
  <c r="Q217" i="1"/>
  <c r="I217" i="1"/>
  <c r="F217" i="1"/>
  <c r="Q216" i="1"/>
  <c r="I216" i="1"/>
  <c r="F216" i="1"/>
  <c r="Q215" i="1"/>
  <c r="I215" i="1"/>
  <c r="F215" i="1"/>
  <c r="Q214" i="1"/>
  <c r="I214" i="1"/>
  <c r="F214" i="1"/>
  <c r="Q213" i="1"/>
  <c r="I213" i="1"/>
  <c r="F213" i="1"/>
  <c r="Q212" i="1"/>
  <c r="I212" i="1"/>
  <c r="F212" i="1"/>
  <c r="Q211" i="1"/>
  <c r="I211" i="1"/>
  <c r="F211" i="1"/>
  <c r="Q208" i="1"/>
  <c r="I208" i="1"/>
  <c r="F208" i="1"/>
  <c r="Q207" i="1"/>
  <c r="I207" i="1"/>
  <c r="F207" i="1"/>
  <c r="Q206" i="1"/>
  <c r="I206" i="1"/>
  <c r="F206" i="1"/>
  <c r="Q205" i="1"/>
  <c r="I205" i="1"/>
  <c r="F205" i="1"/>
  <c r="Q204" i="1"/>
  <c r="I204" i="1"/>
  <c r="F204" i="1"/>
  <c r="Q203" i="1"/>
  <c r="I203" i="1"/>
  <c r="F203" i="1"/>
  <c r="Q202" i="1"/>
  <c r="I202" i="1"/>
  <c r="F202" i="1"/>
  <c r="Q201" i="1"/>
  <c r="I201" i="1"/>
  <c r="F201" i="1"/>
  <c r="Q200" i="1"/>
  <c r="I200" i="1"/>
  <c r="F200" i="1"/>
  <c r="Q199" i="1"/>
  <c r="I199" i="1"/>
  <c r="F199" i="1"/>
  <c r="Q198" i="1"/>
  <c r="I198" i="1"/>
  <c r="F198" i="1"/>
  <c r="Q191" i="1"/>
  <c r="P191" i="1"/>
  <c r="I191" i="1"/>
  <c r="H191" i="1"/>
  <c r="F191" i="1"/>
  <c r="E191" i="1"/>
  <c r="Q188" i="1"/>
  <c r="P188" i="1"/>
  <c r="I188" i="1"/>
  <c r="H188" i="1"/>
  <c r="F188" i="1"/>
  <c r="E188" i="1"/>
  <c r="Q181" i="1"/>
  <c r="P181" i="1"/>
  <c r="O181" i="1"/>
  <c r="I181" i="1"/>
  <c r="H181" i="1"/>
  <c r="G181" i="1"/>
  <c r="F181" i="1"/>
  <c r="E181" i="1"/>
  <c r="D181" i="1"/>
  <c r="Q178" i="1"/>
  <c r="P178" i="1"/>
  <c r="O178" i="1"/>
  <c r="I178" i="1"/>
  <c r="H178" i="1"/>
  <c r="G178" i="1"/>
  <c r="F178" i="1"/>
  <c r="E178" i="1"/>
  <c r="D178" i="1"/>
  <c r="D175" i="1"/>
  <c r="Q175" i="1"/>
  <c r="P175" i="1"/>
  <c r="O175" i="1"/>
  <c r="I175" i="1"/>
  <c r="H175" i="1"/>
  <c r="G175" i="1"/>
  <c r="F175" i="1"/>
  <c r="E175" i="1"/>
  <c r="Q172" i="1"/>
  <c r="P172" i="1"/>
  <c r="O172" i="1"/>
  <c r="I172" i="1"/>
  <c r="H172" i="1"/>
  <c r="G172" i="1"/>
  <c r="D172" i="1"/>
  <c r="F172" i="1"/>
  <c r="E172" i="1"/>
  <c r="AL463" i="1" l="1"/>
  <c r="Z463" i="1"/>
  <c r="AL462" i="1"/>
  <c r="P296" i="1"/>
  <c r="E296" i="1"/>
  <c r="AI461" i="1"/>
  <c r="K311" i="1"/>
  <c r="M311" i="1"/>
  <c r="N311" i="1"/>
  <c r="E299" i="1"/>
  <c r="N99" i="1"/>
  <c r="E297" i="1"/>
  <c r="P301" i="1"/>
  <c r="M99" i="1"/>
  <c r="AB450" i="1"/>
  <c r="E307" i="1"/>
  <c r="AB471" i="1"/>
  <c r="P299" i="1"/>
  <c r="AB475" i="1"/>
  <c r="P300" i="1"/>
  <c r="P297" i="1"/>
  <c r="R303" i="1"/>
  <c r="E300" i="1"/>
  <c r="F185" i="1"/>
  <c r="P298" i="1"/>
  <c r="P308" i="1"/>
  <c r="AB414" i="1"/>
  <c r="P302" i="1"/>
  <c r="AB461" i="1"/>
  <c r="AB447" i="1"/>
  <c r="P312" i="1"/>
  <c r="E298" i="1"/>
  <c r="P307" i="1"/>
  <c r="AB439" i="1"/>
  <c r="AB448" i="1"/>
  <c r="AL447" i="1"/>
  <c r="E308" i="1"/>
  <c r="AB409" i="1"/>
  <c r="AB428" i="1"/>
  <c r="AB458" i="1"/>
  <c r="AB468" i="1"/>
  <c r="AB412" i="1"/>
  <c r="AB452" i="1"/>
  <c r="AB454" i="1"/>
  <c r="AB476" i="1"/>
  <c r="AB419" i="1"/>
  <c r="AB422" i="1"/>
  <c r="AB440" i="1"/>
  <c r="AB410" i="1"/>
  <c r="AB426" i="1"/>
  <c r="AB413" i="1"/>
  <c r="AB469" i="1"/>
  <c r="AB423" i="1"/>
  <c r="AB438" i="1"/>
  <c r="AB457" i="1"/>
  <c r="P311" i="1"/>
  <c r="S311" i="1"/>
  <c r="AO455" i="1"/>
  <c r="AB472" i="1"/>
  <c r="AB435" i="1"/>
  <c r="AB443" i="1"/>
  <c r="M102" i="1"/>
  <c r="M103" i="1"/>
  <c r="M104" i="1"/>
  <c r="R102" i="1"/>
  <c r="R103" i="1"/>
  <c r="R104" i="1"/>
  <c r="D96" i="1" l="1"/>
  <c r="F96" i="1"/>
  <c r="G96" i="1"/>
  <c r="H96" i="1" s="1"/>
  <c r="I96" i="1"/>
  <c r="A96" i="1"/>
  <c r="E96" i="1" l="1"/>
  <c r="Z491" i="1"/>
  <c r="Z490" i="1"/>
  <c r="Z468" i="1"/>
  <c r="Z460" i="1"/>
  <c r="Z457" i="1"/>
  <c r="AI491" i="1" l="1"/>
  <c r="Z419" i="1"/>
  <c r="Z459" i="1"/>
  <c r="Z452" i="1"/>
  <c r="Z453" i="1"/>
  <c r="Z454" i="1"/>
  <c r="Z455" i="1"/>
  <c r="Z456" i="1"/>
  <c r="Z492" i="1"/>
  <c r="Z458" i="1"/>
  <c r="AI492" i="1" l="1"/>
  <c r="AI455" i="1"/>
  <c r="Z465" i="1"/>
  <c r="O96" i="1"/>
  <c r="Q96" i="1"/>
  <c r="P96" i="1" l="1"/>
  <c r="Q281" i="1" l="1"/>
  <c r="Q225" i="1"/>
  <c r="Q344" i="1" l="1"/>
  <c r="Q149" i="1"/>
  <c r="Z494" i="1" l="1"/>
  <c r="Z493" i="1"/>
  <c r="Z475" i="1"/>
  <c r="AI475" i="1" s="1"/>
  <c r="Z410" i="1"/>
  <c r="AL469" i="1"/>
  <c r="Z411" i="1"/>
  <c r="Z423" i="1"/>
  <c r="Z435" i="1"/>
  <c r="Z438" i="1"/>
  <c r="Z446" i="1"/>
  <c r="Z473" i="1"/>
  <c r="AI473" i="1" s="1"/>
  <c r="Z443" i="1"/>
  <c r="AI493" i="1" l="1"/>
  <c r="AI494" i="1"/>
  <c r="Z412" i="1"/>
  <c r="Z436" i="1"/>
  <c r="Z444" i="1"/>
  <c r="Z408" i="1"/>
  <c r="Z427" i="1"/>
  <c r="Z434" i="1"/>
  <c r="Z414" i="1"/>
  <c r="Z429" i="1"/>
  <c r="Z479" i="1"/>
  <c r="Z440" i="1"/>
  <c r="Z496" i="1"/>
  <c r="AI496" i="1" s="1"/>
  <c r="Z430" i="1"/>
  <c r="Z441" i="1"/>
  <c r="Z413" i="1"/>
  <c r="Z409" i="1"/>
  <c r="Z433" i="1"/>
  <c r="Z495" i="1"/>
  <c r="Z421" i="1"/>
  <c r="Z437" i="1"/>
  <c r="Z420" i="1"/>
  <c r="Z445" i="1"/>
  <c r="Z474" i="1"/>
  <c r="Z469" i="1"/>
  <c r="Z428" i="1"/>
  <c r="Z471" i="1"/>
  <c r="Z442" i="1"/>
  <c r="Z447" i="1"/>
  <c r="Z470" i="1"/>
  <c r="Z422" i="1"/>
  <c r="Z472" i="1"/>
  <c r="Z439" i="1"/>
  <c r="AI439" i="1" s="1"/>
  <c r="AL470" i="1"/>
  <c r="AL496" i="1"/>
  <c r="AL495" i="1"/>
  <c r="AL494" i="1"/>
  <c r="AL478" i="1"/>
  <c r="AL471" i="1"/>
  <c r="AL476" i="1"/>
  <c r="AL474" i="1"/>
  <c r="AL473" i="1"/>
  <c r="AL472" i="1"/>
  <c r="AL475" i="1"/>
  <c r="AL477" i="1"/>
  <c r="Z450" i="1"/>
  <c r="AI450" i="1" s="1"/>
  <c r="Z416" i="1"/>
  <c r="AI416" i="1" s="1"/>
  <c r="Z476" i="1"/>
  <c r="AI476" i="1" s="1"/>
  <c r="AI472" i="1" l="1"/>
  <c r="AL465" i="1"/>
  <c r="AO478" i="1"/>
  <c r="Z478" i="1"/>
  <c r="Z425" i="1"/>
  <c r="Z415" i="1"/>
  <c r="AI415" i="1" s="1"/>
  <c r="Z417" i="1"/>
  <c r="AI417" i="1" s="1"/>
  <c r="Z426" i="1"/>
  <c r="Z448" i="1"/>
  <c r="Z477" i="1"/>
  <c r="Z449" i="1"/>
  <c r="AI449" i="1" s="1"/>
  <c r="Z424" i="1"/>
  <c r="Z431" i="1"/>
  <c r="AI431" i="1" s="1"/>
  <c r="AO494" i="1"/>
  <c r="AO475" i="1"/>
  <c r="AO476" i="1"/>
  <c r="AO472" i="1"/>
  <c r="AI477" i="1" l="1"/>
  <c r="AI448" i="1"/>
  <c r="AI424" i="1"/>
  <c r="AI426" i="1"/>
  <c r="AI425" i="1"/>
  <c r="AI478" i="1"/>
  <c r="Z451" i="1"/>
  <c r="Z432" i="1"/>
  <c r="AL479" i="1"/>
  <c r="AL480" i="1" s="1"/>
  <c r="AC451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C464" i="1" l="1"/>
  <c r="AC463" i="1"/>
  <c r="AC46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O361" i="1"/>
  <c r="L36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1" i="1"/>
  <c r="G361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Q265" i="1"/>
  <c r="I265" i="1"/>
  <c r="F265" i="1"/>
  <c r="F93" i="1"/>
  <c r="N364" i="1" l="1"/>
  <c r="Q176" i="1"/>
  <c r="I248" i="1"/>
  <c r="Q242" i="1"/>
  <c r="Q179" i="1"/>
  <c r="Q192" i="1"/>
  <c r="I189" i="1"/>
  <c r="H361" i="1"/>
  <c r="Q248" i="1"/>
  <c r="I182" i="1"/>
  <c r="P174" i="1"/>
  <c r="I304" i="1"/>
  <c r="I309" i="1" s="1"/>
  <c r="I314" i="1" s="1"/>
  <c r="Q182" i="1"/>
  <c r="I176" i="1"/>
  <c r="I242" i="1"/>
  <c r="Q173" i="1"/>
  <c r="I245" i="1"/>
  <c r="I329" i="1"/>
  <c r="I348" i="1"/>
  <c r="Q329" i="1"/>
  <c r="H250" i="1"/>
  <c r="Q189" i="1"/>
  <c r="F210" i="1"/>
  <c r="P250" i="1"/>
  <c r="Q304" i="1"/>
  <c r="Q309" i="1" s="1"/>
  <c r="Q314" i="1" s="1"/>
  <c r="H295" i="1"/>
  <c r="I179" i="1"/>
  <c r="I192" i="1"/>
  <c r="Q210" i="1"/>
  <c r="Q285" i="1"/>
  <c r="P359" i="1"/>
  <c r="H174" i="1"/>
  <c r="I210" i="1"/>
  <c r="Q266" i="1"/>
  <c r="P266" i="1" s="1"/>
  <c r="H359" i="1"/>
  <c r="I394" i="1"/>
  <c r="H394" i="1" s="1"/>
  <c r="Q376" i="1"/>
  <c r="P376" i="1" s="1"/>
  <c r="I185" i="1"/>
  <c r="I194" i="1" s="1"/>
  <c r="Q250" i="1"/>
  <c r="I376" i="1"/>
  <c r="Q394" i="1"/>
  <c r="P394" i="1" s="1"/>
  <c r="I266" i="1"/>
  <c r="I285" i="1"/>
  <c r="P295" i="1"/>
  <c r="Q348" i="1"/>
  <c r="Q361" i="1"/>
  <c r="O304" i="1"/>
  <c r="G304" i="1"/>
  <c r="Q245" i="1"/>
  <c r="I250" i="1"/>
  <c r="P185" i="1"/>
  <c r="P194" i="1" s="1"/>
  <c r="Q185" i="1"/>
  <c r="H185" i="1"/>
  <c r="H194" i="1" s="1"/>
  <c r="I173" i="1"/>
  <c r="Q95" i="1"/>
  <c r="O95" i="1"/>
  <c r="Q94" i="1"/>
  <c r="O94" i="1"/>
  <c r="I95" i="1"/>
  <c r="G95" i="1"/>
  <c r="I94" i="1"/>
  <c r="G94" i="1"/>
  <c r="F95" i="1"/>
  <c r="F94" i="1"/>
  <c r="D95" i="1"/>
  <c r="D94" i="1"/>
  <c r="Q93" i="1"/>
  <c r="I93" i="1"/>
  <c r="Q82" i="1"/>
  <c r="Q81" i="1"/>
  <c r="Q80" i="1"/>
  <c r="Q79" i="1"/>
  <c r="Q78" i="1"/>
  <c r="Q77" i="1"/>
  <c r="Q76" i="1"/>
  <c r="Q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D97" i="1"/>
  <c r="G97" i="1"/>
  <c r="H119" i="1" s="1"/>
  <c r="F97" i="1"/>
  <c r="Q97" i="1"/>
  <c r="O97" i="1"/>
  <c r="H99" i="1"/>
  <c r="E99" i="1"/>
  <c r="P99" i="1"/>
  <c r="K99" i="1"/>
  <c r="I396" i="1"/>
  <c r="H396" i="1" s="1"/>
  <c r="H94" i="1"/>
  <c r="P94" i="1"/>
  <c r="H329" i="1"/>
  <c r="H348" i="1"/>
  <c r="I287" i="1"/>
  <c r="I289" i="1" s="1"/>
  <c r="P348" i="1"/>
  <c r="H95" i="1"/>
  <c r="P95" i="1"/>
  <c r="P100" i="1"/>
  <c r="P329" i="1"/>
  <c r="Q396" i="1"/>
  <c r="P396" i="1" s="1"/>
  <c r="Q350" i="1"/>
  <c r="P350" i="1" s="1"/>
  <c r="H266" i="1"/>
  <c r="H100" i="1"/>
  <c r="Q287" i="1"/>
  <c r="Q289" i="1" s="1"/>
  <c r="Q290" i="1" s="1"/>
  <c r="H376" i="1"/>
  <c r="Q83" i="1"/>
  <c r="P285" i="1"/>
  <c r="E100" i="1"/>
  <c r="I195" i="1"/>
  <c r="Q251" i="1"/>
  <c r="P361" i="1"/>
  <c r="O309" i="1"/>
  <c r="O314" i="1" s="1"/>
  <c r="P304" i="1"/>
  <c r="G309" i="1"/>
  <c r="G314" i="1" s="1"/>
  <c r="H304" i="1"/>
  <c r="I251" i="1"/>
  <c r="H285" i="1"/>
  <c r="Q194" i="1"/>
  <c r="Q186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69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Q40" i="1"/>
  <c r="Q39" i="1"/>
  <c r="Q38" i="1"/>
  <c r="Q37" i="1"/>
  <c r="Q36" i="1"/>
  <c r="Q35" i="1"/>
  <c r="Q34" i="1"/>
  <c r="Q33" i="1"/>
  <c r="Q32" i="1"/>
  <c r="Q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I23" i="1"/>
  <c r="I22" i="1"/>
  <c r="I21" i="1"/>
  <c r="F23" i="1"/>
  <c r="F22" i="1"/>
  <c r="F21" i="1"/>
  <c r="Q19" i="1"/>
  <c r="I19" i="1"/>
  <c r="F19" i="1"/>
  <c r="Q17" i="1"/>
  <c r="O17" i="1"/>
  <c r="I17" i="1"/>
  <c r="G17" i="1"/>
  <c r="F17" i="1"/>
  <c r="D17" i="1"/>
  <c r="Q15" i="1"/>
  <c r="O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I5" i="1"/>
  <c r="F5" i="1"/>
  <c r="H113" i="1" l="1"/>
  <c r="H120" i="1"/>
  <c r="H115" i="1"/>
  <c r="E114" i="1"/>
  <c r="M98" i="1"/>
  <c r="H121" i="1"/>
  <c r="H116" i="1"/>
  <c r="H117" i="1"/>
  <c r="H114" i="1"/>
  <c r="H118" i="1"/>
  <c r="H97" i="1"/>
  <c r="E121" i="1"/>
  <c r="E113" i="1"/>
  <c r="E120" i="1"/>
  <c r="E115" i="1"/>
  <c r="E117" i="1"/>
  <c r="E116" i="1"/>
  <c r="E119" i="1"/>
  <c r="E118" i="1"/>
  <c r="I398" i="1"/>
  <c r="H287" i="1"/>
  <c r="P287" i="1"/>
  <c r="Q398" i="1"/>
  <c r="Q399" i="1" s="1"/>
  <c r="Q352" i="1"/>
  <c r="Q353" i="1" s="1"/>
  <c r="P314" i="1"/>
  <c r="P309" i="1"/>
  <c r="H314" i="1"/>
  <c r="H309" i="1"/>
  <c r="Q195" i="1"/>
  <c r="P210" i="1"/>
  <c r="O13" i="2" l="1"/>
  <c r="O10" i="2" l="1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O466" i="1"/>
  <c r="AN466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S364" i="1"/>
  <c r="A364" i="1"/>
  <c r="A363" i="1"/>
  <c r="A362" i="1"/>
  <c r="R361" i="1"/>
  <c r="A361" i="1"/>
  <c r="A360" i="1"/>
  <c r="R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F248" i="1"/>
  <c r="A248" i="1"/>
  <c r="A247" i="1"/>
  <c r="A246" i="1"/>
  <c r="A245" i="1"/>
  <c r="A244" i="1"/>
  <c r="A243" i="1"/>
  <c r="A242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F192" i="1"/>
  <c r="A191" i="1"/>
  <c r="A190" i="1"/>
  <c r="A189" i="1"/>
  <c r="R188" i="1"/>
  <c r="A188" i="1"/>
  <c r="A187" i="1"/>
  <c r="A186" i="1"/>
  <c r="A185" i="1"/>
  <c r="A184" i="1"/>
  <c r="A183" i="1"/>
  <c r="M182" i="1"/>
  <c r="A182" i="1"/>
  <c r="A181" i="1"/>
  <c r="A180" i="1"/>
  <c r="R179" i="1"/>
  <c r="A179" i="1"/>
  <c r="F179" i="1"/>
  <c r="A178" i="1"/>
  <c r="A177" i="1"/>
  <c r="A176" i="1"/>
  <c r="A175" i="1"/>
  <c r="E174" i="1"/>
  <c r="A174" i="1"/>
  <c r="A173" i="1"/>
  <c r="A172" i="1"/>
  <c r="A171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A105" i="1"/>
  <c r="A104" i="1"/>
  <c r="A103" i="1"/>
  <c r="F105" i="1"/>
  <c r="A102" i="1"/>
  <c r="A101" i="1"/>
  <c r="A100" i="1"/>
  <c r="A99" i="1"/>
  <c r="H98" i="1"/>
  <c r="E98" i="1"/>
  <c r="A98" i="1"/>
  <c r="O10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S69" i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B40" i="1"/>
  <c r="A40" i="1" s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R19" i="1"/>
  <c r="B19" i="1"/>
  <c r="B18" i="1"/>
  <c r="A18" i="1" s="1"/>
  <c r="P17" i="1"/>
  <c r="E17" i="1"/>
  <c r="B17" i="1"/>
  <c r="A17" i="1" s="1"/>
  <c r="B16" i="1"/>
  <c r="A16" i="1" s="1"/>
  <c r="B15" i="1"/>
  <c r="P15" i="1" s="1"/>
  <c r="B14" i="1"/>
  <c r="A14" i="1" s="1"/>
  <c r="O13" i="1"/>
  <c r="B13" i="1"/>
  <c r="A13" i="1" s="1"/>
  <c r="P12" i="1"/>
  <c r="B12" i="1"/>
  <c r="A12" i="1" s="1"/>
  <c r="P11" i="1"/>
  <c r="B11" i="1"/>
  <c r="P10" i="1"/>
  <c r="B10" i="1"/>
  <c r="A10" i="1" s="1"/>
  <c r="P9" i="1"/>
  <c r="B9" i="1"/>
  <c r="P8" i="1"/>
  <c r="B8" i="1"/>
  <c r="A8" i="1" s="1"/>
  <c r="B7" i="1"/>
  <c r="P7" i="1" s="1"/>
  <c r="B6" i="1"/>
  <c r="A6" i="1" s="1"/>
  <c r="B5" i="1"/>
  <c r="A5" i="1" s="1"/>
  <c r="F108" i="1" l="1"/>
  <c r="AK417" i="1"/>
  <c r="AK493" i="1"/>
  <c r="AK492" i="1"/>
  <c r="AK416" i="1"/>
  <c r="AK489" i="1"/>
  <c r="AK490" i="1"/>
  <c r="AK415" i="1"/>
  <c r="AK491" i="1"/>
  <c r="AK496" i="1"/>
  <c r="AK494" i="1"/>
  <c r="AK495" i="1"/>
  <c r="A7" i="1"/>
  <c r="I10" i="2"/>
  <c r="A21" i="1"/>
  <c r="A23" i="1"/>
  <c r="O24" i="1"/>
  <c r="A33" i="1"/>
  <c r="A15" i="1"/>
  <c r="E361" i="1"/>
  <c r="P6" i="1"/>
  <c r="G105" i="1"/>
  <c r="G108" i="1"/>
  <c r="H6" i="1"/>
  <c r="H22" i="1"/>
  <c r="A32" i="1"/>
  <c r="A44" i="1"/>
  <c r="A52" i="1"/>
  <c r="A76" i="1"/>
  <c r="E95" i="1"/>
  <c r="V484" i="1"/>
  <c r="A484" i="1" s="1"/>
  <c r="V401" i="1"/>
  <c r="C291" i="1"/>
  <c r="C355" i="1" s="1"/>
  <c r="C236" i="1"/>
  <c r="C168" i="1"/>
  <c r="C89" i="1"/>
  <c r="A81" i="1"/>
  <c r="P21" i="1"/>
  <c r="A9" i="1"/>
  <c r="H17" i="1"/>
  <c r="E21" i="1"/>
  <c r="I24" i="1"/>
  <c r="E23" i="1"/>
  <c r="A39" i="1"/>
  <c r="P39" i="1"/>
  <c r="Q54" i="1"/>
  <c r="A46" i="1"/>
  <c r="F72" i="1"/>
  <c r="N69" i="1"/>
  <c r="A78" i="1"/>
  <c r="O105" i="1"/>
  <c r="P97" i="1"/>
  <c r="I122" i="1"/>
  <c r="G112" i="1"/>
  <c r="E12" i="1"/>
  <c r="AO484" i="1"/>
  <c r="AO401" i="1"/>
  <c r="S355" i="1"/>
  <c r="S236" i="1"/>
  <c r="S168" i="1"/>
  <c r="S291" i="1"/>
  <c r="A11" i="1"/>
  <c r="A19" i="1"/>
  <c r="F24" i="1"/>
  <c r="H23" i="1"/>
  <c r="A35" i="1"/>
  <c r="A80" i="1"/>
  <c r="E94" i="1"/>
  <c r="Q105" i="1"/>
  <c r="Q108" i="1" s="1"/>
  <c r="P108" i="1" s="1"/>
  <c r="H112" i="1"/>
  <c r="A77" i="1"/>
  <c r="Q24" i="1"/>
  <c r="A42" i="1"/>
  <c r="A82" i="1"/>
  <c r="S89" i="1"/>
  <c r="E10" i="1"/>
  <c r="O27" i="1"/>
  <c r="P23" i="1"/>
  <c r="A79" i="1"/>
  <c r="E185" i="1"/>
  <c r="M181" i="1"/>
  <c r="Q135" i="1"/>
  <c r="I153" i="1"/>
  <c r="F173" i="1"/>
  <c r="M188" i="1"/>
  <c r="F135" i="1"/>
  <c r="F250" i="1"/>
  <c r="F245" i="1"/>
  <c r="Q229" i="1"/>
  <c r="F229" i="1"/>
  <c r="R185" i="1"/>
  <c r="S186" i="1" s="1"/>
  <c r="S248" i="1"/>
  <c r="M361" i="1"/>
  <c r="F176" i="1"/>
  <c r="E250" i="1"/>
  <c r="F266" i="1"/>
  <c r="F163" i="1"/>
  <c r="F348" i="1"/>
  <c r="E359" i="1"/>
  <c r="F376" i="1"/>
  <c r="F394" i="1"/>
  <c r="E394" i="1" s="1"/>
  <c r="F329" i="1"/>
  <c r="AC465" i="1"/>
  <c r="E194" i="1" l="1"/>
  <c r="AL448" i="1"/>
  <c r="AL439" i="1"/>
  <c r="AL429" i="1"/>
  <c r="AL408" i="1"/>
  <c r="AL412" i="1"/>
  <c r="AL420" i="1"/>
  <c r="AL440" i="1"/>
  <c r="AL441" i="1"/>
  <c r="AL411" i="1"/>
  <c r="AL430" i="1"/>
  <c r="AL444" i="1"/>
  <c r="AL437" i="1"/>
  <c r="AL428" i="1"/>
  <c r="AL422" i="1"/>
  <c r="AL435" i="1"/>
  <c r="AL413" i="1"/>
  <c r="AL433" i="1"/>
  <c r="AL427" i="1"/>
  <c r="AL446" i="1"/>
  <c r="AL436" i="1"/>
  <c r="AL443" i="1"/>
  <c r="AL409" i="1"/>
  <c r="AL438" i="1"/>
  <c r="AL421" i="1"/>
  <c r="AL423" i="1"/>
  <c r="AL434" i="1"/>
  <c r="AL414" i="1"/>
  <c r="AL442" i="1"/>
  <c r="AL445" i="1"/>
  <c r="AL410" i="1"/>
  <c r="P38" i="1"/>
  <c r="P40" i="1"/>
  <c r="P32" i="1"/>
  <c r="P35" i="1"/>
  <c r="P33" i="1"/>
  <c r="P36" i="1"/>
  <c r="P34" i="1"/>
  <c r="P31" i="1"/>
  <c r="P37" i="1"/>
  <c r="E135" i="1"/>
  <c r="P153" i="1"/>
  <c r="P122" i="1"/>
  <c r="F350" i="1"/>
  <c r="F396" i="1"/>
  <c r="E376" i="1"/>
  <c r="F231" i="1"/>
  <c r="E266" i="1"/>
  <c r="P135" i="1"/>
  <c r="S245" i="1"/>
  <c r="F251" i="1"/>
  <c r="H12" i="1"/>
  <c r="H15" i="1"/>
  <c r="E112" i="1"/>
  <c r="F122" i="1"/>
  <c r="I13" i="1"/>
  <c r="F242" i="1"/>
  <c r="E11" i="1"/>
  <c r="Q231" i="1"/>
  <c r="I135" i="1"/>
  <c r="H7" i="1"/>
  <c r="H8" i="1"/>
  <c r="Q155" i="1"/>
  <c r="P155" i="1" s="1"/>
  <c r="F285" i="1"/>
  <c r="E285" i="1" s="1"/>
  <c r="I229" i="1"/>
  <c r="F189" i="1"/>
  <c r="P22" i="1"/>
  <c r="E7" i="1"/>
  <c r="I105" i="1"/>
  <c r="H105" i="1" s="1"/>
  <c r="E15" i="1"/>
  <c r="P24" i="1"/>
  <c r="E6" i="1"/>
  <c r="F304" i="1"/>
  <c r="I350" i="1"/>
  <c r="H350" i="1" s="1"/>
  <c r="AL405" i="1"/>
  <c r="E9" i="1"/>
  <c r="G13" i="1"/>
  <c r="E295" i="1"/>
  <c r="D304" i="1"/>
  <c r="F182" i="1"/>
  <c r="E8" i="1"/>
  <c r="P105" i="1"/>
  <c r="H10" i="1"/>
  <c r="D108" i="1"/>
  <c r="E97" i="1"/>
  <c r="D105" i="1"/>
  <c r="F41" i="1"/>
  <c r="Q41" i="1"/>
  <c r="Q13" i="1"/>
  <c r="S163" i="1"/>
  <c r="F153" i="1"/>
  <c r="E153" i="1" s="1"/>
  <c r="I163" i="1"/>
  <c r="F13" i="1"/>
  <c r="F309" i="1" l="1"/>
  <c r="F314" i="1" s="1"/>
  <c r="AK409" i="1"/>
  <c r="AK411" i="1"/>
  <c r="AK410" i="1"/>
  <c r="AL432" i="1"/>
  <c r="AL451" i="1"/>
  <c r="AK412" i="1"/>
  <c r="AK413" i="1"/>
  <c r="AL418" i="1"/>
  <c r="AK414" i="1"/>
  <c r="AO448" i="1"/>
  <c r="N9" i="2"/>
  <c r="N8" i="2" s="1"/>
  <c r="F27" i="1"/>
  <c r="E41" i="1" s="1"/>
  <c r="E108" i="1"/>
  <c r="E105" i="1"/>
  <c r="G27" i="1"/>
  <c r="H13" i="1"/>
  <c r="AB408" i="1"/>
  <c r="G24" i="1"/>
  <c r="H39" i="1" s="1"/>
  <c r="Q165" i="1"/>
  <c r="Q166" i="1" s="1"/>
  <c r="I54" i="1"/>
  <c r="I108" i="1"/>
  <c r="H135" i="1" s="1"/>
  <c r="F194" i="1"/>
  <c r="F186" i="1"/>
  <c r="P231" i="1"/>
  <c r="I27" i="1"/>
  <c r="F54" i="1"/>
  <c r="D13" i="1"/>
  <c r="H11" i="1"/>
  <c r="Q27" i="1"/>
  <c r="P13" i="1"/>
  <c r="H229" i="1"/>
  <c r="Q74" i="1"/>
  <c r="F155" i="1"/>
  <c r="E122" i="1"/>
  <c r="H9" i="1"/>
  <c r="I83" i="1"/>
  <c r="Z418" i="1"/>
  <c r="E304" i="1"/>
  <c r="D309" i="1"/>
  <c r="AK408" i="1"/>
  <c r="I352" i="1"/>
  <c r="F287" i="1"/>
  <c r="E287" i="1" s="1"/>
  <c r="Z480" i="1"/>
  <c r="F83" i="1"/>
  <c r="I41" i="1"/>
  <c r="I155" i="1"/>
  <c r="I231" i="1"/>
  <c r="H231" i="1" s="1"/>
  <c r="E396" i="1"/>
  <c r="F398" i="1"/>
  <c r="F399" i="1" s="1"/>
  <c r="D314" i="1" l="1"/>
  <c r="F352" i="1"/>
  <c r="F353" i="1" s="1"/>
  <c r="AL467" i="1"/>
  <c r="Z406" i="1"/>
  <c r="Z400" i="1" s="1"/>
  <c r="P41" i="1"/>
  <c r="AL406" i="1"/>
  <c r="Y413" i="1"/>
  <c r="Y411" i="1"/>
  <c r="Y409" i="1"/>
  <c r="Y410" i="1"/>
  <c r="Y412" i="1"/>
  <c r="Y414" i="1"/>
  <c r="Y416" i="1"/>
  <c r="Y415" i="1"/>
  <c r="Y417" i="1"/>
  <c r="E54" i="1"/>
  <c r="E72" i="1"/>
  <c r="H35" i="1"/>
  <c r="H155" i="1"/>
  <c r="H32" i="1"/>
  <c r="E350" i="1"/>
  <c r="E348" i="1"/>
  <c r="Y408" i="1"/>
  <c r="E329" i="1"/>
  <c r="E231" i="1"/>
  <c r="P74" i="1"/>
  <c r="H54" i="1"/>
  <c r="Q85" i="1"/>
  <c r="Q86" i="1" s="1"/>
  <c r="P72" i="1"/>
  <c r="P27" i="1"/>
  <c r="P54" i="1"/>
  <c r="I74" i="1"/>
  <c r="I85" i="1" s="1"/>
  <c r="H41" i="1"/>
  <c r="E155" i="1"/>
  <c r="F165" i="1"/>
  <c r="F166" i="1" s="1"/>
  <c r="I233" i="1"/>
  <c r="AC406" i="1"/>
  <c r="G9" i="2" s="1"/>
  <c r="G8" i="2" s="1"/>
  <c r="H72" i="1"/>
  <c r="F233" i="1"/>
  <c r="F234" i="1" s="1"/>
  <c r="F195" i="1"/>
  <c r="E229" i="1"/>
  <c r="E210" i="1"/>
  <c r="H33" i="1"/>
  <c r="H40" i="1"/>
  <c r="H24" i="1"/>
  <c r="H37" i="1"/>
  <c r="H38" i="1"/>
  <c r="H34" i="1"/>
  <c r="H31" i="1"/>
  <c r="H36" i="1"/>
  <c r="F74" i="1"/>
  <c r="AC418" i="1"/>
  <c r="Q233" i="1"/>
  <c r="Q234" i="1" s="1"/>
  <c r="P229" i="1"/>
  <c r="D27" i="1"/>
  <c r="E13" i="1"/>
  <c r="D24" i="1"/>
  <c r="AC480" i="1"/>
  <c r="E309" i="1"/>
  <c r="I165" i="1"/>
  <c r="H122" i="1"/>
  <c r="H153" i="1"/>
  <c r="H108" i="1"/>
  <c r="F289" i="1"/>
  <c r="F290" i="1" s="1"/>
  <c r="AC432" i="1"/>
  <c r="H27" i="1"/>
  <c r="Z405" i="1" l="1"/>
  <c r="AL482" i="1"/>
  <c r="AL400" i="1"/>
  <c r="C9" i="2"/>
  <c r="O9" i="2"/>
  <c r="O8" i="2" s="1"/>
  <c r="E27" i="1"/>
  <c r="X432" i="1"/>
  <c r="X451" i="1"/>
  <c r="X480" i="1"/>
  <c r="C10" i="2"/>
  <c r="AA432" i="1"/>
  <c r="AA480" i="1"/>
  <c r="AA451" i="1"/>
  <c r="AJ467" i="1"/>
  <c r="AJ465" i="1"/>
  <c r="AJ418" i="1"/>
  <c r="AJ432" i="1"/>
  <c r="AJ451" i="1"/>
  <c r="X418" i="1"/>
  <c r="E74" i="1"/>
  <c r="F85" i="1"/>
  <c r="F86" i="1" s="1"/>
  <c r="E314" i="1"/>
  <c r="AA465" i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AC467" i="1"/>
  <c r="AA467" i="1" s="1"/>
  <c r="AA418" i="1"/>
  <c r="C8" i="2" l="1"/>
  <c r="P9" i="2"/>
  <c r="P8" i="2" s="1"/>
  <c r="B9" i="2"/>
  <c r="AC482" i="1"/>
  <c r="AL488" i="1"/>
  <c r="AK482" i="1"/>
  <c r="AL487" i="1" l="1"/>
  <c r="AK487" i="1" s="1"/>
  <c r="AL497" i="1"/>
  <c r="H9" i="2"/>
  <c r="H8" i="2" s="1"/>
  <c r="B8" i="2"/>
  <c r="AK488" i="1"/>
  <c r="AC488" i="1"/>
  <c r="AB482" i="1"/>
  <c r="Q9" i="2" l="1"/>
  <c r="D10" i="2"/>
  <c r="AB488" i="1"/>
  <c r="AC497" i="1"/>
  <c r="AK497" i="1"/>
  <c r="AB497" i="1" l="1"/>
  <c r="I9" i="2"/>
  <c r="I8" i="2" s="1"/>
  <c r="Q8" i="2"/>
  <c r="E10" i="2" l="1"/>
  <c r="L11" i="2" l="1"/>
  <c r="L10" i="2" l="1"/>
  <c r="M11" i="2" l="1"/>
  <c r="M10" i="2" l="1"/>
  <c r="Z467" i="1" l="1"/>
  <c r="X465" i="1"/>
  <c r="Z482" i="1" l="1"/>
  <c r="D9" i="2" s="1"/>
  <c r="D8" i="2" s="1"/>
  <c r="X467" i="1"/>
  <c r="Y482" i="1" l="1"/>
  <c r="Z488" i="1"/>
  <c r="Z487" i="1" s="1"/>
  <c r="Y488" i="1" l="1"/>
  <c r="Z497" i="1"/>
  <c r="Y497" i="1" s="1"/>
  <c r="E9" i="2"/>
  <c r="E8" i="2" s="1"/>
  <c r="Y487" i="1"/>
  <c r="J244" i="1" l="1"/>
  <c r="J247" i="1"/>
  <c r="L96" i="1"/>
  <c r="K191" i="1"/>
  <c r="L93" i="1"/>
  <c r="K244" i="1" l="1"/>
  <c r="L332" i="1"/>
  <c r="L224" i="1"/>
  <c r="L330" i="1"/>
  <c r="L298" i="1"/>
  <c r="L380" i="1"/>
  <c r="L257" i="1"/>
  <c r="S257" i="1" s="1"/>
  <c r="L200" i="1"/>
  <c r="AF495" i="1"/>
  <c r="J296" i="1"/>
  <c r="L40" i="1"/>
  <c r="J9" i="1"/>
  <c r="L7" i="1"/>
  <c r="L378" i="1"/>
  <c r="L254" i="1"/>
  <c r="L216" i="1"/>
  <c r="L227" i="1"/>
  <c r="L146" i="1"/>
  <c r="N146" i="1" s="1"/>
  <c r="L17" i="1"/>
  <c r="L156" i="1"/>
  <c r="L66" i="1"/>
  <c r="L260" i="1"/>
  <c r="S260" i="1" s="1"/>
  <c r="L342" i="1"/>
  <c r="L312" i="1"/>
  <c r="L385" i="1"/>
  <c r="L303" i="1"/>
  <c r="L205" i="1"/>
  <c r="AF468" i="1"/>
  <c r="L5" i="1"/>
  <c r="J298" i="1"/>
  <c r="L58" i="1"/>
  <c r="L43" i="1"/>
  <c r="L51" i="1"/>
  <c r="L386" i="1"/>
  <c r="L262" i="1"/>
  <c r="S262" i="1" s="1"/>
  <c r="L221" i="1"/>
  <c r="L295" i="1"/>
  <c r="L172" i="1"/>
  <c r="L23" i="1"/>
  <c r="L160" i="1"/>
  <c r="N160" i="1" s="1"/>
  <c r="L274" i="1"/>
  <c r="S274" i="1" s="1"/>
  <c r="L319" i="1"/>
  <c r="L371" i="1"/>
  <c r="L368" i="1"/>
  <c r="L388" i="1"/>
  <c r="L327" i="1"/>
  <c r="L211" i="1"/>
  <c r="AF460" i="1"/>
  <c r="L61" i="1"/>
  <c r="L201" i="1"/>
  <c r="K175" i="1"/>
  <c r="M175" i="1" s="1"/>
  <c r="J312" i="1"/>
  <c r="L39" i="1"/>
  <c r="L67" i="1"/>
  <c r="L21" i="1"/>
  <c r="L389" i="1"/>
  <c r="L299" i="1"/>
  <c r="L241" i="1"/>
  <c r="L297" i="1"/>
  <c r="L188" i="1"/>
  <c r="J96" i="1"/>
  <c r="L202" i="1"/>
  <c r="L302" i="1"/>
  <c r="L323" i="1"/>
  <c r="L384" i="1"/>
  <c r="L392" i="1"/>
  <c r="L144" i="1"/>
  <c r="N144" i="1" s="1"/>
  <c r="L331" i="1"/>
  <c r="L215" i="1"/>
  <c r="AF496" i="1"/>
  <c r="L247" i="1"/>
  <c r="K178" i="1"/>
  <c r="M178" i="1" s="1"/>
  <c r="J307" i="1"/>
  <c r="J6" i="1"/>
  <c r="L35" i="1"/>
  <c r="L328" i="1"/>
  <c r="L77" i="1"/>
  <c r="L365" i="1"/>
  <c r="L268" i="1"/>
  <c r="S268" i="1" s="1"/>
  <c r="L308" i="1"/>
  <c r="L207" i="1"/>
  <c r="L142" i="1"/>
  <c r="N142" i="1" s="1"/>
  <c r="L213" i="1"/>
  <c r="L334" i="1"/>
  <c r="L32" i="1"/>
  <c r="L57" i="1"/>
  <c r="L114" i="1"/>
  <c r="L346" i="1"/>
  <c r="L261" i="1"/>
  <c r="S261" i="1" s="1"/>
  <c r="AF419" i="1"/>
  <c r="L301" i="1"/>
  <c r="K247" i="1"/>
  <c r="M247" i="1" s="1"/>
  <c r="J303" i="1"/>
  <c r="L33" i="1"/>
  <c r="L63" i="1"/>
  <c r="L373" i="1"/>
  <c r="L336" i="1"/>
  <c r="L374" i="1"/>
  <c r="L272" i="1"/>
  <c r="S272" i="1" s="1"/>
  <c r="L322" i="1"/>
  <c r="L222" i="1"/>
  <c r="L149" i="1"/>
  <c r="N149" i="1" s="1"/>
  <c r="L217" i="1"/>
  <c r="L345" i="1"/>
  <c r="J178" i="1"/>
  <c r="R178" i="1" s="1"/>
  <c r="J94" i="1"/>
  <c r="L220" i="1"/>
  <c r="J15" i="1"/>
  <c r="L393" i="1"/>
  <c r="L267" i="1"/>
  <c r="AF490" i="1"/>
  <c r="J299" i="1"/>
  <c r="L6" i="1"/>
  <c r="L37" i="1"/>
  <c r="L22" i="1"/>
  <c r="L369" i="1"/>
  <c r="L278" i="1"/>
  <c r="S278" i="1" s="1"/>
  <c r="L325" i="1"/>
  <c r="L255" i="1"/>
  <c r="S255" i="1" s="1"/>
  <c r="L279" i="1"/>
  <c r="S279" i="1" s="1"/>
  <c r="L223" i="1"/>
  <c r="L367" i="1"/>
  <c r="L19" i="1"/>
  <c r="L120" i="1"/>
  <c r="L113" i="1"/>
  <c r="L48" i="1"/>
  <c r="L15" i="1"/>
  <c r="N15" i="1" s="1"/>
  <c r="L271" i="1"/>
  <c r="S271" i="1" s="1"/>
  <c r="AF456" i="1"/>
  <c r="L119" i="1"/>
  <c r="K241" i="1"/>
  <c r="M241" i="1" s="1"/>
  <c r="J359" i="1"/>
  <c r="J361" i="1" s="1"/>
  <c r="J10" i="1"/>
  <c r="L56" i="1"/>
  <c r="L34" i="1"/>
  <c r="L381" i="1"/>
  <c r="J181" i="1"/>
  <c r="R181" i="1" s="1"/>
  <c r="L282" i="1"/>
  <c r="S282" i="1" s="1"/>
  <c r="L259" i="1"/>
  <c r="S259" i="1" s="1"/>
  <c r="L366" i="1"/>
  <c r="L228" i="1"/>
  <c r="L383" i="1"/>
  <c r="L47" i="1"/>
  <c r="L139" i="1"/>
  <c r="N139" i="1" s="1"/>
  <c r="L147" i="1"/>
  <c r="N147" i="1" s="1"/>
  <c r="L81" i="1"/>
  <c r="L151" i="1"/>
  <c r="N151" i="1" s="1"/>
  <c r="L324" i="1"/>
  <c r="L75" i="1"/>
  <c r="J295" i="1"/>
  <c r="J301" i="1"/>
  <c r="L11" i="1"/>
  <c r="L53" i="1"/>
  <c r="L95" i="1"/>
  <c r="L12" i="1"/>
  <c r="L100" i="1"/>
  <c r="L318" i="1"/>
  <c r="L333" i="1"/>
  <c r="L263" i="1"/>
  <c r="S263" i="1" s="1"/>
  <c r="L158" i="1"/>
  <c r="N158" i="1" s="1"/>
  <c r="L264" i="1"/>
  <c r="S264" i="1" s="1"/>
  <c r="L265" i="1"/>
  <c r="L391" i="1"/>
  <c r="L103" i="1"/>
  <c r="L143" i="1"/>
  <c r="N143" i="1" s="1"/>
  <c r="L157" i="1"/>
  <c r="N157" i="1" s="1"/>
  <c r="L94" i="1"/>
  <c r="L191" i="1"/>
  <c r="L192" i="1" s="1"/>
  <c r="L340" i="1"/>
  <c r="AF461" i="1"/>
  <c r="J297" i="1"/>
  <c r="K181" i="1"/>
  <c r="L45" i="1"/>
  <c r="L9" i="1"/>
  <c r="L152" i="1"/>
  <c r="N152" i="1" s="1"/>
  <c r="L44" i="1"/>
  <c r="L123" i="1"/>
  <c r="L337" i="1"/>
  <c r="L344" i="1"/>
  <c r="L273" i="1"/>
  <c r="S273" i="1" s="1"/>
  <c r="L60" i="1"/>
  <c r="L269" i="1"/>
  <c r="S269" i="1" s="1"/>
  <c r="L82" i="1"/>
  <c r="L134" i="1"/>
  <c r="N134" i="1" s="1"/>
  <c r="L203" i="1"/>
  <c r="L161" i="1"/>
  <c r="N161" i="1" s="1"/>
  <c r="L104" i="1"/>
  <c r="L276" i="1"/>
  <c r="S276" i="1" s="1"/>
  <c r="L343" i="1"/>
  <c r="AF492" i="1"/>
  <c r="L55" i="1"/>
  <c r="J308" i="1"/>
  <c r="L359" i="1"/>
  <c r="L42" i="1"/>
  <c r="L71" i="1"/>
  <c r="L175" i="1"/>
  <c r="J100" i="1"/>
  <c r="L126" i="1"/>
  <c r="N126" i="1" s="1"/>
  <c r="L347" i="1"/>
  <c r="L375" i="1"/>
  <c r="L283" i="1"/>
  <c r="S283" i="1" s="1"/>
  <c r="L79" i="1"/>
  <c r="L326" i="1"/>
  <c r="L8" i="1"/>
  <c r="L198" i="1"/>
  <c r="L209" i="1"/>
  <c r="S209" i="1" s="1"/>
  <c r="L184" i="1"/>
  <c r="L117" i="1"/>
  <c r="L335" i="1"/>
  <c r="AF459" i="1"/>
  <c r="AF452" i="1"/>
  <c r="L138" i="1"/>
  <c r="N138" i="1" s="1"/>
  <c r="K172" i="1"/>
  <c r="L38" i="1"/>
  <c r="L80" i="1"/>
  <c r="L50" i="1"/>
  <c r="L226" i="1"/>
  <c r="L118" i="1"/>
  <c r="L129" i="1"/>
  <c r="N129" i="1" s="1"/>
  <c r="J12" i="1"/>
  <c r="L390" i="1"/>
  <c r="L341" i="1"/>
  <c r="N96" i="1"/>
  <c r="S96" i="1"/>
  <c r="L338" i="1"/>
  <c r="L112" i="1"/>
  <c r="L256" i="1"/>
  <c r="S256" i="1" s="1"/>
  <c r="L218" i="1"/>
  <c r="L199" i="1"/>
  <c r="L125" i="1"/>
  <c r="N125" i="1" s="1"/>
  <c r="L372" i="1"/>
  <c r="AF494" i="1"/>
  <c r="AF457" i="1"/>
  <c r="L159" i="1"/>
  <c r="N159" i="1" s="1"/>
  <c r="K188" i="1"/>
  <c r="L62" i="1"/>
  <c r="L78" i="1"/>
  <c r="L76" i="1"/>
  <c r="J241" i="1"/>
  <c r="R241" i="1" s="1"/>
  <c r="L137" i="1"/>
  <c r="N137" i="1" s="1"/>
  <c r="L132" i="1"/>
  <c r="N132" i="1" s="1"/>
  <c r="L148" i="1"/>
  <c r="N148" i="1" s="1"/>
  <c r="L131" i="1"/>
  <c r="N131" i="1" s="1"/>
  <c r="L370" i="1"/>
  <c r="L102" i="1"/>
  <c r="L379" i="1"/>
  <c r="L124" i="1"/>
  <c r="N124" i="1" s="1"/>
  <c r="L244" i="1"/>
  <c r="L214" i="1"/>
  <c r="L128" i="1"/>
  <c r="N128" i="1" s="1"/>
  <c r="L121" i="1"/>
  <c r="AF453" i="1"/>
  <c r="J302" i="1"/>
  <c r="L49" i="1"/>
  <c r="L31" i="1"/>
  <c r="J7" i="1"/>
  <c r="L258" i="1"/>
  <c r="S258" i="1" s="1"/>
  <c r="L178" i="1"/>
  <c r="L141" i="1"/>
  <c r="N141" i="1" s="1"/>
  <c r="L321" i="1"/>
  <c r="L64" i="1"/>
  <c r="L382" i="1"/>
  <c r="L116" i="1"/>
  <c r="L140" i="1"/>
  <c r="N140" i="1" s="1"/>
  <c r="L130" i="1"/>
  <c r="N130" i="1" s="1"/>
  <c r="L270" i="1"/>
  <c r="S270" i="1" s="1"/>
  <c r="L275" i="1"/>
  <c r="S275" i="1" s="1"/>
  <c r="L307" i="1"/>
  <c r="L204" i="1"/>
  <c r="L136" i="1"/>
  <c r="AF491" i="1"/>
  <c r="AF493" i="1"/>
  <c r="L59" i="1"/>
  <c r="J11" i="1"/>
  <c r="L68" i="1"/>
  <c r="L52" i="1"/>
  <c r="L277" i="1"/>
  <c r="S277" i="1" s="1"/>
  <c r="L206" i="1"/>
  <c r="L145" i="1"/>
  <c r="N145" i="1" s="1"/>
  <c r="L65" i="1"/>
  <c r="L181" i="1"/>
  <c r="L387" i="1"/>
  <c r="L127" i="1"/>
  <c r="N127" i="1" s="1"/>
  <c r="J8" i="1"/>
  <c r="L150" i="1"/>
  <c r="N150" i="1" s="1"/>
  <c r="L284" i="1"/>
  <c r="S284" i="1" s="1"/>
  <c r="L280" i="1"/>
  <c r="S280" i="1" s="1"/>
  <c r="L320" i="1"/>
  <c r="L219" i="1"/>
  <c r="L162" i="1"/>
  <c r="N162" i="1" s="1"/>
  <c r="AF455" i="1"/>
  <c r="AF458" i="1"/>
  <c r="J300" i="1"/>
  <c r="L10" i="1"/>
  <c r="L70" i="1"/>
  <c r="L36" i="1"/>
  <c r="L281" i="1"/>
  <c r="S281" i="1" s="1"/>
  <c r="L212" i="1"/>
  <c r="J172" i="1"/>
  <c r="R172" i="1" s="1"/>
  <c r="L115" i="1"/>
  <c r="J17" i="1"/>
  <c r="J95" i="1"/>
  <c r="L133" i="1"/>
  <c r="N133" i="1" s="1"/>
  <c r="L46" i="1"/>
  <c r="L208" i="1"/>
  <c r="L300" i="1"/>
  <c r="L296" i="1"/>
  <c r="L339" i="1"/>
  <c r="L225" i="1"/>
  <c r="J175" i="1"/>
  <c r="R175" i="1" s="1"/>
  <c r="AF479" i="1"/>
  <c r="AF454" i="1"/>
  <c r="AF439" i="1" l="1"/>
  <c r="K312" i="1"/>
  <c r="M312" i="1"/>
  <c r="N339" i="1"/>
  <c r="S339" i="1"/>
  <c r="N10" i="1"/>
  <c r="S10" i="1"/>
  <c r="AF417" i="1"/>
  <c r="N121" i="1"/>
  <c r="S121" i="1"/>
  <c r="S218" i="1"/>
  <c r="N218" i="1"/>
  <c r="S341" i="1"/>
  <c r="N341" i="1"/>
  <c r="N226" i="1"/>
  <c r="S226" i="1"/>
  <c r="AF420" i="1"/>
  <c r="AN461" i="1"/>
  <c r="AH461" i="1"/>
  <c r="N366" i="1"/>
  <c r="S366" i="1"/>
  <c r="N34" i="1"/>
  <c r="S34" i="1"/>
  <c r="N369" i="1"/>
  <c r="S369" i="1"/>
  <c r="K303" i="1"/>
  <c r="M303" i="1"/>
  <c r="S334" i="1"/>
  <c r="N334" i="1"/>
  <c r="AF412" i="1"/>
  <c r="N247" i="1"/>
  <c r="N248" i="1" s="1"/>
  <c r="S247" i="1"/>
  <c r="L248" i="1"/>
  <c r="M96" i="1"/>
  <c r="K96" i="1"/>
  <c r="R96" i="1"/>
  <c r="N389" i="1"/>
  <c r="S389" i="1"/>
  <c r="N295" i="1"/>
  <c r="L304" i="1"/>
  <c r="S295" i="1"/>
  <c r="S342" i="1"/>
  <c r="N342" i="1"/>
  <c r="N212" i="1"/>
  <c r="S212" i="1"/>
  <c r="AF415" i="1"/>
  <c r="R11" i="1"/>
  <c r="K11" i="1"/>
  <c r="M11" i="1"/>
  <c r="N31" i="1"/>
  <c r="S31" i="1"/>
  <c r="L41" i="1"/>
  <c r="AF471" i="1"/>
  <c r="AN457" i="1"/>
  <c r="AO457" i="1" s="1"/>
  <c r="AH457" i="1"/>
  <c r="AI457" i="1" s="1"/>
  <c r="M100" i="1"/>
  <c r="K100" i="1"/>
  <c r="R100" i="1"/>
  <c r="N359" i="1"/>
  <c r="N361" i="1" s="1"/>
  <c r="L361" i="1"/>
  <c r="K359" i="1"/>
  <c r="S359" i="1"/>
  <c r="S343" i="1"/>
  <c r="N343" i="1"/>
  <c r="N344" i="1"/>
  <c r="S344" i="1"/>
  <c r="N95" i="1"/>
  <c r="S95" i="1"/>
  <c r="N336" i="1"/>
  <c r="S336" i="1"/>
  <c r="N114" i="1"/>
  <c r="S114" i="1"/>
  <c r="S392" i="1"/>
  <c r="N392" i="1"/>
  <c r="N43" i="1"/>
  <c r="S43" i="1"/>
  <c r="AN468" i="1"/>
  <c r="AO468" i="1" s="1"/>
  <c r="AH468" i="1"/>
  <c r="AI468" i="1" s="1"/>
  <c r="AF447" i="1"/>
  <c r="N117" i="1"/>
  <c r="S117" i="1"/>
  <c r="N378" i="1"/>
  <c r="S378" i="1"/>
  <c r="J97" i="1"/>
  <c r="M95" i="1"/>
  <c r="K95" i="1"/>
  <c r="R95" i="1"/>
  <c r="K300" i="1"/>
  <c r="M300" i="1"/>
  <c r="R300" i="1"/>
  <c r="N320" i="1"/>
  <c r="S320" i="1"/>
  <c r="N78" i="1"/>
  <c r="S78" i="1"/>
  <c r="N184" i="1"/>
  <c r="S184" i="1"/>
  <c r="N79" i="1"/>
  <c r="S79" i="1"/>
  <c r="N9" i="1"/>
  <c r="S9" i="1"/>
  <c r="N75" i="1"/>
  <c r="L83" i="1"/>
  <c r="AF411" i="1"/>
  <c r="S113" i="1"/>
  <c r="N113" i="1"/>
  <c r="J113" i="1"/>
  <c r="N220" i="1"/>
  <c r="S220" i="1"/>
  <c r="L376" i="1"/>
  <c r="N365" i="1"/>
  <c r="S365" i="1"/>
  <c r="M6" i="1"/>
  <c r="K6" i="1"/>
  <c r="R6" i="1"/>
  <c r="J13" i="1"/>
  <c r="N188" i="1"/>
  <c r="L189" i="1"/>
  <c r="S188" i="1"/>
  <c r="AF421" i="1"/>
  <c r="AN495" i="1"/>
  <c r="AO495" i="1" s="1"/>
  <c r="AH495" i="1"/>
  <c r="AI495" i="1" s="1"/>
  <c r="S330" i="1"/>
  <c r="N330" i="1"/>
  <c r="L348" i="1"/>
  <c r="N296" i="1"/>
  <c r="S296" i="1"/>
  <c r="AF476" i="1"/>
  <c r="S206" i="1"/>
  <c r="N206" i="1"/>
  <c r="S204" i="1"/>
  <c r="N204" i="1"/>
  <c r="N390" i="1"/>
  <c r="S390" i="1"/>
  <c r="N50" i="1"/>
  <c r="S50" i="1"/>
  <c r="N82" i="1"/>
  <c r="S82" i="1"/>
  <c r="S340" i="1"/>
  <c r="N340" i="1"/>
  <c r="S103" i="1"/>
  <c r="N103" i="1"/>
  <c r="N119" i="1"/>
  <c r="S119" i="1"/>
  <c r="N22" i="1"/>
  <c r="S22" i="1"/>
  <c r="AN490" i="1"/>
  <c r="AO490" i="1" s="1"/>
  <c r="AH490" i="1"/>
  <c r="AI490" i="1" s="1"/>
  <c r="N213" i="1"/>
  <c r="S213" i="1"/>
  <c r="N21" i="1"/>
  <c r="S21" i="1"/>
  <c r="L24" i="1"/>
  <c r="J32" i="1" s="1"/>
  <c r="N327" i="1"/>
  <c r="S327" i="1"/>
  <c r="N7" i="1"/>
  <c r="S7" i="1"/>
  <c r="S319" i="1"/>
  <c r="N319" i="1"/>
  <c r="AN454" i="1"/>
  <c r="AO454" i="1" s="1"/>
  <c r="AH454" i="1"/>
  <c r="AI454" i="1" s="1"/>
  <c r="AF477" i="1"/>
  <c r="AF408" i="1"/>
  <c r="AH494" i="1"/>
  <c r="AN494" i="1"/>
  <c r="AF428" i="1"/>
  <c r="S337" i="1"/>
  <c r="N337" i="1"/>
  <c r="S333" i="1"/>
  <c r="N333" i="1"/>
  <c r="N53" i="1"/>
  <c r="S53" i="1"/>
  <c r="AF470" i="1"/>
  <c r="N373" i="1"/>
  <c r="S373" i="1"/>
  <c r="S301" i="1"/>
  <c r="N301" i="1"/>
  <c r="N57" i="1"/>
  <c r="S57" i="1"/>
  <c r="L377" i="1"/>
  <c r="N384" i="1"/>
  <c r="S384" i="1"/>
  <c r="N201" i="1"/>
  <c r="S201" i="1"/>
  <c r="S221" i="1"/>
  <c r="N221" i="1"/>
  <c r="N205" i="1"/>
  <c r="S205" i="1"/>
  <c r="AF462" i="1"/>
  <c r="N387" i="1"/>
  <c r="S387" i="1"/>
  <c r="N59" i="1"/>
  <c r="S59" i="1"/>
  <c r="S116" i="1"/>
  <c r="N116" i="1"/>
  <c r="N178" i="1"/>
  <c r="L179" i="1"/>
  <c r="N179" i="1" s="1"/>
  <c r="S178" i="1"/>
  <c r="AN452" i="1"/>
  <c r="AH452" i="1"/>
  <c r="N175" i="1"/>
  <c r="L176" i="1"/>
  <c r="S175" i="1"/>
  <c r="R308" i="1"/>
  <c r="M308" i="1"/>
  <c r="K308" i="1"/>
  <c r="N45" i="1"/>
  <c r="S45" i="1"/>
  <c r="N56" i="1"/>
  <c r="S56" i="1"/>
  <c r="K94" i="1"/>
  <c r="M94" i="1"/>
  <c r="R94" i="1"/>
  <c r="S222" i="1"/>
  <c r="N222" i="1"/>
  <c r="AF435" i="1"/>
  <c r="N77" i="1"/>
  <c r="S77" i="1"/>
  <c r="AH496" i="1"/>
  <c r="AN496" i="1"/>
  <c r="AO496" i="1" s="1"/>
  <c r="AE496" i="1"/>
  <c r="N58" i="1"/>
  <c r="S58" i="1"/>
  <c r="S227" i="1"/>
  <c r="N227" i="1"/>
  <c r="S200" i="1"/>
  <c r="N200" i="1"/>
  <c r="AF424" i="1"/>
  <c r="S321" i="1"/>
  <c r="N321" i="1"/>
  <c r="N17" i="1"/>
  <c r="S17" i="1"/>
  <c r="N300" i="1"/>
  <c r="S300" i="1"/>
  <c r="AF478" i="1"/>
  <c r="AN458" i="1"/>
  <c r="AO458" i="1" s="1"/>
  <c r="AH458" i="1"/>
  <c r="AI458" i="1" s="1"/>
  <c r="N307" i="1"/>
  <c r="S307" i="1"/>
  <c r="N214" i="1"/>
  <c r="S214" i="1"/>
  <c r="N379" i="1"/>
  <c r="S379" i="1"/>
  <c r="AF469" i="1"/>
  <c r="N112" i="1"/>
  <c r="S112" i="1"/>
  <c r="L122" i="1"/>
  <c r="K12" i="1"/>
  <c r="R12" i="1"/>
  <c r="M12" i="1"/>
  <c r="S391" i="1"/>
  <c r="N391" i="1"/>
  <c r="AN456" i="1"/>
  <c r="AO456" i="1" s="1"/>
  <c r="AH456" i="1"/>
  <c r="AI456" i="1" s="1"/>
  <c r="N120" i="1"/>
  <c r="S120" i="1"/>
  <c r="N37" i="1"/>
  <c r="S37" i="1"/>
  <c r="S267" i="1"/>
  <c r="L285" i="1"/>
  <c r="N285" i="1" s="1"/>
  <c r="AF472" i="1"/>
  <c r="N297" i="1"/>
  <c r="S297" i="1"/>
  <c r="N388" i="1"/>
  <c r="S388" i="1"/>
  <c r="N66" i="1"/>
  <c r="S66" i="1"/>
  <c r="M9" i="1"/>
  <c r="K9" i="1"/>
  <c r="R9" i="1"/>
  <c r="N224" i="1"/>
  <c r="S224" i="1"/>
  <c r="N211" i="1"/>
  <c r="S211" i="1"/>
  <c r="L229" i="1"/>
  <c r="AH479" i="1"/>
  <c r="AI479" i="1" s="1"/>
  <c r="AN479" i="1"/>
  <c r="AO479" i="1" s="1"/>
  <c r="M17" i="1"/>
  <c r="R17" i="1"/>
  <c r="K17" i="1"/>
  <c r="N36" i="1"/>
  <c r="S36" i="1"/>
  <c r="AF448" i="1"/>
  <c r="AF437" i="1"/>
  <c r="N49" i="1"/>
  <c r="S49" i="1"/>
  <c r="N62" i="1"/>
  <c r="S62" i="1"/>
  <c r="N372" i="1"/>
  <c r="S372" i="1"/>
  <c r="N80" i="1"/>
  <c r="S80" i="1"/>
  <c r="S104" i="1"/>
  <c r="N104" i="1"/>
  <c r="N123" i="1"/>
  <c r="N135" i="1" s="1"/>
  <c r="L135" i="1"/>
  <c r="N318" i="1"/>
  <c r="L329" i="1"/>
  <c r="S318" i="1"/>
  <c r="N11" i="1"/>
  <c r="S11" i="1"/>
  <c r="N47" i="1"/>
  <c r="S47" i="1"/>
  <c r="N63" i="1"/>
  <c r="S63" i="1"/>
  <c r="AN419" i="1"/>
  <c r="AO419" i="1" s="1"/>
  <c r="AH419" i="1"/>
  <c r="R307" i="1"/>
  <c r="M307" i="1"/>
  <c r="K307" i="1"/>
  <c r="S323" i="1"/>
  <c r="N323" i="1"/>
  <c r="N67" i="1"/>
  <c r="S67" i="1"/>
  <c r="N303" i="1"/>
  <c r="S303" i="1"/>
  <c r="AF445" i="1"/>
  <c r="AF449" i="1"/>
  <c r="N181" i="1"/>
  <c r="L182" i="1"/>
  <c r="S181" i="1"/>
  <c r="N382" i="1"/>
  <c r="S382" i="1"/>
  <c r="N198" i="1"/>
  <c r="L210" i="1"/>
  <c r="S198" i="1"/>
  <c r="S375" i="1"/>
  <c r="N375" i="1"/>
  <c r="AF423" i="1"/>
  <c r="N94" i="1"/>
  <c r="L97" i="1"/>
  <c r="J112" i="1" s="1"/>
  <c r="S94" i="1"/>
  <c r="S324" i="1"/>
  <c r="N324" i="1"/>
  <c r="AF434" i="1"/>
  <c r="S325" i="1"/>
  <c r="N325" i="1"/>
  <c r="S322" i="1"/>
  <c r="N322" i="1"/>
  <c r="AF442" i="1"/>
  <c r="N32" i="1"/>
  <c r="S32" i="1"/>
  <c r="S215" i="1"/>
  <c r="N215" i="1"/>
  <c r="AF446" i="1"/>
  <c r="N61" i="1"/>
  <c r="S61" i="1"/>
  <c r="N23" i="1"/>
  <c r="S23" i="1"/>
  <c r="AF436" i="1"/>
  <c r="N216" i="1"/>
  <c r="S216" i="1"/>
  <c r="AF429" i="1"/>
  <c r="S208" i="1"/>
  <c r="N208" i="1"/>
  <c r="AF426" i="1"/>
  <c r="AN455" i="1"/>
  <c r="AH455" i="1"/>
  <c r="N52" i="1"/>
  <c r="S52" i="1"/>
  <c r="AN493" i="1"/>
  <c r="AH493" i="1"/>
  <c r="N244" i="1"/>
  <c r="S244" i="1"/>
  <c r="L250" i="1"/>
  <c r="K266" i="1"/>
  <c r="L245" i="1"/>
  <c r="N102" i="1"/>
  <c r="L105" i="1"/>
  <c r="S105" i="1" s="1"/>
  <c r="S106" i="1" s="1"/>
  <c r="S102" i="1"/>
  <c r="AN459" i="1"/>
  <c r="AO459" i="1" s="1"/>
  <c r="AH459" i="1"/>
  <c r="AI459" i="1" s="1"/>
  <c r="N71" i="1"/>
  <c r="S71" i="1"/>
  <c r="N55" i="1"/>
  <c r="S55" i="1"/>
  <c r="L72" i="1"/>
  <c r="N265" i="1"/>
  <c r="S265" i="1"/>
  <c r="R10" i="1"/>
  <c r="K10" i="1"/>
  <c r="M10" i="1"/>
  <c r="N19" i="1"/>
  <c r="S19" i="1"/>
  <c r="N207" i="1"/>
  <c r="S207" i="1"/>
  <c r="S328" i="1"/>
  <c r="N328" i="1"/>
  <c r="N241" i="1"/>
  <c r="L242" i="1"/>
  <c r="N242" i="1" s="1"/>
  <c r="S241" i="1"/>
  <c r="S242" i="1" s="1"/>
  <c r="AF440" i="1"/>
  <c r="N368" i="1"/>
  <c r="S368" i="1"/>
  <c r="K298" i="1"/>
  <c r="R298" i="1"/>
  <c r="M298" i="1"/>
  <c r="S332" i="1"/>
  <c r="N332" i="1"/>
  <c r="N219" i="1"/>
  <c r="S219" i="1"/>
  <c r="N48" i="1"/>
  <c r="S48" i="1"/>
  <c r="AF413" i="1"/>
  <c r="AF431" i="1"/>
  <c r="AF427" i="1"/>
  <c r="AF441" i="1"/>
  <c r="S38" i="1"/>
  <c r="N38" i="1"/>
  <c r="K38" i="1"/>
  <c r="N60" i="1"/>
  <c r="S60" i="1"/>
  <c r="M301" i="1"/>
  <c r="K301" i="1"/>
  <c r="N383" i="1"/>
  <c r="S383" i="1"/>
  <c r="AF414" i="1"/>
  <c r="S393" i="1"/>
  <c r="N393" i="1"/>
  <c r="AF409" i="1"/>
  <c r="N302" i="1"/>
  <c r="S302" i="1"/>
  <c r="N386" i="1"/>
  <c r="S386" i="1"/>
  <c r="N385" i="1"/>
  <c r="S385" i="1"/>
  <c r="N156" i="1"/>
  <c r="N163" i="1" s="1"/>
  <c r="L163" i="1"/>
  <c r="K40" i="1"/>
  <c r="N40" i="1"/>
  <c r="S40" i="1"/>
  <c r="N115" i="1"/>
  <c r="S115" i="1"/>
  <c r="AF416" i="1"/>
  <c r="N64" i="1"/>
  <c r="S64" i="1"/>
  <c r="K302" i="1"/>
  <c r="M302" i="1"/>
  <c r="S338" i="1"/>
  <c r="N338" i="1"/>
  <c r="S347" i="1"/>
  <c r="N347" i="1"/>
  <c r="AF438" i="1"/>
  <c r="N44" i="1"/>
  <c r="S44" i="1"/>
  <c r="N100" i="1"/>
  <c r="S100" i="1"/>
  <c r="N6" i="1"/>
  <c r="L13" i="1"/>
  <c r="S6" i="1"/>
  <c r="N345" i="1"/>
  <c r="S345" i="1"/>
  <c r="N33" i="1"/>
  <c r="S33" i="1"/>
  <c r="S331" i="1"/>
  <c r="N331" i="1"/>
  <c r="K39" i="1"/>
  <c r="S39" i="1"/>
  <c r="N39" i="1"/>
  <c r="N172" i="1"/>
  <c r="L173" i="1"/>
  <c r="L185" i="1"/>
  <c r="S172" i="1"/>
  <c r="L266" i="1"/>
  <c r="N266" i="1" s="1"/>
  <c r="S254" i="1"/>
  <c r="N380" i="1"/>
  <c r="S380" i="1"/>
  <c r="AF475" i="1"/>
  <c r="S223" i="1"/>
  <c r="N223" i="1"/>
  <c r="K299" i="1"/>
  <c r="R299" i="1"/>
  <c r="M299" i="1"/>
  <c r="N46" i="1"/>
  <c r="S46" i="1"/>
  <c r="N70" i="1"/>
  <c r="S70" i="1"/>
  <c r="AF425" i="1"/>
  <c r="N65" i="1"/>
  <c r="S65" i="1"/>
  <c r="AF430" i="1"/>
  <c r="AN491" i="1"/>
  <c r="AH491" i="1"/>
  <c r="AF443" i="1"/>
  <c r="N335" i="1"/>
  <c r="S335" i="1"/>
  <c r="N8" i="1"/>
  <c r="S8" i="1"/>
  <c r="N42" i="1"/>
  <c r="L54" i="1"/>
  <c r="K297" i="1"/>
  <c r="M297" i="1"/>
  <c r="R297" i="1"/>
  <c r="S15" i="1"/>
  <c r="N367" i="1"/>
  <c r="S367" i="1"/>
  <c r="S308" i="1"/>
  <c r="N308" i="1"/>
  <c r="N35" i="1"/>
  <c r="S35" i="1"/>
  <c r="AN460" i="1"/>
  <c r="AO460" i="1" s="1"/>
  <c r="AH460" i="1"/>
  <c r="AI460" i="1" s="1"/>
  <c r="N371" i="1"/>
  <c r="S371" i="1"/>
  <c r="M244" i="1"/>
  <c r="K250" i="1"/>
  <c r="N225" i="1"/>
  <c r="S225" i="1"/>
  <c r="AF463" i="1"/>
  <c r="N68" i="1"/>
  <c r="S68" i="1"/>
  <c r="M7" i="1"/>
  <c r="K7" i="1"/>
  <c r="R7" i="1"/>
  <c r="AN453" i="1"/>
  <c r="AO453" i="1" s="1"/>
  <c r="AH453" i="1"/>
  <c r="AI453" i="1" s="1"/>
  <c r="N370" i="1"/>
  <c r="S370" i="1"/>
  <c r="S199" i="1"/>
  <c r="N199" i="1"/>
  <c r="N118" i="1"/>
  <c r="S118" i="1"/>
  <c r="AF433" i="1"/>
  <c r="S203" i="1"/>
  <c r="N203" i="1"/>
  <c r="AF422" i="1"/>
  <c r="AF474" i="1"/>
  <c r="M295" i="1"/>
  <c r="J304" i="1"/>
  <c r="K295" i="1"/>
  <c r="R295" i="1"/>
  <c r="S228" i="1"/>
  <c r="N228" i="1"/>
  <c r="N381" i="1"/>
  <c r="S381" i="1"/>
  <c r="R15" i="1"/>
  <c r="K15" i="1"/>
  <c r="M15" i="1"/>
  <c r="AF410" i="1"/>
  <c r="S202" i="1"/>
  <c r="N202" i="1"/>
  <c r="N299" i="1"/>
  <c r="S299" i="1"/>
  <c r="N51" i="1"/>
  <c r="S51" i="1"/>
  <c r="N312" i="1"/>
  <c r="S312" i="1"/>
  <c r="AF473" i="1"/>
  <c r="AF464" i="1"/>
  <c r="N136" i="1"/>
  <c r="N153" i="1" s="1"/>
  <c r="L153" i="1"/>
  <c r="S326" i="1"/>
  <c r="N326" i="1"/>
  <c r="AF450" i="1"/>
  <c r="M8" i="1"/>
  <c r="R8" i="1"/>
  <c r="K8" i="1"/>
  <c r="AF444" i="1"/>
  <c r="N76" i="1"/>
  <c r="S76" i="1"/>
  <c r="M172" i="1"/>
  <c r="K185" i="1"/>
  <c r="K174" i="1"/>
  <c r="AN492" i="1"/>
  <c r="AO492" i="1" s="1"/>
  <c r="AH492" i="1"/>
  <c r="S12" i="1"/>
  <c r="N12" i="1"/>
  <c r="N81" i="1"/>
  <c r="S81" i="1"/>
  <c r="N217" i="1"/>
  <c r="S217" i="1"/>
  <c r="N374" i="1"/>
  <c r="S374" i="1"/>
  <c r="N346" i="1"/>
  <c r="S346" i="1"/>
  <c r="M296" i="1"/>
  <c r="R296" i="1"/>
  <c r="K296" i="1"/>
  <c r="S298" i="1"/>
  <c r="N298" i="1"/>
  <c r="N97" i="1" l="1"/>
  <c r="N98" i="1" s="1"/>
  <c r="L27" i="1"/>
  <c r="K41" i="1" s="1"/>
  <c r="S97" i="1"/>
  <c r="S98" i="1" s="1"/>
  <c r="S27" i="1"/>
  <c r="S28" i="1" s="1"/>
  <c r="L251" i="1"/>
  <c r="M250" i="1" s="1"/>
  <c r="N304" i="1"/>
  <c r="N24" i="1"/>
  <c r="N376" i="1"/>
  <c r="AN426" i="1"/>
  <c r="AO426" i="1" s="1"/>
  <c r="AH426" i="1"/>
  <c r="AH450" i="1"/>
  <c r="AN450" i="1"/>
  <c r="AO450" i="1" s="1"/>
  <c r="AH422" i="1"/>
  <c r="AI422" i="1" s="1"/>
  <c r="AN422" i="1"/>
  <c r="AO422" i="1" s="1"/>
  <c r="N13" i="1"/>
  <c r="AH413" i="1"/>
  <c r="AI413" i="1" s="1"/>
  <c r="AE413" i="1"/>
  <c r="AN413" i="1"/>
  <c r="AO413" i="1" s="1"/>
  <c r="AH446" i="1"/>
  <c r="AI446" i="1" s="1"/>
  <c r="AN446" i="1"/>
  <c r="AO446" i="1" s="1"/>
  <c r="S135" i="1"/>
  <c r="K285" i="1"/>
  <c r="S285" i="1"/>
  <c r="S122" i="1"/>
  <c r="L155" i="1"/>
  <c r="AN477" i="1"/>
  <c r="AO477" i="1" s="1"/>
  <c r="AH477" i="1"/>
  <c r="S24" i="1"/>
  <c r="S25" i="1" s="1"/>
  <c r="AN476" i="1"/>
  <c r="AH476" i="1"/>
  <c r="AH447" i="1"/>
  <c r="AI447" i="1" s="1"/>
  <c r="AN447" i="1"/>
  <c r="AO447" i="1" s="1"/>
  <c r="M13" i="1"/>
  <c r="M27" i="1" s="1"/>
  <c r="M28" i="1" s="1"/>
  <c r="L309" i="1"/>
  <c r="S304" i="1"/>
  <c r="S305" i="1" s="1"/>
  <c r="AH420" i="1"/>
  <c r="AI420" i="1" s="1"/>
  <c r="AN420" i="1"/>
  <c r="AO420" i="1" s="1"/>
  <c r="AH448" i="1"/>
  <c r="AN448" i="1"/>
  <c r="K361" i="1"/>
  <c r="S361" i="1"/>
  <c r="S362" i="1" s="1"/>
  <c r="L194" i="1"/>
  <c r="L186" i="1"/>
  <c r="S185" i="1"/>
  <c r="K22" i="1"/>
  <c r="R22" i="1" s="1"/>
  <c r="K23" i="1"/>
  <c r="R23" i="1" s="1"/>
  <c r="K21" i="1"/>
  <c r="R21" i="1" s="1"/>
  <c r="J27" i="1"/>
  <c r="K13" i="1"/>
  <c r="S210" i="1"/>
  <c r="L231" i="1"/>
  <c r="N122" i="1"/>
  <c r="N155" i="1" s="1"/>
  <c r="N54" i="1"/>
  <c r="R13" i="1"/>
  <c r="R14" i="1" s="1"/>
  <c r="AH430" i="1"/>
  <c r="AI430" i="1" s="1"/>
  <c r="AN430" i="1"/>
  <c r="AO430" i="1" s="1"/>
  <c r="N185" i="1"/>
  <c r="N194" i="1" s="1"/>
  <c r="N195" i="1" s="1"/>
  <c r="AE416" i="1"/>
  <c r="AH416" i="1"/>
  <c r="AN416" i="1"/>
  <c r="AO416" i="1" s="1"/>
  <c r="N105" i="1"/>
  <c r="N106" i="1" s="1"/>
  <c r="N210" i="1"/>
  <c r="AN449" i="1"/>
  <c r="AO449" i="1" s="1"/>
  <c r="AH449" i="1"/>
  <c r="AF432" i="1"/>
  <c r="AN469" i="1"/>
  <c r="AO469" i="1" s="1"/>
  <c r="AH469" i="1"/>
  <c r="AI469" i="1" s="1"/>
  <c r="L394" i="1"/>
  <c r="K394" i="1" s="1"/>
  <c r="N377" i="1"/>
  <c r="S377" i="1"/>
  <c r="S394" i="1" s="1"/>
  <c r="AF480" i="1"/>
  <c r="AE415" i="1"/>
  <c r="AH415" i="1"/>
  <c r="AN415" i="1"/>
  <c r="AO415" i="1" s="1"/>
  <c r="S72" i="1"/>
  <c r="N41" i="1"/>
  <c r="AH429" i="1"/>
  <c r="AI429" i="1" s="1"/>
  <c r="AN429" i="1"/>
  <c r="AO429" i="1" s="1"/>
  <c r="AI419" i="1"/>
  <c r="AG496" i="1"/>
  <c r="AM496" i="1"/>
  <c r="AH440" i="1"/>
  <c r="AI440" i="1" s="1"/>
  <c r="AN440" i="1"/>
  <c r="AO440" i="1" s="1"/>
  <c r="K194" i="1"/>
  <c r="M185" i="1"/>
  <c r="S153" i="1"/>
  <c r="AH433" i="1"/>
  <c r="AI433" i="1" s="1"/>
  <c r="AN433" i="1"/>
  <c r="AF451" i="1"/>
  <c r="N72" i="1"/>
  <c r="AH409" i="1"/>
  <c r="AI409" i="1" s="1"/>
  <c r="AE409" i="1"/>
  <c r="AN409" i="1"/>
  <c r="AO409" i="1" s="1"/>
  <c r="L74" i="1"/>
  <c r="AN463" i="1"/>
  <c r="AH463" i="1"/>
  <c r="S250" i="1"/>
  <c r="AH445" i="1"/>
  <c r="AI445" i="1" s="1"/>
  <c r="AN445" i="1"/>
  <c r="AO445" i="1" s="1"/>
  <c r="S83" i="1"/>
  <c r="N348" i="1"/>
  <c r="S54" i="1"/>
  <c r="AH434" i="1"/>
  <c r="AI434" i="1" s="1"/>
  <c r="AN434" i="1"/>
  <c r="AO434" i="1" s="1"/>
  <c r="AN464" i="1"/>
  <c r="AH464" i="1"/>
  <c r="AH475" i="1"/>
  <c r="AN475" i="1"/>
  <c r="L108" i="1"/>
  <c r="AH428" i="1"/>
  <c r="AI428" i="1" s="1"/>
  <c r="AN428" i="1"/>
  <c r="AO428" i="1" s="1"/>
  <c r="N83" i="1"/>
  <c r="S348" i="1"/>
  <c r="K376" i="1"/>
  <c r="S376" i="1"/>
  <c r="N309" i="1"/>
  <c r="N305" i="1"/>
  <c r="AH410" i="1"/>
  <c r="AI410" i="1" s="1"/>
  <c r="AE410" i="1"/>
  <c r="AN410" i="1"/>
  <c r="AO410" i="1" s="1"/>
  <c r="AN425" i="1"/>
  <c r="AO425" i="1" s="1"/>
  <c r="AH425" i="1"/>
  <c r="AH438" i="1"/>
  <c r="AI438" i="1" s="1"/>
  <c r="AN438" i="1"/>
  <c r="AO438" i="1" s="1"/>
  <c r="AH441" i="1"/>
  <c r="AI441" i="1" s="1"/>
  <c r="AN441" i="1"/>
  <c r="AO441" i="1" s="1"/>
  <c r="N245" i="1"/>
  <c r="N250" i="1"/>
  <c r="N251" i="1" s="1"/>
  <c r="AN462" i="1"/>
  <c r="AH462" i="1"/>
  <c r="AH471" i="1"/>
  <c r="AI471" i="1" s="1"/>
  <c r="AN471" i="1"/>
  <c r="AO471" i="1" s="1"/>
  <c r="AH444" i="1"/>
  <c r="AI444" i="1" s="1"/>
  <c r="AN444" i="1"/>
  <c r="AO444" i="1" s="1"/>
  <c r="AH473" i="1"/>
  <c r="AN473" i="1"/>
  <c r="AO473" i="1" s="1"/>
  <c r="AH436" i="1"/>
  <c r="AI436" i="1" s="1"/>
  <c r="AN436" i="1"/>
  <c r="AO436" i="1" s="1"/>
  <c r="AH423" i="1"/>
  <c r="AI423" i="1" s="1"/>
  <c r="AN423" i="1"/>
  <c r="AO423" i="1" s="1"/>
  <c r="AH435" i="1"/>
  <c r="AI435" i="1" s="1"/>
  <c r="AN435" i="1"/>
  <c r="AO435" i="1" s="1"/>
  <c r="AH442" i="1"/>
  <c r="AI442" i="1" s="1"/>
  <c r="AN442" i="1"/>
  <c r="AO442" i="1" s="1"/>
  <c r="S229" i="1"/>
  <c r="AN424" i="1"/>
  <c r="AO424" i="1" s="1"/>
  <c r="AH424" i="1"/>
  <c r="M97" i="1"/>
  <c r="AH412" i="1"/>
  <c r="AI412" i="1" s="1"/>
  <c r="AE412" i="1"/>
  <c r="AN412" i="1"/>
  <c r="AO412" i="1" s="1"/>
  <c r="R250" i="1"/>
  <c r="J309" i="1"/>
  <c r="K304" i="1"/>
  <c r="R304" i="1"/>
  <c r="M304" i="1"/>
  <c r="AH414" i="1"/>
  <c r="AI414" i="1" s="1"/>
  <c r="AE414" i="1"/>
  <c r="AN414" i="1"/>
  <c r="AO414" i="1" s="1"/>
  <c r="AH427" i="1"/>
  <c r="AI427" i="1" s="1"/>
  <c r="AN427" i="1"/>
  <c r="AO427" i="1" s="1"/>
  <c r="AH472" i="1"/>
  <c r="AN472" i="1"/>
  <c r="AH421" i="1"/>
  <c r="AI421" i="1" s="1"/>
  <c r="AN421" i="1"/>
  <c r="AO421" i="1" s="1"/>
  <c r="P113" i="1"/>
  <c r="K114" i="1"/>
  <c r="K119" i="1"/>
  <c r="K117" i="1"/>
  <c r="P121" i="1"/>
  <c r="P118" i="1"/>
  <c r="P114" i="1"/>
  <c r="K113" i="1"/>
  <c r="P117" i="1"/>
  <c r="P115" i="1"/>
  <c r="K121" i="1"/>
  <c r="P120" i="1"/>
  <c r="P119" i="1"/>
  <c r="K115" i="1"/>
  <c r="K120" i="1"/>
  <c r="K97" i="1"/>
  <c r="K116" i="1"/>
  <c r="K118" i="1"/>
  <c r="P116" i="1"/>
  <c r="J108" i="1"/>
  <c r="K112" i="1"/>
  <c r="P112" i="1"/>
  <c r="J105" i="1"/>
  <c r="K105" i="1" s="1"/>
  <c r="N394" i="1"/>
  <c r="N396" i="1" s="1"/>
  <c r="N398" i="1" s="1"/>
  <c r="N399" i="1" s="1"/>
  <c r="J31" i="1"/>
  <c r="N329" i="1"/>
  <c r="AH437" i="1"/>
  <c r="AI437" i="1" s="1"/>
  <c r="AN437" i="1"/>
  <c r="AO437" i="1" s="1"/>
  <c r="N229" i="1"/>
  <c r="AF465" i="1"/>
  <c r="AH408" i="1"/>
  <c r="AN408" i="1"/>
  <c r="AO408" i="1" s="1"/>
  <c r="AF418" i="1"/>
  <c r="AE408" i="1"/>
  <c r="AN417" i="1"/>
  <c r="AO417" i="1" s="1"/>
  <c r="AE417" i="1"/>
  <c r="AH417" i="1"/>
  <c r="AH439" i="1"/>
  <c r="AN439" i="1"/>
  <c r="AO439" i="1" s="1"/>
  <c r="J24" i="1"/>
  <c r="K24" i="1" s="1"/>
  <c r="AN474" i="1"/>
  <c r="AO474" i="1" s="1"/>
  <c r="AH474" i="1"/>
  <c r="AI474" i="1" s="1"/>
  <c r="N287" i="1"/>
  <c r="S266" i="1"/>
  <c r="L287" i="1"/>
  <c r="L289" i="1" s="1"/>
  <c r="AI452" i="1"/>
  <c r="AH411" i="1"/>
  <c r="AI411" i="1" s="1"/>
  <c r="AE411" i="1"/>
  <c r="AN411" i="1"/>
  <c r="AO411" i="1" s="1"/>
  <c r="S41" i="1"/>
  <c r="AH443" i="1"/>
  <c r="AI443" i="1" s="1"/>
  <c r="AN443" i="1"/>
  <c r="AO443" i="1" s="1"/>
  <c r="S13" i="1"/>
  <c r="S14" i="1" s="1"/>
  <c r="AN431" i="1"/>
  <c r="AO431" i="1" s="1"/>
  <c r="AH431" i="1"/>
  <c r="S329" i="1"/>
  <c r="L350" i="1"/>
  <c r="AN478" i="1"/>
  <c r="AH478" i="1"/>
  <c r="R97" i="1"/>
  <c r="R98" i="1" s="1"/>
  <c r="AO452" i="1"/>
  <c r="AN470" i="1"/>
  <c r="AO470" i="1" s="1"/>
  <c r="AH470" i="1"/>
  <c r="AI470" i="1" s="1"/>
  <c r="L85" i="1" l="1"/>
  <c r="L86" i="1" s="1"/>
  <c r="K54" i="1"/>
  <c r="K72" i="1"/>
  <c r="N289" i="1"/>
  <c r="N290" i="1" s="1"/>
  <c r="M24" i="1"/>
  <c r="AH465" i="1"/>
  <c r="AI465" i="1" s="1"/>
  <c r="N74" i="1"/>
  <c r="L396" i="1"/>
  <c r="K396" i="1" s="1"/>
  <c r="AN465" i="1"/>
  <c r="AO465" i="1" s="1"/>
  <c r="N108" i="1"/>
  <c r="N165" i="1" s="1"/>
  <c r="N166" i="1" s="1"/>
  <c r="N350" i="1"/>
  <c r="AN418" i="1"/>
  <c r="AO418" i="1" s="1"/>
  <c r="AF467" i="1"/>
  <c r="AI408" i="1"/>
  <c r="AH418" i="1"/>
  <c r="S108" i="1"/>
  <c r="S109" i="1" s="1"/>
  <c r="L165" i="1"/>
  <c r="AH432" i="1"/>
  <c r="AI432" i="1" s="1"/>
  <c r="AN480" i="1"/>
  <c r="AO480" i="1" s="1"/>
  <c r="S194" i="1"/>
  <c r="S195" i="1" s="1"/>
  <c r="L233" i="1"/>
  <c r="AM413" i="1"/>
  <c r="AG413" i="1"/>
  <c r="AO433" i="1"/>
  <c r="AN451" i="1"/>
  <c r="AO451" i="1" s="1"/>
  <c r="AG416" i="1"/>
  <c r="AM416" i="1"/>
  <c r="AM414" i="1"/>
  <c r="AG414" i="1"/>
  <c r="N14" i="1"/>
  <c r="N27" i="1"/>
  <c r="N28" i="1" s="1"/>
  <c r="S251" i="1"/>
  <c r="K153" i="1"/>
  <c r="K155" i="1"/>
  <c r="S155" i="1"/>
  <c r="AG415" i="1"/>
  <c r="AM415" i="1"/>
  <c r="S350" i="1"/>
  <c r="K31" i="1"/>
  <c r="K33" i="1"/>
  <c r="K35" i="1"/>
  <c r="K32" i="1"/>
  <c r="K34" i="1"/>
  <c r="K37" i="1"/>
  <c r="K36" i="1"/>
  <c r="K122" i="1"/>
  <c r="AM411" i="1"/>
  <c r="AG411" i="1"/>
  <c r="K108" i="1"/>
  <c r="R108" i="1"/>
  <c r="R109" i="1" s="1"/>
  <c r="AH451" i="1"/>
  <c r="AI451" i="1" s="1"/>
  <c r="AM412" i="1"/>
  <c r="AG412" i="1"/>
  <c r="L195" i="1"/>
  <c r="J314" i="1"/>
  <c r="K309" i="1"/>
  <c r="R309" i="1"/>
  <c r="M309" i="1"/>
  <c r="R27" i="1"/>
  <c r="R28" i="1" s="1"/>
  <c r="K27" i="1"/>
  <c r="M108" i="1"/>
  <c r="M109" i="1" s="1"/>
  <c r="M105" i="1"/>
  <c r="S85" i="1"/>
  <c r="S86" i="1" s="1"/>
  <c r="AN432" i="1"/>
  <c r="AO432" i="1" s="1"/>
  <c r="L290" i="1"/>
  <c r="S289" i="1"/>
  <c r="S290" i="1" s="1"/>
  <c r="AM410" i="1"/>
  <c r="AG410" i="1"/>
  <c r="AH480" i="1"/>
  <c r="AI480" i="1" s="1"/>
  <c r="S231" i="1"/>
  <c r="K231" i="1"/>
  <c r="L314" i="1"/>
  <c r="K350" i="1" s="1"/>
  <c r="S309" i="1"/>
  <c r="S310" i="1" s="1"/>
  <c r="K135" i="1"/>
  <c r="AM409" i="1"/>
  <c r="AG409" i="1"/>
  <c r="AG417" i="1"/>
  <c r="AM417" i="1"/>
  <c r="S74" i="1"/>
  <c r="K74" i="1"/>
  <c r="N231" i="1"/>
  <c r="N233" i="1" s="1"/>
  <c r="N234" i="1" s="1"/>
  <c r="K210" i="1"/>
  <c r="S287" i="1"/>
  <c r="K287" i="1"/>
  <c r="AM408" i="1"/>
  <c r="AG408" i="1"/>
  <c r="K229" i="1"/>
  <c r="N314" i="1"/>
  <c r="N315" i="1" s="1"/>
  <c r="N310" i="1"/>
  <c r="L398" i="1" l="1"/>
  <c r="S398" i="1" s="1"/>
  <c r="S399" i="1" s="1"/>
  <c r="S396" i="1"/>
  <c r="N109" i="1"/>
  <c r="N85" i="1"/>
  <c r="N86" i="1" s="1"/>
  <c r="L234" i="1"/>
  <c r="S233" i="1"/>
  <c r="S234" i="1" s="1"/>
  <c r="L166" i="1"/>
  <c r="S165" i="1"/>
  <c r="S166" i="1" s="1"/>
  <c r="K314" i="1"/>
  <c r="R314" i="1"/>
  <c r="M314" i="1"/>
  <c r="N352" i="1"/>
  <c r="N353" i="1" s="1"/>
  <c r="AH467" i="1"/>
  <c r="AI467" i="1" s="1"/>
  <c r="AI418" i="1"/>
  <c r="S314" i="1"/>
  <c r="S315" i="1" s="1"/>
  <c r="L352" i="1"/>
  <c r="K348" i="1"/>
  <c r="K329" i="1"/>
  <c r="AF406" i="1"/>
  <c r="AF405" i="1"/>
  <c r="J9" i="2" s="1"/>
  <c r="J8" i="2" s="1"/>
  <c r="R194" i="1"/>
  <c r="M194" i="1"/>
  <c r="AN467" i="1"/>
  <c r="AO467" i="1" s="1"/>
  <c r="L399" i="1" l="1"/>
  <c r="L353" i="1"/>
  <c r="S352" i="1"/>
  <c r="S353" i="1" s="1"/>
  <c r="AF400" i="1"/>
  <c r="K9" i="2"/>
  <c r="K8" i="2" s="1"/>
  <c r="AN406" i="1"/>
  <c r="AO406" i="1" s="1"/>
  <c r="AH406" i="1"/>
  <c r="AF482" i="1"/>
  <c r="AD418" i="1"/>
  <c r="AD465" i="1"/>
  <c r="AD451" i="1"/>
  <c r="AD432" i="1"/>
  <c r="AD480" i="1"/>
  <c r="AD467" i="1"/>
  <c r="AN482" i="1" l="1"/>
  <c r="AO482" i="1" s="1"/>
  <c r="AE482" i="1"/>
  <c r="L9" i="2"/>
  <c r="L8" i="2" s="1"/>
  <c r="AF488" i="1"/>
  <c r="AF497" i="1" s="1"/>
  <c r="AI406" i="1"/>
  <c r="AH400" i="1"/>
  <c r="AH482" i="1"/>
  <c r="AI482" i="1" s="1"/>
  <c r="AF487" i="1" l="1"/>
  <c r="AN488" i="1"/>
  <c r="AE488" i="1"/>
  <c r="AH488" i="1"/>
  <c r="AE497" i="1" l="1"/>
  <c r="M9" i="2"/>
  <c r="M8" i="2" s="1"/>
  <c r="AI488" i="1"/>
  <c r="AH497" i="1"/>
  <c r="AI497" i="1" s="1"/>
  <c r="AN497" i="1"/>
  <c r="AO497" i="1" s="1"/>
  <c r="AO488" i="1"/>
  <c r="AN487" i="1"/>
  <c r="AO487" i="1" s="1"/>
  <c r="AE487" i="1"/>
  <c r="AH487" i="1"/>
  <c r="AI487" i="1" s="1"/>
</calcChain>
</file>

<file path=xl/sharedStrings.xml><?xml version="1.0" encoding="utf-8"?>
<sst xmlns="http://schemas.openxmlformats.org/spreadsheetml/2006/main" count="5643" uniqueCount="481">
  <si>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</si>
  <si>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</si>
  <si>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</si>
  <si>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</si>
  <si>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</si>
  <si>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</si>
  <si>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</si>
  <si>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</si>
  <si>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</si>
  <si>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</si>
  <si>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</si>
  <si>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</si>
  <si>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</si>
  <si>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</si>
  <si>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</si>
  <si>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</si>
  <si>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</si>
  <si>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</si>
  <si>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</si>
  <si>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</si>
  <si>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</si>
  <si>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</si>
  <si>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</si>
  <si>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</si>
  <si>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</si>
  <si>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</si>
  <si>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</si>
  <si>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</si>
  <si>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</si>
  <si>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</si>
  <si>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</si>
  <si>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</si>
  <si>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</si>
  <si>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</si>
  <si>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</si>
  <si>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</si>
  <si>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</si>
  <si>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</si>
  <si>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</si>
  <si>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</si>
  <si>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</si>
  <si>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</si>
  <si>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</si>
  <si>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</si>
  <si>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</si>
  <si>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</si>
  <si>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</si>
  <si>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</si>
  <si>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</si>
  <si>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</si>
  <si>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</si>
  <si>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</si>
  <si>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</si>
  <si>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</si>
  <si>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</si>
  <si>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</si>
  <si>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</si>
  <si>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</si>
  <si>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</si>
  <si>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</si>
  <si>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</si>
  <si>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</si>
  <si>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</si>
  <si>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</si>
  <si>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</si>
  <si>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</si>
  <si>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</si>
  <si>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</si>
  <si>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</si>
  <si>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</si>
  <si>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</si>
  <si>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</si>
  <si>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</si>
  <si>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</si>
  <si>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</si>
  <si>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</si>
  <si>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</si>
  <si>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</si>
  <si>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</si>
  <si>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</si>
  <si>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</si>
  <si>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</si>
  <si>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</si>
  <si>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</si>
  <si>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</si>
  <si>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</si>
  <si>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</si>
  <si>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</si>
  <si>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</si>
  <si>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</si>
  <si>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</si>
  <si>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</si>
  <si>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</si>
  <si>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</si>
  <si>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</si>
  <si>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</si>
  <si>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</si>
  <si>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</si>
  <si>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</si>
  <si>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</si>
  <si>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</si>
  <si>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</si>
  <si>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</si>
  <si>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</si>
  <si>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</si>
  <si>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</si>
  <si>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</si>
  <si>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</si>
  <si>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</si>
  <si>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</si>
  <si>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</si>
  <si>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</si>
  <si>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</si>
  <si>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</si>
  <si>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</si>
  <si>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</si>
  <si>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</si>
  <si>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</si>
  <si>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</si>
  <si>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</si>
  <si>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</si>
  <si>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</si>
  <si>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</si>
  <si>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</si>
  <si>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</si>
  <si>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</si>
  <si>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</si>
  <si>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</si>
  <si>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</si>
  <si>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</si>
  <si>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</si>
  <si>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</si>
  <si>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</si>
  <si>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</si>
  <si>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</si>
  <si>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</si>
  <si>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</si>
  <si>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</si>
  <si>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</si>
  <si>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</si>
  <si>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</si>
  <si>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</si>
  <si>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</si>
  <si>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</si>
  <si>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</si>
  <si>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</si>
  <si>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</si>
  <si>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</si>
  <si>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</si>
  <si>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</si>
  <si>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</si>
  <si>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</si>
  <si>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</si>
  <si>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</si>
  <si>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</si>
  <si>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</si>
  <si>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</si>
  <si>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</si>
  <si>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</si>
  <si>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</si>
  <si>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</si>
  <si>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</si>
  <si>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</si>
  <si>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</si>
  <si>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</si>
  <si>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</si>
  <si>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</si>
  <si>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</si>
  <si>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</si>
  <si>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</si>
  <si>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</si>
  <si>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</si>
  <si>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</si>
  <si>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</si>
  <si>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</si>
  <si>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</si>
  <si>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</si>
  <si>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</si>
  <si>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</si>
  <si>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</si>
  <si>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</si>
  <si>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</si>
  <si>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</si>
  <si>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</si>
  <si>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</si>
  <si>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</si>
  <si>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</si>
  <si>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</si>
  <si>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</si>
  <si>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</si>
  <si>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</si>
  <si>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</si>
  <si>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</si>
  <si>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</si>
  <si>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</si>
  <si>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</si>
  <si>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</si>
  <si>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</si>
  <si>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</si>
  <si>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</si>
  <si>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</si>
  <si>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</si>
  <si>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</si>
  <si>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</si>
  <si>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</si>
  <si>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</si>
  <si>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</si>
  <si>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</si>
  <si>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</si>
  <si>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</si>
  <si>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</si>
  <si>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</si>
  <si>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</si>
  <si>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</si>
  <si>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</si>
  <si>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BAIIA Corpo</t>
  </si>
  <si>
    <t>Revenus d'intérêts floor plan</t>
  </si>
  <si>
    <t>ÉCART réel / année précédente</t>
  </si>
  <si>
    <t>NB</t>
  </si>
  <si>
    <t>$</t>
  </si>
  <si>
    <t>ÉCART réel / Budget</t>
  </si>
  <si>
    <t>ECART (réel/ Ann.Préc.)</t>
  </si>
  <si>
    <t>SERVICE</t>
  </si>
  <si>
    <t>$PROFFTS</t>
  </si>
  <si>
    <t>Autres Marques</t>
  </si>
  <si>
    <t>Programme used 1</t>
  </si>
  <si>
    <t>$Ventes</t>
  </si>
  <si>
    <t>Protégé pour sommaire - &gt;&gt;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</si>
  <si>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</si>
  <si>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</si>
  <si>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</si>
  <si>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</si>
  <si>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</si>
  <si>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</si>
  <si>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</si>
  <si>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</si>
  <si>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</si>
  <si>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</si>
  <si>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</si>
  <si>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</si>
  <si>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</si>
  <si>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</si>
  <si>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</si>
  <si>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</si>
  <si>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</si>
  <si>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</si>
  <si>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</si>
  <si>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</si>
  <si>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</si>
  <si>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</si>
  <si>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</si>
  <si>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</si>
  <si>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</si>
  <si>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</si>
  <si>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</si>
  <si>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</si>
  <si>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</si>
  <si>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</si>
  <si>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</si>
  <si>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</si>
  <si>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</si>
  <si>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</si>
  <si>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</si>
  <si>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</si>
  <si>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</si>
  <si>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</si>
  <si>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</si>
  <si>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</si>
  <si>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</si>
  <si>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</si>
  <si>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</si>
  <si>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</si>
  <si>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</si>
  <si>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</si>
  <si>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</si>
  <si>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</si>
  <si>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</si>
  <si>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</si>
  <si>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</si>
  <si>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</si>
  <si>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</si>
  <si>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</si>
  <si>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</si>
  <si>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</si>
  <si>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</si>
  <si>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</si>
  <si>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</si>
  <si>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usagésAutres Marques</t>
  </si>
  <si>
    <t>Véhicules usagésTotal Usagés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</si>
  <si>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</si>
  <si>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</si>
  <si>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</si>
  <si>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</si>
  <si>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</si>
  <si>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</si>
  <si>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</si>
  <si>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</si>
  <si>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</si>
  <si>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</si>
  <si>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</si>
  <si>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</si>
  <si>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</si>
  <si>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</si>
  <si>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</si>
  <si>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</si>
  <si>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</si>
  <si>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</si>
  <si>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</si>
  <si>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</si>
  <si>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</si>
  <si>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</si>
  <si>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</si>
  <si>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</si>
  <si>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</si>
  <si>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</si>
  <si>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</si>
  <si>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</si>
  <si>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</si>
  <si>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</si>
  <si>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</si>
  <si>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</si>
  <si>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</si>
  <si>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</si>
  <si>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</si>
  <si>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</si>
  <si>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</si>
  <si>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</si>
  <si>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</si>
  <si>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</si>
  <si>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</si>
  <si>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</si>
  <si>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</si>
  <si>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</si>
  <si>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</si>
  <si>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</si>
  <si>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</si>
  <si>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</si>
  <si>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</si>
  <si>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</si>
  <si>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</si>
  <si>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</si>
  <si>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</si>
  <si>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</si>
  <si>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</si>
  <si>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</si>
  <si>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</si>
  <si>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</si>
  <si>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</si>
  <si>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</si>
  <si>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</si>
  <si>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</si>
  <si>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</si>
  <si>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</si>
  <si>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</si>
  <si>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</si>
  <si>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</si>
  <si>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</si>
  <si>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</si>
  <si>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</si>
  <si>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</si>
  <si>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</si>
  <si>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</si>
  <si>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</si>
  <si>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</si>
  <si>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</si>
  <si>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</si>
  <si>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</si>
  <si>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</si>
  <si>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</si>
  <si>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</si>
  <si>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</si>
  <si>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</si>
  <si>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</si>
  <si>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</si>
  <si>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</si>
  <si>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</si>
  <si>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</si>
  <si>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</si>
  <si>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</si>
  <si>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</si>
  <si>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</si>
  <si>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</si>
  <si>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</si>
  <si>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</si>
  <si>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</si>
  <si>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</si>
  <si>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</si>
  <si>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</si>
  <si>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</si>
  <si>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</si>
  <si>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</si>
  <si>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</si>
  <si>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</si>
  <si>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</si>
  <si>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</si>
  <si>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</si>
  <si>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</si>
  <si>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</si>
  <si>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</si>
  <si>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</si>
  <si>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</si>
  <si>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</si>
  <si>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</si>
  <si>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</si>
  <si>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</si>
  <si>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</si>
  <si>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</si>
  <si>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</si>
  <si>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</si>
  <si>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</si>
  <si>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</si>
  <si>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</si>
  <si>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</si>
  <si>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</si>
  <si>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</si>
  <si>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</si>
  <si>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</si>
  <si>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</si>
  <si>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</si>
  <si>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</si>
  <si>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</si>
  <si>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</si>
  <si>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</si>
  <si>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</si>
  <si>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</si>
  <si>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</si>
  <si>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</si>
  <si>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</si>
  <si>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</si>
  <si>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</si>
  <si>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</si>
  <si>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</si>
  <si>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</si>
  <si>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</si>
  <si>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</si>
  <si>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</si>
  <si>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</si>
  <si>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</si>
  <si>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</si>
  <si>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</si>
  <si>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</si>
  <si>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</si>
  <si>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</si>
  <si>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</si>
  <si>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</si>
  <si>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</si>
  <si>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</si>
  <si>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</si>
  <si>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</si>
  <si>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</si>
  <si>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</si>
  <si>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</si>
  <si>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</si>
  <si>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</si>
  <si>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</si>
  <si>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</si>
  <si>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</si>
  <si>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</si>
  <si>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</si>
  <si>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</si>
  <si>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</si>
  <si>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</si>
  <si>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</si>
  <si>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</si>
  <si>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</si>
  <si>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</si>
  <si>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</si>
  <si>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</si>
  <si>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</si>
  <si>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</si>
  <si>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*** NE PAS EFFACER / Pour An Précédente ***</t>
  </si>
  <si>
    <t>NEUF</t>
  </si>
  <si>
    <t>UNITÉS</t>
  </si>
  <si>
    <t>USAGE</t>
  </si>
  <si>
    <t>CARROSSERIE</t>
  </si>
  <si>
    <t>PIECES</t>
  </si>
  <si>
    <t>Valet prestigue (Non prevu)</t>
  </si>
  <si>
    <t>TOTAL DES REVENUS ET DÉPENSES</t>
  </si>
  <si>
    <t>Volks</t>
  </si>
  <si>
    <t>Pacing du 30</t>
  </si>
  <si>
    <t>Réalisé, Décembre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</si>
</sst>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dd\/mm\/yy_)"/>
    <numFmt numFmtId="166" formatCode="0.0%"/>
    <numFmt numFmtId="167" formatCode="0_)"/>
    <numFmt numFmtId="168" formatCode="_(* #,##0_);_(* \(#,##0\);_(* &quot;-&quot;??_);_(@_)"/>
    <numFmt numFmtId="169" formatCode="&quot;$&quot;#,##0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d/m/yyyy"/>
  </numFmts>
  <fonts count="4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2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4"/>
      <color theme="1"/>
      <name val="Arial mt"/>
    </font>
    <font>
      <sz val="14"/>
      <color theme="1"/>
      <name val="Calibri"/>
      <family val="2"/>
    </font>
    <font>
      <sz val="14"/>
      <color theme="1"/>
      <name val="Arial mt"/>
    </font>
    <font>
      <b/>
      <sz val="14"/>
      <color rgb="FFFF0000"/>
      <name val="Arial mt"/>
    </font>
    <font>
      <sz val="14"/>
      <color rgb="FFFF0000"/>
      <name val="Arial"/>
      <family val="2"/>
    </font>
    <font>
      <b/>
      <sz val="14"/>
      <name val="Arial"/>
      <family val="2"/>
    </font>
    <font>
      <b/>
      <i/>
      <sz val="14"/>
      <color theme="1"/>
      <name val="Arial mt"/>
    </font>
    <font>
      <sz val="14"/>
      <color theme="1"/>
      <name val="Times New Roman"/>
      <family val="1"/>
    </font>
    <font>
      <sz val="14"/>
      <color rgb="FF0000FF"/>
      <name val="Arial mt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8"/>
      <color theme="1"/>
      <name val="Arial"/>
      <family val="2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sz val="20"/>
      <color rgb="FFFF0000"/>
      <name val="Arial"/>
      <family val="2"/>
    </font>
    <font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</fills>
  <borders count="1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2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0" fontId="9" fillId="0" borderId="0"/>
    <xf numFmtId="0" fontId="26" fillId="0" borderId="0"/>
    <xf numFmtId="170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16" fillId="0" borderId="0"/>
    <xf numFmtId="0" fontId="8" fillId="0" borderId="0"/>
    <xf numFmtId="0" fontId="26" fillId="0" borderId="0"/>
    <xf numFmtId="43" fontId="28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7" fillId="0" borderId="0"/>
    <xf numFmtId="0" fontId="4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8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4">
    <xf numFmtId="0" fontId="0" fillId="0" borderId="0" xfId="0"/>
    <xf numFmtId="0" fontId="17" fillId="0" borderId="18" xfId="0" applyFont="1" applyBorder="1"/>
    <xf numFmtId="0" fontId="17" fillId="0" borderId="22" xfId="0" applyFont="1" applyBorder="1"/>
    <xf numFmtId="0" fontId="17" fillId="0" borderId="6" xfId="0" applyFont="1" applyBorder="1"/>
    <xf numFmtId="0" fontId="17" fillId="0" borderId="48" xfId="0" applyFont="1" applyBorder="1"/>
    <xf numFmtId="0" fontId="17" fillId="0" borderId="11" xfId="0" applyFont="1" applyBorder="1"/>
    <xf numFmtId="0" fontId="20" fillId="0" borderId="0" xfId="0" applyFont="1" applyAlignment="1">
      <alignment horizontal="center" vertical="center"/>
    </xf>
    <xf numFmtId="0" fontId="17" fillId="0" borderId="12" xfId="0" applyFont="1" applyBorder="1"/>
    <xf numFmtId="37" fontId="17" fillId="0" borderId="67" xfId="0" applyNumberFormat="1" applyFont="1" applyBorder="1"/>
    <xf numFmtId="37" fontId="17" fillId="0" borderId="68" xfId="0" applyNumberFormat="1" applyFont="1" applyBorder="1"/>
    <xf numFmtId="37" fontId="17" fillId="0" borderId="12" xfId="0" applyNumberFormat="1" applyFont="1" applyBorder="1"/>
    <xf numFmtId="166" fontId="17" fillId="0" borderId="12" xfId="0" applyNumberFormat="1" applyFont="1" applyBorder="1"/>
    <xf numFmtId="37" fontId="17" fillId="0" borderId="69" xfId="0" applyNumberFormat="1" applyFont="1" applyBorder="1"/>
    <xf numFmtId="166" fontId="17" fillId="0" borderId="17" xfId="0" applyNumberFormat="1" applyFont="1" applyBorder="1"/>
    <xf numFmtId="0" fontId="20" fillId="2" borderId="22" xfId="0" applyFont="1" applyFill="1" applyBorder="1"/>
    <xf numFmtId="0" fontId="20" fillId="2" borderId="12" xfId="0" applyFont="1" applyFill="1" applyBorder="1"/>
    <xf numFmtId="37" fontId="20" fillId="2" borderId="67" xfId="0" applyNumberFormat="1" applyFont="1" applyFill="1" applyBorder="1"/>
    <xf numFmtId="37" fontId="20" fillId="2" borderId="68" xfId="0" applyNumberFormat="1" applyFont="1" applyFill="1" applyBorder="1"/>
    <xf numFmtId="37" fontId="20" fillId="2" borderId="12" xfId="0" applyNumberFormat="1" applyFont="1" applyFill="1" applyBorder="1"/>
    <xf numFmtId="166" fontId="20" fillId="2" borderId="12" xfId="0" applyNumberFormat="1" applyFont="1" applyFill="1" applyBorder="1"/>
    <xf numFmtId="37" fontId="20" fillId="2" borderId="69" xfId="0" applyNumberFormat="1" applyFont="1" applyFill="1" applyBorder="1"/>
    <xf numFmtId="166" fontId="20" fillId="2" borderId="17" xfId="0" applyNumberFormat="1" applyFont="1" applyFill="1" applyBorder="1"/>
    <xf numFmtId="0" fontId="20" fillId="0" borderId="18" xfId="0" applyFont="1" applyBorder="1"/>
    <xf numFmtId="0" fontId="17" fillId="0" borderId="0" xfId="0" applyFont="1"/>
    <xf numFmtId="37" fontId="17" fillId="0" borderId="70" xfId="0" applyNumberFormat="1" applyFont="1" applyBorder="1"/>
    <xf numFmtId="37" fontId="17" fillId="0" borderId="71" xfId="0" applyNumberFormat="1" applyFont="1" applyBorder="1"/>
    <xf numFmtId="37" fontId="17" fillId="0" borderId="0" xfId="0" applyNumberFormat="1" applyFont="1"/>
    <xf numFmtId="166" fontId="17" fillId="0" borderId="0" xfId="0" applyNumberFormat="1" applyFont="1"/>
    <xf numFmtId="37" fontId="17" fillId="0" borderId="72" xfId="0" applyNumberFormat="1" applyFont="1" applyBorder="1"/>
    <xf numFmtId="166" fontId="17" fillId="0" borderId="21" xfId="0" applyNumberFormat="1" applyFont="1" applyBorder="1"/>
    <xf numFmtId="0" fontId="17" fillId="0" borderId="0" xfId="0" applyFont="1" applyAlignment="1">
      <alignment horizontal="right"/>
    </xf>
    <xf numFmtId="167" fontId="17" fillId="0" borderId="0" xfId="0" applyNumberFormat="1" applyFont="1"/>
    <xf numFmtId="0" fontId="17" fillId="0" borderId="71" xfId="0" applyFont="1" applyBorder="1"/>
    <xf numFmtId="166" fontId="17" fillId="0" borderId="10" xfId="0" applyNumberFormat="1" applyFont="1" applyBorder="1"/>
    <xf numFmtId="0" fontId="17" fillId="0" borderId="12" xfId="0" applyFont="1" applyBorder="1" applyAlignment="1">
      <alignment horizontal="right"/>
    </xf>
    <xf numFmtId="167" fontId="17" fillId="0" borderId="12" xfId="0" applyNumberFormat="1" applyFont="1" applyBorder="1"/>
    <xf numFmtId="0" fontId="17" fillId="0" borderId="68" xfId="0" applyFont="1" applyBorder="1"/>
    <xf numFmtId="166" fontId="17" fillId="0" borderId="67" xfId="0" applyNumberFormat="1" applyFont="1" applyBorder="1"/>
    <xf numFmtId="166" fontId="17" fillId="0" borderId="73" xfId="0" applyNumberFormat="1" applyFont="1" applyBorder="1"/>
    <xf numFmtId="166" fontId="21" fillId="0" borderId="10" xfId="0" applyNumberFormat="1" applyFont="1" applyBorder="1"/>
    <xf numFmtId="0" fontId="20" fillId="2" borderId="34" xfId="0" applyFont="1" applyFill="1" applyBorder="1"/>
    <xf numFmtId="0" fontId="20" fillId="2" borderId="35" xfId="0" applyFont="1" applyFill="1" applyBorder="1"/>
    <xf numFmtId="166" fontId="20" fillId="2" borderId="35" xfId="0" applyNumberFormat="1" applyFont="1" applyFill="1" applyBorder="1"/>
    <xf numFmtId="37" fontId="20" fillId="2" borderId="74" xfId="0" applyNumberFormat="1" applyFont="1" applyFill="1" applyBorder="1"/>
    <xf numFmtId="166" fontId="20" fillId="2" borderId="38" xfId="0" applyNumberFormat="1" applyFont="1" applyFill="1" applyBorder="1"/>
    <xf numFmtId="0" fontId="20" fillId="2" borderId="38" xfId="0" applyFont="1" applyFill="1" applyBorder="1"/>
    <xf numFmtId="37" fontId="20" fillId="2" borderId="35" xfId="0" applyNumberFormat="1" applyFont="1" applyFill="1" applyBorder="1"/>
    <xf numFmtId="0" fontId="20" fillId="2" borderId="75" xfId="0" applyFont="1" applyFill="1" applyBorder="1"/>
    <xf numFmtId="166" fontId="17" fillId="0" borderId="70" xfId="0" applyNumberFormat="1" applyFont="1" applyBorder="1"/>
    <xf numFmtId="167" fontId="20" fillId="2" borderId="35" xfId="0" applyNumberFormat="1" applyFont="1" applyFill="1" applyBorder="1"/>
    <xf numFmtId="37" fontId="20" fillId="2" borderId="38" xfId="0" applyNumberFormat="1" applyFont="1" applyFill="1" applyBorder="1"/>
    <xf numFmtId="37" fontId="20" fillId="2" borderId="75" xfId="0" applyNumberFormat="1" applyFont="1" applyFill="1" applyBorder="1"/>
    <xf numFmtId="0" fontId="17" fillId="0" borderId="7" xfId="0" applyFont="1" applyBorder="1" applyAlignment="1">
      <alignment horizontal="right"/>
    </xf>
    <xf numFmtId="0" fontId="17" fillId="0" borderId="7" xfId="0" applyFont="1" applyBorder="1"/>
    <xf numFmtId="37" fontId="17" fillId="0" borderId="76" xfId="0" applyNumberFormat="1" applyFont="1" applyBorder="1"/>
    <xf numFmtId="0" fontId="17" fillId="0" borderId="77" xfId="0" applyFont="1" applyBorder="1"/>
    <xf numFmtId="167" fontId="17" fillId="0" borderId="7" xfId="0" applyNumberFormat="1" applyFont="1" applyBorder="1"/>
    <xf numFmtId="37" fontId="17" fillId="0" borderId="7" xfId="0" applyNumberFormat="1" applyFont="1" applyBorder="1"/>
    <xf numFmtId="166" fontId="17" fillId="0" borderId="7" xfId="0" applyNumberFormat="1" applyFont="1" applyBorder="1"/>
    <xf numFmtId="37" fontId="17" fillId="0" borderId="78" xfId="0" applyNumberFormat="1" applyFont="1" applyBorder="1"/>
    <xf numFmtId="0" fontId="17" fillId="0" borderId="47" xfId="0" applyFont="1" applyBorder="1" applyAlignment="1">
      <alignment horizontal="right"/>
    </xf>
    <xf numFmtId="0" fontId="17" fillId="0" borderId="47" xfId="0" applyFont="1" applyBorder="1"/>
    <xf numFmtId="37" fontId="17" fillId="0" borderId="79" xfId="0" applyNumberFormat="1" applyFont="1" applyBorder="1"/>
    <xf numFmtId="0" fontId="17" fillId="0" borderId="80" xfId="0" applyFont="1" applyBorder="1"/>
    <xf numFmtId="167" fontId="17" fillId="0" borderId="47" xfId="0" applyNumberFormat="1" applyFont="1" applyBorder="1"/>
    <xf numFmtId="37" fontId="17" fillId="0" borderId="80" xfId="0" applyNumberFormat="1" applyFont="1" applyBorder="1"/>
    <xf numFmtId="37" fontId="17" fillId="0" borderId="47" xfId="0" applyNumberFormat="1" applyFont="1" applyBorder="1"/>
    <xf numFmtId="166" fontId="17" fillId="0" borderId="47" xfId="0" applyNumberFormat="1" applyFont="1" applyBorder="1"/>
    <xf numFmtId="37" fontId="17" fillId="0" borderId="81" xfId="0" applyNumberFormat="1" applyFont="1" applyBorder="1"/>
    <xf numFmtId="166" fontId="17" fillId="0" borderId="82" xfId="0" applyNumberFormat="1" applyFont="1" applyBorder="1"/>
    <xf numFmtId="0" fontId="17" fillId="2" borderId="35" xfId="0" applyFont="1" applyFill="1" applyBorder="1"/>
    <xf numFmtId="166" fontId="20" fillId="2" borderId="39" xfId="0" applyNumberFormat="1" applyFont="1" applyFill="1" applyBorder="1"/>
    <xf numFmtId="166" fontId="20" fillId="0" borderId="0" xfId="0" applyNumberFormat="1" applyFont="1"/>
    <xf numFmtId="0" fontId="20" fillId="0" borderId="0" xfId="0" applyFont="1"/>
    <xf numFmtId="166" fontId="17" fillId="0" borderId="76" xfId="0" applyNumberFormat="1" applyFont="1" applyBorder="1"/>
    <xf numFmtId="0" fontId="17" fillId="0" borderId="70" xfId="0" applyFont="1" applyBorder="1"/>
    <xf numFmtId="0" fontId="17" fillId="0" borderId="72" xfId="0" applyFont="1" applyBorder="1"/>
    <xf numFmtId="166" fontId="17" fillId="0" borderId="83" xfId="0" applyNumberFormat="1" applyFont="1" applyBorder="1"/>
    <xf numFmtId="166" fontId="20" fillId="0" borderId="7" xfId="0" applyNumberFormat="1" applyFont="1" applyBorder="1"/>
    <xf numFmtId="0" fontId="20" fillId="0" borderId="7" xfId="0" applyFont="1" applyBorder="1"/>
    <xf numFmtId="166" fontId="20" fillId="0" borderId="77" xfId="0" applyNumberFormat="1" applyFont="1" applyBorder="1"/>
    <xf numFmtId="37" fontId="20" fillId="0" borderId="77" xfId="0" applyNumberFormat="1" applyFont="1" applyBorder="1"/>
    <xf numFmtId="37" fontId="17" fillId="0" borderId="84" xfId="0" applyNumberFormat="1" applyFont="1" applyBorder="1"/>
    <xf numFmtId="37" fontId="20" fillId="0" borderId="7" xfId="0" applyNumberFormat="1" applyFont="1" applyBorder="1"/>
    <xf numFmtId="166" fontId="20" fillId="0" borderId="71" xfId="0" applyNumberFormat="1" applyFont="1" applyBorder="1"/>
    <xf numFmtId="37" fontId="20" fillId="0" borderId="71" xfId="0" applyNumberFormat="1" applyFont="1" applyBorder="1"/>
    <xf numFmtId="37" fontId="17" fillId="0" borderId="85" xfId="0" applyNumberFormat="1" applyFont="1" applyBorder="1"/>
    <xf numFmtId="37" fontId="20" fillId="0" borderId="0" xfId="0" applyNumberFormat="1" applyFont="1"/>
    <xf numFmtId="166" fontId="17" fillId="2" borderId="38" xfId="0" applyNumberFormat="1" applyFont="1" applyFill="1" applyBorder="1"/>
    <xf numFmtId="166" fontId="17" fillId="2" borderId="35" xfId="0" applyNumberFormat="1" applyFont="1" applyFill="1" applyBorder="1"/>
    <xf numFmtId="37" fontId="17" fillId="2" borderId="75" xfId="0" applyNumberFormat="1" applyFont="1" applyFill="1" applyBorder="1"/>
    <xf numFmtId="0" fontId="20" fillId="3" borderId="6" xfId="0" applyFont="1" applyFill="1" applyBorder="1"/>
    <xf numFmtId="0" fontId="20" fillId="3" borderId="7" xfId="0" applyFont="1" applyFill="1" applyBorder="1"/>
    <xf numFmtId="37" fontId="20" fillId="3" borderId="7" xfId="0" applyNumberFormat="1" applyFont="1" applyFill="1" applyBorder="1"/>
    <xf numFmtId="37" fontId="17" fillId="3" borderId="76" xfId="0" applyNumberFormat="1" applyFont="1" applyFill="1" applyBorder="1"/>
    <xf numFmtId="0" fontId="17" fillId="3" borderId="7" xfId="0" applyFont="1" applyFill="1" applyBorder="1"/>
    <xf numFmtId="37" fontId="17" fillId="3" borderId="7" xfId="0" applyNumberFormat="1" applyFont="1" applyFill="1" applyBorder="1"/>
    <xf numFmtId="37" fontId="17" fillId="3" borderId="77" xfId="0" applyNumberFormat="1" applyFont="1" applyFill="1" applyBorder="1"/>
    <xf numFmtId="37" fontId="17" fillId="3" borderId="0" xfId="0" applyNumberFormat="1" applyFont="1" applyFill="1"/>
    <xf numFmtId="166" fontId="17" fillId="3" borderId="0" xfId="0" applyNumberFormat="1" applyFont="1" applyFill="1"/>
    <xf numFmtId="166" fontId="17" fillId="3" borderId="77" xfId="0" applyNumberFormat="1" applyFont="1" applyFill="1" applyBorder="1"/>
    <xf numFmtId="166" fontId="17" fillId="3" borderId="7" xfId="0" applyNumberFormat="1" applyFont="1" applyFill="1" applyBorder="1"/>
    <xf numFmtId="37" fontId="17" fillId="3" borderId="78" xfId="0" applyNumberFormat="1" applyFont="1" applyFill="1" applyBorder="1"/>
    <xf numFmtId="166" fontId="17" fillId="0" borderId="45" xfId="0" applyNumberFormat="1" applyFont="1" applyBorder="1"/>
    <xf numFmtId="0" fontId="20" fillId="2" borderId="57" xfId="0" applyFont="1" applyFill="1" applyBorder="1"/>
    <xf numFmtId="0" fontId="20" fillId="2" borderId="58" xfId="0" applyFont="1" applyFill="1" applyBorder="1"/>
    <xf numFmtId="0" fontId="20" fillId="2" borderId="58" xfId="0" applyFont="1" applyFill="1" applyBorder="1" applyAlignment="1">
      <alignment horizontal="center"/>
    </xf>
    <xf numFmtId="166" fontId="20" fillId="2" borderId="58" xfId="0" applyNumberFormat="1" applyFont="1" applyFill="1" applyBorder="1"/>
    <xf numFmtId="37" fontId="20" fillId="2" borderId="86" xfId="0" applyNumberFormat="1" applyFont="1" applyFill="1" applyBorder="1"/>
    <xf numFmtId="37" fontId="20" fillId="2" borderId="58" xfId="0" applyNumberFormat="1" applyFont="1" applyFill="1" applyBorder="1"/>
    <xf numFmtId="37" fontId="20" fillId="2" borderId="87" xfId="0" applyNumberFormat="1" applyFont="1" applyFill="1" applyBorder="1"/>
    <xf numFmtId="166" fontId="20" fillId="2" borderId="88" xfId="0" applyNumberFormat="1" applyFont="1" applyFill="1" applyBorder="1"/>
    <xf numFmtId="0" fontId="20" fillId="2" borderId="87" xfId="0" applyFont="1" applyFill="1" applyBorder="1" applyAlignment="1">
      <alignment horizontal="center"/>
    </xf>
    <xf numFmtId="37" fontId="20" fillId="2" borderId="89" xfId="0" applyNumberFormat="1" applyFont="1" applyFill="1" applyBorder="1"/>
    <xf numFmtId="166" fontId="20" fillId="2" borderId="46" xfId="0" applyNumberFormat="1" applyFont="1" applyFill="1" applyBorder="1"/>
    <xf numFmtId="39" fontId="17" fillId="0" borderId="0" xfId="0" applyNumberFormat="1" applyFont="1"/>
    <xf numFmtId="0" fontId="20" fillId="2" borderId="90" xfId="0" applyFont="1" applyFill="1" applyBorder="1"/>
    <xf numFmtId="0" fontId="20" fillId="2" borderId="91" xfId="0" applyFont="1" applyFill="1" applyBorder="1"/>
    <xf numFmtId="0" fontId="20" fillId="2" borderId="91" xfId="0" applyFont="1" applyFill="1" applyBorder="1" applyAlignment="1">
      <alignment horizontal="center"/>
    </xf>
    <xf numFmtId="166" fontId="20" fillId="2" borderId="91" xfId="0" applyNumberFormat="1" applyFont="1" applyFill="1" applyBorder="1"/>
    <xf numFmtId="37" fontId="20" fillId="2" borderId="92" xfId="0" applyNumberFormat="1" applyFont="1" applyFill="1" applyBorder="1"/>
    <xf numFmtId="37" fontId="20" fillId="2" borderId="91" xfId="0" applyNumberFormat="1" applyFont="1" applyFill="1" applyBorder="1"/>
    <xf numFmtId="37" fontId="20" fillId="2" borderId="93" xfId="0" applyNumberFormat="1" applyFont="1" applyFill="1" applyBorder="1"/>
    <xf numFmtId="37" fontId="20" fillId="2" borderId="94" xfId="0" applyNumberFormat="1" applyFont="1" applyFill="1" applyBorder="1"/>
    <xf numFmtId="37" fontId="20" fillId="2" borderId="63" xfId="0" applyNumberFormat="1" applyFont="1" applyFill="1" applyBorder="1"/>
    <xf numFmtId="166" fontId="20" fillId="2" borderId="66" xfId="0" applyNumberFormat="1" applyFont="1" applyFill="1" applyBorder="1"/>
    <xf numFmtId="166" fontId="20" fillId="2" borderId="61" xfId="0" applyNumberFormat="1" applyFont="1" applyFill="1" applyBorder="1"/>
    <xf numFmtId="0" fontId="22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/>
    </xf>
    <xf numFmtId="0" fontId="24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25" fillId="0" borderId="96" xfId="0" applyFont="1" applyBorder="1" applyAlignment="1">
      <alignment vertical="center"/>
    </xf>
    <xf numFmtId="0" fontId="25" fillId="0" borderId="97" xfId="0" applyFont="1" applyBorder="1" applyAlignment="1">
      <alignment vertical="center"/>
    </xf>
    <xf numFmtId="37" fontId="25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25" fillId="7" borderId="95" xfId="0" applyFont="1" applyFill="1" applyBorder="1" applyAlignment="1">
      <alignment horizontal="center"/>
    </xf>
    <xf numFmtId="0" fontId="25" fillId="8" borderId="95" xfId="0" applyFont="1" applyFill="1" applyBorder="1" applyAlignment="1">
      <alignment horizontal="center"/>
    </xf>
    <xf numFmtId="0" fontId="25" fillId="5" borderId="95" xfId="0" applyFont="1" applyFill="1" applyBorder="1" applyAlignment="1">
      <alignment horizontal="center"/>
    </xf>
    <xf numFmtId="3" fontId="24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25" fillId="0" borderId="100" xfId="0" applyNumberFormat="1" applyFont="1" applyBorder="1" applyAlignment="1">
      <alignment horizontal="center" vertical="center"/>
    </xf>
    <xf numFmtId="3" fontId="24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25" fillId="6" borderId="95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3" fontId="29" fillId="0" borderId="0" xfId="0" applyNumberFormat="1" applyFont="1" applyAlignment="1">
      <alignment horizontal="center"/>
    </xf>
    <xf numFmtId="0" fontId="17" fillId="0" borderId="9" xfId="0" applyFont="1" applyBorder="1"/>
    <xf numFmtId="0" fontId="17" fillId="0" borderId="14" xfId="0" applyFont="1" applyBorder="1"/>
    <xf numFmtId="0" fontId="17" fillId="0" borderId="20" xfId="0" applyFont="1" applyBorder="1"/>
    <xf numFmtId="166" fontId="17" fillId="0" borderId="16" xfId="0" applyNumberFormat="1" applyFont="1" applyBorder="1"/>
    <xf numFmtId="0" fontId="20" fillId="0" borderId="9" xfId="0" applyFont="1" applyBorder="1"/>
    <xf numFmtId="166" fontId="17" fillId="0" borderId="8" xfId="0" applyNumberFormat="1" applyFont="1" applyBorder="1"/>
    <xf numFmtId="0" fontId="20" fillId="2" borderId="37" xfId="0" applyFont="1" applyFill="1" applyBorder="1"/>
    <xf numFmtId="0" fontId="20" fillId="2" borderId="103" xfId="0" applyFont="1" applyFill="1" applyBorder="1"/>
    <xf numFmtId="0" fontId="20" fillId="2" borderId="104" xfId="0" applyFont="1" applyFill="1" applyBorder="1"/>
    <xf numFmtId="0" fontId="20" fillId="2" borderId="104" xfId="0" applyFont="1" applyFill="1" applyBorder="1" applyAlignment="1">
      <alignment horizontal="center"/>
    </xf>
    <xf numFmtId="166" fontId="20" fillId="2" borderId="104" xfId="0" applyNumberFormat="1" applyFont="1" applyFill="1" applyBorder="1"/>
    <xf numFmtId="37" fontId="20" fillId="2" borderId="105" xfId="0" applyNumberFormat="1" applyFont="1" applyFill="1" applyBorder="1"/>
    <xf numFmtId="37" fontId="20" fillId="2" borderId="104" xfId="0" applyNumberFormat="1" applyFont="1" applyFill="1" applyBorder="1"/>
    <xf numFmtId="166" fontId="20" fillId="2" borderId="106" xfId="0" applyNumberFormat="1" applyFont="1" applyFill="1" applyBorder="1"/>
    <xf numFmtId="166" fontId="20" fillId="2" borderId="31" xfId="0" applyNumberFormat="1" applyFont="1" applyFill="1" applyBorder="1"/>
    <xf numFmtId="37" fontId="20" fillId="2" borderId="107" xfId="0" applyNumberFormat="1" applyFont="1" applyFill="1" applyBorder="1"/>
    <xf numFmtId="37" fontId="20" fillId="2" borderId="101" xfId="0" applyNumberFormat="1" applyFont="1" applyFill="1" applyBorder="1"/>
    <xf numFmtId="166" fontId="20" fillId="2" borderId="102" xfId="0" applyNumberFormat="1" applyFont="1" applyFill="1" applyBorder="1"/>
    <xf numFmtId="166" fontId="20" fillId="0" borderId="9" xfId="0" applyNumberFormat="1" applyFont="1" applyBorder="1"/>
    <xf numFmtId="166" fontId="20" fillId="0" borderId="8" xfId="0" applyNumberFormat="1" applyFont="1" applyBorder="1"/>
    <xf numFmtId="9" fontId="20" fillId="0" borderId="7" xfId="0" applyNumberFormat="1" applyFont="1" applyBorder="1"/>
    <xf numFmtId="9" fontId="20" fillId="0" borderId="0" xfId="0" applyNumberFormat="1" applyFont="1"/>
    <xf numFmtId="1" fontId="17" fillId="0" borderId="0" xfId="0" applyNumberFormat="1" applyFont="1"/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3" fontId="31" fillId="0" borderId="0" xfId="0" applyNumberFormat="1" applyFont="1"/>
    <xf numFmtId="0" fontId="31" fillId="0" borderId="0" xfId="0" applyFont="1" applyAlignment="1">
      <alignment horizontal="right"/>
    </xf>
    <xf numFmtId="0" fontId="32" fillId="0" borderId="0" xfId="0" applyFont="1"/>
    <xf numFmtId="165" fontId="17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center"/>
    </xf>
    <xf numFmtId="0" fontId="33" fillId="0" borderId="0" xfId="0" applyFont="1"/>
    <xf numFmtId="0" fontId="17" fillId="0" borderId="1" xfId="0" applyFont="1" applyBorder="1"/>
    <xf numFmtId="3" fontId="17" fillId="0" borderId="7" xfId="0" applyNumberFormat="1" applyFont="1" applyBorder="1" applyAlignment="1">
      <alignment horizontal="center"/>
    </xf>
    <xf numFmtId="3" fontId="17" fillId="0" borderId="8" xfId="0" applyNumberFormat="1" applyFont="1" applyBorder="1" applyAlignment="1">
      <alignment horizontal="center"/>
    </xf>
    <xf numFmtId="3" fontId="17" fillId="0" borderId="9" xfId="0" applyNumberFormat="1" applyFont="1" applyBorder="1" applyAlignment="1">
      <alignment horizontal="center"/>
    </xf>
    <xf numFmtId="3" fontId="17" fillId="0" borderId="10" xfId="0" applyNumberFormat="1" applyFont="1" applyBorder="1" applyAlignment="1">
      <alignment horizontal="center"/>
    </xf>
    <xf numFmtId="1" fontId="34" fillId="0" borderId="0" xfId="0" applyNumberFormat="1" applyFont="1"/>
    <xf numFmtId="0" fontId="34" fillId="0" borderId="0" xfId="0" applyFont="1"/>
    <xf numFmtId="3" fontId="17" fillId="0" borderId="12" xfId="0" applyNumberFormat="1" applyFont="1" applyBorder="1" applyAlignment="1">
      <alignment horizontal="center"/>
    </xf>
    <xf numFmtId="3" fontId="17" fillId="0" borderId="13" xfId="0" applyNumberFormat="1" applyFont="1" applyBorder="1"/>
    <xf numFmtId="3" fontId="17" fillId="0" borderId="15" xfId="0" applyNumberFormat="1" applyFont="1" applyBorder="1"/>
    <xf numFmtId="3" fontId="17" fillId="0" borderId="14" xfId="0" applyNumberFormat="1" applyFon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3" fontId="17" fillId="0" borderId="17" xfId="0" applyNumberFormat="1" applyFont="1" applyBorder="1" applyAlignment="1">
      <alignment horizontal="center"/>
    </xf>
    <xf numFmtId="3" fontId="17" fillId="0" borderId="0" xfId="0" applyNumberFormat="1" applyFont="1"/>
    <xf numFmtId="3" fontId="17" fillId="0" borderId="9" xfId="0" applyNumberFormat="1" applyFont="1" applyBorder="1"/>
    <xf numFmtId="3" fontId="21" fillId="0" borderId="8" xfId="0" applyNumberFormat="1" applyFont="1" applyBorder="1"/>
    <xf numFmtId="3" fontId="17" fillId="0" borderId="8" xfId="0" applyNumberFormat="1" applyFont="1" applyBorder="1"/>
    <xf numFmtId="3" fontId="17" fillId="0" borderId="10" xfId="0" applyNumberFormat="1" applyFont="1" applyBorder="1"/>
    <xf numFmtId="0" fontId="20" fillId="0" borderId="6" xfId="0" applyFont="1" applyBorder="1"/>
    <xf numFmtId="3" fontId="20" fillId="0" borderId="7" xfId="0" applyNumberFormat="1" applyFont="1" applyBorder="1"/>
    <xf numFmtId="3" fontId="20" fillId="0" borderId="19" xfId="0" applyNumberFormat="1" applyFont="1" applyBorder="1"/>
    <xf numFmtId="3" fontId="20" fillId="0" borderId="20" xfId="0" applyNumberFormat="1" applyFont="1" applyBorder="1"/>
    <xf numFmtId="3" fontId="20" fillId="0" borderId="21" xfId="0" applyNumberFormat="1" applyFont="1" applyBorder="1"/>
    <xf numFmtId="0" fontId="17" fillId="0" borderId="8" xfId="0" applyFont="1" applyBorder="1"/>
    <xf numFmtId="166" fontId="20" fillId="0" borderId="10" xfId="0" applyNumberFormat="1" applyFont="1" applyBorder="1"/>
    <xf numFmtId="0" fontId="20" fillId="0" borderId="22" xfId="0" applyFont="1" applyBorder="1"/>
    <xf numFmtId="3" fontId="17" fillId="0" borderId="23" xfId="0" applyNumberFormat="1" applyFont="1" applyBorder="1"/>
    <xf numFmtId="3" fontId="17" fillId="0" borderId="12" xfId="0" applyNumberFormat="1" applyFont="1" applyBorder="1"/>
    <xf numFmtId="3" fontId="17" fillId="0" borderId="16" xfId="0" applyNumberFormat="1" applyFont="1" applyBorder="1"/>
    <xf numFmtId="3" fontId="20" fillId="0" borderId="14" xfId="0" applyNumberFormat="1" applyFont="1" applyBorder="1"/>
    <xf numFmtId="3" fontId="20" fillId="0" borderId="12" xfId="0" applyNumberFormat="1" applyFont="1" applyBorder="1"/>
    <xf numFmtId="3" fontId="17" fillId="0" borderId="14" xfId="0" applyNumberFormat="1" applyFont="1" applyBorder="1"/>
    <xf numFmtId="3" fontId="17" fillId="0" borderId="17" xfId="0" applyNumberFormat="1" applyFont="1" applyBorder="1"/>
    <xf numFmtId="3" fontId="17" fillId="0" borderId="7" xfId="0" applyNumberFormat="1" applyFont="1" applyBorder="1"/>
    <xf numFmtId="3" fontId="17" fillId="0" borderId="19" xfId="0" applyNumberFormat="1" applyFont="1" applyBorder="1"/>
    <xf numFmtId="3" fontId="17" fillId="0" borderId="20" xfId="0" applyNumberFormat="1" applyFont="1" applyBorder="1"/>
    <xf numFmtId="3" fontId="17" fillId="0" borderId="21" xfId="0" applyNumberFormat="1" applyFont="1" applyBorder="1"/>
    <xf numFmtId="37" fontId="17" fillId="0" borderId="8" xfId="0" applyNumberFormat="1" applyFont="1" applyBorder="1"/>
    <xf numFmtId="37" fontId="17" fillId="0" borderId="9" xfId="0" applyNumberFormat="1" applyFont="1" applyBorder="1"/>
    <xf numFmtId="0" fontId="17" fillId="0" borderId="10" xfId="0" applyFont="1" applyBorder="1"/>
    <xf numFmtId="0" fontId="20" fillId="2" borderId="24" xfId="0" applyFont="1" applyFill="1" applyBorder="1"/>
    <xf numFmtId="37" fontId="20" fillId="2" borderId="25" xfId="0" applyNumberFormat="1" applyFont="1" applyFill="1" applyBorder="1"/>
    <xf numFmtId="3" fontId="20" fillId="2" borderId="25" xfId="0" applyNumberFormat="1" applyFont="1" applyFill="1" applyBorder="1"/>
    <xf numFmtId="37" fontId="20" fillId="2" borderId="26" xfId="0" applyNumberFormat="1" applyFont="1" applyFill="1" applyBorder="1"/>
    <xf numFmtId="37" fontId="20" fillId="2" borderId="27" xfId="0" applyNumberFormat="1" applyFont="1" applyFill="1" applyBorder="1"/>
    <xf numFmtId="167" fontId="20" fillId="2" borderId="25" xfId="0" applyNumberFormat="1" applyFont="1" applyFill="1" applyBorder="1"/>
    <xf numFmtId="37" fontId="20" fillId="2" borderId="28" xfId="0" applyNumberFormat="1" applyFont="1" applyFill="1" applyBorder="1"/>
    <xf numFmtId="0" fontId="20" fillId="2" borderId="29" xfId="0" applyFont="1" applyFill="1" applyBorder="1"/>
    <xf numFmtId="0" fontId="20" fillId="2" borderId="30" xfId="0" applyFont="1" applyFill="1" applyBorder="1"/>
    <xf numFmtId="0" fontId="20" fillId="2" borderId="31" xfId="0" applyFont="1" applyFill="1" applyBorder="1"/>
    <xf numFmtId="0" fontId="20" fillId="2" borderId="32" xfId="0" applyFont="1" applyFill="1" applyBorder="1"/>
    <xf numFmtId="166" fontId="20" fillId="2" borderId="32" xfId="0" applyNumberFormat="1" applyFont="1" applyFill="1" applyBorder="1"/>
    <xf numFmtId="166" fontId="20" fillId="2" borderId="33" xfId="0" applyNumberFormat="1" applyFont="1" applyFill="1" applyBorder="1"/>
    <xf numFmtId="0" fontId="20" fillId="0" borderId="8" xfId="0" applyFont="1" applyBorder="1"/>
    <xf numFmtId="0" fontId="20" fillId="0" borderId="18" xfId="0" applyFont="1" applyBorder="1" applyAlignment="1">
      <alignment horizontal="left"/>
    </xf>
    <xf numFmtId="0" fontId="17" fillId="0" borderId="9" xfId="0" applyFont="1" applyBorder="1" applyAlignment="1">
      <alignment horizontal="right"/>
    </xf>
    <xf numFmtId="166" fontId="17" fillId="0" borderId="9" xfId="2" applyNumberFormat="1" applyFont="1" applyFill="1" applyBorder="1"/>
    <xf numFmtId="37" fontId="17" fillId="0" borderId="10" xfId="0" applyNumberFormat="1" applyFont="1" applyBorder="1"/>
    <xf numFmtId="3" fontId="33" fillId="0" borderId="0" xfId="0" applyNumberFormat="1" applyFont="1"/>
    <xf numFmtId="0" fontId="17" fillId="0" borderId="14" xfId="0" applyFont="1" applyBorder="1" applyAlignment="1">
      <alignment horizontal="right"/>
    </xf>
    <xf numFmtId="37" fontId="17" fillId="0" borderId="15" xfId="0" applyNumberFormat="1" applyFont="1" applyBorder="1"/>
    <xf numFmtId="166" fontId="17" fillId="0" borderId="14" xfId="2" applyNumberFormat="1" applyFont="1" applyBorder="1"/>
    <xf numFmtId="37" fontId="17" fillId="0" borderId="16" xfId="0" applyNumberFormat="1" applyFont="1" applyBorder="1"/>
    <xf numFmtId="37" fontId="17" fillId="0" borderId="17" xfId="0" applyNumberFormat="1" applyFont="1" applyBorder="1"/>
    <xf numFmtId="3" fontId="17" fillId="0" borderId="82" xfId="0" applyNumberFormat="1" applyFont="1" applyBorder="1"/>
    <xf numFmtId="0" fontId="20" fillId="2" borderId="35" xfId="0" applyFont="1" applyFill="1" applyBorder="1" applyAlignment="1">
      <alignment horizontal="center"/>
    </xf>
    <xf numFmtId="37" fontId="20" fillId="2" borderId="36" xfId="0" applyNumberFormat="1" applyFont="1" applyFill="1" applyBorder="1"/>
    <xf numFmtId="0" fontId="20" fillId="2" borderId="37" xfId="0" applyFont="1" applyFill="1" applyBorder="1" applyAlignment="1">
      <alignment horizontal="center"/>
    </xf>
    <xf numFmtId="0" fontId="17" fillId="2" borderId="38" xfId="0" applyFont="1" applyFill="1" applyBorder="1"/>
    <xf numFmtId="0" fontId="17" fillId="2" borderId="37" xfId="0" applyFont="1" applyFill="1" applyBorder="1"/>
    <xf numFmtId="37" fontId="20" fillId="2" borderId="39" xfId="0" applyNumberFormat="1" applyFont="1" applyFill="1" applyBorder="1"/>
    <xf numFmtId="0" fontId="17" fillId="0" borderId="20" xfId="0" applyFont="1" applyBorder="1" applyAlignment="1">
      <alignment horizontal="right"/>
    </xf>
    <xf numFmtId="3" fontId="17" fillId="0" borderId="40" xfId="0" applyNumberFormat="1" applyFont="1" applyBorder="1"/>
    <xf numFmtId="37" fontId="17" fillId="0" borderId="19" xfId="0" applyNumberFormat="1" applyFont="1" applyBorder="1"/>
    <xf numFmtId="37" fontId="17" fillId="0" borderId="21" xfId="0" applyNumberFormat="1" applyFont="1" applyBorder="1"/>
    <xf numFmtId="37" fontId="20" fillId="2" borderId="16" xfId="0" applyNumberFormat="1" applyFont="1" applyFill="1" applyBorder="1"/>
    <xf numFmtId="37" fontId="20" fillId="2" borderId="17" xfId="0" applyNumberFormat="1" applyFont="1" applyFill="1" applyBorder="1"/>
    <xf numFmtId="0" fontId="20" fillId="3" borderId="18" xfId="0" applyFont="1" applyFill="1" applyBorder="1"/>
    <xf numFmtId="0" fontId="17" fillId="3" borderId="0" xfId="0" applyFont="1" applyFill="1"/>
    <xf numFmtId="0" fontId="20" fillId="3" borderId="0" xfId="0" applyFont="1" applyFill="1"/>
    <xf numFmtId="37" fontId="20" fillId="3" borderId="8" xfId="0" applyNumberFormat="1" applyFont="1" applyFill="1" applyBorder="1"/>
    <xf numFmtId="0" fontId="17" fillId="3" borderId="9" xfId="0" applyFont="1" applyFill="1" applyBorder="1"/>
    <xf numFmtId="0" fontId="17" fillId="3" borderId="14" xfId="0" applyFont="1" applyFill="1" applyBorder="1"/>
    <xf numFmtId="0" fontId="17" fillId="3" borderId="12" xfId="0" applyFont="1" applyFill="1" applyBorder="1"/>
    <xf numFmtId="37" fontId="20" fillId="3" borderId="16" xfId="0" applyNumberFormat="1" applyFont="1" applyFill="1" applyBorder="1"/>
    <xf numFmtId="37" fontId="20" fillId="3" borderId="17" xfId="0" applyNumberFormat="1" applyFont="1" applyFill="1" applyBorder="1"/>
    <xf numFmtId="0" fontId="20" fillId="2" borderId="41" xfId="0" applyFont="1" applyFill="1" applyBorder="1"/>
    <xf numFmtId="0" fontId="17" fillId="2" borderId="42" xfId="0" applyFont="1" applyFill="1" applyBorder="1"/>
    <xf numFmtId="0" fontId="20" fillId="2" borderId="42" xfId="0" applyFont="1" applyFill="1" applyBorder="1"/>
    <xf numFmtId="37" fontId="20" fillId="2" borderId="43" xfId="0" applyNumberFormat="1" applyFont="1" applyFill="1" applyBorder="1"/>
    <xf numFmtId="0" fontId="17" fillId="2" borderId="44" xfId="0" applyFont="1" applyFill="1" applyBorder="1"/>
    <xf numFmtId="37" fontId="20" fillId="2" borderId="45" xfId="0" applyNumberFormat="1" applyFont="1" applyFill="1" applyBorder="1"/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35" fillId="0" borderId="0" xfId="0" applyFont="1"/>
    <xf numFmtId="1" fontId="17" fillId="0" borderId="9" xfId="0" applyNumberFormat="1" applyFont="1" applyBorder="1"/>
    <xf numFmtId="3" fontId="20" fillId="0" borderId="16" xfId="0" applyNumberFormat="1" applyFont="1" applyBorder="1"/>
    <xf numFmtId="3" fontId="20" fillId="0" borderId="17" xfId="0" applyNumberFormat="1" applyFont="1" applyBorder="1"/>
    <xf numFmtId="166" fontId="36" fillId="4" borderId="46" xfId="0" applyNumberFormat="1" applyFont="1" applyFill="1" applyBorder="1"/>
    <xf numFmtId="166" fontId="17" fillId="0" borderId="9" xfId="2" applyNumberFormat="1" applyFont="1" applyBorder="1"/>
    <xf numFmtId="0" fontId="17" fillId="2" borderId="14" xfId="0" applyFont="1" applyFill="1" applyBorder="1"/>
    <xf numFmtId="0" fontId="20" fillId="0" borderId="9" xfId="0" applyFont="1" applyBorder="1" applyAlignment="1">
      <alignment horizontal="center"/>
    </xf>
    <xf numFmtId="0" fontId="17" fillId="2" borderId="42" xfId="0" applyFont="1" applyFill="1" applyBorder="1" applyAlignment="1">
      <alignment horizontal="right"/>
    </xf>
    <xf numFmtId="0" fontId="17" fillId="2" borderId="44" xfId="0" applyFont="1" applyFill="1" applyBorder="1" applyAlignment="1">
      <alignment horizontal="right"/>
    </xf>
    <xf numFmtId="0" fontId="20" fillId="2" borderId="44" xfId="0" applyFont="1" applyFill="1" applyBorder="1"/>
    <xf numFmtId="0" fontId="17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166" fontId="17" fillId="0" borderId="9" xfId="0" applyNumberFormat="1" applyFont="1" applyBorder="1"/>
    <xf numFmtId="166" fontId="17" fillId="0" borderId="14" xfId="0" applyNumberFormat="1" applyFont="1" applyBorder="1"/>
    <xf numFmtId="37" fontId="17" fillId="0" borderId="14" xfId="0" applyNumberFormat="1" applyFont="1" applyBorder="1"/>
    <xf numFmtId="37" fontId="17" fillId="0" borderId="20" xfId="0" applyNumberFormat="1" applyFont="1" applyBorder="1"/>
    <xf numFmtId="1" fontId="17" fillId="0" borderId="12" xfId="0" applyNumberFormat="1" applyFont="1" applyBorder="1"/>
    <xf numFmtId="166" fontId="20" fillId="0" borderId="14" xfId="0" applyNumberFormat="1" applyFont="1" applyBorder="1"/>
    <xf numFmtId="166" fontId="20" fillId="0" borderId="16" xfId="0" applyNumberFormat="1" applyFont="1" applyBorder="1"/>
    <xf numFmtId="166" fontId="20" fillId="0" borderId="17" xfId="0" applyNumberFormat="1" applyFont="1" applyBorder="1"/>
    <xf numFmtId="167" fontId="17" fillId="0" borderId="15" xfId="0" applyNumberFormat="1" applyFont="1" applyBorder="1"/>
    <xf numFmtId="166" fontId="17" fillId="0" borderId="15" xfId="0" applyNumberFormat="1" applyFont="1" applyBorder="1"/>
    <xf numFmtId="166" fontId="17" fillId="0" borderId="13" xfId="0" applyNumberFormat="1" applyFont="1" applyBorder="1"/>
    <xf numFmtId="37" fontId="17" fillId="0" borderId="23" xfId="0" applyNumberFormat="1" applyFont="1" applyBorder="1"/>
    <xf numFmtId="1" fontId="17" fillId="0" borderId="7" xfId="0" applyNumberFormat="1" applyFont="1" applyBorder="1"/>
    <xf numFmtId="1" fontId="17" fillId="0" borderId="20" xfId="0" applyNumberFormat="1" applyFont="1" applyBorder="1"/>
    <xf numFmtId="166" fontId="17" fillId="0" borderId="20" xfId="0" applyNumberFormat="1" applyFont="1" applyBorder="1"/>
    <xf numFmtId="167" fontId="20" fillId="0" borderId="0" xfId="0" applyNumberFormat="1" applyFont="1"/>
    <xf numFmtId="37" fontId="20" fillId="0" borderId="8" xfId="0" applyNumberFormat="1" applyFont="1" applyBorder="1"/>
    <xf numFmtId="37" fontId="20" fillId="0" borderId="10" xfId="0" applyNumberFormat="1" applyFont="1" applyBorder="1"/>
    <xf numFmtId="0" fontId="20" fillId="0" borderId="12" xfId="0" applyFont="1" applyBorder="1"/>
    <xf numFmtId="167" fontId="20" fillId="0" borderId="12" xfId="0" applyNumberFormat="1" applyFont="1" applyBorder="1"/>
    <xf numFmtId="37" fontId="20" fillId="0" borderId="16" xfId="0" applyNumberFormat="1" applyFont="1" applyBorder="1"/>
    <xf numFmtId="37" fontId="20" fillId="0" borderId="17" xfId="0" applyNumberFormat="1" applyFont="1" applyBorder="1"/>
    <xf numFmtId="37" fontId="20" fillId="0" borderId="9" xfId="0" applyNumberFormat="1" applyFont="1" applyBorder="1"/>
    <xf numFmtId="37" fontId="17" fillId="0" borderId="44" xfId="0" applyNumberFormat="1" applyFont="1" applyBorder="1"/>
    <xf numFmtId="37" fontId="20" fillId="3" borderId="25" xfId="0" applyNumberFormat="1" applyFont="1" applyFill="1" applyBorder="1"/>
    <xf numFmtId="37" fontId="20" fillId="3" borderId="26" xfId="0" applyNumberFormat="1" applyFont="1" applyFill="1" applyBorder="1"/>
    <xf numFmtId="166" fontId="20" fillId="3" borderId="27" xfId="0" applyNumberFormat="1" applyFont="1" applyFill="1" applyBorder="1"/>
    <xf numFmtId="37" fontId="20" fillId="3" borderId="28" xfId="0" applyNumberFormat="1" applyFont="1" applyFill="1" applyBorder="1"/>
    <xf numFmtId="37" fontId="20" fillId="3" borderId="12" xfId="0" applyNumberFormat="1" applyFont="1" applyFill="1" applyBorder="1"/>
    <xf numFmtId="37" fontId="20" fillId="3" borderId="14" xfId="0" applyNumberFormat="1" applyFont="1" applyFill="1" applyBorder="1"/>
    <xf numFmtId="166" fontId="20" fillId="3" borderId="16" xfId="0" applyNumberFormat="1" applyFont="1" applyFill="1" applyBorder="1"/>
    <xf numFmtId="167" fontId="20" fillId="0" borderId="7" xfId="0" applyNumberFormat="1" applyFont="1" applyBorder="1"/>
    <xf numFmtId="37" fontId="20" fillId="0" borderId="20" xfId="0" applyNumberFormat="1" applyFont="1" applyBorder="1"/>
    <xf numFmtId="37" fontId="20" fillId="0" borderId="19" xfId="0" applyNumberFormat="1" applyFont="1" applyBorder="1"/>
    <xf numFmtId="37" fontId="20" fillId="0" borderId="21" xfId="0" applyNumberFormat="1" applyFont="1" applyBorder="1"/>
    <xf numFmtId="167" fontId="20" fillId="3" borderId="7" xfId="0" applyNumberFormat="1" applyFont="1" applyFill="1" applyBorder="1"/>
    <xf numFmtId="37" fontId="20" fillId="3" borderId="20" xfId="0" applyNumberFormat="1" applyFont="1" applyFill="1" applyBorder="1"/>
    <xf numFmtId="37" fontId="20" fillId="3" borderId="19" xfId="0" applyNumberFormat="1" applyFont="1" applyFill="1" applyBorder="1"/>
    <xf numFmtId="37" fontId="20" fillId="3" borderId="21" xfId="0" applyNumberFormat="1" applyFont="1" applyFill="1" applyBorder="1"/>
    <xf numFmtId="166" fontId="20" fillId="2" borderId="27" xfId="0" applyNumberFormat="1" applyFont="1" applyFill="1" applyBorder="1"/>
    <xf numFmtId="166" fontId="20" fillId="2" borderId="30" xfId="0" applyNumberFormat="1" applyFont="1" applyFill="1" applyBorder="1"/>
    <xf numFmtId="168" fontId="17" fillId="0" borderId="0" xfId="1" applyNumberFormat="1" applyFont="1"/>
    <xf numFmtId="168" fontId="17" fillId="0" borderId="9" xfId="1" applyNumberFormat="1" applyFont="1" applyBorder="1"/>
    <xf numFmtId="168" fontId="17" fillId="0" borderId="8" xfId="1" applyNumberFormat="1" applyFont="1" applyBorder="1"/>
    <xf numFmtId="168" fontId="17" fillId="0" borderId="10" xfId="1" applyNumberFormat="1" applyFont="1" applyBorder="1"/>
    <xf numFmtId="168" fontId="17" fillId="0" borderId="13" xfId="1" applyNumberFormat="1" applyFont="1" applyBorder="1"/>
    <xf numFmtId="168" fontId="17" fillId="0" borderId="0" xfId="1" applyNumberFormat="1" applyFont="1" applyAlignment="1">
      <alignment horizontal="right"/>
    </xf>
    <xf numFmtId="168" fontId="17" fillId="0" borderId="7" xfId="1" applyNumberFormat="1" applyFont="1" applyBorder="1"/>
    <xf numFmtId="168" fontId="17" fillId="0" borderId="7" xfId="1" applyNumberFormat="1" applyFont="1" applyBorder="1" applyAlignment="1">
      <alignment horizontal="right"/>
    </xf>
    <xf numFmtId="168" fontId="17" fillId="0" borderId="20" xfId="1" applyNumberFormat="1" applyFont="1" applyBorder="1"/>
    <xf numFmtId="168" fontId="17" fillId="0" borderId="19" xfId="1" applyNumberFormat="1" applyFont="1" applyBorder="1"/>
    <xf numFmtId="168" fontId="17" fillId="0" borderId="21" xfId="1" applyNumberFormat="1" applyFont="1" applyBorder="1"/>
    <xf numFmtId="168" fontId="17" fillId="0" borderId="12" xfId="1" applyNumberFormat="1" applyFont="1" applyBorder="1"/>
    <xf numFmtId="168" fontId="17" fillId="0" borderId="12" xfId="1" applyNumberFormat="1" applyFont="1" applyBorder="1" applyAlignment="1">
      <alignment horizontal="right"/>
    </xf>
    <xf numFmtId="168" fontId="17" fillId="0" borderId="14" xfId="1" applyNumberFormat="1" applyFont="1" applyBorder="1"/>
    <xf numFmtId="168" fontId="17" fillId="0" borderId="16" xfId="1" applyNumberFormat="1" applyFont="1" applyBorder="1"/>
    <xf numFmtId="168" fontId="17" fillId="0" borderId="17" xfId="1" applyNumberFormat="1" applyFont="1" applyBorder="1"/>
    <xf numFmtId="168" fontId="20" fillId="2" borderId="35" xfId="1" applyNumberFormat="1" applyFont="1" applyFill="1" applyBorder="1"/>
    <xf numFmtId="168" fontId="20" fillId="2" borderId="36" xfId="1" applyNumberFormat="1" applyFont="1" applyFill="1" applyBorder="1"/>
    <xf numFmtId="168" fontId="20" fillId="2" borderId="35" xfId="1" applyNumberFormat="1" applyFont="1" applyFill="1" applyBorder="1" applyAlignment="1">
      <alignment horizontal="center"/>
    </xf>
    <xf numFmtId="168" fontId="17" fillId="2" borderId="14" xfId="1" applyNumberFormat="1" applyFont="1" applyFill="1" applyBorder="1"/>
    <xf numFmtId="168" fontId="20" fillId="2" borderId="17" xfId="1" applyNumberFormat="1" applyFont="1" applyFill="1" applyBorder="1"/>
    <xf numFmtId="37" fontId="20" fillId="2" borderId="42" xfId="0" applyNumberFormat="1" applyFont="1" applyFill="1" applyBorder="1"/>
    <xf numFmtId="1" fontId="17" fillId="0" borderId="0" xfId="0" applyNumberFormat="1" applyFont="1" applyAlignment="1">
      <alignment horizontal="center"/>
    </xf>
    <xf numFmtId="1" fontId="17" fillId="0" borderId="9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3" fontId="17" fillId="0" borderId="47" xfId="0" applyNumberFormat="1" applyFont="1" applyBorder="1"/>
    <xf numFmtId="2" fontId="17" fillId="0" borderId="12" xfId="0" applyNumberFormat="1" applyFont="1" applyBorder="1"/>
    <xf numFmtId="166" fontId="20" fillId="0" borderId="20" xfId="0" applyNumberFormat="1" applyFont="1" applyBorder="1"/>
    <xf numFmtId="0" fontId="17" fillId="0" borderId="16" xfId="0" applyFont="1" applyBorder="1"/>
    <xf numFmtId="0" fontId="21" fillId="0" borderId="12" xfId="0" applyFont="1" applyBorder="1"/>
    <xf numFmtId="37" fontId="17" fillId="0" borderId="13" xfId="0" applyNumberFormat="1" applyFont="1" applyBorder="1"/>
    <xf numFmtId="166" fontId="20" fillId="2" borderId="25" xfId="0" applyNumberFormat="1" applyFont="1" applyFill="1" applyBorder="1"/>
    <xf numFmtId="166" fontId="20" fillId="2" borderId="49" xfId="0" applyNumberFormat="1" applyFont="1" applyFill="1" applyBorder="1"/>
    <xf numFmtId="37" fontId="20" fillId="2" borderId="50" xfId="0" applyNumberFormat="1" applyFont="1" applyFill="1" applyBorder="1"/>
    <xf numFmtId="37" fontId="20" fillId="2" borderId="51" xfId="0" applyNumberFormat="1" applyFont="1" applyFill="1" applyBorder="1"/>
    <xf numFmtId="0" fontId="20" fillId="2" borderId="52" xfId="0" applyFont="1" applyFill="1" applyBorder="1"/>
    <xf numFmtId="37" fontId="20" fillId="2" borderId="53" xfId="0" applyNumberFormat="1" applyFont="1" applyFill="1" applyBorder="1"/>
    <xf numFmtId="167" fontId="20" fillId="2" borderId="53" xfId="0" applyNumberFormat="1" applyFont="1" applyFill="1" applyBorder="1"/>
    <xf numFmtId="37" fontId="20" fillId="2" borderId="54" xfId="0" applyNumberFormat="1" applyFont="1" applyFill="1" applyBorder="1"/>
    <xf numFmtId="37" fontId="20" fillId="2" borderId="55" xfId="0" applyNumberFormat="1" applyFont="1" applyFill="1" applyBorder="1"/>
    <xf numFmtId="0" fontId="17" fillId="2" borderId="32" xfId="0" applyFont="1" applyFill="1" applyBorder="1"/>
    <xf numFmtId="168" fontId="17" fillId="0" borderId="8" xfId="1" applyNumberFormat="1" applyFont="1" applyFill="1" applyBorder="1"/>
    <xf numFmtId="0" fontId="21" fillId="0" borderId="56" xfId="0" applyFont="1" applyBorder="1"/>
    <xf numFmtId="0" fontId="17" fillId="0" borderId="42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37" fontId="17" fillId="4" borderId="0" xfId="0" applyNumberFormat="1" applyFont="1" applyFill="1"/>
    <xf numFmtId="166" fontId="20" fillId="2" borderId="0" xfId="0" applyNumberFormat="1" applyFont="1" applyFill="1"/>
    <xf numFmtId="37" fontId="17" fillId="4" borderId="5" xfId="0" applyNumberFormat="1" applyFont="1" applyFill="1" applyBorder="1"/>
    <xf numFmtId="3" fontId="17" fillId="4" borderId="1" xfId="0" applyNumberFormat="1" applyFont="1" applyFill="1" applyBorder="1"/>
    <xf numFmtId="3" fontId="17" fillId="4" borderId="3" xfId="0" applyNumberFormat="1" applyFont="1" applyFill="1" applyBorder="1"/>
    <xf numFmtId="37" fontId="36" fillId="0" borderId="0" xfId="0" applyNumberFormat="1" applyFont="1"/>
    <xf numFmtId="166" fontId="17" fillId="0" borderId="0" xfId="2" applyNumberFormat="1" applyFont="1" applyFill="1" applyBorder="1"/>
    <xf numFmtId="0" fontId="21" fillId="0" borderId="0" xfId="0" applyFont="1"/>
    <xf numFmtId="166" fontId="17" fillId="0" borderId="8" xfId="2" applyNumberFormat="1" applyFont="1" applyFill="1" applyBorder="1"/>
    <xf numFmtId="0" fontId="20" fillId="0" borderId="10" xfId="0" applyFont="1" applyBorder="1"/>
    <xf numFmtId="37" fontId="20" fillId="2" borderId="59" xfId="0" applyNumberFormat="1" applyFont="1" applyFill="1" applyBorder="1"/>
    <xf numFmtId="0" fontId="20" fillId="2" borderId="60" xfId="0" applyFont="1" applyFill="1" applyBorder="1"/>
    <xf numFmtId="0" fontId="17" fillId="2" borderId="60" xfId="0" applyFont="1" applyFill="1" applyBorder="1"/>
    <xf numFmtId="0" fontId="17" fillId="2" borderId="58" xfId="0" applyFont="1" applyFill="1" applyBorder="1"/>
    <xf numFmtId="37" fontId="20" fillId="2" borderId="61" xfId="0" applyNumberFormat="1" applyFont="1" applyFill="1" applyBorder="1"/>
    <xf numFmtId="0" fontId="20" fillId="0" borderId="0" xfId="0" applyFont="1" applyAlignment="1">
      <alignment horizontal="right" vertical="center"/>
    </xf>
    <xf numFmtId="0" fontId="17" fillId="0" borderId="62" xfId="0" applyFont="1" applyBorder="1" applyAlignment="1">
      <alignment horizontal="left"/>
    </xf>
    <xf numFmtId="0" fontId="20" fillId="0" borderId="6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67" xfId="0" applyFont="1" applyBorder="1" applyAlignment="1">
      <alignment horizontal="center"/>
    </xf>
    <xf numFmtId="0" fontId="17" fillId="0" borderId="68" xfId="0" applyFont="1" applyBorder="1" applyAlignment="1">
      <alignment horizontal="center"/>
    </xf>
    <xf numFmtId="0" fontId="17" fillId="0" borderId="69" xfId="0" applyFont="1" applyBorder="1" applyAlignment="1">
      <alignment horizontal="center"/>
    </xf>
    <xf numFmtId="43" fontId="17" fillId="0" borderId="0" xfId="0" applyNumberFormat="1" applyFont="1"/>
    <xf numFmtId="43" fontId="33" fillId="0" borderId="0" xfId="0" applyNumberFormat="1" applyFont="1"/>
    <xf numFmtId="37" fontId="33" fillId="0" borderId="0" xfId="0" applyNumberFormat="1" applyFont="1"/>
    <xf numFmtId="169" fontId="33" fillId="0" borderId="0" xfId="0" applyNumberFormat="1" applyFont="1"/>
    <xf numFmtId="168" fontId="33" fillId="0" borderId="0" xfId="0" applyNumberFormat="1" applyFont="1"/>
    <xf numFmtId="0" fontId="33" fillId="3" borderId="0" xfId="0" applyFont="1" applyFill="1"/>
    <xf numFmtId="9" fontId="33" fillId="0" borderId="0" xfId="0" applyNumberFormat="1" applyFont="1"/>
    <xf numFmtId="0" fontId="33" fillId="0" borderId="18" xfId="0" applyFont="1" applyBorder="1"/>
    <xf numFmtId="37" fontId="33" fillId="0" borderId="70" xfId="0" applyNumberFormat="1" applyFont="1" applyBorder="1"/>
    <xf numFmtId="0" fontId="33" fillId="0" borderId="70" xfId="0" applyFont="1" applyBorder="1"/>
    <xf numFmtId="0" fontId="33" fillId="0" borderId="72" xfId="0" applyFont="1" applyBorder="1"/>
    <xf numFmtId="0" fontId="33" fillId="0" borderId="10" xfId="0" applyFont="1" applyBorder="1"/>
    <xf numFmtId="1" fontId="17" fillId="0" borderId="72" xfId="0" applyNumberFormat="1" applyFont="1" applyBorder="1"/>
    <xf numFmtId="37" fontId="31" fillId="0" borderId="0" xfId="0" applyNumberFormat="1" applyFont="1"/>
    <xf numFmtId="0" fontId="31" fillId="3" borderId="0" xfId="0" applyFont="1" applyFill="1"/>
    <xf numFmtId="37" fontId="33" fillId="3" borderId="0" xfId="0" applyNumberFormat="1" applyFont="1" applyFill="1"/>
    <xf numFmtId="0" fontId="37" fillId="3" borderId="0" xfId="0" applyFont="1" applyFill="1"/>
    <xf numFmtId="37" fontId="31" fillId="3" borderId="0" xfId="0" applyNumberFormat="1" applyFont="1" applyFill="1"/>
    <xf numFmtId="0" fontId="33" fillId="3" borderId="0" xfId="0" applyFont="1" applyFill="1" applyAlignment="1">
      <alignment horizontal="center" vertical="center"/>
    </xf>
    <xf numFmtId="165" fontId="38" fillId="3" borderId="0" xfId="0" applyNumberFormat="1" applyFont="1" applyFill="1" applyAlignment="1">
      <alignment horizontal="right"/>
    </xf>
    <xf numFmtId="0" fontId="31" fillId="3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38" fillId="3" borderId="0" xfId="0" applyFont="1" applyFill="1"/>
    <xf numFmtId="166" fontId="33" fillId="3" borderId="0" xfId="0" applyNumberFormat="1" applyFont="1" applyFill="1"/>
    <xf numFmtId="9" fontId="33" fillId="3" borderId="0" xfId="0" applyNumberFormat="1" applyFont="1" applyFill="1"/>
    <xf numFmtId="166" fontId="31" fillId="3" borderId="0" xfId="0" applyNumberFormat="1" applyFont="1" applyFill="1"/>
    <xf numFmtId="0" fontId="22" fillId="3" borderId="0" xfId="0" applyFont="1" applyFill="1"/>
    <xf numFmtId="165" fontId="33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left"/>
    </xf>
    <xf numFmtId="0" fontId="39" fillId="3" borderId="0" xfId="0" applyFont="1" applyFill="1"/>
    <xf numFmtId="168" fontId="17" fillId="0" borderId="0" xfId="1" applyNumberFormat="1" applyFont="1" applyBorder="1"/>
    <xf numFmtId="168" fontId="17" fillId="0" borderId="0" xfId="1" applyNumberFormat="1" applyFont="1" applyBorder="1" applyAlignment="1">
      <alignment horizontal="right"/>
    </xf>
    <xf numFmtId="0" fontId="17" fillId="0" borderId="111" xfId="0" applyFont="1" applyBorder="1"/>
    <xf numFmtId="0" fontId="17" fillId="0" borderId="110" xfId="0" applyFont="1" applyBorder="1"/>
    <xf numFmtId="0" fontId="17" fillId="0" borderId="108" xfId="0" applyFont="1" applyBorder="1" applyAlignment="1">
      <alignment horizontal="center"/>
    </xf>
    <xf numFmtId="37" fontId="17" fillId="0" borderId="108" xfId="0" applyNumberFormat="1" applyFont="1" applyBorder="1"/>
    <xf numFmtId="166" fontId="17" fillId="0" borderId="108" xfId="0" applyNumberFormat="1" applyFont="1" applyBorder="1"/>
    <xf numFmtId="0" fontId="17" fillId="0" borderId="114" xfId="0" applyFont="1" applyBorder="1"/>
    <xf numFmtId="166" fontId="17" fillId="0" borderId="109" xfId="0" applyNumberFormat="1" applyFont="1" applyBorder="1"/>
    <xf numFmtId="0" fontId="17" fillId="0" borderId="115" xfId="0" applyFont="1" applyBorder="1"/>
    <xf numFmtId="166" fontId="17" fillId="0" borderId="116" xfId="0" applyNumberFormat="1" applyFont="1" applyBorder="1"/>
    <xf numFmtId="0" fontId="20" fillId="3" borderId="117" xfId="0" applyFont="1" applyFill="1" applyBorder="1"/>
    <xf numFmtId="37" fontId="20" fillId="3" borderId="118" xfId="0" applyNumberFormat="1" applyFont="1" applyFill="1" applyBorder="1"/>
    <xf numFmtId="0" fontId="20" fillId="3" borderId="114" xfId="0" applyFont="1" applyFill="1" applyBorder="1"/>
    <xf numFmtId="166" fontId="20" fillId="3" borderId="109" xfId="0" applyNumberFormat="1" applyFont="1" applyFill="1" applyBorder="1"/>
    <xf numFmtId="0" fontId="20" fillId="0" borderId="115" xfId="0" applyFont="1" applyBorder="1"/>
    <xf numFmtId="37" fontId="20" fillId="0" borderId="119" xfId="0" applyNumberFormat="1" applyFont="1" applyBorder="1"/>
    <xf numFmtId="0" fontId="20" fillId="3" borderId="115" xfId="0" applyFont="1" applyFill="1" applyBorder="1"/>
    <xf numFmtId="37" fontId="20" fillId="3" borderId="119" xfId="0" applyNumberFormat="1" applyFont="1" applyFill="1" applyBorder="1"/>
    <xf numFmtId="0" fontId="20" fillId="2" borderId="117" xfId="0" applyFont="1" applyFill="1" applyBorder="1"/>
    <xf numFmtId="37" fontId="20" fillId="2" borderId="118" xfId="0" applyNumberFormat="1" applyFont="1" applyFill="1" applyBorder="1"/>
    <xf numFmtId="0" fontId="20" fillId="2" borderId="120" xfId="0" applyFont="1" applyFill="1" applyBorder="1"/>
    <xf numFmtId="166" fontId="20" fillId="2" borderId="121" xfId="0" applyNumberFormat="1" applyFont="1" applyFill="1" applyBorder="1"/>
    <xf numFmtId="0" fontId="20" fillId="0" borderId="110" xfId="0" applyFont="1" applyBorder="1"/>
    <xf numFmtId="166" fontId="20" fillId="0" borderId="108" xfId="0" applyNumberFormat="1" applyFont="1" applyBorder="1"/>
    <xf numFmtId="0" fontId="20" fillId="0" borderId="110" xfId="0" applyFont="1" applyBorder="1" applyAlignment="1">
      <alignment horizontal="left"/>
    </xf>
    <xf numFmtId="168" fontId="17" fillId="0" borderId="108" xfId="1" applyNumberFormat="1" applyFont="1" applyBorder="1"/>
    <xf numFmtId="168" fontId="17" fillId="0" borderId="116" xfId="1" applyNumberFormat="1" applyFont="1" applyBorder="1"/>
    <xf numFmtId="168" fontId="17" fillId="0" borderId="119" xfId="1" applyNumberFormat="1" applyFont="1" applyBorder="1"/>
    <xf numFmtId="0" fontId="20" fillId="2" borderId="122" xfId="0" applyFont="1" applyFill="1" applyBorder="1"/>
    <xf numFmtId="168" fontId="20" fillId="2" borderId="123" xfId="1" applyNumberFormat="1" applyFont="1" applyFill="1" applyBorder="1"/>
    <xf numFmtId="3" fontId="17" fillId="0" borderId="108" xfId="0" applyNumberFormat="1" applyFont="1" applyBorder="1"/>
    <xf numFmtId="37" fontId="20" fillId="2" borderId="123" xfId="0" applyNumberFormat="1" applyFont="1" applyFill="1" applyBorder="1"/>
    <xf numFmtId="37" fontId="17" fillId="0" borderId="109" xfId="0" applyNumberFormat="1" applyFont="1" applyBorder="1"/>
    <xf numFmtId="0" fontId="20" fillId="2" borderId="124" xfId="0" applyFont="1" applyFill="1" applyBorder="1"/>
    <xf numFmtId="0" fontId="17" fillId="2" borderId="125" xfId="0" applyFont="1" applyFill="1" applyBorder="1" applyAlignment="1">
      <alignment horizontal="right"/>
    </xf>
    <xf numFmtId="0" fontId="17" fillId="2" borderId="125" xfId="0" applyFont="1" applyFill="1" applyBorder="1"/>
    <xf numFmtId="37" fontId="20" fillId="2" borderId="126" xfId="0" applyNumberFormat="1" applyFont="1" applyFill="1" applyBorder="1"/>
    <xf numFmtId="41" fontId="17" fillId="0" borderId="0" xfId="0" applyNumberFormat="1" applyFont="1"/>
    <xf numFmtId="9" fontId="33" fillId="0" borderId="0" xfId="2" applyFont="1"/>
    <xf numFmtId="0" fontId="25" fillId="7" borderId="95" xfId="0" applyFont="1" applyFill="1" applyBorder="1" applyAlignment="1">
      <alignment horizontal="center" vertical="center"/>
    </xf>
    <xf numFmtId="0" fontId="25" fillId="8" borderId="95" xfId="0" applyFont="1" applyFill="1" applyBorder="1" applyAlignment="1">
      <alignment horizontal="center" vertical="center"/>
    </xf>
    <xf numFmtId="0" fontId="25" fillId="6" borderId="95" xfId="0" applyFont="1" applyFill="1" applyBorder="1" applyAlignment="1">
      <alignment horizontal="center" vertical="center"/>
    </xf>
    <xf numFmtId="0" fontId="25" fillId="5" borderId="95" xfId="0" applyFont="1" applyFill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0" borderId="63" xfId="0" applyFont="1" applyBorder="1"/>
    <xf numFmtId="0" fontId="21" fillId="0" borderId="66" xfId="0" applyFont="1" applyBorder="1"/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4" xfId="0" applyFont="1" applyBorder="1" applyAlignment="1">
      <alignment horizontal="center"/>
    </xf>
    <xf numFmtId="0" fontId="21" fillId="0" borderId="5" xfId="0" applyFont="1" applyBorder="1"/>
    <xf numFmtId="0" fontId="20" fillId="0" borderId="63" xfId="0" applyFont="1" applyBorder="1" applyAlignment="1">
      <alignment horizontal="center" vertical="center"/>
    </xf>
    <xf numFmtId="0" fontId="21" fillId="0" borderId="64" xfId="0" applyFont="1" applyBorder="1"/>
    <xf numFmtId="0" fontId="20" fillId="0" borderId="1" xfId="0" applyFont="1" applyBorder="1" applyAlignment="1">
      <alignment horizontal="center"/>
    </xf>
    <xf numFmtId="0" fontId="20" fillId="0" borderId="112" xfId="0" applyFont="1" applyBorder="1" applyAlignment="1">
      <alignment horizontal="center"/>
    </xf>
    <xf numFmtId="0" fontId="20" fillId="0" borderId="113" xfId="0" applyFont="1" applyBorder="1" applyAlignment="1">
      <alignment horizontal="center"/>
    </xf>
    <xf numFmtId="0" fontId="48" fillId="0" borderId="0" xfId="29"/>
    <xf numFmtId="0" fontId="10" fillId="0" borderId="0" xfId="29" applyFont="1"/>
    <xf numFmtId="0" fontId="43" fillId="12" borderId="0" xfId="29" applyFont="1" applyFill="1"/>
    <xf numFmtId="0" fontId="10" fillId="0" borderId="0" xfId="29" applyFont="1" applyAlignment="1">
      <alignment horizontal="center" vertical="center"/>
    </xf>
    <xf numFmtId="0" fontId="12" fillId="0" borderId="0" xfId="29" applyFont="1" applyAlignment="1">
      <alignment horizontal="left" vertical="center"/>
    </xf>
    <xf numFmtId="0" fontId="10" fillId="0" borderId="0" xfId="29" applyFont="1" applyAlignment="1">
      <alignment horizontal="center"/>
    </xf>
    <xf numFmtId="3" fontId="10" fillId="0" borderId="0" xfId="29" applyNumberFormat="1" applyFont="1"/>
    <xf numFmtId="0" fontId="43" fillId="12" borderId="0" xfId="29" applyFont="1" applyFill="1" applyAlignment="1">
      <alignment horizontal="center" vertical="center"/>
    </xf>
    <xf numFmtId="0" fontId="43" fillId="12" borderId="0" xfId="29" applyFont="1" applyFill="1" applyAlignment="1">
      <alignment horizontal="right"/>
    </xf>
    <xf numFmtId="0" fontId="11" fillId="0" borderId="0" xfId="29" applyFont="1"/>
    <xf numFmtId="165" fontId="12" fillId="0" borderId="0" xfId="29" applyNumberFormat="1" applyFont="1" applyAlignment="1">
      <alignment horizontal="left"/>
    </xf>
    <xf numFmtId="0" fontId="12" fillId="0" borderId="0" xfId="29" applyFont="1" applyAlignment="1">
      <alignment horizontal="center"/>
    </xf>
    <xf numFmtId="0" fontId="12" fillId="0" borderId="0" xfId="29" applyFont="1"/>
    <xf numFmtId="0" fontId="44" fillId="9" borderId="27" xfId="29" applyFont="1" applyFill="1" applyBorder="1"/>
    <xf numFmtId="0" fontId="45" fillId="9" borderId="26" xfId="29" applyFont="1" applyFill="1" applyBorder="1"/>
    <xf numFmtId="0" fontId="13" fillId="0" borderId="0" xfId="29" applyFont="1"/>
    <xf numFmtId="0" fontId="13" fillId="0" borderId="49" xfId="29" applyFont="1" applyBorder="1"/>
    <xf numFmtId="0" fontId="14" fillId="0" borderId="127" xfId="29" applyFont="1" applyBorder="1" applyAlignment="1">
      <alignment horizontal="center"/>
    </xf>
    <xf numFmtId="0" fontId="15" fillId="0" borderId="127" xfId="29" applyFont="1" applyBorder="1"/>
    <xf numFmtId="0" fontId="15" fillId="0" borderId="50" xfId="29" applyFont="1" applyBorder="1"/>
    <xf numFmtId="0" fontId="14" fillId="0" borderId="49" xfId="29" applyFont="1" applyBorder="1" applyAlignment="1">
      <alignment horizontal="center"/>
    </xf>
    <xf numFmtId="0" fontId="46" fillId="9" borderId="9" xfId="29" applyFont="1" applyFill="1" applyBorder="1"/>
    <xf numFmtId="10" fontId="46" fillId="9" borderId="8" xfId="29" applyNumberFormat="1" applyFont="1" applyFill="1" applyBorder="1"/>
    <xf numFmtId="0" fontId="13" fillId="0" borderId="20" xfId="29" applyFont="1" applyBorder="1"/>
    <xf numFmtId="3" fontId="13" fillId="0" borderId="7" xfId="29" applyNumberFormat="1" applyFont="1" applyBorder="1" applyAlignment="1">
      <alignment horizontal="center"/>
    </xf>
    <xf numFmtId="3" fontId="13" fillId="0" borderId="0" xfId="29" applyNumberFormat="1" applyFont="1" applyAlignment="1">
      <alignment horizontal="center"/>
    </xf>
    <xf numFmtId="3" fontId="13" fillId="0" borderId="8" xfId="29" applyNumberFormat="1" applyFont="1" applyBorder="1" applyAlignment="1">
      <alignment horizontal="center"/>
    </xf>
    <xf numFmtId="3" fontId="13" fillId="0" borderId="9" xfId="29" applyNumberFormat="1" applyFont="1" applyBorder="1" applyAlignment="1">
      <alignment horizontal="center"/>
    </xf>
    <xf numFmtId="0" fontId="1" fillId="0" borderId="0" xfId="29" applyFont="1"/>
    <xf numFmtId="0" fontId="13" fillId="0" borderId="14" xfId="29" applyFont="1" applyBorder="1"/>
    <xf numFmtId="3" fontId="13" fillId="0" borderId="12" xfId="29" applyNumberFormat="1" applyFont="1" applyBorder="1" applyAlignment="1">
      <alignment horizontal="center"/>
    </xf>
    <xf numFmtId="3" fontId="13" fillId="0" borderId="16" xfId="29" applyNumberFormat="1" applyFont="1" applyBorder="1"/>
    <xf numFmtId="3" fontId="13" fillId="0" borderId="12" xfId="29" applyNumberFormat="1" applyFont="1" applyBorder="1" applyAlignment="1">
      <alignment horizontal="right"/>
    </xf>
    <xf numFmtId="3" fontId="13" fillId="0" borderId="12" xfId="29" applyNumberFormat="1" applyFont="1" applyBorder="1"/>
    <xf numFmtId="3" fontId="13" fillId="0" borderId="14" xfId="29" applyNumberFormat="1" applyFont="1" applyBorder="1" applyAlignment="1">
      <alignment horizontal="center"/>
    </xf>
    <xf numFmtId="3" fontId="13" fillId="0" borderId="16" xfId="29" applyNumberFormat="1" applyFont="1" applyBorder="1" applyAlignment="1">
      <alignment horizontal="center"/>
    </xf>
    <xf numFmtId="0" fontId="13" fillId="0" borderId="9" xfId="29" applyFont="1" applyBorder="1"/>
    <xf numFmtId="3" fontId="13" fillId="0" borderId="0" xfId="29" applyNumberFormat="1" applyFont="1"/>
    <xf numFmtId="3" fontId="13" fillId="0" borderId="9" xfId="29" applyNumberFormat="1" applyFont="1" applyBorder="1"/>
    <xf numFmtId="3" fontId="13" fillId="0" borderId="8" xfId="29" applyNumberFormat="1" applyFont="1" applyBorder="1"/>
    <xf numFmtId="0" fontId="45" fillId="9" borderId="32" xfId="29" applyFont="1" applyFill="1" applyBorder="1"/>
    <xf numFmtId="10" fontId="46" fillId="9" borderId="31" xfId="29" applyNumberFormat="1" applyFont="1" applyFill="1" applyBorder="1"/>
    <xf numFmtId="0" fontId="14" fillId="0" borderId="20" xfId="29" applyFont="1" applyBorder="1"/>
    <xf numFmtId="3" fontId="14" fillId="0" borderId="7" xfId="29" applyNumberFormat="1" applyFont="1" applyBorder="1"/>
    <xf numFmtId="3" fontId="14" fillId="0" borderId="19" xfId="29" applyNumberFormat="1" applyFont="1" applyBorder="1"/>
    <xf numFmtId="3" fontId="14" fillId="0" borderId="20" xfId="29" applyNumberFormat="1" applyFont="1" applyBorder="1"/>
    <xf numFmtId="0" fontId="13" fillId="0" borderId="8" xfId="29" applyFont="1" applyBorder="1"/>
    <xf numFmtId="166" fontId="20" fillId="0" borderId="9" xfId="29" applyNumberFormat="1" applyFont="1" applyBorder="1" applyAlignment="1">
      <alignment vertical="center"/>
    </xf>
    <xf numFmtId="166" fontId="20" fillId="0" borderId="8" xfId="29" applyNumberFormat="1" applyFont="1" applyBorder="1" applyAlignment="1">
      <alignment vertical="center"/>
    </xf>
    <xf numFmtId="0" fontId="14" fillId="0" borderId="14" xfId="29" applyFont="1" applyBorder="1"/>
    <xf numFmtId="3" fontId="13" fillId="0" borderId="14" xfId="29" applyNumberFormat="1" applyFont="1" applyBorder="1"/>
    <xf numFmtId="3" fontId="14" fillId="0" borderId="14" xfId="29" applyNumberFormat="1" applyFont="1" applyBorder="1"/>
    <xf numFmtId="3" fontId="14" fillId="0" borderId="12" xfId="29" applyNumberFormat="1" applyFont="1" applyBorder="1"/>
    <xf numFmtId="166" fontId="14" fillId="0" borderId="9" xfId="29" applyNumberFormat="1" applyFont="1" applyBorder="1"/>
    <xf numFmtId="166" fontId="14" fillId="0" borderId="8" xfId="29" applyNumberFormat="1" applyFont="1" applyBorder="1"/>
    <xf numFmtId="0" fontId="14" fillId="0" borderId="9" xfId="29" applyFont="1" applyBorder="1"/>
    <xf numFmtId="3" fontId="48" fillId="0" borderId="0" xfId="29" applyNumberFormat="1"/>
    <xf numFmtId="3" fontId="13" fillId="0" borderId="7" xfId="29" applyNumberFormat="1" applyFont="1" applyBorder="1"/>
    <xf numFmtId="3" fontId="13" fillId="0" borderId="19" xfId="29" applyNumberFormat="1" applyFont="1" applyBorder="1"/>
    <xf numFmtId="3" fontId="13" fillId="0" borderId="20" xfId="29" applyNumberFormat="1" applyFont="1" applyBorder="1"/>
    <xf numFmtId="43" fontId="13" fillId="0" borderId="0" xfId="29" applyNumberFormat="1" applyFont="1"/>
    <xf numFmtId="3" fontId="14" fillId="0" borderId="9" xfId="29" applyNumberFormat="1" applyFont="1" applyBorder="1"/>
    <xf numFmtId="37" fontId="13" fillId="0" borderId="8" xfId="29" applyNumberFormat="1" applyFont="1" applyBorder="1"/>
    <xf numFmtId="37" fontId="13" fillId="0" borderId="9" xfId="29" applyNumberFormat="1" applyFont="1" applyBorder="1"/>
    <xf numFmtId="0" fontId="14" fillId="2" borderId="27" xfId="29" applyFont="1" applyFill="1" applyBorder="1"/>
    <xf numFmtId="37" fontId="14" fillId="2" borderId="25" xfId="29" applyNumberFormat="1" applyFont="1" applyFill="1" applyBorder="1"/>
    <xf numFmtId="3" fontId="14" fillId="2" borderId="25" xfId="29" applyNumberFormat="1" applyFont="1" applyFill="1" applyBorder="1"/>
    <xf numFmtId="37" fontId="14" fillId="2" borderId="26" xfId="29" applyNumberFormat="1" applyFont="1" applyFill="1" applyBorder="1"/>
    <xf numFmtId="37" fontId="14" fillId="2" borderId="27" xfId="29" applyNumberFormat="1" applyFont="1" applyFill="1" applyBorder="1"/>
    <xf numFmtId="0" fontId="14" fillId="2" borderId="32" xfId="29" applyFont="1" applyFill="1" applyBorder="1"/>
    <xf numFmtId="0" fontId="14" fillId="2" borderId="30" xfId="29" applyFont="1" applyFill="1" applyBorder="1"/>
    <xf numFmtId="0" fontId="14" fillId="2" borderId="31" xfId="29" applyFont="1" applyFill="1" applyBorder="1"/>
    <xf numFmtId="3" fontId="14" fillId="2" borderId="30" xfId="29" applyNumberFormat="1" applyFont="1" applyFill="1" applyBorder="1"/>
    <xf numFmtId="166" fontId="14" fillId="2" borderId="31" xfId="30" applyNumberFormat="1" applyFont="1" applyFill="1" applyBorder="1"/>
    <xf numFmtId="166" fontId="14" fillId="2" borderId="32" xfId="29" applyNumberFormat="1" applyFont="1" applyFill="1" applyBorder="1"/>
    <xf numFmtId="166" fontId="14" fillId="2" borderId="31" xfId="29" applyNumberFormat="1" applyFont="1" applyFill="1" applyBorder="1"/>
    <xf numFmtId="0" fontId="14" fillId="0" borderId="0" xfId="29" applyFont="1"/>
    <xf numFmtId="0" fontId="14" fillId="0" borderId="8" xfId="29" applyFont="1" applyBorder="1"/>
    <xf numFmtId="37" fontId="13" fillId="0" borderId="0" xfId="29" applyNumberFormat="1" applyFont="1"/>
    <xf numFmtId="0" fontId="14" fillId="0" borderId="9" xfId="29" applyFont="1" applyBorder="1" applyAlignment="1">
      <alignment horizontal="left"/>
    </xf>
    <xf numFmtId="0" fontId="13" fillId="0" borderId="0" xfId="29" applyFont="1" applyAlignment="1">
      <alignment horizontal="center"/>
    </xf>
    <xf numFmtId="166" fontId="13" fillId="0" borderId="0" xfId="29" applyNumberFormat="1" applyFont="1" applyAlignment="1">
      <alignment horizontal="right"/>
    </xf>
    <xf numFmtId="166" fontId="13" fillId="0" borderId="9" xfId="29" applyNumberFormat="1" applyFont="1" applyBorder="1"/>
    <xf numFmtId="166" fontId="13" fillId="0" borderId="9" xfId="30" applyNumberFormat="1" applyFont="1" applyBorder="1"/>
    <xf numFmtId="166" fontId="13" fillId="0" borderId="12" xfId="29" applyNumberFormat="1" applyFont="1" applyBorder="1" applyAlignment="1">
      <alignment horizontal="right"/>
    </xf>
    <xf numFmtId="37" fontId="13" fillId="0" borderId="12" xfId="29" applyNumberFormat="1" applyFont="1" applyBorder="1"/>
    <xf numFmtId="166" fontId="13" fillId="0" borderId="14" xfId="29" applyNumberFormat="1" applyFont="1" applyBorder="1"/>
    <xf numFmtId="37" fontId="13" fillId="0" borderId="16" xfId="29" applyNumberFormat="1" applyFont="1" applyBorder="1"/>
    <xf numFmtId="166" fontId="13" fillId="0" borderId="14" xfId="30" applyNumberFormat="1" applyFont="1" applyBorder="1"/>
    <xf numFmtId="0" fontId="13" fillId="0" borderId="0" xfId="29" applyFont="1" applyAlignment="1">
      <alignment horizontal="right"/>
    </xf>
    <xf numFmtId="0" fontId="13" fillId="0" borderId="9" xfId="29" applyFont="1" applyBorder="1" applyAlignment="1">
      <alignment horizontal="right"/>
    </xf>
    <xf numFmtId="3" fontId="1" fillId="0" borderId="0" xfId="29" applyNumberFormat="1" applyFont="1"/>
    <xf numFmtId="0" fontId="13" fillId="0" borderId="12" xfId="29" applyFont="1" applyBorder="1" applyAlignment="1">
      <alignment horizontal="right"/>
    </xf>
    <xf numFmtId="0" fontId="13" fillId="0" borderId="14" xfId="29" applyFont="1" applyBorder="1" applyAlignment="1">
      <alignment horizontal="right"/>
    </xf>
    <xf numFmtId="3" fontId="13" fillId="0" borderId="84" xfId="29" applyNumberFormat="1" applyFont="1" applyBorder="1"/>
    <xf numFmtId="3" fontId="13" fillId="0" borderId="85" xfId="29" applyNumberFormat="1" applyFont="1" applyBorder="1"/>
    <xf numFmtId="3" fontId="13" fillId="0" borderId="128" xfId="29" applyNumberFormat="1" applyFont="1" applyBorder="1"/>
    <xf numFmtId="0" fontId="14" fillId="2" borderId="37" xfId="29" applyFont="1" applyFill="1" applyBorder="1"/>
    <xf numFmtId="0" fontId="14" fillId="2" borderId="35" xfId="29" applyFont="1" applyFill="1" applyBorder="1" applyAlignment="1">
      <alignment horizontal="center"/>
    </xf>
    <xf numFmtId="166" fontId="14" fillId="2" borderId="35" xfId="29" applyNumberFormat="1" applyFont="1" applyFill="1" applyBorder="1"/>
    <xf numFmtId="37" fontId="14" fillId="2" borderId="36" xfId="29" applyNumberFormat="1" applyFont="1" applyFill="1" applyBorder="1"/>
    <xf numFmtId="0" fontId="14" fillId="2" borderId="37" xfId="29" applyFont="1" applyFill="1" applyBorder="1" applyAlignment="1">
      <alignment horizontal="center"/>
    </xf>
    <xf numFmtId="0" fontId="13" fillId="2" borderId="38" xfId="29" applyFont="1" applyFill="1" applyBorder="1"/>
    <xf numFmtId="37" fontId="14" fillId="2" borderId="35" xfId="29" applyNumberFormat="1" applyFont="1" applyFill="1" applyBorder="1"/>
    <xf numFmtId="0" fontId="13" fillId="2" borderId="37" xfId="29" applyFont="1" applyFill="1" applyBorder="1"/>
    <xf numFmtId="0" fontId="17" fillId="0" borderId="9" xfId="29" applyFont="1" applyBorder="1"/>
    <xf numFmtId="166" fontId="13" fillId="0" borderId="0" xfId="30" applyNumberFormat="1" applyFont="1"/>
    <xf numFmtId="0" fontId="17" fillId="0" borderId="14" xfId="29" applyFont="1" applyBorder="1"/>
    <xf numFmtId="0" fontId="13" fillId="0" borderId="7" xfId="29" applyFont="1" applyBorder="1" applyAlignment="1">
      <alignment horizontal="right"/>
    </xf>
    <xf numFmtId="0" fontId="13" fillId="0" borderId="7" xfId="29" applyFont="1" applyBorder="1"/>
    <xf numFmtId="0" fontId="13" fillId="0" borderId="20" xfId="29" applyFont="1" applyBorder="1" applyAlignment="1">
      <alignment horizontal="right"/>
    </xf>
    <xf numFmtId="37" fontId="13" fillId="0" borderId="19" xfId="29" applyNumberFormat="1" applyFont="1" applyBorder="1"/>
    <xf numFmtId="0" fontId="13" fillId="0" borderId="12" xfId="29" applyFont="1" applyBorder="1"/>
    <xf numFmtId="37" fontId="14" fillId="0" borderId="0" xfId="29" applyNumberFormat="1" applyFont="1"/>
    <xf numFmtId="37" fontId="14" fillId="2" borderId="16" xfId="29" applyNumberFormat="1" applyFont="1" applyFill="1" applyBorder="1"/>
    <xf numFmtId="168" fontId="13" fillId="0" borderId="0" xfId="31" applyNumberFormat="1" applyFont="1"/>
    <xf numFmtId="164" fontId="13" fillId="0" borderId="9" xfId="29" applyNumberFormat="1" applyFont="1" applyBorder="1"/>
    <xf numFmtId="0" fontId="16" fillId="13" borderId="0" xfId="29" applyFont="1" applyFill="1"/>
    <xf numFmtId="0" fontId="13" fillId="13" borderId="0" xfId="29" applyFont="1" applyFill="1"/>
    <xf numFmtId="9" fontId="13" fillId="0" borderId="0" xfId="30" applyFont="1" applyAlignment="1">
      <alignment horizontal="right"/>
    </xf>
    <xf numFmtId="168" fontId="13" fillId="0" borderId="0" xfId="29" applyNumberFormat="1" applyFont="1"/>
    <xf numFmtId="9" fontId="13" fillId="0" borderId="9" xfId="30" applyFont="1" applyFill="1" applyBorder="1"/>
    <xf numFmtId="0" fontId="14" fillId="3" borderId="9" xfId="29" applyFont="1" applyFill="1" applyBorder="1"/>
    <xf numFmtId="0" fontId="13" fillId="3" borderId="0" xfId="29" applyFont="1" applyFill="1"/>
    <xf numFmtId="0" fontId="14" fillId="3" borderId="0" xfId="29" applyFont="1" applyFill="1"/>
    <xf numFmtId="37" fontId="14" fillId="3" borderId="8" xfId="29" applyNumberFormat="1" applyFont="1" applyFill="1" applyBorder="1"/>
    <xf numFmtId="0" fontId="13" fillId="3" borderId="9" xfId="29" applyFont="1" applyFill="1" applyBorder="1"/>
    <xf numFmtId="0" fontId="13" fillId="3" borderId="14" xfId="29" applyFont="1" applyFill="1" applyBorder="1"/>
    <xf numFmtId="0" fontId="13" fillId="3" borderId="12" xfId="29" applyFont="1" applyFill="1" applyBorder="1"/>
    <xf numFmtId="37" fontId="14" fillId="3" borderId="16" xfId="29" applyNumberFormat="1" applyFont="1" applyFill="1" applyBorder="1"/>
    <xf numFmtId="0" fontId="14" fillId="2" borderId="55" xfId="29" applyFont="1" applyFill="1" applyBorder="1"/>
    <xf numFmtId="0" fontId="13" fillId="2" borderId="53" xfId="29" applyFont="1" applyFill="1" applyBorder="1"/>
    <xf numFmtId="0" fontId="14" fillId="2" borderId="53" xfId="29" applyFont="1" applyFill="1" applyBorder="1"/>
    <xf numFmtId="37" fontId="14" fillId="2" borderId="54" xfId="29" applyNumberFormat="1" applyFont="1" applyFill="1" applyBorder="1"/>
    <xf numFmtId="0" fontId="13" fillId="2" borderId="55" xfId="29" applyFont="1" applyFill="1" applyBorder="1"/>
    <xf numFmtId="166" fontId="14" fillId="2" borderId="53" xfId="30" applyNumberFormat="1" applyFont="1" applyFill="1" applyBorder="1"/>
    <xf numFmtId="0" fontId="18" fillId="0" borderId="0" xfId="29" applyFont="1"/>
    <xf numFmtId="1" fontId="18" fillId="0" borderId="0" xfId="29" applyNumberFormat="1" applyFont="1"/>
    <xf numFmtId="9" fontId="18" fillId="0" borderId="0" xfId="30" applyFont="1"/>
    <xf numFmtId="37" fontId="18" fillId="0" borderId="0" xfId="29" applyNumberFormat="1" applyFont="1"/>
    <xf numFmtId="0" fontId="43" fillId="14" borderId="0" xfId="29" applyFont="1" applyFill="1"/>
    <xf numFmtId="0" fontId="10" fillId="0" borderId="0" xfId="29" applyFont="1" applyAlignment="1">
      <alignment horizontal="right"/>
    </xf>
    <xf numFmtId="0" fontId="13" fillId="0" borderId="14" xfId="29" applyFont="1" applyBorder="1" applyAlignment="1">
      <alignment horizontal="center"/>
    </xf>
    <xf numFmtId="0" fontId="13" fillId="0" borderId="16" xfId="29" applyFont="1" applyBorder="1" applyAlignment="1">
      <alignment horizontal="center"/>
    </xf>
    <xf numFmtId="0" fontId="47" fillId="0" borderId="0" xfId="29" applyFont="1"/>
    <xf numFmtId="166" fontId="20" fillId="0" borderId="9" xfId="29" applyNumberFormat="1" applyFont="1" applyBorder="1"/>
    <xf numFmtId="166" fontId="20" fillId="0" borderId="8" xfId="29" applyNumberFormat="1" applyFont="1" applyBorder="1"/>
    <xf numFmtId="39" fontId="13" fillId="0" borderId="0" xfId="29" applyNumberFormat="1" applyFont="1"/>
    <xf numFmtId="3" fontId="14" fillId="0" borderId="16" xfId="29" applyNumberFormat="1" applyFont="1" applyBorder="1"/>
    <xf numFmtId="167" fontId="13" fillId="0" borderId="0" xfId="29" applyNumberFormat="1" applyFont="1"/>
    <xf numFmtId="167" fontId="14" fillId="2" borderId="25" xfId="29" applyNumberFormat="1" applyFont="1" applyFill="1" applyBorder="1"/>
    <xf numFmtId="9" fontId="14" fillId="2" borderId="32" xfId="29" applyNumberFormat="1" applyFont="1" applyFill="1" applyBorder="1"/>
    <xf numFmtId="166" fontId="14" fillId="10" borderId="31" xfId="29" applyNumberFormat="1" applyFont="1" applyFill="1" applyBorder="1"/>
    <xf numFmtId="166" fontId="13" fillId="0" borderId="0" xfId="29" applyNumberFormat="1" applyFont="1"/>
    <xf numFmtId="9" fontId="13" fillId="0" borderId="12" xfId="30" applyFont="1" applyBorder="1" applyAlignment="1">
      <alignment horizontal="right"/>
    </xf>
    <xf numFmtId="0" fontId="13" fillId="2" borderId="14" xfId="29" applyFont="1" applyFill="1" applyBorder="1"/>
    <xf numFmtId="0" fontId="14" fillId="0" borderId="0" xfId="29" applyFont="1" applyAlignment="1">
      <alignment horizontal="center"/>
    </xf>
    <xf numFmtId="166" fontId="14" fillId="0" borderId="0" xfId="29" applyNumberFormat="1" applyFont="1"/>
    <xf numFmtId="0" fontId="14" fillId="0" borderId="9" xfId="29" applyFont="1" applyBorder="1" applyAlignment="1">
      <alignment horizontal="center"/>
    </xf>
    <xf numFmtId="9" fontId="13" fillId="0" borderId="0" xfId="30" applyFont="1"/>
    <xf numFmtId="0" fontId="13" fillId="2" borderId="53" xfId="29" applyFont="1" applyFill="1" applyBorder="1" applyAlignment="1">
      <alignment horizontal="right"/>
    </xf>
    <xf numFmtId="0" fontId="13" fillId="2" borderId="55" xfId="29" applyFont="1" applyFill="1" applyBorder="1" applyAlignment="1">
      <alignment horizontal="right"/>
    </xf>
    <xf numFmtId="37" fontId="12" fillId="0" borderId="0" xfId="29" applyNumberFormat="1" applyFont="1"/>
    <xf numFmtId="0" fontId="13" fillId="0" borderId="8" xfId="29" applyFont="1" applyBorder="1" applyAlignment="1">
      <alignment horizontal="center"/>
    </xf>
    <xf numFmtId="0" fontId="13" fillId="0" borderId="9" xfId="29" applyFont="1" applyBorder="1" applyAlignment="1">
      <alignment horizontal="center"/>
    </xf>
    <xf numFmtId="166" fontId="13" fillId="0" borderId="8" xfId="29" applyNumberFormat="1" applyFont="1" applyBorder="1"/>
    <xf numFmtId="39" fontId="13" fillId="0" borderId="12" xfId="29" applyNumberFormat="1" applyFont="1" applyBorder="1" applyAlignment="1">
      <alignment horizontal="center"/>
    </xf>
    <xf numFmtId="166" fontId="13" fillId="0" borderId="16" xfId="29" applyNumberFormat="1" applyFont="1" applyBorder="1"/>
    <xf numFmtId="37" fontId="13" fillId="0" borderId="14" xfId="29" applyNumberFormat="1" applyFont="1" applyBorder="1"/>
    <xf numFmtId="37" fontId="13" fillId="0" borderId="7" xfId="29" applyNumberFormat="1" applyFont="1" applyBorder="1"/>
    <xf numFmtId="37" fontId="13" fillId="0" borderId="20" xfId="29" applyNumberFormat="1" applyFont="1" applyBorder="1"/>
    <xf numFmtId="10" fontId="13" fillId="0" borderId="0" xfId="29" applyNumberFormat="1" applyFont="1"/>
    <xf numFmtId="166" fontId="14" fillId="0" borderId="14" xfId="29" applyNumberFormat="1" applyFont="1" applyBorder="1"/>
    <xf numFmtId="166" fontId="14" fillId="0" borderId="16" xfId="29" applyNumberFormat="1" applyFont="1" applyBorder="1"/>
    <xf numFmtId="166" fontId="13" fillId="0" borderId="20" xfId="29" applyNumberFormat="1" applyFont="1" applyBorder="1"/>
    <xf numFmtId="167" fontId="14" fillId="0" borderId="0" xfId="29" applyNumberFormat="1" applyFont="1"/>
    <xf numFmtId="37" fontId="14" fillId="0" borderId="9" xfId="29" applyNumberFormat="1" applyFont="1" applyBorder="1"/>
    <xf numFmtId="37" fontId="14" fillId="0" borderId="8" xfId="29" applyNumberFormat="1" applyFont="1" applyBorder="1"/>
    <xf numFmtId="0" fontId="14" fillId="0" borderId="12" xfId="29" applyFont="1" applyBorder="1"/>
    <xf numFmtId="167" fontId="14" fillId="0" borderId="12" xfId="29" applyNumberFormat="1" applyFont="1" applyBorder="1"/>
    <xf numFmtId="37" fontId="14" fillId="0" borderId="14" xfId="29" applyNumberFormat="1" applyFont="1" applyBorder="1"/>
    <xf numFmtId="37" fontId="14" fillId="0" borderId="16" xfId="29" applyNumberFormat="1" applyFont="1" applyBorder="1"/>
    <xf numFmtId="37" fontId="13" fillId="0" borderId="55" xfId="29" applyNumberFormat="1" applyFont="1" applyBorder="1"/>
    <xf numFmtId="0" fontId="14" fillId="3" borderId="27" xfId="29" applyFont="1" applyFill="1" applyBorder="1"/>
    <xf numFmtId="37" fontId="14" fillId="3" borderId="25" xfId="29" applyNumberFormat="1" applyFont="1" applyFill="1" applyBorder="1"/>
    <xf numFmtId="37" fontId="14" fillId="3" borderId="26" xfId="29" applyNumberFormat="1" applyFont="1" applyFill="1" applyBorder="1"/>
    <xf numFmtId="37" fontId="14" fillId="3" borderId="27" xfId="29" applyNumberFormat="1" applyFont="1" applyFill="1" applyBorder="1"/>
    <xf numFmtId="166" fontId="14" fillId="3" borderId="27" xfId="29" applyNumberFormat="1" applyFont="1" applyFill="1" applyBorder="1"/>
    <xf numFmtId="0" fontId="14" fillId="3" borderId="14" xfId="29" applyFont="1" applyFill="1" applyBorder="1"/>
    <xf numFmtId="37" fontId="14" fillId="3" borderId="12" xfId="29" applyNumberFormat="1" applyFont="1" applyFill="1" applyBorder="1"/>
    <xf numFmtId="39" fontId="14" fillId="3" borderId="12" xfId="29" applyNumberFormat="1" applyFont="1" applyFill="1" applyBorder="1" applyAlignment="1">
      <alignment horizontal="center"/>
    </xf>
    <xf numFmtId="166" fontId="14" fillId="3" borderId="16" xfId="29" applyNumberFormat="1" applyFont="1" applyFill="1" applyBorder="1"/>
    <xf numFmtId="37" fontId="14" fillId="3" borderId="14" xfId="29" applyNumberFormat="1" applyFont="1" applyFill="1" applyBorder="1"/>
    <xf numFmtId="37" fontId="14" fillId="0" borderId="7" xfId="29" applyNumberFormat="1" applyFont="1" applyBorder="1"/>
    <xf numFmtId="167" fontId="14" fillId="0" borderId="7" xfId="29" applyNumberFormat="1" applyFont="1" applyBorder="1"/>
    <xf numFmtId="37" fontId="14" fillId="0" borderId="19" xfId="29" applyNumberFormat="1" applyFont="1" applyBorder="1"/>
    <xf numFmtId="37" fontId="14" fillId="0" borderId="20" xfId="29" applyNumberFormat="1" applyFont="1" applyBorder="1"/>
    <xf numFmtId="0" fontId="14" fillId="3" borderId="20" xfId="29" applyFont="1" applyFill="1" applyBorder="1"/>
    <xf numFmtId="37" fontId="14" fillId="3" borderId="7" xfId="29" applyNumberFormat="1" applyFont="1" applyFill="1" applyBorder="1"/>
    <xf numFmtId="167" fontId="14" fillId="3" borderId="7" xfId="29" applyNumberFormat="1" applyFont="1" applyFill="1" applyBorder="1"/>
    <xf numFmtId="37" fontId="14" fillId="3" borderId="19" xfId="29" applyNumberFormat="1" applyFont="1" applyFill="1" applyBorder="1"/>
    <xf numFmtId="37" fontId="14" fillId="3" borderId="20" xfId="29" applyNumberFormat="1" applyFont="1" applyFill="1" applyBorder="1"/>
    <xf numFmtId="166" fontId="14" fillId="2" borderId="27" xfId="29" applyNumberFormat="1" applyFont="1" applyFill="1" applyBorder="1"/>
    <xf numFmtId="166" fontId="13" fillId="0" borderId="0" xfId="30" applyNumberFormat="1" applyFont="1" applyFill="1"/>
    <xf numFmtId="37" fontId="13" fillId="0" borderId="0" xfId="29" applyNumberFormat="1" applyFont="1" applyAlignment="1">
      <alignment horizontal="center"/>
    </xf>
    <xf numFmtId="1" fontId="13" fillId="0" borderId="9" xfId="29" applyNumberFormat="1" applyFont="1" applyBorder="1"/>
    <xf numFmtId="0" fontId="13" fillId="0" borderId="12" xfId="29" applyFont="1" applyBorder="1" applyAlignment="1">
      <alignment horizontal="center"/>
    </xf>
    <xf numFmtId="1" fontId="13" fillId="0" borderId="20" xfId="29" applyNumberFormat="1" applyFont="1" applyBorder="1"/>
    <xf numFmtId="167" fontId="13" fillId="0" borderId="12" xfId="29" applyNumberFormat="1" applyFont="1" applyBorder="1"/>
    <xf numFmtId="2" fontId="13" fillId="0" borderId="12" xfId="29" applyNumberFormat="1" applyFont="1" applyBorder="1"/>
    <xf numFmtId="10" fontId="14" fillId="2" borderId="27" xfId="29" applyNumberFormat="1" applyFont="1" applyFill="1" applyBorder="1"/>
    <xf numFmtId="0" fontId="17" fillId="0" borderId="20" xfId="29" applyFont="1" applyBorder="1"/>
    <xf numFmtId="166" fontId="14" fillId="0" borderId="7" xfId="29" applyNumberFormat="1" applyFont="1" applyBorder="1"/>
    <xf numFmtId="166" fontId="14" fillId="0" borderId="20" xfId="29" applyNumberFormat="1" applyFont="1" applyBorder="1"/>
    <xf numFmtId="0" fontId="13" fillId="0" borderId="16" xfId="29" applyFont="1" applyBorder="1"/>
    <xf numFmtId="166" fontId="13" fillId="0" borderId="12" xfId="29" applyNumberFormat="1" applyFont="1" applyBorder="1"/>
    <xf numFmtId="166" fontId="14" fillId="2" borderId="25" xfId="29" applyNumberFormat="1" applyFont="1" applyFill="1" applyBorder="1"/>
    <xf numFmtId="166" fontId="14" fillId="2" borderId="49" xfId="29" applyNumberFormat="1" applyFont="1" applyFill="1" applyBorder="1"/>
    <xf numFmtId="37" fontId="14" fillId="2" borderId="50" xfId="29" applyNumberFormat="1" applyFont="1" applyFill="1" applyBorder="1"/>
    <xf numFmtId="37" fontId="14" fillId="2" borderId="53" xfId="29" applyNumberFormat="1" applyFont="1" applyFill="1" applyBorder="1"/>
    <xf numFmtId="167" fontId="14" fillId="2" borderId="53" xfId="29" applyNumberFormat="1" applyFont="1" applyFill="1" applyBorder="1"/>
    <xf numFmtId="37" fontId="14" fillId="2" borderId="55" xfId="29" applyNumberFormat="1" applyFont="1" applyFill="1" applyBorder="1"/>
    <xf numFmtId="166" fontId="14" fillId="2" borderId="54" xfId="30" applyNumberFormat="1" applyFont="1" applyFill="1" applyBorder="1"/>
    <xf numFmtId="0" fontId="13" fillId="2" borderId="32" xfId="29" applyFont="1" applyFill="1" applyBorder="1"/>
    <xf numFmtId="6" fontId="13" fillId="0" borderId="0" xfId="29" applyNumberFormat="1" applyFont="1"/>
    <xf numFmtId="0" fontId="13" fillId="0" borderId="53" xfId="29" applyFont="1" applyBorder="1" applyAlignment="1">
      <alignment horizontal="center"/>
    </xf>
    <xf numFmtId="0" fontId="13" fillId="0" borderId="54" xfId="29" applyFont="1" applyBorder="1" applyAlignment="1">
      <alignment horizontal="center"/>
    </xf>
    <xf numFmtId="0" fontId="13" fillId="0" borderId="55" xfId="29" applyFont="1" applyBorder="1" applyAlignment="1">
      <alignment horizontal="center"/>
    </xf>
    <xf numFmtId="37" fontId="13" fillId="10" borderId="0" xfId="29" applyNumberFormat="1" applyFont="1" applyFill="1"/>
    <xf numFmtId="166" fontId="14" fillId="2" borderId="0" xfId="29" applyNumberFormat="1" applyFont="1" applyFill="1"/>
    <xf numFmtId="37" fontId="13" fillId="10" borderId="50" xfId="29" applyNumberFormat="1" applyFont="1" applyFill="1" applyBorder="1"/>
    <xf numFmtId="3" fontId="13" fillId="10" borderId="49" xfId="29" applyNumberFormat="1" applyFont="1" applyFill="1" applyBorder="1"/>
    <xf numFmtId="3" fontId="13" fillId="10" borderId="50" xfId="29" applyNumberFormat="1" applyFont="1" applyFill="1" applyBorder="1"/>
    <xf numFmtId="0" fontId="19" fillId="0" borderId="0" xfId="29" applyFont="1"/>
    <xf numFmtId="166" fontId="14" fillId="0" borderId="26" xfId="29" applyNumberFormat="1" applyFont="1" applyBorder="1"/>
    <xf numFmtId="0" fontId="14" fillId="2" borderId="103" xfId="29" applyFont="1" applyFill="1" applyBorder="1"/>
    <xf numFmtId="0" fontId="14" fillId="2" borderId="104" xfId="29" applyFont="1" applyFill="1" applyBorder="1"/>
    <xf numFmtId="37" fontId="14" fillId="2" borderId="135" xfId="29" applyNumberFormat="1" applyFont="1" applyFill="1" applyBorder="1"/>
    <xf numFmtId="0" fontId="13" fillId="2" borderId="103" xfId="29" applyFont="1" applyFill="1" applyBorder="1"/>
    <xf numFmtId="0" fontId="13" fillId="2" borderId="104" xfId="29" applyFont="1" applyFill="1" applyBorder="1"/>
    <xf numFmtId="3" fontId="14" fillId="0" borderId="0" xfId="29" applyNumberFormat="1" applyFont="1"/>
    <xf numFmtId="37" fontId="48" fillId="0" borderId="0" xfId="29" applyNumberFormat="1"/>
    <xf numFmtId="0" fontId="41" fillId="11" borderId="0" xfId="29" applyFont="1" applyFill="1"/>
    <xf numFmtId="0" fontId="43" fillId="12" borderId="0" xfId="29" applyFont="1" applyFill="1" applyAlignment="1">
      <alignment vertical="center"/>
    </xf>
    <xf numFmtId="0" fontId="10" fillId="0" borderId="0" xfId="29" applyFont="1" applyAlignment="1">
      <alignment horizontal="right" vertical="center"/>
    </xf>
    <xf numFmtId="0" fontId="20" fillId="0" borderId="0" xfId="29" applyFont="1" applyAlignment="1">
      <alignment horizontal="center" vertical="center"/>
    </xf>
    <xf numFmtId="0" fontId="13" fillId="0" borderId="129" xfId="29" applyFont="1" applyBorder="1" applyAlignment="1">
      <alignment horizontal="left"/>
    </xf>
    <xf numFmtId="0" fontId="14" fillId="0" borderId="101" xfId="29" applyFont="1" applyBorder="1" applyAlignment="1">
      <alignment horizontal="center" vertical="center"/>
    </xf>
    <xf numFmtId="0" fontId="14" fillId="0" borderId="101" xfId="29" applyFont="1" applyBorder="1" applyAlignment="1">
      <alignment horizontal="center" vertical="center"/>
    </xf>
    <xf numFmtId="0" fontId="15" fillId="0" borderId="101" xfId="29" applyFont="1" applyBorder="1"/>
    <xf numFmtId="0" fontId="15" fillId="0" borderId="130" xfId="29" applyFont="1" applyBorder="1"/>
    <xf numFmtId="0" fontId="14" fillId="0" borderId="131" xfId="29" applyFont="1" applyBorder="1" applyAlignment="1">
      <alignment horizontal="center" vertical="center"/>
    </xf>
    <xf numFmtId="0" fontId="15" fillId="0" borderId="102" xfId="29" applyFont="1" applyBorder="1"/>
    <xf numFmtId="0" fontId="13" fillId="0" borderId="67" xfId="29" applyFont="1" applyBorder="1" applyAlignment="1">
      <alignment horizontal="center"/>
    </xf>
    <xf numFmtId="0" fontId="13" fillId="0" borderId="68" xfId="29" applyFont="1" applyBorder="1" applyAlignment="1">
      <alignment horizontal="center"/>
    </xf>
    <xf numFmtId="0" fontId="13" fillId="0" borderId="69" xfId="29" applyFont="1" applyBorder="1" applyAlignment="1">
      <alignment horizontal="center"/>
    </xf>
    <xf numFmtId="0" fontId="17" fillId="0" borderId="12" xfId="29" applyFont="1" applyBorder="1"/>
    <xf numFmtId="37" fontId="17" fillId="0" borderId="67" xfId="29" applyNumberFormat="1" applyFont="1" applyBorder="1"/>
    <xf numFmtId="37" fontId="17" fillId="0" borderId="68" xfId="29" applyNumberFormat="1" applyFont="1" applyBorder="1"/>
    <xf numFmtId="37" fontId="17" fillId="0" borderId="12" xfId="29" applyNumberFormat="1" applyFont="1" applyBorder="1"/>
    <xf numFmtId="166" fontId="17" fillId="0" borderId="12" xfId="29" applyNumberFormat="1" applyFont="1" applyBorder="1"/>
    <xf numFmtId="37" fontId="17" fillId="0" borderId="69" xfId="29" applyNumberFormat="1" applyFont="1" applyBorder="1"/>
    <xf numFmtId="166" fontId="17" fillId="0" borderId="16" xfId="29" applyNumberFormat="1" applyFont="1" applyBorder="1"/>
    <xf numFmtId="0" fontId="20" fillId="2" borderId="14" xfId="29" applyFont="1" applyFill="1" applyBorder="1"/>
    <xf numFmtId="0" fontId="20" fillId="2" borderId="12" xfId="29" applyFont="1" applyFill="1" applyBorder="1"/>
    <xf numFmtId="9" fontId="20" fillId="2" borderId="68" xfId="30" applyFont="1" applyFill="1" applyBorder="1"/>
    <xf numFmtId="37" fontId="20" fillId="2" borderId="67" xfId="29" applyNumberFormat="1" applyFont="1" applyFill="1" applyBorder="1"/>
    <xf numFmtId="37" fontId="20" fillId="2" borderId="12" xfId="29" applyNumberFormat="1" applyFont="1" applyFill="1" applyBorder="1"/>
    <xf numFmtId="37" fontId="20" fillId="2" borderId="68" xfId="29" applyNumberFormat="1" applyFont="1" applyFill="1" applyBorder="1"/>
    <xf numFmtId="166" fontId="20" fillId="2" borderId="12" xfId="29" applyNumberFormat="1" applyFont="1" applyFill="1" applyBorder="1"/>
    <xf numFmtId="37" fontId="20" fillId="2" borderId="69" xfId="29" applyNumberFormat="1" applyFont="1" applyFill="1" applyBorder="1"/>
    <xf numFmtId="166" fontId="20" fillId="2" borderId="16" xfId="29" applyNumberFormat="1" applyFont="1" applyFill="1" applyBorder="1"/>
    <xf numFmtId="0" fontId="20" fillId="0" borderId="9" xfId="29" applyFont="1" applyBorder="1"/>
    <xf numFmtId="0" fontId="17" fillId="0" borderId="0" xfId="29" applyFont="1"/>
    <xf numFmtId="37" fontId="17" fillId="0" borderId="70" xfId="29" applyNumberFormat="1" applyFont="1" applyBorder="1"/>
    <xf numFmtId="37" fontId="17" fillId="0" borderId="71" xfId="29" applyNumberFormat="1" applyFont="1" applyBorder="1"/>
    <xf numFmtId="37" fontId="17" fillId="0" borderId="0" xfId="29" applyNumberFormat="1" applyFont="1"/>
    <xf numFmtId="166" fontId="17" fillId="0" borderId="0" xfId="29" applyNumberFormat="1" applyFont="1"/>
    <xf numFmtId="37" fontId="17" fillId="0" borderId="72" xfId="29" applyNumberFormat="1" applyFont="1" applyBorder="1"/>
    <xf numFmtId="166" fontId="17" fillId="0" borderId="19" xfId="29" applyNumberFormat="1" applyFont="1" applyBorder="1"/>
    <xf numFmtId="0" fontId="17" fillId="0" borderId="0" xfId="29" applyFont="1" applyAlignment="1">
      <alignment horizontal="right"/>
    </xf>
    <xf numFmtId="167" fontId="17" fillId="0" borderId="0" xfId="29" applyNumberFormat="1" applyFont="1"/>
    <xf numFmtId="0" fontId="17" fillId="0" borderId="71" xfId="29" applyFont="1" applyBorder="1"/>
    <xf numFmtId="166" fontId="17" fillId="0" borderId="71" xfId="30" applyNumberFormat="1" applyFont="1" applyBorder="1"/>
    <xf numFmtId="166" fontId="17" fillId="0" borderId="8" xfId="29" applyNumberFormat="1" applyFont="1" applyBorder="1"/>
    <xf numFmtId="0" fontId="17" fillId="0" borderId="12" xfId="29" applyFont="1" applyBorder="1" applyAlignment="1">
      <alignment horizontal="right"/>
    </xf>
    <xf numFmtId="167" fontId="17" fillId="0" borderId="12" xfId="29" applyNumberFormat="1" applyFont="1" applyBorder="1"/>
    <xf numFmtId="0" fontId="17" fillId="0" borderId="68" xfId="29" applyFont="1" applyBorder="1"/>
    <xf numFmtId="166" fontId="17" fillId="0" borderId="67" xfId="29" applyNumberFormat="1" applyFont="1" applyBorder="1"/>
    <xf numFmtId="166" fontId="17" fillId="0" borderId="68" xfId="30" applyNumberFormat="1" applyFont="1" applyBorder="1"/>
    <xf numFmtId="0" fontId="20" fillId="2" borderId="37" xfId="29" applyFont="1" applyFill="1" applyBorder="1"/>
    <xf numFmtId="0" fontId="20" fillId="2" borderId="35" xfId="29" applyFont="1" applyFill="1" applyBorder="1"/>
    <xf numFmtId="166" fontId="20" fillId="2" borderId="35" xfId="29" applyNumberFormat="1" applyFont="1" applyFill="1" applyBorder="1"/>
    <xf numFmtId="37" fontId="20" fillId="2" borderId="74" xfId="29" applyNumberFormat="1" applyFont="1" applyFill="1" applyBorder="1"/>
    <xf numFmtId="166" fontId="20" fillId="2" borderId="38" xfId="29" applyNumberFormat="1" applyFont="1" applyFill="1" applyBorder="1"/>
    <xf numFmtId="0" fontId="20" fillId="2" borderId="38" xfId="29" applyFont="1" applyFill="1" applyBorder="1"/>
    <xf numFmtId="37" fontId="20" fillId="2" borderId="35" xfId="29" applyNumberFormat="1" applyFont="1" applyFill="1" applyBorder="1"/>
    <xf numFmtId="0" fontId="20" fillId="2" borderId="75" xfId="29" applyFont="1" applyFill="1" applyBorder="1"/>
    <xf numFmtId="166" fontId="17" fillId="0" borderId="12" xfId="30" applyNumberFormat="1" applyFont="1" applyBorder="1"/>
    <xf numFmtId="166" fontId="17" fillId="0" borderId="0" xfId="30" applyNumberFormat="1" applyFont="1"/>
    <xf numFmtId="166" fontId="17" fillId="0" borderId="70" xfId="29" applyNumberFormat="1" applyFont="1" applyBorder="1"/>
    <xf numFmtId="167" fontId="20" fillId="2" borderId="35" xfId="29" applyNumberFormat="1" applyFont="1" applyFill="1" applyBorder="1"/>
    <xf numFmtId="37" fontId="20" fillId="2" borderId="75" xfId="29" applyNumberFormat="1" applyFont="1" applyFill="1" applyBorder="1"/>
    <xf numFmtId="0" fontId="17" fillId="0" borderId="7" xfId="29" applyFont="1" applyBorder="1" applyAlignment="1">
      <alignment horizontal="right"/>
    </xf>
    <xf numFmtId="0" fontId="17" fillId="0" borderId="7" xfId="29" applyFont="1" applyBorder="1"/>
    <xf numFmtId="37" fontId="17" fillId="0" borderId="76" xfId="29" applyNumberFormat="1" applyFont="1" applyBorder="1"/>
    <xf numFmtId="0" fontId="17" fillId="0" borderId="77" xfId="29" applyFont="1" applyBorder="1"/>
    <xf numFmtId="167" fontId="17" fillId="0" borderId="7" xfId="29" applyNumberFormat="1" applyFont="1" applyBorder="1"/>
    <xf numFmtId="37" fontId="17" fillId="0" borderId="7" xfId="29" applyNumberFormat="1" applyFont="1" applyBorder="1"/>
    <xf numFmtId="166" fontId="17" fillId="0" borderId="7" xfId="29" applyNumberFormat="1" applyFont="1" applyBorder="1"/>
    <xf numFmtId="37" fontId="17" fillId="0" borderId="78" xfId="29" applyNumberFormat="1" applyFont="1" applyBorder="1"/>
    <xf numFmtId="9" fontId="16" fillId="0" borderId="0" xfId="29" applyNumberFormat="1" applyFont="1"/>
    <xf numFmtId="37" fontId="35" fillId="0" borderId="0" xfId="29" applyNumberFormat="1" applyFont="1"/>
    <xf numFmtId="37" fontId="17" fillId="0" borderId="77" xfId="29" applyNumberFormat="1" applyFont="1" applyBorder="1"/>
    <xf numFmtId="0" fontId="17" fillId="2" borderId="35" xfId="29" applyFont="1" applyFill="1" applyBorder="1"/>
    <xf numFmtId="37" fontId="20" fillId="2" borderId="38" xfId="29" applyNumberFormat="1" applyFont="1" applyFill="1" applyBorder="1"/>
    <xf numFmtId="3" fontId="20" fillId="2" borderId="35" xfId="29" applyNumberFormat="1" applyFont="1" applyFill="1" applyBorder="1" applyAlignment="1">
      <alignment horizontal="center"/>
    </xf>
    <xf numFmtId="166" fontId="20" fillId="2" borderId="36" xfId="29" applyNumberFormat="1" applyFont="1" applyFill="1" applyBorder="1"/>
    <xf numFmtId="166" fontId="20" fillId="0" borderId="0" xfId="29" applyNumberFormat="1" applyFont="1"/>
    <xf numFmtId="0" fontId="20" fillId="0" borderId="0" xfId="29" applyFont="1"/>
    <xf numFmtId="168" fontId="17" fillId="0" borderId="70" xfId="29" applyNumberFormat="1" applyFont="1" applyBorder="1"/>
    <xf numFmtId="0" fontId="12" fillId="3" borderId="0" xfId="29" applyFont="1" applyFill="1"/>
    <xf numFmtId="166" fontId="17" fillId="0" borderId="76" xfId="29" applyNumberFormat="1" applyFont="1" applyBorder="1"/>
    <xf numFmtId="0" fontId="17" fillId="0" borderId="70" xfId="29" applyFont="1" applyBorder="1"/>
    <xf numFmtId="0" fontId="17" fillId="0" borderId="72" xfId="29" applyFont="1" applyBorder="1"/>
    <xf numFmtId="166" fontId="17" fillId="0" borderId="36" xfId="29" applyNumberFormat="1" applyFont="1" applyBorder="1"/>
    <xf numFmtId="166" fontId="20" fillId="0" borderId="7" xfId="29" applyNumberFormat="1" applyFont="1" applyBorder="1"/>
    <xf numFmtId="0" fontId="20" fillId="0" borderId="7" xfId="29" applyFont="1" applyBorder="1"/>
    <xf numFmtId="166" fontId="20" fillId="0" borderId="77" xfId="29" applyNumberFormat="1" applyFont="1" applyBorder="1"/>
    <xf numFmtId="37" fontId="20" fillId="0" borderId="77" xfId="29" applyNumberFormat="1" applyFont="1" applyBorder="1"/>
    <xf numFmtId="37" fontId="17" fillId="0" borderId="84" xfId="29" applyNumberFormat="1" applyFont="1" applyBorder="1"/>
    <xf numFmtId="37" fontId="20" fillId="0" borderId="7" xfId="29" applyNumberFormat="1" applyFont="1" applyBorder="1"/>
    <xf numFmtId="37" fontId="20" fillId="0" borderId="0" xfId="29" applyNumberFormat="1" applyFont="1"/>
    <xf numFmtId="1" fontId="20" fillId="0" borderId="0" xfId="29" applyNumberFormat="1" applyFont="1"/>
    <xf numFmtId="37" fontId="20" fillId="0" borderId="71" xfId="29" applyNumberFormat="1" applyFont="1" applyBorder="1"/>
    <xf numFmtId="166" fontId="20" fillId="0" borderId="71" xfId="29" applyNumberFormat="1" applyFont="1" applyBorder="1"/>
    <xf numFmtId="37" fontId="17" fillId="0" borderId="85" xfId="29" applyNumberFormat="1" applyFont="1" applyBorder="1"/>
    <xf numFmtId="43" fontId="20" fillId="0" borderId="71" xfId="29" applyNumberFormat="1" applyFont="1" applyBorder="1"/>
    <xf numFmtId="166" fontId="17" fillId="2" borderId="38" xfId="29" applyNumberFormat="1" applyFont="1" applyFill="1" applyBorder="1"/>
    <xf numFmtId="166" fontId="17" fillId="2" borderId="35" xfId="29" applyNumberFormat="1" applyFont="1" applyFill="1" applyBorder="1"/>
    <xf numFmtId="37" fontId="17" fillId="2" borderId="75" xfId="29" applyNumberFormat="1" applyFont="1" applyFill="1" applyBorder="1"/>
    <xf numFmtId="0" fontId="20" fillId="3" borderId="20" xfId="29" applyFont="1" applyFill="1" applyBorder="1"/>
    <xf numFmtId="0" fontId="20" fillId="3" borderId="7" xfId="29" applyFont="1" applyFill="1" applyBorder="1"/>
    <xf numFmtId="37" fontId="20" fillId="3" borderId="7" xfId="29" applyNumberFormat="1" applyFont="1" applyFill="1" applyBorder="1"/>
    <xf numFmtId="37" fontId="17" fillId="3" borderId="76" xfId="29" applyNumberFormat="1" applyFont="1" applyFill="1" applyBorder="1"/>
    <xf numFmtId="0" fontId="17" fillId="3" borderId="7" xfId="29" applyFont="1" applyFill="1" applyBorder="1"/>
    <xf numFmtId="37" fontId="17" fillId="3" borderId="7" xfId="29" applyNumberFormat="1" applyFont="1" applyFill="1" applyBorder="1"/>
    <xf numFmtId="37" fontId="17" fillId="3" borderId="77" xfId="29" applyNumberFormat="1" applyFont="1" applyFill="1" applyBorder="1"/>
    <xf numFmtId="37" fontId="17" fillId="3" borderId="0" xfId="29" applyNumberFormat="1" applyFont="1" applyFill="1"/>
    <xf numFmtId="166" fontId="17" fillId="3" borderId="0" xfId="29" applyNumberFormat="1" applyFont="1" applyFill="1"/>
    <xf numFmtId="166" fontId="17" fillId="3" borderId="77" xfId="29" applyNumberFormat="1" applyFont="1" applyFill="1" applyBorder="1"/>
    <xf numFmtId="166" fontId="17" fillId="3" borderId="7" xfId="29" applyNumberFormat="1" applyFont="1" applyFill="1" applyBorder="1"/>
    <xf numFmtId="37" fontId="17" fillId="3" borderId="78" xfId="29" applyNumberFormat="1" applyFont="1" applyFill="1" applyBorder="1"/>
    <xf numFmtId="166" fontId="17" fillId="0" borderId="54" xfId="29" applyNumberFormat="1" applyFont="1" applyBorder="1"/>
    <xf numFmtId="0" fontId="20" fillId="2" borderId="103" xfId="29" applyFont="1" applyFill="1" applyBorder="1"/>
    <xf numFmtId="0" fontId="20" fillId="2" borderId="104" xfId="29" applyFont="1" applyFill="1" applyBorder="1"/>
    <xf numFmtId="0" fontId="20" fillId="2" borderId="104" xfId="29" applyFont="1" applyFill="1" applyBorder="1" applyAlignment="1">
      <alignment horizontal="center"/>
    </xf>
    <xf numFmtId="166" fontId="20" fillId="2" borderId="104" xfId="29" applyNumberFormat="1" applyFont="1" applyFill="1" applyBorder="1"/>
    <xf numFmtId="37" fontId="20" fillId="2" borderId="105" xfId="29" applyNumberFormat="1" applyFont="1" applyFill="1" applyBorder="1"/>
    <xf numFmtId="37" fontId="20" fillId="2" borderId="104" xfId="29" applyNumberFormat="1" applyFont="1" applyFill="1" applyBorder="1"/>
    <xf numFmtId="37" fontId="20" fillId="2" borderId="132" xfId="29" applyNumberFormat="1" applyFont="1" applyFill="1" applyBorder="1"/>
    <xf numFmtId="166" fontId="20" fillId="2" borderId="106" xfId="29" applyNumberFormat="1" applyFont="1" applyFill="1" applyBorder="1"/>
    <xf numFmtId="0" fontId="20" fillId="2" borderId="132" xfId="29" applyFont="1" applyFill="1" applyBorder="1" applyAlignment="1">
      <alignment horizontal="center"/>
    </xf>
    <xf numFmtId="37" fontId="20" fillId="2" borderId="133" xfId="29" applyNumberFormat="1" applyFont="1" applyFill="1" applyBorder="1"/>
    <xf numFmtId="166" fontId="20" fillId="2" borderId="31" xfId="29" applyNumberFormat="1" applyFont="1" applyFill="1" applyBorder="1"/>
    <xf numFmtId="39" fontId="17" fillId="0" borderId="0" xfId="29" applyNumberFormat="1" applyFont="1"/>
    <xf numFmtId="0" fontId="42" fillId="0" borderId="0" xfId="29" applyFont="1"/>
    <xf numFmtId="0" fontId="42" fillId="0" borderId="0" xfId="29" applyFont="1" applyAlignment="1">
      <alignment horizontal="center"/>
    </xf>
    <xf numFmtId="0" fontId="42" fillId="0" borderId="0" xfId="29" applyFont="1" applyAlignment="1">
      <alignment horizontal="right" vertical="center"/>
    </xf>
    <xf numFmtId="0" fontId="42" fillId="0" borderId="0" xfId="29" applyFont="1" applyAlignment="1">
      <alignment horizontal="center" vertical="center"/>
    </xf>
    <xf numFmtId="0" fontId="42" fillId="0" borderId="0" xfId="29" applyFont="1" applyAlignment="1">
      <alignment horizontal="right"/>
    </xf>
    <xf numFmtId="166" fontId="20" fillId="2" borderId="135" xfId="29" applyNumberFormat="1" applyFont="1" applyFill="1" applyBorder="1"/>
    <xf numFmtId="37" fontId="20" fillId="2" borderId="134" xfId="29" applyNumberFormat="1" applyFont="1" applyFill="1" applyBorder="1"/>
    <xf numFmtId="37" fontId="20" fillId="2" borderId="107" xfId="29" applyNumberFormat="1" applyFont="1" applyFill="1" applyBorder="1"/>
    <xf numFmtId="37" fontId="20" fillId="2" borderId="101" xfId="29" applyNumberFormat="1" applyFont="1" applyFill="1" applyBorder="1"/>
    <xf numFmtId="166" fontId="20" fillId="2" borderId="102" xfId="29" applyNumberFormat="1" applyFont="1" applyFill="1" applyBorder="1"/>
    <xf numFmtId="0" fontId="12" fillId="0" borderId="9" xfId="29" applyFont="1" applyBorder="1"/>
    <xf numFmtId="37" fontId="12" fillId="0" borderId="70" xfId="29" applyNumberFormat="1" applyFont="1" applyBorder="1"/>
    <xf numFmtId="0" fontId="12" fillId="0" borderId="70" xfId="29" applyFont="1" applyBorder="1"/>
    <xf numFmtId="0" fontId="12" fillId="0" borderId="85" xfId="29" applyFont="1" applyBorder="1"/>
    <xf numFmtId="0" fontId="12" fillId="0" borderId="72" xfId="29" applyFont="1" applyBorder="1"/>
    <xf numFmtId="0" fontId="12" fillId="0" borderId="8" xfId="29" applyFont="1" applyBorder="1"/>
    <xf numFmtId="43" fontId="12" fillId="0" borderId="0" xfId="29" applyNumberFormat="1" applyFont="1"/>
    <xf numFmtId="172" fontId="12" fillId="0" borderId="0" xfId="29" applyNumberFormat="1" applyFont="1" applyAlignment="1">
      <alignment horizontal="right"/>
    </xf>
    <xf numFmtId="10" fontId="48" fillId="0" borderId="0" xfId="29" applyNumberFormat="1"/>
    <xf numFmtId="43" fontId="12" fillId="0" borderId="0" xfId="31" applyFont="1"/>
    <xf numFmtId="17" fontId="12" fillId="0" borderId="0" xfId="29" applyNumberFormat="1" applyFont="1" applyAlignment="1">
      <alignment horizontal="right"/>
    </xf>
    <xf numFmtId="164" fontId="12" fillId="0" borderId="0" xfId="29" applyNumberFormat="1" applyFont="1"/>
    <xf numFmtId="37" fontId="17" fillId="15" borderId="70" xfId="29" applyNumberFormat="1" applyFont="1" applyFill="1" applyBorder="1"/>
  </cellXfs>
  <cellStyles count="32">
    <cellStyle name="Comma 2" xfId="19" xr:uid="{2FDBCE47-4B20-4737-86AE-34257C6F40FA}"/>
    <cellStyle name="Comma 3" xfId="20" xr:uid="{A1430F01-A7AB-4F05-BC8A-C08852D2CE7D}"/>
    <cellStyle name="Comma 4" xfId="22" xr:uid="{9699CFB9-E978-43B9-9495-46D604D2B71B}"/>
    <cellStyle name="Comma 5" xfId="24" xr:uid="{EA30D596-0E0E-4D93-99D8-152E409C5C17}"/>
    <cellStyle name="Comma 6" xfId="28" xr:uid="{11FF2FD2-51F7-4B1F-AF2A-43F3CDFEBD01}"/>
    <cellStyle name="Milliers" xfId="1" builtinId="3"/>
    <cellStyle name="Milliers 2" xfId="7" xr:uid="{00000000-0005-0000-0000-000001000000}"/>
    <cellStyle name="Milliers 3" xfId="13" xr:uid="{2971D271-07C3-42EA-AF54-CA19A237EB8E}"/>
    <cellStyle name="Milliers 4" xfId="31" xr:uid="{B4370FC7-539E-4BFE-9913-47BA00122AA2}"/>
    <cellStyle name="Monétaire 2" xfId="4" xr:uid="{00000000-0005-0000-0000-000002000000}"/>
    <cellStyle name="Monétaire 3" xfId="9" xr:uid="{00000000-0005-0000-0000-000003000000}"/>
    <cellStyle name="Normal" xfId="0" builtinId="0"/>
    <cellStyle name="Normal 10" xfId="26" xr:uid="{0672273D-5C41-4265-A48A-C048BB13BB6A}"/>
    <cellStyle name="Normal 11" xfId="29" xr:uid="{D486C324-6698-43C5-B152-E37A204F0892}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Normal 9" xfId="17" xr:uid="{72471CAB-9B8A-47AC-B215-647C63FBCBF8}"/>
    <cellStyle name="Percent 2" xfId="18" xr:uid="{41CC2E25-7C72-4E1E-B6BE-7A8AD4AFD977}"/>
    <cellStyle name="Percent 3" xfId="21" xr:uid="{5999B052-1BBB-4375-ADC7-21F30D5064D3}"/>
    <cellStyle name="Percent 4" xfId="23" xr:uid="{03029117-A897-4583-9768-76E004EB4824}"/>
    <cellStyle name="Percent 5" xfId="25" xr:uid="{51D053CC-F9EF-4590-9637-B5A2CF380C2F}"/>
    <cellStyle name="Percent 6" xfId="27" xr:uid="{870AD420-0E1A-44FB-A293-EFFCBAE1458A}"/>
    <cellStyle name="Pourcentage" xfId="2" builtinId="5"/>
    <cellStyle name="Pourcentage 2" xfId="8" xr:uid="{00000000-0005-0000-0000-000009000000}"/>
    <cellStyle name="Pourcentage 3" xfId="15" xr:uid="{B09CCB1C-0232-46FA-AAFA-AA26EA7AA4F5}"/>
    <cellStyle name="Pourcentage 4" xfId="30" xr:uid="{780B68C4-8933-4458-8AFA-C49F744C9320}"/>
  </cellStyles>
  <dxfs count="28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10_R&#233;alis&#233;_VW.xlsx" TargetMode="External"/><Relationship Id="rId1" Type="http://schemas.openxmlformats.org/officeDocument/2006/relationships/externalLinkPath" Target="2024-10_R&#233;alis&#233;_VW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12_R&#233;alis&#233;_VW.xlsx" TargetMode="External"/><Relationship Id="rId1" Type="http://schemas.openxmlformats.org/officeDocument/2006/relationships/externalLinkPath" Target="2024-12_R&#233;alis&#233;_VW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4\2024-11_R&#233;alis&#233;_VW.xlsx" TargetMode="External"/><Relationship Id="rId1" Type="http://schemas.openxmlformats.org/officeDocument/2006/relationships/externalLinkPath" Target="2024-11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Octobre</v>
          </cell>
        </row>
        <row r="4">
          <cell r="B4">
            <v>2024</v>
          </cell>
        </row>
      </sheetData>
      <sheetData sheetId="1" refreshError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>X</v>
          </cell>
          <cell r="AH2" t="str">
            <v>O</v>
          </cell>
          <cell r="AI2" t="str">
            <v>U</v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>X</v>
          </cell>
          <cell r="AE3" t="str">
            <v>O</v>
          </cell>
          <cell r="AF3" t="str">
            <v>U</v>
          </cell>
          <cell r="AG3" t="str">
            <v>X</v>
          </cell>
          <cell r="AH3" t="str">
            <v>O</v>
          </cell>
          <cell r="AI3" t="str">
            <v>U</v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2024</v>
          </cell>
          <cell r="C4" t="str">
            <v>Véhicules neufs</v>
          </cell>
        </row>
        <row r="6">
          <cell r="B6" t="str">
            <v>Mois</v>
          </cell>
          <cell r="C6">
            <v>2024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32266637.104539726</v>
          </cell>
          <cell r="H8">
            <v>1621482.1660572723</v>
          </cell>
          <cell r="K8">
            <v>1621482.1660572723</v>
          </cell>
          <cell r="N8">
            <v>2270075.0324801812</v>
          </cell>
          <cell r="Q8">
            <v>3243094.3321145447</v>
          </cell>
          <cell r="T8">
            <v>3729070.9819317264</v>
          </cell>
          <cell r="W8">
            <v>2918459.89890309</v>
          </cell>
          <cell r="Z8">
            <v>2594371.4656916359</v>
          </cell>
          <cell r="AC8">
            <v>2918927.89890309</v>
          </cell>
          <cell r="AF8">
            <v>2594475.4656916359</v>
          </cell>
          <cell r="AI8">
            <v>3890933.1985374531</v>
          </cell>
          <cell r="AL8">
            <v>3242782.3321145447</v>
          </cell>
          <cell r="AO8">
            <v>1621482.1660572723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120</v>
          </cell>
          <cell r="D9">
            <v>2187.1313189070997</v>
          </cell>
          <cell r="E9">
            <v>262455.75826885196</v>
          </cell>
          <cell r="F9">
            <v>6</v>
          </cell>
          <cell r="G9">
            <v>2198.1219285498491</v>
          </cell>
          <cell r="H9">
            <v>13188.731571299095</v>
          </cell>
          <cell r="I9">
            <v>6</v>
          </cell>
          <cell r="J9">
            <v>2198.1219285498491</v>
          </cell>
          <cell r="K9">
            <v>13188.731571299095</v>
          </cell>
          <cell r="L9">
            <v>8.4</v>
          </cell>
          <cell r="M9">
            <v>2198.1219285498491</v>
          </cell>
          <cell r="N9">
            <v>18464.224199818735</v>
          </cell>
          <cell r="O9">
            <v>12</v>
          </cell>
          <cell r="P9">
            <v>2198.1219285498491</v>
          </cell>
          <cell r="Q9">
            <v>26377.46314259819</v>
          </cell>
          <cell r="R9">
            <v>14</v>
          </cell>
          <cell r="S9">
            <v>2166.7201867134227</v>
          </cell>
          <cell r="T9">
            <v>30334.082613987917</v>
          </cell>
          <cell r="U9">
            <v>10.999999999999998</v>
          </cell>
          <cell r="V9">
            <v>2158.1560753034883</v>
          </cell>
          <cell r="W9">
            <v>23739.716828338369</v>
          </cell>
          <cell r="X9">
            <v>9.6</v>
          </cell>
          <cell r="Y9">
            <v>2198.1219285498491</v>
          </cell>
          <cell r="Z9">
            <v>21101.970514078552</v>
          </cell>
          <cell r="AA9">
            <v>10.999999999999998</v>
          </cell>
          <cell r="AB9">
            <v>2158.1560753034883</v>
          </cell>
          <cell r="AC9">
            <v>23739.716828338369</v>
          </cell>
          <cell r="AD9">
            <v>9.6</v>
          </cell>
          <cell r="AE9">
            <v>2198.1219285498491</v>
          </cell>
          <cell r="AF9">
            <v>21101.970514078552</v>
          </cell>
          <cell r="AG9">
            <v>14.399999999999999</v>
          </cell>
          <cell r="AH9">
            <v>2198.1219285498491</v>
          </cell>
          <cell r="AI9">
            <v>31652.955771117824</v>
          </cell>
          <cell r="AJ9">
            <v>12</v>
          </cell>
          <cell r="AK9">
            <v>2198.1219285498491</v>
          </cell>
          <cell r="AL9">
            <v>26377.46314259819</v>
          </cell>
          <cell r="AM9">
            <v>6</v>
          </cell>
          <cell r="AN9">
            <v>2198.1219285498491</v>
          </cell>
          <cell r="AO9">
            <v>13188.731571299095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496</v>
          </cell>
          <cell r="D10">
            <v>2858.8784302962704</v>
          </cell>
          <cell r="E10">
            <v>1418003.7014269501</v>
          </cell>
          <cell r="F10">
            <v>25</v>
          </cell>
          <cell r="G10">
            <v>2850.2586963355784</v>
          </cell>
          <cell r="H10">
            <v>71256.467408389464</v>
          </cell>
          <cell r="I10">
            <v>25</v>
          </cell>
          <cell r="J10">
            <v>2850.2586963355784</v>
          </cell>
          <cell r="K10">
            <v>71256.467408389464</v>
          </cell>
          <cell r="L10">
            <v>35.000000000000007</v>
          </cell>
          <cell r="M10">
            <v>2850.258696335578</v>
          </cell>
          <cell r="N10">
            <v>99759.054371745253</v>
          </cell>
          <cell r="O10">
            <v>50</v>
          </cell>
          <cell r="P10">
            <v>2850.2586963355784</v>
          </cell>
          <cell r="Q10">
            <v>142512.93481677893</v>
          </cell>
          <cell r="R10">
            <v>57.04</v>
          </cell>
          <cell r="S10">
            <v>2873.2446535640911</v>
          </cell>
          <cell r="T10">
            <v>163889.87503929576</v>
          </cell>
          <cell r="U10">
            <v>44.64</v>
          </cell>
          <cell r="V10">
            <v>2873.2446535640911</v>
          </cell>
          <cell r="W10">
            <v>128261.64133510103</v>
          </cell>
          <cell r="X10">
            <v>40</v>
          </cell>
          <cell r="Y10">
            <v>2850.2586963355784</v>
          </cell>
          <cell r="Z10">
            <v>114010.34785342314</v>
          </cell>
          <cell r="AA10">
            <v>45</v>
          </cell>
          <cell r="AB10">
            <v>2850.2586963355784</v>
          </cell>
          <cell r="AC10">
            <v>128261.64133510103</v>
          </cell>
          <cell r="AD10">
            <v>40</v>
          </cell>
          <cell r="AE10">
            <v>2850.2586963355784</v>
          </cell>
          <cell r="AF10">
            <v>114010.34785342314</v>
          </cell>
          <cell r="AG10">
            <v>59.519999999999996</v>
          </cell>
          <cell r="AH10">
            <v>2873.2446535640911</v>
          </cell>
          <cell r="AI10">
            <v>171015.5217801347</v>
          </cell>
          <cell r="AJ10">
            <v>49.800000000000004</v>
          </cell>
          <cell r="AK10">
            <v>2861.7055184092151</v>
          </cell>
          <cell r="AL10">
            <v>142512.93481677893</v>
          </cell>
          <cell r="AM10">
            <v>25</v>
          </cell>
          <cell r="AN10">
            <v>2850.2586963355784</v>
          </cell>
          <cell r="AO10">
            <v>71256.467408389464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616</v>
          </cell>
          <cell r="D16">
            <v>2728.0186034022763</v>
          </cell>
          <cell r="E16">
            <v>1680459.4596958021</v>
          </cell>
          <cell r="F16">
            <v>31</v>
          </cell>
          <cell r="G16">
            <v>2724.0386767641471</v>
          </cell>
          <cell r="H16">
            <v>84445.198979688561</v>
          </cell>
          <cell r="I16">
            <v>31</v>
          </cell>
          <cell r="J16">
            <v>2724.0386767641471</v>
          </cell>
          <cell r="K16">
            <v>84445.198979688561</v>
          </cell>
          <cell r="L16">
            <v>43.400000000000006</v>
          </cell>
          <cell r="M16">
            <v>2724.0386767641471</v>
          </cell>
          <cell r="N16">
            <v>118223.27857156399</v>
          </cell>
          <cell r="O16">
            <v>62</v>
          </cell>
          <cell r="P16">
            <v>2724.0386767641471</v>
          </cell>
          <cell r="Q16">
            <v>168890.39795937712</v>
          </cell>
          <cell r="R16">
            <v>71.039999999999992</v>
          </cell>
          <cell r="S16">
            <v>2734.0084129122142</v>
          </cell>
          <cell r="T16">
            <v>194223.95765328367</v>
          </cell>
          <cell r="U16">
            <v>55.64</v>
          </cell>
          <cell r="V16">
            <v>2731.8720014996297</v>
          </cell>
          <cell r="W16">
            <v>152001.35816343941</v>
          </cell>
          <cell r="X16">
            <v>49.6</v>
          </cell>
          <cell r="Y16">
            <v>2724.0386767641471</v>
          </cell>
          <cell r="Z16">
            <v>135112.31836750169</v>
          </cell>
          <cell r="AA16">
            <v>56</v>
          </cell>
          <cell r="AB16">
            <v>2714.3099672042749</v>
          </cell>
          <cell r="AC16">
            <v>152001.35816343941</v>
          </cell>
          <cell r="AD16">
            <v>49.6</v>
          </cell>
          <cell r="AE16">
            <v>2724.0386767641471</v>
          </cell>
          <cell r="AF16">
            <v>135112.31836750169</v>
          </cell>
          <cell r="AG16">
            <v>73.919999999999987</v>
          </cell>
          <cell r="AH16">
            <v>2741.7272396002782</v>
          </cell>
          <cell r="AI16">
            <v>202668.47755125252</v>
          </cell>
          <cell r="AJ16">
            <v>61.800000000000004</v>
          </cell>
          <cell r="AK16">
            <v>2732.8543359122509</v>
          </cell>
          <cell r="AL16">
            <v>168890.39795937712</v>
          </cell>
          <cell r="AM16">
            <v>31</v>
          </cell>
          <cell r="AN16">
            <v>2724.0386767641471</v>
          </cell>
          <cell r="AO16">
            <v>84445.198979688561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48.995000000000005</v>
          </cell>
          <cell r="D18">
            <v>2522.7033983960591</v>
          </cell>
          <cell r="E18">
            <v>123599.85300441494</v>
          </cell>
          <cell r="F18">
            <v>2.4500000000000002</v>
          </cell>
          <cell r="G18">
            <v>2535.1215876200376</v>
          </cell>
          <cell r="H18">
            <v>6211.0478896690929</v>
          </cell>
          <cell r="I18">
            <v>2.4500000000000002</v>
          </cell>
          <cell r="J18">
            <v>2535.1215876200376</v>
          </cell>
          <cell r="K18">
            <v>6211.0478896690929</v>
          </cell>
          <cell r="L18">
            <v>3.43</v>
          </cell>
          <cell r="M18">
            <v>2535.1215876200381</v>
          </cell>
          <cell r="N18">
            <v>8695.4670455367304</v>
          </cell>
          <cell r="O18">
            <v>5</v>
          </cell>
          <cell r="P18">
            <v>2484.4191558676371</v>
          </cell>
          <cell r="Q18">
            <v>12422.095779338186</v>
          </cell>
          <cell r="R18">
            <v>5.6350000000000007</v>
          </cell>
          <cell r="S18">
            <v>2535.1215876200376</v>
          </cell>
          <cell r="T18">
            <v>14285.410146238914</v>
          </cell>
          <cell r="U18">
            <v>4.41</v>
          </cell>
          <cell r="V18">
            <v>2535.1215876200376</v>
          </cell>
          <cell r="W18">
            <v>11179.886201404366</v>
          </cell>
          <cell r="X18">
            <v>3.92</v>
          </cell>
          <cell r="Y18">
            <v>2535.1215876200381</v>
          </cell>
          <cell r="Z18">
            <v>9937.6766234705483</v>
          </cell>
          <cell r="AA18">
            <v>4.41</v>
          </cell>
          <cell r="AB18">
            <v>2535.1215876200376</v>
          </cell>
          <cell r="AC18">
            <v>11179.886201404366</v>
          </cell>
          <cell r="AD18">
            <v>4</v>
          </cell>
          <cell r="AE18">
            <v>2484.4191558676371</v>
          </cell>
          <cell r="AF18">
            <v>9937.6766234705483</v>
          </cell>
          <cell r="AG18">
            <v>5.88</v>
          </cell>
          <cell r="AH18">
            <v>2535.1215876200376</v>
          </cell>
          <cell r="AI18">
            <v>14906.514935205822</v>
          </cell>
          <cell r="AJ18">
            <v>4.96</v>
          </cell>
          <cell r="AK18">
            <v>2504.4547942214085</v>
          </cell>
          <cell r="AL18">
            <v>12422.095779338186</v>
          </cell>
          <cell r="AM18">
            <v>2.4500000000000002</v>
          </cell>
          <cell r="AN18">
            <v>2535.1215876200376</v>
          </cell>
          <cell r="AO18">
            <v>6211.0478896690929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44.774999999999999</v>
          </cell>
          <cell r="D20">
            <v>2664.4640678584237</v>
          </cell>
          <cell r="E20">
            <v>119301.37863836091</v>
          </cell>
          <cell r="F20">
            <v>2.25</v>
          </cell>
          <cell r="G20">
            <v>2664.4640678584237</v>
          </cell>
          <cell r="H20">
            <v>5995.0441526814539</v>
          </cell>
          <cell r="I20">
            <v>2.25</v>
          </cell>
          <cell r="J20">
            <v>2664.4640678584237</v>
          </cell>
          <cell r="K20">
            <v>5995.0441526814539</v>
          </cell>
          <cell r="L20">
            <v>3.1500000000000004</v>
          </cell>
          <cell r="M20">
            <v>2664.4640678584237</v>
          </cell>
          <cell r="N20">
            <v>8393.061813754035</v>
          </cell>
          <cell r="O20">
            <v>4.5</v>
          </cell>
          <cell r="P20">
            <v>2664.4640678584237</v>
          </cell>
          <cell r="Q20">
            <v>11990.088305362908</v>
          </cell>
          <cell r="R20">
            <v>5.1749999999999998</v>
          </cell>
          <cell r="S20">
            <v>2664.4640678584237</v>
          </cell>
          <cell r="T20">
            <v>13788.601551167343</v>
          </cell>
          <cell r="U20">
            <v>4.05</v>
          </cell>
          <cell r="V20">
            <v>2664.4640678584233</v>
          </cell>
          <cell r="W20">
            <v>10791.079474826614</v>
          </cell>
          <cell r="X20">
            <v>3.6</v>
          </cell>
          <cell r="Y20">
            <v>2664.4640678584233</v>
          </cell>
          <cell r="Z20">
            <v>9592.0706442903247</v>
          </cell>
          <cell r="AA20">
            <v>4.05</v>
          </cell>
          <cell r="AB20">
            <v>2664.4640678584233</v>
          </cell>
          <cell r="AC20">
            <v>10791.079474826614</v>
          </cell>
          <cell r="AD20">
            <v>3.6</v>
          </cell>
          <cell r="AE20">
            <v>2664.4640678584233</v>
          </cell>
          <cell r="AF20">
            <v>9592.0706442903247</v>
          </cell>
          <cell r="AG20">
            <v>5.3999999999999995</v>
          </cell>
          <cell r="AH20">
            <v>2664.4640678584237</v>
          </cell>
          <cell r="AI20">
            <v>14388.105966435487</v>
          </cell>
          <cell r="AJ20">
            <v>4.5</v>
          </cell>
          <cell r="AK20">
            <v>2664.4640678584237</v>
          </cell>
          <cell r="AL20">
            <v>11990.088305362908</v>
          </cell>
          <cell r="AM20">
            <v>2.25</v>
          </cell>
          <cell r="AN20">
            <v>2664.4640678584237</v>
          </cell>
          <cell r="AO20">
            <v>5995.0441526814539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84575</v>
          </cell>
          <cell r="H22">
            <v>4250</v>
          </cell>
          <cell r="K22">
            <v>4250</v>
          </cell>
          <cell r="N22">
            <v>5950.0000000000009</v>
          </cell>
          <cell r="Q22">
            <v>8500</v>
          </cell>
          <cell r="T22">
            <v>9775</v>
          </cell>
          <cell r="W22">
            <v>7650</v>
          </cell>
          <cell r="Z22">
            <v>6800</v>
          </cell>
          <cell r="AC22">
            <v>7650</v>
          </cell>
          <cell r="AF22">
            <v>6800</v>
          </cell>
          <cell r="AI22">
            <v>10200</v>
          </cell>
          <cell r="AL22">
            <v>8500</v>
          </cell>
          <cell r="AO22">
            <v>4250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200</v>
          </cell>
          <cell r="E24">
            <v>132999</v>
          </cell>
          <cell r="G24">
            <v>200</v>
          </cell>
          <cell r="H24">
            <v>6690.0000000000009</v>
          </cell>
          <cell r="J24">
            <v>200</v>
          </cell>
          <cell r="K24">
            <v>6690.0000000000009</v>
          </cell>
          <cell r="M24">
            <v>200.00000000000003</v>
          </cell>
          <cell r="N24">
            <v>9366.0000000000018</v>
          </cell>
          <cell r="P24">
            <v>200</v>
          </cell>
          <cell r="Q24">
            <v>13400</v>
          </cell>
          <cell r="S24">
            <v>200</v>
          </cell>
          <cell r="T24">
            <v>15335</v>
          </cell>
          <cell r="V24">
            <v>200</v>
          </cell>
          <cell r="W24">
            <v>12010</v>
          </cell>
          <cell r="Y24">
            <v>200</v>
          </cell>
          <cell r="Z24">
            <v>10704</v>
          </cell>
          <cell r="AB24">
            <v>200</v>
          </cell>
          <cell r="AC24">
            <v>12082</v>
          </cell>
          <cell r="AE24">
            <v>200</v>
          </cell>
          <cell r="AF24">
            <v>10720</v>
          </cell>
          <cell r="AH24">
            <v>200</v>
          </cell>
          <cell r="AI24">
            <v>15959.999999999996</v>
          </cell>
          <cell r="AK24">
            <v>200</v>
          </cell>
          <cell r="AL24">
            <v>13352.000000000002</v>
          </cell>
          <cell r="AN24">
            <v>200</v>
          </cell>
          <cell r="AO24">
            <v>6690.0000000000009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1080</v>
          </cell>
          <cell r="E25">
            <v>718194.6</v>
          </cell>
          <cell r="G25">
            <v>1080</v>
          </cell>
          <cell r="H25">
            <v>36126</v>
          </cell>
          <cell r="J25">
            <v>1080</v>
          </cell>
          <cell r="K25">
            <v>36126</v>
          </cell>
          <cell r="M25">
            <v>1080</v>
          </cell>
          <cell r="N25">
            <v>50576.400000000009</v>
          </cell>
          <cell r="P25">
            <v>1080</v>
          </cell>
          <cell r="Q25">
            <v>72360</v>
          </cell>
          <cell r="S25">
            <v>1080</v>
          </cell>
          <cell r="T25">
            <v>82809</v>
          </cell>
          <cell r="V25">
            <v>1080</v>
          </cell>
          <cell r="W25">
            <v>64854</v>
          </cell>
          <cell r="Y25">
            <v>1080</v>
          </cell>
          <cell r="Z25">
            <v>57801.600000000006</v>
          </cell>
          <cell r="AB25">
            <v>1080</v>
          </cell>
          <cell r="AC25">
            <v>65242.799999999996</v>
          </cell>
          <cell r="AE25">
            <v>1080</v>
          </cell>
          <cell r="AF25">
            <v>57888</v>
          </cell>
          <cell r="AH25">
            <v>1080</v>
          </cell>
          <cell r="AI25">
            <v>86183.999999999985</v>
          </cell>
          <cell r="AK25">
            <v>1080</v>
          </cell>
          <cell r="AL25">
            <v>72100.800000000003</v>
          </cell>
          <cell r="AN25">
            <v>1080</v>
          </cell>
          <cell r="AO25">
            <v>36126</v>
          </cell>
        </row>
        <row r="26">
          <cell r="A26" t="str">
            <v>Véhicules neufsRev. Autres</v>
          </cell>
          <cell r="B26" t="str">
            <v>Rev. Autres</v>
          </cell>
          <cell r="D26">
            <v>20.000000000000004</v>
          </cell>
          <cell r="E26">
            <v>13299.900000000001</v>
          </cell>
          <cell r="G26">
            <v>20</v>
          </cell>
          <cell r="H26">
            <v>669</v>
          </cell>
          <cell r="J26">
            <v>20</v>
          </cell>
          <cell r="K26">
            <v>669</v>
          </cell>
          <cell r="M26">
            <v>20</v>
          </cell>
          <cell r="N26">
            <v>936.60000000000014</v>
          </cell>
          <cell r="P26">
            <v>20</v>
          </cell>
          <cell r="Q26">
            <v>1340</v>
          </cell>
          <cell r="S26">
            <v>20</v>
          </cell>
          <cell r="T26">
            <v>1533.5</v>
          </cell>
          <cell r="V26">
            <v>20</v>
          </cell>
          <cell r="W26">
            <v>1201</v>
          </cell>
          <cell r="Y26">
            <v>20</v>
          </cell>
          <cell r="Z26">
            <v>1070.4000000000001</v>
          </cell>
          <cell r="AB26">
            <v>19.999999999999996</v>
          </cell>
          <cell r="AC26">
            <v>1208.1999999999998</v>
          </cell>
          <cell r="AE26">
            <v>20</v>
          </cell>
          <cell r="AF26">
            <v>1072</v>
          </cell>
          <cell r="AH26">
            <v>20</v>
          </cell>
          <cell r="AI26">
            <v>1595.9999999999995</v>
          </cell>
          <cell r="AK26">
            <v>20</v>
          </cell>
          <cell r="AL26">
            <v>1335.2</v>
          </cell>
          <cell r="AN26">
            <v>20</v>
          </cell>
          <cell r="AO26">
            <v>669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664.995</v>
          </cell>
          <cell r="D27">
            <v>1300</v>
          </cell>
          <cell r="E27">
            <v>864493.5</v>
          </cell>
          <cell r="F27">
            <v>33.450000000000003</v>
          </cell>
          <cell r="G27">
            <v>1300</v>
          </cell>
          <cell r="H27">
            <v>43485</v>
          </cell>
          <cell r="I27">
            <v>33.450000000000003</v>
          </cell>
          <cell r="J27">
            <v>1300</v>
          </cell>
          <cell r="K27">
            <v>43485</v>
          </cell>
          <cell r="L27">
            <v>46.830000000000005</v>
          </cell>
          <cell r="M27">
            <v>1300</v>
          </cell>
          <cell r="N27">
            <v>60879.000000000007</v>
          </cell>
          <cell r="O27">
            <v>67</v>
          </cell>
          <cell r="P27">
            <v>1300</v>
          </cell>
          <cell r="Q27">
            <v>87100</v>
          </cell>
          <cell r="R27">
            <v>76.674999999999997</v>
          </cell>
          <cell r="S27">
            <v>1300</v>
          </cell>
          <cell r="T27">
            <v>99677.5</v>
          </cell>
          <cell r="U27">
            <v>60.05</v>
          </cell>
          <cell r="V27">
            <v>1300</v>
          </cell>
          <cell r="W27">
            <v>78065</v>
          </cell>
          <cell r="X27">
            <v>53.52</v>
          </cell>
          <cell r="Y27">
            <v>1300</v>
          </cell>
          <cell r="Z27">
            <v>69576</v>
          </cell>
          <cell r="AA27">
            <v>60.41</v>
          </cell>
          <cell r="AB27">
            <v>1299.9999999999998</v>
          </cell>
          <cell r="AC27">
            <v>78532.999999999985</v>
          </cell>
          <cell r="AD27">
            <v>53.6</v>
          </cell>
          <cell r="AE27">
            <v>1300</v>
          </cell>
          <cell r="AF27">
            <v>69680</v>
          </cell>
          <cell r="AG27">
            <v>79.799999999999983</v>
          </cell>
          <cell r="AH27">
            <v>1300</v>
          </cell>
          <cell r="AI27">
            <v>103739.99999999999</v>
          </cell>
          <cell r="AJ27">
            <v>66.760000000000005</v>
          </cell>
          <cell r="AK27">
            <v>1300</v>
          </cell>
          <cell r="AL27">
            <v>86788</v>
          </cell>
          <cell r="AM27">
            <v>33.450000000000003</v>
          </cell>
          <cell r="AN27">
            <v>1300</v>
          </cell>
          <cell r="AO27">
            <v>43485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709.77</v>
          </cell>
          <cell r="D30">
            <v>4046.9859128148241</v>
          </cell>
          <cell r="E30">
            <v>2872429.1913385778</v>
          </cell>
          <cell r="F30">
            <v>35.700000000000003</v>
          </cell>
          <cell r="G30">
            <v>4044.4339221859691</v>
          </cell>
          <cell r="H30">
            <v>144386.29102203911</v>
          </cell>
          <cell r="I30">
            <v>35.700000000000003</v>
          </cell>
          <cell r="J30">
            <v>4044.4339221859691</v>
          </cell>
          <cell r="K30">
            <v>144386.29102203911</v>
          </cell>
          <cell r="L30">
            <v>49.980000000000004</v>
          </cell>
          <cell r="M30">
            <v>4044.4339221859695</v>
          </cell>
          <cell r="N30">
            <v>202140.80743085477</v>
          </cell>
          <cell r="O30">
            <v>71.5</v>
          </cell>
          <cell r="P30">
            <v>4040.5955530640308</v>
          </cell>
          <cell r="Q30">
            <v>288902.58204407821</v>
          </cell>
          <cell r="R30">
            <v>81.849999999999994</v>
          </cell>
          <cell r="S30">
            <v>4053.151733056689</v>
          </cell>
          <cell r="T30">
            <v>331750.46935068996</v>
          </cell>
          <cell r="U30">
            <v>64.099999999999994</v>
          </cell>
          <cell r="V30">
            <v>4051.2843032709889</v>
          </cell>
          <cell r="W30">
            <v>259687.32383967037</v>
          </cell>
          <cell r="X30">
            <v>57.120000000000005</v>
          </cell>
          <cell r="Y30">
            <v>4044.4339221859691</v>
          </cell>
          <cell r="Z30">
            <v>231018.06563526258</v>
          </cell>
          <cell r="AA30">
            <v>64.459999999999994</v>
          </cell>
          <cell r="AB30">
            <v>4035.9187688437851</v>
          </cell>
          <cell r="AC30">
            <v>260155.32383967037</v>
          </cell>
          <cell r="AD30">
            <v>57.2</v>
          </cell>
          <cell r="AE30">
            <v>4040.5955530640308</v>
          </cell>
          <cell r="AF30">
            <v>231122.06563526258</v>
          </cell>
          <cell r="AG30">
            <v>85.199999999999989</v>
          </cell>
          <cell r="AH30">
            <v>4059.89552174758</v>
          </cell>
          <cell r="AI30">
            <v>345903.09845289378</v>
          </cell>
          <cell r="AJ30">
            <v>71.260000000000005</v>
          </cell>
          <cell r="AK30">
            <v>4049.8257373572578</v>
          </cell>
          <cell r="AL30">
            <v>288590.58204407821</v>
          </cell>
          <cell r="AM30">
            <v>35.700000000000003</v>
          </cell>
          <cell r="AN30">
            <v>4044.4339221859691</v>
          </cell>
          <cell r="AO30">
            <v>144386.29102203911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0.34000000000000008</v>
          </cell>
          <cell r="D34">
            <v>922.38312516345832</v>
          </cell>
          <cell r="E34">
            <v>613380.16631807399</v>
          </cell>
          <cell r="F34">
            <v>0.34</v>
          </cell>
          <cell r="G34">
            <v>921.46857804429294</v>
          </cell>
          <cell r="H34">
            <v>30823.123935581603</v>
          </cell>
          <cell r="I34">
            <v>0.34</v>
          </cell>
          <cell r="J34">
            <v>921.46857804429294</v>
          </cell>
          <cell r="K34">
            <v>30823.123935581603</v>
          </cell>
          <cell r="L34">
            <v>0.34</v>
          </cell>
          <cell r="M34">
            <v>921.46857804429305</v>
          </cell>
          <cell r="N34">
            <v>43152.37350981425</v>
          </cell>
          <cell r="O34">
            <v>0.34</v>
          </cell>
          <cell r="P34">
            <v>920.09325180840608</v>
          </cell>
          <cell r="Q34">
            <v>61646.247871163207</v>
          </cell>
          <cell r="R34">
            <v>0.34</v>
          </cell>
          <cell r="S34">
            <v>924.59321880453456</v>
          </cell>
          <cell r="T34">
            <v>70893.185051837689</v>
          </cell>
          <cell r="U34">
            <v>0.34</v>
          </cell>
          <cell r="V34">
            <v>923.92378158279575</v>
          </cell>
          <cell r="W34">
            <v>55481.623084046885</v>
          </cell>
          <cell r="X34">
            <v>0.34</v>
          </cell>
          <cell r="Y34">
            <v>921.46857804429317</v>
          </cell>
          <cell r="Z34">
            <v>49316.998296930571</v>
          </cell>
          <cell r="AA34">
            <v>0.34</v>
          </cell>
          <cell r="AB34">
            <v>918.41786267251928</v>
          </cell>
          <cell r="AC34">
            <v>55481.623084046885</v>
          </cell>
          <cell r="AD34">
            <v>0.34</v>
          </cell>
          <cell r="AE34">
            <v>920.09325180840619</v>
          </cell>
          <cell r="AF34">
            <v>49316.998296930571</v>
          </cell>
          <cell r="AG34">
            <v>0.34</v>
          </cell>
          <cell r="AH34">
            <v>927.01124618290544</v>
          </cell>
          <cell r="AI34">
            <v>73975.497445395842</v>
          </cell>
          <cell r="AJ34">
            <v>0.34</v>
          </cell>
          <cell r="AK34">
            <v>923.40095672802875</v>
          </cell>
          <cell r="AL34">
            <v>61646.247871163207</v>
          </cell>
          <cell r="AM34">
            <v>0.34</v>
          </cell>
          <cell r="AN34">
            <v>921.46857804429294</v>
          </cell>
          <cell r="AO34">
            <v>30823.123935581603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</v>
          </cell>
          <cell r="D35">
            <v>390</v>
          </cell>
          <cell r="E35">
            <v>259348.05</v>
          </cell>
          <cell r="F35">
            <v>0.3</v>
          </cell>
          <cell r="G35">
            <v>389.99999999999994</v>
          </cell>
          <cell r="H35">
            <v>13045.5</v>
          </cell>
          <cell r="I35">
            <v>0.3</v>
          </cell>
          <cell r="J35">
            <v>389.99999999999994</v>
          </cell>
          <cell r="K35">
            <v>13045.5</v>
          </cell>
          <cell r="L35">
            <v>0.3</v>
          </cell>
          <cell r="M35">
            <v>389.99999999999994</v>
          </cell>
          <cell r="N35">
            <v>18263.7</v>
          </cell>
          <cell r="O35">
            <v>0.3</v>
          </cell>
          <cell r="P35">
            <v>390</v>
          </cell>
          <cell r="Q35">
            <v>26130</v>
          </cell>
          <cell r="R35">
            <v>0.3</v>
          </cell>
          <cell r="S35">
            <v>390</v>
          </cell>
          <cell r="T35">
            <v>29903.25</v>
          </cell>
          <cell r="U35">
            <v>0.3</v>
          </cell>
          <cell r="V35">
            <v>390</v>
          </cell>
          <cell r="W35">
            <v>23419.5</v>
          </cell>
          <cell r="X35">
            <v>0.3</v>
          </cell>
          <cell r="Y35">
            <v>389.99999999999994</v>
          </cell>
          <cell r="Z35">
            <v>20872.8</v>
          </cell>
          <cell r="AA35">
            <v>0.3</v>
          </cell>
          <cell r="AB35">
            <v>389.99999999999994</v>
          </cell>
          <cell r="AC35">
            <v>23559.899999999994</v>
          </cell>
          <cell r="AD35">
            <v>0.3</v>
          </cell>
          <cell r="AE35">
            <v>390</v>
          </cell>
          <cell r="AF35">
            <v>20904</v>
          </cell>
          <cell r="AG35">
            <v>0.3</v>
          </cell>
          <cell r="AH35">
            <v>390</v>
          </cell>
          <cell r="AI35">
            <v>31121.999999999993</v>
          </cell>
          <cell r="AJ35">
            <v>0.3</v>
          </cell>
          <cell r="AK35">
            <v>389.99999999999994</v>
          </cell>
          <cell r="AL35">
            <v>26036.399999999998</v>
          </cell>
          <cell r="AM35">
            <v>0.3</v>
          </cell>
          <cell r="AN35">
            <v>389.99999999999994</v>
          </cell>
          <cell r="AO35">
            <v>13045.5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115</v>
          </cell>
          <cell r="E36">
            <v>76474.425000000003</v>
          </cell>
          <cell r="G36">
            <v>115</v>
          </cell>
          <cell r="H36">
            <v>3846.7500000000005</v>
          </cell>
          <cell r="J36">
            <v>115</v>
          </cell>
          <cell r="K36">
            <v>3846.7500000000005</v>
          </cell>
          <cell r="M36">
            <v>115</v>
          </cell>
          <cell r="N36">
            <v>5385.4500000000007</v>
          </cell>
          <cell r="P36">
            <v>115</v>
          </cell>
          <cell r="Q36">
            <v>7705</v>
          </cell>
          <cell r="S36">
            <v>115</v>
          </cell>
          <cell r="T36">
            <v>8817.625</v>
          </cell>
          <cell r="V36">
            <v>115</v>
          </cell>
          <cell r="W36">
            <v>6905.75</v>
          </cell>
          <cell r="Y36">
            <v>115</v>
          </cell>
          <cell r="Z36">
            <v>6154.8</v>
          </cell>
          <cell r="AB36">
            <v>115</v>
          </cell>
          <cell r="AC36">
            <v>6947.15</v>
          </cell>
          <cell r="AE36">
            <v>115</v>
          </cell>
          <cell r="AF36">
            <v>6164</v>
          </cell>
          <cell r="AH36">
            <v>115</v>
          </cell>
          <cell r="AI36">
            <v>9176.9999999999982</v>
          </cell>
          <cell r="AK36">
            <v>115</v>
          </cell>
          <cell r="AL36">
            <v>7677.4000000000005</v>
          </cell>
          <cell r="AN36">
            <v>115</v>
          </cell>
          <cell r="AO36">
            <v>3846.7500000000005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2.9999999999999996</v>
          </cell>
          <cell r="E37">
            <v>1994.9849999999997</v>
          </cell>
          <cell r="G37">
            <v>3</v>
          </cell>
          <cell r="H37">
            <v>100.35000000000001</v>
          </cell>
          <cell r="J37">
            <v>3</v>
          </cell>
          <cell r="K37">
            <v>100.35000000000001</v>
          </cell>
          <cell r="M37">
            <v>3</v>
          </cell>
          <cell r="N37">
            <v>140.49</v>
          </cell>
          <cell r="P37">
            <v>3</v>
          </cell>
          <cell r="Q37">
            <v>201</v>
          </cell>
          <cell r="S37">
            <v>3</v>
          </cell>
          <cell r="T37">
            <v>230.02499999999998</v>
          </cell>
          <cell r="V37">
            <v>2.9999999999999996</v>
          </cell>
          <cell r="W37">
            <v>180.14999999999998</v>
          </cell>
          <cell r="Y37">
            <v>3</v>
          </cell>
          <cell r="Z37">
            <v>160.56</v>
          </cell>
          <cell r="AB37">
            <v>3</v>
          </cell>
          <cell r="AC37">
            <v>181.23</v>
          </cell>
          <cell r="AE37">
            <v>3</v>
          </cell>
          <cell r="AF37">
            <v>160.80000000000001</v>
          </cell>
          <cell r="AH37">
            <v>3</v>
          </cell>
          <cell r="AI37">
            <v>239.39999999999995</v>
          </cell>
          <cell r="AK37">
            <v>3</v>
          </cell>
          <cell r="AL37">
            <v>200.28000000000003</v>
          </cell>
          <cell r="AN37">
            <v>3</v>
          </cell>
          <cell r="AO37">
            <v>100.35000000000001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85.05</v>
          </cell>
          <cell r="E38">
            <v>56557.82475</v>
          </cell>
          <cell r="G38">
            <v>85.05</v>
          </cell>
          <cell r="H38">
            <v>2844.9225000000001</v>
          </cell>
          <cell r="J38">
            <v>85.05</v>
          </cell>
          <cell r="K38">
            <v>2844.9225000000001</v>
          </cell>
          <cell r="M38">
            <v>85.05</v>
          </cell>
          <cell r="N38">
            <v>3982.8915000000002</v>
          </cell>
          <cell r="P38">
            <v>85.05</v>
          </cell>
          <cell r="Q38">
            <v>5698.3499999999995</v>
          </cell>
          <cell r="S38">
            <v>85.05</v>
          </cell>
          <cell r="T38">
            <v>6521.2087499999998</v>
          </cell>
          <cell r="V38">
            <v>85.05</v>
          </cell>
          <cell r="W38">
            <v>5107.2524999999996</v>
          </cell>
          <cell r="Y38">
            <v>85.05</v>
          </cell>
          <cell r="Z38">
            <v>4551.8760000000002</v>
          </cell>
          <cell r="AB38">
            <v>85.050000000000011</v>
          </cell>
          <cell r="AC38">
            <v>5137.8705</v>
          </cell>
          <cell r="AE38">
            <v>85.05</v>
          </cell>
          <cell r="AF38">
            <v>4558.68</v>
          </cell>
          <cell r="AH38">
            <v>85.05</v>
          </cell>
          <cell r="AI38">
            <v>6786.989999999998</v>
          </cell>
          <cell r="AK38">
            <v>85.05</v>
          </cell>
          <cell r="AL38">
            <v>5677.9380000000001</v>
          </cell>
          <cell r="AN38">
            <v>85.05</v>
          </cell>
          <cell r="AO38">
            <v>2844.9225000000001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116.29034804772968</v>
          </cell>
          <cell r="E39">
            <v>77332.5</v>
          </cell>
          <cell r="G39">
            <v>191.06128550074737</v>
          </cell>
          <cell r="H39">
            <v>6391</v>
          </cell>
          <cell r="J39">
            <v>191.06128550074737</v>
          </cell>
          <cell r="K39">
            <v>6391</v>
          </cell>
          <cell r="M39">
            <v>203.9931667734358</v>
          </cell>
          <cell r="N39">
            <v>9553</v>
          </cell>
          <cell r="P39">
            <v>112.4776119402985</v>
          </cell>
          <cell r="Q39">
            <v>7536</v>
          </cell>
          <cell r="S39">
            <v>26.977502445386371</v>
          </cell>
          <cell r="T39">
            <v>2068.5</v>
          </cell>
          <cell r="V39">
            <v>137.0691090757702</v>
          </cell>
          <cell r="W39">
            <v>8231</v>
          </cell>
          <cell r="Y39">
            <v>165.99402092675635</v>
          </cell>
          <cell r="Z39">
            <v>8884</v>
          </cell>
          <cell r="AB39">
            <v>61.165369971858965</v>
          </cell>
          <cell r="AC39">
            <v>3695</v>
          </cell>
          <cell r="AE39">
            <v>81.641791044776113</v>
          </cell>
          <cell r="AF39">
            <v>4376</v>
          </cell>
          <cell r="AH39">
            <v>78.395989974937379</v>
          </cell>
          <cell r="AI39">
            <v>6256.0000000000018</v>
          </cell>
          <cell r="AK39">
            <v>113.2414619532654</v>
          </cell>
          <cell r="AL39">
            <v>7559.9999999999991</v>
          </cell>
          <cell r="AN39">
            <v>191.06128550074737</v>
          </cell>
          <cell r="AO39">
            <v>6391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306.72127074983638</v>
          </cell>
          <cell r="E40">
            <v>203968.11144228745</v>
          </cell>
          <cell r="G40">
            <v>376.75365470852012</v>
          </cell>
          <cell r="H40">
            <v>12602.409749999999</v>
          </cell>
          <cell r="J40">
            <v>457.45428754708507</v>
          </cell>
          <cell r="K40">
            <v>15301.845918449997</v>
          </cell>
          <cell r="M40">
            <v>413.62169091928234</v>
          </cell>
          <cell r="N40">
            <v>19369.903785749993</v>
          </cell>
          <cell r="P40">
            <v>318.30489402145508</v>
          </cell>
          <cell r="Q40">
            <v>21326.427899437491</v>
          </cell>
          <cell r="S40">
            <v>234.37934533420278</v>
          </cell>
          <cell r="T40">
            <v>17971.036303499997</v>
          </cell>
          <cell r="V40">
            <v>277.29498755495416</v>
          </cell>
          <cell r="W40">
            <v>16651.564002674997</v>
          </cell>
          <cell r="Y40">
            <v>337.05323834360985</v>
          </cell>
          <cell r="Z40">
            <v>18039.089316149999</v>
          </cell>
          <cell r="AB40">
            <v>275.89284711761292</v>
          </cell>
          <cell r="AC40">
            <v>16666.686894374994</v>
          </cell>
          <cell r="AE40">
            <v>409.69587666744388</v>
          </cell>
          <cell r="AF40">
            <v>21959.698989374992</v>
          </cell>
          <cell r="AH40">
            <v>242.16209411842112</v>
          </cell>
          <cell r="AI40">
            <v>19324.535110650002</v>
          </cell>
          <cell r="AK40">
            <v>188.77186563810668</v>
          </cell>
          <cell r="AL40">
            <v>12602.409750000003</v>
          </cell>
          <cell r="AN40">
            <v>363.30354923542609</v>
          </cell>
          <cell r="AO40">
            <v>12152.503721925004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0.44876861243345384</v>
          </cell>
          <cell r="E44">
            <v>1289056.0625103614</v>
          </cell>
          <cell r="F44" t="str">
            <v>% brut</v>
          </cell>
          <cell r="G44">
            <v>0.48241460939632846</v>
          </cell>
          <cell r="H44">
            <v>69654.056185581605</v>
          </cell>
          <cell r="I44" t="str">
            <v>% brut</v>
          </cell>
          <cell r="J44">
            <v>0.50111054063288862</v>
          </cell>
          <cell r="K44">
            <v>72353.492354031609</v>
          </cell>
          <cell r="L44" t="str">
            <v>% brut</v>
          </cell>
          <cell r="M44">
            <v>0.49395176592296264</v>
          </cell>
          <cell r="N44">
            <v>99847.80879556424</v>
          </cell>
          <cell r="O44" t="str">
            <v>% brut</v>
          </cell>
          <cell r="P44">
            <v>0.45081987446802874</v>
          </cell>
          <cell r="Q44">
            <v>130243.02577060071</v>
          </cell>
          <cell r="R44" t="str">
            <v>% brut</v>
          </cell>
          <cell r="S44">
            <v>0.41116695440495538</v>
          </cell>
          <cell r="T44">
            <v>136404.83010533769</v>
          </cell>
          <cell r="U44" t="str">
            <v>% brut</v>
          </cell>
          <cell r="V44">
            <v>0.44660185130301311</v>
          </cell>
          <cell r="W44">
            <v>115976.83958672188</v>
          </cell>
          <cell r="X44" t="str">
            <v>% brut</v>
          </cell>
          <cell r="Y44">
            <v>0.46740986821161618</v>
          </cell>
          <cell r="Z44">
            <v>107980.12361308058</v>
          </cell>
          <cell r="AA44" t="str">
            <v>% brut</v>
          </cell>
          <cell r="AB44">
            <v>0.42924149631180325</v>
          </cell>
          <cell r="AC44">
            <v>111669.46047842185</v>
          </cell>
          <cell r="AD44" t="str">
            <v>% brut</v>
          </cell>
          <cell r="AE44">
            <v>0.46486334825277409</v>
          </cell>
          <cell r="AF44">
            <v>107440.17728630558</v>
          </cell>
          <cell r="AG44" t="str">
            <v>% brut</v>
          </cell>
          <cell r="AH44">
            <v>0.4246317052752524</v>
          </cell>
          <cell r="AI44">
            <v>146881.42255604581</v>
          </cell>
          <cell r="AJ44" t="str">
            <v>% brut</v>
          </cell>
          <cell r="AK44">
            <v>0.42066748942840043</v>
          </cell>
          <cell r="AL44">
            <v>121400.6756211632</v>
          </cell>
          <cell r="AM44" t="str">
            <v>% brut</v>
          </cell>
          <cell r="AN44">
            <v>0.47929862085690178</v>
          </cell>
          <cell r="AO44">
            <v>69204.150157506607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230110.85</v>
          </cell>
          <cell r="H45">
            <v>18197.116666666669</v>
          </cell>
          <cell r="K45">
            <v>18197.116666666669</v>
          </cell>
          <cell r="N45">
            <v>21133.479166666668</v>
          </cell>
          <cell r="Q45">
            <v>18197.116666666669</v>
          </cell>
          <cell r="T45">
            <v>21133.479166666668</v>
          </cell>
          <cell r="W45">
            <v>18197.116666666669</v>
          </cell>
          <cell r="Z45">
            <v>18197.116666666669</v>
          </cell>
          <cell r="AC45">
            <v>21133.479166666668</v>
          </cell>
          <cell r="AF45">
            <v>18197.116666666669</v>
          </cell>
          <cell r="AI45">
            <v>18197.116666666669</v>
          </cell>
          <cell r="AL45">
            <v>21133.479166666668</v>
          </cell>
          <cell r="AO45">
            <v>18197.116666666669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145957.64400000003</v>
          </cell>
          <cell r="H46">
            <v>11267.511076923076</v>
          </cell>
          <cell r="K46">
            <v>11267.511076923076</v>
          </cell>
          <cell r="N46">
            <v>13954.388846153846</v>
          </cell>
          <cell r="Q46">
            <v>11267.511076923076</v>
          </cell>
          <cell r="T46">
            <v>13954.388846153846</v>
          </cell>
          <cell r="W46">
            <v>11267.511076923076</v>
          </cell>
          <cell r="Z46">
            <v>11267.511076923076</v>
          </cell>
          <cell r="AC46">
            <v>13954.388846153846</v>
          </cell>
          <cell r="AF46">
            <v>11267.511076923076</v>
          </cell>
          <cell r="AI46">
            <v>11267.511076923076</v>
          </cell>
          <cell r="AL46">
            <v>13954.388846153846</v>
          </cell>
          <cell r="AO46">
            <v>11267.511076923076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34636.600000000006</v>
          </cell>
          <cell r="H47">
            <v>2664.3538461538465</v>
          </cell>
          <cell r="K47">
            <v>2664.3538461538465</v>
          </cell>
          <cell r="N47">
            <v>3330.4423076923076</v>
          </cell>
          <cell r="Q47">
            <v>2664.3538461538465</v>
          </cell>
          <cell r="T47">
            <v>3330.4423076923076</v>
          </cell>
          <cell r="W47">
            <v>2664.3538461538465</v>
          </cell>
          <cell r="Z47">
            <v>2664.3538461538465</v>
          </cell>
          <cell r="AC47">
            <v>3330.4423076923076</v>
          </cell>
          <cell r="AF47">
            <v>2664.3538461538465</v>
          </cell>
          <cell r="AI47">
            <v>2664.3538461538465</v>
          </cell>
          <cell r="AL47">
            <v>3330.4423076923076</v>
          </cell>
          <cell r="AO47">
            <v>2664.3538461538465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  <cell r="H48">
            <v>0</v>
          </cell>
          <cell r="K48">
            <v>0</v>
          </cell>
          <cell r="N48">
            <v>0</v>
          </cell>
          <cell r="Q48">
            <v>0</v>
          </cell>
          <cell r="T48">
            <v>0</v>
          </cell>
          <cell r="W48">
            <v>0</v>
          </cell>
          <cell r="Z48">
            <v>0</v>
          </cell>
          <cell r="AC48">
            <v>0</v>
          </cell>
          <cell r="AF48">
            <v>0</v>
          </cell>
          <cell r="AI48">
            <v>0</v>
          </cell>
          <cell r="AL48">
            <v>0</v>
          </cell>
          <cell r="AO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  <cell r="H49">
            <v>0</v>
          </cell>
          <cell r="K49">
            <v>0</v>
          </cell>
          <cell r="N49">
            <v>0</v>
          </cell>
          <cell r="Q49">
            <v>0</v>
          </cell>
          <cell r="T49">
            <v>0</v>
          </cell>
          <cell r="W49">
            <v>0</v>
          </cell>
          <cell r="Z49">
            <v>0</v>
          </cell>
          <cell r="AC49">
            <v>0</v>
          </cell>
          <cell r="AF49">
            <v>0</v>
          </cell>
          <cell r="AI49">
            <v>0</v>
          </cell>
          <cell r="AL49">
            <v>0</v>
          </cell>
          <cell r="AO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  <cell r="H50">
            <v>0</v>
          </cell>
          <cell r="K50">
            <v>0</v>
          </cell>
          <cell r="N50">
            <v>0</v>
          </cell>
          <cell r="Q50">
            <v>0</v>
          </cell>
          <cell r="T50">
            <v>0</v>
          </cell>
          <cell r="W50">
            <v>0</v>
          </cell>
          <cell r="Z50">
            <v>0</v>
          </cell>
          <cell r="AC50">
            <v>0</v>
          </cell>
          <cell r="AF50">
            <v>0</v>
          </cell>
          <cell r="AI50">
            <v>0</v>
          </cell>
          <cell r="AL50">
            <v>0</v>
          </cell>
          <cell r="AO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  <cell r="H51">
            <v>0</v>
          </cell>
          <cell r="K51">
            <v>0</v>
          </cell>
          <cell r="N51">
            <v>0</v>
          </cell>
          <cell r="Q51">
            <v>0</v>
          </cell>
          <cell r="T51">
            <v>0</v>
          </cell>
          <cell r="W51">
            <v>0</v>
          </cell>
          <cell r="Z51">
            <v>0</v>
          </cell>
          <cell r="AC51">
            <v>0</v>
          </cell>
          <cell r="AF51">
            <v>0</v>
          </cell>
          <cell r="AI51">
            <v>0</v>
          </cell>
          <cell r="AL51">
            <v>0</v>
          </cell>
          <cell r="AO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138466.75834874599</v>
          </cell>
          <cell r="H52">
            <v>10293.565807018116</v>
          </cell>
          <cell r="K52">
            <v>8944.9153385371192</v>
          </cell>
          <cell r="N52">
            <v>12708.147504669267</v>
          </cell>
          <cell r="Q52">
            <v>12428.151948410499</v>
          </cell>
          <cell r="T52">
            <v>14002.317973150264</v>
          </cell>
          <cell r="W52">
            <v>10829.040602587731</v>
          </cell>
          <cell r="Z52">
            <v>11005.094520815579</v>
          </cell>
          <cell r="AC52">
            <v>12098.265749985731</v>
          </cell>
          <cell r="AF52">
            <v>11438.922357271269</v>
          </cell>
          <cell r="AI52">
            <v>12326.504989296576</v>
          </cell>
          <cell r="AL52">
            <v>13494.083177580649</v>
          </cell>
          <cell r="AO52">
            <v>8897.7483794231975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168356.05860904799</v>
          </cell>
          <cell r="H53">
            <v>12515.524945977975</v>
          </cell>
          <cell r="K53">
            <v>10875.756094432798</v>
          </cell>
          <cell r="N53">
            <v>15451.315908760873</v>
          </cell>
          <cell r="Q53">
            <v>15110.880783089418</v>
          </cell>
          <cell r="T53">
            <v>17024.844760306049</v>
          </cell>
          <cell r="W53">
            <v>13166.58681195689</v>
          </cell>
          <cell r="Z53">
            <v>13380.643558348456</v>
          </cell>
          <cell r="AC53">
            <v>14709.785669586176</v>
          </cell>
          <cell r="AF53">
            <v>13908.117051131589</v>
          </cell>
          <cell r="AI53">
            <v>14987.292409893635</v>
          </cell>
          <cell r="AL53">
            <v>16406.902894327133</v>
          </cell>
          <cell r="AO53">
            <v>10818.407721237016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86739.969326835591</v>
          </cell>
          <cell r="H54">
            <v>6448.2161134712605</v>
          </cell>
          <cell r="K54">
            <v>5603.3786834360271</v>
          </cell>
          <cell r="N54">
            <v>7960.7866747311436</v>
          </cell>
          <cell r="Q54">
            <v>7785.3885773743295</v>
          </cell>
          <cell r="T54">
            <v>8771.4961047663764</v>
          </cell>
          <cell r="W54">
            <v>6783.6545096386571</v>
          </cell>
          <cell r="Z54">
            <v>6893.9402681056172</v>
          </cell>
          <cell r="AC54">
            <v>7578.7373993302672</v>
          </cell>
          <cell r="AF54">
            <v>7165.7037850395345</v>
          </cell>
          <cell r="AI54">
            <v>7721.7136981408503</v>
          </cell>
          <cell r="AL54">
            <v>8453.1217085989792</v>
          </cell>
          <cell r="AO54">
            <v>5573.8318042025494</v>
          </cell>
        </row>
        <row r="55">
          <cell r="A55" t="str">
            <v>Véhicules neufsCsst</v>
          </cell>
          <cell r="B55" t="str">
            <v>Csst</v>
          </cell>
          <cell r="E55">
            <v>37819.114615076003</v>
          </cell>
          <cell r="H55">
            <v>2811.4585023573709</v>
          </cell>
          <cell r="K55">
            <v>2443.1046299088166</v>
          </cell>
          <cell r="N55">
            <v>3470.947776605703</v>
          </cell>
          <cell r="Q55">
            <v>3394.4732193896516</v>
          </cell>
          <cell r="T55">
            <v>3824.4216490542567</v>
          </cell>
          <cell r="W55">
            <v>2957.7115302221996</v>
          </cell>
          <cell r="Z55">
            <v>3005.7967413681313</v>
          </cell>
          <cell r="AC55">
            <v>3304.3721431679087</v>
          </cell>
          <cell r="AF55">
            <v>3124.2871636599943</v>
          </cell>
          <cell r="AI55">
            <v>3366.710613816686</v>
          </cell>
          <cell r="AL55">
            <v>3685.6086211894285</v>
          </cell>
          <cell r="AO55">
            <v>2430.2220243358515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0.29316196807876249</v>
          </cell>
          <cell r="E57">
            <v>842086.99489970563</v>
          </cell>
          <cell r="F57" t="str">
            <v>% brut</v>
          </cell>
          <cell r="G57">
            <v>0.44462494676014069</v>
          </cell>
          <cell r="H57">
            <v>64197.746958568314</v>
          </cell>
          <cell r="I57" t="str">
            <v>% brut</v>
          </cell>
          <cell r="J57">
            <v>0.4155251576266375</v>
          </cell>
          <cell r="K57">
            <v>59996.136336058356</v>
          </cell>
          <cell r="L57" t="str">
            <v>% brut</v>
          </cell>
          <cell r="M57">
            <v>0.38591667450405387</v>
          </cell>
          <cell r="N57">
            <v>78009.508185279818</v>
          </cell>
          <cell r="O57" t="str">
            <v>% brut</v>
          </cell>
          <cell r="P57">
            <v>0.24523102430146551</v>
          </cell>
          <cell r="Q57">
            <v>70847.87611800748</v>
          </cell>
          <cell r="R57" t="str">
            <v>% brut</v>
          </cell>
          <cell r="S57">
            <v>0.24729849205146015</v>
          </cell>
          <cell r="T57">
            <v>82041.39080778978</v>
          </cell>
          <cell r="U57" t="str">
            <v>% brut</v>
          </cell>
          <cell r="V57">
            <v>0.25363569569076994</v>
          </cell>
          <cell r="W57">
            <v>65865.975044149061</v>
          </cell>
          <cell r="X57" t="str">
            <v>% brut</v>
          </cell>
          <cell r="Y57">
            <v>0.28748598727875363</v>
          </cell>
          <cell r="Z57">
            <v>66414.456678381364</v>
          </cell>
          <cell r="AA57" t="str">
            <v>% brut</v>
          </cell>
          <cell r="AB57">
            <v>0.29255396414446616</v>
          </cell>
          <cell r="AC57">
            <v>76109.471282582905</v>
          </cell>
          <cell r="AD57" t="str">
            <v>% brut</v>
          </cell>
          <cell r="AE57">
            <v>0.29320442321499757</v>
          </cell>
          <cell r="AF57">
            <v>67766.011946845974</v>
          </cell>
          <cell r="AG57" t="str">
            <v>% brut</v>
          </cell>
          <cell r="AH57">
            <v>0.20390451434622378</v>
          </cell>
          <cell r="AI57">
            <v>70531.203300891342</v>
          </cell>
          <cell r="AJ57" t="str">
            <v>% brut</v>
          </cell>
          <cell r="AK57">
            <v>0.27879643941367482</v>
          </cell>
          <cell r="AL57">
            <v>80458.026722209004</v>
          </cell>
          <cell r="AM57" t="str">
            <v>% brut</v>
          </cell>
          <cell r="AN57">
            <v>0.41450743761959252</v>
          </cell>
          <cell r="AO57">
            <v>59849.191518942207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110400</v>
          </cell>
          <cell r="H60">
            <v>9200</v>
          </cell>
          <cell r="K60">
            <v>9200</v>
          </cell>
          <cell r="N60">
            <v>9200</v>
          </cell>
          <cell r="Q60">
            <v>9200</v>
          </cell>
          <cell r="T60">
            <v>9200</v>
          </cell>
          <cell r="W60">
            <v>9200</v>
          </cell>
          <cell r="Z60">
            <v>9200</v>
          </cell>
          <cell r="AC60">
            <v>9200</v>
          </cell>
          <cell r="AF60">
            <v>9200</v>
          </cell>
          <cell r="AI60">
            <v>9200</v>
          </cell>
          <cell r="AL60">
            <v>9200</v>
          </cell>
          <cell r="AO60">
            <v>9200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108476.34559466668</v>
          </cell>
          <cell r="H61">
            <v>9039.6954662222215</v>
          </cell>
          <cell r="K61">
            <v>9039.6954662222215</v>
          </cell>
          <cell r="N61">
            <v>9039.6954662222215</v>
          </cell>
          <cell r="Q61">
            <v>9039.6954662222215</v>
          </cell>
          <cell r="T61">
            <v>9039.6954662222215</v>
          </cell>
          <cell r="W61">
            <v>9039.6954662222215</v>
          </cell>
          <cell r="Z61">
            <v>9039.6954662222215</v>
          </cell>
          <cell r="AC61">
            <v>9039.6954662222215</v>
          </cell>
          <cell r="AF61">
            <v>9039.6954662222215</v>
          </cell>
          <cell r="AI61">
            <v>9039.6954662222215</v>
          </cell>
          <cell r="AL61">
            <v>9039.6954662222215</v>
          </cell>
          <cell r="AO61">
            <v>9039.6954662222215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13262.710618693432</v>
          </cell>
          <cell r="H62">
            <v>1105.2258848911197</v>
          </cell>
          <cell r="K62">
            <v>1105.2258848911197</v>
          </cell>
          <cell r="N62">
            <v>1105.2258848911197</v>
          </cell>
          <cell r="Q62">
            <v>1105.2258848911197</v>
          </cell>
          <cell r="T62">
            <v>1105.2258848911197</v>
          </cell>
          <cell r="W62">
            <v>1105.2258848911197</v>
          </cell>
          <cell r="Z62">
            <v>1105.2258848911197</v>
          </cell>
          <cell r="AC62">
            <v>1105.2258848911197</v>
          </cell>
          <cell r="AF62">
            <v>1105.2258848911197</v>
          </cell>
          <cell r="AI62">
            <v>1105.2258848911197</v>
          </cell>
          <cell r="AL62">
            <v>1105.2258848911197</v>
          </cell>
          <cell r="AO62">
            <v>1105.2258848911197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80537.023706488893</v>
          </cell>
          <cell r="H63">
            <v>6711.4186422074081</v>
          </cell>
          <cell r="K63">
            <v>6711.4186422074081</v>
          </cell>
          <cell r="N63">
            <v>6711.4186422074081</v>
          </cell>
          <cell r="Q63">
            <v>6711.4186422074081</v>
          </cell>
          <cell r="T63">
            <v>6711.4186422074081</v>
          </cell>
          <cell r="W63">
            <v>6711.4186422074081</v>
          </cell>
          <cell r="Z63">
            <v>6711.4186422074081</v>
          </cell>
          <cell r="AC63">
            <v>6711.4186422074081</v>
          </cell>
          <cell r="AF63">
            <v>6711.4186422074081</v>
          </cell>
          <cell r="AI63">
            <v>6711.4186422074081</v>
          </cell>
          <cell r="AL63">
            <v>6711.4186422074081</v>
          </cell>
          <cell r="AO63">
            <v>6711.4186422074081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1500</v>
          </cell>
          <cell r="H64">
            <v>125</v>
          </cell>
          <cell r="K64">
            <v>125</v>
          </cell>
          <cell r="N64">
            <v>125</v>
          </cell>
          <cell r="Q64">
            <v>125</v>
          </cell>
          <cell r="T64">
            <v>125</v>
          </cell>
          <cell r="W64">
            <v>125</v>
          </cell>
          <cell r="Z64">
            <v>125</v>
          </cell>
          <cell r="AC64">
            <v>125</v>
          </cell>
          <cell r="AF64">
            <v>125</v>
          </cell>
          <cell r="AI64">
            <v>125</v>
          </cell>
          <cell r="AL64">
            <v>125</v>
          </cell>
          <cell r="AO64">
            <v>125</v>
          </cell>
        </row>
        <row r="65">
          <cell r="A65" t="str">
            <v>Véhicules neufsUniformes</v>
          </cell>
          <cell r="B65" t="str">
            <v>Uniformes</v>
          </cell>
          <cell r="E65">
            <v>1000.0000000000001</v>
          </cell>
          <cell r="H65">
            <v>83.333333333333329</v>
          </cell>
          <cell r="K65">
            <v>83.333333333333329</v>
          </cell>
          <cell r="N65">
            <v>83.333333333333329</v>
          </cell>
          <cell r="Q65">
            <v>83.333333333333329</v>
          </cell>
          <cell r="T65">
            <v>83.333333333333329</v>
          </cell>
          <cell r="W65">
            <v>83.333333333333329</v>
          </cell>
          <cell r="Z65">
            <v>83.333333333333329</v>
          </cell>
          <cell r="AC65">
            <v>83.333333333333329</v>
          </cell>
          <cell r="AF65">
            <v>83.333333333333329</v>
          </cell>
          <cell r="AI65">
            <v>83.333333333333329</v>
          </cell>
          <cell r="AL65">
            <v>83.333333333333329</v>
          </cell>
          <cell r="AO65">
            <v>83.333333333333329</v>
          </cell>
        </row>
        <row r="66">
          <cell r="A66" t="str">
            <v>Véhicules neufsPapeterie</v>
          </cell>
          <cell r="B66" t="str">
            <v>Papeterie</v>
          </cell>
          <cell r="E66">
            <v>9083.3592236160021</v>
          </cell>
          <cell r="H66">
            <v>756.94660196799998</v>
          </cell>
          <cell r="K66">
            <v>756.94660196799998</v>
          </cell>
          <cell r="N66">
            <v>756.94660196799998</v>
          </cell>
          <cell r="Q66">
            <v>756.94660196799998</v>
          </cell>
          <cell r="T66">
            <v>756.94660196799998</v>
          </cell>
          <cell r="W66">
            <v>756.94660196799998</v>
          </cell>
          <cell r="Z66">
            <v>756.94660196799998</v>
          </cell>
          <cell r="AC66">
            <v>756.94660196799998</v>
          </cell>
          <cell r="AF66">
            <v>756.94660196799998</v>
          </cell>
          <cell r="AI66">
            <v>756.94660196799998</v>
          </cell>
          <cell r="AL66">
            <v>756.94660196799998</v>
          </cell>
          <cell r="AO66">
            <v>756.94660196799998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3712.8418206346664</v>
          </cell>
          <cell r="H67">
            <v>309.40348505288893</v>
          </cell>
          <cell r="K67">
            <v>309.40348505288893</v>
          </cell>
          <cell r="N67">
            <v>309.40348505288893</v>
          </cell>
          <cell r="Q67">
            <v>309.40348505288893</v>
          </cell>
          <cell r="T67">
            <v>309.40348505288893</v>
          </cell>
          <cell r="W67">
            <v>309.40348505288893</v>
          </cell>
          <cell r="Z67">
            <v>309.40348505288893</v>
          </cell>
          <cell r="AC67">
            <v>309.40348505288893</v>
          </cell>
          <cell r="AF67">
            <v>309.40348505288893</v>
          </cell>
          <cell r="AI67">
            <v>309.40348505288893</v>
          </cell>
          <cell r="AL67">
            <v>309.40348505288893</v>
          </cell>
          <cell r="AO67">
            <v>309.40348505288893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1357.5457188853334</v>
          </cell>
          <cell r="H68">
            <v>113.12880990711112</v>
          </cell>
          <cell r="K68">
            <v>113.12880990711112</v>
          </cell>
          <cell r="N68">
            <v>113.12880990711112</v>
          </cell>
          <cell r="Q68">
            <v>113.12880990711112</v>
          </cell>
          <cell r="T68">
            <v>113.12880990711112</v>
          </cell>
          <cell r="W68">
            <v>113.12880990711112</v>
          </cell>
          <cell r="Z68">
            <v>113.12880990711112</v>
          </cell>
          <cell r="AC68">
            <v>113.12880990711112</v>
          </cell>
          <cell r="AF68">
            <v>113.12880990711112</v>
          </cell>
          <cell r="AI68">
            <v>113.12880990711112</v>
          </cell>
          <cell r="AL68">
            <v>113.12880990711112</v>
          </cell>
          <cell r="AO68">
            <v>113.12880990711112</v>
          </cell>
        </row>
        <row r="69">
          <cell r="A69" t="str">
            <v>Véhicules neufsDivers</v>
          </cell>
          <cell r="B69" t="str">
            <v>Divers</v>
          </cell>
          <cell r="E69">
            <v>3389.5512412213343</v>
          </cell>
          <cell r="H69">
            <v>282.46260343511113</v>
          </cell>
          <cell r="K69">
            <v>282.46260343511113</v>
          </cell>
          <cell r="N69">
            <v>282.46260343511113</v>
          </cell>
          <cell r="Q69">
            <v>282.46260343511113</v>
          </cell>
          <cell r="T69">
            <v>282.46260343511113</v>
          </cell>
          <cell r="W69">
            <v>282.46260343511113</v>
          </cell>
          <cell r="Z69">
            <v>282.46260343511113</v>
          </cell>
          <cell r="AC69">
            <v>282.46260343511113</v>
          </cell>
          <cell r="AF69">
            <v>282.46260343511113</v>
          </cell>
          <cell r="AI69">
            <v>282.46260343511113</v>
          </cell>
          <cell r="AL69">
            <v>282.46260343511113</v>
          </cell>
          <cell r="AO69">
            <v>282.46260343511113</v>
          </cell>
        </row>
        <row r="70">
          <cell r="A70" t="str">
            <v>Véhicules neufsFormation</v>
          </cell>
          <cell r="B70" t="str">
            <v>Formation</v>
          </cell>
          <cell r="E70">
            <v>22789.289999999994</v>
          </cell>
          <cell r="H70">
            <v>1899.1075000000001</v>
          </cell>
          <cell r="K70">
            <v>1899.1075000000001</v>
          </cell>
          <cell r="N70">
            <v>1899.1075000000001</v>
          </cell>
          <cell r="Q70">
            <v>1899.1075000000001</v>
          </cell>
          <cell r="T70">
            <v>1899.1075000000001</v>
          </cell>
          <cell r="W70">
            <v>1899.1075000000001</v>
          </cell>
          <cell r="Z70">
            <v>1899.1075000000001</v>
          </cell>
          <cell r="AC70">
            <v>1899.1075000000001</v>
          </cell>
          <cell r="AF70">
            <v>1899.1075000000001</v>
          </cell>
          <cell r="AI70">
            <v>1899.1075000000001</v>
          </cell>
          <cell r="AL70">
            <v>1899.1075000000001</v>
          </cell>
          <cell r="AO70">
            <v>1899.1075000000001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40359.551148111401</v>
          </cell>
          <cell r="H71">
            <v>3363.2959290092826</v>
          </cell>
          <cell r="K71">
            <v>3363.2959290092826</v>
          </cell>
          <cell r="N71">
            <v>3363.2959290092826</v>
          </cell>
          <cell r="Q71">
            <v>3363.2959290092826</v>
          </cell>
          <cell r="T71">
            <v>3363.2959290092826</v>
          </cell>
          <cell r="W71">
            <v>3363.2959290092826</v>
          </cell>
          <cell r="Z71">
            <v>3363.2959290092826</v>
          </cell>
          <cell r="AC71">
            <v>3363.2959290092826</v>
          </cell>
          <cell r="AF71">
            <v>3363.2959290092826</v>
          </cell>
          <cell r="AI71">
            <v>3363.2959290092826</v>
          </cell>
          <cell r="AL71">
            <v>3363.2959290092826</v>
          </cell>
          <cell r="AO71">
            <v>3363.2959290092826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0.13781652834681002</v>
          </cell>
          <cell r="E75">
            <v>395868.2190723177</v>
          </cell>
          <cell r="F75" t="str">
            <v>% brut</v>
          </cell>
          <cell r="G75">
            <v>0.22847749618411511</v>
          </cell>
          <cell r="H75">
            <v>32989.018256026473</v>
          </cell>
          <cell r="I75" t="str">
            <v>% brut</v>
          </cell>
          <cell r="J75">
            <v>0.22847749618411511</v>
          </cell>
          <cell r="K75">
            <v>32989.018256026473</v>
          </cell>
          <cell r="L75" t="str">
            <v>% brut</v>
          </cell>
          <cell r="M75">
            <v>0.16319821156008221</v>
          </cell>
          <cell r="N75">
            <v>32989.018256026473</v>
          </cell>
          <cell r="O75" t="str">
            <v>% brut</v>
          </cell>
          <cell r="P75">
            <v>0.11418734309198143</v>
          </cell>
          <cell r="Q75">
            <v>32989.018256026473</v>
          </cell>
          <cell r="R75" t="str">
            <v>% brut</v>
          </cell>
          <cell r="S75">
            <v>9.9439251195615114E-2</v>
          </cell>
          <cell r="T75">
            <v>32989.018256026473</v>
          </cell>
          <cell r="U75" t="str">
            <v>% brut</v>
          </cell>
          <cell r="V75">
            <v>0.1270336101441506</v>
          </cell>
          <cell r="W75">
            <v>32989.018256026473</v>
          </cell>
          <cell r="X75" t="str">
            <v>% brut</v>
          </cell>
          <cell r="Y75">
            <v>0.14279843511507193</v>
          </cell>
          <cell r="Z75">
            <v>32989.018256026473</v>
          </cell>
          <cell r="AA75" t="str">
            <v>% brut</v>
          </cell>
          <cell r="AB75">
            <v>0.12680508616597477</v>
          </cell>
          <cell r="AC75">
            <v>32989.018256026473</v>
          </cell>
          <cell r="AD75" t="str">
            <v>% brut</v>
          </cell>
          <cell r="AE75">
            <v>0.14273417886497677</v>
          </cell>
          <cell r="AF75">
            <v>32989.018256026473</v>
          </cell>
          <cell r="AG75" t="str">
            <v>% brut</v>
          </cell>
          <cell r="AH75">
            <v>9.5370693132195303E-2</v>
          </cell>
          <cell r="AI75">
            <v>32989.018256026473</v>
          </cell>
          <cell r="AJ75" t="str">
            <v>% brut</v>
          </cell>
          <cell r="AK75">
            <v>0.11431079289686542</v>
          </cell>
          <cell r="AL75">
            <v>32989.018256026473</v>
          </cell>
          <cell r="AM75" t="str">
            <v>% brut</v>
          </cell>
          <cell r="AN75">
            <v>0.22847749618411511</v>
          </cell>
          <cell r="AO75">
            <v>32989.018256026473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0.87974710885902629</v>
          </cell>
          <cell r="E77">
            <v>2527011.2764823847</v>
          </cell>
          <cell r="F77" t="str">
            <v>% brut</v>
          </cell>
          <cell r="G77">
            <v>1.1555170523405842</v>
          </cell>
          <cell r="H77">
            <v>166840.82140017638</v>
          </cell>
          <cell r="I77" t="str">
            <v>% brut</v>
          </cell>
          <cell r="J77">
            <v>1.1451131944436412</v>
          </cell>
          <cell r="K77">
            <v>165338.64694611644</v>
          </cell>
          <cell r="L77" t="str">
            <v>% brut</v>
          </cell>
          <cell r="M77">
            <v>1.0430666519870988</v>
          </cell>
          <cell r="N77">
            <v>210846.33523687054</v>
          </cell>
          <cell r="O77" t="str">
            <v>% brut</v>
          </cell>
          <cell r="P77">
            <v>0.81023824186147564</v>
          </cell>
          <cell r="Q77">
            <v>234079.92014463464</v>
          </cell>
          <cell r="R77" t="str">
            <v>% brut</v>
          </cell>
          <cell r="S77">
            <v>0.75790469765203061</v>
          </cell>
          <cell r="T77">
            <v>251435.23916915394</v>
          </cell>
          <cell r="U77" t="str">
            <v>% brut</v>
          </cell>
          <cell r="V77">
            <v>0.82727115713793364</v>
          </cell>
          <cell r="W77">
            <v>214831.83288689741</v>
          </cell>
          <cell r="X77" t="str">
            <v>% brut</v>
          </cell>
          <cell r="Y77">
            <v>0.8976942906054417</v>
          </cell>
          <cell r="Z77">
            <v>207383.59854748842</v>
          </cell>
          <cell r="AA77" t="str">
            <v>% brut</v>
          </cell>
          <cell r="AB77">
            <v>0.84860054662224416</v>
          </cell>
          <cell r="AC77">
            <v>220767.95001703122</v>
          </cell>
          <cell r="AD77" t="str">
            <v>% brut</v>
          </cell>
          <cell r="AE77">
            <v>0.90080195033274846</v>
          </cell>
          <cell r="AF77">
            <v>208195.20748917802</v>
          </cell>
          <cell r="AG77" t="str">
            <v>% brut</v>
          </cell>
          <cell r="AH77">
            <v>0.72390691275367147</v>
          </cell>
          <cell r="AI77">
            <v>250401.64411296361</v>
          </cell>
          <cell r="AJ77" t="str">
            <v>% brut</v>
          </cell>
          <cell r="AK77">
            <v>0.81377472173894072</v>
          </cell>
          <cell r="AL77">
            <v>234847.72059939869</v>
          </cell>
          <cell r="AM77" t="str">
            <v>% brut</v>
          </cell>
          <cell r="AN77">
            <v>1.1222835546606094</v>
          </cell>
          <cell r="AO77">
            <v>162042.35993247529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80000</v>
          </cell>
          <cell r="H78">
            <v>0</v>
          </cell>
          <cell r="K78">
            <v>0</v>
          </cell>
          <cell r="N78">
            <v>20000</v>
          </cell>
          <cell r="Q78">
            <v>0</v>
          </cell>
          <cell r="T78">
            <v>0</v>
          </cell>
          <cell r="W78">
            <v>20000</v>
          </cell>
          <cell r="Z78">
            <v>0</v>
          </cell>
          <cell r="AC78">
            <v>0</v>
          </cell>
          <cell r="AF78">
            <v>20000</v>
          </cell>
          <cell r="AI78">
            <v>0</v>
          </cell>
          <cell r="AL78">
            <v>0</v>
          </cell>
          <cell r="AO78">
            <v>20000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  <cell r="H79">
            <v>0</v>
          </cell>
          <cell r="K79">
            <v>0</v>
          </cell>
          <cell r="N79">
            <v>0</v>
          </cell>
          <cell r="Q79">
            <v>0</v>
          </cell>
          <cell r="T79">
            <v>0</v>
          </cell>
          <cell r="W79">
            <v>0</v>
          </cell>
          <cell r="Z79">
            <v>0</v>
          </cell>
          <cell r="AC79">
            <v>0</v>
          </cell>
          <cell r="AF79">
            <v>0</v>
          </cell>
          <cell r="AI79">
            <v>0</v>
          </cell>
          <cell r="AL79">
            <v>0</v>
          </cell>
          <cell r="AO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  <cell r="H80">
            <v>0</v>
          </cell>
          <cell r="K80">
            <v>0</v>
          </cell>
          <cell r="N80">
            <v>0</v>
          </cell>
          <cell r="Q80">
            <v>0</v>
          </cell>
          <cell r="T80">
            <v>0</v>
          </cell>
          <cell r="W80">
            <v>0</v>
          </cell>
          <cell r="Z80">
            <v>0</v>
          </cell>
          <cell r="AC80">
            <v>0</v>
          </cell>
          <cell r="AF80">
            <v>0</v>
          </cell>
          <cell r="AI80">
            <v>0</v>
          </cell>
          <cell r="AL80">
            <v>0</v>
          </cell>
          <cell r="AO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911504.31324615923</v>
          </cell>
          <cell r="H81">
            <v>43066.288712401452</v>
          </cell>
          <cell r="K81">
            <v>43066.288712401452</v>
          </cell>
          <cell r="N81">
            <v>63098.425611850726</v>
          </cell>
          <cell r="Q81">
            <v>93286.91203174906</v>
          </cell>
          <cell r="T81">
            <v>107806.00285172804</v>
          </cell>
          <cell r="W81">
            <v>82906.112798140894</v>
          </cell>
          <cell r="Z81">
            <v>73114.494061575373</v>
          </cell>
          <cell r="AC81">
            <v>83411.12465274884</v>
          </cell>
          <cell r="AF81">
            <v>73226.718918154904</v>
          </cell>
          <cell r="AI81">
            <v>112505.4187209966</v>
          </cell>
          <cell r="AL81">
            <v>92950.237462010438</v>
          </cell>
          <cell r="AO81">
            <v>43066.288712401452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  <cell r="H82">
            <v>0</v>
          </cell>
          <cell r="K82">
            <v>0</v>
          </cell>
          <cell r="N82">
            <v>0</v>
          </cell>
          <cell r="Q82">
            <v>0</v>
          </cell>
          <cell r="T82">
            <v>0</v>
          </cell>
          <cell r="W82">
            <v>0</v>
          </cell>
          <cell r="Z82">
            <v>0</v>
          </cell>
          <cell r="AC82">
            <v>0</v>
          </cell>
          <cell r="AF82">
            <v>0</v>
          </cell>
          <cell r="AI82">
            <v>0</v>
          </cell>
          <cell r="AL82">
            <v>0</v>
          </cell>
          <cell r="AO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  <cell r="H83">
            <v>0</v>
          </cell>
          <cell r="K83">
            <v>0</v>
          </cell>
          <cell r="N83">
            <v>0</v>
          </cell>
          <cell r="Q83">
            <v>0</v>
          </cell>
          <cell r="T83">
            <v>0</v>
          </cell>
          <cell r="W83">
            <v>0</v>
          </cell>
          <cell r="Z83">
            <v>0</v>
          </cell>
          <cell r="AC83">
            <v>0</v>
          </cell>
          <cell r="AF83">
            <v>0</v>
          </cell>
          <cell r="AI83">
            <v>0</v>
          </cell>
          <cell r="AL83">
            <v>0</v>
          </cell>
          <cell r="AO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  <cell r="H84">
            <v>0</v>
          </cell>
          <cell r="K84">
            <v>0</v>
          </cell>
          <cell r="N84">
            <v>0</v>
          </cell>
          <cell r="Q84">
            <v>0</v>
          </cell>
          <cell r="T84">
            <v>0</v>
          </cell>
          <cell r="W84">
            <v>0</v>
          </cell>
          <cell r="Z84">
            <v>0</v>
          </cell>
          <cell r="AC84">
            <v>0</v>
          </cell>
          <cell r="AF84">
            <v>0</v>
          </cell>
          <cell r="AI84">
            <v>0</v>
          </cell>
          <cell r="AL84">
            <v>0</v>
          </cell>
          <cell r="AO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315240.87974999991</v>
          </cell>
          <cell r="H85">
            <v>15856.9725</v>
          </cell>
          <cell r="K85">
            <v>15856.9725</v>
          </cell>
          <cell r="N85">
            <v>22199.761500000001</v>
          </cell>
          <cell r="Q85">
            <v>31761.35</v>
          </cell>
          <cell r="T85">
            <v>36347.783749999995</v>
          </cell>
          <cell r="W85">
            <v>28466.702499999996</v>
          </cell>
          <cell r="Z85">
            <v>25371.155999999999</v>
          </cell>
          <cell r="AC85">
            <v>28637.360499999995</v>
          </cell>
          <cell r="AF85">
            <v>25409.079999999998</v>
          </cell>
          <cell r="AI85">
            <v>37829.189999999988</v>
          </cell>
          <cell r="AL85">
            <v>31647.577999999998</v>
          </cell>
          <cell r="AO85">
            <v>15856.9725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1306745.1929961592</v>
          </cell>
          <cell r="H86">
            <v>58923.261212401456</v>
          </cell>
          <cell r="K86">
            <v>58923.261212401456</v>
          </cell>
          <cell r="N86">
            <v>105298.18711185071</v>
          </cell>
          <cell r="Q86">
            <v>125048.26203174907</v>
          </cell>
          <cell r="T86">
            <v>144153.78660172803</v>
          </cell>
          <cell r="W86">
            <v>131372.81529814089</v>
          </cell>
          <cell r="Z86">
            <v>98485.650061575376</v>
          </cell>
          <cell r="AC86">
            <v>112048.48515274884</v>
          </cell>
          <cell r="AF86">
            <v>118635.79891815491</v>
          </cell>
          <cell r="AI86">
            <v>150334.60872099659</v>
          </cell>
          <cell r="AL86">
            <v>124597.81546201043</v>
          </cell>
          <cell r="AO86">
            <v>78923.261212401456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1652163.1078523523</v>
          </cell>
          <cell r="H88">
            <v>36468.730834264177</v>
          </cell>
          <cell r="K88">
            <v>37970.905288324124</v>
          </cell>
          <cell r="N88">
            <v>96592.659305834939</v>
          </cell>
          <cell r="Q88">
            <v>179870.92393119264</v>
          </cell>
          <cell r="T88">
            <v>224469.01678326406</v>
          </cell>
          <cell r="W88">
            <v>176228.30625091385</v>
          </cell>
          <cell r="Z88">
            <v>122120.11714934953</v>
          </cell>
          <cell r="AC88">
            <v>151435.85897538799</v>
          </cell>
          <cell r="AF88">
            <v>141562.65706423947</v>
          </cell>
          <cell r="AI88">
            <v>245836.06306092677</v>
          </cell>
          <cell r="AL88">
            <v>178340.67690668994</v>
          </cell>
          <cell r="AO88">
            <v>61267.192301965275</v>
          </cell>
        </row>
        <row r="92">
          <cell r="B92" t="str">
            <v>Budget 2024</v>
          </cell>
          <cell r="C92" t="str">
            <v>Véhicules usagés</v>
          </cell>
        </row>
        <row r="94">
          <cell r="B94" t="str">
            <v>Mois</v>
          </cell>
          <cell r="C94">
            <v>2024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21136589.619951062</v>
          </cell>
          <cell r="H96">
            <v>1209133.839645165</v>
          </cell>
          <cell r="K96">
            <v>1249297.3762767354</v>
          </cell>
          <cell r="N96">
            <v>1879230.7402876783</v>
          </cell>
          <cell r="Q96">
            <v>2101187.1269358294</v>
          </cell>
          <cell r="T96">
            <v>2139236.7932183691</v>
          </cell>
          <cell r="W96">
            <v>1934191.3693624581</v>
          </cell>
          <cell r="Z96">
            <v>1801017.5373735677</v>
          </cell>
          <cell r="AC96">
            <v>1919394.2769192485</v>
          </cell>
          <cell r="AF96">
            <v>1896141.7030799182</v>
          </cell>
          <cell r="AI96">
            <v>1872889.1292405881</v>
          </cell>
          <cell r="AL96">
            <v>1824270.111212898</v>
          </cell>
          <cell r="AO96">
            <v>1310599.6163986055</v>
          </cell>
        </row>
        <row r="97">
          <cell r="A97" t="str">
            <v>Véhicules usagésCertifié</v>
          </cell>
          <cell r="B97" t="str">
            <v>Certifié</v>
          </cell>
          <cell r="C97">
            <v>389.96100000000001</v>
          </cell>
          <cell r="D97">
            <v>1799.9999999999998</v>
          </cell>
          <cell r="E97">
            <v>701929.79999999993</v>
          </cell>
          <cell r="F97">
            <v>22.308</v>
          </cell>
          <cell r="G97">
            <v>1800</v>
          </cell>
          <cell r="H97">
            <v>40154.400000000001</v>
          </cell>
          <cell r="I97">
            <v>23.048999999999999</v>
          </cell>
          <cell r="J97">
            <v>1800</v>
          </cell>
          <cell r="K97">
            <v>41488.199999999997</v>
          </cell>
          <cell r="L97">
            <v>34.670999999999999</v>
          </cell>
          <cell r="M97">
            <v>1800.0000000000002</v>
          </cell>
          <cell r="N97">
            <v>62407.8</v>
          </cell>
          <cell r="O97">
            <v>38.765999999999998</v>
          </cell>
          <cell r="P97">
            <v>1800.0000000000002</v>
          </cell>
          <cell r="Q97">
            <v>69778.8</v>
          </cell>
          <cell r="R97">
            <v>39.467999999999996</v>
          </cell>
          <cell r="S97">
            <v>1800</v>
          </cell>
          <cell r="T97">
            <v>71042.399999999994</v>
          </cell>
          <cell r="U97">
            <v>35.685000000000002</v>
          </cell>
          <cell r="V97">
            <v>1799.9999999999998</v>
          </cell>
          <cell r="W97">
            <v>64233</v>
          </cell>
          <cell r="X97">
            <v>33.228000000000002</v>
          </cell>
          <cell r="Y97">
            <v>1800</v>
          </cell>
          <cell r="Z97">
            <v>59810.400000000001</v>
          </cell>
          <cell r="AA97">
            <v>35.411999999999999</v>
          </cell>
          <cell r="AB97">
            <v>1800.0000000000002</v>
          </cell>
          <cell r="AC97">
            <v>63741.600000000006</v>
          </cell>
          <cell r="AD97">
            <v>34.983000000000004</v>
          </cell>
          <cell r="AE97">
            <v>1799.9999999999998</v>
          </cell>
          <cell r="AF97">
            <v>62969.4</v>
          </cell>
          <cell r="AG97">
            <v>34.554000000000002</v>
          </cell>
          <cell r="AH97">
            <v>1799.9999999999998</v>
          </cell>
          <cell r="AI97">
            <v>62197.2</v>
          </cell>
          <cell r="AJ97">
            <v>33.657000000000004</v>
          </cell>
          <cell r="AK97">
            <v>1799.9999999999998</v>
          </cell>
          <cell r="AL97">
            <v>60582.6</v>
          </cell>
          <cell r="AM97">
            <v>24.18</v>
          </cell>
          <cell r="AN97">
            <v>1800</v>
          </cell>
          <cell r="AO97">
            <v>43524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21.997800000000002</v>
          </cell>
          <cell r="D98">
            <v>1800</v>
          </cell>
          <cell r="E98">
            <v>39596.04</v>
          </cell>
          <cell r="F98">
            <v>1.2584</v>
          </cell>
          <cell r="G98">
            <v>1800</v>
          </cell>
          <cell r="H98">
            <v>2265.12</v>
          </cell>
          <cell r="I98">
            <v>1.3002</v>
          </cell>
          <cell r="J98">
            <v>1800</v>
          </cell>
          <cell r="K98">
            <v>2340.36</v>
          </cell>
          <cell r="L98">
            <v>1.9558000000000002</v>
          </cell>
          <cell r="M98">
            <v>1799.9999999999998</v>
          </cell>
          <cell r="N98">
            <v>3520.44</v>
          </cell>
          <cell r="O98">
            <v>2.1867999999999999</v>
          </cell>
          <cell r="P98">
            <v>1800.0000000000002</v>
          </cell>
          <cell r="Q98">
            <v>3936.2400000000002</v>
          </cell>
          <cell r="R98">
            <v>2.2263999999999999</v>
          </cell>
          <cell r="S98">
            <v>1800</v>
          </cell>
          <cell r="T98">
            <v>4007.52</v>
          </cell>
          <cell r="U98">
            <v>2.0129999999999999</v>
          </cell>
          <cell r="V98">
            <v>1800.0000000000002</v>
          </cell>
          <cell r="W98">
            <v>3623.4</v>
          </cell>
          <cell r="X98">
            <v>1.8744000000000001</v>
          </cell>
          <cell r="Y98">
            <v>1800</v>
          </cell>
          <cell r="Z98">
            <v>3373.92</v>
          </cell>
          <cell r="AA98">
            <v>1.9976</v>
          </cell>
          <cell r="AB98">
            <v>1800</v>
          </cell>
          <cell r="AC98">
            <v>3595.6800000000003</v>
          </cell>
          <cell r="AD98">
            <v>1.9734</v>
          </cell>
          <cell r="AE98">
            <v>1800</v>
          </cell>
          <cell r="AF98">
            <v>3552.12</v>
          </cell>
          <cell r="AG98">
            <v>1.9492</v>
          </cell>
          <cell r="AH98">
            <v>1800</v>
          </cell>
          <cell r="AI98">
            <v>3508.56</v>
          </cell>
          <cell r="AJ98">
            <v>1.8986000000000001</v>
          </cell>
          <cell r="AK98">
            <v>1800</v>
          </cell>
          <cell r="AL98">
            <v>3417.48</v>
          </cell>
          <cell r="AM98">
            <v>1.3639999999999999</v>
          </cell>
          <cell r="AN98">
            <v>1800</v>
          </cell>
          <cell r="AO98">
            <v>2455.1999999999998</v>
          </cell>
        </row>
        <row r="99">
          <cell r="A99" t="str">
            <v>Véhicules usagésAutres Marques</v>
          </cell>
          <cell r="B99" t="str">
            <v>Autres Marques</v>
          </cell>
          <cell r="C99">
            <v>12.998699999999999</v>
          </cell>
          <cell r="D99">
            <v>1800</v>
          </cell>
          <cell r="E99">
            <v>23397.66</v>
          </cell>
          <cell r="F99">
            <v>0.74360000000000004</v>
          </cell>
          <cell r="G99">
            <v>1800</v>
          </cell>
          <cell r="H99">
            <v>1338.48</v>
          </cell>
          <cell r="I99">
            <v>0.76829999999999998</v>
          </cell>
          <cell r="J99">
            <v>1800</v>
          </cell>
          <cell r="K99">
            <v>1382.94</v>
          </cell>
          <cell r="L99">
            <v>1.1557000000000002</v>
          </cell>
          <cell r="M99">
            <v>1800</v>
          </cell>
          <cell r="N99">
            <v>2080.2600000000002</v>
          </cell>
          <cell r="O99">
            <v>1.2922</v>
          </cell>
          <cell r="P99">
            <v>1800</v>
          </cell>
          <cell r="Q99">
            <v>2325.96</v>
          </cell>
          <cell r="R99">
            <v>1.3155999999999999</v>
          </cell>
          <cell r="S99">
            <v>1800</v>
          </cell>
          <cell r="T99">
            <v>2368.08</v>
          </cell>
          <cell r="U99">
            <v>1.1895</v>
          </cell>
          <cell r="V99">
            <v>1800</v>
          </cell>
          <cell r="W99">
            <v>2141.1</v>
          </cell>
          <cell r="X99">
            <v>1.1075999999999999</v>
          </cell>
          <cell r="Y99">
            <v>1800.0000000000002</v>
          </cell>
          <cell r="Z99">
            <v>1993.68</v>
          </cell>
          <cell r="AA99">
            <v>1.1804000000000001</v>
          </cell>
          <cell r="AB99">
            <v>1800</v>
          </cell>
          <cell r="AC99">
            <v>2124.7200000000003</v>
          </cell>
          <cell r="AD99">
            <v>1.1661000000000001</v>
          </cell>
          <cell r="AE99">
            <v>1799.9999999999998</v>
          </cell>
          <cell r="AF99">
            <v>2098.98</v>
          </cell>
          <cell r="AG99">
            <v>1.1517999999999999</v>
          </cell>
          <cell r="AH99">
            <v>1800</v>
          </cell>
          <cell r="AI99">
            <v>2073.2399999999998</v>
          </cell>
          <cell r="AJ99">
            <v>1.1219000000000001</v>
          </cell>
          <cell r="AK99">
            <v>1799.9999999999998</v>
          </cell>
          <cell r="AL99">
            <v>2019.42</v>
          </cell>
          <cell r="AM99">
            <v>0.80600000000000005</v>
          </cell>
          <cell r="AN99">
            <v>1799.9999999999998</v>
          </cell>
          <cell r="AO99">
            <v>1450.8</v>
          </cell>
        </row>
        <row r="100">
          <cell r="A100" t="str">
            <v>Véhicules usagésTotal Usagés</v>
          </cell>
          <cell r="B100" t="str">
            <v>Total Usagés</v>
          </cell>
          <cell r="C100">
            <v>424.95749999999998</v>
          </cell>
          <cell r="D100">
            <v>1800</v>
          </cell>
          <cell r="E100">
            <v>764923.5</v>
          </cell>
          <cell r="F100">
            <v>24.310000000000002</v>
          </cell>
          <cell r="G100">
            <v>1800.0000000000002</v>
          </cell>
          <cell r="H100">
            <v>43758.000000000007</v>
          </cell>
          <cell r="I100">
            <v>25.1175</v>
          </cell>
          <cell r="J100">
            <v>1800</v>
          </cell>
          <cell r="K100">
            <v>45211.5</v>
          </cell>
          <cell r="L100">
            <v>37.782500000000006</v>
          </cell>
          <cell r="M100">
            <v>1799.9999999999998</v>
          </cell>
          <cell r="N100">
            <v>68008.5</v>
          </cell>
          <cell r="O100">
            <v>42.244999999999997</v>
          </cell>
          <cell r="P100">
            <v>1800.0000000000005</v>
          </cell>
          <cell r="Q100">
            <v>76041.000000000015</v>
          </cell>
          <cell r="R100">
            <v>43.009999999999991</v>
          </cell>
          <cell r="S100">
            <v>1800.0000000000005</v>
          </cell>
          <cell r="T100">
            <v>77418</v>
          </cell>
          <cell r="U100">
            <v>38.887500000000003</v>
          </cell>
          <cell r="V100">
            <v>1799.9999999999998</v>
          </cell>
          <cell r="W100">
            <v>69997.5</v>
          </cell>
          <cell r="X100">
            <v>36.21</v>
          </cell>
          <cell r="Y100">
            <v>1800</v>
          </cell>
          <cell r="Z100">
            <v>65178</v>
          </cell>
          <cell r="AA100">
            <v>38.589999999999996</v>
          </cell>
          <cell r="AB100">
            <v>1800.0000000000002</v>
          </cell>
          <cell r="AC100">
            <v>69462</v>
          </cell>
          <cell r="AD100">
            <v>38.122500000000002</v>
          </cell>
          <cell r="AE100">
            <v>1800</v>
          </cell>
          <cell r="AF100">
            <v>68620.5</v>
          </cell>
          <cell r="AG100">
            <v>37.655000000000001</v>
          </cell>
          <cell r="AH100">
            <v>1800</v>
          </cell>
          <cell r="AI100">
            <v>67779</v>
          </cell>
          <cell r="AJ100">
            <v>36.677500000000009</v>
          </cell>
          <cell r="AK100">
            <v>1799.9999999999995</v>
          </cell>
          <cell r="AL100">
            <v>66019.5</v>
          </cell>
          <cell r="AM100">
            <v>26.35</v>
          </cell>
          <cell r="AN100">
            <v>1800</v>
          </cell>
          <cell r="AO100">
            <v>47430</v>
          </cell>
        </row>
        <row r="101">
          <cell r="A101" t="str">
            <v>Véhicules usagés</v>
          </cell>
        </row>
        <row r="102">
          <cell r="A102" t="str">
            <v>Véhicules usagés</v>
          </cell>
          <cell r="F102">
            <v>0</v>
          </cell>
          <cell r="H102">
            <v>0</v>
          </cell>
        </row>
        <row r="103">
          <cell r="A103" t="str">
            <v>Véhicules usagésVentes au Gros</v>
          </cell>
          <cell r="B103" t="str">
            <v>Ventes au Gros</v>
          </cell>
          <cell r="C103">
            <v>434.95650000000001</v>
          </cell>
          <cell r="D103">
            <v>400</v>
          </cell>
          <cell r="E103">
            <v>173982.6</v>
          </cell>
          <cell r="F103">
            <v>24.882000000000001</v>
          </cell>
          <cell r="G103">
            <v>399.99999999999994</v>
          </cell>
          <cell r="H103">
            <v>9952.7999999999993</v>
          </cell>
          <cell r="I103">
            <v>25.708500000000001</v>
          </cell>
          <cell r="J103">
            <v>400</v>
          </cell>
          <cell r="K103">
            <v>10283.4</v>
          </cell>
          <cell r="L103">
            <v>38.671500000000002</v>
          </cell>
          <cell r="M103">
            <v>400</v>
          </cell>
          <cell r="N103">
            <v>15468.6</v>
          </cell>
          <cell r="O103">
            <v>43.239000000000004</v>
          </cell>
          <cell r="P103">
            <v>400</v>
          </cell>
          <cell r="Q103">
            <v>17295.600000000002</v>
          </cell>
          <cell r="R103">
            <v>44.021999999999998</v>
          </cell>
          <cell r="S103">
            <v>400</v>
          </cell>
          <cell r="T103">
            <v>17608.8</v>
          </cell>
          <cell r="U103">
            <v>39.802500000000002</v>
          </cell>
          <cell r="V103">
            <v>400</v>
          </cell>
          <cell r="W103">
            <v>15921</v>
          </cell>
          <cell r="X103">
            <v>37.061999999999998</v>
          </cell>
          <cell r="Y103">
            <v>400</v>
          </cell>
          <cell r="Z103">
            <v>14824.8</v>
          </cell>
          <cell r="AA103">
            <v>39.498000000000005</v>
          </cell>
          <cell r="AB103">
            <v>399.99999999999994</v>
          </cell>
          <cell r="AC103">
            <v>15799.2</v>
          </cell>
          <cell r="AD103">
            <v>39.019500000000001</v>
          </cell>
          <cell r="AE103">
            <v>400</v>
          </cell>
          <cell r="AF103">
            <v>15607.800000000001</v>
          </cell>
          <cell r="AG103">
            <v>38.540999999999997</v>
          </cell>
          <cell r="AH103">
            <v>400</v>
          </cell>
          <cell r="AI103">
            <v>15416.4</v>
          </cell>
          <cell r="AJ103">
            <v>37.540500000000002</v>
          </cell>
          <cell r="AK103">
            <v>400</v>
          </cell>
          <cell r="AL103">
            <v>15016.2</v>
          </cell>
          <cell r="AM103">
            <v>26.97</v>
          </cell>
          <cell r="AN103">
            <v>400</v>
          </cell>
          <cell r="AO103">
            <v>10788</v>
          </cell>
        </row>
        <row r="104">
          <cell r="A104" t="str">
            <v>Véhicules usagés</v>
          </cell>
        </row>
        <row r="105">
          <cell r="A105" t="str">
            <v>Véhicules usagésRev. Finances</v>
          </cell>
          <cell r="B105" t="str">
            <v>Rev. Finances</v>
          </cell>
          <cell r="D105">
            <v>700</v>
          </cell>
          <cell r="E105">
            <v>297470.25</v>
          </cell>
          <cell r="G105">
            <v>699.99999999999989</v>
          </cell>
          <cell r="H105">
            <v>17017</v>
          </cell>
          <cell r="J105">
            <v>700</v>
          </cell>
          <cell r="K105">
            <v>17582.25</v>
          </cell>
          <cell r="M105">
            <v>700</v>
          </cell>
          <cell r="N105">
            <v>26447.750000000004</v>
          </cell>
          <cell r="P105">
            <v>700</v>
          </cell>
          <cell r="Q105">
            <v>29571.5</v>
          </cell>
          <cell r="S105">
            <v>700</v>
          </cell>
          <cell r="T105">
            <v>30106.999999999993</v>
          </cell>
          <cell r="V105">
            <v>700</v>
          </cell>
          <cell r="W105">
            <v>27221.250000000004</v>
          </cell>
          <cell r="Y105">
            <v>700</v>
          </cell>
          <cell r="Z105">
            <v>25347</v>
          </cell>
          <cell r="AB105">
            <v>700</v>
          </cell>
          <cell r="AC105">
            <v>27012.999999999996</v>
          </cell>
          <cell r="AE105">
            <v>700</v>
          </cell>
          <cell r="AF105">
            <v>26685.75</v>
          </cell>
          <cell r="AH105">
            <v>700</v>
          </cell>
          <cell r="AI105">
            <v>26358.5</v>
          </cell>
          <cell r="AK105">
            <v>700</v>
          </cell>
          <cell r="AL105">
            <v>25674.250000000007</v>
          </cell>
          <cell r="AN105">
            <v>700</v>
          </cell>
          <cell r="AO105">
            <v>18445</v>
          </cell>
        </row>
        <row r="106">
          <cell r="A106" t="str">
            <v>Véhicules usagésRev. Protections</v>
          </cell>
          <cell r="B106" t="str">
            <v>Rev. Protections</v>
          </cell>
          <cell r="D106">
            <v>1450</v>
          </cell>
          <cell r="E106">
            <v>616188.375</v>
          </cell>
          <cell r="G106">
            <v>1449.9999999999998</v>
          </cell>
          <cell r="H106">
            <v>35249.5</v>
          </cell>
          <cell r="J106">
            <v>1450</v>
          </cell>
          <cell r="K106">
            <v>36420.375</v>
          </cell>
          <cell r="M106">
            <v>1450</v>
          </cell>
          <cell r="N106">
            <v>54784.625000000007</v>
          </cell>
          <cell r="P106">
            <v>1450</v>
          </cell>
          <cell r="Q106">
            <v>61255.249999999993</v>
          </cell>
          <cell r="S106">
            <v>1450</v>
          </cell>
          <cell r="T106">
            <v>62364.499999999985</v>
          </cell>
          <cell r="V106">
            <v>1450</v>
          </cell>
          <cell r="W106">
            <v>56386.875000000007</v>
          </cell>
          <cell r="Y106">
            <v>1450</v>
          </cell>
          <cell r="Z106">
            <v>52504.5</v>
          </cell>
          <cell r="AB106">
            <v>1450</v>
          </cell>
          <cell r="AC106">
            <v>55955.499999999993</v>
          </cell>
          <cell r="AE106">
            <v>1450</v>
          </cell>
          <cell r="AF106">
            <v>55277.625</v>
          </cell>
          <cell r="AH106">
            <v>1450</v>
          </cell>
          <cell r="AI106">
            <v>54599.75</v>
          </cell>
          <cell r="AK106">
            <v>1450</v>
          </cell>
          <cell r="AL106">
            <v>53182.375000000015</v>
          </cell>
          <cell r="AN106">
            <v>1450</v>
          </cell>
          <cell r="AO106">
            <v>38207.5</v>
          </cell>
        </row>
        <row r="107">
          <cell r="A107" t="str">
            <v>Véhicules usagésRev. Autres</v>
          </cell>
          <cell r="B107" t="str">
            <v>Rev. Autres</v>
          </cell>
          <cell r="D107">
            <v>50</v>
          </cell>
          <cell r="E107">
            <v>21247.875</v>
          </cell>
          <cell r="G107">
            <v>49.999999999999993</v>
          </cell>
          <cell r="H107">
            <v>1215.5</v>
          </cell>
          <cell r="J107">
            <v>50</v>
          </cell>
          <cell r="K107">
            <v>1255.875</v>
          </cell>
          <cell r="M107">
            <v>50</v>
          </cell>
          <cell r="N107">
            <v>1889.1250000000002</v>
          </cell>
          <cell r="P107">
            <v>50</v>
          </cell>
          <cell r="Q107">
            <v>2112.25</v>
          </cell>
          <cell r="S107">
            <v>50</v>
          </cell>
          <cell r="T107">
            <v>2150.4999999999995</v>
          </cell>
          <cell r="V107">
            <v>50</v>
          </cell>
          <cell r="W107">
            <v>1944.3750000000002</v>
          </cell>
          <cell r="Y107">
            <v>50</v>
          </cell>
          <cell r="Z107">
            <v>1810.5</v>
          </cell>
          <cell r="AB107">
            <v>50</v>
          </cell>
          <cell r="AC107">
            <v>1929.4999999999998</v>
          </cell>
          <cell r="AE107">
            <v>50</v>
          </cell>
          <cell r="AF107">
            <v>1906.125</v>
          </cell>
          <cell r="AH107">
            <v>50</v>
          </cell>
          <cell r="AI107">
            <v>1882.75</v>
          </cell>
          <cell r="AK107">
            <v>50</v>
          </cell>
          <cell r="AL107">
            <v>1833.8750000000005</v>
          </cell>
          <cell r="AN107">
            <v>50</v>
          </cell>
          <cell r="AO107">
            <v>1317.5</v>
          </cell>
        </row>
        <row r="108">
          <cell r="A108" t="str">
            <v>Véhicules usagésTotal F&amp;I</v>
          </cell>
          <cell r="B108" t="str">
            <v>Total F&amp;I</v>
          </cell>
          <cell r="C108">
            <v>424.95749999999998</v>
          </cell>
          <cell r="D108">
            <v>2200</v>
          </cell>
          <cell r="E108">
            <v>934906.5</v>
          </cell>
          <cell r="F108">
            <v>24.310000000000002</v>
          </cell>
          <cell r="G108">
            <v>2200</v>
          </cell>
          <cell r="H108">
            <v>53482</v>
          </cell>
          <cell r="I108">
            <v>25.1175</v>
          </cell>
          <cell r="J108">
            <v>2200</v>
          </cell>
          <cell r="K108">
            <v>55258.5</v>
          </cell>
          <cell r="L108">
            <v>37.782500000000006</v>
          </cell>
          <cell r="M108">
            <v>2200</v>
          </cell>
          <cell r="N108">
            <v>83121.500000000015</v>
          </cell>
          <cell r="O108">
            <v>42.244999999999997</v>
          </cell>
          <cell r="P108">
            <v>2200</v>
          </cell>
          <cell r="Q108">
            <v>92939</v>
          </cell>
          <cell r="R108">
            <v>43.009999999999991</v>
          </cell>
          <cell r="S108">
            <v>2200</v>
          </cell>
          <cell r="T108">
            <v>94621.999999999971</v>
          </cell>
          <cell r="U108">
            <v>38.887500000000003</v>
          </cell>
          <cell r="V108">
            <v>2200</v>
          </cell>
          <cell r="W108">
            <v>85552.500000000015</v>
          </cell>
          <cell r="X108">
            <v>36.21</v>
          </cell>
          <cell r="Y108">
            <v>2200</v>
          </cell>
          <cell r="Z108">
            <v>79662</v>
          </cell>
          <cell r="AA108">
            <v>38.589999999999996</v>
          </cell>
          <cell r="AB108">
            <v>2200</v>
          </cell>
          <cell r="AC108">
            <v>84897.999999999985</v>
          </cell>
          <cell r="AD108">
            <v>38.122500000000002</v>
          </cell>
          <cell r="AE108">
            <v>2200</v>
          </cell>
          <cell r="AF108">
            <v>83869.5</v>
          </cell>
          <cell r="AG108">
            <v>37.655000000000001</v>
          </cell>
          <cell r="AH108">
            <v>2200</v>
          </cell>
          <cell r="AI108">
            <v>82841</v>
          </cell>
          <cell r="AJ108">
            <v>36.677500000000009</v>
          </cell>
          <cell r="AK108">
            <v>2200.0000000000005</v>
          </cell>
          <cell r="AL108">
            <v>80690.500000000029</v>
          </cell>
          <cell r="AM108">
            <v>26.35</v>
          </cell>
          <cell r="AN108">
            <v>2200</v>
          </cell>
          <cell r="AO108">
            <v>57970</v>
          </cell>
        </row>
        <row r="109">
          <cell r="A109" t="str">
            <v>Véhicules usagés</v>
          </cell>
        </row>
        <row r="110">
          <cell r="A110" t="str">
            <v>Véhicules usagés</v>
          </cell>
        </row>
        <row r="111">
          <cell r="A111" t="str">
            <v>Véhicules usagésTotal Dépt. Usagés</v>
          </cell>
          <cell r="B111" t="str">
            <v>Total Dépt. Usagés</v>
          </cell>
          <cell r="C111">
            <v>859.91399999999999</v>
          </cell>
          <cell r="D111">
            <v>2179.0697674418607</v>
          </cell>
          <cell r="E111">
            <v>1873812.6</v>
          </cell>
          <cell r="F111">
            <v>49.192000000000007</v>
          </cell>
          <cell r="G111">
            <v>2179.0697674418602</v>
          </cell>
          <cell r="H111">
            <v>107192.8</v>
          </cell>
          <cell r="I111">
            <v>50.826000000000001</v>
          </cell>
          <cell r="J111">
            <v>2179.0697674418602</v>
          </cell>
          <cell r="K111">
            <v>110753.4</v>
          </cell>
          <cell r="L111">
            <v>76.454000000000008</v>
          </cell>
          <cell r="M111">
            <v>2179.0697674418602</v>
          </cell>
          <cell r="N111">
            <v>166598.6</v>
          </cell>
          <cell r="O111">
            <v>85.484000000000009</v>
          </cell>
          <cell r="P111">
            <v>2179.0697674418602</v>
          </cell>
          <cell r="Q111">
            <v>186275.6</v>
          </cell>
          <cell r="R111">
            <v>87.031999999999982</v>
          </cell>
          <cell r="S111">
            <v>2179.0697674418602</v>
          </cell>
          <cell r="T111">
            <v>189648.79999999996</v>
          </cell>
          <cell r="U111">
            <v>78.69</v>
          </cell>
          <cell r="V111">
            <v>2179.0697674418607</v>
          </cell>
          <cell r="W111">
            <v>171471</v>
          </cell>
          <cell r="X111">
            <v>73.271999999999991</v>
          </cell>
          <cell r="Y111">
            <v>2179.0697674418607</v>
          </cell>
          <cell r="Z111">
            <v>159664.79999999999</v>
          </cell>
          <cell r="AA111">
            <v>78.087999999999994</v>
          </cell>
          <cell r="AB111">
            <v>2179.0697674418607</v>
          </cell>
          <cell r="AC111">
            <v>170159.2</v>
          </cell>
          <cell r="AD111">
            <v>77.141999999999996</v>
          </cell>
          <cell r="AE111">
            <v>2179.0697674418602</v>
          </cell>
          <cell r="AF111">
            <v>168097.8</v>
          </cell>
          <cell r="AG111">
            <v>76.195999999999998</v>
          </cell>
          <cell r="AH111">
            <v>2179.0697674418602</v>
          </cell>
          <cell r="AI111">
            <v>166036.4</v>
          </cell>
          <cell r="AJ111">
            <v>74.218000000000018</v>
          </cell>
          <cell r="AK111">
            <v>2179.0697674418607</v>
          </cell>
          <cell r="AL111">
            <v>161726.20000000004</v>
          </cell>
          <cell r="AM111">
            <v>53.32</v>
          </cell>
          <cell r="AN111">
            <v>2179.0697674418607</v>
          </cell>
          <cell r="AO111">
            <v>116188</v>
          </cell>
        </row>
        <row r="112">
          <cell r="A112" t="str">
            <v>Véhicules usagés</v>
          </cell>
        </row>
        <row r="113">
          <cell r="A113" t="str">
            <v>Véhicules usagés</v>
          </cell>
        </row>
        <row r="114">
          <cell r="A114" t="str">
            <v>Véhicules usagésDEPENSES</v>
          </cell>
          <cell r="B114" t="str">
            <v>DEPENSES</v>
          </cell>
        </row>
        <row r="115">
          <cell r="A115" t="str">
            <v>Véhicules usagésComm. vendeurs</v>
          </cell>
          <cell r="B115" t="str">
            <v>Comm. vendeurs</v>
          </cell>
          <cell r="C115">
            <v>0.33000000000000007</v>
          </cell>
          <cell r="D115">
            <v>612.742718446602</v>
          </cell>
          <cell r="E115">
            <v>252424.75500000003</v>
          </cell>
          <cell r="F115">
            <v>0.33</v>
          </cell>
          <cell r="G115">
            <v>612.742718446602</v>
          </cell>
          <cell r="H115">
            <v>14440.140000000003</v>
          </cell>
          <cell r="I115">
            <v>0.33</v>
          </cell>
          <cell r="J115">
            <v>612.742718446602</v>
          </cell>
          <cell r="K115">
            <v>14919.795</v>
          </cell>
          <cell r="L115">
            <v>0.33</v>
          </cell>
          <cell r="M115">
            <v>612.74271844660188</v>
          </cell>
          <cell r="N115">
            <v>22442.805</v>
          </cell>
          <cell r="O115">
            <v>0.33</v>
          </cell>
          <cell r="P115">
            <v>612.74271844660211</v>
          </cell>
          <cell r="Q115">
            <v>25093.530000000006</v>
          </cell>
          <cell r="R115">
            <v>0.33</v>
          </cell>
          <cell r="S115">
            <v>612.74271844660211</v>
          </cell>
          <cell r="T115">
            <v>25547.940000000002</v>
          </cell>
          <cell r="U115">
            <v>0.33</v>
          </cell>
          <cell r="V115">
            <v>612.74271844660188</v>
          </cell>
          <cell r="W115">
            <v>23099.174999999999</v>
          </cell>
          <cell r="X115">
            <v>0.33</v>
          </cell>
          <cell r="Y115">
            <v>612.74271844660188</v>
          </cell>
          <cell r="Z115">
            <v>21508.74</v>
          </cell>
          <cell r="AA115">
            <v>0.33</v>
          </cell>
          <cell r="AB115">
            <v>612.74271844660211</v>
          </cell>
          <cell r="AC115">
            <v>22922.460000000003</v>
          </cell>
          <cell r="AD115">
            <v>0.33</v>
          </cell>
          <cell r="AE115">
            <v>612.74271844660188</v>
          </cell>
          <cell r="AF115">
            <v>22644.764999999999</v>
          </cell>
          <cell r="AG115">
            <v>0.33</v>
          </cell>
          <cell r="AH115">
            <v>612.74271844660188</v>
          </cell>
          <cell r="AI115">
            <v>22367.07</v>
          </cell>
          <cell r="AJ115">
            <v>0.33</v>
          </cell>
          <cell r="AK115">
            <v>612.74271844660188</v>
          </cell>
          <cell r="AL115">
            <v>21786.435000000001</v>
          </cell>
          <cell r="AM115">
            <v>0.33</v>
          </cell>
          <cell r="AN115">
            <v>612.742718446602</v>
          </cell>
          <cell r="AO115">
            <v>15651.900000000001</v>
          </cell>
        </row>
        <row r="116">
          <cell r="A116" t="str">
            <v>Véhicules usagésComm. F&amp;I</v>
          </cell>
          <cell r="B116" t="str">
            <v>Comm. F&amp;I</v>
          </cell>
          <cell r="C116">
            <v>0.3</v>
          </cell>
          <cell r="D116">
            <v>680.82524271844659</v>
          </cell>
          <cell r="E116">
            <v>280471.95</v>
          </cell>
          <cell r="F116">
            <v>0.3</v>
          </cell>
          <cell r="G116">
            <v>680.82524271844648</v>
          </cell>
          <cell r="H116">
            <v>16044.599999999999</v>
          </cell>
          <cell r="I116">
            <v>0.3</v>
          </cell>
          <cell r="J116">
            <v>680.82524271844659</v>
          </cell>
          <cell r="K116">
            <v>16577.55</v>
          </cell>
          <cell r="L116">
            <v>0.3</v>
          </cell>
          <cell r="M116">
            <v>680.8252427184467</v>
          </cell>
          <cell r="N116">
            <v>24936.450000000004</v>
          </cell>
          <cell r="O116">
            <v>0.3</v>
          </cell>
          <cell r="P116">
            <v>680.8252427184467</v>
          </cell>
          <cell r="Q116">
            <v>27881.7</v>
          </cell>
          <cell r="R116">
            <v>0.3</v>
          </cell>
          <cell r="S116">
            <v>680.82524271844648</v>
          </cell>
          <cell r="T116">
            <v>28386.599999999991</v>
          </cell>
          <cell r="U116">
            <v>0.3</v>
          </cell>
          <cell r="V116">
            <v>680.8252427184467</v>
          </cell>
          <cell r="W116">
            <v>25665.750000000004</v>
          </cell>
          <cell r="X116">
            <v>0.3</v>
          </cell>
          <cell r="Y116">
            <v>680.82524271844648</v>
          </cell>
          <cell r="Z116">
            <v>23898.6</v>
          </cell>
          <cell r="AA116">
            <v>0.3</v>
          </cell>
          <cell r="AB116">
            <v>680.82524271844648</v>
          </cell>
          <cell r="AC116">
            <v>25469.399999999994</v>
          </cell>
          <cell r="AD116">
            <v>0.3</v>
          </cell>
          <cell r="AE116">
            <v>680.82524271844648</v>
          </cell>
          <cell r="AF116">
            <v>25160.85</v>
          </cell>
          <cell r="AG116">
            <v>0.3</v>
          </cell>
          <cell r="AH116">
            <v>680.82524271844659</v>
          </cell>
          <cell r="AI116">
            <v>24852.3</v>
          </cell>
          <cell r="AJ116">
            <v>0.3</v>
          </cell>
          <cell r="AK116">
            <v>680.8252427184467</v>
          </cell>
          <cell r="AL116">
            <v>24207.150000000009</v>
          </cell>
          <cell r="AM116">
            <v>0.3</v>
          </cell>
          <cell r="AN116">
            <v>680.82524271844659</v>
          </cell>
          <cell r="AO116">
            <v>17391</v>
          </cell>
        </row>
        <row r="117">
          <cell r="A117" t="str">
            <v>Véhicules usagésFrais de livraison</v>
          </cell>
          <cell r="B117" t="str">
            <v>Frais de livraison</v>
          </cell>
          <cell r="D117">
            <v>10.315533980582526</v>
          </cell>
          <cell r="E117">
            <v>4249.5750000000007</v>
          </cell>
          <cell r="G117">
            <v>10.315533980582524</v>
          </cell>
          <cell r="H117">
            <v>243.10000000000002</v>
          </cell>
          <cell r="J117">
            <v>10.315533980582526</v>
          </cell>
          <cell r="K117">
            <v>251.17500000000001</v>
          </cell>
          <cell r="M117">
            <v>10.315533980582524</v>
          </cell>
          <cell r="N117">
            <v>377.82500000000005</v>
          </cell>
          <cell r="P117">
            <v>10.315533980582526</v>
          </cell>
          <cell r="Q117">
            <v>422.45</v>
          </cell>
          <cell r="S117">
            <v>10.315533980582524</v>
          </cell>
          <cell r="T117">
            <v>430.09999999999991</v>
          </cell>
          <cell r="V117">
            <v>10.315533980582524</v>
          </cell>
          <cell r="W117">
            <v>388.875</v>
          </cell>
          <cell r="Y117">
            <v>10.315533980582524</v>
          </cell>
          <cell r="Z117">
            <v>362.1</v>
          </cell>
          <cell r="AB117">
            <v>10.315533980582524</v>
          </cell>
          <cell r="AC117">
            <v>385.9</v>
          </cell>
          <cell r="AE117">
            <v>10.315533980582524</v>
          </cell>
          <cell r="AF117">
            <v>381.22500000000002</v>
          </cell>
          <cell r="AH117">
            <v>10.315533980582524</v>
          </cell>
          <cell r="AI117">
            <v>376.55</v>
          </cell>
          <cell r="AK117">
            <v>10.315533980582526</v>
          </cell>
          <cell r="AL117">
            <v>366.77500000000009</v>
          </cell>
          <cell r="AN117">
            <v>10.315533980582524</v>
          </cell>
          <cell r="AO117">
            <v>263.5</v>
          </cell>
        </row>
        <row r="118">
          <cell r="A118" t="str">
            <v>Véhicules usagésService gratuit 1</v>
          </cell>
          <cell r="B118" t="str">
            <v>Service gratuit 1</v>
          </cell>
          <cell r="D118">
            <v>7.2208737864077674</v>
          </cell>
          <cell r="E118">
            <v>2974.7025000000003</v>
          </cell>
          <cell r="G118">
            <v>7.2208737864077674</v>
          </cell>
          <cell r="H118">
            <v>170.17000000000002</v>
          </cell>
          <cell r="J118">
            <v>7.2208737864077666</v>
          </cell>
          <cell r="K118">
            <v>175.82249999999999</v>
          </cell>
          <cell r="M118">
            <v>7.2208737864077666</v>
          </cell>
          <cell r="N118">
            <v>264.47750000000002</v>
          </cell>
          <cell r="P118">
            <v>7.2208737864077674</v>
          </cell>
          <cell r="Q118">
            <v>295.71499999999997</v>
          </cell>
          <cell r="S118">
            <v>7.2208737864077666</v>
          </cell>
          <cell r="T118">
            <v>301.06999999999994</v>
          </cell>
          <cell r="V118">
            <v>7.2208737864077674</v>
          </cell>
          <cell r="W118">
            <v>272.21250000000003</v>
          </cell>
          <cell r="Y118">
            <v>7.2208737864077666</v>
          </cell>
          <cell r="Z118">
            <v>253.47</v>
          </cell>
          <cell r="AB118">
            <v>7.2208737864077674</v>
          </cell>
          <cell r="AC118">
            <v>270.13</v>
          </cell>
          <cell r="AE118">
            <v>7.2208737864077666</v>
          </cell>
          <cell r="AF118">
            <v>266.85750000000002</v>
          </cell>
          <cell r="AH118">
            <v>7.2208737864077683</v>
          </cell>
          <cell r="AI118">
            <v>263.58500000000004</v>
          </cell>
          <cell r="AK118">
            <v>7.2208737864077674</v>
          </cell>
          <cell r="AL118">
            <v>256.74250000000006</v>
          </cell>
          <cell r="AN118">
            <v>7.2208737864077674</v>
          </cell>
          <cell r="AO118">
            <v>184.45000000000002</v>
          </cell>
        </row>
        <row r="119">
          <cell r="A119" t="str">
            <v>Véhicules usagésEntretien stock</v>
          </cell>
          <cell r="B119" t="str">
            <v>Entretien stock</v>
          </cell>
          <cell r="D119">
            <v>167.11165048543691</v>
          </cell>
          <cell r="E119">
            <v>68843.115000000005</v>
          </cell>
          <cell r="G119">
            <v>167.11165048543688</v>
          </cell>
          <cell r="H119">
            <v>3938.2200000000003</v>
          </cell>
          <cell r="J119">
            <v>167.11165048543688</v>
          </cell>
          <cell r="K119">
            <v>4069.0349999999999</v>
          </cell>
          <cell r="M119">
            <v>167.11165048543691</v>
          </cell>
          <cell r="N119">
            <v>6120.7650000000012</v>
          </cell>
          <cell r="P119">
            <v>167.11165048543691</v>
          </cell>
          <cell r="Q119">
            <v>6843.69</v>
          </cell>
          <cell r="S119">
            <v>167.11165048543688</v>
          </cell>
          <cell r="T119">
            <v>6967.619999999999</v>
          </cell>
          <cell r="V119">
            <v>167.11165048543691</v>
          </cell>
          <cell r="W119">
            <v>6299.7750000000005</v>
          </cell>
          <cell r="Y119">
            <v>167.11165048543688</v>
          </cell>
          <cell r="Z119">
            <v>5866.02</v>
          </cell>
          <cell r="AB119">
            <v>167.11165048543688</v>
          </cell>
          <cell r="AC119">
            <v>6251.579999999999</v>
          </cell>
          <cell r="AE119">
            <v>167.11165048543688</v>
          </cell>
          <cell r="AF119">
            <v>6175.8450000000003</v>
          </cell>
          <cell r="AH119">
            <v>167.11165048543691</v>
          </cell>
          <cell r="AI119">
            <v>6100.1100000000006</v>
          </cell>
          <cell r="AK119">
            <v>167.11165048543688</v>
          </cell>
          <cell r="AL119">
            <v>5941.755000000001</v>
          </cell>
          <cell r="AN119">
            <v>167.11165048543688</v>
          </cell>
          <cell r="AO119">
            <v>4268.7</v>
          </cell>
        </row>
        <row r="120">
          <cell r="A120" t="str">
            <v>Véhicules usagésPublicité 1</v>
          </cell>
          <cell r="B120" t="str">
            <v>Publicité 1</v>
          </cell>
          <cell r="D120">
            <v>338.20918499616954</v>
          </cell>
          <cell r="E120">
            <v>139328.25</v>
          </cell>
          <cell r="G120">
            <v>539.79394392015752</v>
          </cell>
          <cell r="H120">
            <v>12721</v>
          </cell>
          <cell r="J120">
            <v>519.12383158378918</v>
          </cell>
          <cell r="K120">
            <v>12640.25</v>
          </cell>
          <cell r="M120">
            <v>310.5308135026811</v>
          </cell>
          <cell r="N120">
            <v>11373.75</v>
          </cell>
          <cell r="P120">
            <v>266.83157195600791</v>
          </cell>
          <cell r="Q120">
            <v>10927.5</v>
          </cell>
          <cell r="S120">
            <v>260.25077708277377</v>
          </cell>
          <cell r="T120">
            <v>10851</v>
          </cell>
          <cell r="V120">
            <v>298.77579712451586</v>
          </cell>
          <cell r="W120">
            <v>11263.25</v>
          </cell>
          <cell r="Y120">
            <v>328.4960572496467</v>
          </cell>
          <cell r="Z120">
            <v>11531</v>
          </cell>
          <cell r="AB120">
            <v>301.87438518455156</v>
          </cell>
          <cell r="AC120">
            <v>11293</v>
          </cell>
          <cell r="AE120">
            <v>306.84130488900433</v>
          </cell>
          <cell r="AF120">
            <v>11339.75</v>
          </cell>
          <cell r="AH120">
            <v>311.93155668544131</v>
          </cell>
          <cell r="AI120">
            <v>11386.5</v>
          </cell>
          <cell r="AK120">
            <v>322.99412750734058</v>
          </cell>
          <cell r="AL120">
            <v>11484.25</v>
          </cell>
          <cell r="AN120">
            <v>490.01722518008143</v>
          </cell>
          <cell r="AO120">
            <v>12517</v>
          </cell>
        </row>
        <row r="121">
          <cell r="A121" t="str">
            <v>Véhicules usagésIntérêt de gros</v>
          </cell>
          <cell r="B121" t="str">
            <v>Intérêt de gros</v>
          </cell>
          <cell r="D121">
            <v>222.85584559114088</v>
          </cell>
          <cell r="E121">
            <v>91807.42672271168</v>
          </cell>
          <cell r="G121">
            <v>266.23544990963137</v>
          </cell>
          <cell r="H121">
            <v>6274.2111067503365</v>
          </cell>
          <cell r="J121">
            <v>327.21310523207296</v>
          </cell>
          <cell r="K121">
            <v>7967.377341916791</v>
          </cell>
          <cell r="M121">
            <v>233.81684341378229</v>
          </cell>
          <cell r="N121">
            <v>8563.9627603479221</v>
          </cell>
          <cell r="P121">
            <v>211.61518983719517</v>
          </cell>
          <cell r="Q121">
            <v>8666.2345463646852</v>
          </cell>
          <cell r="S121">
            <v>194.63293044274809</v>
          </cell>
          <cell r="T121">
            <v>8115.1032550521149</v>
          </cell>
          <cell r="V121">
            <v>205.77091633490997</v>
          </cell>
          <cell r="W121">
            <v>7757.1520039934358</v>
          </cell>
          <cell r="Y121">
            <v>230.05067727059608</v>
          </cell>
          <cell r="Z121">
            <v>8075.3308938233722</v>
          </cell>
          <cell r="AB121">
            <v>214.19185099641138</v>
          </cell>
          <cell r="AC121">
            <v>8012.8314690353509</v>
          </cell>
          <cell r="AE121">
            <v>215.12734044028448</v>
          </cell>
          <cell r="AF121">
            <v>7950.3320442473296</v>
          </cell>
          <cell r="AH121">
            <v>214.21824466845268</v>
          </cell>
          <cell r="AI121">
            <v>7819.6514287814616</v>
          </cell>
          <cell r="AK121">
            <v>181.09615131104871</v>
          </cell>
          <cell r="AL121">
            <v>6438.9823175551246</v>
          </cell>
          <cell r="AN121">
            <v>241.39749275147776</v>
          </cell>
          <cell r="AO121">
            <v>6166.257554843748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usagés[...]</v>
          </cell>
          <cell r="B124" t="str">
            <v>[...]</v>
          </cell>
          <cell r="D124">
            <v>0</v>
          </cell>
          <cell r="E124">
            <v>0</v>
          </cell>
          <cell r="G124">
            <v>0</v>
          </cell>
          <cell r="J124">
            <v>0</v>
          </cell>
          <cell r="M124">
            <v>0</v>
          </cell>
          <cell r="P124">
            <v>0</v>
          </cell>
          <cell r="S124">
            <v>0</v>
          </cell>
          <cell r="V124">
            <v>0</v>
          </cell>
          <cell r="Y124">
            <v>0</v>
          </cell>
          <cell r="AB124">
            <v>0</v>
          </cell>
          <cell r="AE124">
            <v>0</v>
          </cell>
          <cell r="AH124">
            <v>0</v>
          </cell>
          <cell r="AK124">
            <v>0</v>
          </cell>
          <cell r="AN124">
            <v>0</v>
          </cell>
        </row>
        <row r="125">
          <cell r="A125" t="str">
            <v>Véhicules usagésTOTAL VARIABLES</v>
          </cell>
          <cell r="B125" t="str">
            <v>TOTAL VARIABLES</v>
          </cell>
          <cell r="C125" t="str">
            <v>% brut</v>
          </cell>
          <cell r="D125">
            <v>0.44833713586017709</v>
          </cell>
          <cell r="E125">
            <v>840099.77422271168</v>
          </cell>
          <cell r="F125" t="str">
            <v>% brut</v>
          </cell>
          <cell r="G125">
            <v>0.50219269490814988</v>
          </cell>
          <cell r="H125">
            <v>53831.441106750332</v>
          </cell>
          <cell r="I125" t="str">
            <v>% brut</v>
          </cell>
          <cell r="J125">
            <v>0.51105433189334859</v>
          </cell>
          <cell r="K125">
            <v>56601.004841916794</v>
          </cell>
          <cell r="L125" t="str">
            <v>% brut</v>
          </cell>
          <cell r="M125">
            <v>0.44466181144588202</v>
          </cell>
          <cell r="N125">
            <v>74080.035260347926</v>
          </cell>
          <cell r="O125" t="str">
            <v>% brut</v>
          </cell>
          <cell r="P125">
            <v>0.4301734609705441</v>
          </cell>
          <cell r="Q125">
            <v>80130.819546364684</v>
          </cell>
          <cell r="R125" t="str">
            <v>% brut</v>
          </cell>
          <cell r="S125">
            <v>0.42499310965875936</v>
          </cell>
          <cell r="T125">
            <v>80599.433255052107</v>
          </cell>
          <cell r="U125" t="str">
            <v>% brut</v>
          </cell>
          <cell r="V125">
            <v>0.43591155066450565</v>
          </cell>
          <cell r="W125">
            <v>74746.189503993446</v>
          </cell>
          <cell r="X125" t="str">
            <v>% brut</v>
          </cell>
          <cell r="Y125">
            <v>0.44778348699164355</v>
          </cell>
          <cell r="Z125">
            <v>71495.260893823361</v>
          </cell>
          <cell r="AA125" t="str">
            <v>% brut</v>
          </cell>
          <cell r="AB125">
            <v>0.43844412449656178</v>
          </cell>
          <cell r="AC125">
            <v>74605.301469035359</v>
          </cell>
          <cell r="AD125" t="str">
            <v>% brut</v>
          </cell>
          <cell r="AE125">
            <v>0.4397417726124157</v>
          </cell>
          <cell r="AF125">
            <v>73919.62454424733</v>
          </cell>
          <cell r="AG125" t="str">
            <v>% brut</v>
          </cell>
          <cell r="AH125">
            <v>0.44066100221867888</v>
          </cell>
          <cell r="AI125">
            <v>73165.766428781455</v>
          </cell>
          <cell r="AJ125" t="str">
            <v>% brut</v>
          </cell>
          <cell r="AK125">
            <v>0.43581120324075584</v>
          </cell>
          <cell r="AL125">
            <v>70482.089817555141</v>
          </cell>
          <cell r="AM125" t="str">
            <v>% brut</v>
          </cell>
          <cell r="AN125">
            <v>0.48578861461462236</v>
          </cell>
          <cell r="AO125">
            <v>56442.807554843741</v>
          </cell>
        </row>
        <row r="126">
          <cell r="A126" t="str">
            <v>Véhicules usagésSalaires cadres</v>
          </cell>
          <cell r="B126" t="str">
            <v>Salaires cadres</v>
          </cell>
          <cell r="E126">
            <v>157964.1</v>
          </cell>
          <cell r="H126">
            <v>12590.7</v>
          </cell>
          <cell r="K126">
            <v>12590.7</v>
          </cell>
          <cell r="N126">
            <v>14309.625</v>
          </cell>
          <cell r="Q126">
            <v>12590.7</v>
          </cell>
          <cell r="T126">
            <v>14309.625</v>
          </cell>
          <cell r="W126">
            <v>12590.7</v>
          </cell>
          <cell r="Z126">
            <v>12590.7</v>
          </cell>
          <cell r="AC126">
            <v>14309.625</v>
          </cell>
          <cell r="AF126">
            <v>12590.7</v>
          </cell>
          <cell r="AI126">
            <v>12590.7</v>
          </cell>
          <cell r="AL126">
            <v>14309.625</v>
          </cell>
          <cell r="AO126">
            <v>12590.7</v>
          </cell>
        </row>
        <row r="127">
          <cell r="A127" t="str">
            <v>Véhicules usagésSalaires commis</v>
          </cell>
          <cell r="B127" t="str">
            <v>Salaires commis</v>
          </cell>
          <cell r="E127">
            <v>54315.031999999999</v>
          </cell>
          <cell r="H127">
            <v>4255.0024615384618</v>
          </cell>
          <cell r="K127">
            <v>4255.0024615384618</v>
          </cell>
          <cell r="N127">
            <v>5068.7530769230771</v>
          </cell>
          <cell r="Q127">
            <v>4255.0024615384618</v>
          </cell>
          <cell r="T127">
            <v>5068.7530769230771</v>
          </cell>
          <cell r="W127">
            <v>4255.0024615384618</v>
          </cell>
          <cell r="Z127">
            <v>4255.0024615384618</v>
          </cell>
          <cell r="AC127">
            <v>5068.7530769230771</v>
          </cell>
          <cell r="AF127">
            <v>4255.0024615384618</v>
          </cell>
          <cell r="AI127">
            <v>4255.0024615384618</v>
          </cell>
          <cell r="AL127">
            <v>5068.7530769230771</v>
          </cell>
          <cell r="AO127">
            <v>4255.0024615384618</v>
          </cell>
        </row>
        <row r="128">
          <cell r="A128" t="str">
            <v>Véhicules usagésSalaires autres</v>
          </cell>
          <cell r="B128" t="str">
            <v>Salaires autres</v>
          </cell>
          <cell r="E128">
            <v>74018</v>
          </cell>
          <cell r="H128">
            <v>5693.6923076923076</v>
          </cell>
          <cell r="K128">
            <v>5693.6923076923076</v>
          </cell>
          <cell r="N128">
            <v>7117.1153846153848</v>
          </cell>
          <cell r="Q128">
            <v>5693.6923076923076</v>
          </cell>
          <cell r="T128">
            <v>7117.1153846153848</v>
          </cell>
          <cell r="W128">
            <v>5693.6923076923076</v>
          </cell>
          <cell r="Z128">
            <v>5693.6923076923076</v>
          </cell>
          <cell r="AC128">
            <v>7117.1153846153848</v>
          </cell>
          <cell r="AF128">
            <v>5693.6923076923076</v>
          </cell>
          <cell r="AI128">
            <v>5693.6923076923076</v>
          </cell>
          <cell r="AL128">
            <v>7117.1153846153848</v>
          </cell>
          <cell r="AO128">
            <v>5693.6923076923076</v>
          </cell>
        </row>
        <row r="129">
          <cell r="A129" t="str">
            <v>Véhicules usagésSalaires spécialistes</v>
          </cell>
          <cell r="B129" t="str">
            <v>Salaires spécialistes</v>
          </cell>
          <cell r="E129">
            <v>0</v>
          </cell>
          <cell r="H129">
            <v>0</v>
          </cell>
          <cell r="K129">
            <v>0</v>
          </cell>
          <cell r="N129">
            <v>0</v>
          </cell>
          <cell r="Q129">
            <v>0</v>
          </cell>
          <cell r="T129">
            <v>0</v>
          </cell>
          <cell r="W129">
            <v>0</v>
          </cell>
          <cell r="Z129">
            <v>0</v>
          </cell>
          <cell r="AC129">
            <v>0</v>
          </cell>
          <cell r="AF129">
            <v>0</v>
          </cell>
          <cell r="AI129">
            <v>0</v>
          </cell>
          <cell r="AL129">
            <v>0</v>
          </cell>
          <cell r="AO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  <cell r="H130">
            <v>0</v>
          </cell>
          <cell r="K130">
            <v>0</v>
          </cell>
          <cell r="N130">
            <v>0</v>
          </cell>
          <cell r="Q130">
            <v>0</v>
          </cell>
          <cell r="T130">
            <v>0</v>
          </cell>
          <cell r="W130">
            <v>0</v>
          </cell>
          <cell r="Z130">
            <v>0</v>
          </cell>
          <cell r="AC130">
            <v>0</v>
          </cell>
          <cell r="AF130">
            <v>0</v>
          </cell>
          <cell r="AI130">
            <v>0</v>
          </cell>
          <cell r="AL130">
            <v>0</v>
          </cell>
          <cell r="AO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  <cell r="H131">
            <v>0</v>
          </cell>
          <cell r="K131">
            <v>0</v>
          </cell>
          <cell r="N131">
            <v>0</v>
          </cell>
          <cell r="Q131">
            <v>0</v>
          </cell>
          <cell r="T131">
            <v>0</v>
          </cell>
          <cell r="W131">
            <v>0</v>
          </cell>
          <cell r="Z131">
            <v>0</v>
          </cell>
          <cell r="AC131">
            <v>0</v>
          </cell>
          <cell r="AF131">
            <v>0</v>
          </cell>
          <cell r="AI131">
            <v>0</v>
          </cell>
          <cell r="AL131">
            <v>0</v>
          </cell>
          <cell r="AO131">
            <v>0</v>
          </cell>
        </row>
        <row r="132">
          <cell r="A132" t="str">
            <v>Véhicules usagés[...]</v>
          </cell>
          <cell r="B132" t="str">
            <v>[...]</v>
          </cell>
          <cell r="E132">
            <v>0</v>
          </cell>
          <cell r="H132">
            <v>0</v>
          </cell>
          <cell r="K132">
            <v>0</v>
          </cell>
          <cell r="N132">
            <v>0</v>
          </cell>
          <cell r="Q132">
            <v>0</v>
          </cell>
          <cell r="T132">
            <v>0</v>
          </cell>
          <cell r="W132">
            <v>0</v>
          </cell>
          <cell r="Z132">
            <v>0</v>
          </cell>
          <cell r="AC132">
            <v>0</v>
          </cell>
          <cell r="AF132">
            <v>0</v>
          </cell>
          <cell r="AI132">
            <v>0</v>
          </cell>
          <cell r="AL132">
            <v>0</v>
          </cell>
          <cell r="AO132">
            <v>0</v>
          </cell>
        </row>
        <row r="133">
          <cell r="A133" t="str">
            <v>Véhicules usagésSalaires en absences</v>
          </cell>
          <cell r="B133" t="str">
            <v>Salaires en absences</v>
          </cell>
          <cell r="E133">
            <v>98834.838881999996</v>
          </cell>
          <cell r="H133">
            <v>7350.1950896410262</v>
          </cell>
          <cell r="K133">
            <v>7335.4400896410261</v>
          </cell>
          <cell r="N133">
            <v>8450.1915412179496</v>
          </cell>
          <cell r="Q133">
            <v>9665.1978396410268</v>
          </cell>
          <cell r="T133">
            <v>9882.7885412179494</v>
          </cell>
          <cell r="W133">
            <v>8203.0908396410268</v>
          </cell>
          <cell r="Z133">
            <v>7730.4768396410263</v>
          </cell>
          <cell r="AC133">
            <v>8679.1210412179498</v>
          </cell>
          <cell r="AF133">
            <v>7959.4063396410265</v>
          </cell>
          <cell r="AI133">
            <v>8324.9330896410265</v>
          </cell>
          <cell r="AL133">
            <v>8557.2787912179483</v>
          </cell>
          <cell r="AO133">
            <v>6696.7188396410256</v>
          </cell>
        </row>
        <row r="134">
          <cell r="A134" t="str">
            <v>Véhicules usagésDéduction à la source</v>
          </cell>
          <cell r="B134" t="str">
            <v>Déduction à la source</v>
          </cell>
          <cell r="E134">
            <v>120169.231416</v>
          </cell>
          <cell r="H134">
            <v>8936.8010781538469</v>
          </cell>
          <cell r="K134">
            <v>8918.8610781538464</v>
          </cell>
          <cell r="N134">
            <v>10274.241697692309</v>
          </cell>
          <cell r="Q134">
            <v>11751.518078153847</v>
          </cell>
          <cell r="T134">
            <v>12016.077697692308</v>
          </cell>
          <cell r="W134">
            <v>9973.8020781538489</v>
          </cell>
          <cell r="Z134">
            <v>9399.1700781538475</v>
          </cell>
          <cell r="AC134">
            <v>10552.587697692308</v>
          </cell>
          <cell r="AF134">
            <v>9677.5160781538489</v>
          </cell>
          <cell r="AI134">
            <v>10121.945078153849</v>
          </cell>
          <cell r="AL134">
            <v>10404.444697692308</v>
          </cell>
          <cell r="AO134">
            <v>8142.266078153847</v>
          </cell>
        </row>
        <row r="135">
          <cell r="A135" t="str">
            <v>Véhicules usagésBénéfices marginaux</v>
          </cell>
          <cell r="B135" t="str">
            <v>Bénéfices marginaux</v>
          </cell>
          <cell r="E135">
            <v>61913.277925199996</v>
          </cell>
          <cell r="H135">
            <v>4604.3953380923076</v>
          </cell>
          <cell r="K135">
            <v>4595.1523380923072</v>
          </cell>
          <cell r="N135">
            <v>5293.4680051153846</v>
          </cell>
          <cell r="Q135">
            <v>6054.5864880923082</v>
          </cell>
          <cell r="T135">
            <v>6190.8922051153841</v>
          </cell>
          <cell r="W135">
            <v>5138.6762880923079</v>
          </cell>
          <cell r="Z135">
            <v>4842.6158880923076</v>
          </cell>
          <cell r="AC135">
            <v>5436.8767051153845</v>
          </cell>
          <cell r="AF135">
            <v>4986.0245880923076</v>
          </cell>
          <cell r="AI135">
            <v>5215.0021380923081</v>
          </cell>
          <cell r="AL135">
            <v>5360.5508551153844</v>
          </cell>
          <cell r="AO135">
            <v>4195.0370880923074</v>
          </cell>
        </row>
        <row r="136">
          <cell r="A136" t="str">
            <v>Véhicules usagésCsst</v>
          </cell>
          <cell r="B136" t="str">
            <v>Csst</v>
          </cell>
          <cell r="E136">
            <v>26994.537492000003</v>
          </cell>
          <cell r="H136">
            <v>2007.5422711794872</v>
          </cell>
          <cell r="K136">
            <v>2003.5122711794872</v>
          </cell>
          <cell r="N136">
            <v>2307.9818306410257</v>
          </cell>
          <cell r="Q136">
            <v>2639.8337711794875</v>
          </cell>
          <cell r="T136">
            <v>2699.2638306410258</v>
          </cell>
          <cell r="W136">
            <v>2240.4917711794874</v>
          </cell>
          <cell r="Z136">
            <v>2111.4077711794876</v>
          </cell>
          <cell r="AC136">
            <v>2370.5088306410257</v>
          </cell>
          <cell r="AF136">
            <v>2173.9347711794876</v>
          </cell>
          <cell r="AI136">
            <v>2273.7702711794873</v>
          </cell>
          <cell r="AL136">
            <v>2337.2303306410258</v>
          </cell>
          <cell r="AO136">
            <v>1829.0597711794871</v>
          </cell>
        </row>
        <row r="137">
          <cell r="A137" t="str">
            <v>Véhicules usagés[...]</v>
          </cell>
          <cell r="B137" t="str">
            <v>[...]</v>
          </cell>
          <cell r="E137">
            <v>0</v>
          </cell>
        </row>
        <row r="138">
          <cell r="A138" t="str">
            <v>Véhicules usagésTOTAL PERSONNEL</v>
          </cell>
          <cell r="B138" t="str">
            <v>TOTAL PERSONNEL</v>
          </cell>
          <cell r="C138" t="str">
            <v>% brut</v>
          </cell>
          <cell r="D138">
            <v>0.31711229699021126</v>
          </cell>
          <cell r="E138">
            <v>594209.01771519997</v>
          </cell>
          <cell r="F138" t="str">
            <v>% brut</v>
          </cell>
          <cell r="G138">
            <v>0.42389347555337148</v>
          </cell>
          <cell r="H138">
            <v>45438.328546297438</v>
          </cell>
          <cell r="I138" t="str">
            <v>% brut</v>
          </cell>
          <cell r="J138">
            <v>0.40985071831923398</v>
          </cell>
          <cell r="K138">
            <v>45392.360546297445</v>
          </cell>
          <cell r="L138" t="str">
            <v>% brut</v>
          </cell>
          <cell r="M138">
            <v>0.31705774560053401</v>
          </cell>
          <cell r="N138">
            <v>52821.376536205127</v>
          </cell>
          <cell r="O138" t="str">
            <v>% brut</v>
          </cell>
          <cell r="P138">
            <v>0.28264856452641918</v>
          </cell>
          <cell r="Q138">
            <v>52650.530946297447</v>
          </cell>
          <cell r="R138" t="str">
            <v>% brut</v>
          </cell>
          <cell r="S138">
            <v>0.30205577750138751</v>
          </cell>
          <cell r="T138">
            <v>57284.515736205132</v>
          </cell>
          <cell r="U138" t="str">
            <v>% brut</v>
          </cell>
          <cell r="V138">
            <v>0.28048740455410787</v>
          </cell>
          <cell r="W138">
            <v>48095.455746297434</v>
          </cell>
          <cell r="X138" t="str">
            <v>% brut</v>
          </cell>
          <cell r="Y138">
            <v>0.29200591079747978</v>
          </cell>
          <cell r="Z138">
            <v>46623.065346297444</v>
          </cell>
          <cell r="AA138" t="str">
            <v>% brut</v>
          </cell>
          <cell r="AB138">
            <v>0.31461471220013454</v>
          </cell>
          <cell r="AC138">
            <v>53534.587736205132</v>
          </cell>
          <cell r="AD138" t="str">
            <v>% brut</v>
          </cell>
          <cell r="AE138">
            <v>0.28159961966365682</v>
          </cell>
          <cell r="AF138">
            <v>47336.276546297449</v>
          </cell>
          <cell r="AG138" t="str">
            <v>% brut</v>
          </cell>
          <cell r="AH138">
            <v>0.29195432655910047</v>
          </cell>
          <cell r="AI138">
            <v>48475.045346297433</v>
          </cell>
          <cell r="AJ138" t="str">
            <v>% brut</v>
          </cell>
          <cell r="AK138">
            <v>0.32867277000390233</v>
          </cell>
          <cell r="AL138">
            <v>53154.998136205126</v>
          </cell>
          <cell r="AM138" t="str">
            <v>% brut</v>
          </cell>
          <cell r="AN138">
            <v>0.37355386568576315</v>
          </cell>
          <cell r="AO138">
            <v>43402.476546297446</v>
          </cell>
        </row>
        <row r="139">
          <cell r="A139" t="str">
            <v>Véhicules usagésPublicité 2</v>
          </cell>
          <cell r="B139" t="str">
            <v>Publicité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usagésService gratuit 2</v>
          </cell>
          <cell r="B140" t="str">
            <v>Service gratuit 2</v>
          </cell>
          <cell r="E140">
            <v>0</v>
          </cell>
          <cell r="H140">
            <v>0</v>
          </cell>
          <cell r="K140">
            <v>0</v>
          </cell>
          <cell r="N140">
            <v>0</v>
          </cell>
          <cell r="Q140">
            <v>0</v>
          </cell>
          <cell r="T140">
            <v>0</v>
          </cell>
          <cell r="W140">
            <v>0</v>
          </cell>
          <cell r="Z140">
            <v>0</v>
          </cell>
          <cell r="AC140">
            <v>0</v>
          </cell>
          <cell r="AF140">
            <v>0</v>
          </cell>
          <cell r="AI140">
            <v>0</v>
          </cell>
          <cell r="AL140">
            <v>0</v>
          </cell>
          <cell r="AO140">
            <v>0</v>
          </cell>
        </row>
        <row r="141">
          <cell r="A141" t="str">
            <v>Véhicules usagésFrais véhicules de cie</v>
          </cell>
          <cell r="B141" t="str">
            <v>Frais véhicules de cie</v>
          </cell>
          <cell r="E141">
            <v>29499.999999999996</v>
          </cell>
          <cell r="H141">
            <v>2458.3333333333335</v>
          </cell>
          <cell r="K141">
            <v>2458.3333333333335</v>
          </cell>
          <cell r="N141">
            <v>2458.3333333333335</v>
          </cell>
          <cell r="Q141">
            <v>2458.3333333333335</v>
          </cell>
          <cell r="T141">
            <v>2458.3333333333335</v>
          </cell>
          <cell r="W141">
            <v>2458.3333333333335</v>
          </cell>
          <cell r="Z141">
            <v>2458.3333333333335</v>
          </cell>
          <cell r="AC141">
            <v>2458.3333333333335</v>
          </cell>
          <cell r="AF141">
            <v>2458.3333333333335</v>
          </cell>
          <cell r="AI141">
            <v>2458.3333333333335</v>
          </cell>
          <cell r="AL141">
            <v>2458.3333333333335</v>
          </cell>
          <cell r="AO141">
            <v>2458.3333333333335</v>
          </cell>
        </row>
        <row r="142">
          <cell r="A142" t="str">
            <v>Véhicules usagésInformatique</v>
          </cell>
          <cell r="B142" t="str">
            <v>Informatique</v>
          </cell>
          <cell r="E142">
            <v>43524.498447999998</v>
          </cell>
          <cell r="H142">
            <v>3627.0415373333331</v>
          </cell>
          <cell r="K142">
            <v>3627.0415373333331</v>
          </cell>
          <cell r="N142">
            <v>3627.0415373333331</v>
          </cell>
          <cell r="Q142">
            <v>3627.0415373333331</v>
          </cell>
          <cell r="T142">
            <v>3627.0415373333331</v>
          </cell>
          <cell r="W142">
            <v>3627.0415373333331</v>
          </cell>
          <cell r="Z142">
            <v>3627.0415373333331</v>
          </cell>
          <cell r="AC142">
            <v>3627.0415373333331</v>
          </cell>
          <cell r="AF142">
            <v>3627.0415373333331</v>
          </cell>
          <cell r="AI142">
            <v>3627.0415373333331</v>
          </cell>
          <cell r="AL142">
            <v>3627.0415373333331</v>
          </cell>
          <cell r="AO142">
            <v>3627.0415373333331</v>
          </cell>
        </row>
        <row r="143">
          <cell r="A143" t="str">
            <v>Véhicules usagésFrais de déplacement</v>
          </cell>
          <cell r="B143" t="str">
            <v>Frais de déplacement</v>
          </cell>
          <cell r="E143">
            <v>6253.3109567311558</v>
          </cell>
          <cell r="H143">
            <v>521.10924639426287</v>
          </cell>
          <cell r="K143">
            <v>521.10924639426287</v>
          </cell>
          <cell r="N143">
            <v>521.10924639426287</v>
          </cell>
          <cell r="Q143">
            <v>521.10924639426287</v>
          </cell>
          <cell r="T143">
            <v>521.10924639426287</v>
          </cell>
          <cell r="W143">
            <v>521.10924639426287</v>
          </cell>
          <cell r="Z143">
            <v>521.10924639426287</v>
          </cell>
          <cell r="AC143">
            <v>521.10924639426287</v>
          </cell>
          <cell r="AF143">
            <v>521.10924639426287</v>
          </cell>
          <cell r="AI143">
            <v>521.10924639426287</v>
          </cell>
          <cell r="AL143">
            <v>521.10924639426287</v>
          </cell>
          <cell r="AO143">
            <v>521.10924639426287</v>
          </cell>
        </row>
        <row r="144">
          <cell r="A144" t="str">
            <v>Véhicules usagésServices extérieurs</v>
          </cell>
          <cell r="B144" t="str">
            <v>Services extérieurs</v>
          </cell>
          <cell r="E144">
            <v>17875.092639933337</v>
          </cell>
          <cell r="H144">
            <v>1489.5910533277777</v>
          </cell>
          <cell r="K144">
            <v>1489.5910533277777</v>
          </cell>
          <cell r="N144">
            <v>1489.5910533277777</v>
          </cell>
          <cell r="Q144">
            <v>1489.5910533277777</v>
          </cell>
          <cell r="T144">
            <v>1489.5910533277777</v>
          </cell>
          <cell r="W144">
            <v>1489.5910533277777</v>
          </cell>
          <cell r="Z144">
            <v>1489.5910533277777</v>
          </cell>
          <cell r="AC144">
            <v>1489.5910533277777</v>
          </cell>
          <cell r="AF144">
            <v>1489.5910533277777</v>
          </cell>
          <cell r="AI144">
            <v>1489.5910533277777</v>
          </cell>
          <cell r="AL144">
            <v>1489.5910533277777</v>
          </cell>
          <cell r="AO144">
            <v>1489.5910533277777</v>
          </cell>
        </row>
        <row r="145">
          <cell r="A145" t="str">
            <v>Véhicules usagésFournitures autres</v>
          </cell>
          <cell r="B145" t="str">
            <v>Fournitures autres</v>
          </cell>
          <cell r="E145">
            <v>1500</v>
          </cell>
          <cell r="H145">
            <v>125</v>
          </cell>
          <cell r="K145">
            <v>125</v>
          </cell>
          <cell r="N145">
            <v>125</v>
          </cell>
          <cell r="Q145">
            <v>125</v>
          </cell>
          <cell r="T145">
            <v>125</v>
          </cell>
          <cell r="W145">
            <v>125</v>
          </cell>
          <cell r="Z145">
            <v>125</v>
          </cell>
          <cell r="AC145">
            <v>125</v>
          </cell>
          <cell r="AF145">
            <v>125</v>
          </cell>
          <cell r="AI145">
            <v>125</v>
          </cell>
          <cell r="AL145">
            <v>125</v>
          </cell>
          <cell r="AO145">
            <v>125</v>
          </cell>
        </row>
        <row r="146">
          <cell r="A146" t="str">
            <v>Véhicules usagésUniformes</v>
          </cell>
          <cell r="B146" t="str">
            <v>Uniformes</v>
          </cell>
          <cell r="E146">
            <v>1000.0000000000001</v>
          </cell>
          <cell r="H146">
            <v>83.333333333333329</v>
          </cell>
          <cell r="K146">
            <v>83.333333333333329</v>
          </cell>
          <cell r="N146">
            <v>83.333333333333329</v>
          </cell>
          <cell r="Q146">
            <v>83.333333333333329</v>
          </cell>
          <cell r="T146">
            <v>83.333333333333329</v>
          </cell>
          <cell r="W146">
            <v>83.333333333333329</v>
          </cell>
          <cell r="Z146">
            <v>83.333333333333329</v>
          </cell>
          <cell r="AC146">
            <v>83.333333333333329</v>
          </cell>
          <cell r="AF146">
            <v>83.333333333333329</v>
          </cell>
          <cell r="AI146">
            <v>83.333333333333329</v>
          </cell>
          <cell r="AL146">
            <v>83.333333333333329</v>
          </cell>
          <cell r="AO146">
            <v>83.333333333333329</v>
          </cell>
        </row>
        <row r="147">
          <cell r="A147" t="str">
            <v>Véhicules usagésPapeterie</v>
          </cell>
          <cell r="B147" t="str">
            <v>Papeterie</v>
          </cell>
          <cell r="E147">
            <v>3681.4110838559995</v>
          </cell>
          <cell r="H147">
            <v>306.78425698799998</v>
          </cell>
          <cell r="K147">
            <v>306.78425698799998</v>
          </cell>
          <cell r="N147">
            <v>306.78425698799998</v>
          </cell>
          <cell r="Q147">
            <v>306.78425698799998</v>
          </cell>
          <cell r="T147">
            <v>306.78425698799998</v>
          </cell>
          <cell r="W147">
            <v>306.78425698799998</v>
          </cell>
          <cell r="Z147">
            <v>306.78425698799998</v>
          </cell>
          <cell r="AC147">
            <v>306.78425698799998</v>
          </cell>
          <cell r="AF147">
            <v>306.78425698799998</v>
          </cell>
          <cell r="AI147">
            <v>306.78425698799998</v>
          </cell>
          <cell r="AL147">
            <v>306.78425698799998</v>
          </cell>
          <cell r="AO147">
            <v>306.78425698799998</v>
          </cell>
        </row>
        <row r="148">
          <cell r="A148" t="str">
            <v>Véhicules usagésTéléphone</v>
          </cell>
          <cell r="B148" t="str">
            <v>Téléphone</v>
          </cell>
          <cell r="E148">
            <v>1013.8395827379996</v>
          </cell>
          <cell r="H148">
            <v>84.486631894833309</v>
          </cell>
          <cell r="K148">
            <v>84.486631894833309</v>
          </cell>
          <cell r="N148">
            <v>84.486631894833309</v>
          </cell>
          <cell r="Q148">
            <v>84.486631894833309</v>
          </cell>
          <cell r="T148">
            <v>84.486631894833309</v>
          </cell>
          <cell r="W148">
            <v>84.486631894833309</v>
          </cell>
          <cell r="Z148">
            <v>84.486631894833309</v>
          </cell>
          <cell r="AC148">
            <v>84.486631894833309</v>
          </cell>
          <cell r="AF148">
            <v>84.486631894833309</v>
          </cell>
          <cell r="AI148">
            <v>84.486631894833309</v>
          </cell>
          <cell r="AL148">
            <v>84.486631894833309</v>
          </cell>
          <cell r="AO148">
            <v>84.486631894833309</v>
          </cell>
        </row>
        <row r="149">
          <cell r="A149" t="str">
            <v>Véhicules usagésFrais postaux</v>
          </cell>
          <cell r="B149" t="str">
            <v>Frais postaux</v>
          </cell>
          <cell r="E149">
            <v>723.920969582</v>
          </cell>
          <cell r="H149">
            <v>60.326747465166655</v>
          </cell>
          <cell r="K149">
            <v>60.326747465166655</v>
          </cell>
          <cell r="N149">
            <v>60.326747465166655</v>
          </cell>
          <cell r="Q149">
            <v>60.326747465166655</v>
          </cell>
          <cell r="T149">
            <v>60.326747465166655</v>
          </cell>
          <cell r="W149">
            <v>60.326747465166655</v>
          </cell>
          <cell r="Z149">
            <v>60.326747465166655</v>
          </cell>
          <cell r="AC149">
            <v>60.326747465166655</v>
          </cell>
          <cell r="AF149">
            <v>60.326747465166655</v>
          </cell>
          <cell r="AI149">
            <v>60.326747465166655</v>
          </cell>
          <cell r="AL149">
            <v>60.326747465166655</v>
          </cell>
          <cell r="AO149">
            <v>60.326747465166655</v>
          </cell>
        </row>
        <row r="150">
          <cell r="A150" t="str">
            <v>Véhicules usagésDivers</v>
          </cell>
          <cell r="B150" t="str">
            <v>Divers</v>
          </cell>
          <cell r="E150">
            <v>2397.3606154580002</v>
          </cell>
          <cell r="H150">
            <v>199.78005128816665</v>
          </cell>
          <cell r="K150">
            <v>199.78005128816665</v>
          </cell>
          <cell r="N150">
            <v>199.78005128816665</v>
          </cell>
          <cell r="Q150">
            <v>199.78005128816665</v>
          </cell>
          <cell r="T150">
            <v>199.78005128816665</v>
          </cell>
          <cell r="W150">
            <v>199.78005128816665</v>
          </cell>
          <cell r="Z150">
            <v>199.78005128816665</v>
          </cell>
          <cell r="AC150">
            <v>199.78005128816665</v>
          </cell>
          <cell r="AF150">
            <v>199.78005128816665</v>
          </cell>
          <cell r="AI150">
            <v>199.78005128816665</v>
          </cell>
          <cell r="AL150">
            <v>199.78005128816665</v>
          </cell>
          <cell r="AO150">
            <v>199.78005128816665</v>
          </cell>
        </row>
        <row r="151">
          <cell r="A151" t="str">
            <v>Véhicules usagésFormation</v>
          </cell>
          <cell r="B151" t="str">
            <v>Formation</v>
          </cell>
          <cell r="E151">
            <v>6026.78723636417</v>
          </cell>
          <cell r="H151">
            <v>502.23226969701432</v>
          </cell>
          <cell r="K151">
            <v>502.23226969701432</v>
          </cell>
          <cell r="N151">
            <v>502.23226969701432</v>
          </cell>
          <cell r="Q151">
            <v>502.23226969701432</v>
          </cell>
          <cell r="T151">
            <v>502.23226969701432</v>
          </cell>
          <cell r="W151">
            <v>502.23226969701432</v>
          </cell>
          <cell r="Z151">
            <v>502.23226969701432</v>
          </cell>
          <cell r="AC151">
            <v>502.23226969701432</v>
          </cell>
          <cell r="AF151">
            <v>502.23226969701432</v>
          </cell>
          <cell r="AI151">
            <v>502.23226969701432</v>
          </cell>
          <cell r="AL151">
            <v>502.23226969701432</v>
          </cell>
          <cell r="AO151">
            <v>502.23226969701432</v>
          </cell>
        </row>
        <row r="152">
          <cell r="A152" t="str">
            <v>Véhicules usagésFrais bancaires</v>
          </cell>
          <cell r="B152" t="str">
            <v>Frais bancaires</v>
          </cell>
          <cell r="E152">
            <v>9386.0948526995053</v>
          </cell>
          <cell r="H152">
            <v>782.17457105829214</v>
          </cell>
          <cell r="K152">
            <v>782.17457105829214</v>
          </cell>
          <cell r="N152">
            <v>782.17457105829214</v>
          </cell>
          <cell r="Q152">
            <v>782.17457105829214</v>
          </cell>
          <cell r="T152">
            <v>782.17457105829214</v>
          </cell>
          <cell r="W152">
            <v>782.17457105829214</v>
          </cell>
          <cell r="Z152">
            <v>782.17457105829214</v>
          </cell>
          <cell r="AC152">
            <v>782.17457105829214</v>
          </cell>
          <cell r="AF152">
            <v>782.17457105829214</v>
          </cell>
          <cell r="AI152">
            <v>782.17457105829214</v>
          </cell>
          <cell r="AL152">
            <v>782.17457105829214</v>
          </cell>
          <cell r="AO152">
            <v>782.17457105829214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usagés[...]</v>
          </cell>
          <cell r="B155" t="str">
            <v>[...]</v>
          </cell>
          <cell r="E155">
            <v>0</v>
          </cell>
        </row>
        <row r="156">
          <cell r="A156" t="str">
            <v>Véhicules usagésTOTAL SEMI-FIXES</v>
          </cell>
          <cell r="B156" t="str">
            <v>TOTAL SEMI-FIXES</v>
          </cell>
          <cell r="C156" t="str">
            <v>% brut</v>
          </cell>
          <cell r="D156">
            <v>6.5578765125905422E-2</v>
          </cell>
          <cell r="E156">
            <v>122882.31638536218</v>
          </cell>
          <cell r="F156" t="str">
            <v>% brut</v>
          </cell>
          <cell r="G156">
            <v>9.5530604967064156E-2</v>
          </cell>
          <cell r="H156">
            <v>10240.193032113515</v>
          </cell>
          <cell r="I156" t="str">
            <v>% brut</v>
          </cell>
          <cell r="J156">
            <v>9.2459401084874285E-2</v>
          </cell>
          <cell r="K156">
            <v>10240.193032113515</v>
          </cell>
          <cell r="L156" t="str">
            <v>% brut</v>
          </cell>
          <cell r="M156">
            <v>6.1466261013679073E-2</v>
          </cell>
          <cell r="N156">
            <v>10240.193032113515</v>
          </cell>
          <cell r="O156" t="str">
            <v>% brut</v>
          </cell>
          <cell r="P156">
            <v>5.4973346117867902E-2</v>
          </cell>
          <cell r="Q156">
            <v>10240.193032113515</v>
          </cell>
          <cell r="R156" t="str">
            <v>% brut</v>
          </cell>
          <cell r="S156">
            <v>5.3995559329210192E-2</v>
          </cell>
          <cell r="T156">
            <v>10240.193032113515</v>
          </cell>
          <cell r="U156" t="str">
            <v>% brut</v>
          </cell>
          <cell r="V156">
            <v>5.971967873350896E-2</v>
          </cell>
          <cell r="W156">
            <v>10240.193032113515</v>
          </cell>
          <cell r="X156" t="str">
            <v>% brut</v>
          </cell>
          <cell r="Y156">
            <v>6.4135570470845893E-2</v>
          </cell>
          <cell r="Z156">
            <v>10240.193032113515</v>
          </cell>
          <cell r="AA156" t="str">
            <v>% brut</v>
          </cell>
          <cell r="AB156">
            <v>6.018007273255583E-2</v>
          </cell>
          <cell r="AC156">
            <v>10240.193032113515</v>
          </cell>
          <cell r="AD156" t="str">
            <v>% brut</v>
          </cell>
          <cell r="AE156">
            <v>6.0918066935519176E-2</v>
          </cell>
          <cell r="AF156">
            <v>10240.193032113515</v>
          </cell>
          <cell r="AG156" t="str">
            <v>% brut</v>
          </cell>
          <cell r="AH156">
            <v>6.1674386050971447E-2</v>
          </cell>
          <cell r="AI156">
            <v>10240.193032113515</v>
          </cell>
          <cell r="AJ156" t="str">
            <v>% brut</v>
          </cell>
          <cell r="AK156">
            <v>6.3318083477590603E-2</v>
          </cell>
          <cell r="AL156">
            <v>10240.193032113515</v>
          </cell>
          <cell r="AM156" t="str">
            <v>% brut</v>
          </cell>
          <cell r="AN156">
            <v>8.8134687163162417E-2</v>
          </cell>
          <cell r="AO156">
            <v>10240.193032113515</v>
          </cell>
        </row>
        <row r="157">
          <cell r="A157" t="str">
            <v>Véhicules usagés</v>
          </cell>
        </row>
        <row r="158">
          <cell r="A158" t="str">
            <v>Véhicules usagésTOTAL DES DÉPENSES</v>
          </cell>
          <cell r="B158" t="str">
            <v>TOTAL DES DÉPENSES</v>
          </cell>
          <cell r="C158" t="str">
            <v>% brut</v>
          </cell>
          <cell r="D158">
            <v>0.83102819797629368</v>
          </cell>
          <cell r="E158">
            <v>1557191.1083232737</v>
          </cell>
          <cell r="F158" t="str">
            <v>% brut</v>
          </cell>
          <cell r="G158">
            <v>1.0216167754285854</v>
          </cell>
          <cell r="H158">
            <v>109509.96268516128</v>
          </cell>
          <cell r="I158" t="str">
            <v>% brut</v>
          </cell>
          <cell r="J158">
            <v>1.0133644512974569</v>
          </cell>
          <cell r="K158">
            <v>112233.55842032775</v>
          </cell>
          <cell r="L158" t="str">
            <v>% brut</v>
          </cell>
          <cell r="M158">
            <v>0.82318581806009516</v>
          </cell>
          <cell r="N158">
            <v>137141.60482866658</v>
          </cell>
          <cell r="O158" t="str">
            <v>% brut</v>
          </cell>
          <cell r="P158">
            <v>0.76779537161483125</v>
          </cell>
          <cell r="Q158">
            <v>143021.54352477565</v>
          </cell>
          <cell r="R158" t="str">
            <v>% brut</v>
          </cell>
          <cell r="S158">
            <v>0.781044446489357</v>
          </cell>
          <cell r="T158">
            <v>148124.14202337075</v>
          </cell>
          <cell r="U158" t="str">
            <v>% brut</v>
          </cell>
          <cell r="V158">
            <v>0.77611863395212255</v>
          </cell>
          <cell r="W158">
            <v>133081.83828240441</v>
          </cell>
          <cell r="X158" t="str">
            <v>% brut</v>
          </cell>
          <cell r="Y158">
            <v>0.80392496825996917</v>
          </cell>
          <cell r="Z158">
            <v>128358.51927223432</v>
          </cell>
          <cell r="AA158" t="str">
            <v>% brut</v>
          </cell>
          <cell r="AB158">
            <v>0.81323890942925214</v>
          </cell>
          <cell r="AC158">
            <v>138380.08223735401</v>
          </cell>
          <cell r="AD158" t="str">
            <v>% brut</v>
          </cell>
          <cell r="AE158">
            <v>0.78225945921159179</v>
          </cell>
          <cell r="AF158">
            <v>131496.09412265831</v>
          </cell>
          <cell r="AG158" t="str">
            <v>% brut</v>
          </cell>
          <cell r="AH158">
            <v>0.79428971482875077</v>
          </cell>
          <cell r="AI158">
            <v>131881.0048071924</v>
          </cell>
          <cell r="AJ158" t="str">
            <v>% brut</v>
          </cell>
          <cell r="AK158">
            <v>0.82780205672224871</v>
          </cell>
          <cell r="AL158">
            <v>133877.28098587377</v>
          </cell>
          <cell r="AM158" t="str">
            <v>% brut</v>
          </cell>
          <cell r="AN158">
            <v>0.94747716746354782</v>
          </cell>
          <cell r="AO158">
            <v>110085.4771332547</v>
          </cell>
        </row>
        <row r="159">
          <cell r="A159" t="str">
            <v>Véhicules usagésProgramme used 1</v>
          </cell>
          <cell r="B159" t="str">
            <v>Programme used 1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2</v>
          </cell>
          <cell r="B160" t="str">
            <v>Programme used 2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usagésProgramme used 3</v>
          </cell>
          <cell r="B161" t="str">
            <v>Programme used 3</v>
          </cell>
          <cell r="E161">
            <v>0</v>
          </cell>
          <cell r="H161">
            <v>0</v>
          </cell>
          <cell r="K161">
            <v>0</v>
          </cell>
          <cell r="N161">
            <v>0</v>
          </cell>
          <cell r="Q161">
            <v>0</v>
          </cell>
          <cell r="T161">
            <v>0</v>
          </cell>
          <cell r="W161">
            <v>0</v>
          </cell>
          <cell r="Z161">
            <v>0</v>
          </cell>
          <cell r="AC161">
            <v>0</v>
          </cell>
          <cell r="AF161">
            <v>0</v>
          </cell>
          <cell r="AI161">
            <v>0</v>
          </cell>
          <cell r="AL161">
            <v>0</v>
          </cell>
          <cell r="AO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  <cell r="H162">
            <v>0</v>
          </cell>
          <cell r="K162">
            <v>0</v>
          </cell>
          <cell r="N162">
            <v>0</v>
          </cell>
          <cell r="Q162">
            <v>0</v>
          </cell>
          <cell r="T162">
            <v>0</v>
          </cell>
          <cell r="W162">
            <v>0</v>
          </cell>
          <cell r="Z162">
            <v>0</v>
          </cell>
          <cell r="AC162">
            <v>0</v>
          </cell>
          <cell r="AF162">
            <v>0</v>
          </cell>
          <cell r="AI162">
            <v>0</v>
          </cell>
          <cell r="AL162">
            <v>0</v>
          </cell>
          <cell r="AO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  <cell r="H163">
            <v>0</v>
          </cell>
          <cell r="K163">
            <v>0</v>
          </cell>
          <cell r="N163">
            <v>0</v>
          </cell>
          <cell r="Q163">
            <v>0</v>
          </cell>
          <cell r="T163">
            <v>0</v>
          </cell>
          <cell r="W163">
            <v>0</v>
          </cell>
          <cell r="Z163">
            <v>0</v>
          </cell>
          <cell r="AC163">
            <v>0</v>
          </cell>
          <cell r="AF163">
            <v>0</v>
          </cell>
          <cell r="AI163">
            <v>0</v>
          </cell>
          <cell r="AL163">
            <v>0</v>
          </cell>
          <cell r="AO163">
            <v>0</v>
          </cell>
        </row>
        <row r="164">
          <cell r="A164" t="str">
            <v>Véhicules usagés[...]</v>
          </cell>
          <cell r="B164" t="str">
            <v>[...]</v>
          </cell>
          <cell r="E164">
            <v>0</v>
          </cell>
          <cell r="H164">
            <v>0</v>
          </cell>
          <cell r="K164">
            <v>0</v>
          </cell>
          <cell r="N164">
            <v>0</v>
          </cell>
          <cell r="Q164">
            <v>0</v>
          </cell>
          <cell r="T164">
            <v>0</v>
          </cell>
          <cell r="W164">
            <v>0</v>
          </cell>
          <cell r="Z164">
            <v>0</v>
          </cell>
          <cell r="AC164">
            <v>0</v>
          </cell>
          <cell r="AF164">
            <v>0</v>
          </cell>
          <cell r="AI164">
            <v>0</v>
          </cell>
          <cell r="AL164">
            <v>0</v>
          </cell>
          <cell r="AO164">
            <v>0</v>
          </cell>
        </row>
        <row r="165">
          <cell r="A165" t="str">
            <v>Véhicules usagésFrais administration</v>
          </cell>
          <cell r="B165" t="str">
            <v>Frais administration</v>
          </cell>
          <cell r="E165">
            <v>201451.10287500001</v>
          </cell>
          <cell r="H165">
            <v>11524.155500000001</v>
          </cell>
          <cell r="K165">
            <v>11906.950874999999</v>
          </cell>
          <cell r="N165">
            <v>17910.794125</v>
          </cell>
          <cell r="Q165">
            <v>20026.242249999996</v>
          </cell>
          <cell r="T165">
            <v>20388.890499999994</v>
          </cell>
          <cell r="W165">
            <v>18434.619375000002</v>
          </cell>
          <cell r="Z165">
            <v>17165.3505</v>
          </cell>
          <cell r="AC165">
            <v>18293.589499999998</v>
          </cell>
          <cell r="AF165">
            <v>18071.971125</v>
          </cell>
          <cell r="AI165">
            <v>17850.352750000002</v>
          </cell>
          <cell r="AL165">
            <v>17386.968875000006</v>
          </cell>
          <cell r="AO165">
            <v>12491.217500000001</v>
          </cell>
        </row>
        <row r="166">
          <cell r="A166" t="str">
            <v>Véhicules usagésAUTRES REVENUS</v>
          </cell>
          <cell r="B166" t="str">
            <v>AUTRES REVENUS</v>
          </cell>
          <cell r="E166">
            <v>201451.10287500001</v>
          </cell>
          <cell r="H166">
            <v>11524.155500000001</v>
          </cell>
          <cell r="K166">
            <v>11906.950874999999</v>
          </cell>
          <cell r="N166">
            <v>17910.794125</v>
          </cell>
          <cell r="Q166">
            <v>20026.242249999996</v>
          </cell>
          <cell r="T166">
            <v>20388.890499999994</v>
          </cell>
          <cell r="W166">
            <v>18434.619375000002</v>
          </cell>
          <cell r="Z166">
            <v>17165.3505</v>
          </cell>
          <cell r="AC166">
            <v>18293.589499999998</v>
          </cell>
          <cell r="AF166">
            <v>18071.971125</v>
          </cell>
          <cell r="AI166">
            <v>17850.352750000002</v>
          </cell>
          <cell r="AL166">
            <v>17386.968875000006</v>
          </cell>
          <cell r="AO166">
            <v>12491.217500000001</v>
          </cell>
        </row>
        <row r="167">
          <cell r="A167" t="str">
            <v>Véhicules usagés</v>
          </cell>
        </row>
        <row r="168">
          <cell r="A168" t="str">
            <v>Véhicules usagésPROFIT DÉPARTEMENTAL</v>
          </cell>
          <cell r="B168" t="str">
            <v>PROFIT DÉPARTEMENTAL</v>
          </cell>
          <cell r="E168">
            <v>518072.59455172636</v>
          </cell>
          <cell r="H168">
            <v>9206.9928148387189</v>
          </cell>
          <cell r="K168">
            <v>10426.792454672239</v>
          </cell>
          <cell r="N168">
            <v>47367.789296333431</v>
          </cell>
          <cell r="Q168">
            <v>63280.298725224347</v>
          </cell>
          <cell r="T168">
            <v>61913.548476629207</v>
          </cell>
          <cell r="W168">
            <v>56823.781092595593</v>
          </cell>
          <cell r="Z168">
            <v>48471.631227765669</v>
          </cell>
          <cell r="AC168">
            <v>50072.707262645999</v>
          </cell>
          <cell r="AF168">
            <v>54673.677002341676</v>
          </cell>
          <cell r="AI168">
            <v>52005.747942807604</v>
          </cell>
          <cell r="AL168">
            <v>45235.887889126272</v>
          </cell>
          <cell r="AO168">
            <v>18593.740366745304</v>
          </cell>
        </row>
        <row r="171">
          <cell r="B171" t="str">
            <v>Budget 2024</v>
          </cell>
          <cell r="C171" t="str">
            <v>Service</v>
          </cell>
        </row>
        <row r="173">
          <cell r="B173" t="str">
            <v>Mois</v>
          </cell>
          <cell r="C173">
            <v>2024</v>
          </cell>
          <cell r="F173" t="str">
            <v>Janvier</v>
          </cell>
          <cell r="I173" t="str">
            <v>Février</v>
          </cell>
          <cell r="L173" t="str">
            <v>Mars</v>
          </cell>
          <cell r="O173" t="str">
            <v>Avril</v>
          </cell>
          <cell r="R173" t="str">
            <v>Mai</v>
          </cell>
          <cell r="U173" t="str">
            <v>Juin</v>
          </cell>
          <cell r="X173" t="str">
            <v>Juillet</v>
          </cell>
          <cell r="AA173" t="str">
            <v>Août</v>
          </cell>
          <cell r="AD173" t="str">
            <v>Septembre</v>
          </cell>
          <cell r="AG173" t="str">
            <v>Octobre</v>
          </cell>
          <cell r="AJ173" t="str">
            <v>Novembre</v>
          </cell>
          <cell r="AM173" t="str">
            <v>Décembre</v>
          </cell>
        </row>
        <row r="174">
          <cell r="A174" t="str">
            <v>Service</v>
          </cell>
          <cell r="C174" t="str">
            <v>#</v>
          </cell>
          <cell r="D174" t="str">
            <v>$VENTES</v>
          </cell>
          <cell r="E174" t="str">
            <v>$PROFITS</v>
          </cell>
          <cell r="F174" t="str">
            <v>#</v>
          </cell>
          <cell r="G174" t="str">
            <v>$VENTES</v>
          </cell>
          <cell r="H174" t="str">
            <v>$PROFITS</v>
          </cell>
          <cell r="I174" t="str">
            <v>#</v>
          </cell>
          <cell r="J174" t="str">
            <v>$VENTES</v>
          </cell>
          <cell r="K174" t="str">
            <v>$PROFITS</v>
          </cell>
          <cell r="L174" t="str">
            <v>#</v>
          </cell>
          <cell r="M174" t="str">
            <v>$VENTES</v>
          </cell>
          <cell r="N174" t="str">
            <v>$PROFITS</v>
          </cell>
          <cell r="O174" t="str">
            <v>#</v>
          </cell>
          <cell r="P174" t="str">
            <v>$VENTES</v>
          </cell>
          <cell r="Q174" t="str">
            <v>$PROFITS</v>
          </cell>
          <cell r="R174" t="str">
            <v>#</v>
          </cell>
          <cell r="S174" t="str">
            <v>$VENTES</v>
          </cell>
          <cell r="T174" t="str">
            <v>$PROFITS</v>
          </cell>
          <cell r="U174" t="str">
            <v>#</v>
          </cell>
          <cell r="V174" t="str">
            <v>$VENTES</v>
          </cell>
          <cell r="W174" t="str">
            <v>$PROFITS</v>
          </cell>
          <cell r="X174" t="str">
            <v>#</v>
          </cell>
          <cell r="Y174" t="str">
            <v>$VENTES</v>
          </cell>
          <cell r="Z174" t="str">
            <v>$PROFITS</v>
          </cell>
          <cell r="AA174" t="str">
            <v>#</v>
          </cell>
          <cell r="AB174" t="str">
            <v>$VENTES</v>
          </cell>
          <cell r="AC174" t="str">
            <v>$PROFITS</v>
          </cell>
          <cell r="AD174" t="str">
            <v>#</v>
          </cell>
          <cell r="AE174" t="str">
            <v>$VENTES</v>
          </cell>
          <cell r="AF174" t="str">
            <v>$PROFITS</v>
          </cell>
          <cell r="AG174" t="str">
            <v>#</v>
          </cell>
          <cell r="AH174" t="str">
            <v>$VENTES</v>
          </cell>
          <cell r="AI174" t="str">
            <v>$PROFITS</v>
          </cell>
          <cell r="AJ174" t="str">
            <v>#</v>
          </cell>
          <cell r="AK174" t="str">
            <v>$VENTES</v>
          </cell>
          <cell r="AL174" t="str">
            <v>$PROFITS</v>
          </cell>
          <cell r="AM174" t="str">
            <v>#</v>
          </cell>
          <cell r="AN174" t="str">
            <v>$VENTES</v>
          </cell>
          <cell r="AO174" t="str">
            <v>$PROFITS</v>
          </cell>
        </row>
        <row r="175">
          <cell r="A175" t="str">
            <v>ServiceM/O Client</v>
          </cell>
          <cell r="B175" t="str">
            <v>M/O Client</v>
          </cell>
          <cell r="C175">
            <v>6293.9415928456292</v>
          </cell>
          <cell r="D175">
            <v>2077000.7256390578</v>
          </cell>
          <cell r="E175">
            <v>1578520.5514856838</v>
          </cell>
          <cell r="F175">
            <v>294.81793519148601</v>
          </cell>
          <cell r="G175">
            <v>97289.918613190384</v>
          </cell>
          <cell r="H175">
            <v>73940.338146024689</v>
          </cell>
          <cell r="I175">
            <v>297.2981282462469</v>
          </cell>
          <cell r="J175">
            <v>98108.382321261466</v>
          </cell>
          <cell r="K175">
            <v>74562.370564158715</v>
          </cell>
          <cell r="L175">
            <v>420.21079482837303</v>
          </cell>
          <cell r="M175">
            <v>138669.56229336309</v>
          </cell>
          <cell r="N175">
            <v>105388.86734295596</v>
          </cell>
          <cell r="O175">
            <v>779.19719999999995</v>
          </cell>
          <cell r="P175">
            <v>257135.07599999997</v>
          </cell>
          <cell r="Q175">
            <v>195422.65775999997</v>
          </cell>
          <cell r="R175">
            <v>842.13720000000001</v>
          </cell>
          <cell r="S175">
            <v>277905.27600000001</v>
          </cell>
          <cell r="T175">
            <v>211208.00976000002</v>
          </cell>
          <cell r="U175">
            <v>437.98206262740655</v>
          </cell>
          <cell r="V175">
            <v>144534.08066704418</v>
          </cell>
          <cell r="W175">
            <v>109845.90130695357</v>
          </cell>
          <cell r="X175">
            <v>463.23840000000001</v>
          </cell>
          <cell r="Y175">
            <v>152868.67199999999</v>
          </cell>
          <cell r="Z175">
            <v>116180.19072</v>
          </cell>
          <cell r="AA175">
            <v>396.08321081737733</v>
          </cell>
          <cell r="AB175">
            <v>130707.45956973452</v>
          </cell>
          <cell r="AC175">
            <v>99337.669272998231</v>
          </cell>
          <cell r="AD175">
            <v>330.91274867466632</v>
          </cell>
          <cell r="AE175">
            <v>109201.20706263988</v>
          </cell>
          <cell r="AF175">
            <v>82992.917367606307</v>
          </cell>
          <cell r="AG175">
            <v>720.66300000000001</v>
          </cell>
          <cell r="AH175">
            <v>237818.79</v>
          </cell>
          <cell r="AI175">
            <v>180742.28040000002</v>
          </cell>
          <cell r="AJ175">
            <v>905.70659999999998</v>
          </cell>
          <cell r="AK175">
            <v>298883.17800000001</v>
          </cell>
          <cell r="AL175">
            <v>227151.21528</v>
          </cell>
          <cell r="AM175">
            <v>405.69431246007315</v>
          </cell>
          <cell r="AN175">
            <v>133879.12311182416</v>
          </cell>
          <cell r="AO175">
            <v>101748.13356498636</v>
          </cell>
        </row>
        <row r="176">
          <cell r="A176" t="str">
            <v>Service% profit / ventes</v>
          </cell>
          <cell r="B176" t="str">
            <v>% profit / ventes</v>
          </cell>
          <cell r="E176">
            <v>0.7599999999999999</v>
          </cell>
          <cell r="H176">
            <v>0.76</v>
          </cell>
          <cell r="K176">
            <v>0.76</v>
          </cell>
          <cell r="N176">
            <v>0.76</v>
          </cell>
          <cell r="Q176">
            <v>0.76</v>
          </cell>
          <cell r="T176">
            <v>0.76</v>
          </cell>
          <cell r="W176">
            <v>0.76</v>
          </cell>
          <cell r="Z176">
            <v>0.76</v>
          </cell>
          <cell r="AC176">
            <v>0.76</v>
          </cell>
          <cell r="AF176">
            <v>0.76</v>
          </cell>
          <cell r="AI176">
            <v>0.76</v>
          </cell>
          <cell r="AL176">
            <v>0.76</v>
          </cell>
          <cell r="AO176">
            <v>0.76</v>
          </cell>
        </row>
        <row r="177">
          <cell r="A177" t="str">
            <v>Service</v>
          </cell>
          <cell r="D177">
            <v>330</v>
          </cell>
          <cell r="G177">
            <v>330</v>
          </cell>
          <cell r="J177">
            <v>329.99999999999994</v>
          </cell>
          <cell r="M177">
            <v>330</v>
          </cell>
          <cell r="P177">
            <v>330</v>
          </cell>
          <cell r="S177">
            <v>330</v>
          </cell>
          <cell r="V177">
            <v>330.00000000000006</v>
          </cell>
          <cell r="Y177">
            <v>330</v>
          </cell>
          <cell r="AB177">
            <v>330</v>
          </cell>
          <cell r="AE177">
            <v>330</v>
          </cell>
          <cell r="AH177">
            <v>330</v>
          </cell>
          <cell r="AK177">
            <v>330</v>
          </cell>
          <cell r="AN177">
            <v>330.00000000000006</v>
          </cell>
        </row>
        <row r="178">
          <cell r="A178" t="str">
            <v>ServiceM/O Garantie</v>
          </cell>
          <cell r="B178" t="str">
            <v>M/O Garantie</v>
          </cell>
          <cell r="C178">
            <v>1332.9876300068672</v>
          </cell>
          <cell r="D178">
            <v>359906.66010185424</v>
          </cell>
          <cell r="E178">
            <v>230340.26246518671</v>
          </cell>
          <cell r="F178">
            <v>62.439197268867318</v>
          </cell>
          <cell r="G178">
            <v>16858.583262594177</v>
          </cell>
          <cell r="H178">
            <v>10789.493288060274</v>
          </cell>
          <cell r="I178">
            <v>62.964474889139993</v>
          </cell>
          <cell r="J178">
            <v>17000.408220067799</v>
          </cell>
          <cell r="K178">
            <v>10880.261260843392</v>
          </cell>
          <cell r="L178">
            <v>88.996026295872454</v>
          </cell>
          <cell r="M178">
            <v>24028.927099885565</v>
          </cell>
          <cell r="N178">
            <v>15378.513343926761</v>
          </cell>
          <cell r="O178">
            <v>165.02539999999999</v>
          </cell>
          <cell r="P178">
            <v>44556.858</v>
          </cell>
          <cell r="Q178">
            <v>28516.38912</v>
          </cell>
          <cell r="R178">
            <v>178.3554</v>
          </cell>
          <cell r="S178">
            <v>48155.957999999999</v>
          </cell>
          <cell r="T178">
            <v>30819.813119999999</v>
          </cell>
          <cell r="U178">
            <v>92.759785427761827</v>
          </cell>
          <cell r="V178">
            <v>25045.142065495693</v>
          </cell>
          <cell r="W178">
            <v>16028.890921917244</v>
          </cell>
          <cell r="X178">
            <v>98.108800000000002</v>
          </cell>
          <cell r="Y178">
            <v>26489.376</v>
          </cell>
          <cell r="Z178">
            <v>16953.200639999999</v>
          </cell>
          <cell r="AA178">
            <v>83.886069275431197</v>
          </cell>
          <cell r="AB178">
            <v>22649.238704366424</v>
          </cell>
          <cell r="AC178">
            <v>14495.512770794512</v>
          </cell>
          <cell r="AD178">
            <v>70.083681916639691</v>
          </cell>
          <cell r="AE178">
            <v>18922.594117492714</v>
          </cell>
          <cell r="AF178">
            <v>12110.460235195336</v>
          </cell>
          <cell r="AG178">
            <v>152.6285</v>
          </cell>
          <cell r="AH178">
            <v>41209.695</v>
          </cell>
          <cell r="AI178">
            <v>26374.2048</v>
          </cell>
          <cell r="AJ178">
            <v>191.81870000000001</v>
          </cell>
          <cell r="AK178">
            <v>51791.048999999999</v>
          </cell>
          <cell r="AL178">
            <v>33146.271359999999</v>
          </cell>
          <cell r="AM178">
            <v>85.921594933154992</v>
          </cell>
          <cell r="AN178">
            <v>23198.830631951849</v>
          </cell>
          <cell r="AO178">
            <v>14847.251604449184</v>
          </cell>
        </row>
        <row r="179">
          <cell r="A179" t="str">
            <v>Service% profit / ventes</v>
          </cell>
          <cell r="B179" t="str">
            <v>% profit / ventes</v>
          </cell>
          <cell r="E179">
            <v>0.64</v>
          </cell>
          <cell r="H179">
            <v>0.64</v>
          </cell>
          <cell r="K179">
            <v>0.64</v>
          </cell>
          <cell r="N179">
            <v>0.64</v>
          </cell>
          <cell r="Q179">
            <v>0.64</v>
          </cell>
          <cell r="T179">
            <v>0.64</v>
          </cell>
          <cell r="W179">
            <v>0.64</v>
          </cell>
          <cell r="Z179">
            <v>0.64</v>
          </cell>
          <cell r="AC179">
            <v>0.64</v>
          </cell>
          <cell r="AF179">
            <v>0.64</v>
          </cell>
          <cell r="AI179">
            <v>0.64</v>
          </cell>
          <cell r="AL179">
            <v>0.64</v>
          </cell>
          <cell r="AO179">
            <v>0.64</v>
          </cell>
        </row>
        <row r="180">
          <cell r="A180" t="str">
            <v>Service</v>
          </cell>
          <cell r="D180">
            <v>270.00000000000006</v>
          </cell>
          <cell r="G180">
            <v>270</v>
          </cell>
          <cell r="J180">
            <v>270</v>
          </cell>
          <cell r="M180">
            <v>270</v>
          </cell>
          <cell r="P180">
            <v>270</v>
          </cell>
          <cell r="S180">
            <v>270</v>
          </cell>
          <cell r="V180">
            <v>270</v>
          </cell>
          <cell r="Y180">
            <v>270</v>
          </cell>
          <cell r="AB180">
            <v>270</v>
          </cell>
          <cell r="AE180">
            <v>269.99999999999994</v>
          </cell>
          <cell r="AH180">
            <v>270</v>
          </cell>
          <cell r="AK180">
            <v>270</v>
          </cell>
          <cell r="AN180">
            <v>270</v>
          </cell>
        </row>
        <row r="181">
          <cell r="A181" t="str">
            <v>ServiceM/O Interne</v>
          </cell>
          <cell r="B181" t="str">
            <v>M/O Interne</v>
          </cell>
          <cell r="C181">
            <v>2611.875</v>
          </cell>
          <cell r="D181">
            <v>767891.25</v>
          </cell>
          <cell r="E181">
            <v>568239.52499999991</v>
          </cell>
          <cell r="F181">
            <v>131.25</v>
          </cell>
          <cell r="G181">
            <v>38587.5</v>
          </cell>
          <cell r="H181">
            <v>28554.75</v>
          </cell>
          <cell r="I181">
            <v>131.25</v>
          </cell>
          <cell r="J181">
            <v>38587.5</v>
          </cell>
          <cell r="K181">
            <v>28554.75</v>
          </cell>
          <cell r="L181">
            <v>183.75000000000003</v>
          </cell>
          <cell r="M181">
            <v>54022.500000000007</v>
          </cell>
          <cell r="N181">
            <v>39976.65</v>
          </cell>
          <cell r="O181">
            <v>262.5</v>
          </cell>
          <cell r="P181">
            <v>77175</v>
          </cell>
          <cell r="Q181">
            <v>57109.5</v>
          </cell>
          <cell r="R181">
            <v>301.875</v>
          </cell>
          <cell r="S181">
            <v>88751.25</v>
          </cell>
          <cell r="T181">
            <v>65675.925000000003</v>
          </cell>
          <cell r="U181">
            <v>236.25</v>
          </cell>
          <cell r="V181">
            <v>69457.5</v>
          </cell>
          <cell r="W181">
            <v>51398.55</v>
          </cell>
          <cell r="X181">
            <v>210</v>
          </cell>
          <cell r="Y181">
            <v>61740</v>
          </cell>
          <cell r="Z181">
            <v>45687.6</v>
          </cell>
          <cell r="AA181">
            <v>236.25</v>
          </cell>
          <cell r="AB181">
            <v>69457.5</v>
          </cell>
          <cell r="AC181">
            <v>51398.55</v>
          </cell>
          <cell r="AD181">
            <v>210</v>
          </cell>
          <cell r="AE181">
            <v>61740</v>
          </cell>
          <cell r="AF181">
            <v>45687.6</v>
          </cell>
          <cell r="AG181">
            <v>315</v>
          </cell>
          <cell r="AH181">
            <v>92610</v>
          </cell>
          <cell r="AI181">
            <v>68531.399999999994</v>
          </cell>
          <cell r="AJ181">
            <v>262.5</v>
          </cell>
          <cell r="AK181">
            <v>77175</v>
          </cell>
          <cell r="AL181">
            <v>57109.5</v>
          </cell>
          <cell r="AM181">
            <v>131.25</v>
          </cell>
          <cell r="AN181">
            <v>38587.5</v>
          </cell>
          <cell r="AO181">
            <v>28554.75</v>
          </cell>
        </row>
        <row r="182">
          <cell r="A182" t="str">
            <v>Service% profit / ventes</v>
          </cell>
          <cell r="B182" t="str">
            <v>% profit / ventes</v>
          </cell>
          <cell r="E182">
            <v>0.73999999999999988</v>
          </cell>
          <cell r="H182">
            <v>0.74</v>
          </cell>
          <cell r="K182">
            <v>0.74</v>
          </cell>
          <cell r="N182">
            <v>0.73999999999999988</v>
          </cell>
          <cell r="Q182">
            <v>0.74</v>
          </cell>
          <cell r="T182">
            <v>0.74</v>
          </cell>
          <cell r="W182">
            <v>0.74</v>
          </cell>
          <cell r="Z182">
            <v>0.74</v>
          </cell>
          <cell r="AC182">
            <v>0.74</v>
          </cell>
          <cell r="AF182">
            <v>0.74</v>
          </cell>
          <cell r="AI182">
            <v>0.74</v>
          </cell>
          <cell r="AL182">
            <v>0.74</v>
          </cell>
          <cell r="AO182">
            <v>0.74</v>
          </cell>
        </row>
        <row r="183">
          <cell r="A183" t="str">
            <v>Service</v>
          </cell>
          <cell r="D183">
            <v>294</v>
          </cell>
          <cell r="G183">
            <v>294</v>
          </cell>
          <cell r="J183">
            <v>294</v>
          </cell>
          <cell r="M183">
            <v>294</v>
          </cell>
          <cell r="P183">
            <v>294</v>
          </cell>
          <cell r="S183">
            <v>294</v>
          </cell>
          <cell r="V183">
            <v>294</v>
          </cell>
          <cell r="Y183">
            <v>294</v>
          </cell>
          <cell r="AB183">
            <v>294</v>
          </cell>
          <cell r="AE183">
            <v>294</v>
          </cell>
          <cell r="AH183">
            <v>294</v>
          </cell>
          <cell r="AK183">
            <v>294</v>
          </cell>
          <cell r="AN183">
            <v>294</v>
          </cell>
        </row>
        <row r="184">
          <cell r="A184" t="str">
            <v>ServiceM/O Esthétique</v>
          </cell>
          <cell r="B184" t="str">
            <v>M/O Esthétique</v>
          </cell>
          <cell r="C184">
            <v>1680</v>
          </cell>
          <cell r="D184">
            <v>167999.99999999997</v>
          </cell>
          <cell r="E184">
            <v>127680.00000000001</v>
          </cell>
          <cell r="F184">
            <v>130.89082671091208</v>
          </cell>
          <cell r="G184">
            <v>13089.08267109121</v>
          </cell>
          <cell r="H184">
            <v>9947.7028300293186</v>
          </cell>
          <cell r="I184">
            <v>90.114229728258636</v>
          </cell>
          <cell r="J184">
            <v>9011.4229728258633</v>
          </cell>
          <cell r="K184">
            <v>6848.6814593476565</v>
          </cell>
          <cell r="L184">
            <v>136.98918515126147</v>
          </cell>
          <cell r="M184">
            <v>13698.918515126148</v>
          </cell>
          <cell r="N184">
            <v>10411.178071495873</v>
          </cell>
          <cell r="O184">
            <v>151.73371672679087</v>
          </cell>
          <cell r="P184">
            <v>15173.371672679088</v>
          </cell>
          <cell r="Q184">
            <v>11531.762471236107</v>
          </cell>
          <cell r="R184">
            <v>198.27442913289764</v>
          </cell>
          <cell r="S184">
            <v>19827.442913289764</v>
          </cell>
          <cell r="T184">
            <v>15068.856614100221</v>
          </cell>
          <cell r="U184">
            <v>139.69255948917578</v>
          </cell>
          <cell r="V184">
            <v>13969.255948917578</v>
          </cell>
          <cell r="W184">
            <v>10616.634521177361</v>
          </cell>
          <cell r="X184">
            <v>139.0787295461968</v>
          </cell>
          <cell r="Y184">
            <v>13907.872954619679</v>
          </cell>
          <cell r="Z184">
            <v>10569.983445510956</v>
          </cell>
          <cell r="AA184">
            <v>147.26663238148149</v>
          </cell>
          <cell r="AB184">
            <v>14726.66323814815</v>
          </cell>
          <cell r="AC184">
            <v>11192.264060992595</v>
          </cell>
          <cell r="AD184">
            <v>161.37421028330323</v>
          </cell>
          <cell r="AE184">
            <v>16137.421028330324</v>
          </cell>
          <cell r="AF184">
            <v>12264.439981531046</v>
          </cell>
          <cell r="AG184">
            <v>200.16216642329189</v>
          </cell>
          <cell r="AH184">
            <v>20016.216642329189</v>
          </cell>
          <cell r="AI184">
            <v>15212.324648170184</v>
          </cell>
          <cell r="AJ184">
            <v>116.32497850919506</v>
          </cell>
          <cell r="AK184">
            <v>11632.497850919506</v>
          </cell>
          <cell r="AL184">
            <v>8840.6983666988253</v>
          </cell>
          <cell r="AM184">
            <v>68.098335917235062</v>
          </cell>
          <cell r="AN184">
            <v>6809.8335917235054</v>
          </cell>
          <cell r="AO184">
            <v>5175.4735297098641</v>
          </cell>
        </row>
        <row r="185">
          <cell r="A185" t="str">
            <v>Service% profit / ventes</v>
          </cell>
          <cell r="B185" t="str">
            <v>% profit / ventes</v>
          </cell>
          <cell r="D185">
            <v>0</v>
          </cell>
          <cell r="E185">
            <v>0.76000000000000023</v>
          </cell>
          <cell r="G185">
            <v>0</v>
          </cell>
          <cell r="H185">
            <v>0.7599999999999999</v>
          </cell>
          <cell r="J185">
            <v>0</v>
          </cell>
          <cell r="K185">
            <v>0.76</v>
          </cell>
          <cell r="M185">
            <v>0</v>
          </cell>
          <cell r="N185">
            <v>0.76</v>
          </cell>
          <cell r="P185">
            <v>0</v>
          </cell>
          <cell r="Q185">
            <v>0.76</v>
          </cell>
          <cell r="S185">
            <v>0</v>
          </cell>
          <cell r="T185">
            <v>0.76</v>
          </cell>
          <cell r="V185">
            <v>0</v>
          </cell>
          <cell r="W185">
            <v>0.76000000000000012</v>
          </cell>
          <cell r="Y185">
            <v>0</v>
          </cell>
          <cell r="Z185">
            <v>0.76</v>
          </cell>
          <cell r="AB185">
            <v>0</v>
          </cell>
          <cell r="AC185">
            <v>0.76</v>
          </cell>
          <cell r="AE185">
            <v>0</v>
          </cell>
          <cell r="AF185">
            <v>0.76</v>
          </cell>
          <cell r="AH185">
            <v>0</v>
          </cell>
          <cell r="AI185">
            <v>0.76</v>
          </cell>
          <cell r="AK185">
            <v>0</v>
          </cell>
          <cell r="AL185">
            <v>0.76</v>
          </cell>
          <cell r="AN185">
            <v>0</v>
          </cell>
          <cell r="AO185">
            <v>0.76</v>
          </cell>
        </row>
        <row r="186">
          <cell r="A186" t="str">
            <v>Service</v>
          </cell>
          <cell r="D186">
            <v>99.999999999999986</v>
          </cell>
          <cell r="G186">
            <v>100.00000000000001</v>
          </cell>
          <cell r="J186">
            <v>100</v>
          </cell>
          <cell r="M186">
            <v>100.00000000000001</v>
          </cell>
          <cell r="P186">
            <v>100</v>
          </cell>
          <cell r="S186">
            <v>100</v>
          </cell>
          <cell r="V186">
            <v>100</v>
          </cell>
          <cell r="Y186">
            <v>100</v>
          </cell>
          <cell r="AB186">
            <v>100.00000000000001</v>
          </cell>
          <cell r="AE186">
            <v>100</v>
          </cell>
          <cell r="AH186">
            <v>100</v>
          </cell>
          <cell r="AK186">
            <v>100</v>
          </cell>
          <cell r="AN186">
            <v>99.999999999999986</v>
          </cell>
        </row>
        <row r="187">
          <cell r="A187" t="str">
            <v>ServiceAjustement M/O</v>
          </cell>
          <cell r="B187" t="str">
            <v>Ajustement M/O</v>
          </cell>
          <cell r="E187">
            <v>-38999.999999999978</v>
          </cell>
          <cell r="H187">
            <v>-1913.6914707565138</v>
          </cell>
          <cell r="K187">
            <v>-1880.8409511640809</v>
          </cell>
          <cell r="N187">
            <v>-2662.7586946003275</v>
          </cell>
          <cell r="Q187">
            <v>-4558.590378992194</v>
          </cell>
          <cell r="T187">
            <v>-5026.1907963026288</v>
          </cell>
          <cell r="W187">
            <v>-2925.6573101237609</v>
          </cell>
          <cell r="Z187">
            <v>-2948.0748381438912</v>
          </cell>
          <cell r="AC187">
            <v>-2745.9763920939877</v>
          </cell>
          <cell r="AF187">
            <v>-2378.8512154376144</v>
          </cell>
          <cell r="AI187">
            <v>-4528.6893081736907</v>
          </cell>
          <cell r="AL187">
            <v>-5087.5973124709253</v>
          </cell>
          <cell r="AO187">
            <v>-2343.0813317403599</v>
          </cell>
        </row>
        <row r="188">
          <cell r="A188" t="str">
            <v>ServiceSous-total M/O</v>
          </cell>
          <cell r="B188" t="str">
            <v>Sous-total M/O</v>
          </cell>
          <cell r="C188">
            <v>11918.804222852497</v>
          </cell>
          <cell r="D188">
            <v>3372798.6357409121</v>
          </cell>
          <cell r="E188">
            <v>2465780.3389508706</v>
          </cell>
          <cell r="F188">
            <v>619.39795917126537</v>
          </cell>
          <cell r="G188">
            <v>165825.08454687579</v>
          </cell>
          <cell r="H188">
            <v>121318.59279335776</v>
          </cell>
          <cell r="I188">
            <v>581.62683286364552</v>
          </cell>
          <cell r="J188">
            <v>162707.7135141551</v>
          </cell>
          <cell r="K188">
            <v>118965.22233318569</v>
          </cell>
          <cell r="L188">
            <v>829.94600627550699</v>
          </cell>
          <cell r="M188">
            <v>230419.90790837479</v>
          </cell>
          <cell r="N188">
            <v>168492.45006377829</v>
          </cell>
          <cell r="O188">
            <v>1358.4563167267909</v>
          </cell>
          <cell r="P188">
            <v>394040.30567267904</v>
          </cell>
          <cell r="Q188">
            <v>288021.71897224389</v>
          </cell>
          <cell r="R188">
            <v>1520.6420291328977</v>
          </cell>
          <cell r="S188">
            <v>434639.92691328976</v>
          </cell>
          <cell r="T188">
            <v>317746.41369779763</v>
          </cell>
          <cell r="U188">
            <v>906.68440754434414</v>
          </cell>
          <cell r="V188">
            <v>253005.97868145746</v>
          </cell>
          <cell r="W188">
            <v>184964.31943992444</v>
          </cell>
          <cell r="X188">
            <v>910.42592954619681</v>
          </cell>
          <cell r="Y188">
            <v>255005.92095461965</v>
          </cell>
          <cell r="Z188">
            <v>186442.89996736709</v>
          </cell>
          <cell r="AA188">
            <v>863.48591247428999</v>
          </cell>
          <cell r="AB188">
            <v>237540.8615122491</v>
          </cell>
          <cell r="AC188">
            <v>173678.01971269134</v>
          </cell>
          <cell r="AD188">
            <v>772.37064087460931</v>
          </cell>
          <cell r="AE188">
            <v>206001.22220846292</v>
          </cell>
          <cell r="AF188">
            <v>150676.56636889509</v>
          </cell>
          <cell r="AG188">
            <v>1388.4536664232919</v>
          </cell>
          <cell r="AH188">
            <v>391654.70164232916</v>
          </cell>
          <cell r="AI188">
            <v>286331.52053999656</v>
          </cell>
          <cell r="AJ188">
            <v>1476.350278509195</v>
          </cell>
          <cell r="AK188">
            <v>439481.72485091951</v>
          </cell>
          <cell r="AL188">
            <v>321160.08769422793</v>
          </cell>
          <cell r="AM188">
            <v>690.96424331046319</v>
          </cell>
          <cell r="AN188">
            <v>202475.28733549951</v>
          </cell>
          <cell r="AO188">
            <v>147982.52736740501</v>
          </cell>
        </row>
        <row r="189">
          <cell r="A189" t="str">
            <v>Service% protit / ventes</v>
          </cell>
          <cell r="B189" t="str">
            <v>% protit / ventes</v>
          </cell>
          <cell r="D189">
            <v>282.98129348194868</v>
          </cell>
          <cell r="E189">
            <v>0.73107843226140468</v>
          </cell>
          <cell r="G189">
            <v>267.71977868436062</v>
          </cell>
          <cell r="H189">
            <v>0.73160579489445798</v>
          </cell>
          <cell r="J189">
            <v>279.74588571346004</v>
          </cell>
          <cell r="K189">
            <v>0.73115908129847862</v>
          </cell>
          <cell r="M189">
            <v>277.63240760976095</v>
          </cell>
          <cell r="N189">
            <v>0.7312408532459721</v>
          </cell>
          <cell r="P189">
            <v>290.06476014048184</v>
          </cell>
          <cell r="Q189">
            <v>0.73094481662365129</v>
          </cell>
          <cell r="S189">
            <v>285.82659073360657</v>
          </cell>
          <cell r="T189">
            <v>0.73105666097994659</v>
          </cell>
          <cell r="V189">
            <v>279.04525166225875</v>
          </cell>
          <cell r="W189">
            <v>0.73106699060578473</v>
          </cell>
          <cell r="Y189">
            <v>280.09518696565215</v>
          </cell>
          <cell r="Z189">
            <v>0.73113165086290721</v>
          </cell>
          <cell r="AB189">
            <v>275.09523673823895</v>
          </cell>
          <cell r="AC189">
            <v>0.73115007922009834</v>
          </cell>
          <cell r="AE189">
            <v>266.71291127170929</v>
          </cell>
          <cell r="AF189">
            <v>0.73143530292464942</v>
          </cell>
          <cell r="AH189">
            <v>282.07977775106184</v>
          </cell>
          <cell r="AI189">
            <v>0.73108153518729646</v>
          </cell>
          <cell r="AK189">
            <v>297.68120157413057</v>
          </cell>
          <cell r="AL189">
            <v>0.73077006285795276</v>
          </cell>
          <cell r="AN189">
            <v>293.03294533075217</v>
          </cell>
          <cell r="AO189">
            <v>0.73086710637530528</v>
          </cell>
        </row>
        <row r="190">
          <cell r="A190" t="str">
            <v>Service</v>
          </cell>
        </row>
        <row r="191">
          <cell r="A191" t="str">
            <v>ServiceSous-traitement</v>
          </cell>
          <cell r="B191" t="str">
            <v>Sous-traitement</v>
          </cell>
          <cell r="C191">
            <v>0</v>
          </cell>
          <cell r="D191">
            <v>149998.60802777953</v>
          </cell>
          <cell r="E191">
            <v>32999.693766111493</v>
          </cell>
          <cell r="F191">
            <v>0</v>
          </cell>
          <cell r="G191">
            <v>7026.1662343061498</v>
          </cell>
          <cell r="H191">
            <v>1545.7565715473529</v>
          </cell>
          <cell r="I191">
            <v>0</v>
          </cell>
          <cell r="J191">
            <v>7085.2747437141779</v>
          </cell>
          <cell r="K191">
            <v>1558.7604436171191</v>
          </cell>
          <cell r="L191">
            <v>0</v>
          </cell>
          <cell r="M191">
            <v>10014.55659743501</v>
          </cell>
          <cell r="N191">
            <v>2203.2024514357022</v>
          </cell>
          <cell r="O191">
            <v>0</v>
          </cell>
          <cell r="P191">
            <v>18570</v>
          </cell>
          <cell r="Q191">
            <v>4085.4</v>
          </cell>
          <cell r="R191">
            <v>0</v>
          </cell>
          <cell r="S191">
            <v>20070</v>
          </cell>
          <cell r="T191">
            <v>4415.3999999999996</v>
          </cell>
          <cell r="U191">
            <v>0</v>
          </cell>
          <cell r="V191">
            <v>10438.085381968698</v>
          </cell>
          <cell r="W191">
            <v>2296.3787840331138</v>
          </cell>
          <cell r="X191">
            <v>0</v>
          </cell>
          <cell r="Y191">
            <v>11040</v>
          </cell>
          <cell r="Z191">
            <v>2428.8000000000002</v>
          </cell>
          <cell r="AA191">
            <v>0</v>
          </cell>
          <cell r="AB191">
            <v>9439.5426791557984</v>
          </cell>
          <cell r="AC191">
            <v>2076.6993894142756</v>
          </cell>
          <cell r="AD191">
            <v>0</v>
          </cell>
          <cell r="AE191">
            <v>7886.3858120749837</v>
          </cell>
          <cell r="AF191">
            <v>1735.0048786564964</v>
          </cell>
          <cell r="AG191">
            <v>0</v>
          </cell>
          <cell r="AH191">
            <v>17175</v>
          </cell>
          <cell r="AI191">
            <v>3778.5</v>
          </cell>
          <cell r="AJ191">
            <v>0</v>
          </cell>
          <cell r="AK191">
            <v>21585</v>
          </cell>
          <cell r="AL191">
            <v>4748.7</v>
          </cell>
          <cell r="AM191">
            <v>0</v>
          </cell>
          <cell r="AN191">
            <v>9668.5965791247181</v>
          </cell>
          <cell r="AO191">
            <v>2127.091247407438</v>
          </cell>
        </row>
        <row r="192">
          <cell r="A192" t="str">
            <v>Service% profit / ventes</v>
          </cell>
          <cell r="B192" t="str">
            <v>% profit / ventes</v>
          </cell>
          <cell r="E192">
            <v>0.21999999999999997</v>
          </cell>
          <cell r="H192">
            <v>0.22</v>
          </cell>
          <cell r="K192">
            <v>0.22</v>
          </cell>
          <cell r="N192">
            <v>0.22</v>
          </cell>
          <cell r="Q192">
            <v>0.22</v>
          </cell>
          <cell r="T192">
            <v>0.21999999999999997</v>
          </cell>
          <cell r="W192">
            <v>0.22000000000000003</v>
          </cell>
          <cell r="Z192">
            <v>0.22000000000000003</v>
          </cell>
          <cell r="AC192">
            <v>0.22</v>
          </cell>
          <cell r="AF192">
            <v>0.22</v>
          </cell>
          <cell r="AI192">
            <v>0.22</v>
          </cell>
          <cell r="AL192">
            <v>0.22</v>
          </cell>
          <cell r="AO192">
            <v>0.22</v>
          </cell>
        </row>
        <row r="193">
          <cell r="A193" t="str">
            <v>Service</v>
          </cell>
        </row>
        <row r="194">
          <cell r="A194" t="str">
            <v>ServiceM.O. Recond. MCPA</v>
          </cell>
          <cell r="B194" t="str">
            <v>M.O. Recond. MCPA</v>
          </cell>
          <cell r="C194">
            <v>0</v>
          </cell>
          <cell r="D194">
            <v>167999.99999999997</v>
          </cell>
          <cell r="E194">
            <v>117600</v>
          </cell>
          <cell r="F194">
            <v>0</v>
          </cell>
          <cell r="G194">
            <v>13089.08267109121</v>
          </cell>
          <cell r="H194">
            <v>9162.3578697638459</v>
          </cell>
          <cell r="I194">
            <v>0</v>
          </cell>
          <cell r="J194">
            <v>9011.4229728258633</v>
          </cell>
          <cell r="K194">
            <v>6307.9960809781041</v>
          </cell>
          <cell r="L194">
            <v>0</v>
          </cell>
          <cell r="M194">
            <v>13698.918515126148</v>
          </cell>
          <cell r="N194">
            <v>9589.2429605883026</v>
          </cell>
          <cell r="O194">
            <v>0</v>
          </cell>
          <cell r="P194">
            <v>15173.371672679088</v>
          </cell>
          <cell r="Q194">
            <v>10621.360170875361</v>
          </cell>
          <cell r="R194">
            <v>0</v>
          </cell>
          <cell r="S194">
            <v>19827.442913289764</v>
          </cell>
          <cell r="T194">
            <v>13879.210039302834</v>
          </cell>
          <cell r="U194">
            <v>0</v>
          </cell>
          <cell r="V194">
            <v>13969.255948917578</v>
          </cell>
          <cell r="W194">
            <v>9778.4791642423043</v>
          </cell>
          <cell r="X194">
            <v>0</v>
          </cell>
          <cell r="Y194">
            <v>13907.872954619679</v>
          </cell>
          <cell r="Z194">
            <v>9735.5110682337745</v>
          </cell>
          <cell r="AA194">
            <v>0</v>
          </cell>
          <cell r="AB194">
            <v>14726.66323814815</v>
          </cell>
          <cell r="AC194">
            <v>10308.664266703705</v>
          </cell>
          <cell r="AD194">
            <v>0</v>
          </cell>
          <cell r="AE194">
            <v>16137.421028330324</v>
          </cell>
          <cell r="AF194">
            <v>11296.194719831226</v>
          </cell>
          <cell r="AG194">
            <v>0</v>
          </cell>
          <cell r="AH194">
            <v>20016.216642329189</v>
          </cell>
          <cell r="AI194">
            <v>14011.351649630431</v>
          </cell>
          <cell r="AJ194">
            <v>0</v>
          </cell>
          <cell r="AK194">
            <v>11632.497850919506</v>
          </cell>
          <cell r="AL194">
            <v>8142.7484956436538</v>
          </cell>
          <cell r="AM194">
            <v>0</v>
          </cell>
          <cell r="AN194">
            <v>6809.8335917235054</v>
          </cell>
          <cell r="AO194">
            <v>4766.8835142064536</v>
          </cell>
        </row>
        <row r="195">
          <cell r="A195" t="str">
            <v>Service% profit / ventes</v>
          </cell>
          <cell r="B195" t="str">
            <v>% profit / ventes</v>
          </cell>
          <cell r="E195">
            <v>0.70000000000000007</v>
          </cell>
          <cell r="H195">
            <v>0.7</v>
          </cell>
          <cell r="K195">
            <v>0.7</v>
          </cell>
          <cell r="N195">
            <v>0.7</v>
          </cell>
          <cell r="Q195">
            <v>0.7</v>
          </cell>
          <cell r="T195">
            <v>0.7</v>
          </cell>
          <cell r="W195">
            <v>0.7</v>
          </cell>
          <cell r="Z195">
            <v>0.7</v>
          </cell>
          <cell r="AC195">
            <v>0.7</v>
          </cell>
          <cell r="AF195">
            <v>0.7</v>
          </cell>
          <cell r="AI195">
            <v>0.7</v>
          </cell>
          <cell r="AL195">
            <v>0.7</v>
          </cell>
          <cell r="AO195">
            <v>0.7</v>
          </cell>
        </row>
        <row r="196">
          <cell r="A196" t="str">
            <v>Service</v>
          </cell>
        </row>
        <row r="197">
          <cell r="A197" t="str">
            <v>ServiceTotal Mécanique</v>
          </cell>
          <cell r="B197" t="str">
            <v>Total Mécanique</v>
          </cell>
          <cell r="D197">
            <v>3690797.2437686916</v>
          </cell>
          <cell r="E197">
            <v>2616380.0327169821</v>
          </cell>
          <cell r="G197">
            <v>185940.33345227316</v>
          </cell>
          <cell r="H197">
            <v>132026.70723466895</v>
          </cell>
          <cell r="J197">
            <v>178804.41123069511</v>
          </cell>
          <cell r="K197">
            <v>126831.97885778092</v>
          </cell>
          <cell r="M197">
            <v>254133.38302093593</v>
          </cell>
          <cell r="N197">
            <v>180284.8954758023</v>
          </cell>
          <cell r="P197">
            <v>427783.67734535813</v>
          </cell>
          <cell r="Q197">
            <v>302728.4791431193</v>
          </cell>
          <cell r="S197">
            <v>474537.36982657952</v>
          </cell>
          <cell r="T197">
            <v>336041.02373710048</v>
          </cell>
          <cell r="V197">
            <v>277413.32001234376</v>
          </cell>
          <cell r="W197">
            <v>197039.17738819987</v>
          </cell>
          <cell r="Y197">
            <v>279953.79390923935</v>
          </cell>
          <cell r="Z197">
            <v>198607.21103560086</v>
          </cell>
          <cell r="AB197">
            <v>261707.06742955305</v>
          </cell>
          <cell r="AC197">
            <v>186063.38336880933</v>
          </cell>
          <cell r="AE197">
            <v>230025.02904886822</v>
          </cell>
          <cell r="AF197">
            <v>163707.76596738282</v>
          </cell>
          <cell r="AH197">
            <v>428845.91828465834</v>
          </cell>
          <cell r="AI197">
            <v>304121.37218962697</v>
          </cell>
          <cell r="AK197">
            <v>472699.222701839</v>
          </cell>
          <cell r="AL197">
            <v>334051.53618987161</v>
          </cell>
          <cell r="AN197">
            <v>218953.71750634772</v>
          </cell>
          <cell r="AO197">
            <v>154876.50212901889</v>
          </cell>
        </row>
        <row r="198">
          <cell r="A198" t="str">
            <v>Service</v>
          </cell>
          <cell r="E198">
            <v>0.70889291931013343</v>
          </cell>
          <cell r="H198">
            <v>0.7100487816891935</v>
          </cell>
          <cell r="K198">
            <v>0.70933361198869482</v>
          </cell>
          <cell r="N198">
            <v>0.70941052030519791</v>
          </cell>
          <cell r="Q198">
            <v>0.70766720465288036</v>
          </cell>
          <cell r="T198">
            <v>0.70814448999012913</v>
          </cell>
          <cell r="W198">
            <v>0.71027295077046926</v>
          </cell>
          <cell r="Z198">
            <v>0.7094285391252424</v>
          </cell>
          <cell r="AC198">
            <v>0.71096048416382307</v>
          </cell>
          <cell r="AF198">
            <v>0.71169544742282598</v>
          </cell>
          <cell r="AI198">
            <v>0.70916233365606618</v>
          </cell>
          <cell r="AL198">
            <v>0.70668941294320431</v>
          </cell>
          <cell r="AO198">
            <v>0.70734812769063327</v>
          </cell>
        </row>
        <row r="199">
          <cell r="A199" t="str">
            <v>Service</v>
          </cell>
        </row>
        <row r="200">
          <cell r="A200" t="str">
            <v>ServiceDEPENSES</v>
          </cell>
          <cell r="B200" t="str">
            <v>DEPENSES</v>
          </cell>
        </row>
        <row r="201">
          <cell r="A201" t="str">
            <v>ServiceSalaires cadres</v>
          </cell>
          <cell r="B201" t="str">
            <v>Salaires cadres</v>
          </cell>
          <cell r="E201">
            <v>200107.22499999998</v>
          </cell>
          <cell r="H201">
            <v>15728.762179487177</v>
          </cell>
          <cell r="K201">
            <v>15728.762179487177</v>
          </cell>
          <cell r="N201">
            <v>18569.281891025639</v>
          </cell>
          <cell r="Q201">
            <v>15728.762179487177</v>
          </cell>
          <cell r="T201">
            <v>18569.281891025639</v>
          </cell>
          <cell r="W201">
            <v>15728.762179487177</v>
          </cell>
          <cell r="Z201">
            <v>15728.762179487177</v>
          </cell>
          <cell r="AC201">
            <v>18569.281891025639</v>
          </cell>
          <cell r="AF201">
            <v>15728.762179487177</v>
          </cell>
          <cell r="AI201">
            <v>15728.762179487177</v>
          </cell>
          <cell r="AL201">
            <v>18569.281891025639</v>
          </cell>
          <cell r="AO201">
            <v>15728.762179487177</v>
          </cell>
        </row>
        <row r="202">
          <cell r="A202" t="str">
            <v>ServiceSalaires commis</v>
          </cell>
          <cell r="B202" t="str">
            <v>Salaires commis</v>
          </cell>
          <cell r="E202">
            <v>110532.42199999999</v>
          </cell>
          <cell r="H202">
            <v>8540.9555384615378</v>
          </cell>
          <cell r="K202">
            <v>8540.9555384615378</v>
          </cell>
          <cell r="N202">
            <v>10551.194423076922</v>
          </cell>
          <cell r="Q202">
            <v>8540.9555384615378</v>
          </cell>
          <cell r="T202">
            <v>10551.194423076922</v>
          </cell>
          <cell r="W202">
            <v>8540.9555384615378</v>
          </cell>
          <cell r="Z202">
            <v>8540.9555384615378</v>
          </cell>
          <cell r="AC202">
            <v>10551.194423076922</v>
          </cell>
          <cell r="AF202">
            <v>8540.9555384615378</v>
          </cell>
          <cell r="AI202">
            <v>8540.9555384615378</v>
          </cell>
          <cell r="AL202">
            <v>10551.194423076922</v>
          </cell>
          <cell r="AO202">
            <v>8540.9555384615378</v>
          </cell>
        </row>
        <row r="203">
          <cell r="A203" t="str">
            <v>ServiceSalaires autres</v>
          </cell>
          <cell r="B203" t="str">
            <v>Salaires autres</v>
          </cell>
          <cell r="E203">
            <v>225525.50000000003</v>
          </cell>
          <cell r="H203">
            <v>17386.576923076926</v>
          </cell>
          <cell r="K203">
            <v>17386.576923076926</v>
          </cell>
          <cell r="N203">
            <v>21608.221153846152</v>
          </cell>
          <cell r="Q203">
            <v>17386.576923076926</v>
          </cell>
          <cell r="T203">
            <v>21608.221153846152</v>
          </cell>
          <cell r="W203">
            <v>17386.576923076926</v>
          </cell>
          <cell r="Z203">
            <v>17386.576923076926</v>
          </cell>
          <cell r="AC203">
            <v>21608.221153846152</v>
          </cell>
          <cell r="AF203">
            <v>17386.576923076926</v>
          </cell>
          <cell r="AI203">
            <v>17386.576923076926</v>
          </cell>
          <cell r="AL203">
            <v>21608.221153846152</v>
          </cell>
          <cell r="AO203">
            <v>17386.576923076926</v>
          </cell>
        </row>
        <row r="204">
          <cell r="A204" t="str">
            <v>ServiceSalaires spécialistes</v>
          </cell>
          <cell r="B204" t="str">
            <v>Salaires spécialistes</v>
          </cell>
          <cell r="E204">
            <v>365799.26791981579</v>
          </cell>
          <cell r="H204">
            <v>22290.336382194619</v>
          </cell>
          <cell r="K204">
            <v>22366.944585270074</v>
          </cell>
          <cell r="N204">
            <v>29459.471030658788</v>
          </cell>
          <cell r="Q204">
            <v>37251.8431136</v>
          </cell>
          <cell r="T204">
            <v>42491.9338336</v>
          </cell>
          <cell r="W204">
            <v>26712.389950435332</v>
          </cell>
          <cell r="Z204">
            <v>27492.507699199999</v>
          </cell>
          <cell r="AC204">
            <v>28714.218215727149</v>
          </cell>
          <cell r="AF204">
            <v>23405.232981063091</v>
          </cell>
          <cell r="AI204">
            <v>35443.838744000001</v>
          </cell>
          <cell r="AL204">
            <v>44455.465460799998</v>
          </cell>
          <cell r="AO204">
            <v>25715.085923266739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  <cell r="H205">
            <v>0</v>
          </cell>
          <cell r="K205">
            <v>0</v>
          </cell>
          <cell r="N205">
            <v>0</v>
          </cell>
          <cell r="Q205">
            <v>0</v>
          </cell>
          <cell r="T205">
            <v>0</v>
          </cell>
          <cell r="W205">
            <v>0</v>
          </cell>
          <cell r="Z205">
            <v>0</v>
          </cell>
          <cell r="AC205">
            <v>0</v>
          </cell>
          <cell r="AF205">
            <v>0</v>
          </cell>
          <cell r="AI205">
            <v>0</v>
          </cell>
          <cell r="AL205">
            <v>0</v>
          </cell>
          <cell r="AO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  <cell r="H206">
            <v>0</v>
          </cell>
          <cell r="K206">
            <v>0</v>
          </cell>
          <cell r="N206">
            <v>0</v>
          </cell>
          <cell r="Q206">
            <v>0</v>
          </cell>
          <cell r="T206">
            <v>0</v>
          </cell>
          <cell r="W206">
            <v>0</v>
          </cell>
          <cell r="Z206">
            <v>0</v>
          </cell>
          <cell r="AC206">
            <v>0</v>
          </cell>
          <cell r="AF206">
            <v>0</v>
          </cell>
          <cell r="AI206">
            <v>0</v>
          </cell>
          <cell r="AL206">
            <v>0</v>
          </cell>
          <cell r="AO206">
            <v>0</v>
          </cell>
        </row>
        <row r="207">
          <cell r="A207" t="str">
            <v>Service[...]</v>
          </cell>
          <cell r="B207" t="str">
            <v>[...]</v>
          </cell>
          <cell r="E207">
            <v>0</v>
          </cell>
          <cell r="H207">
            <v>0</v>
          </cell>
          <cell r="K207">
            <v>0</v>
          </cell>
          <cell r="N207">
            <v>0</v>
          </cell>
          <cell r="Q207">
            <v>0</v>
          </cell>
          <cell r="T207">
            <v>0</v>
          </cell>
          <cell r="W207">
            <v>0</v>
          </cell>
          <cell r="Z207">
            <v>0</v>
          </cell>
          <cell r="AC207">
            <v>0</v>
          </cell>
          <cell r="AF207">
            <v>0</v>
          </cell>
          <cell r="AI207">
            <v>0</v>
          </cell>
          <cell r="AL207">
            <v>0</v>
          </cell>
          <cell r="AO207">
            <v>0</v>
          </cell>
        </row>
        <row r="208">
          <cell r="A208" t="str">
            <v>ServiceSalaires en absences</v>
          </cell>
          <cell r="B208" t="str">
            <v>Salaires en absences</v>
          </cell>
          <cell r="E208">
            <v>209744.26717906876</v>
          </cell>
          <cell r="H208">
            <v>12657.897135159797</v>
          </cell>
          <cell r="K208">
            <v>12579.878101224591</v>
          </cell>
          <cell r="N208">
            <v>16539.370539953656</v>
          </cell>
          <cell r="Q208">
            <v>21337.650925649403</v>
          </cell>
          <cell r="T208">
            <v>24257.202352684133</v>
          </cell>
          <cell r="W208">
            <v>15831.041725044821</v>
          </cell>
          <cell r="Z208">
            <v>15978.759647668778</v>
          </cell>
          <cell r="AC208">
            <v>16674.450424347018</v>
          </cell>
          <cell r="AF208">
            <v>14012.29952289802</v>
          </cell>
          <cell r="AI208">
            <v>21053.513894315158</v>
          </cell>
          <cell r="AL208">
            <v>24642.155259697473</v>
          </cell>
          <cell r="AO208">
            <v>14180.047650425911</v>
          </cell>
        </row>
        <row r="209">
          <cell r="A209" t="str">
            <v>ServiceDéduction à la source</v>
          </cell>
          <cell r="B209" t="str">
            <v>Déduction à la source</v>
          </cell>
          <cell r="E209">
            <v>255019.46141596028</v>
          </cell>
          <cell r="H209">
            <v>15390.218543189885</v>
          </cell>
          <cell r="K209">
            <v>15295.358396202588</v>
          </cell>
          <cell r="N209">
            <v>20109.543035362156</v>
          </cell>
          <cell r="Q209">
            <v>25943.575574798393</v>
          </cell>
          <cell r="T209">
            <v>29493.338543351638</v>
          </cell>
          <cell r="W209">
            <v>19248.315048953176</v>
          </cell>
          <cell r="Z209">
            <v>19427.919219191994</v>
          </cell>
          <cell r="AC209">
            <v>20273.781132686243</v>
          </cell>
          <cell r="AF209">
            <v>17036.980917708606</v>
          </cell>
          <cell r="AI209">
            <v>25598.104999255436</v>
          </cell>
          <cell r="AL209">
            <v>29961.387011790761</v>
          </cell>
          <cell r="AO209">
            <v>17240.93899346939</v>
          </cell>
        </row>
        <row r="210">
          <cell r="A210" t="str">
            <v>ServiceBénéfices marginaux</v>
          </cell>
          <cell r="B210" t="str">
            <v>Bénéfices marginaux</v>
          </cell>
          <cell r="E210">
            <v>131390.46164257085</v>
          </cell>
          <cell r="H210">
            <v>7929.3082494260925</v>
          </cell>
          <cell r="K210">
            <v>7880.4346519565488</v>
          </cell>
          <cell r="N210">
            <v>10360.786303001805</v>
          </cell>
          <cell r="Q210">
            <v>13366.581328754823</v>
          </cell>
          <cell r="T210">
            <v>15195.480945161602</v>
          </cell>
          <cell r="W210">
            <v>9917.0666665258741</v>
          </cell>
          <cell r="Z210">
            <v>10009.601858583701</v>
          </cell>
          <cell r="AC210">
            <v>10445.404627057909</v>
          </cell>
          <cell r="AF210">
            <v>8777.7488641237815</v>
          </cell>
          <cell r="AI210">
            <v>13188.588880051169</v>
          </cell>
          <cell r="AL210">
            <v>15436.627656074805</v>
          </cell>
          <cell r="AO210">
            <v>8882.8316118527073</v>
          </cell>
        </row>
        <row r="211">
          <cell r="A211" t="str">
            <v>ServiceCsst</v>
          </cell>
          <cell r="B211" t="str">
            <v>Csst</v>
          </cell>
          <cell r="E211">
            <v>57286.980463005551</v>
          </cell>
          <cell r="H211">
            <v>3457.223006078887</v>
          </cell>
          <cell r="K211">
            <v>3435.9138426252184</v>
          </cell>
          <cell r="N211">
            <v>4517.3611166393239</v>
          </cell>
          <cell r="Q211">
            <v>5827.9046581068851</v>
          </cell>
          <cell r="T211">
            <v>6625.3151800282658</v>
          </cell>
          <cell r="W211">
            <v>4323.8968588228145</v>
          </cell>
          <cell r="Z211">
            <v>4364.2427231518241</v>
          </cell>
          <cell r="AC211">
            <v>4554.255181980242</v>
          </cell>
          <cell r="AF211">
            <v>3827.1478873113533</v>
          </cell>
          <cell r="AI211">
            <v>5750.2989491081044</v>
          </cell>
          <cell r="AL211">
            <v>6730.4565026486489</v>
          </cell>
          <cell r="AO211">
            <v>3872.9645565039932</v>
          </cell>
        </row>
        <row r="212">
          <cell r="A212" t="str">
            <v>Service[...]</v>
          </cell>
          <cell r="B212" t="str">
            <v>[...]</v>
          </cell>
          <cell r="E212">
            <v>0</v>
          </cell>
        </row>
        <row r="213">
          <cell r="A213" t="str">
            <v>ServiceTOTAL PERSONNEL</v>
          </cell>
          <cell r="B213" t="str">
            <v>TOTAL PERSONNEL</v>
          </cell>
          <cell r="C213" t="str">
            <v>%brut</v>
          </cell>
          <cell r="D213">
            <v>0.59448763794654436</v>
          </cell>
          <cell r="E213">
            <v>1555405.5856204212</v>
          </cell>
          <cell r="F213" t="str">
            <v>%brut</v>
          </cell>
          <cell r="G213">
            <v>0.78303307052353699</v>
          </cell>
          <cell r="H213">
            <v>103381.27795707491</v>
          </cell>
          <cell r="I213" t="str">
            <v>%brut</v>
          </cell>
          <cell r="J213">
            <v>0.81379179878634056</v>
          </cell>
          <cell r="K213">
            <v>103214.82421830465</v>
          </cell>
          <cell r="L213" t="str">
            <v>%brut</v>
          </cell>
          <cell r="M213">
            <v>0.73059492391720182</v>
          </cell>
          <cell r="N213">
            <v>131715.22949356446</v>
          </cell>
          <cell r="O213" t="str">
            <v>%brut</v>
          </cell>
          <cell r="P213">
            <v>0.48024503889904196</v>
          </cell>
          <cell r="Q213">
            <v>145383.85024193514</v>
          </cell>
          <cell r="R213" t="str">
            <v>%brut</v>
          </cell>
          <cell r="S213">
            <v>0.50229572105704468</v>
          </cell>
          <cell r="T213">
            <v>168791.96832277434</v>
          </cell>
          <cell r="U213" t="str">
            <v>%brut</v>
          </cell>
          <cell r="V213">
            <v>0.5972873336704041</v>
          </cell>
          <cell r="W213">
            <v>117689.00489080767</v>
          </cell>
          <cell r="X213" t="str">
            <v>%brut</v>
          </cell>
          <cell r="Y213">
            <v>0.59881675578991711</v>
          </cell>
          <cell r="Z213">
            <v>118929.32578882194</v>
          </cell>
          <cell r="AA213" t="str">
            <v>%brut</v>
          </cell>
          <cell r="AB213">
            <v>0.70616154920341467</v>
          </cell>
          <cell r="AC213">
            <v>131390.80704974727</v>
          </cell>
          <cell r="AD213" t="str">
            <v>%brut</v>
          </cell>
          <cell r="AE213">
            <v>0.66408398020525816</v>
          </cell>
          <cell r="AF213">
            <v>108715.70481413048</v>
          </cell>
          <cell r="AG213" t="str">
            <v>%brut</v>
          </cell>
          <cell r="AH213">
            <v>0.46918978130476291</v>
          </cell>
          <cell r="AI213">
            <v>142690.64010775549</v>
          </cell>
          <cell r="AJ213" t="str">
            <v>%brut</v>
          </cell>
          <cell r="AK213">
            <v>0.51475527195666892</v>
          </cell>
          <cell r="AL213">
            <v>171954.78935896041</v>
          </cell>
          <cell r="AM213" t="str">
            <v>%brut</v>
          </cell>
          <cell r="AN213">
            <v>0.72023942846810873</v>
          </cell>
          <cell r="AO213">
            <v>111548.16337654438</v>
          </cell>
        </row>
        <row r="214">
          <cell r="A214" t="str">
            <v>ServicePublicité 2</v>
          </cell>
          <cell r="B214" t="str">
            <v>Publicité 2</v>
          </cell>
          <cell r="E214">
            <v>124643.90782958329</v>
          </cell>
          <cell r="H214">
            <v>10386.992319131941</v>
          </cell>
          <cell r="K214">
            <v>10386.992319131941</v>
          </cell>
          <cell r="N214">
            <v>10386.992319131941</v>
          </cell>
          <cell r="Q214">
            <v>10386.992319131941</v>
          </cell>
          <cell r="T214">
            <v>10386.992319131941</v>
          </cell>
          <cell r="W214">
            <v>10386.992319131941</v>
          </cell>
          <cell r="Z214">
            <v>10386.992319131941</v>
          </cell>
          <cell r="AC214">
            <v>10386.992319131941</v>
          </cell>
          <cell r="AF214">
            <v>10386.992319131941</v>
          </cell>
          <cell r="AI214">
            <v>10386.992319131941</v>
          </cell>
          <cell r="AL214">
            <v>10386.992319131941</v>
          </cell>
          <cell r="AO214">
            <v>10386.992319131941</v>
          </cell>
        </row>
        <row r="215">
          <cell r="A215" t="str">
            <v>ServiceService gratuit 2</v>
          </cell>
          <cell r="B215" t="str">
            <v>Service gratuit 2</v>
          </cell>
          <cell r="E215">
            <v>46324.71188201334</v>
          </cell>
          <cell r="H215">
            <v>3860.3926568344446</v>
          </cell>
          <cell r="K215">
            <v>3860.3926568344446</v>
          </cell>
          <cell r="N215">
            <v>3860.3926568344446</v>
          </cell>
          <cell r="Q215">
            <v>3860.3926568344446</v>
          </cell>
          <cell r="T215">
            <v>3860.3926568344446</v>
          </cell>
          <cell r="W215">
            <v>3860.3926568344446</v>
          </cell>
          <cell r="Z215">
            <v>3860.3926568344446</v>
          </cell>
          <cell r="AC215">
            <v>3860.3926568344446</v>
          </cell>
          <cell r="AF215">
            <v>3860.3926568344446</v>
          </cell>
          <cell r="AI215">
            <v>3860.3926568344446</v>
          </cell>
          <cell r="AL215">
            <v>3860.3926568344446</v>
          </cell>
          <cell r="AO215">
            <v>3860.3926568344446</v>
          </cell>
        </row>
        <row r="216">
          <cell r="A216" t="str">
            <v>ServiceFrais véhicules de cie</v>
          </cell>
          <cell r="B216" t="str">
            <v>Frais véhicules de cie</v>
          </cell>
          <cell r="E216">
            <v>160000</v>
          </cell>
          <cell r="H216">
            <v>13333.333333333334</v>
          </cell>
          <cell r="K216">
            <v>13333.333333333334</v>
          </cell>
          <cell r="N216">
            <v>13333.333333333334</v>
          </cell>
          <cell r="Q216">
            <v>13333.333333333334</v>
          </cell>
          <cell r="T216">
            <v>13333.333333333334</v>
          </cell>
          <cell r="W216">
            <v>13333.333333333334</v>
          </cell>
          <cell r="Z216">
            <v>13333.333333333334</v>
          </cell>
          <cell r="AC216">
            <v>13333.333333333334</v>
          </cell>
          <cell r="AF216">
            <v>13333.333333333334</v>
          </cell>
          <cell r="AI216">
            <v>13333.333333333334</v>
          </cell>
          <cell r="AL216">
            <v>13333.333333333334</v>
          </cell>
          <cell r="AO216">
            <v>13333.333333333334</v>
          </cell>
        </row>
        <row r="217">
          <cell r="A217" t="str">
            <v>ServiceInformatique</v>
          </cell>
          <cell r="B217" t="str">
            <v>Informatique</v>
          </cell>
          <cell r="E217">
            <v>52330.582495999988</v>
          </cell>
          <cell r="H217">
            <v>4360.8818746666657</v>
          </cell>
          <cell r="K217">
            <v>4360.8818746666657</v>
          </cell>
          <cell r="N217">
            <v>4360.8818746666657</v>
          </cell>
          <cell r="Q217">
            <v>4360.8818746666657</v>
          </cell>
          <cell r="T217">
            <v>4360.8818746666657</v>
          </cell>
          <cell r="W217">
            <v>4360.8818746666657</v>
          </cell>
          <cell r="Z217">
            <v>4360.8818746666657</v>
          </cell>
          <cell r="AC217">
            <v>4360.8818746666657</v>
          </cell>
          <cell r="AF217">
            <v>4360.8818746666657</v>
          </cell>
          <cell r="AI217">
            <v>4360.8818746666657</v>
          </cell>
          <cell r="AL217">
            <v>4360.8818746666657</v>
          </cell>
          <cell r="AO217">
            <v>4360.8818746666657</v>
          </cell>
        </row>
        <row r="218">
          <cell r="A218" t="str">
            <v>ServiceFrais de déplacement</v>
          </cell>
          <cell r="B218" t="str">
            <v>Frais de déplacement</v>
          </cell>
          <cell r="E218">
            <v>13192.582256247888</v>
          </cell>
          <cell r="H218">
            <v>1099.3818546873238</v>
          </cell>
          <cell r="K218">
            <v>1099.3818546873238</v>
          </cell>
          <cell r="N218">
            <v>1099.3818546873238</v>
          </cell>
          <cell r="Q218">
            <v>1099.3818546873238</v>
          </cell>
          <cell r="T218">
            <v>1099.3818546873238</v>
          </cell>
          <cell r="W218">
            <v>1099.3818546873238</v>
          </cell>
          <cell r="Z218">
            <v>1099.3818546873238</v>
          </cell>
          <cell r="AC218">
            <v>1099.3818546873238</v>
          </cell>
          <cell r="AF218">
            <v>1099.3818546873238</v>
          </cell>
          <cell r="AI218">
            <v>1099.3818546873238</v>
          </cell>
          <cell r="AL218">
            <v>1099.3818546873238</v>
          </cell>
          <cell r="AO218">
            <v>1099.3818546873238</v>
          </cell>
        </row>
        <row r="219">
          <cell r="A219" t="str">
            <v>ServiceServices extérieurs</v>
          </cell>
          <cell r="B219" t="str">
            <v>Services extérieurs</v>
          </cell>
          <cell r="E219">
            <v>79701.264029866681</v>
          </cell>
          <cell r="H219">
            <v>5641.7720024888895</v>
          </cell>
          <cell r="K219">
            <v>5641.7720024888895</v>
          </cell>
          <cell r="N219">
            <v>5141.7720024888895</v>
          </cell>
          <cell r="Q219">
            <v>5141.7720024888895</v>
          </cell>
          <cell r="T219">
            <v>10141.772002488889</v>
          </cell>
          <cell r="W219">
            <v>5641.7720024888895</v>
          </cell>
          <cell r="Z219">
            <v>5641.7720024888895</v>
          </cell>
          <cell r="AC219">
            <v>3641.772002488889</v>
          </cell>
          <cell r="AF219">
            <v>3641.772002488889</v>
          </cell>
          <cell r="AI219">
            <v>10141.772002488889</v>
          </cell>
          <cell r="AL219">
            <v>15141.772002488889</v>
          </cell>
          <cell r="AO219">
            <v>4141.7720024888895</v>
          </cell>
        </row>
        <row r="220">
          <cell r="A220" t="str">
            <v>ServiceFournitures d'atelier</v>
          </cell>
          <cell r="B220" t="str">
            <v>Fournitures d'atelier</v>
          </cell>
          <cell r="E220">
            <v>0</v>
          </cell>
          <cell r="H220">
            <v>0</v>
          </cell>
          <cell r="K220">
            <v>0</v>
          </cell>
          <cell r="N220">
            <v>0</v>
          </cell>
          <cell r="Q220">
            <v>0</v>
          </cell>
          <cell r="T220">
            <v>0</v>
          </cell>
          <cell r="W220">
            <v>0</v>
          </cell>
          <cell r="Z220">
            <v>0</v>
          </cell>
          <cell r="AC220">
            <v>0</v>
          </cell>
          <cell r="AF220">
            <v>0</v>
          </cell>
          <cell r="AI220">
            <v>0</v>
          </cell>
          <cell r="AL220">
            <v>0</v>
          </cell>
          <cell r="AO220">
            <v>0</v>
          </cell>
        </row>
        <row r="221">
          <cell r="A221" t="str">
            <v>ServiceFournitures autres</v>
          </cell>
          <cell r="B221" t="str">
            <v>Fournitures autres</v>
          </cell>
          <cell r="E221">
            <v>67000.000000000015</v>
          </cell>
          <cell r="H221">
            <v>5583.333333333333</v>
          </cell>
          <cell r="K221">
            <v>5583.333333333333</v>
          </cell>
          <cell r="N221">
            <v>5583.333333333333</v>
          </cell>
          <cell r="Q221">
            <v>5583.333333333333</v>
          </cell>
          <cell r="T221">
            <v>5583.333333333333</v>
          </cell>
          <cell r="W221">
            <v>5583.333333333333</v>
          </cell>
          <cell r="Z221">
            <v>5583.333333333333</v>
          </cell>
          <cell r="AC221">
            <v>5583.333333333333</v>
          </cell>
          <cell r="AF221">
            <v>5583.333333333333</v>
          </cell>
          <cell r="AI221">
            <v>5583.333333333333</v>
          </cell>
          <cell r="AL221">
            <v>5583.333333333333</v>
          </cell>
          <cell r="AO221">
            <v>5583.333333333333</v>
          </cell>
        </row>
        <row r="222">
          <cell r="A222" t="str">
            <v>ServiceUniformes</v>
          </cell>
          <cell r="B222" t="str">
            <v>Uniformes</v>
          </cell>
          <cell r="E222">
            <v>14663.299651285315</v>
          </cell>
          <cell r="H222">
            <v>1221.9416376071097</v>
          </cell>
          <cell r="K222">
            <v>1221.9416376071097</v>
          </cell>
          <cell r="N222">
            <v>1221.9416376071097</v>
          </cell>
          <cell r="Q222">
            <v>1221.9416376071097</v>
          </cell>
          <cell r="T222">
            <v>1221.9416376071097</v>
          </cell>
          <cell r="W222">
            <v>1221.9416376071097</v>
          </cell>
          <cell r="Z222">
            <v>1221.9416376071097</v>
          </cell>
          <cell r="AC222">
            <v>1221.9416376071097</v>
          </cell>
          <cell r="AF222">
            <v>1221.9416376071097</v>
          </cell>
          <cell r="AI222">
            <v>1221.9416376071097</v>
          </cell>
          <cell r="AL222">
            <v>1221.9416376071097</v>
          </cell>
          <cell r="AO222">
            <v>1221.9416376071097</v>
          </cell>
        </row>
        <row r="223">
          <cell r="A223" t="str">
            <v>ServicePapeterie</v>
          </cell>
          <cell r="B223" t="str">
            <v>Papeterie</v>
          </cell>
          <cell r="E223">
            <v>8978.4511677120008</v>
          </cell>
          <cell r="H223">
            <v>748.20426397599988</v>
          </cell>
          <cell r="K223">
            <v>748.20426397599988</v>
          </cell>
          <cell r="N223">
            <v>748.20426397599988</v>
          </cell>
          <cell r="Q223">
            <v>748.20426397599988</v>
          </cell>
          <cell r="T223">
            <v>748.20426397599988</v>
          </cell>
          <cell r="W223">
            <v>748.20426397599988</v>
          </cell>
          <cell r="Z223">
            <v>748.20426397599988</v>
          </cell>
          <cell r="AC223">
            <v>748.20426397599988</v>
          </cell>
          <cell r="AF223">
            <v>748.20426397599988</v>
          </cell>
          <cell r="AI223">
            <v>748.20426397599988</v>
          </cell>
          <cell r="AL223">
            <v>748.20426397599988</v>
          </cell>
          <cell r="AO223">
            <v>748.20426397599988</v>
          </cell>
        </row>
        <row r="224">
          <cell r="A224" t="str">
            <v>ServiceTéléphone</v>
          </cell>
          <cell r="B224" t="str">
            <v>Téléphone</v>
          </cell>
          <cell r="E224">
            <v>2593.0447654759992</v>
          </cell>
          <cell r="H224">
            <v>216.08706378966664</v>
          </cell>
          <cell r="K224">
            <v>216.08706378966664</v>
          </cell>
          <cell r="N224">
            <v>216.08706378966664</v>
          </cell>
          <cell r="Q224">
            <v>216.08706378966664</v>
          </cell>
          <cell r="T224">
            <v>216.08706378966664</v>
          </cell>
          <cell r="W224">
            <v>216.08706378966664</v>
          </cell>
          <cell r="Z224">
            <v>216.08706378966664</v>
          </cell>
          <cell r="AC224">
            <v>216.08706378966664</v>
          </cell>
          <cell r="AF224">
            <v>216.08706378966664</v>
          </cell>
          <cell r="AI224">
            <v>216.08706378966664</v>
          </cell>
          <cell r="AL224">
            <v>216.08706378966664</v>
          </cell>
          <cell r="AO224">
            <v>216.08706378966664</v>
          </cell>
        </row>
        <row r="225">
          <cell r="A225" t="str">
            <v>ServiceFrais postaux</v>
          </cell>
          <cell r="B225" t="str">
            <v>Frais postaux</v>
          </cell>
          <cell r="E225">
            <v>1245.3413391639999</v>
          </cell>
          <cell r="H225">
            <v>103.77844493033332</v>
          </cell>
          <cell r="K225">
            <v>103.77844493033332</v>
          </cell>
          <cell r="N225">
            <v>103.77844493033332</v>
          </cell>
          <cell r="Q225">
            <v>103.77844493033332</v>
          </cell>
          <cell r="T225">
            <v>103.77844493033332</v>
          </cell>
          <cell r="W225">
            <v>103.77844493033332</v>
          </cell>
          <cell r="Z225">
            <v>103.77844493033332</v>
          </cell>
          <cell r="AC225">
            <v>103.77844493033332</v>
          </cell>
          <cell r="AF225">
            <v>103.77844493033332</v>
          </cell>
          <cell r="AI225">
            <v>103.77844493033332</v>
          </cell>
          <cell r="AL225">
            <v>103.77844493033332</v>
          </cell>
          <cell r="AO225">
            <v>103.77844493033332</v>
          </cell>
        </row>
        <row r="226">
          <cell r="A226" t="str">
            <v>ServiceDivers</v>
          </cell>
          <cell r="B226" t="str">
            <v>Divers</v>
          </cell>
          <cell r="E226">
            <v>2597.6718309159996</v>
          </cell>
          <cell r="H226">
            <v>216.4726525763333</v>
          </cell>
          <cell r="K226">
            <v>216.4726525763333</v>
          </cell>
          <cell r="N226">
            <v>216.4726525763333</v>
          </cell>
          <cell r="Q226">
            <v>216.4726525763333</v>
          </cell>
          <cell r="T226">
            <v>216.4726525763333</v>
          </cell>
          <cell r="W226">
            <v>216.4726525763333</v>
          </cell>
          <cell r="Z226">
            <v>216.4726525763333</v>
          </cell>
          <cell r="AC226">
            <v>216.4726525763333</v>
          </cell>
          <cell r="AF226">
            <v>216.4726525763333</v>
          </cell>
          <cell r="AI226">
            <v>216.4726525763333</v>
          </cell>
          <cell r="AL226">
            <v>216.4726525763333</v>
          </cell>
          <cell r="AO226">
            <v>216.4726525763333</v>
          </cell>
        </row>
        <row r="227">
          <cell r="A227" t="str">
            <v>ServiceFormation</v>
          </cell>
          <cell r="B227" t="str">
            <v>Formation</v>
          </cell>
          <cell r="E227">
            <v>47837.454665381847</v>
          </cell>
          <cell r="H227">
            <v>3986.4545554484885</v>
          </cell>
          <cell r="K227">
            <v>3986.4545554484885</v>
          </cell>
          <cell r="N227">
            <v>3986.4545554484885</v>
          </cell>
          <cell r="Q227">
            <v>3986.4545554484885</v>
          </cell>
          <cell r="T227">
            <v>3986.4545554484885</v>
          </cell>
          <cell r="W227">
            <v>3986.4545554484885</v>
          </cell>
          <cell r="Z227">
            <v>3986.4545554484885</v>
          </cell>
          <cell r="AC227">
            <v>3986.4545554484885</v>
          </cell>
          <cell r="AF227">
            <v>3986.4545554484885</v>
          </cell>
          <cell r="AI227">
            <v>3986.4545554484885</v>
          </cell>
          <cell r="AL227">
            <v>3986.4545554484885</v>
          </cell>
          <cell r="AO227">
            <v>3986.4545554484885</v>
          </cell>
        </row>
        <row r="228">
          <cell r="A228" t="str">
            <v>ServiceFrais bancaires</v>
          </cell>
          <cell r="B228" t="str">
            <v>Frais bancaires</v>
          </cell>
          <cell r="E228">
            <v>23398.36077425268</v>
          </cell>
          <cell r="H228">
            <v>1949.8633978543896</v>
          </cell>
          <cell r="K228">
            <v>1949.8633978543896</v>
          </cell>
          <cell r="N228">
            <v>1949.8633978543896</v>
          </cell>
          <cell r="Q228">
            <v>1949.8633978543896</v>
          </cell>
          <cell r="T228">
            <v>1949.8633978543896</v>
          </cell>
          <cell r="W228">
            <v>1949.8633978543896</v>
          </cell>
          <cell r="Z228">
            <v>1949.8633978543896</v>
          </cell>
          <cell r="AC228">
            <v>1949.8633978543896</v>
          </cell>
          <cell r="AF228">
            <v>1949.8633978543896</v>
          </cell>
          <cell r="AI228">
            <v>1949.8633978543896</v>
          </cell>
          <cell r="AL228">
            <v>1949.8633978543896</v>
          </cell>
          <cell r="AO228">
            <v>1949.8633978543896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Service[...]</v>
          </cell>
          <cell r="B231" t="str">
            <v>[...]</v>
          </cell>
          <cell r="E231">
            <v>0</v>
          </cell>
        </row>
        <row r="232">
          <cell r="A232" t="str">
            <v>ServiceTOTAL SEMI-FIXES</v>
          </cell>
          <cell r="B232" t="str">
            <v>TOTAL SEMI-FIXES</v>
          </cell>
          <cell r="C232" t="str">
            <v>%brut</v>
          </cell>
          <cell r="D232">
            <v>0.246335266524187</v>
          </cell>
          <cell r="E232">
            <v>644506.67268789886</v>
          </cell>
          <cell r="F232" t="str">
            <v>%brut</v>
          </cell>
          <cell r="G232">
            <v>0.39922899309282633</v>
          </cell>
          <cell r="H232">
            <v>52708.889390658253</v>
          </cell>
          <cell r="I232" t="str">
            <v>%brut</v>
          </cell>
          <cell r="J232">
            <v>0.41558043850882215</v>
          </cell>
          <cell r="K232">
            <v>52708.889390658253</v>
          </cell>
          <cell r="L232" t="str">
            <v>%brut</v>
          </cell>
          <cell r="M232">
            <v>0.28959103452826801</v>
          </cell>
          <cell r="N232">
            <v>52208.889390658253</v>
          </cell>
          <cell r="O232" t="str">
            <v>%brut</v>
          </cell>
          <cell r="P232">
            <v>0.17246110950128263</v>
          </cell>
          <cell r="Q232">
            <v>52208.889390658253</v>
          </cell>
          <cell r="R232" t="str">
            <v>%brut</v>
          </cell>
          <cell r="S232">
            <v>0.17024376593798041</v>
          </cell>
          <cell r="T232">
            <v>57208.889390658253</v>
          </cell>
          <cell r="U232" t="str">
            <v>%brut</v>
          </cell>
          <cell r="V232">
            <v>0.26750461552533278</v>
          </cell>
          <cell r="W232">
            <v>52708.889390658253</v>
          </cell>
          <cell r="X232" t="str">
            <v>%brut</v>
          </cell>
          <cell r="Y232">
            <v>0.26539262656082535</v>
          </cell>
          <cell r="Z232">
            <v>52708.889390658253</v>
          </cell>
          <cell r="AA232" t="str">
            <v>%brut</v>
          </cell>
          <cell r="AB232">
            <v>0.27253556542151336</v>
          </cell>
          <cell r="AC232">
            <v>50708.889390658253</v>
          </cell>
          <cell r="AD232" t="str">
            <v>%brut</v>
          </cell>
          <cell r="AE232">
            <v>0.30975249763509388</v>
          </cell>
          <cell r="AF232">
            <v>50708.889390658253</v>
          </cell>
          <cell r="AG232" t="str">
            <v>%brut</v>
          </cell>
          <cell r="AH232">
            <v>0.18811203230724324</v>
          </cell>
          <cell r="AI232">
            <v>57208.889390658253</v>
          </cell>
          <cell r="AJ232" t="str">
            <v>%brut</v>
          </cell>
          <cell r="AK232">
            <v>0.18622542527479752</v>
          </cell>
          <cell r="AL232">
            <v>62208.889390658253</v>
          </cell>
          <cell r="AM232" t="str">
            <v>%brut</v>
          </cell>
          <cell r="AN232">
            <v>0.33064337511960989</v>
          </cell>
          <cell r="AO232">
            <v>51208.889390658253</v>
          </cell>
        </row>
        <row r="233">
          <cell r="A233" t="str">
            <v>Service</v>
          </cell>
        </row>
        <row r="234">
          <cell r="A234" t="str">
            <v>ServiceTOTAL DES DÉPENSES</v>
          </cell>
          <cell r="B234" t="str">
            <v>TOTAL DES DÉPENSES</v>
          </cell>
          <cell r="C234" t="str">
            <v>% brut</v>
          </cell>
          <cell r="D234">
            <v>0.84082290447073149</v>
          </cell>
          <cell r="E234">
            <v>2199912.2583083203</v>
          </cell>
          <cell r="F234" t="str">
            <v>% brut</v>
          </cell>
          <cell r="G234">
            <v>1.1822620636163634</v>
          </cell>
          <cell r="H234">
            <v>156090.16734773316</v>
          </cell>
          <cell r="I234" t="str">
            <v>% brut</v>
          </cell>
          <cell r="J234">
            <v>1.2293722372951625</v>
          </cell>
          <cell r="K234">
            <v>155923.71360896289</v>
          </cell>
          <cell r="L234" t="str">
            <v>% brut</v>
          </cell>
          <cell r="M234">
            <v>1.0201859584454698</v>
          </cell>
          <cell r="N234">
            <v>183924.1188842227</v>
          </cell>
          <cell r="O234" t="str">
            <v>% brut</v>
          </cell>
          <cell r="P234">
            <v>0.65270614840032459</v>
          </cell>
          <cell r="Q234">
            <v>197592.73963259341</v>
          </cell>
          <cell r="R234" t="str">
            <v>% brut</v>
          </cell>
          <cell r="S234">
            <v>0.67253948699502497</v>
          </cell>
          <cell r="T234">
            <v>226000.85771343258</v>
          </cell>
          <cell r="U234" t="str">
            <v>% brut</v>
          </cell>
          <cell r="V234">
            <v>0.86479194919573676</v>
          </cell>
          <cell r="W234">
            <v>170397.89428146591</v>
          </cell>
          <cell r="X234" t="str">
            <v>% brut</v>
          </cell>
          <cell r="Y234">
            <v>0.86420938235074252</v>
          </cell>
          <cell r="Z234">
            <v>171638.2151794802</v>
          </cell>
          <cell r="AA234" t="str">
            <v>% brut</v>
          </cell>
          <cell r="AB234">
            <v>0.97869711462492803</v>
          </cell>
          <cell r="AC234">
            <v>182099.6964404055</v>
          </cell>
          <cell r="AD234" t="str">
            <v>% brut</v>
          </cell>
          <cell r="AE234">
            <v>0.9738364778403521</v>
          </cell>
          <cell r="AF234">
            <v>159424.59420478874</v>
          </cell>
          <cell r="AG234" t="str">
            <v>% brut</v>
          </cell>
          <cell r="AH234">
            <v>0.65730181361200612</v>
          </cell>
          <cell r="AI234">
            <v>199899.52949841373</v>
          </cell>
          <cell r="AJ234" t="str">
            <v>% brut</v>
          </cell>
          <cell r="AK234">
            <v>0.70098069723146639</v>
          </cell>
          <cell r="AL234">
            <v>234163.67874961864</v>
          </cell>
          <cell r="AM234" t="str">
            <v>% brut</v>
          </cell>
          <cell r="AN234">
            <v>1.0508828035877187</v>
          </cell>
          <cell r="AO234">
            <v>162757.05276720264</v>
          </cell>
        </row>
        <row r="235">
          <cell r="A235" t="str">
            <v>Service</v>
          </cell>
        </row>
        <row r="236">
          <cell r="A236" t="str">
            <v>ServicePROFIT DÉPARTEMENTAL</v>
          </cell>
          <cell r="B236" t="str">
            <v>PROFIT DÉPARTEMENTAL</v>
          </cell>
          <cell r="E236">
            <v>416467.77440866176</v>
          </cell>
          <cell r="H236">
            <v>-24063.460113064211</v>
          </cell>
          <cell r="K236">
            <v>-29091.734751181968</v>
          </cell>
          <cell r="N236">
            <v>-3639.2234084203956</v>
          </cell>
          <cell r="Q236">
            <v>105135.73951052589</v>
          </cell>
          <cell r="T236">
            <v>110040.1660236679</v>
          </cell>
          <cell r="W236">
            <v>26641.283106733958</v>
          </cell>
          <cell r="Z236">
            <v>26968.995856120659</v>
          </cell>
          <cell r="AC236">
            <v>3963.6869284038257</v>
          </cell>
          <cell r="AF236">
            <v>4283.1717625940801</v>
          </cell>
          <cell r="AI236">
            <v>104221.84269121324</v>
          </cell>
          <cell r="AL236">
            <v>99887.857440252963</v>
          </cell>
          <cell r="AO236">
            <v>-7880.5506381837477</v>
          </cell>
        </row>
        <row r="239">
          <cell r="B239" t="str">
            <v>Budget 2024</v>
          </cell>
          <cell r="C239" t="str">
            <v>Carrosserie</v>
          </cell>
        </row>
        <row r="241">
          <cell r="B241" t="str">
            <v>Mois</v>
          </cell>
          <cell r="C241">
            <v>2024</v>
          </cell>
          <cell r="F241" t="str">
            <v>Janvier</v>
          </cell>
          <cell r="I241" t="str">
            <v>Février</v>
          </cell>
          <cell r="L241" t="str">
            <v>Mars</v>
          </cell>
          <cell r="O241" t="str">
            <v>Avril</v>
          </cell>
          <cell r="R241" t="str">
            <v>Mai</v>
          </cell>
          <cell r="U241" t="str">
            <v>Juin</v>
          </cell>
          <cell r="X241" t="str">
            <v>Juillet</v>
          </cell>
          <cell r="AA241" t="str">
            <v>Août</v>
          </cell>
          <cell r="AD241" t="str">
            <v>Septembre</v>
          </cell>
          <cell r="AG241" t="str">
            <v>Octobre</v>
          </cell>
          <cell r="AJ241" t="str">
            <v>Novembre</v>
          </cell>
          <cell r="AM241" t="str">
            <v>Décembre</v>
          </cell>
        </row>
        <row r="242">
          <cell r="A242" t="str">
            <v>Carrosserie</v>
          </cell>
          <cell r="C242" t="str">
            <v>#</v>
          </cell>
          <cell r="D242" t="str">
            <v>$VENTES</v>
          </cell>
          <cell r="E242" t="str">
            <v>$PROFITS</v>
          </cell>
          <cell r="F242" t="str">
            <v>#</v>
          </cell>
          <cell r="G242" t="str">
            <v>$VENTES</v>
          </cell>
          <cell r="H242" t="str">
            <v>$PROFITS</v>
          </cell>
          <cell r="I242" t="str">
            <v>#</v>
          </cell>
          <cell r="J242" t="str">
            <v>$VENTES</v>
          </cell>
          <cell r="K242" t="str">
            <v>$PROFITS</v>
          </cell>
          <cell r="L242" t="str">
            <v>#</v>
          </cell>
          <cell r="M242" t="str">
            <v>$VENTES</v>
          </cell>
          <cell r="N242" t="str">
            <v>$PROFITS</v>
          </cell>
          <cell r="O242" t="str">
            <v>#</v>
          </cell>
          <cell r="P242" t="str">
            <v>$VENTES</v>
          </cell>
          <cell r="Q242" t="str">
            <v>$PROFITS</v>
          </cell>
          <cell r="R242" t="str">
            <v>#</v>
          </cell>
          <cell r="S242" t="str">
            <v>$VENTES</v>
          </cell>
          <cell r="T242" t="str">
            <v>$PROFITS</v>
          </cell>
          <cell r="U242" t="str">
            <v>#</v>
          </cell>
          <cell r="V242" t="str">
            <v>$VENTES</v>
          </cell>
          <cell r="W242" t="str">
            <v>$PROFITS</v>
          </cell>
          <cell r="X242" t="str">
            <v>#</v>
          </cell>
          <cell r="Y242" t="str">
            <v>$VENTES</v>
          </cell>
          <cell r="Z242" t="str">
            <v>$PROFITS</v>
          </cell>
          <cell r="AA242" t="str">
            <v>#</v>
          </cell>
          <cell r="AB242" t="str">
            <v>$VENTES</v>
          </cell>
          <cell r="AC242" t="str">
            <v>$PROFITS</v>
          </cell>
          <cell r="AD242" t="str">
            <v>#</v>
          </cell>
          <cell r="AE242" t="str">
            <v>$VENTES</v>
          </cell>
          <cell r="AF242" t="str">
            <v>$PROFITS</v>
          </cell>
          <cell r="AG242" t="str">
            <v>#</v>
          </cell>
          <cell r="AH242" t="str">
            <v>$VENTES</v>
          </cell>
          <cell r="AI242" t="str">
            <v>$PROFITS</v>
          </cell>
          <cell r="AJ242" t="str">
            <v>#</v>
          </cell>
          <cell r="AK242" t="str">
            <v>$VENTES</v>
          </cell>
          <cell r="AL242" t="str">
            <v>$PROFITS</v>
          </cell>
          <cell r="AM242" t="str">
            <v>#</v>
          </cell>
          <cell r="AN242" t="str">
            <v>$VENTES</v>
          </cell>
          <cell r="AO242" t="str">
            <v>$PROFITS</v>
          </cell>
        </row>
        <row r="243">
          <cell r="A243" t="str">
            <v>Carrosserie</v>
          </cell>
        </row>
        <row r="244">
          <cell r="A244" t="str">
            <v>CarrosserieM/O Sous-traitement</v>
          </cell>
          <cell r="B244" t="str">
            <v>M/O Sous-traitement</v>
          </cell>
          <cell r="C244">
            <v>0</v>
          </cell>
          <cell r="D244">
            <v>1187551</v>
          </cell>
          <cell r="E244">
            <v>178132.64999999997</v>
          </cell>
          <cell r="F244">
            <v>0</v>
          </cell>
          <cell r="G244">
            <v>114273.79910049828</v>
          </cell>
          <cell r="H244">
            <v>17141.06986507474</v>
          </cell>
          <cell r="I244">
            <v>0</v>
          </cell>
          <cell r="J244">
            <v>87661.944450869094</v>
          </cell>
          <cell r="K244">
            <v>13149.291667630363</v>
          </cell>
          <cell r="L244">
            <v>0</v>
          </cell>
          <cell r="M244">
            <v>127718.26555916485</v>
          </cell>
          <cell r="N244">
            <v>19157.739833874726</v>
          </cell>
          <cell r="O244">
            <v>0</v>
          </cell>
          <cell r="P244">
            <v>111937.99023890575</v>
          </cell>
          <cell r="Q244">
            <v>16790.698535835862</v>
          </cell>
          <cell r="R244">
            <v>0</v>
          </cell>
          <cell r="S244">
            <v>93531.939296992714</v>
          </cell>
          <cell r="T244">
            <v>14029.790894548907</v>
          </cell>
          <cell r="U244">
            <v>0</v>
          </cell>
          <cell r="V244">
            <v>109434.21769626775</v>
          </cell>
          <cell r="W244">
            <v>16415.13265444016</v>
          </cell>
          <cell r="X244">
            <v>0</v>
          </cell>
          <cell r="Y244">
            <v>102279.60711969429</v>
          </cell>
          <cell r="Z244">
            <v>15341.941067954143</v>
          </cell>
          <cell r="AA244">
            <v>0</v>
          </cell>
          <cell r="AB244">
            <v>99362.912856790354</v>
          </cell>
          <cell r="AC244">
            <v>14904.436928518553</v>
          </cell>
          <cell r="AD244">
            <v>0</v>
          </cell>
          <cell r="AE244">
            <v>65414.584168287191</v>
          </cell>
          <cell r="AF244">
            <v>9812.1876252430775</v>
          </cell>
          <cell r="AG244">
            <v>0</v>
          </cell>
          <cell r="AH244">
            <v>105347.5803785967</v>
          </cell>
          <cell r="AI244">
            <v>15802.137056789505</v>
          </cell>
          <cell r="AJ244">
            <v>0</v>
          </cell>
          <cell r="AK244">
            <v>108565.13624085431</v>
          </cell>
          <cell r="AL244">
            <v>16284.770436128145</v>
          </cell>
          <cell r="AM244">
            <v>0</v>
          </cell>
          <cell r="AN244">
            <v>62023.022893078683</v>
          </cell>
          <cell r="AO244">
            <v>9303.4534339618021</v>
          </cell>
        </row>
        <row r="245">
          <cell r="A245" t="str">
            <v>Carrosserie% profit / ventes</v>
          </cell>
          <cell r="B245" t="str">
            <v>% profit / ventes</v>
          </cell>
          <cell r="E245">
            <v>0.14999999999999997</v>
          </cell>
          <cell r="H245">
            <v>0.15</v>
          </cell>
          <cell r="K245">
            <v>0.15</v>
          </cell>
          <cell r="N245">
            <v>0.15</v>
          </cell>
          <cell r="Q245">
            <v>0.15</v>
          </cell>
          <cell r="T245">
            <v>0.15</v>
          </cell>
          <cell r="W245">
            <v>0.14999999999999997</v>
          </cell>
          <cell r="Z245">
            <v>0.15</v>
          </cell>
          <cell r="AC245">
            <v>0.15</v>
          </cell>
          <cell r="AF245">
            <v>0.15</v>
          </cell>
          <cell r="AI245">
            <v>0.15</v>
          </cell>
          <cell r="AL245">
            <v>0.15</v>
          </cell>
          <cell r="AO245">
            <v>0.15</v>
          </cell>
        </row>
        <row r="246">
          <cell r="A246" t="str">
            <v>Carrosserie</v>
          </cell>
        </row>
        <row r="247">
          <cell r="A247" t="str">
            <v>CarrosserieM/O Carrosserie</v>
          </cell>
          <cell r="B247" t="str">
            <v>M/O Carrosserie</v>
          </cell>
          <cell r="C247">
            <v>0</v>
          </cell>
          <cell r="D247">
            <v>0</v>
          </cell>
          <cell r="E247">
            <v>0</v>
          </cell>
        </row>
        <row r="248">
          <cell r="A248" t="str">
            <v>Carrosserie% profit / ventes</v>
          </cell>
          <cell r="B248" t="str">
            <v>% profit / ventes</v>
          </cell>
          <cell r="E248">
            <v>0</v>
          </cell>
          <cell r="H248">
            <v>0</v>
          </cell>
          <cell r="K248">
            <v>0</v>
          </cell>
          <cell r="N248">
            <v>0</v>
          </cell>
          <cell r="Q248">
            <v>0</v>
          </cell>
          <cell r="T248">
            <v>0</v>
          </cell>
          <cell r="W248">
            <v>0</v>
          </cell>
          <cell r="Z248">
            <v>0</v>
          </cell>
          <cell r="AC248">
            <v>0</v>
          </cell>
          <cell r="AF248">
            <v>0</v>
          </cell>
          <cell r="AI248">
            <v>0</v>
          </cell>
          <cell r="AL248">
            <v>0</v>
          </cell>
          <cell r="AO248">
            <v>0</v>
          </cell>
        </row>
        <row r="249">
          <cell r="A249" t="str">
            <v>Carrosserie</v>
          </cell>
        </row>
        <row r="250">
          <cell r="A250" t="str">
            <v>CarrosserieM/O Esthétique Carr.</v>
          </cell>
          <cell r="B250" t="str">
            <v>M/O Esthétique Carr.</v>
          </cell>
          <cell r="C250">
            <v>0</v>
          </cell>
          <cell r="D250">
            <v>0</v>
          </cell>
          <cell r="E250">
            <v>0</v>
          </cell>
        </row>
        <row r="251">
          <cell r="A251" t="str">
            <v>Carrosserie% profit / ventes</v>
          </cell>
          <cell r="B251" t="str">
            <v>% profit / ventes</v>
          </cell>
          <cell r="E251">
            <v>0</v>
          </cell>
          <cell r="H251">
            <v>0</v>
          </cell>
          <cell r="K251">
            <v>0</v>
          </cell>
          <cell r="N251">
            <v>0</v>
          </cell>
          <cell r="Q251">
            <v>0</v>
          </cell>
          <cell r="T251">
            <v>0</v>
          </cell>
          <cell r="W251">
            <v>0</v>
          </cell>
          <cell r="Z251">
            <v>0</v>
          </cell>
          <cell r="AC251">
            <v>0</v>
          </cell>
          <cell r="AF251">
            <v>0</v>
          </cell>
          <cell r="AI251">
            <v>0</v>
          </cell>
          <cell r="AL251">
            <v>0</v>
          </cell>
          <cell r="AO251">
            <v>0</v>
          </cell>
        </row>
        <row r="252">
          <cell r="A252" t="str">
            <v>Carrosserie</v>
          </cell>
        </row>
        <row r="253">
          <cell r="A253" t="str">
            <v>CarrosserieTotal Mécanique</v>
          </cell>
          <cell r="B253" t="str">
            <v>Total Mécanique</v>
          </cell>
          <cell r="D253">
            <v>1187551</v>
          </cell>
          <cell r="E253">
            <v>178132.64999999997</v>
          </cell>
          <cell r="G253">
            <v>114273.79910049828</v>
          </cell>
          <cell r="H253">
            <v>17141.06986507474</v>
          </cell>
          <cell r="J253">
            <v>87661.944450869094</v>
          </cell>
          <cell r="K253">
            <v>13149.291667630363</v>
          </cell>
          <cell r="M253">
            <v>127718.26555916485</v>
          </cell>
          <cell r="N253">
            <v>19157.739833874726</v>
          </cell>
          <cell r="P253">
            <v>111937.99023890575</v>
          </cell>
          <cell r="Q253">
            <v>16790.698535835862</v>
          </cell>
          <cell r="S253">
            <v>93531.939296992714</v>
          </cell>
          <cell r="T253">
            <v>14029.790894548907</v>
          </cell>
          <cell r="V253">
            <v>109434.21769626775</v>
          </cell>
          <cell r="W253">
            <v>16415.13265444016</v>
          </cell>
          <cell r="Y253">
            <v>102279.60711969429</v>
          </cell>
          <cell r="Z253">
            <v>15341.941067954143</v>
          </cell>
          <cell r="AB253">
            <v>99362.912856790354</v>
          </cell>
          <cell r="AC253">
            <v>14904.436928518553</v>
          </cell>
          <cell r="AE253">
            <v>65414.584168287191</v>
          </cell>
          <cell r="AF253">
            <v>9812.1876252430775</v>
          </cell>
          <cell r="AH253">
            <v>105347.5803785967</v>
          </cell>
          <cell r="AI253">
            <v>15802.137056789505</v>
          </cell>
          <cell r="AK253">
            <v>108565.13624085431</v>
          </cell>
          <cell r="AL253">
            <v>16284.770436128145</v>
          </cell>
          <cell r="AN253">
            <v>62023.022893078683</v>
          </cell>
          <cell r="AO253">
            <v>9303.4534339618021</v>
          </cell>
        </row>
        <row r="254">
          <cell r="A254" t="str">
            <v>Carrosserie</v>
          </cell>
          <cell r="E254">
            <v>0.14999999999999997</v>
          </cell>
          <cell r="H254">
            <v>0.15</v>
          </cell>
          <cell r="K254">
            <v>0.15</v>
          </cell>
          <cell r="N254">
            <v>0.15</v>
          </cell>
          <cell r="Q254">
            <v>0.15</v>
          </cell>
          <cell r="T254">
            <v>0.15</v>
          </cell>
          <cell r="W254">
            <v>0.14999999999999997</v>
          </cell>
          <cell r="Z254">
            <v>0.15</v>
          </cell>
          <cell r="AC254">
            <v>0.15</v>
          </cell>
          <cell r="AF254">
            <v>0.15</v>
          </cell>
          <cell r="AI254">
            <v>0.15</v>
          </cell>
          <cell r="AL254">
            <v>0.15</v>
          </cell>
          <cell r="AO254">
            <v>0.15</v>
          </cell>
        </row>
        <row r="255">
          <cell r="A255" t="str">
            <v>Carrosserie</v>
          </cell>
        </row>
        <row r="256">
          <cell r="A256" t="str">
            <v>CarrosserieDEPENSES</v>
          </cell>
          <cell r="B256" t="str">
            <v>DEPENSES</v>
          </cell>
        </row>
        <row r="257">
          <cell r="A257" t="str">
            <v>CarrosserieSalaires cadres</v>
          </cell>
          <cell r="B257" t="str">
            <v>Salaires cadres</v>
          </cell>
          <cell r="E257">
            <v>3865.2249999999995</v>
          </cell>
          <cell r="H257">
            <v>297.32500000000005</v>
          </cell>
          <cell r="K257">
            <v>297.32500000000005</v>
          </cell>
          <cell r="N257">
            <v>371.65625000000006</v>
          </cell>
          <cell r="Q257">
            <v>297.32500000000005</v>
          </cell>
          <cell r="T257">
            <v>371.65625000000006</v>
          </cell>
          <cell r="W257">
            <v>297.32500000000005</v>
          </cell>
          <cell r="Z257">
            <v>297.32500000000005</v>
          </cell>
          <cell r="AC257">
            <v>371.65625000000006</v>
          </cell>
          <cell r="AF257">
            <v>297.32500000000005</v>
          </cell>
          <cell r="AI257">
            <v>297.32500000000005</v>
          </cell>
          <cell r="AL257">
            <v>371.65625000000006</v>
          </cell>
          <cell r="AO257">
            <v>297.32500000000005</v>
          </cell>
        </row>
        <row r="258">
          <cell r="A258" t="str">
            <v>CarrosserieSalaires commis</v>
          </cell>
          <cell r="B258" t="str">
            <v>Salaires commis</v>
          </cell>
          <cell r="E258">
            <v>60628.758000000016</v>
          </cell>
          <cell r="H258">
            <v>4703.7506153846152</v>
          </cell>
          <cell r="K258">
            <v>4703.7506153846152</v>
          </cell>
          <cell r="N258">
            <v>5749.688269230769</v>
          </cell>
          <cell r="Q258">
            <v>4703.7506153846152</v>
          </cell>
          <cell r="T258">
            <v>5749.688269230769</v>
          </cell>
          <cell r="W258">
            <v>4703.7506153846152</v>
          </cell>
          <cell r="Z258">
            <v>4703.7506153846152</v>
          </cell>
          <cell r="AC258">
            <v>5749.688269230769</v>
          </cell>
          <cell r="AF258">
            <v>4703.7506153846152</v>
          </cell>
          <cell r="AI258">
            <v>4703.7506153846152</v>
          </cell>
          <cell r="AL258">
            <v>5749.688269230769</v>
          </cell>
          <cell r="AO258">
            <v>4703.7506153846152</v>
          </cell>
        </row>
        <row r="259">
          <cell r="A259" t="str">
            <v>CarrosserieSalaires autres</v>
          </cell>
          <cell r="B259" t="str">
            <v>Salaires autres</v>
          </cell>
          <cell r="E259">
            <v>227.90000000000006</v>
          </cell>
          <cell r="H259">
            <v>17.530769230769231</v>
          </cell>
          <cell r="K259">
            <v>17.530769230769231</v>
          </cell>
          <cell r="N259">
            <v>21.91346153846154</v>
          </cell>
          <cell r="Q259">
            <v>17.530769230769231</v>
          </cell>
          <cell r="T259">
            <v>21.91346153846154</v>
          </cell>
          <cell r="W259">
            <v>17.530769230769231</v>
          </cell>
          <cell r="Z259">
            <v>17.530769230769231</v>
          </cell>
          <cell r="AC259">
            <v>21.91346153846154</v>
          </cell>
          <cell r="AF259">
            <v>17.530769230769231</v>
          </cell>
          <cell r="AI259">
            <v>17.530769230769231</v>
          </cell>
          <cell r="AL259">
            <v>21.91346153846154</v>
          </cell>
          <cell r="AO259">
            <v>17.530769230769231</v>
          </cell>
        </row>
        <row r="260">
          <cell r="A260" t="str">
            <v>CarrosserieSalaires spécialistes</v>
          </cell>
          <cell r="B260" t="str">
            <v>Salaires spécialistes</v>
          </cell>
          <cell r="E260">
            <v>0</v>
          </cell>
          <cell r="H260">
            <v>0</v>
          </cell>
          <cell r="K260">
            <v>0</v>
          </cell>
          <cell r="N260">
            <v>0</v>
          </cell>
          <cell r="Q260">
            <v>0</v>
          </cell>
          <cell r="T260">
            <v>0</v>
          </cell>
          <cell r="W260">
            <v>0</v>
          </cell>
          <cell r="Z260">
            <v>0</v>
          </cell>
          <cell r="AC260">
            <v>0</v>
          </cell>
          <cell r="AF260">
            <v>0</v>
          </cell>
          <cell r="AI260">
            <v>0</v>
          </cell>
          <cell r="AL260">
            <v>0</v>
          </cell>
          <cell r="AO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  <cell r="H261">
            <v>0</v>
          </cell>
          <cell r="K261">
            <v>0</v>
          </cell>
          <cell r="N261">
            <v>0</v>
          </cell>
          <cell r="Q261">
            <v>0</v>
          </cell>
          <cell r="T261">
            <v>0</v>
          </cell>
          <cell r="W261">
            <v>0</v>
          </cell>
          <cell r="Z261">
            <v>0</v>
          </cell>
          <cell r="AC261">
            <v>0</v>
          </cell>
          <cell r="AF261">
            <v>0</v>
          </cell>
          <cell r="AI261">
            <v>0</v>
          </cell>
          <cell r="AL261">
            <v>0</v>
          </cell>
          <cell r="AO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  <cell r="H262">
            <v>0</v>
          </cell>
          <cell r="K262">
            <v>0</v>
          </cell>
          <cell r="N262">
            <v>0</v>
          </cell>
          <cell r="Q262">
            <v>0</v>
          </cell>
          <cell r="T262">
            <v>0</v>
          </cell>
          <cell r="W262">
            <v>0</v>
          </cell>
          <cell r="Z262">
            <v>0</v>
          </cell>
          <cell r="AC262">
            <v>0</v>
          </cell>
          <cell r="AF262">
            <v>0</v>
          </cell>
          <cell r="AI262">
            <v>0</v>
          </cell>
          <cell r="AL262">
            <v>0</v>
          </cell>
          <cell r="AO262">
            <v>0</v>
          </cell>
        </row>
        <row r="263">
          <cell r="A263" t="str">
            <v>Carrosserie[...]</v>
          </cell>
          <cell r="B263" t="str">
            <v>[...]</v>
          </cell>
          <cell r="E263">
            <v>0</v>
          </cell>
          <cell r="H263">
            <v>0</v>
          </cell>
          <cell r="K263">
            <v>0</v>
          </cell>
          <cell r="N263">
            <v>0</v>
          </cell>
          <cell r="Q263">
            <v>0</v>
          </cell>
          <cell r="T263">
            <v>0</v>
          </cell>
          <cell r="W263">
            <v>0</v>
          </cell>
          <cell r="Z263">
            <v>0</v>
          </cell>
          <cell r="AC263">
            <v>0</v>
          </cell>
          <cell r="AF263">
            <v>0</v>
          </cell>
          <cell r="AI263">
            <v>0</v>
          </cell>
          <cell r="AL263">
            <v>0</v>
          </cell>
          <cell r="AO263">
            <v>0</v>
          </cell>
        </row>
        <row r="264">
          <cell r="A264" t="str">
            <v>CarrosserieSalaires en absences</v>
          </cell>
          <cell r="B264" t="str">
            <v>Salaires en absences</v>
          </cell>
          <cell r="E264">
            <v>7697.1027204999991</v>
          </cell>
          <cell r="H264">
            <v>596.62482465384608</v>
          </cell>
          <cell r="K264">
            <v>596.62482465384608</v>
          </cell>
          <cell r="N264">
            <v>731.02603081730774</v>
          </cell>
          <cell r="Q264">
            <v>596.62482465384608</v>
          </cell>
          <cell r="T264">
            <v>731.02603081730774</v>
          </cell>
          <cell r="W264">
            <v>596.62482465384608</v>
          </cell>
          <cell r="Z264">
            <v>596.62482465384608</v>
          </cell>
          <cell r="AC264">
            <v>731.02603081730774</v>
          </cell>
          <cell r="AF264">
            <v>596.62482465384608</v>
          </cell>
          <cell r="AI264">
            <v>596.62482465384608</v>
          </cell>
          <cell r="AL264">
            <v>731.02603081730774</v>
          </cell>
          <cell r="AO264">
            <v>596.62482465384608</v>
          </cell>
        </row>
        <row r="265">
          <cell r="A265" t="str">
            <v>CarrosserieDéduction à la source</v>
          </cell>
          <cell r="B265" t="str">
            <v>Déduction à la source</v>
          </cell>
          <cell r="E265">
            <v>9358.5918539999984</v>
          </cell>
          <cell r="H265">
            <v>725.41168107692306</v>
          </cell>
          <cell r="K265">
            <v>725.41168107692306</v>
          </cell>
          <cell r="N265">
            <v>888.82460134615394</v>
          </cell>
          <cell r="Q265">
            <v>725.41168107692306</v>
          </cell>
          <cell r="T265">
            <v>888.82460134615394</v>
          </cell>
          <cell r="W265">
            <v>725.41168107692306</v>
          </cell>
          <cell r="Z265">
            <v>725.41168107692306</v>
          </cell>
          <cell r="AC265">
            <v>888.82460134615394</v>
          </cell>
          <cell r="AF265">
            <v>725.41168107692306</v>
          </cell>
          <cell r="AI265">
            <v>725.41168107692306</v>
          </cell>
          <cell r="AL265">
            <v>888.82460134615394</v>
          </cell>
          <cell r="AO265">
            <v>725.41168107692306</v>
          </cell>
        </row>
        <row r="266">
          <cell r="A266" t="str">
            <v>CarrosserieBénéfices marginaux</v>
          </cell>
          <cell r="B266" t="str">
            <v>Bénéfices marginaux</v>
          </cell>
          <cell r="E266">
            <v>4821.709281299999</v>
          </cell>
          <cell r="H266">
            <v>373.74471394615375</v>
          </cell>
          <cell r="K266">
            <v>373.74471394615375</v>
          </cell>
          <cell r="N266">
            <v>457.93789243269231</v>
          </cell>
          <cell r="Q266">
            <v>373.74471394615375</v>
          </cell>
          <cell r="T266">
            <v>457.93789243269231</v>
          </cell>
          <cell r="W266">
            <v>373.74471394615375</v>
          </cell>
          <cell r="Z266">
            <v>373.74471394615375</v>
          </cell>
          <cell r="AC266">
            <v>457.93789243269231</v>
          </cell>
          <cell r="AF266">
            <v>373.74471394615375</v>
          </cell>
          <cell r="AI266">
            <v>373.74471394615375</v>
          </cell>
          <cell r="AL266">
            <v>457.93789243269231</v>
          </cell>
          <cell r="AO266">
            <v>373.74471394615375</v>
          </cell>
        </row>
        <row r="267">
          <cell r="A267" t="str">
            <v>CarrosserieCsst</v>
          </cell>
          <cell r="B267" t="str">
            <v>Csst</v>
          </cell>
          <cell r="E267">
            <v>2102.2923729999998</v>
          </cell>
          <cell r="H267">
            <v>162.95479792307691</v>
          </cell>
          <cell r="K267">
            <v>162.95479792307691</v>
          </cell>
          <cell r="N267">
            <v>199.66349740384615</v>
          </cell>
          <cell r="Q267">
            <v>162.95479792307691</v>
          </cell>
          <cell r="T267">
            <v>199.66349740384615</v>
          </cell>
          <cell r="W267">
            <v>162.95479792307691</v>
          </cell>
          <cell r="Z267">
            <v>162.95479792307691</v>
          </cell>
          <cell r="AC267">
            <v>199.66349740384615</v>
          </cell>
          <cell r="AF267">
            <v>162.95479792307691</v>
          </cell>
          <cell r="AI267">
            <v>162.95479792307691</v>
          </cell>
          <cell r="AL267">
            <v>199.66349740384615</v>
          </cell>
          <cell r="AO267">
            <v>162.95479792307691</v>
          </cell>
        </row>
        <row r="268">
          <cell r="A268" t="str">
            <v>Carrosserie[...]</v>
          </cell>
          <cell r="B268" t="str">
            <v>[...]</v>
          </cell>
          <cell r="E268">
            <v>0</v>
          </cell>
        </row>
        <row r="269">
          <cell r="A269" t="str">
            <v>CarrosserieTOTAL PERSONNEL</v>
          </cell>
          <cell r="B269" t="str">
            <v>TOTAL PERSONNEL</v>
          </cell>
          <cell r="C269" t="str">
            <v>% brut</v>
          </cell>
          <cell r="D269">
            <v>0</v>
          </cell>
          <cell r="E269">
            <v>88701.579228800023</v>
          </cell>
          <cell r="F269" t="str">
            <v>% brut</v>
          </cell>
          <cell r="G269">
            <v>0</v>
          </cell>
          <cell r="H269">
            <v>6877.3424022153831</v>
          </cell>
          <cell r="I269" t="str">
            <v>% brut</v>
          </cell>
          <cell r="J269">
            <v>0</v>
          </cell>
          <cell r="K269">
            <v>6877.3424022153831</v>
          </cell>
          <cell r="L269" t="str">
            <v>% brut</v>
          </cell>
          <cell r="M269">
            <v>0</v>
          </cell>
          <cell r="N269">
            <v>8420.7100027692304</v>
          </cell>
          <cell r="O269" t="str">
            <v>% brut</v>
          </cell>
          <cell r="P269">
            <v>0</v>
          </cell>
          <cell r="Q269">
            <v>6877.3424022153831</v>
          </cell>
          <cell r="R269" t="str">
            <v>% brut</v>
          </cell>
          <cell r="S269">
            <v>0</v>
          </cell>
          <cell r="T269">
            <v>8420.7100027692304</v>
          </cell>
          <cell r="U269" t="str">
            <v>% brut</v>
          </cell>
          <cell r="V269">
            <v>0</v>
          </cell>
          <cell r="W269">
            <v>6877.3424022153831</v>
          </cell>
          <cell r="X269" t="str">
            <v>% brut</v>
          </cell>
          <cell r="Y269">
            <v>0</v>
          </cell>
          <cell r="Z269">
            <v>6877.3424022153831</v>
          </cell>
          <cell r="AA269" t="str">
            <v>% brut</v>
          </cell>
          <cell r="AB269">
            <v>0</v>
          </cell>
          <cell r="AC269">
            <v>8420.7100027692304</v>
          </cell>
          <cell r="AD269" t="str">
            <v>% brut</v>
          </cell>
          <cell r="AE269">
            <v>0</v>
          </cell>
          <cell r="AF269">
            <v>6877.3424022153831</v>
          </cell>
          <cell r="AG269" t="str">
            <v>% brut</v>
          </cell>
          <cell r="AH269">
            <v>0</v>
          </cell>
          <cell r="AI269">
            <v>6877.3424022153831</v>
          </cell>
          <cell r="AJ269" t="str">
            <v>% brut</v>
          </cell>
          <cell r="AK269">
            <v>0</v>
          </cell>
          <cell r="AL269">
            <v>8420.7100027692304</v>
          </cell>
          <cell r="AM269" t="str">
            <v>% brut</v>
          </cell>
          <cell r="AN269">
            <v>0</v>
          </cell>
          <cell r="AO269">
            <v>6877.3424022153831</v>
          </cell>
        </row>
        <row r="270">
          <cell r="A270" t="str">
            <v>CarrosseriePublicité 2</v>
          </cell>
          <cell r="B270" t="str">
            <v>Publicité 2</v>
          </cell>
          <cell r="E270">
            <v>0</v>
          </cell>
          <cell r="H270">
            <v>0</v>
          </cell>
          <cell r="K270">
            <v>0</v>
          </cell>
          <cell r="N270">
            <v>0</v>
          </cell>
          <cell r="Q270">
            <v>0</v>
          </cell>
          <cell r="T270">
            <v>0</v>
          </cell>
          <cell r="W270">
            <v>0</v>
          </cell>
          <cell r="Z270">
            <v>0</v>
          </cell>
          <cell r="AC270">
            <v>0</v>
          </cell>
          <cell r="AF270">
            <v>0</v>
          </cell>
          <cell r="AI270">
            <v>0</v>
          </cell>
          <cell r="AL270">
            <v>0</v>
          </cell>
          <cell r="AO270">
            <v>0</v>
          </cell>
        </row>
        <row r="271">
          <cell r="A271" t="str">
            <v>CarrosserieService gratuit 2</v>
          </cell>
          <cell r="B271" t="str">
            <v>Service gratuit 2</v>
          </cell>
          <cell r="E271">
            <v>7126.8787510789762</v>
          </cell>
          <cell r="H271">
            <v>593.90656258991453</v>
          </cell>
          <cell r="K271">
            <v>593.90656258991453</v>
          </cell>
          <cell r="N271">
            <v>593.90656258991453</v>
          </cell>
          <cell r="Q271">
            <v>593.90656258991453</v>
          </cell>
          <cell r="T271">
            <v>593.90656258991453</v>
          </cell>
          <cell r="W271">
            <v>593.90656258991453</v>
          </cell>
          <cell r="Z271">
            <v>593.90656258991453</v>
          </cell>
          <cell r="AC271">
            <v>593.90656258991453</v>
          </cell>
          <cell r="AF271">
            <v>593.90656258991453</v>
          </cell>
          <cell r="AI271">
            <v>593.90656258991453</v>
          </cell>
          <cell r="AL271">
            <v>593.90656258991453</v>
          </cell>
          <cell r="AO271">
            <v>593.90656258991453</v>
          </cell>
        </row>
        <row r="272">
          <cell r="A272" t="str">
            <v>CarrosserieFrais véhicules de cie</v>
          </cell>
          <cell r="B272" t="str">
            <v>Frais véhicules de cie</v>
          </cell>
          <cell r="E272">
            <v>0</v>
          </cell>
          <cell r="H272">
            <v>0</v>
          </cell>
          <cell r="K272">
            <v>0</v>
          </cell>
          <cell r="N272">
            <v>0</v>
          </cell>
          <cell r="Q272">
            <v>0</v>
          </cell>
          <cell r="T272">
            <v>0</v>
          </cell>
          <cell r="W272">
            <v>0</v>
          </cell>
          <cell r="Z272">
            <v>0</v>
          </cell>
          <cell r="AC272">
            <v>0</v>
          </cell>
          <cell r="AF272">
            <v>0</v>
          </cell>
          <cell r="AI272">
            <v>0</v>
          </cell>
          <cell r="AL272">
            <v>0</v>
          </cell>
          <cell r="AO272">
            <v>0</v>
          </cell>
        </row>
        <row r="273">
          <cell r="A273" t="str">
            <v>CarrosserieInformatique</v>
          </cell>
          <cell r="B273" t="str">
            <v>Informatique</v>
          </cell>
          <cell r="E273">
            <v>17209.607161333337</v>
          </cell>
          <cell r="H273">
            <v>1434.1339301111113</v>
          </cell>
          <cell r="K273">
            <v>1434.1339301111113</v>
          </cell>
          <cell r="N273">
            <v>1434.1339301111113</v>
          </cell>
          <cell r="Q273">
            <v>1434.1339301111113</v>
          </cell>
          <cell r="T273">
            <v>1434.1339301111113</v>
          </cell>
          <cell r="W273">
            <v>1434.1339301111113</v>
          </cell>
          <cell r="Z273">
            <v>1434.1339301111113</v>
          </cell>
          <cell r="AC273">
            <v>1434.1339301111113</v>
          </cell>
          <cell r="AF273">
            <v>1434.1339301111113</v>
          </cell>
          <cell r="AI273">
            <v>1434.1339301111113</v>
          </cell>
          <cell r="AL273">
            <v>1434.1339301111113</v>
          </cell>
          <cell r="AO273">
            <v>1434.1339301111113</v>
          </cell>
        </row>
        <row r="274">
          <cell r="A274" t="str">
            <v>CarrosserieFrais de déplacement</v>
          </cell>
          <cell r="B274" t="str">
            <v>Frais de déplacement</v>
          </cell>
          <cell r="E274">
            <v>2141.1807663028917</v>
          </cell>
          <cell r="H274">
            <v>178.43173052524097</v>
          </cell>
          <cell r="K274">
            <v>178.43173052524097</v>
          </cell>
          <cell r="N274">
            <v>178.43173052524097</v>
          </cell>
          <cell r="Q274">
            <v>178.43173052524097</v>
          </cell>
          <cell r="T274">
            <v>178.43173052524097</v>
          </cell>
          <cell r="W274">
            <v>178.43173052524097</v>
          </cell>
          <cell r="Z274">
            <v>178.43173052524097</v>
          </cell>
          <cell r="AC274">
            <v>178.43173052524097</v>
          </cell>
          <cell r="AF274">
            <v>178.43173052524097</v>
          </cell>
          <cell r="AI274">
            <v>178.43173052524097</v>
          </cell>
          <cell r="AL274">
            <v>178.43173052524097</v>
          </cell>
          <cell r="AO274">
            <v>178.43173052524097</v>
          </cell>
        </row>
        <row r="275">
          <cell r="A275" t="str">
            <v>CarrosserieServices extérieurs</v>
          </cell>
          <cell r="B275" t="str">
            <v>Services extérieurs</v>
          </cell>
          <cell r="E275">
            <v>8118.614435794444</v>
          </cell>
          <cell r="H275">
            <v>676.55120298287022</v>
          </cell>
          <cell r="K275">
            <v>676.55120298287022</v>
          </cell>
          <cell r="N275">
            <v>676.55120298287022</v>
          </cell>
          <cell r="Q275">
            <v>676.55120298287022</v>
          </cell>
          <cell r="T275">
            <v>676.55120298287022</v>
          </cell>
          <cell r="W275">
            <v>676.55120298287022</v>
          </cell>
          <cell r="Z275">
            <v>676.55120298287022</v>
          </cell>
          <cell r="AC275">
            <v>676.55120298287022</v>
          </cell>
          <cell r="AF275">
            <v>676.55120298287022</v>
          </cell>
          <cell r="AI275">
            <v>676.55120298287022</v>
          </cell>
          <cell r="AL275">
            <v>676.55120298287022</v>
          </cell>
          <cell r="AO275">
            <v>676.55120298287022</v>
          </cell>
        </row>
        <row r="276">
          <cell r="A276" t="str">
            <v>CarrosserieFournitures d'atelier</v>
          </cell>
          <cell r="B276" t="str">
            <v>Fournitures d'atelier</v>
          </cell>
          <cell r="E276">
            <v>0</v>
          </cell>
          <cell r="H276">
            <v>0</v>
          </cell>
          <cell r="K276">
            <v>0</v>
          </cell>
          <cell r="N276">
            <v>0</v>
          </cell>
          <cell r="Q276">
            <v>0</v>
          </cell>
          <cell r="T276">
            <v>0</v>
          </cell>
          <cell r="W276">
            <v>0</v>
          </cell>
          <cell r="Z276">
            <v>0</v>
          </cell>
          <cell r="AC276">
            <v>0</v>
          </cell>
          <cell r="AF276">
            <v>0</v>
          </cell>
          <cell r="AI276">
            <v>0</v>
          </cell>
          <cell r="AL276">
            <v>0</v>
          </cell>
          <cell r="AO276">
            <v>0</v>
          </cell>
        </row>
        <row r="277">
          <cell r="A277" t="str">
            <v>CarrosserieFournitures autres</v>
          </cell>
          <cell r="B277" t="str">
            <v>Fournitures autres</v>
          </cell>
          <cell r="E277">
            <v>1500</v>
          </cell>
          <cell r="H277">
            <v>125</v>
          </cell>
          <cell r="K277">
            <v>125</v>
          </cell>
          <cell r="N277">
            <v>125</v>
          </cell>
          <cell r="Q277">
            <v>125</v>
          </cell>
          <cell r="T277">
            <v>125</v>
          </cell>
          <cell r="W277">
            <v>125</v>
          </cell>
          <cell r="Z277">
            <v>125</v>
          </cell>
          <cell r="AC277">
            <v>125</v>
          </cell>
          <cell r="AF277">
            <v>125</v>
          </cell>
          <cell r="AI277">
            <v>125</v>
          </cell>
          <cell r="AL277">
            <v>125</v>
          </cell>
          <cell r="AO277">
            <v>125</v>
          </cell>
        </row>
        <row r="278">
          <cell r="A278" t="str">
            <v>CarrosserieUniformes</v>
          </cell>
          <cell r="B278" t="str">
            <v>Uniformes</v>
          </cell>
          <cell r="E278">
            <v>1000.0000000000001</v>
          </cell>
          <cell r="H278">
            <v>83.333333333333329</v>
          </cell>
          <cell r="K278">
            <v>83.333333333333329</v>
          </cell>
          <cell r="N278">
            <v>83.333333333333329</v>
          </cell>
          <cell r="Q278">
            <v>83.333333333333329</v>
          </cell>
          <cell r="T278">
            <v>83.333333333333329</v>
          </cell>
          <cell r="W278">
            <v>83.333333333333329</v>
          </cell>
          <cell r="Z278">
            <v>83.333333333333329</v>
          </cell>
          <cell r="AC278">
            <v>83.333333333333329</v>
          </cell>
          <cell r="AF278">
            <v>83.333333333333329</v>
          </cell>
          <cell r="AI278">
            <v>83.333333333333329</v>
          </cell>
          <cell r="AL278">
            <v>83.333333333333329</v>
          </cell>
          <cell r="AO278">
            <v>83.333333333333329</v>
          </cell>
        </row>
        <row r="279">
          <cell r="A279" t="str">
            <v>CarrosseriePapeterie</v>
          </cell>
          <cell r="B279" t="str">
            <v>Papeterie</v>
          </cell>
          <cell r="E279">
            <v>1890.7022489159997</v>
          </cell>
          <cell r="H279">
            <v>157.558520743</v>
          </cell>
          <cell r="K279">
            <v>157.558520743</v>
          </cell>
          <cell r="N279">
            <v>157.558520743</v>
          </cell>
          <cell r="Q279">
            <v>157.558520743</v>
          </cell>
          <cell r="T279">
            <v>157.558520743</v>
          </cell>
          <cell r="W279">
            <v>157.558520743</v>
          </cell>
          <cell r="Z279">
            <v>157.558520743</v>
          </cell>
          <cell r="AC279">
            <v>157.558520743</v>
          </cell>
          <cell r="AF279">
            <v>157.558520743</v>
          </cell>
          <cell r="AI279">
            <v>157.558520743</v>
          </cell>
          <cell r="AL279">
            <v>157.558520743</v>
          </cell>
          <cell r="AO279">
            <v>157.558520743</v>
          </cell>
        </row>
        <row r="280">
          <cell r="A280" t="str">
            <v>CarrosserieTéléphone</v>
          </cell>
          <cell r="B280" t="str">
            <v>Téléphone</v>
          </cell>
          <cell r="E280">
            <v>441.36442326383332</v>
          </cell>
          <cell r="H280">
            <v>36.780368605319445</v>
          </cell>
          <cell r="K280">
            <v>36.780368605319445</v>
          </cell>
          <cell r="N280">
            <v>36.780368605319445</v>
          </cell>
          <cell r="Q280">
            <v>36.780368605319445</v>
          </cell>
          <cell r="T280">
            <v>36.780368605319445</v>
          </cell>
          <cell r="W280">
            <v>36.780368605319445</v>
          </cell>
          <cell r="Z280">
            <v>36.780368605319445</v>
          </cell>
          <cell r="AC280">
            <v>36.780368605319445</v>
          </cell>
          <cell r="AF280">
            <v>36.780368605319445</v>
          </cell>
          <cell r="AI280">
            <v>36.780368605319445</v>
          </cell>
          <cell r="AL280">
            <v>36.780368605319445</v>
          </cell>
          <cell r="AO280">
            <v>36.780368605319445</v>
          </cell>
        </row>
        <row r="281">
          <cell r="A281" t="str">
            <v>CarrosserieFrais postaux</v>
          </cell>
          <cell r="B281" t="str">
            <v>Frais postaux</v>
          </cell>
          <cell r="E281">
            <v>296.94878225616674</v>
          </cell>
          <cell r="H281">
            <v>24.745731854680557</v>
          </cell>
          <cell r="K281">
            <v>24.745731854680557</v>
          </cell>
          <cell r="N281">
            <v>24.745731854680557</v>
          </cell>
          <cell r="Q281">
            <v>24.745731854680557</v>
          </cell>
          <cell r="T281">
            <v>24.745731854680557</v>
          </cell>
          <cell r="W281">
            <v>24.745731854680557</v>
          </cell>
          <cell r="Z281">
            <v>24.745731854680557</v>
          </cell>
          <cell r="AC281">
            <v>24.745731854680557</v>
          </cell>
          <cell r="AF281">
            <v>24.745731854680557</v>
          </cell>
          <cell r="AI281">
            <v>24.745731854680557</v>
          </cell>
          <cell r="AL281">
            <v>24.745731854680557</v>
          </cell>
          <cell r="AO281">
            <v>24.745731854680557</v>
          </cell>
        </row>
        <row r="282">
          <cell r="A282" t="str">
            <v>CarrosserieDivers</v>
          </cell>
          <cell r="B282" t="str">
            <v>Divers</v>
          </cell>
          <cell r="E282">
            <v>2819.9935590171658</v>
          </cell>
          <cell r="H282">
            <v>234.99946325143051</v>
          </cell>
          <cell r="K282">
            <v>234.99946325143051</v>
          </cell>
          <cell r="N282">
            <v>234.99946325143051</v>
          </cell>
          <cell r="Q282">
            <v>234.99946325143051</v>
          </cell>
          <cell r="T282">
            <v>234.99946325143051</v>
          </cell>
          <cell r="W282">
            <v>234.99946325143051</v>
          </cell>
          <cell r="Z282">
            <v>234.99946325143051</v>
          </cell>
          <cell r="AC282">
            <v>234.99946325143051</v>
          </cell>
          <cell r="AF282">
            <v>234.99946325143051</v>
          </cell>
          <cell r="AI282">
            <v>234.99946325143051</v>
          </cell>
          <cell r="AL282">
            <v>234.99946325143051</v>
          </cell>
          <cell r="AO282">
            <v>234.99946325143051</v>
          </cell>
        </row>
        <row r="283">
          <cell r="A283" t="str">
            <v>CarrosserieFormation</v>
          </cell>
          <cell r="B283" t="str">
            <v>Formation</v>
          </cell>
          <cell r="E283">
            <v>5211.9018277758541</v>
          </cell>
          <cell r="H283">
            <v>434.32515231465453</v>
          </cell>
          <cell r="K283">
            <v>434.32515231465453</v>
          </cell>
          <cell r="N283">
            <v>434.32515231465453</v>
          </cell>
          <cell r="Q283">
            <v>434.32515231465453</v>
          </cell>
          <cell r="T283">
            <v>434.32515231465453</v>
          </cell>
          <cell r="W283">
            <v>434.32515231465453</v>
          </cell>
          <cell r="Z283">
            <v>434.32515231465453</v>
          </cell>
          <cell r="AC283">
            <v>434.32515231465453</v>
          </cell>
          <cell r="AF283">
            <v>434.32515231465453</v>
          </cell>
          <cell r="AI283">
            <v>434.32515231465453</v>
          </cell>
          <cell r="AL283">
            <v>434.32515231465453</v>
          </cell>
          <cell r="AO283">
            <v>434.32515231465453</v>
          </cell>
        </row>
        <row r="284">
          <cell r="A284" t="str">
            <v>CarrosserieFrais bancaires</v>
          </cell>
          <cell r="B284" t="str">
            <v>Frais bancaires</v>
          </cell>
          <cell r="E284">
            <v>2463.3784661654386</v>
          </cell>
          <cell r="H284">
            <v>205.2815388471198</v>
          </cell>
          <cell r="K284">
            <v>205.2815388471198</v>
          </cell>
          <cell r="N284">
            <v>205.2815388471198</v>
          </cell>
          <cell r="Q284">
            <v>205.2815388471198</v>
          </cell>
          <cell r="T284">
            <v>205.2815388471198</v>
          </cell>
          <cell r="W284">
            <v>205.2815388471198</v>
          </cell>
          <cell r="Z284">
            <v>205.2815388471198</v>
          </cell>
          <cell r="AC284">
            <v>205.2815388471198</v>
          </cell>
          <cell r="AF284">
            <v>205.2815388471198</v>
          </cell>
          <cell r="AI284">
            <v>205.2815388471198</v>
          </cell>
          <cell r="AL284">
            <v>205.2815388471198</v>
          </cell>
          <cell r="AO284">
            <v>205.2815388471198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Carrosserie[...]</v>
          </cell>
          <cell r="B287" t="str">
            <v>[...]</v>
          </cell>
          <cell r="E287">
            <v>0</v>
          </cell>
        </row>
        <row r="288">
          <cell r="A288" t="str">
            <v>CarrosserieTOTAL SEMI-FIXES</v>
          </cell>
          <cell r="B288" t="str">
            <v>TOTAL SEMI-FIXES</v>
          </cell>
          <cell r="C288" t="str">
            <v>% brut</v>
          </cell>
          <cell r="D288">
            <v>0</v>
          </cell>
          <cell r="E288">
            <v>50220.5704219041</v>
          </cell>
          <cell r="F288" t="str">
            <v>% brut</v>
          </cell>
          <cell r="G288">
            <v>0</v>
          </cell>
          <cell r="H288">
            <v>4185.0475351586747</v>
          </cell>
          <cell r="I288" t="str">
            <v>% brut</v>
          </cell>
          <cell r="J288">
            <v>0</v>
          </cell>
          <cell r="K288">
            <v>4185.0475351586747</v>
          </cell>
          <cell r="L288" t="str">
            <v>% brut</v>
          </cell>
          <cell r="M288">
            <v>0</v>
          </cell>
          <cell r="N288">
            <v>4185.0475351586747</v>
          </cell>
          <cell r="O288" t="str">
            <v>% brut</v>
          </cell>
          <cell r="P288">
            <v>0</v>
          </cell>
          <cell r="Q288">
            <v>4185.0475351586747</v>
          </cell>
          <cell r="R288" t="str">
            <v>% brut</v>
          </cell>
          <cell r="S288">
            <v>0</v>
          </cell>
          <cell r="T288">
            <v>4185.0475351586747</v>
          </cell>
          <cell r="U288" t="str">
            <v>% brut</v>
          </cell>
          <cell r="V288">
            <v>0</v>
          </cell>
          <cell r="W288">
            <v>4185.0475351586747</v>
          </cell>
          <cell r="X288" t="str">
            <v>% brut</v>
          </cell>
          <cell r="Y288">
            <v>0</v>
          </cell>
          <cell r="Z288">
            <v>4185.0475351586747</v>
          </cell>
          <cell r="AA288" t="str">
            <v>% brut</v>
          </cell>
          <cell r="AB288">
            <v>0</v>
          </cell>
          <cell r="AC288">
            <v>4185.0475351586747</v>
          </cell>
          <cell r="AD288" t="str">
            <v>% brut</v>
          </cell>
          <cell r="AE288">
            <v>0</v>
          </cell>
          <cell r="AF288">
            <v>4185.0475351586747</v>
          </cell>
          <cell r="AG288" t="str">
            <v>% brut</v>
          </cell>
          <cell r="AH288">
            <v>0</v>
          </cell>
          <cell r="AI288">
            <v>4185.0475351586747</v>
          </cell>
          <cell r="AJ288" t="str">
            <v>% brut</v>
          </cell>
          <cell r="AK288">
            <v>0</v>
          </cell>
          <cell r="AL288">
            <v>4185.0475351586747</v>
          </cell>
          <cell r="AM288" t="str">
            <v>% brut</v>
          </cell>
          <cell r="AN288">
            <v>0</v>
          </cell>
          <cell r="AO288">
            <v>4185.0475351586747</v>
          </cell>
        </row>
        <row r="289">
          <cell r="A289" t="str">
            <v>Carrosserie</v>
          </cell>
        </row>
        <row r="290">
          <cell r="A290" t="str">
            <v>CarrosserieTOTAL DES DÉPENSES</v>
          </cell>
          <cell r="B290" t="str">
            <v>TOTAL DES DÉPENSES</v>
          </cell>
          <cell r="C290" t="str">
            <v>% brut</v>
          </cell>
          <cell r="D290">
            <v>0</v>
          </cell>
          <cell r="E290">
            <v>138922.14965070412</v>
          </cell>
          <cell r="F290" t="str">
            <v>% brut</v>
          </cell>
          <cell r="G290">
            <v>0</v>
          </cell>
          <cell r="H290">
            <v>11062.389937374057</v>
          </cell>
          <cell r="I290" t="str">
            <v>% brut</v>
          </cell>
          <cell r="J290">
            <v>0</v>
          </cell>
          <cell r="K290">
            <v>11062.389937374057</v>
          </cell>
          <cell r="L290" t="str">
            <v>% brut</v>
          </cell>
          <cell r="M290">
            <v>0</v>
          </cell>
          <cell r="N290">
            <v>12605.757537927904</v>
          </cell>
          <cell r="O290" t="str">
            <v>% brut</v>
          </cell>
          <cell r="P290">
            <v>0</v>
          </cell>
          <cell r="Q290">
            <v>11062.389937374057</v>
          </cell>
          <cell r="R290" t="str">
            <v>% brut</v>
          </cell>
          <cell r="S290">
            <v>0</v>
          </cell>
          <cell r="T290">
            <v>12605.757537927904</v>
          </cell>
          <cell r="U290" t="str">
            <v>% brut</v>
          </cell>
          <cell r="V290">
            <v>0</v>
          </cell>
          <cell r="W290">
            <v>11062.389937374057</v>
          </cell>
          <cell r="X290" t="str">
            <v>% brut</v>
          </cell>
          <cell r="Y290">
            <v>0</v>
          </cell>
          <cell r="Z290">
            <v>11062.389937374057</v>
          </cell>
          <cell r="AA290" t="str">
            <v>% brut</v>
          </cell>
          <cell r="AB290">
            <v>0</v>
          </cell>
          <cell r="AC290">
            <v>12605.757537927904</v>
          </cell>
          <cell r="AD290" t="str">
            <v>% brut</v>
          </cell>
          <cell r="AE290">
            <v>0</v>
          </cell>
          <cell r="AF290">
            <v>11062.389937374057</v>
          </cell>
          <cell r="AG290" t="str">
            <v>% brut</v>
          </cell>
          <cell r="AH290">
            <v>0</v>
          </cell>
          <cell r="AI290">
            <v>11062.389937374057</v>
          </cell>
          <cell r="AJ290" t="str">
            <v>% brut</v>
          </cell>
          <cell r="AK290">
            <v>0</v>
          </cell>
          <cell r="AL290">
            <v>12605.757537927904</v>
          </cell>
          <cell r="AM290" t="str">
            <v>% brut</v>
          </cell>
          <cell r="AN290">
            <v>0</v>
          </cell>
          <cell r="AO290">
            <v>11062.389937374057</v>
          </cell>
        </row>
        <row r="291">
          <cell r="A291" t="str">
            <v>Carrosserie</v>
          </cell>
        </row>
        <row r="292">
          <cell r="A292" t="str">
            <v>CarrosseriePROFIT DÉPARTEMENTAL</v>
          </cell>
          <cell r="B292" t="str">
            <v>PROFIT DÉPARTEMENTAL</v>
          </cell>
          <cell r="E292">
            <v>39210.500349295849</v>
          </cell>
          <cell r="H292">
            <v>6078.679927700683</v>
          </cell>
          <cell r="K292">
            <v>2086.9017302563061</v>
          </cell>
          <cell r="N292">
            <v>6551.982295946822</v>
          </cell>
          <cell r="Q292">
            <v>5728.3085984618046</v>
          </cell>
          <cell r="T292">
            <v>1424.0333566210029</v>
          </cell>
          <cell r="W292">
            <v>5352.7427170661031</v>
          </cell>
          <cell r="Z292">
            <v>4279.5511305800865</v>
          </cell>
          <cell r="AC292">
            <v>2298.6793905906488</v>
          </cell>
          <cell r="AF292">
            <v>-1250.2023121309794</v>
          </cell>
          <cell r="AI292">
            <v>4739.7471194154477</v>
          </cell>
          <cell r="AL292">
            <v>3679.0128982002407</v>
          </cell>
          <cell r="AO292">
            <v>-1758.9365034122548</v>
          </cell>
        </row>
        <row r="294">
          <cell r="B294" t="str">
            <v>Budget 2024</v>
          </cell>
          <cell r="C294" t="str">
            <v>Pièces</v>
          </cell>
        </row>
        <row r="296">
          <cell r="B296" t="str">
            <v>Mois</v>
          </cell>
          <cell r="C296">
            <v>2024</v>
          </cell>
          <cell r="F296" t="str">
            <v>Janvier</v>
          </cell>
          <cell r="I296" t="str">
            <v>Février</v>
          </cell>
          <cell r="L296" t="str">
            <v>Mars</v>
          </cell>
          <cell r="O296" t="str">
            <v>Avril</v>
          </cell>
          <cell r="R296" t="str">
            <v>Mai</v>
          </cell>
          <cell r="U296" t="str">
            <v>Juin</v>
          </cell>
          <cell r="X296" t="str">
            <v>Juillet</v>
          </cell>
          <cell r="AA296" t="str">
            <v>Août</v>
          </cell>
          <cell r="AD296" t="str">
            <v>Septembre</v>
          </cell>
          <cell r="AG296" t="str">
            <v>Octobre</v>
          </cell>
          <cell r="AJ296" t="str">
            <v>Novembre</v>
          </cell>
          <cell r="AM296" t="str">
            <v>Décembre</v>
          </cell>
        </row>
        <row r="297">
          <cell r="A297" t="str">
            <v>Pièces</v>
          </cell>
          <cell r="C297" t="str">
            <v>$VENTES</v>
          </cell>
          <cell r="D297" t="str">
            <v>% P. BRUT</v>
          </cell>
          <cell r="E297" t="str">
            <v>$PROFITS</v>
          </cell>
          <cell r="F297" t="str">
            <v>$VENTES</v>
          </cell>
          <cell r="G297" t="str">
            <v>% P. BRUT</v>
          </cell>
          <cell r="H297" t="str">
            <v>$PROFITS</v>
          </cell>
          <cell r="I297" t="str">
            <v>$VENTES</v>
          </cell>
          <cell r="J297" t="str">
            <v>% P. BRUT</v>
          </cell>
          <cell r="K297" t="str">
            <v>$PROFITS</v>
          </cell>
          <cell r="L297" t="str">
            <v>$VENTES</v>
          </cell>
          <cell r="M297" t="str">
            <v>% P. BRUT</v>
          </cell>
          <cell r="N297" t="str">
            <v>$PROFITS</v>
          </cell>
          <cell r="O297" t="str">
            <v>$VENTES</v>
          </cell>
          <cell r="P297" t="str">
            <v>% P. BRUT</v>
          </cell>
          <cell r="Q297" t="str">
            <v>$PROFITS</v>
          </cell>
          <cell r="R297" t="str">
            <v>$VENTES</v>
          </cell>
          <cell r="S297" t="str">
            <v>% P. BRUT</v>
          </cell>
          <cell r="T297" t="str">
            <v>$PROFITS</v>
          </cell>
          <cell r="U297" t="str">
            <v>$VENTES</v>
          </cell>
          <cell r="V297" t="str">
            <v>% P. BRUT</v>
          </cell>
          <cell r="W297" t="str">
            <v>$PROFITS</v>
          </cell>
          <cell r="X297" t="str">
            <v>$VENTES</v>
          </cell>
          <cell r="Y297" t="str">
            <v>% P. BRUT</v>
          </cell>
          <cell r="Z297" t="str">
            <v>$PROFITS</v>
          </cell>
          <cell r="AA297" t="str">
            <v>$VENTES</v>
          </cell>
          <cell r="AB297" t="str">
            <v>% P. BRUT</v>
          </cell>
          <cell r="AC297" t="str">
            <v>$PROFITS</v>
          </cell>
          <cell r="AD297" t="str">
            <v>$VENTES</v>
          </cell>
          <cell r="AE297" t="str">
            <v>% P. BRUT</v>
          </cell>
          <cell r="AF297" t="str">
            <v>$PROFITS</v>
          </cell>
          <cell r="AG297" t="str">
            <v>$VENTES</v>
          </cell>
          <cell r="AH297" t="str">
            <v>% P. BRUT</v>
          </cell>
          <cell r="AI297" t="str">
            <v>$PROFITS</v>
          </cell>
          <cell r="AJ297" t="str">
            <v>$VENTES</v>
          </cell>
          <cell r="AK297" t="str">
            <v>% P. BRUT</v>
          </cell>
          <cell r="AL297" t="str">
            <v>$PROFITS</v>
          </cell>
          <cell r="AM297" t="str">
            <v>$VENTES</v>
          </cell>
          <cell r="AN297" t="str">
            <v>% P. BRUT</v>
          </cell>
          <cell r="AO297" t="str">
            <v>$PROFITS</v>
          </cell>
        </row>
        <row r="298">
          <cell r="A298" t="str">
            <v>PiècesPièces Ro Clients</v>
          </cell>
          <cell r="B298" t="str">
            <v>Pièces Ro Clients</v>
          </cell>
          <cell r="C298">
            <v>1453900.5079473404</v>
          </cell>
          <cell r="D298">
            <v>0.34199999999999997</v>
          </cell>
          <cell r="E298">
            <v>497233.97371799039</v>
          </cell>
          <cell r="F298">
            <v>68102.943029233269</v>
          </cell>
          <cell r="G298">
            <v>0.34200000000000003</v>
          </cell>
          <cell r="H298">
            <v>23291.206515997779</v>
          </cell>
          <cell r="I298">
            <v>68675.867624883031</v>
          </cell>
          <cell r="J298">
            <v>0.34200000000000003</v>
          </cell>
          <cell r="K298">
            <v>23487.146727709998</v>
          </cell>
          <cell r="L298">
            <v>97068.693605354172</v>
          </cell>
          <cell r="M298">
            <v>0.34200000000000003</v>
          </cell>
          <cell r="N298">
            <v>33197.493213031128</v>
          </cell>
          <cell r="O298">
            <v>179994.55319999999</v>
          </cell>
          <cell r="P298">
            <v>0.34200000000000003</v>
          </cell>
          <cell r="Q298">
            <v>61558.137194400006</v>
          </cell>
          <cell r="R298">
            <v>194533.69320000001</v>
          </cell>
          <cell r="S298">
            <v>0.34200000000000008</v>
          </cell>
          <cell r="T298">
            <v>66530.523074400015</v>
          </cell>
          <cell r="U298">
            <v>101173.85646693091</v>
          </cell>
          <cell r="V298">
            <v>0.34200000000000003</v>
          </cell>
          <cell r="W298">
            <v>34601.458911690373</v>
          </cell>
          <cell r="X298">
            <v>107008.0704</v>
          </cell>
          <cell r="Y298">
            <v>0.34200000000000008</v>
          </cell>
          <cell r="Z298">
            <v>36596.760076800005</v>
          </cell>
          <cell r="AA298">
            <v>91495.221698814159</v>
          </cell>
          <cell r="AB298">
            <v>0.34200000000000003</v>
          </cell>
          <cell r="AC298">
            <v>31291.365820994444</v>
          </cell>
          <cell r="AD298">
            <v>76440.844943847915</v>
          </cell>
          <cell r="AE298">
            <v>0.34200000000000003</v>
          </cell>
          <cell r="AF298">
            <v>26142.768970795987</v>
          </cell>
          <cell r="AG298">
            <v>166473.15300000002</v>
          </cell>
          <cell r="AH298">
            <v>0.34200000000000003</v>
          </cell>
          <cell r="AI298">
            <v>56933.818326000008</v>
          </cell>
          <cell r="AJ298">
            <v>209218.22459999999</v>
          </cell>
          <cell r="AK298">
            <v>0.34200000000000003</v>
          </cell>
          <cell r="AL298">
            <v>71552.632813200005</v>
          </cell>
          <cell r="AM298">
            <v>93715.386178276894</v>
          </cell>
          <cell r="AN298">
            <v>0.34200000000000003</v>
          </cell>
          <cell r="AO298">
            <v>32050.662072970699</v>
          </cell>
        </row>
        <row r="299">
          <cell r="A299" t="str">
            <v>PiècesPièces Ro Carrosserie</v>
          </cell>
          <cell r="B299" t="str">
            <v>Pièces Ro Carrosserie</v>
          </cell>
          <cell r="C299">
            <v>710095.99999999988</v>
          </cell>
          <cell r="D299">
            <v>0.24800000000000005</v>
          </cell>
          <cell r="E299">
            <v>176103.80800000002</v>
          </cell>
          <cell r="F299">
            <v>77311.478677311447</v>
          </cell>
          <cell r="G299">
            <v>0.248</v>
          </cell>
          <cell r="H299">
            <v>19173.246711973239</v>
          </cell>
          <cell r="I299">
            <v>62778.957931147255</v>
          </cell>
          <cell r="J299">
            <v>0.248</v>
          </cell>
          <cell r="K299">
            <v>15569.181566924519</v>
          </cell>
          <cell r="L299">
            <v>61315.684533504544</v>
          </cell>
          <cell r="M299">
            <v>0.248</v>
          </cell>
          <cell r="N299">
            <v>15206.289764309127</v>
          </cell>
          <cell r="O299">
            <v>67540.913915572368</v>
          </cell>
          <cell r="P299">
            <v>0.248</v>
          </cell>
          <cell r="Q299">
            <v>16750.146651061947</v>
          </cell>
          <cell r="R299">
            <v>51253.068428494706</v>
          </cell>
          <cell r="S299">
            <v>0.248</v>
          </cell>
          <cell r="T299">
            <v>12710.760970266687</v>
          </cell>
          <cell r="U299">
            <v>66130.940674823782</v>
          </cell>
          <cell r="V299">
            <v>0.248</v>
          </cell>
          <cell r="W299">
            <v>16400.473287356297</v>
          </cell>
          <cell r="X299">
            <v>55923.367985034376</v>
          </cell>
          <cell r="Y299">
            <v>0.24800000000000003</v>
          </cell>
          <cell r="Z299">
            <v>13868.995260288526</v>
          </cell>
          <cell r="AA299">
            <v>57292.53348045599</v>
          </cell>
          <cell r="AB299">
            <v>0.248</v>
          </cell>
          <cell r="AC299">
            <v>14208.548303153086</v>
          </cell>
          <cell r="AD299">
            <v>34326.636867241177</v>
          </cell>
          <cell r="AE299">
            <v>0.248</v>
          </cell>
          <cell r="AF299">
            <v>8513.005943075812</v>
          </cell>
          <cell r="AG299">
            <v>52480.08107250421</v>
          </cell>
          <cell r="AH299">
            <v>0.248</v>
          </cell>
          <cell r="AI299">
            <v>13015.060105981043</v>
          </cell>
          <cell r="AJ299">
            <v>74393.158025585159</v>
          </cell>
          <cell r="AK299">
            <v>0.248</v>
          </cell>
          <cell r="AL299">
            <v>18449.50319034512</v>
          </cell>
          <cell r="AM299">
            <v>49349.178408324966</v>
          </cell>
          <cell r="AN299">
            <v>0.248</v>
          </cell>
          <cell r="AO299">
            <v>12238.596245264591</v>
          </cell>
        </row>
        <row r="300">
          <cell r="A300" t="str">
            <v>PiècesP/A Garantie</v>
          </cell>
          <cell r="B300" t="str">
            <v>P/A Garantie</v>
          </cell>
          <cell r="C300">
            <v>539994.9889000064</v>
          </cell>
          <cell r="D300">
            <v>0.24299999999999999</v>
          </cell>
          <cell r="E300">
            <v>131218.78230270155</v>
          </cell>
          <cell r="F300">
            <v>25294.198443502137</v>
          </cell>
          <cell r="G300">
            <v>0.24299999999999997</v>
          </cell>
          <cell r="H300">
            <v>6146.4902217710187</v>
          </cell>
          <cell r="I300">
            <v>25506.989077371039</v>
          </cell>
          <cell r="J300">
            <v>0.24299999999999999</v>
          </cell>
          <cell r="K300">
            <v>6198.1983458011628</v>
          </cell>
          <cell r="L300">
            <v>36052.40375076604</v>
          </cell>
          <cell r="M300">
            <v>0.24300000000000002</v>
          </cell>
          <cell r="N300">
            <v>8760.7341114361479</v>
          </cell>
          <cell r="O300">
            <v>66852</v>
          </cell>
          <cell r="P300">
            <v>0.24299999999999999</v>
          </cell>
          <cell r="Q300">
            <v>16245.036</v>
          </cell>
          <cell r="R300">
            <v>72252</v>
          </cell>
          <cell r="S300">
            <v>0.24300000000000002</v>
          </cell>
          <cell r="T300">
            <v>17557.236000000001</v>
          </cell>
          <cell r="U300">
            <v>37577.107375087311</v>
          </cell>
          <cell r="V300">
            <v>0.24300000000000002</v>
          </cell>
          <cell r="W300">
            <v>9131.237092146217</v>
          </cell>
          <cell r="X300">
            <v>39744</v>
          </cell>
          <cell r="Y300">
            <v>0.24299999999999999</v>
          </cell>
          <cell r="Z300">
            <v>9657.7919999999995</v>
          </cell>
          <cell r="AA300">
            <v>33982.35364496088</v>
          </cell>
          <cell r="AB300">
            <v>0.24300000000000002</v>
          </cell>
          <cell r="AC300">
            <v>8257.7119357254942</v>
          </cell>
          <cell r="AD300">
            <v>28390.98892346994</v>
          </cell>
          <cell r="AE300">
            <v>0.24299999999999999</v>
          </cell>
          <cell r="AF300">
            <v>6899.0103084031953</v>
          </cell>
          <cell r="AG300">
            <v>61830</v>
          </cell>
          <cell r="AH300">
            <v>0.24300000000000002</v>
          </cell>
          <cell r="AI300">
            <v>15024.69</v>
          </cell>
          <cell r="AJ300">
            <v>77706</v>
          </cell>
          <cell r="AK300">
            <v>0.24300000000000002</v>
          </cell>
          <cell r="AL300">
            <v>18882.558000000001</v>
          </cell>
          <cell r="AM300">
            <v>34806.947684848987</v>
          </cell>
          <cell r="AN300">
            <v>0.24300000000000002</v>
          </cell>
          <cell r="AO300">
            <v>8458.0882874183044</v>
          </cell>
        </row>
        <row r="301">
          <cell r="A301" t="str">
            <v>PiècesVentes Internes</v>
          </cell>
          <cell r="B301" t="str">
            <v>Ventes Internes</v>
          </cell>
          <cell r="C301">
            <v>583538.00000000012</v>
          </cell>
          <cell r="D301">
            <v>0.31599999999999995</v>
          </cell>
          <cell r="E301">
            <v>184398.008</v>
          </cell>
          <cell r="F301">
            <v>25630.360314305966</v>
          </cell>
          <cell r="G301">
            <v>0.316</v>
          </cell>
          <cell r="H301">
            <v>8099.1938593206851</v>
          </cell>
          <cell r="I301">
            <v>32024.893327266007</v>
          </cell>
          <cell r="J301">
            <v>0.316</v>
          </cell>
          <cell r="K301">
            <v>10119.866291416058</v>
          </cell>
          <cell r="L301">
            <v>44126.52917235552</v>
          </cell>
          <cell r="M301">
            <v>0.316</v>
          </cell>
          <cell r="N301">
            <v>13943.983218464344</v>
          </cell>
          <cell r="O301">
            <v>46178.307044285575</v>
          </cell>
          <cell r="P301">
            <v>0.316</v>
          </cell>
          <cell r="Q301">
            <v>14592.345025994242</v>
          </cell>
          <cell r="R301">
            <v>50992.242773818311</v>
          </cell>
          <cell r="S301">
            <v>0.316</v>
          </cell>
          <cell r="T301">
            <v>16113.548716526586</v>
          </cell>
          <cell r="U301">
            <v>60882.99990752634</v>
          </cell>
          <cell r="V301">
            <v>0.316</v>
          </cell>
          <cell r="W301">
            <v>19239.027970778323</v>
          </cell>
          <cell r="X301">
            <v>53464.490283295439</v>
          </cell>
          <cell r="Y301">
            <v>0.316</v>
          </cell>
          <cell r="Z301">
            <v>16894.778929521359</v>
          </cell>
          <cell r="AA301">
            <v>52148.583638741169</v>
          </cell>
          <cell r="AB301">
            <v>0.31600000000000006</v>
          </cell>
          <cell r="AC301">
            <v>16478.952429842211</v>
          </cell>
          <cell r="AD301">
            <v>53843.813305220196</v>
          </cell>
          <cell r="AE301">
            <v>0.316</v>
          </cell>
          <cell r="AF301">
            <v>17014.645004449583</v>
          </cell>
          <cell r="AG301">
            <v>72697.863264700442</v>
          </cell>
          <cell r="AH301">
            <v>0.316</v>
          </cell>
          <cell r="AI301">
            <v>22972.524791645341</v>
          </cell>
          <cell r="AJ301">
            <v>56005.685384712364</v>
          </cell>
          <cell r="AK301">
            <v>0.316</v>
          </cell>
          <cell r="AL301">
            <v>17697.796581569106</v>
          </cell>
          <cell r="AM301">
            <v>35542.231583772656</v>
          </cell>
          <cell r="AN301">
            <v>0.316</v>
          </cell>
          <cell r="AO301">
            <v>11231.345180472159</v>
          </cell>
        </row>
        <row r="302">
          <cell r="A302" t="str">
            <v>PiècesVentes Détails</v>
          </cell>
          <cell r="B302" t="str">
            <v>Ventes Détails</v>
          </cell>
          <cell r="C302">
            <v>254357.82</v>
          </cell>
          <cell r="D302">
            <v>0.26500000000000007</v>
          </cell>
          <cell r="E302">
            <v>67404.822300000014</v>
          </cell>
          <cell r="F302">
            <v>12781.800000000001</v>
          </cell>
          <cell r="G302">
            <v>0.26500000000000001</v>
          </cell>
          <cell r="H302">
            <v>3387.1770000000006</v>
          </cell>
          <cell r="I302">
            <v>12781.800000000001</v>
          </cell>
          <cell r="J302">
            <v>0.26500000000000001</v>
          </cell>
          <cell r="K302">
            <v>3387.1770000000006</v>
          </cell>
          <cell r="L302">
            <v>17894.52</v>
          </cell>
          <cell r="M302">
            <v>0.26500000000000001</v>
          </cell>
          <cell r="N302">
            <v>4742.0478000000003</v>
          </cell>
          <cell r="O302">
            <v>25563.600000000002</v>
          </cell>
          <cell r="P302">
            <v>0.26500000000000001</v>
          </cell>
          <cell r="Q302">
            <v>6774.3540000000012</v>
          </cell>
          <cell r="R302">
            <v>29398.140000000003</v>
          </cell>
          <cell r="S302">
            <v>0.26500000000000001</v>
          </cell>
          <cell r="T302">
            <v>7790.5071000000016</v>
          </cell>
          <cell r="U302">
            <v>23007.239999999998</v>
          </cell>
          <cell r="V302">
            <v>0.26500000000000001</v>
          </cell>
          <cell r="W302">
            <v>6096.9186</v>
          </cell>
          <cell r="X302">
            <v>20450.88</v>
          </cell>
          <cell r="Y302">
            <v>0.26500000000000001</v>
          </cell>
          <cell r="Z302">
            <v>5419.4832000000006</v>
          </cell>
          <cell r="AA302">
            <v>23007.239999999998</v>
          </cell>
          <cell r="AB302">
            <v>0.26500000000000001</v>
          </cell>
          <cell r="AC302">
            <v>6096.9186</v>
          </cell>
          <cell r="AD302">
            <v>20450.88</v>
          </cell>
          <cell r="AE302">
            <v>0.26500000000000001</v>
          </cell>
          <cell r="AF302">
            <v>5419.4832000000006</v>
          </cell>
          <cell r="AG302">
            <v>30676.32</v>
          </cell>
          <cell r="AH302">
            <v>0.26500000000000001</v>
          </cell>
          <cell r="AI302">
            <v>8129.2248</v>
          </cell>
          <cell r="AJ302">
            <v>25563.600000000002</v>
          </cell>
          <cell r="AK302">
            <v>0.26500000000000001</v>
          </cell>
          <cell r="AL302">
            <v>6774.3540000000012</v>
          </cell>
          <cell r="AM302">
            <v>12781.800000000001</v>
          </cell>
          <cell r="AN302">
            <v>0.26500000000000001</v>
          </cell>
          <cell r="AO302">
            <v>3387.1770000000006</v>
          </cell>
        </row>
        <row r="303">
          <cell r="A303" t="str">
            <v>PiècesVentes de Gros</v>
          </cell>
          <cell r="B303" t="str">
            <v>Ventes de Gros</v>
          </cell>
          <cell r="C303">
            <v>1580494.9999999998</v>
          </cell>
          <cell r="D303">
            <v>0.14499999999999999</v>
          </cell>
          <cell r="E303">
            <v>229171.77499999994</v>
          </cell>
          <cell r="F303">
            <v>131369.88800037501</v>
          </cell>
          <cell r="G303">
            <v>0.14499999999999999</v>
          </cell>
          <cell r="H303">
            <v>19048.633760054374</v>
          </cell>
          <cell r="I303">
            <v>97822.4535252481</v>
          </cell>
          <cell r="J303">
            <v>0.14499999999999999</v>
          </cell>
          <cell r="K303">
            <v>14184.255761160974</v>
          </cell>
          <cell r="L303">
            <v>131294.05183072784</v>
          </cell>
          <cell r="M303">
            <v>0.14499999999999999</v>
          </cell>
          <cell r="N303">
            <v>19037.637515455535</v>
          </cell>
          <cell r="O303">
            <v>114574.82119492393</v>
          </cell>
          <cell r="P303">
            <v>0.14499999999999999</v>
          </cell>
          <cell r="Q303">
            <v>16613.349073263969</v>
          </cell>
          <cell r="R303">
            <v>117872.10027457221</v>
          </cell>
          <cell r="S303">
            <v>0.14499999999999999</v>
          </cell>
          <cell r="T303">
            <v>17091.45453981297</v>
          </cell>
          <cell r="U303">
            <v>134183.48159425892</v>
          </cell>
          <cell r="V303">
            <v>0.14499999999999999</v>
          </cell>
          <cell r="W303">
            <v>19456.60483116754</v>
          </cell>
          <cell r="X303">
            <v>143141.73013459198</v>
          </cell>
          <cell r="Y303">
            <v>0.14499999999999999</v>
          </cell>
          <cell r="Z303">
            <v>20755.550869515835</v>
          </cell>
          <cell r="AA303">
            <v>124847.8658281988</v>
          </cell>
          <cell r="AB303">
            <v>0.14499999999999999</v>
          </cell>
          <cell r="AC303">
            <v>18102.940545088826</v>
          </cell>
          <cell r="AD303">
            <v>149444.83181509384</v>
          </cell>
          <cell r="AE303">
            <v>0.14499999999999999</v>
          </cell>
          <cell r="AF303">
            <v>21669.500613188608</v>
          </cell>
          <cell r="AG303">
            <v>150310.40872804238</v>
          </cell>
          <cell r="AH303">
            <v>0.14499999999999999</v>
          </cell>
          <cell r="AI303">
            <v>21795.009265566143</v>
          </cell>
          <cell r="AJ303">
            <v>140837.08896621366</v>
          </cell>
          <cell r="AK303">
            <v>0.14499999999999999</v>
          </cell>
          <cell r="AL303">
            <v>20421.377900100979</v>
          </cell>
          <cell r="AM303">
            <v>144796.27810775323</v>
          </cell>
          <cell r="AN303">
            <v>0.14499999999999999</v>
          </cell>
          <cell r="AO303">
            <v>20995.460325624215</v>
          </cell>
        </row>
        <row r="304">
          <cell r="A304" t="str">
            <v>Pièces[...]</v>
          </cell>
          <cell r="B304" t="str">
            <v>[...]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A305" t="str">
            <v>PiècesEscomptes</v>
          </cell>
          <cell r="B305" t="str">
            <v>Escomptes</v>
          </cell>
          <cell r="C305">
            <v>0</v>
          </cell>
          <cell r="D305">
            <v>0</v>
          </cell>
          <cell r="E305">
            <v>93727</v>
          </cell>
          <cell r="F305">
            <v>0</v>
          </cell>
          <cell r="G305">
            <v>0</v>
          </cell>
          <cell r="H305">
            <v>6230.1419357614495</v>
          </cell>
          <cell r="I305">
            <v>0</v>
          </cell>
          <cell r="J305">
            <v>0</v>
          </cell>
          <cell r="K305">
            <v>5481.7778741030306</v>
          </cell>
          <cell r="L305">
            <v>0</v>
          </cell>
          <cell r="M305">
            <v>0</v>
          </cell>
          <cell r="N305">
            <v>7094.9059402213134</v>
          </cell>
          <cell r="O305">
            <v>0</v>
          </cell>
          <cell r="P305">
            <v>0</v>
          </cell>
          <cell r="Q305">
            <v>9161.6554983934057</v>
          </cell>
          <cell r="R305">
            <v>0</v>
          </cell>
          <cell r="S305">
            <v>0</v>
          </cell>
          <cell r="T305">
            <v>9447.0431464423928</v>
          </cell>
          <cell r="U305">
            <v>0</v>
          </cell>
          <cell r="V305">
            <v>0</v>
          </cell>
          <cell r="W305">
            <v>7739.0478702586215</v>
          </cell>
          <cell r="X305">
            <v>0</v>
          </cell>
          <cell r="Y305">
            <v>0</v>
          </cell>
          <cell r="Z305">
            <v>7680.0733000722348</v>
          </cell>
          <cell r="AA305">
            <v>0</v>
          </cell>
          <cell r="AB305">
            <v>0</v>
          </cell>
          <cell r="AC305">
            <v>7003.8192335704462</v>
          </cell>
          <cell r="AD305">
            <v>0</v>
          </cell>
          <cell r="AE305">
            <v>0</v>
          </cell>
          <cell r="AF305">
            <v>6640.1409253700067</v>
          </cell>
          <cell r="AG305">
            <v>0</v>
          </cell>
          <cell r="AH305">
            <v>0</v>
          </cell>
          <cell r="AI305">
            <v>9779.4469125937139</v>
          </cell>
          <cell r="AJ305">
            <v>0</v>
          </cell>
          <cell r="AK305">
            <v>0</v>
          </cell>
          <cell r="AL305">
            <v>10680.709323510635</v>
          </cell>
          <cell r="AM305">
            <v>0</v>
          </cell>
          <cell r="AN305">
            <v>0</v>
          </cell>
          <cell r="AO305">
            <v>6788.2380397027628</v>
          </cell>
        </row>
        <row r="306">
          <cell r="A306" t="str">
            <v>PiècesRectif. Inventaire</v>
          </cell>
          <cell r="B306" t="str">
            <v>Rectif. Inventaire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A307" t="str">
            <v>PiècesSous-total Pièces</v>
          </cell>
          <cell r="B307" t="str">
            <v>Sous-total Pièces</v>
          </cell>
          <cell r="C307">
            <v>5122382.3168473458</v>
          </cell>
          <cell r="D307">
            <v>0.26926107502447783</v>
          </cell>
          <cell r="E307">
            <v>1379258.1693206918</v>
          </cell>
          <cell r="F307">
            <v>340490.66846472782</v>
          </cell>
          <cell r="G307">
            <v>0.25074428732464032</v>
          </cell>
          <cell r="H307">
            <v>85376.090004878555</v>
          </cell>
          <cell r="I307">
            <v>299590.96148591547</v>
          </cell>
          <cell r="J307">
            <v>0.26178227533343934</v>
          </cell>
          <cell r="K307">
            <v>78427.603567115744</v>
          </cell>
          <cell r="L307">
            <v>387751.88289270806</v>
          </cell>
          <cell r="M307">
            <v>0.26301120913224957</v>
          </cell>
          <cell r="N307">
            <v>101983.09156291759</v>
          </cell>
          <cell r="O307">
            <v>500704.19535478187</v>
          </cell>
          <cell r="P307">
            <v>0.28299148430884091</v>
          </cell>
          <cell r="Q307">
            <v>141695.02344311358</v>
          </cell>
          <cell r="R307">
            <v>516301.24467688525</v>
          </cell>
          <cell r="S307">
            <v>0.28518442491765816</v>
          </cell>
          <cell r="T307">
            <v>147241.07354744864</v>
          </cell>
          <cell r="U307">
            <v>422955.62601862726</v>
          </cell>
          <cell r="V307">
            <v>0.26637491413445707</v>
          </cell>
          <cell r="W307">
            <v>112664.76856339737</v>
          </cell>
          <cell r="X307">
            <v>419732.53880292183</v>
          </cell>
          <cell r="Y307">
            <v>0.26415258143295073</v>
          </cell>
          <cell r="Z307">
            <v>110873.43363619797</v>
          </cell>
          <cell r="AA307">
            <v>382773.79829117097</v>
          </cell>
          <cell r="AB307">
            <v>0.2650135858860701</v>
          </cell>
          <cell r="AC307">
            <v>101440.25686837452</v>
          </cell>
          <cell r="AD307">
            <v>362897.99585487309</v>
          </cell>
          <cell r="AE307">
            <v>0.25433746126885309</v>
          </cell>
          <cell r="AF307">
            <v>92298.554965283198</v>
          </cell>
          <cell r="AG307">
            <v>534467.82606524706</v>
          </cell>
          <cell r="AH307">
            <v>0.27625568275790163</v>
          </cell>
          <cell r="AI307">
            <v>147649.77420178623</v>
          </cell>
          <cell r="AJ307">
            <v>583723.7569765111</v>
          </cell>
          <cell r="AK307">
            <v>0.28174102877115492</v>
          </cell>
          <cell r="AL307">
            <v>164458.93180872584</v>
          </cell>
          <cell r="AM307">
            <v>370991.82196297671</v>
          </cell>
          <cell r="AN307">
            <v>0.25647348949095761</v>
          </cell>
          <cell r="AO307">
            <v>95149.56715145272</v>
          </cell>
        </row>
        <row r="308">
          <cell r="A308" t="str">
            <v>Pièces</v>
          </cell>
        </row>
        <row r="309">
          <cell r="A309" t="str">
            <v>Pièces</v>
          </cell>
        </row>
        <row r="310">
          <cell r="A310" t="str">
            <v>PiècesVentes Pneus</v>
          </cell>
          <cell r="B310" t="str">
            <v>Ventes Pneus</v>
          </cell>
          <cell r="C310">
            <v>562303.35499999998</v>
          </cell>
          <cell r="D310">
            <v>0.18000000000000005</v>
          </cell>
          <cell r="E310">
            <v>101214.60390000002</v>
          </cell>
          <cell r="F310">
            <v>28256.45</v>
          </cell>
          <cell r="G310">
            <v>0.18</v>
          </cell>
          <cell r="H310">
            <v>5086.1610000000001</v>
          </cell>
          <cell r="I310">
            <v>28256.45</v>
          </cell>
          <cell r="J310">
            <v>0.18</v>
          </cell>
          <cell r="K310">
            <v>5086.1610000000001</v>
          </cell>
          <cell r="L310">
            <v>39559.030000000006</v>
          </cell>
          <cell r="M310">
            <v>0.18</v>
          </cell>
          <cell r="N310">
            <v>7120.6254000000008</v>
          </cell>
          <cell r="O310">
            <v>56512.9</v>
          </cell>
          <cell r="P310">
            <v>0.18</v>
          </cell>
          <cell r="Q310">
            <v>10172.322</v>
          </cell>
          <cell r="R310">
            <v>64989.835000000006</v>
          </cell>
          <cell r="S310">
            <v>0.18</v>
          </cell>
          <cell r="T310">
            <v>11698.170300000002</v>
          </cell>
          <cell r="U310">
            <v>50861.61</v>
          </cell>
          <cell r="V310">
            <v>0.18</v>
          </cell>
          <cell r="W310">
            <v>9155.0897999999997</v>
          </cell>
          <cell r="X310">
            <v>45210.32</v>
          </cell>
          <cell r="Y310">
            <v>0.18</v>
          </cell>
          <cell r="Z310">
            <v>8137.8575999999994</v>
          </cell>
          <cell r="AA310">
            <v>50861.61</v>
          </cell>
          <cell r="AB310">
            <v>0.18</v>
          </cell>
          <cell r="AC310">
            <v>9155.0897999999997</v>
          </cell>
          <cell r="AD310">
            <v>45210.32</v>
          </cell>
          <cell r="AE310">
            <v>0.18</v>
          </cell>
          <cell r="AF310">
            <v>8137.8575999999994</v>
          </cell>
          <cell r="AG310">
            <v>67815.48</v>
          </cell>
          <cell r="AH310">
            <v>0.18</v>
          </cell>
          <cell r="AI310">
            <v>12206.786399999999</v>
          </cell>
          <cell r="AJ310">
            <v>56512.9</v>
          </cell>
          <cell r="AK310">
            <v>0.18</v>
          </cell>
          <cell r="AL310">
            <v>10172.322</v>
          </cell>
          <cell r="AM310">
            <v>28256.45</v>
          </cell>
          <cell r="AN310">
            <v>0.18</v>
          </cell>
          <cell r="AO310">
            <v>5086.1610000000001</v>
          </cell>
        </row>
        <row r="311">
          <cell r="A311" t="str">
            <v>PiècesHuiles et Graisse</v>
          </cell>
          <cell r="B311" t="str">
            <v>Huiles et Graisse</v>
          </cell>
          <cell r="C311">
            <v>281372.3888921098</v>
          </cell>
          <cell r="D311">
            <v>0.26</v>
          </cell>
          <cell r="E311">
            <v>73156.82111194855</v>
          </cell>
          <cell r="F311">
            <v>13179.916827852619</v>
          </cell>
          <cell r="G311">
            <v>0.26</v>
          </cell>
          <cell r="H311">
            <v>3426.7783752416813</v>
          </cell>
          <cell r="I311">
            <v>13290.794540083845</v>
          </cell>
          <cell r="J311">
            <v>0.26</v>
          </cell>
          <cell r="K311">
            <v>3455.6065804217997</v>
          </cell>
          <cell r="L311">
            <v>18785.639084021841</v>
          </cell>
          <cell r="M311">
            <v>0.26</v>
          </cell>
          <cell r="N311">
            <v>4884.2661618456787</v>
          </cell>
          <cell r="O311">
            <v>34834.224999999999</v>
          </cell>
          <cell r="P311">
            <v>0.26</v>
          </cell>
          <cell r="Q311">
            <v>9056.8984999999993</v>
          </cell>
          <cell r="R311">
            <v>37647.974999999999</v>
          </cell>
          <cell r="S311">
            <v>0.26</v>
          </cell>
          <cell r="T311">
            <v>9788.4735000000001</v>
          </cell>
          <cell r="U311">
            <v>19580.108495676282</v>
          </cell>
          <cell r="V311">
            <v>0.26</v>
          </cell>
          <cell r="W311">
            <v>5090.8282088758333</v>
          </cell>
          <cell r="X311">
            <v>20709.2</v>
          </cell>
          <cell r="Y311">
            <v>0.26</v>
          </cell>
          <cell r="Z311">
            <v>5384.3920000000007</v>
          </cell>
          <cell r="AA311">
            <v>17707.008808983086</v>
          </cell>
          <cell r="AB311">
            <v>0.26</v>
          </cell>
          <cell r="AC311">
            <v>4603.8222903356027</v>
          </cell>
          <cell r="AD311">
            <v>14793.545385817324</v>
          </cell>
          <cell r="AE311">
            <v>0.26</v>
          </cell>
          <cell r="AF311">
            <v>3846.3218003125044</v>
          </cell>
          <cell r="AG311">
            <v>32217.4375</v>
          </cell>
          <cell r="AH311">
            <v>0.26</v>
          </cell>
          <cell r="AI311">
            <v>8376.5337500000005</v>
          </cell>
          <cell r="AJ311">
            <v>40489.862500000003</v>
          </cell>
          <cell r="AK311">
            <v>0.26</v>
          </cell>
          <cell r="AL311">
            <v>10527.364250000001</v>
          </cell>
          <cell r="AM311">
            <v>18136.675749674781</v>
          </cell>
          <cell r="AN311">
            <v>0.26</v>
          </cell>
          <cell r="AO311">
            <v>4715.5356949154429</v>
          </cell>
        </row>
        <row r="312">
          <cell r="A312" t="str">
            <v>PiècesSous-total Pièces et Acc.</v>
          </cell>
          <cell r="B312" t="str">
            <v>Sous-total Pièces et Acc.</v>
          </cell>
          <cell r="C312">
            <v>5966058.0607394548</v>
          </cell>
          <cell r="D312">
            <v>0.2604114104347281</v>
          </cell>
          <cell r="E312">
            <v>1553629.5943326403</v>
          </cell>
          <cell r="F312">
            <v>381927.03529258043</v>
          </cell>
          <cell r="G312">
            <v>0.24582975464985155</v>
          </cell>
          <cell r="H312">
            <v>93889.029380120235</v>
          </cell>
          <cell r="I312">
            <v>341138.20602599933</v>
          </cell>
          <cell r="J312">
            <v>0.25493881837705773</v>
          </cell>
          <cell r="K312">
            <v>86969.371147537546</v>
          </cell>
          <cell r="L312">
            <v>446096.55197672994</v>
          </cell>
          <cell r="M312">
            <v>0.25552312076760753</v>
          </cell>
          <cell r="N312">
            <v>113987.98312476327</v>
          </cell>
          <cell r="O312">
            <v>592051.32035478181</v>
          </cell>
          <cell r="P312">
            <v>0.27180793017517652</v>
          </cell>
          <cell r="Q312">
            <v>160924.2439431136</v>
          </cell>
          <cell r="R312">
            <v>618939.05467688525</v>
          </cell>
          <cell r="S312">
            <v>0.272607966927426</v>
          </cell>
          <cell r="T312">
            <v>168727.71734744863</v>
          </cell>
          <cell r="U312">
            <v>493397.34451430355</v>
          </cell>
          <cell r="V312">
            <v>0.2572180170470984</v>
          </cell>
          <cell r="W312">
            <v>126910.6865722732</v>
          </cell>
          <cell r="X312">
            <v>485652.05880292185</v>
          </cell>
          <cell r="Y312">
            <v>0.25614157498440232</v>
          </cell>
          <cell r="Z312">
            <v>124395.68323619798</v>
          </cell>
          <cell r="AA312">
            <v>451342.41710015404</v>
          </cell>
          <cell r="AB312">
            <v>0.25523674397557705</v>
          </cell>
          <cell r="AC312">
            <v>115199.16895871013</v>
          </cell>
          <cell r="AD312">
            <v>422901.8612406904</v>
          </cell>
          <cell r="AE312">
            <v>0.2465884970561627</v>
          </cell>
          <cell r="AF312">
            <v>104282.73436559571</v>
          </cell>
          <cell r="AG312">
            <v>634500.74356524704</v>
          </cell>
          <cell r="AH312">
            <v>0.26514246997803004</v>
          </cell>
          <cell r="AI312">
            <v>168233.09435178625</v>
          </cell>
          <cell r="AJ312">
            <v>680726.51947651117</v>
          </cell>
          <cell r="AK312">
            <v>0.27200147601288638</v>
          </cell>
          <cell r="AL312">
            <v>185158.61805872587</v>
          </cell>
          <cell r="AM312">
            <v>417384.94771265151</v>
          </cell>
          <cell r="AN312">
            <v>0.2514495657342723</v>
          </cell>
          <cell r="AO312">
            <v>104951.26384636817</v>
          </cell>
        </row>
        <row r="313">
          <cell r="A313" t="str">
            <v>Pièces</v>
          </cell>
        </row>
        <row r="314">
          <cell r="A314" t="str">
            <v>PiècesPièces recond. MCPA</v>
          </cell>
          <cell r="B314" t="str">
            <v>Pièces recond. MCPA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</row>
        <row r="315">
          <cell r="A315" t="str">
            <v>PiècesAutostock</v>
          </cell>
          <cell r="B315" t="str">
            <v>Autostock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A316" t="str">
            <v>Pièces</v>
          </cell>
        </row>
        <row r="317">
          <cell r="A317" t="str">
            <v>PiècesTotal Dépt. Pièces</v>
          </cell>
          <cell r="B317" t="str">
            <v>Total Dépt. Pièces</v>
          </cell>
          <cell r="C317">
            <v>5966058.0607394548</v>
          </cell>
          <cell r="D317">
            <v>0.2604114104347281</v>
          </cell>
          <cell r="E317">
            <v>1553629.5943326403</v>
          </cell>
          <cell r="F317">
            <v>381927.03529258043</v>
          </cell>
          <cell r="G317">
            <v>0.24582975464985155</v>
          </cell>
          <cell r="H317">
            <v>93889.029380120235</v>
          </cell>
          <cell r="I317">
            <v>341138.20602599933</v>
          </cell>
          <cell r="J317">
            <v>0.25493881837705773</v>
          </cell>
          <cell r="K317">
            <v>86969.371147537546</v>
          </cell>
          <cell r="L317">
            <v>446096.55197672994</v>
          </cell>
          <cell r="M317">
            <v>0.25552312076760753</v>
          </cell>
          <cell r="N317">
            <v>113987.98312476327</v>
          </cell>
          <cell r="O317">
            <v>592051.32035478181</v>
          </cell>
          <cell r="P317">
            <v>0.27180793017517652</v>
          </cell>
          <cell r="Q317">
            <v>160924.2439431136</v>
          </cell>
          <cell r="R317">
            <v>618939.05467688525</v>
          </cell>
          <cell r="S317">
            <v>0.272607966927426</v>
          </cell>
          <cell r="T317">
            <v>168727.71734744863</v>
          </cell>
          <cell r="U317">
            <v>493397.34451430355</v>
          </cell>
          <cell r="V317">
            <v>0.2572180170470984</v>
          </cell>
          <cell r="W317">
            <v>126910.6865722732</v>
          </cell>
          <cell r="X317">
            <v>485652.05880292185</v>
          </cell>
          <cell r="Y317">
            <v>0.25614157498440232</v>
          </cell>
          <cell r="Z317">
            <v>124395.68323619798</v>
          </cell>
          <cell r="AA317">
            <v>451342.41710015404</v>
          </cell>
          <cell r="AB317">
            <v>0.25523674397557705</v>
          </cell>
          <cell r="AC317">
            <v>115199.16895871013</v>
          </cell>
          <cell r="AD317">
            <v>422901.8612406904</v>
          </cell>
          <cell r="AE317">
            <v>0.2465884970561627</v>
          </cell>
          <cell r="AF317">
            <v>104282.73436559571</v>
          </cell>
          <cell r="AG317">
            <v>634500.74356524704</v>
          </cell>
          <cell r="AH317">
            <v>0.26514246997803004</v>
          </cell>
          <cell r="AI317">
            <v>168233.09435178625</v>
          </cell>
          <cell r="AJ317">
            <v>680726.51947651117</v>
          </cell>
          <cell r="AK317">
            <v>0.27200147601288638</v>
          </cell>
          <cell r="AL317">
            <v>185158.61805872587</v>
          </cell>
          <cell r="AM317">
            <v>417384.94771265151</v>
          </cell>
          <cell r="AN317">
            <v>0.2514495657342723</v>
          </cell>
          <cell r="AO317">
            <v>104951.26384636817</v>
          </cell>
        </row>
        <row r="318">
          <cell r="A318" t="str">
            <v>Pièces</v>
          </cell>
        </row>
        <row r="319">
          <cell r="A319" t="str">
            <v>Pièces</v>
          </cell>
        </row>
        <row r="320">
          <cell r="A320" t="str">
            <v>PiècesDEPENSES</v>
          </cell>
          <cell r="B320" t="str">
            <v>DEPENSES</v>
          </cell>
        </row>
        <row r="321">
          <cell r="A321" t="str">
            <v>PiècesSalaires cadres</v>
          </cell>
          <cell r="B321" t="str">
            <v>Salaires cadres</v>
          </cell>
          <cell r="E321">
            <v>83588.600000000006</v>
          </cell>
          <cell r="H321">
            <v>6564.9358974358984</v>
          </cell>
          <cell r="K321">
            <v>6564.9358974358984</v>
          </cell>
          <cell r="N321">
            <v>7767.2782051282065</v>
          </cell>
          <cell r="Q321">
            <v>6564.9358974358984</v>
          </cell>
          <cell r="T321">
            <v>7767.2782051282065</v>
          </cell>
          <cell r="W321">
            <v>6564.9358974358984</v>
          </cell>
          <cell r="Z321">
            <v>6564.9358974358984</v>
          </cell>
          <cell r="AC321">
            <v>7767.2782051282065</v>
          </cell>
          <cell r="AF321">
            <v>6564.9358974358984</v>
          </cell>
          <cell r="AI321">
            <v>6564.9358974358984</v>
          </cell>
          <cell r="AL321">
            <v>7767.2782051282065</v>
          </cell>
          <cell r="AO321">
            <v>6564.9358974358984</v>
          </cell>
        </row>
        <row r="322">
          <cell r="A322" t="str">
            <v>PiècesSalaires commis</v>
          </cell>
          <cell r="B322" t="str">
            <v>Salaires commis</v>
          </cell>
          <cell r="E322">
            <v>344059.10399999999</v>
          </cell>
          <cell r="H322">
            <v>26566.084923076924</v>
          </cell>
          <cell r="K322">
            <v>26566.084923076924</v>
          </cell>
          <cell r="N322">
            <v>32882.606153846158</v>
          </cell>
          <cell r="Q322">
            <v>26566.084923076924</v>
          </cell>
          <cell r="T322">
            <v>32882.606153846158</v>
          </cell>
          <cell r="W322">
            <v>26566.084923076924</v>
          </cell>
          <cell r="Z322">
            <v>26566.084923076924</v>
          </cell>
          <cell r="AC322">
            <v>32882.606153846158</v>
          </cell>
          <cell r="AF322">
            <v>26566.084923076924</v>
          </cell>
          <cell r="AI322">
            <v>26566.084923076924</v>
          </cell>
          <cell r="AL322">
            <v>32882.606153846158</v>
          </cell>
          <cell r="AO322">
            <v>26566.084923076924</v>
          </cell>
        </row>
        <row r="323">
          <cell r="A323" t="str">
            <v>PiècesSalaires autres</v>
          </cell>
          <cell r="B323" t="str">
            <v>Salaires autres</v>
          </cell>
          <cell r="E323">
            <v>1823.2000000000005</v>
          </cell>
          <cell r="H323">
            <v>140.24615384615385</v>
          </cell>
          <cell r="K323">
            <v>140.24615384615385</v>
          </cell>
          <cell r="N323">
            <v>175.30769230769232</v>
          </cell>
          <cell r="Q323">
            <v>140.24615384615385</v>
          </cell>
          <cell r="T323">
            <v>175.30769230769232</v>
          </cell>
          <cell r="W323">
            <v>140.24615384615385</v>
          </cell>
          <cell r="Z323">
            <v>140.24615384615385</v>
          </cell>
          <cell r="AC323">
            <v>175.30769230769232</v>
          </cell>
          <cell r="AF323">
            <v>140.24615384615385</v>
          </cell>
          <cell r="AI323">
            <v>140.24615384615385</v>
          </cell>
          <cell r="AL323">
            <v>175.30769230769232</v>
          </cell>
          <cell r="AO323">
            <v>140.24615384615385</v>
          </cell>
        </row>
        <row r="324">
          <cell r="A324" t="str">
            <v>PiècesSalaires spécialistes</v>
          </cell>
          <cell r="B324" t="str">
            <v>Salaires spécialistes</v>
          </cell>
          <cell r="E324">
            <v>0</v>
          </cell>
          <cell r="H324">
            <v>0</v>
          </cell>
          <cell r="K324">
            <v>0</v>
          </cell>
          <cell r="N324">
            <v>0</v>
          </cell>
          <cell r="Q324">
            <v>0</v>
          </cell>
          <cell r="T324">
            <v>0</v>
          </cell>
          <cell r="W324">
            <v>0</v>
          </cell>
          <cell r="Z324">
            <v>0</v>
          </cell>
          <cell r="AC324">
            <v>0</v>
          </cell>
          <cell r="AF324">
            <v>0</v>
          </cell>
          <cell r="AI324">
            <v>0</v>
          </cell>
          <cell r="AL324">
            <v>0</v>
          </cell>
          <cell r="AO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  <cell r="H325">
            <v>0</v>
          </cell>
          <cell r="K325">
            <v>0</v>
          </cell>
          <cell r="N325">
            <v>0</v>
          </cell>
          <cell r="Q325">
            <v>0</v>
          </cell>
          <cell r="T325">
            <v>0</v>
          </cell>
          <cell r="W325">
            <v>0</v>
          </cell>
          <cell r="Z325">
            <v>0</v>
          </cell>
          <cell r="AC325">
            <v>0</v>
          </cell>
          <cell r="AF325">
            <v>0</v>
          </cell>
          <cell r="AI325">
            <v>0</v>
          </cell>
          <cell r="AL325">
            <v>0</v>
          </cell>
          <cell r="AO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  <cell r="H326">
            <v>0</v>
          </cell>
          <cell r="K326">
            <v>0</v>
          </cell>
          <cell r="N326">
            <v>0</v>
          </cell>
          <cell r="Q326">
            <v>0</v>
          </cell>
          <cell r="T326">
            <v>0</v>
          </cell>
          <cell r="W326">
            <v>0</v>
          </cell>
          <cell r="Z326">
            <v>0</v>
          </cell>
          <cell r="AC326">
            <v>0</v>
          </cell>
          <cell r="AF326">
            <v>0</v>
          </cell>
          <cell r="AI326">
            <v>0</v>
          </cell>
          <cell r="AL326">
            <v>0</v>
          </cell>
          <cell r="AO326">
            <v>0</v>
          </cell>
        </row>
        <row r="327">
          <cell r="A327" t="str">
            <v>Pièces[...]</v>
          </cell>
          <cell r="B327" t="str">
            <v>[...]</v>
          </cell>
          <cell r="E327">
            <v>0</v>
          </cell>
          <cell r="H327">
            <v>0</v>
          </cell>
          <cell r="K327">
            <v>0</v>
          </cell>
          <cell r="N327">
            <v>0</v>
          </cell>
          <cell r="Q327">
            <v>0</v>
          </cell>
          <cell r="T327">
            <v>0</v>
          </cell>
          <cell r="W327">
            <v>0</v>
          </cell>
          <cell r="Z327">
            <v>0</v>
          </cell>
          <cell r="AC327">
            <v>0</v>
          </cell>
          <cell r="AF327">
            <v>0</v>
          </cell>
          <cell r="AI327">
            <v>0</v>
          </cell>
          <cell r="AL327">
            <v>0</v>
          </cell>
          <cell r="AO327">
            <v>0</v>
          </cell>
        </row>
        <row r="328">
          <cell r="A328" t="str">
            <v>PiècesSalaires en absences</v>
          </cell>
          <cell r="B328" t="str">
            <v>Salaires en absences</v>
          </cell>
          <cell r="E328">
            <v>52678.040404000007</v>
          </cell>
          <cell r="H328">
            <v>4086.0378682564101</v>
          </cell>
          <cell r="K328">
            <v>4086.0378682564101</v>
          </cell>
          <cell r="N328">
            <v>4997.4343644871806</v>
          </cell>
          <cell r="Q328">
            <v>4086.0378682564101</v>
          </cell>
          <cell r="T328">
            <v>4997.4343644871806</v>
          </cell>
          <cell r="W328">
            <v>4086.0378682564101</v>
          </cell>
          <cell r="Z328">
            <v>4086.0378682564101</v>
          </cell>
          <cell r="AC328">
            <v>4997.4343644871806</v>
          </cell>
          <cell r="AF328">
            <v>4086.0378682564101</v>
          </cell>
          <cell r="AI328">
            <v>4086.0378682564101</v>
          </cell>
          <cell r="AL328">
            <v>4997.4343644871806</v>
          </cell>
          <cell r="AO328">
            <v>4086.0378682564101</v>
          </cell>
        </row>
        <row r="329">
          <cell r="A329" t="str">
            <v>PiècesDéduction à la source</v>
          </cell>
          <cell r="B329" t="str">
            <v>Déduction à la source</v>
          </cell>
          <cell r="E329">
            <v>64049.071151999997</v>
          </cell>
          <cell r="H329">
            <v>4968.0460424615385</v>
          </cell>
          <cell r="K329">
            <v>4968.0460424615385</v>
          </cell>
          <cell r="N329">
            <v>6076.175703076924</v>
          </cell>
          <cell r="Q329">
            <v>4968.0460424615385</v>
          </cell>
          <cell r="T329">
            <v>6076.175703076924</v>
          </cell>
          <cell r="W329">
            <v>4968.0460424615385</v>
          </cell>
          <cell r="Z329">
            <v>4968.0460424615385</v>
          </cell>
          <cell r="AC329">
            <v>6076.175703076924</v>
          </cell>
          <cell r="AF329">
            <v>4968.0460424615385</v>
          </cell>
          <cell r="AI329">
            <v>4968.0460424615385</v>
          </cell>
          <cell r="AL329">
            <v>6076.175703076924</v>
          </cell>
          <cell r="AO329">
            <v>4968.0460424615385</v>
          </cell>
        </row>
        <row r="330">
          <cell r="A330" t="str">
            <v>PiècesBénéfices marginaux</v>
          </cell>
          <cell r="B330" t="str">
            <v>Bénéfices marginaux</v>
          </cell>
          <cell r="E330">
            <v>32999.195354399999</v>
          </cell>
          <cell r="H330">
            <v>2559.6237218769229</v>
          </cell>
          <cell r="K330">
            <v>2559.6237218769229</v>
          </cell>
          <cell r="N330">
            <v>3130.5513948461539</v>
          </cell>
          <cell r="Q330">
            <v>2559.6237218769229</v>
          </cell>
          <cell r="T330">
            <v>3130.5513948461539</v>
          </cell>
          <cell r="W330">
            <v>2559.6237218769229</v>
          </cell>
          <cell r="Z330">
            <v>2559.6237218769229</v>
          </cell>
          <cell r="AC330">
            <v>3130.5513948461539</v>
          </cell>
          <cell r="AF330">
            <v>2559.6237218769229</v>
          </cell>
          <cell r="AI330">
            <v>2559.6237218769229</v>
          </cell>
          <cell r="AL330">
            <v>3130.5513948461539</v>
          </cell>
          <cell r="AO330">
            <v>2559.6237218769229</v>
          </cell>
        </row>
        <row r="331">
          <cell r="A331" t="str">
            <v>PiècesCsst</v>
          </cell>
          <cell r="B331" t="str">
            <v>Csst</v>
          </cell>
          <cell r="E331">
            <v>14387.834824000001</v>
          </cell>
          <cell r="H331">
            <v>1116.0103428717948</v>
          </cell>
          <cell r="K331">
            <v>1116.0103428717948</v>
          </cell>
          <cell r="N331">
            <v>1364.9380202564105</v>
          </cell>
          <cell r="Q331">
            <v>1116.0103428717948</v>
          </cell>
          <cell r="T331">
            <v>1364.9380202564105</v>
          </cell>
          <cell r="W331">
            <v>1116.0103428717948</v>
          </cell>
          <cell r="Z331">
            <v>1116.0103428717948</v>
          </cell>
          <cell r="AC331">
            <v>1364.9380202564105</v>
          </cell>
          <cell r="AF331">
            <v>1116.0103428717948</v>
          </cell>
          <cell r="AI331">
            <v>1116.0103428717948</v>
          </cell>
          <cell r="AL331">
            <v>1364.9380202564105</v>
          </cell>
          <cell r="AO331">
            <v>1116.0103428717948</v>
          </cell>
        </row>
        <row r="332">
          <cell r="A332" t="str">
            <v>Pièces[...]</v>
          </cell>
          <cell r="B332" t="str">
            <v>[...]</v>
          </cell>
          <cell r="E332">
            <v>0</v>
          </cell>
          <cell r="H332">
            <v>0</v>
          </cell>
          <cell r="K332">
            <v>0</v>
          </cell>
          <cell r="N332">
            <v>0</v>
          </cell>
          <cell r="Q332">
            <v>0</v>
          </cell>
          <cell r="T332">
            <v>0</v>
          </cell>
          <cell r="W332">
            <v>0</v>
          </cell>
          <cell r="Z332">
            <v>0</v>
          </cell>
          <cell r="AC332">
            <v>0</v>
          </cell>
          <cell r="AF332">
            <v>0</v>
          </cell>
          <cell r="AI332">
            <v>0</v>
          </cell>
          <cell r="AL332">
            <v>0</v>
          </cell>
          <cell r="AO332">
            <v>0</v>
          </cell>
        </row>
        <row r="333">
          <cell r="A333" t="str">
            <v>PiècesTOTAL PERSONNEL</v>
          </cell>
          <cell r="B333" t="str">
            <v>TOTAL PERSONNEL</v>
          </cell>
          <cell r="C333" t="str">
            <v>% brut</v>
          </cell>
          <cell r="D333">
            <v>0.3820634261214455</v>
          </cell>
          <cell r="E333">
            <v>593585.04573440005</v>
          </cell>
          <cell r="F333" t="str">
            <v>% brut</v>
          </cell>
          <cell r="G333">
            <v>0.48995058585157492</v>
          </cell>
          <cell r="H333">
            <v>46000.984949825637</v>
          </cell>
          <cell r="I333" t="str">
            <v>% brut</v>
          </cell>
          <cell r="J333">
            <v>0.5289331674226796</v>
          </cell>
          <cell r="K333">
            <v>46000.984949825637</v>
          </cell>
          <cell r="L333" t="str">
            <v>% brut</v>
          </cell>
          <cell r="M333">
            <v>0.4947389188579947</v>
          </cell>
          <cell r="N333">
            <v>56394.291533948723</v>
          </cell>
          <cell r="O333" t="str">
            <v>% brut</v>
          </cell>
          <cell r="P333">
            <v>0.28585490801551872</v>
          </cell>
          <cell r="Q333">
            <v>46000.984949825637</v>
          </cell>
          <cell r="R333" t="str">
            <v>% brut</v>
          </cell>
          <cell r="S333">
            <v>0.33423252812589227</v>
          </cell>
          <cell r="T333">
            <v>56394.291533948723</v>
          </cell>
          <cell r="U333" t="str">
            <v>% brut</v>
          </cell>
          <cell r="V333">
            <v>0.36246738704410802</v>
          </cell>
          <cell r="W333">
            <v>46000.984949825637</v>
          </cell>
          <cell r="X333" t="str">
            <v>% brut</v>
          </cell>
          <cell r="Y333">
            <v>0.36979566937608799</v>
          </cell>
          <cell r="Z333">
            <v>46000.984949825637</v>
          </cell>
          <cell r="AA333" t="str">
            <v>% brut</v>
          </cell>
          <cell r="AB333">
            <v>0.48953731214989626</v>
          </cell>
          <cell r="AC333">
            <v>56394.291533948723</v>
          </cell>
          <cell r="AD333" t="str">
            <v>% brut</v>
          </cell>
          <cell r="AE333">
            <v>0.4411179398936243</v>
          </cell>
          <cell r="AF333">
            <v>46000.984949825637</v>
          </cell>
          <cell r="AG333" t="str">
            <v>% brut</v>
          </cell>
          <cell r="AH333">
            <v>0.27343600334447044</v>
          </cell>
          <cell r="AI333">
            <v>46000.984949825637</v>
          </cell>
          <cell r="AJ333" t="str">
            <v>% brut</v>
          </cell>
          <cell r="AK333">
            <v>0.30457286906333692</v>
          </cell>
          <cell r="AL333">
            <v>56394.291533948723</v>
          </cell>
          <cell r="AM333" t="str">
            <v>% brut</v>
          </cell>
          <cell r="AN333">
            <v>0.43830806094115943</v>
          </cell>
          <cell r="AO333">
            <v>46000.984949825637</v>
          </cell>
        </row>
        <row r="334">
          <cell r="A334" t="str">
            <v>PiècesPublicité 2</v>
          </cell>
          <cell r="B334" t="str">
            <v>Publicité 2</v>
          </cell>
          <cell r="E334">
            <v>53418.817641249982</v>
          </cell>
          <cell r="H334">
            <v>4451.5681367708321</v>
          </cell>
          <cell r="K334">
            <v>4451.5681367708321</v>
          </cell>
          <cell r="N334">
            <v>4451.5681367708321</v>
          </cell>
          <cell r="Q334">
            <v>4451.5681367708321</v>
          </cell>
          <cell r="T334">
            <v>4451.5681367708321</v>
          </cell>
          <cell r="W334">
            <v>4451.5681367708321</v>
          </cell>
          <cell r="Z334">
            <v>4451.5681367708321</v>
          </cell>
          <cell r="AC334">
            <v>4451.5681367708321</v>
          </cell>
          <cell r="AF334">
            <v>4451.5681367708321</v>
          </cell>
          <cell r="AI334">
            <v>4451.5681367708321</v>
          </cell>
          <cell r="AL334">
            <v>4451.5681367708321</v>
          </cell>
          <cell r="AO334">
            <v>4451.5681367708321</v>
          </cell>
        </row>
        <row r="335">
          <cell r="A335" t="str">
            <v>PiècesService gratuit 2</v>
          </cell>
          <cell r="B335" t="str">
            <v>Service gratuit 2</v>
          </cell>
          <cell r="E335">
            <v>17817.196877697435</v>
          </cell>
          <cell r="H335">
            <v>1484.7664064747862</v>
          </cell>
          <cell r="K335">
            <v>1484.7664064747862</v>
          </cell>
          <cell r="N335">
            <v>1484.7664064747862</v>
          </cell>
          <cell r="Q335">
            <v>1484.7664064747862</v>
          </cell>
          <cell r="T335">
            <v>1484.7664064747862</v>
          </cell>
          <cell r="W335">
            <v>1484.7664064747862</v>
          </cell>
          <cell r="Z335">
            <v>1484.7664064747862</v>
          </cell>
          <cell r="AC335">
            <v>1484.7664064747862</v>
          </cell>
          <cell r="AF335">
            <v>1484.7664064747862</v>
          </cell>
          <cell r="AI335">
            <v>1484.7664064747862</v>
          </cell>
          <cell r="AL335">
            <v>1484.7664064747862</v>
          </cell>
          <cell r="AO335">
            <v>1484.7664064747862</v>
          </cell>
        </row>
        <row r="336">
          <cell r="A336" t="str">
            <v>PiècesFrais véhicules de cie</v>
          </cell>
          <cell r="B336" t="str">
            <v>Frais véhicules de cie</v>
          </cell>
          <cell r="E336">
            <v>13000.000000000002</v>
          </cell>
          <cell r="H336">
            <v>1083.3333333333333</v>
          </cell>
          <cell r="K336">
            <v>1083.3333333333333</v>
          </cell>
          <cell r="N336">
            <v>1083.3333333333333</v>
          </cell>
          <cell r="Q336">
            <v>1083.3333333333333</v>
          </cell>
          <cell r="T336">
            <v>1083.3333333333333</v>
          </cell>
          <cell r="W336">
            <v>1083.3333333333333</v>
          </cell>
          <cell r="Z336">
            <v>1083.3333333333333</v>
          </cell>
          <cell r="AC336">
            <v>1083.3333333333333</v>
          </cell>
          <cell r="AF336">
            <v>1083.3333333333333</v>
          </cell>
          <cell r="AI336">
            <v>1083.3333333333333</v>
          </cell>
          <cell r="AL336">
            <v>1083.3333333333333</v>
          </cell>
          <cell r="AO336">
            <v>1083.3333333333333</v>
          </cell>
        </row>
        <row r="337">
          <cell r="A337" t="str">
            <v>PiècesInformatique</v>
          </cell>
          <cell r="B337" t="str">
            <v>Informatique</v>
          </cell>
          <cell r="E337">
            <v>45707.228433333337</v>
          </cell>
          <cell r="H337">
            <v>3808.9357027777774</v>
          </cell>
          <cell r="K337">
            <v>3808.9357027777774</v>
          </cell>
          <cell r="N337">
            <v>3808.9357027777774</v>
          </cell>
          <cell r="Q337">
            <v>3808.9357027777774</v>
          </cell>
          <cell r="T337">
            <v>3808.9357027777774</v>
          </cell>
          <cell r="W337">
            <v>3808.9357027777774</v>
          </cell>
          <cell r="Z337">
            <v>3808.9357027777774</v>
          </cell>
          <cell r="AC337">
            <v>3808.9357027777774</v>
          </cell>
          <cell r="AF337">
            <v>3808.9357027777774</v>
          </cell>
          <cell r="AI337">
            <v>3808.9357027777774</v>
          </cell>
          <cell r="AL337">
            <v>3808.9357027777774</v>
          </cell>
          <cell r="AO337">
            <v>3808.9357027777774</v>
          </cell>
        </row>
        <row r="338">
          <cell r="A338" t="str">
            <v>PiècesFrais de déplacement</v>
          </cell>
          <cell r="B338" t="str">
            <v>Frais de déplacement</v>
          </cell>
          <cell r="E338">
            <v>8227.4459603579617</v>
          </cell>
          <cell r="H338">
            <v>685.62049669649684</v>
          </cell>
          <cell r="K338">
            <v>685.62049669649684</v>
          </cell>
          <cell r="N338">
            <v>685.62049669649684</v>
          </cell>
          <cell r="Q338">
            <v>685.62049669649684</v>
          </cell>
          <cell r="T338">
            <v>685.62049669649684</v>
          </cell>
          <cell r="W338">
            <v>685.62049669649684</v>
          </cell>
          <cell r="Z338">
            <v>685.62049669649684</v>
          </cell>
          <cell r="AC338">
            <v>685.62049669649684</v>
          </cell>
          <cell r="AF338">
            <v>685.62049669649684</v>
          </cell>
          <cell r="AI338">
            <v>685.62049669649684</v>
          </cell>
          <cell r="AL338">
            <v>685.62049669649684</v>
          </cell>
          <cell r="AO338">
            <v>685.62049669649684</v>
          </cell>
        </row>
        <row r="339">
          <cell r="A339" t="str">
            <v>PiècesServices extérieurs</v>
          </cell>
          <cell r="B339" t="str">
            <v>Services extérieurs</v>
          </cell>
          <cell r="E339">
            <v>149001.93300638889</v>
          </cell>
          <cell r="H339">
            <v>12416.827750532408</v>
          </cell>
          <cell r="K339">
            <v>12416.827750532408</v>
          </cell>
          <cell r="N339">
            <v>12416.827750532408</v>
          </cell>
          <cell r="Q339">
            <v>12416.827750532408</v>
          </cell>
          <cell r="T339">
            <v>12416.827750532408</v>
          </cell>
          <cell r="W339">
            <v>12416.827750532408</v>
          </cell>
          <cell r="Z339">
            <v>12416.827750532408</v>
          </cell>
          <cell r="AC339">
            <v>12416.827750532408</v>
          </cell>
          <cell r="AF339">
            <v>12416.827750532408</v>
          </cell>
          <cell r="AI339">
            <v>12416.827750532408</v>
          </cell>
          <cell r="AL339">
            <v>12416.827750532408</v>
          </cell>
          <cell r="AO339">
            <v>12416.827750532408</v>
          </cell>
        </row>
        <row r="340">
          <cell r="A340" t="str">
            <v>PiècesFournitures d'atelier</v>
          </cell>
          <cell r="B340" t="str">
            <v>Fournitures d'atelier</v>
          </cell>
          <cell r="E340">
            <v>0</v>
          </cell>
          <cell r="H340">
            <v>0</v>
          </cell>
          <cell r="K340">
            <v>0</v>
          </cell>
          <cell r="N340">
            <v>0</v>
          </cell>
          <cell r="Q340">
            <v>0</v>
          </cell>
          <cell r="T340">
            <v>0</v>
          </cell>
          <cell r="W340">
            <v>0</v>
          </cell>
          <cell r="Z340">
            <v>0</v>
          </cell>
          <cell r="AC340">
            <v>0</v>
          </cell>
          <cell r="AF340">
            <v>0</v>
          </cell>
          <cell r="AI340">
            <v>0</v>
          </cell>
          <cell r="AL340">
            <v>0</v>
          </cell>
          <cell r="AO340">
            <v>0</v>
          </cell>
        </row>
        <row r="341">
          <cell r="A341" t="str">
            <v>PiècesFournitures autres</v>
          </cell>
          <cell r="B341" t="str">
            <v>Fournitures autres</v>
          </cell>
          <cell r="E341">
            <v>1500</v>
          </cell>
          <cell r="H341">
            <v>125</v>
          </cell>
          <cell r="K341">
            <v>125</v>
          </cell>
          <cell r="N341">
            <v>125</v>
          </cell>
          <cell r="Q341">
            <v>125</v>
          </cell>
          <cell r="T341">
            <v>125</v>
          </cell>
          <cell r="W341">
            <v>125</v>
          </cell>
          <cell r="Z341">
            <v>125</v>
          </cell>
          <cell r="AC341">
            <v>125</v>
          </cell>
          <cell r="AF341">
            <v>125</v>
          </cell>
          <cell r="AI341">
            <v>125</v>
          </cell>
          <cell r="AL341">
            <v>125</v>
          </cell>
          <cell r="AO341">
            <v>125</v>
          </cell>
        </row>
        <row r="342">
          <cell r="A342" t="str">
            <v>PiècesUniformes</v>
          </cell>
          <cell r="B342" t="str">
            <v>Uniformes</v>
          </cell>
          <cell r="E342">
            <v>1000.0000000000001</v>
          </cell>
          <cell r="H342">
            <v>83.333333333333329</v>
          </cell>
          <cell r="K342">
            <v>83.333333333333329</v>
          </cell>
          <cell r="N342">
            <v>83.333333333333329</v>
          </cell>
          <cell r="Q342">
            <v>83.333333333333329</v>
          </cell>
          <cell r="T342">
            <v>83.333333333333329</v>
          </cell>
          <cell r="W342">
            <v>83.333333333333329</v>
          </cell>
          <cell r="Z342">
            <v>83.333333333333329</v>
          </cell>
          <cell r="AC342">
            <v>83.333333333333329</v>
          </cell>
          <cell r="AF342">
            <v>83.333333333333329</v>
          </cell>
          <cell r="AI342">
            <v>83.333333333333329</v>
          </cell>
          <cell r="AL342">
            <v>83.333333333333329</v>
          </cell>
          <cell r="AO342">
            <v>83.333333333333329</v>
          </cell>
        </row>
        <row r="343">
          <cell r="A343" t="str">
            <v>PiècesPapeterie</v>
          </cell>
          <cell r="B343" t="str">
            <v>Papeterie</v>
          </cell>
          <cell r="E343">
            <v>7415.4351746999992</v>
          </cell>
          <cell r="H343">
            <v>617.95293122500004</v>
          </cell>
          <cell r="K343">
            <v>617.95293122500004</v>
          </cell>
          <cell r="N343">
            <v>617.95293122500004</v>
          </cell>
          <cell r="Q343">
            <v>617.95293122500004</v>
          </cell>
          <cell r="T343">
            <v>617.95293122500004</v>
          </cell>
          <cell r="W343">
            <v>617.95293122500004</v>
          </cell>
          <cell r="Z343">
            <v>617.95293122500004</v>
          </cell>
          <cell r="AC343">
            <v>617.95293122500004</v>
          </cell>
          <cell r="AF343">
            <v>617.95293122500004</v>
          </cell>
          <cell r="AI343">
            <v>617.95293122500004</v>
          </cell>
          <cell r="AL343">
            <v>617.95293122500004</v>
          </cell>
          <cell r="AO343">
            <v>617.95293122500004</v>
          </cell>
        </row>
        <row r="344">
          <cell r="A344" t="str">
            <v>PiècesTéléphone</v>
          </cell>
          <cell r="B344" t="str">
            <v>Téléphone</v>
          </cell>
          <cell r="E344">
            <v>1576.2985973708335</v>
          </cell>
          <cell r="H344">
            <v>131.35821644756945</v>
          </cell>
          <cell r="K344">
            <v>131.35821644756945</v>
          </cell>
          <cell r="N344">
            <v>131.35821644756945</v>
          </cell>
          <cell r="Q344">
            <v>131.35821644756945</v>
          </cell>
          <cell r="T344">
            <v>131.35821644756945</v>
          </cell>
          <cell r="W344">
            <v>131.35821644756945</v>
          </cell>
          <cell r="Z344">
            <v>131.35821644756945</v>
          </cell>
          <cell r="AC344">
            <v>131.35821644756945</v>
          </cell>
          <cell r="AF344">
            <v>131.35821644756945</v>
          </cell>
          <cell r="AI344">
            <v>131.35821644756945</v>
          </cell>
          <cell r="AL344">
            <v>131.35821644756945</v>
          </cell>
          <cell r="AO344">
            <v>131.35821644756945</v>
          </cell>
        </row>
        <row r="345">
          <cell r="A345" t="str">
            <v>PiècesFrais postaux</v>
          </cell>
          <cell r="B345" t="str">
            <v>Frais postaux</v>
          </cell>
          <cell r="E345">
            <v>1923.5577366291664</v>
          </cell>
          <cell r="H345">
            <v>160.29647805243053</v>
          </cell>
          <cell r="K345">
            <v>160.29647805243053</v>
          </cell>
          <cell r="N345">
            <v>160.29647805243053</v>
          </cell>
          <cell r="Q345">
            <v>160.29647805243053</v>
          </cell>
          <cell r="T345">
            <v>160.29647805243053</v>
          </cell>
          <cell r="W345">
            <v>160.29647805243053</v>
          </cell>
          <cell r="Z345">
            <v>160.29647805243053</v>
          </cell>
          <cell r="AC345">
            <v>160.29647805243053</v>
          </cell>
          <cell r="AF345">
            <v>160.29647805243053</v>
          </cell>
          <cell r="AI345">
            <v>160.29647805243053</v>
          </cell>
          <cell r="AL345">
            <v>160.29647805243053</v>
          </cell>
          <cell r="AO345">
            <v>160.29647805243053</v>
          </cell>
        </row>
        <row r="346">
          <cell r="A346" t="str">
            <v>PiècesDivers</v>
          </cell>
          <cell r="B346" t="str">
            <v>Divers</v>
          </cell>
          <cell r="E346">
            <v>2625.1738822041675</v>
          </cell>
          <cell r="H346">
            <v>218.76449018368055</v>
          </cell>
          <cell r="K346">
            <v>218.76449018368055</v>
          </cell>
          <cell r="N346">
            <v>218.76449018368055</v>
          </cell>
          <cell r="Q346">
            <v>218.76449018368055</v>
          </cell>
          <cell r="T346">
            <v>218.76449018368055</v>
          </cell>
          <cell r="W346">
            <v>218.76449018368055</v>
          </cell>
          <cell r="Z346">
            <v>218.76449018368055</v>
          </cell>
          <cell r="AC346">
            <v>218.76449018368055</v>
          </cell>
          <cell r="AF346">
            <v>218.76449018368055</v>
          </cell>
          <cell r="AI346">
            <v>218.76449018368055</v>
          </cell>
          <cell r="AL346">
            <v>218.76449018368055</v>
          </cell>
          <cell r="AO346">
            <v>218.76449018368055</v>
          </cell>
        </row>
        <row r="347">
          <cell r="A347" t="str">
            <v>PiècesFormation</v>
          </cell>
          <cell r="B347" t="str">
            <v>Formation</v>
          </cell>
          <cell r="E347">
            <v>9867.1083957992942</v>
          </cell>
          <cell r="H347">
            <v>822.25903298327421</v>
          </cell>
          <cell r="K347">
            <v>822.25903298327421</v>
          </cell>
          <cell r="N347">
            <v>822.25903298327421</v>
          </cell>
          <cell r="Q347">
            <v>822.25903298327421</v>
          </cell>
          <cell r="T347">
            <v>822.25903298327421</v>
          </cell>
          <cell r="W347">
            <v>822.25903298327421</v>
          </cell>
          <cell r="Z347">
            <v>822.25903298327421</v>
          </cell>
          <cell r="AC347">
            <v>822.25903298327421</v>
          </cell>
          <cell r="AF347">
            <v>822.25903298327421</v>
          </cell>
          <cell r="AI347">
            <v>822.25903298327421</v>
          </cell>
          <cell r="AL347">
            <v>822.25903298327421</v>
          </cell>
          <cell r="AO347">
            <v>822.25903298327421</v>
          </cell>
        </row>
        <row r="348">
          <cell r="A348" t="str">
            <v>PiècesFrais bancaires</v>
          </cell>
          <cell r="B348" t="str">
            <v>Frais bancaires</v>
          </cell>
          <cell r="E348">
            <v>17755.930187755745</v>
          </cell>
          <cell r="H348">
            <v>1479.6608489796454</v>
          </cell>
          <cell r="K348">
            <v>1479.6608489796454</v>
          </cell>
          <cell r="N348">
            <v>1479.6608489796454</v>
          </cell>
          <cell r="Q348">
            <v>1479.6608489796454</v>
          </cell>
          <cell r="T348">
            <v>1479.6608489796454</v>
          </cell>
          <cell r="W348">
            <v>1479.6608489796454</v>
          </cell>
          <cell r="Z348">
            <v>1479.6608489796454</v>
          </cell>
          <cell r="AC348">
            <v>1479.6608489796454</v>
          </cell>
          <cell r="AF348">
            <v>1479.6608489796454</v>
          </cell>
          <cell r="AI348">
            <v>1479.6608489796454</v>
          </cell>
          <cell r="AL348">
            <v>1479.6608489796454</v>
          </cell>
          <cell r="AO348">
            <v>1479.6608489796454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Pièces[...]</v>
          </cell>
          <cell r="B351" t="str">
            <v>[...]</v>
          </cell>
          <cell r="E351">
            <v>0</v>
          </cell>
        </row>
        <row r="352">
          <cell r="A352" t="str">
            <v>PiècesTOTAL SEMI-FIXES</v>
          </cell>
          <cell r="B352" t="str">
            <v>TOTAL SEMI-FIXES</v>
          </cell>
          <cell r="C352" t="str">
            <v>% brut</v>
          </cell>
          <cell r="D352">
            <v>0.21294401645045716</v>
          </cell>
          <cell r="E352">
            <v>330836.12589348684</v>
          </cell>
          <cell r="F352" t="str">
            <v>% brut</v>
          </cell>
          <cell r="G352">
            <v>0.29364109246642273</v>
          </cell>
          <cell r="H352">
            <v>27569.677157790564</v>
          </cell>
          <cell r="I352" t="str">
            <v>% brut</v>
          </cell>
          <cell r="J352">
            <v>0.31700444413954088</v>
          </cell>
          <cell r="K352">
            <v>27569.677157790564</v>
          </cell>
          <cell r="L352" t="str">
            <v>% brut</v>
          </cell>
          <cell r="M352">
            <v>0.24186476856612793</v>
          </cell>
          <cell r="N352">
            <v>27569.677157790564</v>
          </cell>
          <cell r="O352" t="str">
            <v>% brut</v>
          </cell>
          <cell r="P352">
            <v>0.17132084316354712</v>
          </cell>
          <cell r="Q352">
            <v>27569.677157790564</v>
          </cell>
          <cell r="R352" t="str">
            <v>% brut</v>
          </cell>
          <cell r="S352">
            <v>0.16339744051072738</v>
          </cell>
          <cell r="T352">
            <v>27569.677157790564</v>
          </cell>
          <cell r="U352" t="str">
            <v>% brut</v>
          </cell>
          <cell r="V352">
            <v>0.21723684507915858</v>
          </cell>
          <cell r="W352">
            <v>27569.677157790564</v>
          </cell>
          <cell r="X352" t="str">
            <v>% brut</v>
          </cell>
          <cell r="Y352">
            <v>0.22162888968938149</v>
          </cell>
          <cell r="Z352">
            <v>27569.677157790564</v>
          </cell>
          <cell r="AA352" t="str">
            <v>% brut</v>
          </cell>
          <cell r="AB352">
            <v>0.23932184066077883</v>
          </cell>
          <cell r="AC352">
            <v>27569.677157790564</v>
          </cell>
          <cell r="AD352" t="str">
            <v>% brut</v>
          </cell>
          <cell r="AE352">
            <v>0.26437432165075808</v>
          </cell>
          <cell r="AF352">
            <v>27569.677157790564</v>
          </cell>
          <cell r="AG352" t="str">
            <v>% brut</v>
          </cell>
          <cell r="AH352">
            <v>0.16387784617538206</v>
          </cell>
          <cell r="AI352">
            <v>27569.677157790564</v>
          </cell>
          <cell r="AJ352" t="str">
            <v>% brut</v>
          </cell>
          <cell r="AK352">
            <v>0.14889761787402422</v>
          </cell>
          <cell r="AL352">
            <v>27569.677157790564</v>
          </cell>
          <cell r="AM352" t="str">
            <v>% brut</v>
          </cell>
          <cell r="AN352">
            <v>0.26269028258819405</v>
          </cell>
          <cell r="AO352">
            <v>27569.677157790564</v>
          </cell>
        </row>
        <row r="353">
          <cell r="A353" t="str">
            <v>Pièces</v>
          </cell>
        </row>
        <row r="354">
          <cell r="A354" t="str">
            <v>PiècesTOTAL DES DÉPENSES</v>
          </cell>
          <cell r="B354" t="str">
            <v>TOTAL DES DÉPENSES</v>
          </cell>
          <cell r="C354" t="str">
            <v>% brut</v>
          </cell>
          <cell r="D354">
            <v>0.59500744257190263</v>
          </cell>
          <cell r="E354">
            <v>924421.17162788683</v>
          </cell>
          <cell r="F354" t="str">
            <v>% brut</v>
          </cell>
          <cell r="G354">
            <v>0.78359167831799759</v>
          </cell>
          <cell r="H354">
            <v>73570.662107616197</v>
          </cell>
          <cell r="I354" t="str">
            <v>% brut</v>
          </cell>
          <cell r="J354">
            <v>0.84593761156222047</v>
          </cell>
          <cell r="K354">
            <v>73570.662107616197</v>
          </cell>
          <cell r="L354" t="str">
            <v>% brut</v>
          </cell>
          <cell r="M354">
            <v>0.73660368742412263</v>
          </cell>
          <cell r="N354">
            <v>83963.968691739283</v>
          </cell>
          <cell r="O354" t="str">
            <v>% brut</v>
          </cell>
          <cell r="P354">
            <v>0.45717575117906584</v>
          </cell>
          <cell r="Q354">
            <v>73570.662107616197</v>
          </cell>
          <cell r="R354" t="str">
            <v>% brut</v>
          </cell>
          <cell r="S354">
            <v>0.49762996863661962</v>
          </cell>
          <cell r="T354">
            <v>83963.968691739283</v>
          </cell>
          <cell r="U354" t="str">
            <v>% brut</v>
          </cell>
          <cell r="V354">
            <v>0.57970423212326661</v>
          </cell>
          <cell r="W354">
            <v>73570.662107616197</v>
          </cell>
          <cell r="X354" t="str">
            <v>% brut</v>
          </cell>
          <cell r="Y354">
            <v>0.59142455906546942</v>
          </cell>
          <cell r="Z354">
            <v>73570.662107616197</v>
          </cell>
          <cell r="AA354" t="str">
            <v>% brut</v>
          </cell>
          <cell r="AB354">
            <v>0.72885915281067504</v>
          </cell>
          <cell r="AC354">
            <v>83963.968691739283</v>
          </cell>
          <cell r="AD354" t="str">
            <v>% brut</v>
          </cell>
          <cell r="AE354">
            <v>0.70549226154438238</v>
          </cell>
          <cell r="AF354">
            <v>73570.662107616197</v>
          </cell>
          <cell r="AG354" t="str">
            <v>% brut</v>
          </cell>
          <cell r="AH354">
            <v>0.43731384951985247</v>
          </cell>
          <cell r="AI354">
            <v>73570.662107616197</v>
          </cell>
          <cell r="AJ354" t="str">
            <v>% brut</v>
          </cell>
          <cell r="AK354">
            <v>0.45347048693736108</v>
          </cell>
          <cell r="AL354">
            <v>83963.968691739283</v>
          </cell>
          <cell r="AM354" t="str">
            <v>% brut</v>
          </cell>
          <cell r="AN354">
            <v>0.70099834352935342</v>
          </cell>
          <cell r="AO354">
            <v>73570.662107616197</v>
          </cell>
        </row>
        <row r="355">
          <cell r="A355" t="str">
            <v>Pièces</v>
          </cell>
        </row>
        <row r="356">
          <cell r="A356" t="str">
            <v>PiècesPROFIT DÉPARTEMENTAL</v>
          </cell>
          <cell r="B356" t="str">
            <v>PROFIT DÉPARTEMENTAL</v>
          </cell>
          <cell r="E356">
            <v>629208.42270475347</v>
          </cell>
          <cell r="H356">
            <v>20318.367272504038</v>
          </cell>
          <cell r="K356">
            <v>13398.709039921348</v>
          </cell>
          <cell r="N356">
            <v>30024.014433023985</v>
          </cell>
          <cell r="Q356">
            <v>87353.581835497404</v>
          </cell>
          <cell r="T356">
            <v>84763.748655709351</v>
          </cell>
          <cell r="W356">
            <v>53340.024464657006</v>
          </cell>
          <cell r="Z356">
            <v>50825.021128581779</v>
          </cell>
          <cell r="AC356">
            <v>31235.200266970845</v>
          </cell>
          <cell r="AF356">
            <v>30712.072257979511</v>
          </cell>
          <cell r="AI356">
            <v>94662.43224417005</v>
          </cell>
          <cell r="AL356">
            <v>101194.64936698659</v>
          </cell>
          <cell r="AO356">
            <v>31380.601738751968</v>
          </cell>
        </row>
        <row r="359">
          <cell r="B359" t="str">
            <v>Budget 2024</v>
          </cell>
          <cell r="C359" t="str">
            <v>Boutique</v>
          </cell>
        </row>
        <row r="361">
          <cell r="B361" t="str">
            <v>Mois</v>
          </cell>
          <cell r="C361">
            <v>2024</v>
          </cell>
          <cell r="F361" t="str">
            <v>Janvier</v>
          </cell>
          <cell r="I361" t="str">
            <v>Février</v>
          </cell>
          <cell r="L361" t="str">
            <v>Mars</v>
          </cell>
          <cell r="O361" t="str">
            <v>Avril</v>
          </cell>
          <cell r="R361" t="str">
            <v>Mai</v>
          </cell>
          <cell r="U361" t="str">
            <v>Juin</v>
          </cell>
          <cell r="X361" t="str">
            <v>Juillet</v>
          </cell>
          <cell r="AA361" t="str">
            <v>Août</v>
          </cell>
          <cell r="AD361" t="str">
            <v>Septembre</v>
          </cell>
          <cell r="AG361" t="str">
            <v>Octobre</v>
          </cell>
          <cell r="AJ361" t="str">
            <v>Novembre</v>
          </cell>
          <cell r="AM361" t="str">
            <v>Décembre</v>
          </cell>
        </row>
        <row r="362">
          <cell r="C362" t="str">
            <v>$VENTES</v>
          </cell>
          <cell r="D362" t="str">
            <v>% P. BRUT</v>
          </cell>
          <cell r="E362" t="str">
            <v>$PROFITS</v>
          </cell>
          <cell r="F362" t="str">
            <v>$VENTES</v>
          </cell>
          <cell r="G362" t="str">
            <v>% P. BRUT</v>
          </cell>
          <cell r="H362" t="str">
            <v>$PROFITS</v>
          </cell>
          <cell r="I362" t="str">
            <v>$VENTES</v>
          </cell>
          <cell r="J362" t="str">
            <v>% P. BRUT</v>
          </cell>
          <cell r="K362" t="str">
            <v>$PROFITS</v>
          </cell>
          <cell r="L362" t="str">
            <v>$VENTES</v>
          </cell>
          <cell r="M362" t="str">
            <v>% P. BRUT</v>
          </cell>
          <cell r="N362" t="str">
            <v>$PROFITS</v>
          </cell>
          <cell r="O362" t="str">
            <v>$VENTES</v>
          </cell>
          <cell r="P362" t="str">
            <v>% P. BRUT</v>
          </cell>
          <cell r="Q362" t="str">
            <v>$PROFITS</v>
          </cell>
          <cell r="R362" t="str">
            <v>$VENTES</v>
          </cell>
          <cell r="S362" t="str">
            <v>% P. BRUT</v>
          </cell>
          <cell r="T362" t="str">
            <v>$PROFITS</v>
          </cell>
          <cell r="U362" t="str">
            <v>$VENTES</v>
          </cell>
          <cell r="V362" t="str">
            <v>% P. BRUT</v>
          </cell>
          <cell r="W362" t="str">
            <v>$PROFITS</v>
          </cell>
          <cell r="X362" t="str">
            <v>$VENTES</v>
          </cell>
          <cell r="Y362" t="str">
            <v>% P. BRUT</v>
          </cell>
          <cell r="Z362" t="str">
            <v>$PROFITS</v>
          </cell>
          <cell r="AA362" t="str">
            <v>$VENTES</v>
          </cell>
          <cell r="AB362" t="str">
            <v>% P. BRUT</v>
          </cell>
          <cell r="AC362" t="str">
            <v>$PROFITS</v>
          </cell>
          <cell r="AD362" t="str">
            <v>$VENTES</v>
          </cell>
          <cell r="AE362" t="str">
            <v>% P. BRUT</v>
          </cell>
          <cell r="AF362" t="str">
            <v>$PROFITS</v>
          </cell>
          <cell r="AG362" t="str">
            <v>$VENTES</v>
          </cell>
          <cell r="AH362" t="str">
            <v>% P. BRUT</v>
          </cell>
          <cell r="AI362" t="str">
            <v>$PROFITS</v>
          </cell>
          <cell r="AJ362" t="str">
            <v>$VENTES</v>
          </cell>
          <cell r="AK362" t="str">
            <v>% P. BRUT</v>
          </cell>
          <cell r="AL362" t="str">
            <v>$PROFITS</v>
          </cell>
          <cell r="AM362" t="str">
            <v>$VENTES</v>
          </cell>
          <cell r="AN362" t="str">
            <v>% P. BRUT</v>
          </cell>
          <cell r="AO362" t="str">
            <v>$PROFITS</v>
          </cell>
        </row>
        <row r="363">
          <cell r="A363" t="str">
            <v>BoutiqueBoutique</v>
          </cell>
          <cell r="B363" t="str">
            <v>Boutique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A364" t="str">
            <v>Boutique</v>
          </cell>
        </row>
        <row r="365">
          <cell r="A365" t="str">
            <v>BoutiqueTotal Dépt. Boutique</v>
          </cell>
          <cell r="B365" t="str">
            <v>Total Dépt. Boutique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A366" t="str">
            <v>Boutique</v>
          </cell>
        </row>
        <row r="367">
          <cell r="A367" t="str">
            <v>BoutiqueDEPENSES</v>
          </cell>
          <cell r="B367" t="str">
            <v>DEPENSES</v>
          </cell>
        </row>
        <row r="368">
          <cell r="A368" t="str">
            <v>BoutiqueSalaires cadres</v>
          </cell>
          <cell r="B368" t="str">
            <v>Salaires cadres</v>
          </cell>
          <cell r="E368">
            <v>0</v>
          </cell>
          <cell r="H368">
            <v>0</v>
          </cell>
          <cell r="K368">
            <v>0</v>
          </cell>
          <cell r="N368">
            <v>0</v>
          </cell>
          <cell r="Q368">
            <v>0</v>
          </cell>
          <cell r="T368">
            <v>0</v>
          </cell>
          <cell r="W368">
            <v>0</v>
          </cell>
          <cell r="Z368">
            <v>0</v>
          </cell>
          <cell r="AC368">
            <v>0</v>
          </cell>
          <cell r="AF368">
            <v>0</v>
          </cell>
          <cell r="AI368">
            <v>0</v>
          </cell>
          <cell r="AL368">
            <v>0</v>
          </cell>
          <cell r="AO368">
            <v>0</v>
          </cell>
        </row>
        <row r="369">
          <cell r="A369" t="str">
            <v>BoutiqueSalaires commis</v>
          </cell>
          <cell r="B369" t="str">
            <v>Salaires commis</v>
          </cell>
          <cell r="E369">
            <v>0</v>
          </cell>
          <cell r="H369">
            <v>0</v>
          </cell>
          <cell r="K369">
            <v>0</v>
          </cell>
          <cell r="N369">
            <v>0</v>
          </cell>
          <cell r="Q369">
            <v>0</v>
          </cell>
          <cell r="T369">
            <v>0</v>
          </cell>
          <cell r="W369">
            <v>0</v>
          </cell>
          <cell r="Z369">
            <v>0</v>
          </cell>
          <cell r="AC369">
            <v>0</v>
          </cell>
          <cell r="AF369">
            <v>0</v>
          </cell>
          <cell r="AI369">
            <v>0</v>
          </cell>
          <cell r="AL369">
            <v>0</v>
          </cell>
          <cell r="AO369">
            <v>0</v>
          </cell>
        </row>
        <row r="370">
          <cell r="A370" t="str">
            <v>BoutiqueSalaires autres</v>
          </cell>
          <cell r="B370" t="str">
            <v>Salaires autres</v>
          </cell>
          <cell r="E370">
            <v>0</v>
          </cell>
          <cell r="H370">
            <v>0</v>
          </cell>
          <cell r="K370">
            <v>0</v>
          </cell>
          <cell r="N370">
            <v>0</v>
          </cell>
          <cell r="Q370">
            <v>0</v>
          </cell>
          <cell r="T370">
            <v>0</v>
          </cell>
          <cell r="W370">
            <v>0</v>
          </cell>
          <cell r="Z370">
            <v>0</v>
          </cell>
          <cell r="AC370">
            <v>0</v>
          </cell>
          <cell r="AF370">
            <v>0</v>
          </cell>
          <cell r="AI370">
            <v>0</v>
          </cell>
          <cell r="AL370">
            <v>0</v>
          </cell>
          <cell r="AO370">
            <v>0</v>
          </cell>
        </row>
        <row r="371">
          <cell r="A371" t="str">
            <v>BoutiqueSalaires spécialistes</v>
          </cell>
          <cell r="B371" t="str">
            <v>Salaires spécialistes</v>
          </cell>
          <cell r="E371">
            <v>0</v>
          </cell>
          <cell r="H371">
            <v>0</v>
          </cell>
          <cell r="K371">
            <v>0</v>
          </cell>
          <cell r="N371">
            <v>0</v>
          </cell>
          <cell r="Q371">
            <v>0</v>
          </cell>
          <cell r="T371">
            <v>0</v>
          </cell>
          <cell r="W371">
            <v>0</v>
          </cell>
          <cell r="Z371">
            <v>0</v>
          </cell>
          <cell r="AC371">
            <v>0</v>
          </cell>
          <cell r="AF371">
            <v>0</v>
          </cell>
          <cell r="AI371">
            <v>0</v>
          </cell>
          <cell r="AL371">
            <v>0</v>
          </cell>
          <cell r="AO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  <cell r="H372">
            <v>0</v>
          </cell>
          <cell r="K372">
            <v>0</v>
          </cell>
          <cell r="N372">
            <v>0</v>
          </cell>
          <cell r="Q372">
            <v>0</v>
          </cell>
          <cell r="T372">
            <v>0</v>
          </cell>
          <cell r="W372">
            <v>0</v>
          </cell>
          <cell r="Z372">
            <v>0</v>
          </cell>
          <cell r="AC372">
            <v>0</v>
          </cell>
          <cell r="AF372">
            <v>0</v>
          </cell>
          <cell r="AI372">
            <v>0</v>
          </cell>
          <cell r="AL372">
            <v>0</v>
          </cell>
          <cell r="AO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  <cell r="H373">
            <v>0</v>
          </cell>
          <cell r="K373">
            <v>0</v>
          </cell>
          <cell r="N373">
            <v>0</v>
          </cell>
          <cell r="Q373">
            <v>0</v>
          </cell>
          <cell r="T373">
            <v>0</v>
          </cell>
          <cell r="W373">
            <v>0</v>
          </cell>
          <cell r="Z373">
            <v>0</v>
          </cell>
          <cell r="AC373">
            <v>0</v>
          </cell>
          <cell r="AF373">
            <v>0</v>
          </cell>
          <cell r="AI373">
            <v>0</v>
          </cell>
          <cell r="AL373">
            <v>0</v>
          </cell>
          <cell r="AO373">
            <v>0</v>
          </cell>
        </row>
        <row r="374">
          <cell r="A374" t="str">
            <v>Boutique[...]</v>
          </cell>
          <cell r="B374" t="str">
            <v>[...]</v>
          </cell>
          <cell r="E374">
            <v>0</v>
          </cell>
          <cell r="H374">
            <v>0</v>
          </cell>
          <cell r="K374">
            <v>0</v>
          </cell>
          <cell r="N374">
            <v>0</v>
          </cell>
          <cell r="Q374">
            <v>0</v>
          </cell>
          <cell r="T374">
            <v>0</v>
          </cell>
          <cell r="W374">
            <v>0</v>
          </cell>
          <cell r="Z374">
            <v>0</v>
          </cell>
          <cell r="AC374">
            <v>0</v>
          </cell>
          <cell r="AF374">
            <v>0</v>
          </cell>
          <cell r="AI374">
            <v>0</v>
          </cell>
          <cell r="AL374">
            <v>0</v>
          </cell>
          <cell r="AO374">
            <v>0</v>
          </cell>
        </row>
        <row r="375">
          <cell r="A375" t="str">
            <v>BoutiqueSalaires en absences</v>
          </cell>
          <cell r="B375" t="str">
            <v>Salaires en absences</v>
          </cell>
          <cell r="E375">
            <v>0</v>
          </cell>
          <cell r="H375">
            <v>0</v>
          </cell>
          <cell r="K375">
            <v>0</v>
          </cell>
          <cell r="N375">
            <v>0</v>
          </cell>
          <cell r="Q375">
            <v>0</v>
          </cell>
          <cell r="T375">
            <v>0</v>
          </cell>
          <cell r="W375">
            <v>0</v>
          </cell>
          <cell r="Z375">
            <v>0</v>
          </cell>
          <cell r="AC375">
            <v>0</v>
          </cell>
          <cell r="AF375">
            <v>0</v>
          </cell>
          <cell r="AI375">
            <v>0</v>
          </cell>
          <cell r="AL375">
            <v>0</v>
          </cell>
          <cell r="AO375">
            <v>0</v>
          </cell>
        </row>
        <row r="376">
          <cell r="A376" t="str">
            <v>BoutiqueDéduction à la source</v>
          </cell>
          <cell r="B376" t="str">
            <v>Déduction à la source</v>
          </cell>
          <cell r="E376">
            <v>0</v>
          </cell>
          <cell r="H376">
            <v>0</v>
          </cell>
          <cell r="K376">
            <v>0</v>
          </cell>
          <cell r="N376">
            <v>0</v>
          </cell>
          <cell r="Q376">
            <v>0</v>
          </cell>
          <cell r="T376">
            <v>0</v>
          </cell>
          <cell r="W376">
            <v>0</v>
          </cell>
          <cell r="Z376">
            <v>0</v>
          </cell>
          <cell r="AC376">
            <v>0</v>
          </cell>
          <cell r="AF376">
            <v>0</v>
          </cell>
          <cell r="AI376">
            <v>0</v>
          </cell>
          <cell r="AL376">
            <v>0</v>
          </cell>
          <cell r="AO376">
            <v>0</v>
          </cell>
        </row>
        <row r="377">
          <cell r="A377" t="str">
            <v>BoutiqueBénéfices marginaux</v>
          </cell>
          <cell r="B377" t="str">
            <v>Bénéfices marginaux</v>
          </cell>
          <cell r="E377">
            <v>0</v>
          </cell>
          <cell r="H377">
            <v>0</v>
          </cell>
          <cell r="K377">
            <v>0</v>
          </cell>
          <cell r="N377">
            <v>0</v>
          </cell>
          <cell r="Q377">
            <v>0</v>
          </cell>
          <cell r="T377">
            <v>0</v>
          </cell>
          <cell r="W377">
            <v>0</v>
          </cell>
          <cell r="Z377">
            <v>0</v>
          </cell>
          <cell r="AC377">
            <v>0</v>
          </cell>
          <cell r="AF377">
            <v>0</v>
          </cell>
          <cell r="AI377">
            <v>0</v>
          </cell>
          <cell r="AL377">
            <v>0</v>
          </cell>
          <cell r="AO377">
            <v>0</v>
          </cell>
        </row>
        <row r="378">
          <cell r="A378" t="str">
            <v>BoutiqueCsst</v>
          </cell>
          <cell r="B378" t="str">
            <v>Csst</v>
          </cell>
          <cell r="E378">
            <v>0</v>
          </cell>
          <cell r="H378">
            <v>0</v>
          </cell>
          <cell r="K378">
            <v>0</v>
          </cell>
          <cell r="N378">
            <v>0</v>
          </cell>
          <cell r="Q378">
            <v>0</v>
          </cell>
          <cell r="T378">
            <v>0</v>
          </cell>
          <cell r="W378">
            <v>0</v>
          </cell>
          <cell r="Z378">
            <v>0</v>
          </cell>
          <cell r="AC378">
            <v>0</v>
          </cell>
          <cell r="AF378">
            <v>0</v>
          </cell>
          <cell r="AI378">
            <v>0</v>
          </cell>
          <cell r="AL378">
            <v>0</v>
          </cell>
          <cell r="AO378">
            <v>0</v>
          </cell>
        </row>
        <row r="379">
          <cell r="A379" t="str">
            <v>Boutique[...]</v>
          </cell>
          <cell r="B379" t="str">
            <v>[...]</v>
          </cell>
          <cell r="E379">
            <v>0</v>
          </cell>
          <cell r="H379">
            <v>0</v>
          </cell>
          <cell r="K379">
            <v>0</v>
          </cell>
          <cell r="N379">
            <v>0</v>
          </cell>
          <cell r="Q379">
            <v>0</v>
          </cell>
          <cell r="T379">
            <v>0</v>
          </cell>
          <cell r="W379">
            <v>0</v>
          </cell>
          <cell r="Z379">
            <v>0</v>
          </cell>
          <cell r="AC379">
            <v>0</v>
          </cell>
          <cell r="AF379">
            <v>0</v>
          </cell>
          <cell r="AI379">
            <v>0</v>
          </cell>
          <cell r="AL379">
            <v>0</v>
          </cell>
          <cell r="AO379">
            <v>0</v>
          </cell>
        </row>
        <row r="380">
          <cell r="A380" t="str">
            <v>BoutiqueTOTAL PERSONNEL</v>
          </cell>
          <cell r="B380" t="str">
            <v>TOTAL PERSONNEL</v>
          </cell>
          <cell r="C380" t="str">
            <v>% brut</v>
          </cell>
          <cell r="D380">
            <v>0</v>
          </cell>
          <cell r="E380">
            <v>0</v>
          </cell>
          <cell r="F380" t="str">
            <v>% brut</v>
          </cell>
          <cell r="G380">
            <v>0</v>
          </cell>
          <cell r="H380">
            <v>0</v>
          </cell>
          <cell r="I380" t="str">
            <v>% brut</v>
          </cell>
          <cell r="J380">
            <v>0</v>
          </cell>
          <cell r="K380">
            <v>0</v>
          </cell>
          <cell r="L380" t="str">
            <v>% brut</v>
          </cell>
          <cell r="M380">
            <v>0</v>
          </cell>
          <cell r="N380">
            <v>0</v>
          </cell>
          <cell r="O380" t="str">
            <v>% brut</v>
          </cell>
          <cell r="P380">
            <v>0</v>
          </cell>
          <cell r="Q380">
            <v>0</v>
          </cell>
          <cell r="R380" t="str">
            <v>% brut</v>
          </cell>
          <cell r="S380">
            <v>0</v>
          </cell>
          <cell r="T380">
            <v>0</v>
          </cell>
          <cell r="U380" t="str">
            <v>% brut</v>
          </cell>
          <cell r="V380">
            <v>0</v>
          </cell>
          <cell r="W380">
            <v>0</v>
          </cell>
          <cell r="X380" t="str">
            <v>% brut</v>
          </cell>
          <cell r="Y380">
            <v>0</v>
          </cell>
          <cell r="Z380">
            <v>0</v>
          </cell>
          <cell r="AA380" t="str">
            <v>% brut</v>
          </cell>
          <cell r="AB380">
            <v>0</v>
          </cell>
          <cell r="AC380">
            <v>0</v>
          </cell>
          <cell r="AD380" t="str">
            <v>% brut</v>
          </cell>
          <cell r="AE380">
            <v>0</v>
          </cell>
          <cell r="AF380">
            <v>0</v>
          </cell>
          <cell r="AG380" t="str">
            <v>% brut</v>
          </cell>
          <cell r="AH380">
            <v>0</v>
          </cell>
          <cell r="AI380">
            <v>0</v>
          </cell>
          <cell r="AJ380" t="str">
            <v>% brut</v>
          </cell>
          <cell r="AK380">
            <v>0</v>
          </cell>
          <cell r="AL380">
            <v>0</v>
          </cell>
          <cell r="AM380" t="str">
            <v>% brut</v>
          </cell>
          <cell r="AN380">
            <v>0</v>
          </cell>
          <cell r="AO380">
            <v>0</v>
          </cell>
        </row>
        <row r="381">
          <cell r="A381" t="str">
            <v>BoutiquePublicité 2</v>
          </cell>
          <cell r="B381" t="str">
            <v>Publicité 2</v>
          </cell>
          <cell r="E381">
            <v>0</v>
          </cell>
          <cell r="H381">
            <v>0</v>
          </cell>
          <cell r="K381">
            <v>0</v>
          </cell>
          <cell r="N381">
            <v>0</v>
          </cell>
          <cell r="Q381">
            <v>0</v>
          </cell>
          <cell r="T381">
            <v>0</v>
          </cell>
          <cell r="W381">
            <v>0</v>
          </cell>
          <cell r="Z381">
            <v>0</v>
          </cell>
          <cell r="AC381">
            <v>0</v>
          </cell>
          <cell r="AF381">
            <v>0</v>
          </cell>
          <cell r="AI381">
            <v>0</v>
          </cell>
          <cell r="AL381">
            <v>0</v>
          </cell>
          <cell r="AO381">
            <v>0</v>
          </cell>
        </row>
        <row r="382">
          <cell r="A382" t="str">
            <v>BoutiqueService gratuit 2</v>
          </cell>
          <cell r="B382" t="str">
            <v>Service gratuit 2</v>
          </cell>
          <cell r="E382">
            <v>0</v>
          </cell>
          <cell r="H382">
            <v>0</v>
          </cell>
          <cell r="K382">
            <v>0</v>
          </cell>
          <cell r="N382">
            <v>0</v>
          </cell>
          <cell r="Q382">
            <v>0</v>
          </cell>
          <cell r="T382">
            <v>0</v>
          </cell>
          <cell r="W382">
            <v>0</v>
          </cell>
          <cell r="Z382">
            <v>0</v>
          </cell>
          <cell r="AC382">
            <v>0</v>
          </cell>
          <cell r="AF382">
            <v>0</v>
          </cell>
          <cell r="AI382">
            <v>0</v>
          </cell>
          <cell r="AL382">
            <v>0</v>
          </cell>
          <cell r="AO382">
            <v>0</v>
          </cell>
        </row>
        <row r="383">
          <cell r="A383" t="str">
            <v>BoutiqueFrais véhicules de cie</v>
          </cell>
          <cell r="B383" t="str">
            <v>Frais véhicules de cie</v>
          </cell>
          <cell r="E383">
            <v>0</v>
          </cell>
          <cell r="H383">
            <v>0</v>
          </cell>
          <cell r="K383">
            <v>0</v>
          </cell>
          <cell r="N383">
            <v>0</v>
          </cell>
          <cell r="Q383">
            <v>0</v>
          </cell>
          <cell r="T383">
            <v>0</v>
          </cell>
          <cell r="W383">
            <v>0</v>
          </cell>
          <cell r="Z383">
            <v>0</v>
          </cell>
          <cell r="AC383">
            <v>0</v>
          </cell>
          <cell r="AF383">
            <v>0</v>
          </cell>
          <cell r="AI383">
            <v>0</v>
          </cell>
          <cell r="AL383">
            <v>0</v>
          </cell>
          <cell r="AO383">
            <v>0</v>
          </cell>
        </row>
        <row r="384">
          <cell r="A384" t="str">
            <v>BoutiqueInformatique</v>
          </cell>
          <cell r="B384" t="str">
            <v>Informatique</v>
          </cell>
          <cell r="E384">
            <v>0</v>
          </cell>
          <cell r="H384">
            <v>0</v>
          </cell>
          <cell r="K384">
            <v>0</v>
          </cell>
          <cell r="N384">
            <v>0</v>
          </cell>
          <cell r="Q384">
            <v>0</v>
          </cell>
          <cell r="T384">
            <v>0</v>
          </cell>
          <cell r="W384">
            <v>0</v>
          </cell>
          <cell r="Z384">
            <v>0</v>
          </cell>
          <cell r="AC384">
            <v>0</v>
          </cell>
          <cell r="AF384">
            <v>0</v>
          </cell>
          <cell r="AI384">
            <v>0</v>
          </cell>
          <cell r="AL384">
            <v>0</v>
          </cell>
          <cell r="AO384">
            <v>0</v>
          </cell>
        </row>
        <row r="385">
          <cell r="A385" t="str">
            <v>BoutiqueFrais de déplacement</v>
          </cell>
          <cell r="B385" t="str">
            <v>Frais de déplacement</v>
          </cell>
          <cell r="E385">
            <v>0</v>
          </cell>
          <cell r="H385">
            <v>0</v>
          </cell>
          <cell r="K385">
            <v>0</v>
          </cell>
          <cell r="N385">
            <v>0</v>
          </cell>
          <cell r="Q385">
            <v>0</v>
          </cell>
          <cell r="T385">
            <v>0</v>
          </cell>
          <cell r="W385">
            <v>0</v>
          </cell>
          <cell r="Z385">
            <v>0</v>
          </cell>
          <cell r="AC385">
            <v>0</v>
          </cell>
          <cell r="AF385">
            <v>0</v>
          </cell>
          <cell r="AI385">
            <v>0</v>
          </cell>
          <cell r="AL385">
            <v>0</v>
          </cell>
          <cell r="AO385">
            <v>0</v>
          </cell>
        </row>
        <row r="386">
          <cell r="A386" t="str">
            <v>BoutiqueServices extérieurs</v>
          </cell>
          <cell r="B386" t="str">
            <v>Services extérieurs</v>
          </cell>
          <cell r="E386">
            <v>0</v>
          </cell>
          <cell r="H386">
            <v>0</v>
          </cell>
          <cell r="K386">
            <v>0</v>
          </cell>
          <cell r="N386">
            <v>0</v>
          </cell>
          <cell r="Q386">
            <v>0</v>
          </cell>
          <cell r="T386">
            <v>0</v>
          </cell>
          <cell r="W386">
            <v>0</v>
          </cell>
          <cell r="Z386">
            <v>0</v>
          </cell>
          <cell r="AC386">
            <v>0</v>
          </cell>
          <cell r="AF386">
            <v>0</v>
          </cell>
          <cell r="AI386">
            <v>0</v>
          </cell>
          <cell r="AL386">
            <v>0</v>
          </cell>
          <cell r="AO386">
            <v>0</v>
          </cell>
        </row>
        <row r="387">
          <cell r="A387" t="str">
            <v>BoutiqueFournitures autres</v>
          </cell>
          <cell r="B387" t="str">
            <v>Fournitures autres</v>
          </cell>
          <cell r="E387">
            <v>0</v>
          </cell>
          <cell r="H387">
            <v>0</v>
          </cell>
          <cell r="K387">
            <v>0</v>
          </cell>
          <cell r="N387">
            <v>0</v>
          </cell>
          <cell r="Q387">
            <v>0</v>
          </cell>
          <cell r="T387">
            <v>0</v>
          </cell>
          <cell r="W387">
            <v>0</v>
          </cell>
          <cell r="Z387">
            <v>0</v>
          </cell>
          <cell r="AC387">
            <v>0</v>
          </cell>
          <cell r="AF387">
            <v>0</v>
          </cell>
          <cell r="AI387">
            <v>0</v>
          </cell>
          <cell r="AL387">
            <v>0</v>
          </cell>
          <cell r="AO387">
            <v>0</v>
          </cell>
        </row>
        <row r="388">
          <cell r="A388" t="str">
            <v>BoutiqueUniformes</v>
          </cell>
          <cell r="B388" t="str">
            <v>Uniformes</v>
          </cell>
          <cell r="E388">
            <v>0</v>
          </cell>
          <cell r="H388">
            <v>0</v>
          </cell>
          <cell r="K388">
            <v>0</v>
          </cell>
          <cell r="N388">
            <v>0</v>
          </cell>
          <cell r="Q388">
            <v>0</v>
          </cell>
          <cell r="T388">
            <v>0</v>
          </cell>
          <cell r="W388">
            <v>0</v>
          </cell>
          <cell r="Z388">
            <v>0</v>
          </cell>
          <cell r="AC388">
            <v>0</v>
          </cell>
          <cell r="AF388">
            <v>0</v>
          </cell>
          <cell r="AI388">
            <v>0</v>
          </cell>
          <cell r="AL388">
            <v>0</v>
          </cell>
          <cell r="AO388">
            <v>0</v>
          </cell>
        </row>
        <row r="389">
          <cell r="A389" t="str">
            <v>BoutiquePapeterie</v>
          </cell>
          <cell r="B389" t="str">
            <v>Papeterie</v>
          </cell>
          <cell r="E389">
            <v>0</v>
          </cell>
          <cell r="H389">
            <v>0</v>
          </cell>
          <cell r="K389">
            <v>0</v>
          </cell>
          <cell r="N389">
            <v>0</v>
          </cell>
          <cell r="Q389">
            <v>0</v>
          </cell>
          <cell r="T389">
            <v>0</v>
          </cell>
          <cell r="W389">
            <v>0</v>
          </cell>
          <cell r="Z389">
            <v>0</v>
          </cell>
          <cell r="AC389">
            <v>0</v>
          </cell>
          <cell r="AF389">
            <v>0</v>
          </cell>
          <cell r="AI389">
            <v>0</v>
          </cell>
          <cell r="AL389">
            <v>0</v>
          </cell>
          <cell r="AO389">
            <v>0</v>
          </cell>
        </row>
        <row r="390">
          <cell r="A390" t="str">
            <v>BoutiqueTéléphone</v>
          </cell>
          <cell r="B390" t="str">
            <v>Téléphone</v>
          </cell>
          <cell r="E390">
            <v>0</v>
          </cell>
          <cell r="H390">
            <v>0</v>
          </cell>
          <cell r="K390">
            <v>0</v>
          </cell>
          <cell r="N390">
            <v>0</v>
          </cell>
          <cell r="Q390">
            <v>0</v>
          </cell>
          <cell r="T390">
            <v>0</v>
          </cell>
          <cell r="W390">
            <v>0</v>
          </cell>
          <cell r="Z390">
            <v>0</v>
          </cell>
          <cell r="AC390">
            <v>0</v>
          </cell>
          <cell r="AF390">
            <v>0</v>
          </cell>
          <cell r="AI390">
            <v>0</v>
          </cell>
          <cell r="AL390">
            <v>0</v>
          </cell>
          <cell r="AO390">
            <v>0</v>
          </cell>
        </row>
        <row r="391">
          <cell r="A391" t="str">
            <v>BoutiqueFrais postaux</v>
          </cell>
          <cell r="B391" t="str">
            <v>Frais postaux</v>
          </cell>
          <cell r="E391">
            <v>0</v>
          </cell>
          <cell r="H391">
            <v>0</v>
          </cell>
          <cell r="K391">
            <v>0</v>
          </cell>
          <cell r="N391">
            <v>0</v>
          </cell>
          <cell r="Q391">
            <v>0</v>
          </cell>
          <cell r="T391">
            <v>0</v>
          </cell>
          <cell r="W391">
            <v>0</v>
          </cell>
          <cell r="Z391">
            <v>0</v>
          </cell>
          <cell r="AC391">
            <v>0</v>
          </cell>
          <cell r="AF391">
            <v>0</v>
          </cell>
          <cell r="AI391">
            <v>0</v>
          </cell>
          <cell r="AL391">
            <v>0</v>
          </cell>
          <cell r="AO391">
            <v>0</v>
          </cell>
        </row>
        <row r="392">
          <cell r="A392" t="str">
            <v>BoutiqueDivers</v>
          </cell>
          <cell r="B392" t="str">
            <v>Divers</v>
          </cell>
          <cell r="E392">
            <v>0</v>
          </cell>
          <cell r="H392">
            <v>0</v>
          </cell>
          <cell r="K392">
            <v>0</v>
          </cell>
          <cell r="N392">
            <v>0</v>
          </cell>
          <cell r="Q392">
            <v>0</v>
          </cell>
          <cell r="T392">
            <v>0</v>
          </cell>
          <cell r="W392">
            <v>0</v>
          </cell>
          <cell r="Z392">
            <v>0</v>
          </cell>
          <cell r="AC392">
            <v>0</v>
          </cell>
          <cell r="AF392">
            <v>0</v>
          </cell>
          <cell r="AI392">
            <v>0</v>
          </cell>
          <cell r="AL392">
            <v>0</v>
          </cell>
          <cell r="AO392">
            <v>0</v>
          </cell>
        </row>
        <row r="393">
          <cell r="A393" t="str">
            <v>BoutiqueFormation</v>
          </cell>
          <cell r="B393" t="str">
            <v>Formation</v>
          </cell>
          <cell r="E393">
            <v>0</v>
          </cell>
          <cell r="H393">
            <v>0</v>
          </cell>
          <cell r="K393">
            <v>0</v>
          </cell>
          <cell r="N393">
            <v>0</v>
          </cell>
          <cell r="Q393">
            <v>0</v>
          </cell>
          <cell r="T393">
            <v>0</v>
          </cell>
          <cell r="W393">
            <v>0</v>
          </cell>
          <cell r="Z393">
            <v>0</v>
          </cell>
          <cell r="AC393">
            <v>0</v>
          </cell>
          <cell r="AF393">
            <v>0</v>
          </cell>
          <cell r="AI393">
            <v>0</v>
          </cell>
          <cell r="AL393">
            <v>0</v>
          </cell>
          <cell r="AO393">
            <v>0</v>
          </cell>
        </row>
        <row r="394">
          <cell r="A394" t="str">
            <v>BoutiqueFrais bancaires</v>
          </cell>
          <cell r="B394" t="str">
            <v>Frais bancaires</v>
          </cell>
          <cell r="E394">
            <v>0</v>
          </cell>
          <cell r="H394">
            <v>0</v>
          </cell>
          <cell r="K394">
            <v>0</v>
          </cell>
          <cell r="N394">
            <v>0</v>
          </cell>
          <cell r="Q394">
            <v>0</v>
          </cell>
          <cell r="T394">
            <v>0</v>
          </cell>
          <cell r="W394">
            <v>0</v>
          </cell>
          <cell r="Z394">
            <v>0</v>
          </cell>
          <cell r="AC394">
            <v>0</v>
          </cell>
          <cell r="AF394">
            <v>0</v>
          </cell>
          <cell r="AI394">
            <v>0</v>
          </cell>
          <cell r="AL394">
            <v>0</v>
          </cell>
          <cell r="AO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Boutique[...]</v>
          </cell>
          <cell r="B397" t="str">
            <v>[...]</v>
          </cell>
          <cell r="E397">
            <v>0</v>
          </cell>
        </row>
        <row r="398">
          <cell r="A398" t="str">
            <v>BoutiqueTOTAL SEMI-FIXES</v>
          </cell>
          <cell r="B398" t="str">
            <v>TOTAL SEMI-FIXES</v>
          </cell>
          <cell r="C398" t="str">
            <v>% brut</v>
          </cell>
          <cell r="D398">
            <v>0</v>
          </cell>
          <cell r="E398">
            <v>0</v>
          </cell>
          <cell r="F398" t="str">
            <v>% brut</v>
          </cell>
          <cell r="G398">
            <v>0</v>
          </cell>
          <cell r="H398">
            <v>0</v>
          </cell>
          <cell r="I398" t="str">
            <v>% brut</v>
          </cell>
          <cell r="J398">
            <v>0</v>
          </cell>
          <cell r="K398">
            <v>0</v>
          </cell>
          <cell r="L398" t="str">
            <v>% brut</v>
          </cell>
          <cell r="M398">
            <v>0</v>
          </cell>
          <cell r="N398">
            <v>0</v>
          </cell>
          <cell r="O398" t="str">
            <v>% brut</v>
          </cell>
          <cell r="P398">
            <v>0</v>
          </cell>
          <cell r="Q398">
            <v>0</v>
          </cell>
          <cell r="R398" t="str">
            <v>% brut</v>
          </cell>
          <cell r="S398">
            <v>0</v>
          </cell>
          <cell r="T398">
            <v>0</v>
          </cell>
          <cell r="U398" t="str">
            <v>% brut</v>
          </cell>
          <cell r="V398">
            <v>0</v>
          </cell>
          <cell r="W398">
            <v>0</v>
          </cell>
          <cell r="X398" t="str">
            <v>% brut</v>
          </cell>
          <cell r="Y398">
            <v>0</v>
          </cell>
          <cell r="Z398">
            <v>0</v>
          </cell>
          <cell r="AA398" t="str">
            <v>% brut</v>
          </cell>
          <cell r="AB398">
            <v>0</v>
          </cell>
          <cell r="AC398">
            <v>0</v>
          </cell>
          <cell r="AD398" t="str">
            <v>% brut</v>
          </cell>
          <cell r="AE398">
            <v>0</v>
          </cell>
          <cell r="AF398">
            <v>0</v>
          </cell>
          <cell r="AG398" t="str">
            <v>% brut</v>
          </cell>
          <cell r="AH398">
            <v>0</v>
          </cell>
          <cell r="AI398">
            <v>0</v>
          </cell>
          <cell r="AJ398" t="str">
            <v>% brut</v>
          </cell>
          <cell r="AK398">
            <v>0</v>
          </cell>
          <cell r="AL398">
            <v>0</v>
          </cell>
          <cell r="AM398" t="str">
            <v>% brut</v>
          </cell>
          <cell r="AN398">
            <v>0</v>
          </cell>
          <cell r="AO398">
            <v>0</v>
          </cell>
        </row>
        <row r="399">
          <cell r="A399" t="str">
            <v>Boutique</v>
          </cell>
        </row>
        <row r="400">
          <cell r="A400" t="str">
            <v>BoutiqueTOTAL DES DÉPENSES</v>
          </cell>
          <cell r="B400" t="str">
            <v>TOTAL DES DÉPENSES</v>
          </cell>
          <cell r="C400" t="str">
            <v>% brut</v>
          </cell>
          <cell r="D400">
            <v>0</v>
          </cell>
          <cell r="E400">
            <v>0</v>
          </cell>
          <cell r="F400" t="str">
            <v>% brut</v>
          </cell>
          <cell r="G400">
            <v>0</v>
          </cell>
          <cell r="H400">
            <v>0</v>
          </cell>
          <cell r="I400" t="str">
            <v>% brut</v>
          </cell>
          <cell r="J400">
            <v>0</v>
          </cell>
          <cell r="K400">
            <v>0</v>
          </cell>
          <cell r="L400" t="str">
            <v>% brut</v>
          </cell>
          <cell r="M400">
            <v>0</v>
          </cell>
          <cell r="N400">
            <v>0</v>
          </cell>
          <cell r="O400" t="str">
            <v>% brut</v>
          </cell>
          <cell r="P400">
            <v>0</v>
          </cell>
          <cell r="Q400">
            <v>0</v>
          </cell>
          <cell r="R400" t="str">
            <v>% brut</v>
          </cell>
          <cell r="S400">
            <v>0</v>
          </cell>
          <cell r="T400">
            <v>0</v>
          </cell>
          <cell r="U400" t="str">
            <v>% brut</v>
          </cell>
          <cell r="V400">
            <v>0</v>
          </cell>
          <cell r="W400">
            <v>0</v>
          </cell>
          <cell r="X400" t="str">
            <v>% brut</v>
          </cell>
          <cell r="Y400">
            <v>0</v>
          </cell>
          <cell r="Z400">
            <v>0</v>
          </cell>
          <cell r="AA400" t="str">
            <v>% brut</v>
          </cell>
          <cell r="AB400">
            <v>0</v>
          </cell>
          <cell r="AC400">
            <v>0</v>
          </cell>
          <cell r="AD400" t="str">
            <v>% brut</v>
          </cell>
          <cell r="AE400">
            <v>0</v>
          </cell>
          <cell r="AF400">
            <v>0</v>
          </cell>
          <cell r="AG400" t="str">
            <v>% brut</v>
          </cell>
          <cell r="AH400">
            <v>0</v>
          </cell>
          <cell r="AI400">
            <v>0</v>
          </cell>
          <cell r="AJ400" t="str">
            <v>% brut</v>
          </cell>
          <cell r="AK400">
            <v>0</v>
          </cell>
          <cell r="AL400">
            <v>0</v>
          </cell>
          <cell r="AM400" t="str">
            <v>% brut</v>
          </cell>
          <cell r="AN400">
            <v>0</v>
          </cell>
          <cell r="AO400">
            <v>0</v>
          </cell>
        </row>
        <row r="401">
          <cell r="A401" t="str">
            <v>Boutique</v>
          </cell>
        </row>
        <row r="402">
          <cell r="A402" t="str">
            <v>BoutiquePROFIT DÉPARTEMENTAL</v>
          </cell>
          <cell r="B402" t="str">
            <v>PROFIT DÉPARTEMENTAL</v>
          </cell>
          <cell r="E402">
            <v>0</v>
          </cell>
          <cell r="H402">
            <v>0</v>
          </cell>
          <cell r="K402">
            <v>0</v>
          </cell>
          <cell r="N402">
            <v>0</v>
          </cell>
          <cell r="Q402">
            <v>0</v>
          </cell>
          <cell r="T402">
            <v>0</v>
          </cell>
          <cell r="W402">
            <v>0</v>
          </cell>
          <cell r="Z402">
            <v>0</v>
          </cell>
          <cell r="AC402">
            <v>0</v>
          </cell>
          <cell r="AF402">
            <v>0</v>
          </cell>
          <cell r="AI402">
            <v>0</v>
          </cell>
          <cell r="AL402">
            <v>0</v>
          </cell>
          <cell r="AO402">
            <v>0</v>
          </cell>
        </row>
        <row r="404">
          <cell r="E404">
            <v>0</v>
          </cell>
          <cell r="H404">
            <v>0</v>
          </cell>
          <cell r="K404">
            <v>0</v>
          </cell>
          <cell r="N404">
            <v>0</v>
          </cell>
          <cell r="Q404">
            <v>0</v>
          </cell>
          <cell r="T404">
            <v>0</v>
          </cell>
          <cell r="W404">
            <v>0</v>
          </cell>
          <cell r="Z404">
            <v>0</v>
          </cell>
          <cell r="AC404">
            <v>0</v>
          </cell>
          <cell r="AF404">
            <v>0</v>
          </cell>
          <cell r="AI404">
            <v>0</v>
          </cell>
          <cell r="AL404">
            <v>0</v>
          </cell>
          <cell r="AO404">
            <v>0</v>
          </cell>
        </row>
        <row r="405">
          <cell r="B405" t="str">
            <v>Budget 2024</v>
          </cell>
          <cell r="C405" t="str">
            <v>TOTAL  DES  REVENUS  ET  DÉPENSES</v>
          </cell>
        </row>
        <row r="406">
          <cell r="H406">
            <v>3512757.1735477895</v>
          </cell>
          <cell r="K406">
            <v>3478384.1040415713</v>
          </cell>
          <cell r="N406">
            <v>4977253.97332469</v>
          </cell>
          <cell r="Q406">
            <v>6476054.4469894199</v>
          </cell>
          <cell r="T406">
            <v>7055316.1389505528</v>
          </cell>
          <cell r="W406">
            <v>5732896.1504884632</v>
          </cell>
          <cell r="Z406">
            <v>5263274.4628970586</v>
          </cell>
          <cell r="AC406">
            <v>5650734.5732088359</v>
          </cell>
          <cell r="AF406">
            <v>5208958.6432293998</v>
          </cell>
          <cell r="AI406">
            <v>6932516.5700065428</v>
          </cell>
          <cell r="AL406">
            <v>6329043.3217466474</v>
          </cell>
          <cell r="AO406">
            <v>3630443.4705679556</v>
          </cell>
        </row>
        <row r="407">
          <cell r="B407" t="str">
            <v>Mois</v>
          </cell>
          <cell r="C407">
            <v>2024</v>
          </cell>
          <cell r="F407" t="str">
            <v>Janvier</v>
          </cell>
          <cell r="I407" t="str">
            <v>Février</v>
          </cell>
          <cell r="L407" t="str">
            <v>Mars</v>
          </cell>
          <cell r="O407" t="str">
            <v>Avril</v>
          </cell>
          <cell r="R407" t="str">
            <v>Mai</v>
          </cell>
          <cell r="U407" t="str">
            <v>Juin</v>
          </cell>
          <cell r="X407" t="str">
            <v>Juillet</v>
          </cell>
          <cell r="AA407" t="str">
            <v>Août</v>
          </cell>
          <cell r="AD407" t="str">
            <v>Septembre</v>
          </cell>
          <cell r="AG407" t="str">
            <v>Octobre</v>
          </cell>
          <cell r="AJ407" t="str">
            <v>Novembre</v>
          </cell>
          <cell r="AM407" t="str">
            <v>Décembre</v>
          </cell>
        </row>
        <row r="408">
          <cell r="C408" t="str">
            <v>%P.Brut</v>
          </cell>
          <cell r="D408" t="str">
            <v>$/Unite</v>
          </cell>
          <cell r="E408" t="str">
            <v>$TOTAL</v>
          </cell>
          <cell r="F408" t="str">
            <v>%P.Brut</v>
          </cell>
          <cell r="G408" t="str">
            <v>$/Unite</v>
          </cell>
          <cell r="H408" t="str">
            <v>$TOTAL</v>
          </cell>
          <cell r="I408" t="str">
            <v>%P.Brut</v>
          </cell>
          <cell r="J408" t="str">
            <v>$/Unite</v>
          </cell>
          <cell r="K408" t="str">
            <v>$TOTAL</v>
          </cell>
          <cell r="L408" t="str">
            <v>%P.Brut</v>
          </cell>
          <cell r="M408" t="str">
            <v>$/Unite</v>
          </cell>
          <cell r="N408" t="str">
            <v>$TOTAL</v>
          </cell>
          <cell r="O408" t="str">
            <v>%P.Brut</v>
          </cell>
          <cell r="P408" t="str">
            <v>$/Unite</v>
          </cell>
          <cell r="Q408" t="str">
            <v>$TOTAL</v>
          </cell>
          <cell r="R408" t="str">
            <v>%P.Brut</v>
          </cell>
          <cell r="S408" t="str">
            <v>$/Unite</v>
          </cell>
          <cell r="T408" t="str">
            <v>$TOTAL</v>
          </cell>
          <cell r="U408" t="str">
            <v>%P.Brut</v>
          </cell>
          <cell r="V408" t="str">
            <v>$/Unite</v>
          </cell>
          <cell r="W408" t="str">
            <v>$TOTAL</v>
          </cell>
          <cell r="X408" t="str">
            <v>%P.Brut</v>
          </cell>
          <cell r="Y408" t="str">
            <v>$/Unite</v>
          </cell>
          <cell r="Z408" t="str">
            <v>$TOTAL</v>
          </cell>
          <cell r="AA408" t="str">
            <v>%P.Brut</v>
          </cell>
          <cell r="AB408" t="str">
            <v>$/Unite</v>
          </cell>
          <cell r="AC408" t="str">
            <v>$TOTAL</v>
          </cell>
          <cell r="AD408" t="str">
            <v>%P.Brut</v>
          </cell>
          <cell r="AE408" t="str">
            <v>$/Unite</v>
          </cell>
          <cell r="AF408" t="str">
            <v>$TOTAL</v>
          </cell>
          <cell r="AG408" t="str">
            <v>%P.Brut</v>
          </cell>
          <cell r="AH408" t="str">
            <v>$/Unite</v>
          </cell>
          <cell r="AI408" t="str">
            <v>$TOTAL</v>
          </cell>
          <cell r="AJ408" t="str">
            <v>%P.Brut</v>
          </cell>
          <cell r="AK408" t="str">
            <v>$/Unite</v>
          </cell>
          <cell r="AL408" t="str">
            <v>$TOTAL</v>
          </cell>
          <cell r="AM408" t="str">
            <v>%P.Brut</v>
          </cell>
          <cell r="AN408" t="str">
            <v>$/Unite</v>
          </cell>
          <cell r="AO408" t="str">
            <v>$TOTAL</v>
          </cell>
        </row>
        <row r="409">
          <cell r="A409" t="str">
            <v>Ventes nettes</v>
          </cell>
          <cell r="B409" t="str">
            <v>Ventes nettes</v>
          </cell>
          <cell r="E409">
            <v>64247633.028998926</v>
          </cell>
          <cell r="H409">
            <v>3512757.1735477895</v>
          </cell>
          <cell r="K409">
            <v>3478384.1040415713</v>
          </cell>
          <cell r="N409">
            <v>4977253.97332469</v>
          </cell>
          <cell r="Q409">
            <v>6476054.4469894199</v>
          </cell>
          <cell r="T409">
            <v>7055316.1389505528</v>
          </cell>
          <cell r="W409">
            <v>5732896.1504884632</v>
          </cell>
          <cell r="Z409">
            <v>5263274.4628970586</v>
          </cell>
          <cell r="AC409">
            <v>5650734.5732088359</v>
          </cell>
          <cell r="AF409">
            <v>5208958.6432293998</v>
          </cell>
          <cell r="AI409">
            <v>6932516.5700065428</v>
          </cell>
          <cell r="AL409">
            <v>6329043.3217466474</v>
          </cell>
          <cell r="AO409">
            <v>3630443.4705679556</v>
          </cell>
        </row>
        <row r="410">
          <cell r="A410" t="str">
            <v>Profit brut</v>
          </cell>
          <cell r="B410" t="str">
            <v>Profit brut</v>
          </cell>
          <cell r="E410">
            <v>9094384.0683882013</v>
          </cell>
          <cell r="H410">
            <v>494635.89750190306</v>
          </cell>
          <cell r="K410">
            <v>482090.33269498794</v>
          </cell>
          <cell r="N410">
            <v>682170.02586529509</v>
          </cell>
          <cell r="Q410">
            <v>955621.60366614698</v>
          </cell>
          <cell r="T410">
            <v>1040197.8013297881</v>
          </cell>
          <cell r="W410">
            <v>771523.3204545835</v>
          </cell>
          <cell r="Z410">
            <v>729027.70097501553</v>
          </cell>
          <cell r="AC410">
            <v>746481.51309570845</v>
          </cell>
          <cell r="AF410">
            <v>677022.55359348422</v>
          </cell>
          <cell r="AI410">
            <v>1000096.1020510965</v>
          </cell>
          <cell r="AL410">
            <v>985811.70672880381</v>
          </cell>
          <cell r="AO410">
            <v>529705.51043138793</v>
          </cell>
        </row>
        <row r="411">
          <cell r="A411" t="str">
            <v>DÉPENSES</v>
          </cell>
          <cell r="B411" t="str">
            <v>DÉPENSES</v>
          </cell>
        </row>
        <row r="412">
          <cell r="A412" t="str">
            <v>Comm. vendeurs</v>
          </cell>
          <cell r="B412" t="str">
            <v>Comm. vendeurs</v>
          </cell>
          <cell r="C412">
            <v>0.32206599440179107</v>
          </cell>
          <cell r="D412">
            <v>763.00690810619631</v>
          </cell>
          <cell r="E412">
            <v>865804.92131807387</v>
          </cell>
          <cell r="G412">
            <v>818.35588384707296</v>
          </cell>
          <cell r="H412">
            <v>45263.263935581606</v>
          </cell>
          <cell r="J412">
            <v>815.12752591583023</v>
          </cell>
          <cell r="K412">
            <v>45742.918935581605</v>
          </cell>
          <cell r="M412">
            <v>807.99653262481763</v>
          </cell>
          <cell r="N412">
            <v>65595.178509814257</v>
          </cell>
          <cell r="P412">
            <v>832.07614630114836</v>
          </cell>
          <cell r="Q412">
            <v>86739.777871163213</v>
          </cell>
          <cell r="S412">
            <v>845.60390225197466</v>
          </cell>
          <cell r="T412">
            <v>96441.125051837691</v>
          </cell>
          <cell r="V412">
            <v>831.30092390094819</v>
          </cell>
          <cell r="W412">
            <v>78580.798084046881</v>
          </cell>
          <cell r="Y412">
            <v>825.37860735264621</v>
          </cell>
          <cell r="Z412">
            <v>70825.738296930576</v>
          </cell>
          <cell r="AB412">
            <v>828.88342408337962</v>
          </cell>
          <cell r="AC412">
            <v>78404.083084046884</v>
          </cell>
          <cell r="AE412">
            <v>820.33415938819087</v>
          </cell>
          <cell r="AF412">
            <v>71961.763296930571</v>
          </cell>
          <cell r="AH412">
            <v>863.47808599951463</v>
          </cell>
          <cell r="AI412">
            <v>96342.567445395835</v>
          </cell>
          <cell r="AK412">
            <v>847.22584215849508</v>
          </cell>
          <cell r="AL412">
            <v>83432.682871163212</v>
          </cell>
          <cell r="AN412">
            <v>810.37530837980125</v>
          </cell>
          <cell r="AO412">
            <v>46475.023935581601</v>
          </cell>
        </row>
        <row r="413">
          <cell r="A413" t="str">
            <v>Comm. F&amp;I</v>
          </cell>
          <cell r="B413" t="str">
            <v>Comm. F&amp;I</v>
          </cell>
          <cell r="C413">
            <v>0.3</v>
          </cell>
          <cell r="D413">
            <v>518.58024943381452</v>
          </cell>
          <cell r="E413">
            <v>539820</v>
          </cell>
          <cell r="G413">
            <v>525.94648345687938</v>
          </cell>
          <cell r="H413">
            <v>29090.1</v>
          </cell>
          <cell r="J413">
            <v>527.87543992515702</v>
          </cell>
          <cell r="K413">
            <v>29623.05</v>
          </cell>
          <cell r="M413">
            <v>532.13623625781429</v>
          </cell>
          <cell r="N413">
            <v>43200.150000000009</v>
          </cell>
          <cell r="P413">
            <v>518.12269173581467</v>
          </cell>
          <cell r="Q413">
            <v>54011.7</v>
          </cell>
          <cell r="S413">
            <v>511.09031126698818</v>
          </cell>
          <cell r="T413">
            <v>58289.849999999991</v>
          </cell>
          <cell r="V413">
            <v>519.26952474147731</v>
          </cell>
          <cell r="W413">
            <v>49085.25</v>
          </cell>
          <cell r="Y413">
            <v>521.75037874373606</v>
          </cell>
          <cell r="Z413">
            <v>44771.399999999994</v>
          </cell>
          <cell r="AB413">
            <v>518.33491912464308</v>
          </cell>
          <cell r="AC413">
            <v>49029.299999999988</v>
          </cell>
          <cell r="AE413">
            <v>525.12012311550632</v>
          </cell>
          <cell r="AF413">
            <v>46064.85</v>
          </cell>
          <cell r="AH413">
            <v>501.67421017252963</v>
          </cell>
          <cell r="AI413">
            <v>55974.299999999988</v>
          </cell>
          <cell r="AK413">
            <v>510.20334594196635</v>
          </cell>
          <cell r="AL413">
            <v>50243.55</v>
          </cell>
          <cell r="AN413">
            <v>530.71490845684389</v>
          </cell>
          <cell r="AO413">
            <v>30436.5</v>
          </cell>
        </row>
        <row r="414">
          <cell r="A414" t="str">
            <v>Frais de livraison</v>
          </cell>
          <cell r="B414" t="str">
            <v>Frais de livraison</v>
          </cell>
          <cell r="D414">
            <v>77.547834565772376</v>
          </cell>
          <cell r="E414">
            <v>80724</v>
          </cell>
          <cell r="G414">
            <v>73.944133068161278</v>
          </cell>
          <cell r="H414">
            <v>4089.8500000000004</v>
          </cell>
          <cell r="J414">
            <v>73.024012117432179</v>
          </cell>
          <cell r="K414">
            <v>4097.9250000000002</v>
          </cell>
          <cell r="M414">
            <v>70.991593015736157</v>
          </cell>
          <cell r="N414">
            <v>5763.2750000000005</v>
          </cell>
          <cell r="P414">
            <v>77.964890402417382</v>
          </cell>
          <cell r="Q414">
            <v>8127.45</v>
          </cell>
          <cell r="S414">
            <v>81.084831214379676</v>
          </cell>
          <cell r="T414">
            <v>9247.7250000000004</v>
          </cell>
          <cell r="V414">
            <v>77.169342254899362</v>
          </cell>
          <cell r="W414">
            <v>7294.625</v>
          </cell>
          <cell r="Y414">
            <v>75.945693975061189</v>
          </cell>
          <cell r="Z414">
            <v>6516.9000000000005</v>
          </cell>
          <cell r="AB414">
            <v>77.524579765302875</v>
          </cell>
          <cell r="AC414">
            <v>7333.0499999999993</v>
          </cell>
          <cell r="AE414">
            <v>74.61284163128046</v>
          </cell>
          <cell r="AF414">
            <v>6545.2250000000004</v>
          </cell>
          <cell r="AH414">
            <v>85.624467846739847</v>
          </cell>
          <cell r="AI414">
            <v>9553.5499999999975</v>
          </cell>
          <cell r="AK414">
            <v>81.685410372927819</v>
          </cell>
          <cell r="AL414">
            <v>8044.1750000000011</v>
          </cell>
          <cell r="AN414">
            <v>71.66957279860506</v>
          </cell>
          <cell r="AO414">
            <v>4110.25</v>
          </cell>
        </row>
        <row r="415">
          <cell r="A415" t="str">
            <v>Service gratuit 1</v>
          </cell>
          <cell r="B415" t="str">
            <v>Service gratuit 1</v>
          </cell>
          <cell r="D415">
            <v>4.7741502414844028</v>
          </cell>
          <cell r="E415">
            <v>4969.6875</v>
          </cell>
          <cell r="G415">
            <v>4.8909781233050085</v>
          </cell>
          <cell r="H415">
            <v>270.52000000000004</v>
          </cell>
          <cell r="J415">
            <v>4.9213257896378142</v>
          </cell>
          <cell r="K415">
            <v>276.17250000000001</v>
          </cell>
          <cell r="M415">
            <v>4.9883595602500543</v>
          </cell>
          <cell r="N415">
            <v>404.96750000000003</v>
          </cell>
          <cell r="P415">
            <v>4.7648808096311566</v>
          </cell>
          <cell r="Q415">
            <v>496.71499999999997</v>
          </cell>
          <cell r="S415">
            <v>4.6566856641823762</v>
          </cell>
          <cell r="T415">
            <v>531.09499999999991</v>
          </cell>
          <cell r="V415">
            <v>4.7855121525482005</v>
          </cell>
          <cell r="W415">
            <v>452.36250000000001</v>
          </cell>
          <cell r="Y415">
            <v>4.8249621256263833</v>
          </cell>
          <cell r="Z415">
            <v>414.03</v>
          </cell>
          <cell r="AB415">
            <v>4.7717517708002957</v>
          </cell>
          <cell r="AC415">
            <v>451.36</v>
          </cell>
          <cell r="AE415">
            <v>4.8751175582091255</v>
          </cell>
          <cell r="AF415">
            <v>427.65750000000003</v>
          </cell>
          <cell r="AH415">
            <v>4.5080439166479955</v>
          </cell>
          <cell r="AI415">
            <v>502.98500000000001</v>
          </cell>
          <cell r="AK415">
            <v>4.6408824350740012</v>
          </cell>
          <cell r="AL415">
            <v>457.02250000000009</v>
          </cell>
          <cell r="AN415">
            <v>4.9659982563208374</v>
          </cell>
          <cell r="AO415">
            <v>284.8</v>
          </cell>
        </row>
        <row r="416">
          <cell r="A416" t="str">
            <v>Entretien stock</v>
          </cell>
          <cell r="B416" t="str">
            <v>Entretien stock</v>
          </cell>
          <cell r="D416">
            <v>120.46691603643762</v>
          </cell>
          <cell r="E416">
            <v>125400.93975000002</v>
          </cell>
          <cell r="G416">
            <v>122.63862773458686</v>
          </cell>
          <cell r="H416">
            <v>6783.1424999999999</v>
          </cell>
          <cell r="J416">
            <v>123.2050162605248</v>
          </cell>
          <cell r="K416">
            <v>6913.9575000000004</v>
          </cell>
          <cell r="M416">
            <v>124.45608967449881</v>
          </cell>
          <cell r="N416">
            <v>10103.656500000001</v>
          </cell>
          <cell r="P416">
            <v>120.31310854237611</v>
          </cell>
          <cell r="Q416">
            <v>12542.039999999999</v>
          </cell>
          <cell r="S416">
            <v>118.27118588338449</v>
          </cell>
          <cell r="T416">
            <v>13488.828749999999</v>
          </cell>
          <cell r="V416">
            <v>120.67416889265029</v>
          </cell>
          <cell r="W416">
            <v>11407.0275</v>
          </cell>
          <cell r="Y416">
            <v>121.40654935322225</v>
          </cell>
          <cell r="Z416">
            <v>10417.896000000001</v>
          </cell>
          <cell r="AB416">
            <v>120.40861084681255</v>
          </cell>
          <cell r="AC416">
            <v>11389.450499999999</v>
          </cell>
          <cell r="AE416">
            <v>122.36911852717378</v>
          </cell>
          <cell r="AF416">
            <v>10734.525000000001</v>
          </cell>
          <cell r="AH416">
            <v>115.50168048397938</v>
          </cell>
          <cell r="AI416">
            <v>12887.099999999999</v>
          </cell>
          <cell r="AK416">
            <v>117.99337919829401</v>
          </cell>
          <cell r="AL416">
            <v>11619.693000000001</v>
          </cell>
          <cell r="AN416">
            <v>124.03875326939841</v>
          </cell>
          <cell r="AO416">
            <v>7113.6224999999995</v>
          </cell>
        </row>
        <row r="417">
          <cell r="A417" t="str">
            <v>Publicité 1</v>
          </cell>
          <cell r="B417" t="str">
            <v>Publicité 1</v>
          </cell>
          <cell r="D417">
            <v>208.13601900173637</v>
          </cell>
          <cell r="E417">
            <v>216660.75</v>
          </cell>
          <cell r="G417">
            <v>345.5433013921533</v>
          </cell>
          <cell r="H417">
            <v>19112</v>
          </cell>
          <cell r="J417">
            <v>339.13217801933445</v>
          </cell>
          <cell r="K417">
            <v>19031.25</v>
          </cell>
          <cell r="M417">
            <v>257.77415083299968</v>
          </cell>
          <cell r="N417">
            <v>20926.75</v>
          </cell>
          <cell r="P417">
            <v>177.11640846083745</v>
          </cell>
          <cell r="Q417">
            <v>18463.5</v>
          </cell>
          <cell r="S417">
            <v>113.27926348092943</v>
          </cell>
          <cell r="T417">
            <v>12919.5</v>
          </cell>
          <cell r="V417">
            <v>206.2283462484462</v>
          </cell>
          <cell r="W417">
            <v>19494.25</v>
          </cell>
          <cell r="Y417">
            <v>237.90933457638968</v>
          </cell>
          <cell r="Z417">
            <v>20415</v>
          </cell>
          <cell r="AB417">
            <v>158.45226768157309</v>
          </cell>
          <cell r="AC417">
            <v>14988</v>
          </cell>
          <cell r="AE417">
            <v>179.15301091510162</v>
          </cell>
          <cell r="AF417">
            <v>15715.75</v>
          </cell>
          <cell r="AH417">
            <v>158.12233923369934</v>
          </cell>
          <cell r="AI417">
            <v>17642.5</v>
          </cell>
          <cell r="AK417">
            <v>193.38681424690915</v>
          </cell>
          <cell r="AL417">
            <v>19044.25</v>
          </cell>
          <cell r="AN417">
            <v>329.69485614646902</v>
          </cell>
          <cell r="AO417">
            <v>18908</v>
          </cell>
        </row>
        <row r="418">
          <cell r="A418" t="str">
            <v>Intérêt de gros</v>
          </cell>
          <cell r="B418" t="str">
            <v>Intérêt de gros</v>
          </cell>
          <cell r="D418">
            <v>284.13795776004224</v>
          </cell>
          <cell r="E418">
            <v>295775.53816499916</v>
          </cell>
          <cell r="G418">
            <v>341.28766690924488</v>
          </cell>
          <cell r="H418">
            <v>18876.620856750334</v>
          </cell>
          <cell r="J418">
            <v>414.65181557209047</v>
          </cell>
          <cell r="K418">
            <v>23269.223260366787</v>
          </cell>
          <cell r="M418">
            <v>344.08729154802961</v>
          </cell>
          <cell r="N418">
            <v>27933.866546097917</v>
          </cell>
          <cell r="P418">
            <v>287.71319915393713</v>
          </cell>
          <cell r="Q418">
            <v>29992.662445802176</v>
          </cell>
          <cell r="S418">
            <v>228.72546741387214</v>
          </cell>
          <cell r="T418">
            <v>26086.139558552113</v>
          </cell>
          <cell r="V418">
            <v>258.21814822848836</v>
          </cell>
          <cell r="W418">
            <v>24408.716006668434</v>
          </cell>
          <cell r="Y418">
            <v>304.32840240034227</v>
          </cell>
          <cell r="Z418">
            <v>26114.42020997337</v>
          </cell>
          <cell r="AB418">
            <v>260.910438348772</v>
          </cell>
          <cell r="AC418">
            <v>24679.518363410345</v>
          </cell>
          <cell r="AE418">
            <v>340.96190867362793</v>
          </cell>
          <cell r="AF418">
            <v>29910.031033622323</v>
          </cell>
          <cell r="AH418">
            <v>243.28197660256748</v>
          </cell>
          <cell r="AI418">
            <v>27144.186539431463</v>
          </cell>
          <cell r="AK418">
            <v>193.35779307511993</v>
          </cell>
          <cell r="AL418">
            <v>19041.392067555127</v>
          </cell>
          <cell r="AN418">
            <v>319.42042330895822</v>
          </cell>
          <cell r="AO418">
            <v>18318.761276768753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[...]</v>
          </cell>
          <cell r="B421" t="str">
            <v>[...]</v>
          </cell>
          <cell r="E421">
            <v>0</v>
          </cell>
          <cell r="H421">
            <v>0</v>
          </cell>
          <cell r="K421">
            <v>0</v>
          </cell>
          <cell r="N421">
            <v>0</v>
          </cell>
          <cell r="Q421">
            <v>0</v>
          </cell>
          <cell r="T421">
            <v>0</v>
          </cell>
          <cell r="W421">
            <v>0</v>
          </cell>
          <cell r="Z421">
            <v>0</v>
          </cell>
          <cell r="AC421">
            <v>0</v>
          </cell>
          <cell r="AF421">
            <v>0</v>
          </cell>
          <cell r="AI421">
            <v>0</v>
          </cell>
          <cell r="AL421">
            <v>0</v>
          </cell>
          <cell r="AO421">
            <v>0</v>
          </cell>
        </row>
        <row r="422">
          <cell r="A422" t="str">
            <v>TOTAL VARIABLES</v>
          </cell>
          <cell r="B422" t="str">
            <v>TOTAL VARIABLES</v>
          </cell>
          <cell r="C422">
            <v>0.23411765114846569</v>
          </cell>
          <cell r="D422">
            <v>1976.6500351454838</v>
          </cell>
          <cell r="E422">
            <v>2129155.836733073</v>
          </cell>
          <cell r="F422">
            <v>0.24964928327276703</v>
          </cell>
          <cell r="H422">
            <v>123485.49729233196</v>
          </cell>
          <cell r="I422">
            <v>0.26749031965661957</v>
          </cell>
          <cell r="K422">
            <v>128954.49719594841</v>
          </cell>
          <cell r="L422">
            <v>0.25496260090773454</v>
          </cell>
          <cell r="N422">
            <v>173927.84405591217</v>
          </cell>
          <cell r="O422">
            <v>0.22014345899034424</v>
          </cell>
          <cell r="Q422">
            <v>210373.84531696542</v>
          </cell>
          <cell r="R422">
            <v>0.20861826768233091</v>
          </cell>
          <cell r="T422">
            <v>217004.2633603898</v>
          </cell>
          <cell r="U422">
            <v>0.24720319403740224</v>
          </cell>
          <cell r="W422">
            <v>190723.02909071528</v>
          </cell>
          <cell r="X422">
            <v>0.2461845884139521</v>
          </cell>
          <cell r="Z422">
            <v>179475.38450690394</v>
          </cell>
          <cell r="AA422">
            <v>0.24953700618112215</v>
          </cell>
          <cell r="AC422">
            <v>186274.76194745721</v>
          </cell>
          <cell r="AD422">
            <v>0.26787852320123701</v>
          </cell>
          <cell r="AF422">
            <v>181359.8018305529</v>
          </cell>
          <cell r="AG422">
            <v>0.22002604403070125</v>
          </cell>
          <cell r="AI422">
            <v>220047.18898482725</v>
          </cell>
          <cell r="AJ422">
            <v>0.19464443780591578</v>
          </cell>
          <cell r="AL422">
            <v>191882.76543871834</v>
          </cell>
          <cell r="AM422">
            <v>0.23720153035603589</v>
          </cell>
          <cell r="AO422">
            <v>125646.95771235035</v>
          </cell>
        </row>
        <row r="423">
          <cell r="A423" t="str">
            <v>Salaires propriétaire</v>
          </cell>
          <cell r="B423" t="str">
            <v>Salaires propriétaire</v>
          </cell>
          <cell r="E423">
            <v>172026.39999999997</v>
          </cell>
          <cell r="H423">
            <v>13542.199999999997</v>
          </cell>
          <cell r="K423">
            <v>13542.199999999997</v>
          </cell>
          <cell r="N423">
            <v>15922.199999999997</v>
          </cell>
          <cell r="Q423">
            <v>13542.199999999997</v>
          </cell>
          <cell r="T423">
            <v>15922.199999999997</v>
          </cell>
          <cell r="W423">
            <v>13542.199999999997</v>
          </cell>
          <cell r="Z423">
            <v>13542.199999999997</v>
          </cell>
          <cell r="AC423">
            <v>15922.199999999997</v>
          </cell>
          <cell r="AF423">
            <v>13542.199999999997</v>
          </cell>
          <cell r="AI423">
            <v>13542.199999999997</v>
          </cell>
          <cell r="AL423">
            <v>15922.199999999997</v>
          </cell>
          <cell r="AO423">
            <v>13542.199999999997</v>
          </cell>
        </row>
        <row r="424">
          <cell r="A424" t="str">
            <v>Salaires cadres</v>
          </cell>
          <cell r="B424" t="str">
            <v>Salaires cadres</v>
          </cell>
          <cell r="E424">
            <v>675636</v>
          </cell>
          <cell r="H424">
            <v>53378.839743589742</v>
          </cell>
          <cell r="K424">
            <v>53378.839743589742</v>
          </cell>
          <cell r="N424">
            <v>62151.320512820515</v>
          </cell>
          <cell r="Q424">
            <v>53378.839743589742</v>
          </cell>
          <cell r="T424">
            <v>62151.320512820515</v>
          </cell>
          <cell r="W424">
            <v>53378.839743589742</v>
          </cell>
          <cell r="Z424">
            <v>53378.839743589742</v>
          </cell>
          <cell r="AC424">
            <v>62151.320512820515</v>
          </cell>
          <cell r="AF424">
            <v>53378.839743589742</v>
          </cell>
          <cell r="AI424">
            <v>53378.839743589742</v>
          </cell>
          <cell r="AL424">
            <v>62151.320512820515</v>
          </cell>
          <cell r="AO424">
            <v>53378.839743589742</v>
          </cell>
        </row>
        <row r="425">
          <cell r="A425" t="str">
            <v>Salaires commis</v>
          </cell>
          <cell r="B425" t="str">
            <v>Salaires commis</v>
          </cell>
          <cell r="E425">
            <v>715492.96000000008</v>
          </cell>
          <cell r="H425">
            <v>55333.304615384615</v>
          </cell>
          <cell r="K425">
            <v>55333.304615384615</v>
          </cell>
          <cell r="N425">
            <v>68206.630769230775</v>
          </cell>
          <cell r="Q425">
            <v>55333.304615384615</v>
          </cell>
          <cell r="T425">
            <v>68206.630769230775</v>
          </cell>
          <cell r="W425">
            <v>55333.304615384615</v>
          </cell>
          <cell r="Z425">
            <v>55333.304615384615</v>
          </cell>
          <cell r="AC425">
            <v>68206.630769230775</v>
          </cell>
          <cell r="AF425">
            <v>55333.304615384615</v>
          </cell>
          <cell r="AI425">
            <v>55333.304615384615</v>
          </cell>
          <cell r="AL425">
            <v>68206.630769230775</v>
          </cell>
          <cell r="AO425">
            <v>55333.304615384615</v>
          </cell>
        </row>
        <row r="426">
          <cell r="A426" t="str">
            <v>Salaires autres</v>
          </cell>
          <cell r="B426" t="str">
            <v>Salaires autres</v>
          </cell>
          <cell r="E426">
            <v>336231.2</v>
          </cell>
          <cell r="H426">
            <v>25902.400000000001</v>
          </cell>
          <cell r="K426">
            <v>25902.400000000001</v>
          </cell>
          <cell r="N426">
            <v>32252.999999999996</v>
          </cell>
          <cell r="Q426">
            <v>25902.400000000001</v>
          </cell>
          <cell r="T426">
            <v>32252.999999999996</v>
          </cell>
          <cell r="W426">
            <v>25902.400000000001</v>
          </cell>
          <cell r="Z426">
            <v>25902.400000000001</v>
          </cell>
          <cell r="AC426">
            <v>32252.999999999996</v>
          </cell>
          <cell r="AF426">
            <v>25902.400000000001</v>
          </cell>
          <cell r="AI426">
            <v>25902.400000000001</v>
          </cell>
          <cell r="AL426">
            <v>32252.999999999996</v>
          </cell>
          <cell r="AO426">
            <v>25902.400000000001</v>
          </cell>
        </row>
        <row r="427">
          <cell r="A427" t="str">
            <v>Salaires spécialistes</v>
          </cell>
          <cell r="B427" t="str">
            <v>Salaires spécialistes</v>
          </cell>
          <cell r="E427">
            <v>365799.26791981579</v>
          </cell>
          <cell r="H427">
            <v>22290.336382194619</v>
          </cell>
          <cell r="K427">
            <v>22366.944585270074</v>
          </cell>
          <cell r="N427">
            <v>29459.471030658788</v>
          </cell>
          <cell r="Q427">
            <v>37251.8431136</v>
          </cell>
          <cell r="T427">
            <v>42491.9338336</v>
          </cell>
          <cell r="W427">
            <v>26712.389950435332</v>
          </cell>
          <cell r="Z427">
            <v>27492.507699199999</v>
          </cell>
          <cell r="AC427">
            <v>28714.218215727149</v>
          </cell>
          <cell r="AF427">
            <v>23405.232981063091</v>
          </cell>
          <cell r="AI427">
            <v>35443.838744000001</v>
          </cell>
          <cell r="AL427">
            <v>44455.465460799998</v>
          </cell>
          <cell r="AO427">
            <v>25715.085923266739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[...]</v>
          </cell>
          <cell r="B430" t="str">
            <v>[...]</v>
          </cell>
          <cell r="E430">
            <v>0</v>
          </cell>
          <cell r="H430">
            <v>0</v>
          </cell>
          <cell r="K430">
            <v>0</v>
          </cell>
          <cell r="N430">
            <v>0</v>
          </cell>
          <cell r="Q430">
            <v>0</v>
          </cell>
          <cell r="T430">
            <v>0</v>
          </cell>
          <cell r="W430">
            <v>0</v>
          </cell>
          <cell r="Z430">
            <v>0</v>
          </cell>
          <cell r="AC430">
            <v>0</v>
          </cell>
          <cell r="AF430">
            <v>0</v>
          </cell>
          <cell r="AI430">
            <v>0</v>
          </cell>
          <cell r="AL430">
            <v>0</v>
          </cell>
          <cell r="AO430">
            <v>0</v>
          </cell>
        </row>
        <row r="431">
          <cell r="A431" t="str">
            <v>Salaires en absences</v>
          </cell>
          <cell r="B431" t="str">
            <v>Salaires en absences</v>
          </cell>
          <cell r="D431">
            <v>0.10693290433687554</v>
          </cell>
          <cell r="E431">
            <v>507421.00753431476</v>
          </cell>
          <cell r="G431">
            <v>0.11711641376646761</v>
          </cell>
          <cell r="H431">
            <v>34984.320724729194</v>
          </cell>
          <cell r="J431">
            <v>0.11261216959113989</v>
          </cell>
          <cell r="K431">
            <v>33542.896222312993</v>
          </cell>
          <cell r="M431">
            <v>0.11116773991338116</v>
          </cell>
          <cell r="N431">
            <v>43426.169981145358</v>
          </cell>
          <cell r="P431">
            <v>0.10663128509549781</v>
          </cell>
          <cell r="Q431">
            <v>48113.663406611187</v>
          </cell>
          <cell r="S431">
            <v>0.10475550256431473</v>
          </cell>
          <cell r="T431">
            <v>53870.769262356829</v>
          </cell>
          <cell r="V431">
            <v>0.10327728596937698</v>
          </cell>
          <cell r="W431">
            <v>39545.835860183834</v>
          </cell>
          <cell r="Y431">
            <v>0.10573735022331973</v>
          </cell>
          <cell r="Z431">
            <v>39396.993701035637</v>
          </cell>
          <cell r="AB431">
            <v>0.10523452603547778</v>
          </cell>
          <cell r="AC431">
            <v>43180.297610855181</v>
          </cell>
          <cell r="AE431">
            <v>0.10703193137940083</v>
          </cell>
          <cell r="AF431">
            <v>38093.290912720571</v>
          </cell>
          <cell r="AH431">
            <v>0.10070209621393515</v>
          </cell>
          <cell r="AI431">
            <v>46387.614666163012</v>
          </cell>
          <cell r="AK431">
            <v>0.10583616161587948</v>
          </cell>
          <cell r="AL431">
            <v>52421.977623800558</v>
          </cell>
          <cell r="AN431">
            <v>0.10943630574862238</v>
          </cell>
          <cell r="AO431">
            <v>34457.177562400393</v>
          </cell>
        </row>
        <row r="432">
          <cell r="A432" t="str">
            <v>Déduction à la source</v>
          </cell>
          <cell r="B432" t="str">
            <v>Déduction à la source</v>
          </cell>
          <cell r="D432">
            <v>0.13001533743161964</v>
          </cell>
          <cell r="E432">
            <v>616952.4144470084</v>
          </cell>
          <cell r="G432">
            <v>0.14239704933720293</v>
          </cell>
          <cell r="H432">
            <v>42536.002290860168</v>
          </cell>
          <cell r="J432">
            <v>0.13692052337953572</v>
          </cell>
          <cell r="K432">
            <v>40783.433292327696</v>
          </cell>
          <cell r="M432">
            <v>0.13516430051142383</v>
          </cell>
          <cell r="N432">
            <v>52800.100946238417</v>
          </cell>
          <cell r="P432">
            <v>0.12964861095311628</v>
          </cell>
          <cell r="Q432">
            <v>58499.432159580123</v>
          </cell>
          <cell r="S432">
            <v>0.12736792382269105</v>
          </cell>
          <cell r="T432">
            <v>65499.26130577307</v>
          </cell>
          <cell r="V432">
            <v>0.12557062082620285</v>
          </cell>
          <cell r="W432">
            <v>48082.161662602375</v>
          </cell>
          <cell r="Y432">
            <v>0.12856171216579845</v>
          </cell>
          <cell r="Z432">
            <v>47901.19057923276</v>
          </cell>
          <cell r="AB432">
            <v>0.12795034883608755</v>
          </cell>
          <cell r="AC432">
            <v>52501.154804387807</v>
          </cell>
          <cell r="AE432">
            <v>0.13013574035557107</v>
          </cell>
          <cell r="AF432">
            <v>46316.071770532508</v>
          </cell>
          <cell r="AH432">
            <v>0.12243955310592998</v>
          </cell>
          <cell r="AI432">
            <v>56400.800210841378</v>
          </cell>
          <cell r="AK432">
            <v>0.12868185288979178</v>
          </cell>
          <cell r="AL432">
            <v>63737.734908233273</v>
          </cell>
          <cell r="AN432">
            <v>0.13305912064590211</v>
          </cell>
          <cell r="AO432">
            <v>41895.070516398715</v>
          </cell>
        </row>
        <row r="433">
          <cell r="A433" t="str">
            <v>Bénéfices marginaux</v>
          </cell>
          <cell r="B433" t="str">
            <v>Bénéfices marginaux</v>
          </cell>
          <cell r="D433">
            <v>6.6986162981073558E-2</v>
          </cell>
          <cell r="E433">
            <v>317864.61353030638</v>
          </cell>
          <cell r="G433">
            <v>7.3365436288950203E-2</v>
          </cell>
          <cell r="H433">
            <v>21915.288136812738</v>
          </cell>
          <cell r="J433">
            <v>7.0543834871630351E-2</v>
          </cell>
          <cell r="K433">
            <v>21012.334109307962</v>
          </cell>
          <cell r="M433">
            <v>6.9638998306972691E-2</v>
          </cell>
          <cell r="N433">
            <v>27203.530270127179</v>
          </cell>
          <cell r="P433">
            <v>6.6797219121496859E-2</v>
          </cell>
          <cell r="Q433">
            <v>30139.92483004454</v>
          </cell>
          <cell r="S433">
            <v>6.5622169447777781E-2</v>
          </cell>
          <cell r="T433">
            <v>33746.35854232221</v>
          </cell>
          <cell r="V433">
            <v>6.469616768654364E-2</v>
          </cell>
          <cell r="W433">
            <v>24772.765900079918</v>
          </cell>
          <cell r="Y433">
            <v>6.6237229963683114E-2</v>
          </cell>
          <cell r="Z433">
            <v>24679.526450604706</v>
          </cell>
          <cell r="AB433">
            <v>6.5922244943810299E-2</v>
          </cell>
          <cell r="AC433">
            <v>27049.508018782406</v>
          </cell>
          <cell r="AE433">
            <v>6.7048196661457268E-2</v>
          </cell>
          <cell r="AF433">
            <v>23862.845673078704</v>
          </cell>
          <cell r="AH433">
            <v>6.30829871437074E-2</v>
          </cell>
          <cell r="AI433">
            <v>29058.673152107407</v>
          </cell>
          <cell r="AK433">
            <v>6.6299128554088385E-2</v>
          </cell>
          <cell r="AL433">
            <v>32838.789507068017</v>
          </cell>
          <cell r="AN433">
            <v>6.8554373028432175E-2</v>
          </cell>
          <cell r="AO433">
            <v>21585.068939970643</v>
          </cell>
        </row>
        <row r="434">
          <cell r="A434" t="str">
            <v>Csst</v>
          </cell>
          <cell r="B434" t="str">
            <v>Csst</v>
          </cell>
          <cell r="D434">
            <v>2.9206343915798603E-2</v>
          </cell>
          <cell r="E434">
            <v>138590.75976708156</v>
          </cell>
          <cell r="G434">
            <v>3.1987742967052833E-2</v>
          </cell>
          <cell r="H434">
            <v>9555.1889204106192</v>
          </cell>
          <cell r="J434">
            <v>3.0757508875113092E-2</v>
          </cell>
          <cell r="K434">
            <v>9161.4958845083929</v>
          </cell>
          <cell r="M434">
            <v>3.0362995042421289E-2</v>
          </cell>
          <cell r="N434">
            <v>11860.892241546309</v>
          </cell>
          <cell r="P434">
            <v>2.912396333004786E-2</v>
          </cell>
          <cell r="Q434">
            <v>13141.176789470897</v>
          </cell>
          <cell r="S434">
            <v>2.8611635061619001E-2</v>
          </cell>
          <cell r="T434">
            <v>14713.602177383804</v>
          </cell>
          <cell r="V434">
            <v>2.820789308414702E-2</v>
          </cell>
          <cell r="W434">
            <v>10801.065301019375</v>
          </cell>
          <cell r="Y434">
            <v>2.8879804906809792E-2</v>
          </cell>
          <cell r="Z434">
            <v>10760.412376494314</v>
          </cell>
          <cell r="AB434">
            <v>2.8742469666077627E-2</v>
          </cell>
          <cell r="AC434">
            <v>11793.737673449432</v>
          </cell>
          <cell r="AE434">
            <v>2.9233390949439879E-2</v>
          </cell>
          <cell r="AF434">
            <v>10404.334962945708</v>
          </cell>
          <cell r="AH434">
            <v>2.7504537291911806E-2</v>
          </cell>
          <cell r="AI434">
            <v>12669.744974899149</v>
          </cell>
          <cell r="AK434">
            <v>2.8906793040460475E-2</v>
          </cell>
          <cell r="AL434">
            <v>14317.896972139359</v>
          </cell>
          <cell r="AN434">
            <v>2.9890092319006994E-2</v>
          </cell>
          <cell r="AO434">
            <v>9411.2114928142037</v>
          </cell>
        </row>
        <row r="435">
          <cell r="A435" t="str">
            <v>[...]</v>
          </cell>
          <cell r="B435" t="str">
            <v>[...]</v>
          </cell>
          <cell r="E435">
            <v>0</v>
          </cell>
          <cell r="H435">
            <v>0</v>
          </cell>
          <cell r="K435">
            <v>0</v>
          </cell>
          <cell r="N435">
            <v>0</v>
          </cell>
          <cell r="Q435">
            <v>0</v>
          </cell>
          <cell r="T435">
            <v>0</v>
          </cell>
          <cell r="W435">
            <v>0</v>
          </cell>
          <cell r="Z435">
            <v>0</v>
          </cell>
          <cell r="AC435">
            <v>0</v>
          </cell>
          <cell r="AF435">
            <v>0</v>
          </cell>
          <cell r="AI435">
            <v>0</v>
          </cell>
          <cell r="AL435">
            <v>0</v>
          </cell>
          <cell r="AO435">
            <v>0</v>
          </cell>
        </row>
        <row r="436">
          <cell r="A436" t="str">
            <v>TOTAL PERSONNEL</v>
          </cell>
          <cell r="B436" t="str">
            <v>TOTAL PERSONNEL</v>
          </cell>
          <cell r="C436">
            <v>0.42289995609127123</v>
          </cell>
          <cell r="E436">
            <v>3846014.6231985269</v>
          </cell>
          <cell r="F436">
            <v>0.56493651638558362</v>
          </cell>
          <cell r="H436">
            <v>279437.8808139817</v>
          </cell>
          <cell r="I436">
            <v>0.57048198190421995</v>
          </cell>
          <cell r="K436">
            <v>275023.84845270147</v>
          </cell>
          <cell r="L436">
            <v>0.50322251452829714</v>
          </cell>
          <cell r="N436">
            <v>343283.31575176731</v>
          </cell>
          <cell r="O436">
            <v>0.35087401056226164</v>
          </cell>
          <cell r="Q436">
            <v>335302.78465828107</v>
          </cell>
          <cell r="R436">
            <v>0.37382801223611045</v>
          </cell>
          <cell r="T436">
            <v>388855.07640348718</v>
          </cell>
          <cell r="U436">
            <v>0.3863408339461093</v>
          </cell>
          <cell r="W436">
            <v>298070.96303329512</v>
          </cell>
          <cell r="X436">
            <v>0.40929497571419138</v>
          </cell>
          <cell r="Z436">
            <v>298387.37516554177</v>
          </cell>
          <cell r="AA436">
            <v>0.45784398087489375</v>
          </cell>
          <cell r="AC436">
            <v>341772.06760525331</v>
          </cell>
          <cell r="AD436">
            <v>0.42869845194786171</v>
          </cell>
          <cell r="AF436">
            <v>290238.52065931493</v>
          </cell>
          <cell r="AG436">
            <v>0.32808588638036834</v>
          </cell>
          <cell r="AI436">
            <v>328117.4161069853</v>
          </cell>
          <cell r="AJ436">
            <v>0.39186491002014928</v>
          </cell>
          <cell r="AL436">
            <v>386305.01575409248</v>
          </cell>
          <cell r="AM436">
            <v>0.53089943988840393</v>
          </cell>
          <cell r="AO436">
            <v>281220.35879382497</v>
          </cell>
        </row>
        <row r="437">
          <cell r="A437" t="str">
            <v>Publicité 2</v>
          </cell>
          <cell r="B437" t="str">
            <v>Publicité 2</v>
          </cell>
          <cell r="E437">
            <v>178062.72547083328</v>
          </cell>
          <cell r="H437">
            <v>14838.560455902774</v>
          </cell>
          <cell r="K437">
            <v>14838.560455902774</v>
          </cell>
          <cell r="N437">
            <v>14838.560455902774</v>
          </cell>
          <cell r="Q437">
            <v>14838.560455902774</v>
          </cell>
          <cell r="T437">
            <v>14838.560455902774</v>
          </cell>
          <cell r="W437">
            <v>14838.560455902774</v>
          </cell>
          <cell r="Z437">
            <v>14838.560455902774</v>
          </cell>
          <cell r="AC437">
            <v>14838.560455902774</v>
          </cell>
          <cell r="AF437">
            <v>14838.560455902774</v>
          </cell>
          <cell r="AI437">
            <v>14838.560455902774</v>
          </cell>
          <cell r="AL437">
            <v>14838.560455902774</v>
          </cell>
          <cell r="AO437">
            <v>14838.560455902774</v>
          </cell>
        </row>
        <row r="438">
          <cell r="A438" t="str">
            <v>Service gratuit 2</v>
          </cell>
          <cell r="B438" t="str">
            <v>Service gratuit 2</v>
          </cell>
          <cell r="E438">
            <v>71268.787510789742</v>
          </cell>
          <cell r="H438">
            <v>5939.0656258991448</v>
          </cell>
          <cell r="K438">
            <v>5939.0656258991448</v>
          </cell>
          <cell r="N438">
            <v>5939.0656258991448</v>
          </cell>
          <cell r="Q438">
            <v>5939.0656258991448</v>
          </cell>
          <cell r="T438">
            <v>5939.0656258991448</v>
          </cell>
          <cell r="W438">
            <v>5939.0656258991448</v>
          </cell>
          <cell r="Z438">
            <v>5939.0656258991448</v>
          </cell>
          <cell r="AC438">
            <v>5939.0656258991448</v>
          </cell>
          <cell r="AF438">
            <v>5939.0656258991448</v>
          </cell>
          <cell r="AI438">
            <v>5939.0656258991448</v>
          </cell>
          <cell r="AL438">
            <v>5939.0656258991448</v>
          </cell>
          <cell r="AO438">
            <v>5939.0656258991448</v>
          </cell>
        </row>
        <row r="439">
          <cell r="A439" t="str">
            <v>Frais véhicules de cie</v>
          </cell>
          <cell r="B439" t="str">
            <v>Frais véhicules de cie</v>
          </cell>
          <cell r="E439">
            <v>312900</v>
          </cell>
          <cell r="H439">
            <v>26075</v>
          </cell>
          <cell r="K439">
            <v>26075</v>
          </cell>
          <cell r="N439">
            <v>26075</v>
          </cell>
          <cell r="Q439">
            <v>26075</v>
          </cell>
          <cell r="T439">
            <v>26075</v>
          </cell>
          <cell r="W439">
            <v>26075</v>
          </cell>
          <cell r="Z439">
            <v>26075</v>
          </cell>
          <cell r="AC439">
            <v>26075</v>
          </cell>
          <cell r="AF439">
            <v>26075</v>
          </cell>
          <cell r="AI439">
            <v>26075</v>
          </cell>
          <cell r="AL439">
            <v>26075</v>
          </cell>
          <cell r="AO439">
            <v>26075</v>
          </cell>
        </row>
        <row r="440">
          <cell r="A440" t="str">
            <v>Informatique</v>
          </cell>
          <cell r="B440" t="str">
            <v>Informatique</v>
          </cell>
          <cell r="E440">
            <v>267248.26213333331</v>
          </cell>
          <cell r="H440">
            <v>22270.688511111108</v>
          </cell>
          <cell r="K440">
            <v>22270.688511111108</v>
          </cell>
          <cell r="N440">
            <v>22270.688511111108</v>
          </cell>
          <cell r="Q440">
            <v>22270.688511111108</v>
          </cell>
          <cell r="T440">
            <v>22270.688511111108</v>
          </cell>
          <cell r="W440">
            <v>22270.688511111108</v>
          </cell>
          <cell r="Z440">
            <v>22270.688511111108</v>
          </cell>
          <cell r="AC440">
            <v>22270.688511111108</v>
          </cell>
          <cell r="AF440">
            <v>22270.688511111108</v>
          </cell>
          <cell r="AI440">
            <v>22270.688511111108</v>
          </cell>
          <cell r="AL440">
            <v>22270.688511111108</v>
          </cell>
          <cell r="AO440">
            <v>22270.688511111108</v>
          </cell>
        </row>
        <row r="441">
          <cell r="A441" t="str">
            <v>Frais de déplacement</v>
          </cell>
          <cell r="B441" t="str">
            <v>Frais de déplacement</v>
          </cell>
          <cell r="E441">
            <v>43077.230558333336</v>
          </cell>
          <cell r="H441">
            <v>3589.7692131944445</v>
          </cell>
          <cell r="K441">
            <v>3589.7692131944445</v>
          </cell>
          <cell r="N441">
            <v>3589.7692131944445</v>
          </cell>
          <cell r="Q441">
            <v>3589.7692131944445</v>
          </cell>
          <cell r="T441">
            <v>3589.7692131944445</v>
          </cell>
          <cell r="W441">
            <v>3589.7692131944445</v>
          </cell>
          <cell r="Z441">
            <v>3589.7692131944445</v>
          </cell>
          <cell r="AC441">
            <v>3589.7692131944445</v>
          </cell>
          <cell r="AF441">
            <v>3589.7692131944445</v>
          </cell>
          <cell r="AI441">
            <v>3589.7692131944445</v>
          </cell>
          <cell r="AL441">
            <v>3589.7692131944445</v>
          </cell>
          <cell r="AO441">
            <v>3589.7692131944445</v>
          </cell>
        </row>
        <row r="442">
          <cell r="A442" t="str">
            <v>Services extérieurs</v>
          </cell>
          <cell r="B442" t="str">
            <v>Services extérieurs</v>
          </cell>
          <cell r="E442">
            <v>335233.92781847215</v>
          </cell>
          <cell r="H442">
            <v>26936.160651539351</v>
          </cell>
          <cell r="K442">
            <v>26936.160651539351</v>
          </cell>
          <cell r="N442">
            <v>26436.160651539351</v>
          </cell>
          <cell r="Q442">
            <v>26436.160651539351</v>
          </cell>
          <cell r="T442">
            <v>31436.160651539354</v>
          </cell>
          <cell r="W442">
            <v>26936.160651539351</v>
          </cell>
          <cell r="Z442">
            <v>26936.160651539351</v>
          </cell>
          <cell r="AC442">
            <v>24936.160651539351</v>
          </cell>
          <cell r="AF442">
            <v>24936.160651539351</v>
          </cell>
          <cell r="AI442">
            <v>31436.160651539354</v>
          </cell>
          <cell r="AL442">
            <v>36436.160651539351</v>
          </cell>
          <cell r="AO442">
            <v>25436.160651539351</v>
          </cell>
        </row>
        <row r="443">
          <cell r="B443" t="str">
            <v>Fournitures d'atelier</v>
          </cell>
          <cell r="E443">
            <v>0</v>
          </cell>
          <cell r="H443">
            <v>0</v>
          </cell>
          <cell r="K443">
            <v>0</v>
          </cell>
          <cell r="N443">
            <v>0</v>
          </cell>
          <cell r="Q443">
            <v>0</v>
          </cell>
          <cell r="T443">
            <v>0</v>
          </cell>
          <cell r="W443">
            <v>0</v>
          </cell>
          <cell r="Z443">
            <v>0</v>
          </cell>
          <cell r="AC443">
            <v>0</v>
          </cell>
          <cell r="AF443">
            <v>0</v>
          </cell>
          <cell r="AI443">
            <v>0</v>
          </cell>
          <cell r="AL443">
            <v>0</v>
          </cell>
          <cell r="AO443">
            <v>0</v>
          </cell>
        </row>
        <row r="444">
          <cell r="A444" t="str">
            <v>Fournitures autres</v>
          </cell>
          <cell r="B444" t="str">
            <v>Fournitures autres</v>
          </cell>
          <cell r="E444">
            <v>73000</v>
          </cell>
          <cell r="H444">
            <v>6083.333333333333</v>
          </cell>
          <cell r="K444">
            <v>6083.333333333333</v>
          </cell>
          <cell r="N444">
            <v>6083.333333333333</v>
          </cell>
          <cell r="Q444">
            <v>6083.333333333333</v>
          </cell>
          <cell r="T444">
            <v>6083.333333333333</v>
          </cell>
          <cell r="W444">
            <v>6083.333333333333</v>
          </cell>
          <cell r="Z444">
            <v>6083.333333333333</v>
          </cell>
          <cell r="AC444">
            <v>6083.333333333333</v>
          </cell>
          <cell r="AF444">
            <v>6083.333333333333</v>
          </cell>
          <cell r="AI444">
            <v>6083.333333333333</v>
          </cell>
          <cell r="AL444">
            <v>6083.333333333333</v>
          </cell>
          <cell r="AO444">
            <v>6083.333333333333</v>
          </cell>
        </row>
        <row r="445">
          <cell r="A445" t="str">
            <v>Uniformes</v>
          </cell>
          <cell r="B445" t="str">
            <v>Uniformes</v>
          </cell>
          <cell r="E445">
            <v>18663.299651285317</v>
          </cell>
          <cell r="H445">
            <v>1555.2749709404429</v>
          </cell>
          <cell r="K445">
            <v>1555.2749709404429</v>
          </cell>
          <cell r="N445">
            <v>1555.2749709404429</v>
          </cell>
          <cell r="Q445">
            <v>1555.2749709404429</v>
          </cell>
          <cell r="T445">
            <v>1555.2749709404429</v>
          </cell>
          <cell r="W445">
            <v>1555.2749709404429</v>
          </cell>
          <cell r="Z445">
            <v>1555.2749709404429</v>
          </cell>
          <cell r="AC445">
            <v>1555.2749709404429</v>
          </cell>
          <cell r="AF445">
            <v>1555.2749709404429</v>
          </cell>
          <cell r="AI445">
            <v>1555.2749709404429</v>
          </cell>
          <cell r="AL445">
            <v>1555.2749709404429</v>
          </cell>
          <cell r="AO445">
            <v>1555.2749709404429</v>
          </cell>
        </row>
        <row r="446">
          <cell r="A446" t="str">
            <v>Papeterie</v>
          </cell>
          <cell r="B446" t="str">
            <v>Papeterie</v>
          </cell>
          <cell r="E446">
            <v>31049.358898800008</v>
          </cell>
          <cell r="H446">
            <v>2587.4465749000001</v>
          </cell>
          <cell r="K446">
            <v>2587.4465749000001</v>
          </cell>
          <cell r="N446">
            <v>2587.4465749000001</v>
          </cell>
          <cell r="Q446">
            <v>2587.4465749000001</v>
          </cell>
          <cell r="T446">
            <v>2587.4465749000001</v>
          </cell>
          <cell r="W446">
            <v>2587.4465749000001</v>
          </cell>
          <cell r="Z446">
            <v>2587.4465749000001</v>
          </cell>
          <cell r="AC446">
            <v>2587.4465749000001</v>
          </cell>
          <cell r="AF446">
            <v>2587.4465749000001</v>
          </cell>
          <cell r="AI446">
            <v>2587.4465749000001</v>
          </cell>
          <cell r="AL446">
            <v>2587.4465749000001</v>
          </cell>
          <cell r="AO446">
            <v>2587.4465749000001</v>
          </cell>
        </row>
        <row r="447">
          <cell r="A447" t="str">
            <v>Téléphone</v>
          </cell>
          <cell r="B447" t="str">
            <v>Téléphone</v>
          </cell>
          <cell r="E447">
            <v>9337.3891894833341</v>
          </cell>
          <cell r="H447">
            <v>778.11576579027781</v>
          </cell>
          <cell r="K447">
            <v>778.11576579027781</v>
          </cell>
          <cell r="N447">
            <v>778.11576579027781</v>
          </cell>
          <cell r="Q447">
            <v>778.11576579027781</v>
          </cell>
          <cell r="T447">
            <v>778.11576579027781</v>
          </cell>
          <cell r="W447">
            <v>778.11576579027781</v>
          </cell>
          <cell r="Z447">
            <v>778.11576579027781</v>
          </cell>
          <cell r="AC447">
            <v>778.11576579027781</v>
          </cell>
          <cell r="AF447">
            <v>778.11576579027781</v>
          </cell>
          <cell r="AI447">
            <v>778.11576579027781</v>
          </cell>
          <cell r="AL447">
            <v>778.11576579027781</v>
          </cell>
          <cell r="AO447">
            <v>778.11576579027781</v>
          </cell>
        </row>
        <row r="448">
          <cell r="A448" t="str">
            <v>Frais postaux</v>
          </cell>
          <cell r="B448" t="str">
            <v>Frais postaux</v>
          </cell>
          <cell r="E448">
            <v>5547.3145465166644</v>
          </cell>
          <cell r="H448">
            <v>462.27621220972219</v>
          </cell>
          <cell r="K448">
            <v>462.27621220972219</v>
          </cell>
          <cell r="N448">
            <v>462.27621220972219</v>
          </cell>
          <cell r="Q448">
            <v>462.27621220972219</v>
          </cell>
          <cell r="T448">
            <v>462.27621220972219</v>
          </cell>
          <cell r="W448">
            <v>462.27621220972219</v>
          </cell>
          <cell r="Z448">
            <v>462.27621220972219</v>
          </cell>
          <cell r="AC448">
            <v>462.27621220972219</v>
          </cell>
          <cell r="AF448">
            <v>462.27621220972219</v>
          </cell>
          <cell r="AI448">
            <v>462.27621220972219</v>
          </cell>
          <cell r="AL448">
            <v>462.27621220972219</v>
          </cell>
          <cell r="AO448">
            <v>462.27621220972219</v>
          </cell>
        </row>
        <row r="449">
          <cell r="A449" t="str">
            <v>Divers</v>
          </cell>
          <cell r="B449" t="str">
            <v>Divers</v>
          </cell>
          <cell r="E449">
            <v>13829.75112881667</v>
          </cell>
          <cell r="H449">
            <v>1152.4792607347222</v>
          </cell>
          <cell r="K449">
            <v>1152.4792607347222</v>
          </cell>
          <cell r="N449">
            <v>1152.4792607347222</v>
          </cell>
          <cell r="Q449">
            <v>1152.4792607347222</v>
          </cell>
          <cell r="T449">
            <v>1152.4792607347222</v>
          </cell>
          <cell r="W449">
            <v>1152.4792607347222</v>
          </cell>
          <cell r="Z449">
            <v>1152.4792607347222</v>
          </cell>
          <cell r="AC449">
            <v>1152.4792607347222</v>
          </cell>
          <cell r="AF449">
            <v>1152.4792607347222</v>
          </cell>
          <cell r="AI449">
            <v>1152.4792607347222</v>
          </cell>
          <cell r="AL449">
            <v>1152.4792607347222</v>
          </cell>
          <cell r="AO449">
            <v>1152.4792607347222</v>
          </cell>
        </row>
        <row r="450">
          <cell r="A450" t="str">
            <v>Formation</v>
          </cell>
          <cell r="B450" t="str">
            <v>Formation</v>
          </cell>
          <cell r="E450">
            <v>91732.542125321212</v>
          </cell>
          <cell r="H450">
            <v>7644.3785104434319</v>
          </cell>
          <cell r="K450">
            <v>7644.3785104434319</v>
          </cell>
          <cell r="N450">
            <v>7644.3785104434319</v>
          </cell>
          <cell r="Q450">
            <v>7644.3785104434319</v>
          </cell>
          <cell r="T450">
            <v>7644.3785104434319</v>
          </cell>
          <cell r="W450">
            <v>7644.3785104434319</v>
          </cell>
          <cell r="Z450">
            <v>7644.3785104434319</v>
          </cell>
          <cell r="AC450">
            <v>7644.3785104434319</v>
          </cell>
          <cell r="AF450">
            <v>7644.3785104434319</v>
          </cell>
          <cell r="AI450">
            <v>7644.3785104434319</v>
          </cell>
          <cell r="AL450">
            <v>7644.3785104434319</v>
          </cell>
          <cell r="AO450">
            <v>7644.3785104434319</v>
          </cell>
        </row>
        <row r="451">
          <cell r="A451" t="str">
            <v>Frais bancaires</v>
          </cell>
          <cell r="B451" t="str">
            <v>Frais bancaires</v>
          </cell>
          <cell r="E451">
            <v>93363.315428984744</v>
          </cell>
          <cell r="H451">
            <v>7780.2762857487296</v>
          </cell>
          <cell r="K451">
            <v>7780.2762857487296</v>
          </cell>
          <cell r="N451">
            <v>7780.2762857487296</v>
          </cell>
          <cell r="Q451">
            <v>7780.2762857487296</v>
          </cell>
          <cell r="T451">
            <v>7780.2762857487296</v>
          </cell>
          <cell r="W451">
            <v>7780.2762857487296</v>
          </cell>
          <cell r="Z451">
            <v>7780.2762857487296</v>
          </cell>
          <cell r="AC451">
            <v>7780.2762857487296</v>
          </cell>
          <cell r="AF451">
            <v>7780.2762857487296</v>
          </cell>
          <cell r="AI451">
            <v>7780.2762857487296</v>
          </cell>
          <cell r="AL451">
            <v>7780.2762857487296</v>
          </cell>
          <cell r="AO451">
            <v>7780.2762857487296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  <cell r="H452">
            <v>0</v>
          </cell>
          <cell r="K452">
            <v>0</v>
          </cell>
          <cell r="N452">
            <v>0</v>
          </cell>
          <cell r="Q452">
            <v>0</v>
          </cell>
          <cell r="T452">
            <v>0</v>
          </cell>
          <cell r="W452">
            <v>0</v>
          </cell>
          <cell r="Z452">
            <v>0</v>
          </cell>
          <cell r="AC452">
            <v>0</v>
          </cell>
          <cell r="AF452">
            <v>0</v>
          </cell>
          <cell r="AI452">
            <v>0</v>
          </cell>
          <cell r="AL452">
            <v>0</v>
          </cell>
          <cell r="AO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  <cell r="H453">
            <v>0</v>
          </cell>
          <cell r="K453">
            <v>0</v>
          </cell>
          <cell r="N453">
            <v>0</v>
          </cell>
          <cell r="Q453">
            <v>0</v>
          </cell>
          <cell r="T453">
            <v>0</v>
          </cell>
          <cell r="W453">
            <v>0</v>
          </cell>
          <cell r="Z453">
            <v>0</v>
          </cell>
          <cell r="AC453">
            <v>0</v>
          </cell>
          <cell r="AF453">
            <v>0</v>
          </cell>
          <cell r="AI453">
            <v>0</v>
          </cell>
          <cell r="AL453">
            <v>0</v>
          </cell>
          <cell r="AO453">
            <v>0</v>
          </cell>
        </row>
        <row r="454">
          <cell r="A454" t="str">
            <v>[...]</v>
          </cell>
          <cell r="B454" t="str">
            <v>[...]</v>
          </cell>
          <cell r="E454">
            <v>0</v>
          </cell>
          <cell r="H454">
            <v>0</v>
          </cell>
          <cell r="K454">
            <v>0</v>
          </cell>
          <cell r="N454">
            <v>0</v>
          </cell>
          <cell r="Q454">
            <v>0</v>
          </cell>
          <cell r="T454">
            <v>0</v>
          </cell>
          <cell r="W454">
            <v>0</v>
          </cell>
          <cell r="Z454">
            <v>0</v>
          </cell>
          <cell r="AC454">
            <v>0</v>
          </cell>
          <cell r="AF454">
            <v>0</v>
          </cell>
          <cell r="AI454">
            <v>0</v>
          </cell>
          <cell r="AL454">
            <v>0</v>
          </cell>
          <cell r="AO454">
            <v>0</v>
          </cell>
        </row>
        <row r="455">
          <cell r="A455" t="str">
            <v>TOTAL SEMI-FIXES</v>
          </cell>
          <cell r="B455" t="str">
            <v>TOTAL SEMI-FIXES</v>
          </cell>
          <cell r="C455">
            <v>0.16980962018406037</v>
          </cell>
          <cell r="E455">
            <v>1544313.9044609701</v>
          </cell>
          <cell r="F455">
            <v>0.25815519257022018</v>
          </cell>
          <cell r="H455">
            <v>127692.82537174747</v>
          </cell>
          <cell r="I455">
            <v>0.26487323373177241</v>
          </cell>
          <cell r="K455">
            <v>127692.82537174747</v>
          </cell>
          <cell r="L455">
            <v>0.18645326025635675</v>
          </cell>
          <cell r="N455">
            <v>127192.82537174747</v>
          </cell>
          <cell r="O455">
            <v>0.13309957088013172</v>
          </cell>
          <cell r="Q455">
            <v>127192.82537174747</v>
          </cell>
          <cell r="R455">
            <v>0.12708431531267639</v>
          </cell>
          <cell r="T455">
            <v>132192.82537174749</v>
          </cell>
          <cell r="U455">
            <v>0.16550740850776946</v>
          </cell>
          <cell r="W455">
            <v>127692.82537174747</v>
          </cell>
          <cell r="X455">
            <v>0.17515497038174085</v>
          </cell>
          <cell r="Z455">
            <v>127692.82537174747</v>
          </cell>
          <cell r="AA455">
            <v>0.16838035928109052</v>
          </cell>
          <cell r="AC455">
            <v>125692.82537174747</v>
          </cell>
          <cell r="AD455">
            <v>0.18565530011459452</v>
          </cell>
          <cell r="AF455">
            <v>125692.82537174747</v>
          </cell>
          <cell r="AG455">
            <v>0.13218012259085232</v>
          </cell>
          <cell r="AI455">
            <v>132192.82537174749</v>
          </cell>
          <cell r="AJ455">
            <v>0.139167372871835</v>
          </cell>
          <cell r="AL455">
            <v>137192.82537174749</v>
          </cell>
          <cell r="AM455">
            <v>0.23823204193019826</v>
          </cell>
          <cell r="AO455">
            <v>126192.82537174747</v>
          </cell>
        </row>
        <row r="456">
          <cell r="A456" t="str">
            <v>Loyer</v>
          </cell>
          <cell r="B456" t="str">
            <v>Loyer</v>
          </cell>
          <cell r="E456">
            <v>432000</v>
          </cell>
          <cell r="H456">
            <v>36000</v>
          </cell>
          <cell r="K456">
            <v>36000</v>
          </cell>
          <cell r="N456">
            <v>36000</v>
          </cell>
          <cell r="Q456">
            <v>36000</v>
          </cell>
          <cell r="T456">
            <v>36000</v>
          </cell>
          <cell r="W456">
            <v>36000</v>
          </cell>
          <cell r="Z456">
            <v>36000</v>
          </cell>
          <cell r="AC456">
            <v>36000</v>
          </cell>
          <cell r="AF456">
            <v>36000</v>
          </cell>
          <cell r="AI456">
            <v>36000</v>
          </cell>
          <cell r="AL456">
            <v>36000</v>
          </cell>
          <cell r="AO456">
            <v>36000</v>
          </cell>
        </row>
        <row r="457">
          <cell r="A457" t="str">
            <v>Taxes foncières</v>
          </cell>
          <cell r="B457" t="str">
            <v>Taxes foncières</v>
          </cell>
          <cell r="E457">
            <v>62123.039999999986</v>
          </cell>
          <cell r="H457">
            <v>5176.92</v>
          </cell>
          <cell r="K457">
            <v>5176.92</v>
          </cell>
          <cell r="N457">
            <v>5176.92</v>
          </cell>
          <cell r="Q457">
            <v>5176.92</v>
          </cell>
          <cell r="T457">
            <v>5176.92</v>
          </cell>
          <cell r="W457">
            <v>5176.92</v>
          </cell>
          <cell r="Z457">
            <v>5176.92</v>
          </cell>
          <cell r="AC457">
            <v>5176.92</v>
          </cell>
          <cell r="AF457">
            <v>5176.92</v>
          </cell>
          <cell r="AI457">
            <v>5176.92</v>
          </cell>
          <cell r="AL457">
            <v>5176.92</v>
          </cell>
          <cell r="AO457">
            <v>5176.92</v>
          </cell>
        </row>
        <row r="458">
          <cell r="A458" t="str">
            <v>Taxes d`affaires</v>
          </cell>
          <cell r="B458" t="str">
            <v>Taxes d`affaires</v>
          </cell>
          <cell r="E458">
            <v>41338.080000000016</v>
          </cell>
          <cell r="H458">
            <v>3444.8400000000006</v>
          </cell>
          <cell r="K458">
            <v>3444.8400000000006</v>
          </cell>
          <cell r="N458">
            <v>3444.8400000000006</v>
          </cell>
          <cell r="Q458">
            <v>3444.8400000000006</v>
          </cell>
          <cell r="T458">
            <v>3444.8400000000006</v>
          </cell>
          <cell r="W458">
            <v>3444.8400000000006</v>
          </cell>
          <cell r="Z458">
            <v>3444.8400000000006</v>
          </cell>
          <cell r="AC458">
            <v>3444.8400000000006</v>
          </cell>
          <cell r="AF458">
            <v>3444.8400000000006</v>
          </cell>
          <cell r="AI458">
            <v>3444.8400000000006</v>
          </cell>
          <cell r="AL458">
            <v>3444.8400000000006</v>
          </cell>
          <cell r="AO458">
            <v>3444.8400000000006</v>
          </cell>
        </row>
        <row r="459">
          <cell r="A459" t="str">
            <v>Taxe sur le capital</v>
          </cell>
          <cell r="B459" t="str">
            <v>Taxe sur le capital</v>
          </cell>
          <cell r="E459">
            <v>0</v>
          </cell>
          <cell r="H459">
            <v>0</v>
          </cell>
          <cell r="K459">
            <v>0</v>
          </cell>
          <cell r="N459">
            <v>0</v>
          </cell>
          <cell r="Q459">
            <v>0</v>
          </cell>
          <cell r="T459">
            <v>0</v>
          </cell>
          <cell r="W459">
            <v>0</v>
          </cell>
          <cell r="Z459">
            <v>0</v>
          </cell>
          <cell r="AC459">
            <v>0</v>
          </cell>
          <cell r="AF459">
            <v>0</v>
          </cell>
          <cell r="AI459">
            <v>0</v>
          </cell>
          <cell r="AL459">
            <v>0</v>
          </cell>
          <cell r="AO459">
            <v>0</v>
          </cell>
        </row>
        <row r="460">
          <cell r="A460" t="str">
            <v>Assurances</v>
          </cell>
          <cell r="B460" t="str">
            <v>Assurances</v>
          </cell>
          <cell r="E460">
            <v>46717</v>
          </cell>
          <cell r="H460">
            <v>3893.083333333333</v>
          </cell>
          <cell r="K460">
            <v>3893.083333333333</v>
          </cell>
          <cell r="N460">
            <v>3893.083333333333</v>
          </cell>
          <cell r="Q460">
            <v>3893.083333333333</v>
          </cell>
          <cell r="T460">
            <v>3893.083333333333</v>
          </cell>
          <cell r="W460">
            <v>3893.083333333333</v>
          </cell>
          <cell r="Z460">
            <v>3893.083333333333</v>
          </cell>
          <cell r="AC460">
            <v>3893.083333333333</v>
          </cell>
          <cell r="AF460">
            <v>3893.083333333333</v>
          </cell>
          <cell r="AI460">
            <v>3893.083333333333</v>
          </cell>
          <cell r="AL460">
            <v>3893.083333333333</v>
          </cell>
          <cell r="AO460">
            <v>3893.083333333333</v>
          </cell>
        </row>
        <row r="461">
          <cell r="A461" t="str">
            <v>Chauffage, éclairage</v>
          </cell>
          <cell r="B461" t="str">
            <v>Chauffage, éclairage</v>
          </cell>
          <cell r="E461">
            <v>41415.000000000007</v>
          </cell>
          <cell r="H461">
            <v>3451.2500000000005</v>
          </cell>
          <cell r="K461">
            <v>3451.2500000000005</v>
          </cell>
          <cell r="N461">
            <v>3451.2500000000005</v>
          </cell>
          <cell r="Q461">
            <v>3451.2500000000005</v>
          </cell>
          <cell r="T461">
            <v>3451.2500000000005</v>
          </cell>
          <cell r="W461">
            <v>3451.2500000000005</v>
          </cell>
          <cell r="Z461">
            <v>3451.2500000000005</v>
          </cell>
          <cell r="AC461">
            <v>3451.2500000000005</v>
          </cell>
          <cell r="AF461">
            <v>3451.2500000000005</v>
          </cell>
          <cell r="AI461">
            <v>3451.2500000000005</v>
          </cell>
          <cell r="AL461">
            <v>3451.2500000000005</v>
          </cell>
          <cell r="AO461">
            <v>3451.2500000000005</v>
          </cell>
        </row>
        <row r="462">
          <cell r="A462" t="str">
            <v>Honoraires</v>
          </cell>
          <cell r="B462" t="str">
            <v>Honoraires</v>
          </cell>
          <cell r="E462">
            <v>81408.60000000002</v>
          </cell>
          <cell r="H462">
            <v>6784.05</v>
          </cell>
          <cell r="K462">
            <v>6784.05</v>
          </cell>
          <cell r="N462">
            <v>6784.05</v>
          </cell>
          <cell r="Q462">
            <v>6784.05</v>
          </cell>
          <cell r="T462">
            <v>6784.05</v>
          </cell>
          <cell r="W462">
            <v>6784.05</v>
          </cell>
          <cell r="Z462">
            <v>6784.05</v>
          </cell>
          <cell r="AC462">
            <v>6784.05</v>
          </cell>
          <cell r="AF462">
            <v>6784.05</v>
          </cell>
          <cell r="AI462">
            <v>6784.05</v>
          </cell>
          <cell r="AL462">
            <v>6784.05</v>
          </cell>
          <cell r="AO462">
            <v>6784.05</v>
          </cell>
        </row>
        <row r="463">
          <cell r="A463" t="str">
            <v>Réparation équipement</v>
          </cell>
          <cell r="B463" t="str">
            <v>Réparation équipement</v>
          </cell>
          <cell r="E463">
            <v>23363.053879566665</v>
          </cell>
          <cell r="H463">
            <v>1946.9211566305551</v>
          </cell>
          <cell r="K463">
            <v>1946.9211566305551</v>
          </cell>
          <cell r="N463">
            <v>1946.9211566305551</v>
          </cell>
          <cell r="Q463">
            <v>1946.9211566305551</v>
          </cell>
          <cell r="T463">
            <v>1946.9211566305551</v>
          </cell>
          <cell r="W463">
            <v>1946.9211566305551</v>
          </cell>
          <cell r="Z463">
            <v>1946.9211566305551</v>
          </cell>
          <cell r="AC463">
            <v>1946.9211566305551</v>
          </cell>
          <cell r="AF463">
            <v>1946.9211566305551</v>
          </cell>
          <cell r="AI463">
            <v>1946.9211566305551</v>
          </cell>
          <cell r="AL463">
            <v>1946.9211566305551</v>
          </cell>
          <cell r="AO463">
            <v>1946.9211566305551</v>
          </cell>
        </row>
        <row r="464">
          <cell r="A464" t="str">
            <v>Location équipement</v>
          </cell>
          <cell r="B464" t="str">
            <v>Location équipement</v>
          </cell>
          <cell r="E464">
            <v>12000</v>
          </cell>
          <cell r="H464">
            <v>1000</v>
          </cell>
          <cell r="K464">
            <v>1000</v>
          </cell>
          <cell r="N464">
            <v>1000</v>
          </cell>
          <cell r="Q464">
            <v>1000</v>
          </cell>
          <cell r="T464">
            <v>1000</v>
          </cell>
          <cell r="W464">
            <v>1000</v>
          </cell>
          <cell r="Z464">
            <v>1000</v>
          </cell>
          <cell r="AC464">
            <v>1000</v>
          </cell>
          <cell r="AF464">
            <v>1000</v>
          </cell>
          <cell r="AI464">
            <v>1000</v>
          </cell>
          <cell r="AL464">
            <v>1000</v>
          </cell>
          <cell r="AO464">
            <v>1000</v>
          </cell>
        </row>
        <row r="465">
          <cell r="A465" t="str">
            <v>Dons</v>
          </cell>
          <cell r="B465" t="str">
            <v>Dons</v>
          </cell>
          <cell r="E465">
            <v>0</v>
          </cell>
          <cell r="H465">
            <v>0</v>
          </cell>
          <cell r="K465">
            <v>0</v>
          </cell>
          <cell r="N465">
            <v>0</v>
          </cell>
          <cell r="Q465">
            <v>0</v>
          </cell>
          <cell r="T465">
            <v>0</v>
          </cell>
          <cell r="W465">
            <v>0</v>
          </cell>
          <cell r="Z465">
            <v>0</v>
          </cell>
          <cell r="AC465">
            <v>0</v>
          </cell>
          <cell r="AF465">
            <v>0</v>
          </cell>
          <cell r="AI465">
            <v>0</v>
          </cell>
          <cell r="AL465">
            <v>0</v>
          </cell>
          <cell r="AO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[...]</v>
          </cell>
          <cell r="B468" t="str">
            <v>[...]</v>
          </cell>
          <cell r="E468">
            <v>0</v>
          </cell>
        </row>
        <row r="469">
          <cell r="A469" t="str">
            <v>TOTAL DÉPENSES FIXES</v>
          </cell>
          <cell r="B469" t="str">
            <v>TOTAL DÉPENSES FIXES</v>
          </cell>
          <cell r="C469">
            <v>8.1409006735602016E-2</v>
          </cell>
          <cell r="E469">
            <v>740364.7738795667</v>
          </cell>
          <cell r="F469">
            <v>0.12473228247597319</v>
          </cell>
          <cell r="H469">
            <v>61697.064489963894</v>
          </cell>
          <cell r="I469">
            <v>0.12797822380105431</v>
          </cell>
          <cell r="K469">
            <v>61697.064489963894</v>
          </cell>
          <cell r="L469">
            <v>9.0442356231798027E-2</v>
          </cell>
          <cell r="N469">
            <v>61697.064489963894</v>
          </cell>
          <cell r="O469">
            <v>6.4562232847467302E-2</v>
          </cell>
          <cell r="Q469">
            <v>61697.064489963894</v>
          </cell>
          <cell r="R469">
            <v>5.9312819553252676E-2</v>
          </cell>
          <cell r="T469">
            <v>61697.064489963894</v>
          </cell>
          <cell r="U469">
            <v>7.9967854313997694E-2</v>
          </cell>
          <cell r="W469">
            <v>61697.064489963894</v>
          </cell>
          <cell r="X469">
            <v>8.4629245785104001E-2</v>
          </cell>
          <cell r="Z469">
            <v>61697.064489963894</v>
          </cell>
          <cell r="AA469">
            <v>8.2650492219294311E-2</v>
          </cell>
          <cell r="AC469">
            <v>61697.064489963894</v>
          </cell>
          <cell r="AD469">
            <v>9.1129998790276154E-2</v>
          </cell>
          <cell r="AF469">
            <v>61697.064489963894</v>
          </cell>
          <cell r="AG469">
            <v>6.1691135845274692E-2</v>
          </cell>
          <cell r="AI469">
            <v>61697.064489963894</v>
          </cell>
          <cell r="AJ469">
            <v>6.2585039383120974E-2</v>
          </cell>
          <cell r="AL469">
            <v>61697.064489963894</v>
          </cell>
          <cell r="AM469">
            <v>0.11647427348776927</v>
          </cell>
          <cell r="AO469">
            <v>61697.064489963894</v>
          </cell>
        </row>
        <row r="470">
          <cell r="A470">
            <v>0</v>
          </cell>
          <cell r="E470">
            <v>379600.20152754127</v>
          </cell>
          <cell r="H470">
            <v>31633.350127295103</v>
          </cell>
          <cell r="K470">
            <v>31633.350127295103</v>
          </cell>
          <cell r="N470">
            <v>31633.350127295103</v>
          </cell>
          <cell r="Q470">
            <v>31633.350127295103</v>
          </cell>
          <cell r="T470">
            <v>31633.350127295103</v>
          </cell>
          <cell r="W470">
            <v>31633.350127295103</v>
          </cell>
          <cell r="Z470">
            <v>31633.350127295103</v>
          </cell>
          <cell r="AC470">
            <v>31633.350127295103</v>
          </cell>
          <cell r="AF470">
            <v>31633.350127295103</v>
          </cell>
          <cell r="AI470">
            <v>31633.350127295103</v>
          </cell>
          <cell r="AL470">
            <v>31633.350127295103</v>
          </cell>
          <cell r="AO470">
            <v>31633.350127295103</v>
          </cell>
        </row>
        <row r="471">
          <cell r="A471" t="str">
            <v>TOTAL DES DÉPENSES</v>
          </cell>
          <cell r="B471" t="str">
            <v>TOTAL DES DÉPENSES</v>
          </cell>
          <cell r="C471">
            <v>0.90823623415939925</v>
          </cell>
          <cell r="E471">
            <v>8259849.1382721364</v>
          </cell>
          <cell r="F471">
            <v>1.197473274704544</v>
          </cell>
          <cell r="H471">
            <v>592313.26796802506</v>
          </cell>
          <cell r="I471">
            <v>1.2308237590936664</v>
          </cell>
          <cell r="K471">
            <v>593368.23551036126</v>
          </cell>
          <cell r="L471">
            <v>1.0350807319241866</v>
          </cell>
          <cell r="N471">
            <v>706101.04966939089</v>
          </cell>
          <cell r="O471">
            <v>0.76867927328020491</v>
          </cell>
          <cell r="Q471">
            <v>734566.51983695792</v>
          </cell>
          <cell r="R471">
            <v>0.76884341478437046</v>
          </cell>
          <cell r="T471">
            <v>799749.2296255884</v>
          </cell>
          <cell r="U471">
            <v>0.87901929080527874</v>
          </cell>
          <cell r="W471">
            <v>678183.88198572176</v>
          </cell>
          <cell r="X471">
            <v>0.91526378029498845</v>
          </cell>
          <cell r="Z471">
            <v>667252.64953415713</v>
          </cell>
          <cell r="AA471">
            <v>0.95841183855640089</v>
          </cell>
          <cell r="AC471">
            <v>715436.71941442194</v>
          </cell>
          <cell r="AD471">
            <v>0.97336227405396947</v>
          </cell>
          <cell r="AF471">
            <v>658988.21235157922</v>
          </cell>
          <cell r="AG471">
            <v>0.74198318884719661</v>
          </cell>
          <cell r="AI471">
            <v>742054.49495352397</v>
          </cell>
          <cell r="AJ471">
            <v>0.78826176008102111</v>
          </cell>
          <cell r="AL471">
            <v>777077.67105452227</v>
          </cell>
          <cell r="AM471">
            <v>1.1228072856624074</v>
          </cell>
          <cell r="AO471">
            <v>594757.20636788674</v>
          </cell>
        </row>
        <row r="472">
          <cell r="A472" t="str">
            <v>Revenus autres</v>
          </cell>
          <cell r="B472" t="str">
            <v>Revenus autres</v>
          </cell>
          <cell r="E472">
            <v>88391.43</v>
          </cell>
          <cell r="H472">
            <v>0</v>
          </cell>
          <cell r="K472">
            <v>0</v>
          </cell>
          <cell r="N472">
            <v>22097.857499999998</v>
          </cell>
          <cell r="Q472">
            <v>0</v>
          </cell>
          <cell r="T472">
            <v>0</v>
          </cell>
          <cell r="W472">
            <v>22097.857499999998</v>
          </cell>
          <cell r="Z472">
            <v>0</v>
          </cell>
          <cell r="AC472">
            <v>0</v>
          </cell>
          <cell r="AF472">
            <v>22097.857499999998</v>
          </cell>
          <cell r="AI472">
            <v>0</v>
          </cell>
          <cell r="AL472">
            <v>0</v>
          </cell>
          <cell r="AO472">
            <v>22097.857499999998</v>
          </cell>
        </row>
        <row r="473">
          <cell r="A473" t="str">
            <v>Holdbacks</v>
          </cell>
          <cell r="B473" t="str">
            <v>Holdbacks</v>
          </cell>
          <cell r="E473">
            <v>911504.31324615923</v>
          </cell>
          <cell r="H473">
            <v>43066.288712401452</v>
          </cell>
          <cell r="K473">
            <v>43066.288712401452</v>
          </cell>
          <cell r="N473">
            <v>63098.425611850726</v>
          </cell>
          <cell r="Q473">
            <v>93286.91203174906</v>
          </cell>
          <cell r="T473">
            <v>107806.00285172804</v>
          </cell>
          <cell r="W473">
            <v>82906.112798140894</v>
          </cell>
          <cell r="Z473">
            <v>73114.494061575373</v>
          </cell>
          <cell r="AC473">
            <v>83411.12465274884</v>
          </cell>
          <cell r="AF473">
            <v>73226.718918154904</v>
          </cell>
          <cell r="AI473">
            <v>112505.4187209966</v>
          </cell>
          <cell r="AL473">
            <v>92950.237462010438</v>
          </cell>
          <cell r="AO473">
            <v>43066.288712401452</v>
          </cell>
        </row>
        <row r="474">
          <cell r="A474" t="str">
            <v>RIMS</v>
          </cell>
          <cell r="B474" t="str">
            <v>RIMS</v>
          </cell>
          <cell r="E474">
            <v>80000</v>
          </cell>
          <cell r="H474">
            <v>0</v>
          </cell>
          <cell r="K474">
            <v>0</v>
          </cell>
          <cell r="N474">
            <v>20000</v>
          </cell>
          <cell r="Q474">
            <v>0</v>
          </cell>
          <cell r="T474">
            <v>0</v>
          </cell>
          <cell r="W474">
            <v>20000</v>
          </cell>
          <cell r="Z474">
            <v>0</v>
          </cell>
          <cell r="AC474">
            <v>0</v>
          </cell>
          <cell r="AF474">
            <v>20000</v>
          </cell>
          <cell r="AI474">
            <v>0</v>
          </cell>
          <cell r="AL474">
            <v>0</v>
          </cell>
          <cell r="AO474">
            <v>20000</v>
          </cell>
        </row>
        <row r="475">
          <cell r="A475" t="str">
            <v>Subsidies</v>
          </cell>
          <cell r="B475" t="str">
            <v>Subsidies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neuf 3</v>
          </cell>
          <cell r="B476" t="str">
            <v>Programme neuf 3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Garantie Nationale</v>
          </cell>
          <cell r="B477" t="str">
            <v>Garantie Nationale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2</v>
          </cell>
          <cell r="B478" t="str">
            <v>Programme used 2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Programme used 3</v>
          </cell>
          <cell r="B479" t="str">
            <v>Programme used 3</v>
          </cell>
          <cell r="E479">
            <v>0</v>
          </cell>
          <cell r="H479">
            <v>0</v>
          </cell>
          <cell r="K479">
            <v>0</v>
          </cell>
          <cell r="N479">
            <v>0</v>
          </cell>
          <cell r="Q479">
            <v>0</v>
          </cell>
          <cell r="T479">
            <v>0</v>
          </cell>
          <cell r="W479">
            <v>0</v>
          </cell>
          <cell r="Z479">
            <v>0</v>
          </cell>
          <cell r="AC479">
            <v>0</v>
          </cell>
          <cell r="AF479">
            <v>0</v>
          </cell>
          <cell r="AI479">
            <v>0</v>
          </cell>
          <cell r="AL479">
            <v>0</v>
          </cell>
          <cell r="AO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  <cell r="H480">
            <v>0</v>
          </cell>
          <cell r="K480">
            <v>0</v>
          </cell>
          <cell r="N480">
            <v>0</v>
          </cell>
          <cell r="Q480">
            <v>0</v>
          </cell>
          <cell r="T480">
            <v>0</v>
          </cell>
          <cell r="W480">
            <v>0</v>
          </cell>
          <cell r="Z480">
            <v>0</v>
          </cell>
          <cell r="AC480">
            <v>0</v>
          </cell>
          <cell r="AF480">
            <v>0</v>
          </cell>
          <cell r="AI480">
            <v>0</v>
          </cell>
          <cell r="AL480">
            <v>0</v>
          </cell>
          <cell r="AO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  <cell r="H481">
            <v>0</v>
          </cell>
          <cell r="K481">
            <v>0</v>
          </cell>
          <cell r="N481">
            <v>0</v>
          </cell>
          <cell r="Q481">
            <v>0</v>
          </cell>
          <cell r="T481">
            <v>0</v>
          </cell>
          <cell r="W481">
            <v>0</v>
          </cell>
          <cell r="Z481">
            <v>0</v>
          </cell>
          <cell r="AC481">
            <v>0</v>
          </cell>
          <cell r="AF481">
            <v>0</v>
          </cell>
          <cell r="AI481">
            <v>0</v>
          </cell>
          <cell r="AL481">
            <v>0</v>
          </cell>
          <cell r="AO481">
            <v>0</v>
          </cell>
        </row>
        <row r="482">
          <cell r="A482" t="str">
            <v>[...]</v>
          </cell>
          <cell r="B482" t="str">
            <v>[...]</v>
          </cell>
          <cell r="E482">
            <v>0</v>
          </cell>
          <cell r="H482">
            <v>0</v>
          </cell>
          <cell r="K482">
            <v>0</v>
          </cell>
          <cell r="N482">
            <v>0</v>
          </cell>
          <cell r="Q482">
            <v>0</v>
          </cell>
          <cell r="T482">
            <v>0</v>
          </cell>
          <cell r="W482">
            <v>0</v>
          </cell>
          <cell r="Z482">
            <v>0</v>
          </cell>
          <cell r="AC482">
            <v>0</v>
          </cell>
          <cell r="AF482">
            <v>0</v>
          </cell>
          <cell r="AI482">
            <v>0</v>
          </cell>
          <cell r="AL482">
            <v>0</v>
          </cell>
          <cell r="AO482">
            <v>0</v>
          </cell>
        </row>
        <row r="483">
          <cell r="A483" t="str">
            <v>Frais administration</v>
          </cell>
          <cell r="B483" t="str">
            <v>Frais administration</v>
          </cell>
          <cell r="E483">
            <v>516691.982625</v>
          </cell>
          <cell r="H483">
            <v>27381.128000000001</v>
          </cell>
          <cell r="K483">
            <v>27763.923374999998</v>
          </cell>
          <cell r="N483">
            <v>40110.555625000001</v>
          </cell>
          <cell r="Q483">
            <v>51787.592249999994</v>
          </cell>
          <cell r="T483">
            <v>56736.674249999989</v>
          </cell>
          <cell r="W483">
            <v>46901.321874999994</v>
          </cell>
          <cell r="Z483">
            <v>42536.506500000003</v>
          </cell>
          <cell r="AC483">
            <v>46930.95</v>
          </cell>
          <cell r="AF483">
            <v>43481.051124999998</v>
          </cell>
          <cell r="AI483">
            <v>55679.542749999993</v>
          </cell>
          <cell r="AL483">
            <v>49034.546875</v>
          </cell>
          <cell r="AO483">
            <v>28348.190000000002</v>
          </cell>
        </row>
        <row r="484">
          <cell r="A484" t="str">
            <v>TOTAL AUTRES REVENUS</v>
          </cell>
          <cell r="B484" t="str">
            <v>TOTAL AUTRES REVENUS</v>
          </cell>
          <cell r="C484">
            <v>0.17555754340976745</v>
          </cell>
          <cell r="E484">
            <v>1596587.7258711592</v>
          </cell>
          <cell r="F484">
            <v>0.14242277414192409</v>
          </cell>
          <cell r="H484">
            <v>70447.416712401449</v>
          </cell>
          <cell r="I484">
            <v>0.14692311229608243</v>
          </cell>
          <cell r="K484">
            <v>70830.212087401451</v>
          </cell>
          <cell r="L484">
            <v>0.21300677723641848</v>
          </cell>
          <cell r="N484">
            <v>145306.83873685074</v>
          </cell>
          <cell r="O484">
            <v>0.15181166240401553</v>
          </cell>
          <cell r="Q484">
            <v>145074.50428174905</v>
          </cell>
          <cell r="R484">
            <v>0.15818402701041745</v>
          </cell>
          <cell r="T484">
            <v>164542.67710172804</v>
          </cell>
          <cell r="U484">
            <v>0.22281282705991809</v>
          </cell>
          <cell r="W484">
            <v>171905.29217314089</v>
          </cell>
          <cell r="X484">
            <v>0.158637319825984</v>
          </cell>
          <cell r="Z484">
            <v>115651.00056157538</v>
          </cell>
          <cell r="AA484">
            <v>0.17460857685840281</v>
          </cell>
          <cell r="AC484">
            <v>130342.07465274884</v>
          </cell>
          <cell r="AD484">
            <v>0.23456475223794268</v>
          </cell>
          <cell r="AF484">
            <v>158805.6275431549</v>
          </cell>
          <cell r="AG484">
            <v>0.16816880010437615</v>
          </cell>
          <cell r="AI484">
            <v>168184.96147099661</v>
          </cell>
          <cell r="AJ484">
            <v>0.14402830009815493</v>
          </cell>
          <cell r="AL484">
            <v>141984.78433701044</v>
          </cell>
          <cell r="AM484">
            <v>0.21429328934101122</v>
          </cell>
          <cell r="AO484">
            <v>113512.33621240145</v>
          </cell>
        </row>
        <row r="485">
          <cell r="A485">
            <v>0</v>
          </cell>
          <cell r="E485">
            <v>226956.17387956666</v>
          </cell>
          <cell r="H485">
            <v>18913.014489963891</v>
          </cell>
          <cell r="K485">
            <v>18913.014489963891</v>
          </cell>
          <cell r="N485">
            <v>18913.014489963891</v>
          </cell>
          <cell r="Q485">
            <v>18913.014489963891</v>
          </cell>
          <cell r="T485">
            <v>18913.014489963891</v>
          </cell>
          <cell r="W485">
            <v>18913.014489963891</v>
          </cell>
          <cell r="Z485">
            <v>18913.014489963891</v>
          </cell>
          <cell r="AC485">
            <v>18913.014489963891</v>
          </cell>
          <cell r="AF485">
            <v>18913.014489963891</v>
          </cell>
          <cell r="AI485">
            <v>18913.014489963891</v>
          </cell>
          <cell r="AL485">
            <v>18913.014489963891</v>
          </cell>
          <cell r="AO485">
            <v>18913.014489963891</v>
          </cell>
        </row>
        <row r="486">
          <cell r="A486" t="str">
            <v>BAIIA OPÉRATIONNEL</v>
          </cell>
          <cell r="B486" t="str">
            <v>BAIIA OPÉRATIONNEL</v>
          </cell>
          <cell r="C486" t="str">
            <v>%vte</v>
          </cell>
          <cell r="D486">
            <v>3.7839878939818813E-2</v>
          </cell>
          <cell r="E486">
            <v>2431122.6559872241</v>
          </cell>
          <cell r="F486" t="str">
            <v>%vte</v>
          </cell>
          <cell r="G486">
            <v>-7.7517324450352004E-3</v>
          </cell>
          <cell r="H486">
            <v>-27229.953753720547</v>
          </cell>
          <cell r="I486" t="str">
            <v>%vte</v>
          </cell>
          <cell r="J486">
            <v>-1.1628299094678841E-2</v>
          </cell>
          <cell r="K486">
            <v>-40447.690727971873</v>
          </cell>
          <cell r="L486" t="str">
            <v>%vte</v>
          </cell>
          <cell r="M486">
            <v>2.4386100364430209E-2</v>
          </cell>
          <cell r="N486">
            <v>121375.81493275493</v>
          </cell>
          <cell r="O486" t="str">
            <v>%vte</v>
          </cell>
          <cell r="P486">
            <v>5.6535903320137151E-2</v>
          </cell>
          <cell r="Q486">
            <v>366129.58811093809</v>
          </cell>
          <cell r="R486" t="str">
            <v>%vte</v>
          </cell>
          <cell r="S486">
            <v>5.7402282311642572E-2</v>
          </cell>
          <cell r="T486">
            <v>404991.24880592769</v>
          </cell>
          <cell r="U486" t="str">
            <v>%vte</v>
          </cell>
          <cell r="V486">
            <v>4.626714380992282E-2</v>
          </cell>
          <cell r="W486">
            <v>265244.73064200266</v>
          </cell>
          <cell r="X486" t="str">
            <v>%vte</v>
          </cell>
          <cell r="Y486">
            <v>3.3710203268551064E-2</v>
          </cell>
          <cell r="Z486">
            <v>177426.05200243377</v>
          </cell>
          <cell r="AA486" t="str">
            <v>%vte</v>
          </cell>
          <cell r="AB486">
            <v>2.8560334279228036E-2</v>
          </cell>
          <cell r="AC486">
            <v>161386.86833403533</v>
          </cell>
          <cell r="AD486" t="str">
            <v>%vte</v>
          </cell>
          <cell r="AE486">
            <v>3.3949198082982739E-2</v>
          </cell>
          <cell r="AF486">
            <v>176839.9687850599</v>
          </cell>
          <cell r="AG486" t="str">
            <v>%vte</v>
          </cell>
          <cell r="AH486">
            <v>6.1482228605501461E-2</v>
          </cell>
          <cell r="AI486">
            <v>426226.56856856914</v>
          </cell>
          <cell r="AJ486" t="str">
            <v>%vte</v>
          </cell>
          <cell r="AK486">
            <v>5.5414191716182302E-2</v>
          </cell>
          <cell r="AL486">
            <v>350718.820011292</v>
          </cell>
          <cell r="AM486" t="str">
            <v>%vte</v>
          </cell>
          <cell r="AN486">
            <v>1.3348407892527062E-2</v>
          </cell>
          <cell r="AO486">
            <v>48460.640275902639</v>
          </cell>
        </row>
        <row r="488">
          <cell r="B488" t="str">
            <v>Budget 2024</v>
          </cell>
          <cell r="C488" t="str">
            <v>CALCUL DU PROFIT NET</v>
          </cell>
        </row>
        <row r="492">
          <cell r="B492" t="str">
            <v>BAIIA OPÉRATIONNEL</v>
          </cell>
          <cell r="C492" t="str">
            <v>%vte</v>
          </cell>
          <cell r="D492">
            <v>3.7839878939818813E-2</v>
          </cell>
          <cell r="E492">
            <v>2431122.6559872241</v>
          </cell>
          <cell r="F492" t="str">
            <v>%vte</v>
          </cell>
          <cell r="G492">
            <v>-7.7517324450352004E-3</v>
          </cell>
          <cell r="H492">
            <v>-27229.953753720547</v>
          </cell>
          <cell r="I492" t="str">
            <v>%vte</v>
          </cell>
          <cell r="J492">
            <v>-1.1628299094678841E-2</v>
          </cell>
          <cell r="K492">
            <v>-40447.690727971873</v>
          </cell>
          <cell r="L492" t="str">
            <v>%vte</v>
          </cell>
          <cell r="M492">
            <v>2.4386100364430209E-2</v>
          </cell>
          <cell r="N492">
            <v>121375.81493275493</v>
          </cell>
          <cell r="O492" t="str">
            <v>%vte</v>
          </cell>
          <cell r="P492">
            <v>5.6535903320137151E-2</v>
          </cell>
          <cell r="Q492">
            <v>366129.58811093809</v>
          </cell>
          <cell r="R492" t="str">
            <v>%vte</v>
          </cell>
          <cell r="S492">
            <v>5.7402282311642572E-2</v>
          </cell>
          <cell r="T492">
            <v>404991.24880592769</v>
          </cell>
          <cell r="U492" t="str">
            <v>%vte</v>
          </cell>
          <cell r="V492">
            <v>4.626714380992282E-2</v>
          </cell>
          <cell r="W492">
            <v>265244.73064200266</v>
          </cell>
          <cell r="X492" t="str">
            <v>%vte</v>
          </cell>
          <cell r="Y492">
            <v>3.3710203268551064E-2</v>
          </cell>
          <cell r="Z492">
            <v>177426.05200243377</v>
          </cell>
          <cell r="AA492" t="str">
            <v>%vte</v>
          </cell>
          <cell r="AB492">
            <v>2.8560334279228036E-2</v>
          </cell>
          <cell r="AC492">
            <v>161386.86833403533</v>
          </cell>
          <cell r="AD492" t="str">
            <v>%vte</v>
          </cell>
          <cell r="AE492">
            <v>3.3949198082982739E-2</v>
          </cell>
          <cell r="AF492">
            <v>176839.9687850599</v>
          </cell>
          <cell r="AG492" t="str">
            <v>%vte</v>
          </cell>
          <cell r="AH492">
            <v>6.1482228605501461E-2</v>
          </cell>
          <cell r="AI492">
            <v>426226.56856856914</v>
          </cell>
          <cell r="AJ492" t="str">
            <v>%vte</v>
          </cell>
          <cell r="AK492">
            <v>5.5414191716182302E-2</v>
          </cell>
          <cell r="AL492">
            <v>350718.820011292</v>
          </cell>
          <cell r="AM492" t="str">
            <v>%vte</v>
          </cell>
          <cell r="AN492">
            <v>1.3348407892527062E-2</v>
          </cell>
          <cell r="AO492">
            <v>48460.640275902639</v>
          </cell>
        </row>
        <row r="494">
          <cell r="A494" t="str">
            <v>Amortissement</v>
          </cell>
          <cell r="B494" t="str">
            <v>Amortissement</v>
          </cell>
          <cell r="E494">
            <v>245779.99999999994</v>
          </cell>
          <cell r="H494">
            <v>6315</v>
          </cell>
          <cell r="K494">
            <v>6315</v>
          </cell>
          <cell r="N494">
            <v>6315</v>
          </cell>
          <cell r="Q494">
            <v>6315</v>
          </cell>
          <cell r="T494">
            <v>6315</v>
          </cell>
          <cell r="W494">
            <v>6315</v>
          </cell>
          <cell r="Z494">
            <v>34648.333333333328</v>
          </cell>
          <cell r="AC494">
            <v>34648.333333333328</v>
          </cell>
          <cell r="AF494">
            <v>34648.333333333328</v>
          </cell>
          <cell r="AI494">
            <v>34648.333333333328</v>
          </cell>
          <cell r="AL494">
            <v>34648.333333333328</v>
          </cell>
          <cell r="AO494">
            <v>34648.333333333328</v>
          </cell>
        </row>
        <row r="495">
          <cell r="A495" t="str">
            <v>Intérêts sur marge</v>
          </cell>
          <cell r="B495" t="str">
            <v>Intérêts sur marge</v>
          </cell>
          <cell r="E495">
            <v>0</v>
          </cell>
          <cell r="H495">
            <v>0</v>
          </cell>
          <cell r="K495">
            <v>0</v>
          </cell>
          <cell r="N495">
            <v>0</v>
          </cell>
          <cell r="Q495">
            <v>0</v>
          </cell>
          <cell r="T495">
            <v>0</v>
          </cell>
          <cell r="W495">
            <v>0</v>
          </cell>
          <cell r="Z495">
            <v>0</v>
          </cell>
          <cell r="AC495">
            <v>0</v>
          </cell>
          <cell r="AF495">
            <v>0</v>
          </cell>
          <cell r="AI495">
            <v>0</v>
          </cell>
          <cell r="AL495">
            <v>0</v>
          </cell>
          <cell r="AO495">
            <v>0</v>
          </cell>
        </row>
        <row r="496">
          <cell r="A496" t="str">
            <v>Intérêts sur prêt</v>
          </cell>
          <cell r="B496" t="str">
            <v>Intérêts sur prêt</v>
          </cell>
          <cell r="E496">
            <v>0</v>
          </cell>
          <cell r="H496">
            <v>0</v>
          </cell>
          <cell r="K496">
            <v>0</v>
          </cell>
          <cell r="N496">
            <v>0</v>
          </cell>
          <cell r="Q496">
            <v>0</v>
          </cell>
          <cell r="T496">
            <v>0</v>
          </cell>
          <cell r="W496">
            <v>0</v>
          </cell>
          <cell r="Z496">
            <v>0</v>
          </cell>
          <cell r="AC496">
            <v>0</v>
          </cell>
          <cell r="AF496">
            <v>0</v>
          </cell>
          <cell r="AI496">
            <v>0</v>
          </cell>
          <cell r="AL496">
            <v>0</v>
          </cell>
          <cell r="AO496">
            <v>0</v>
          </cell>
        </row>
        <row r="497">
          <cell r="A497" t="str">
            <v>Intérêts sur avance</v>
          </cell>
          <cell r="B497" t="str">
            <v>Intérêts sur avance</v>
          </cell>
          <cell r="E497">
            <v>0</v>
          </cell>
          <cell r="H497">
            <v>0</v>
          </cell>
          <cell r="K497">
            <v>0</v>
          </cell>
          <cell r="N497">
            <v>0</v>
          </cell>
          <cell r="Q497">
            <v>0</v>
          </cell>
          <cell r="T497">
            <v>0</v>
          </cell>
          <cell r="W497">
            <v>0</v>
          </cell>
          <cell r="Z497">
            <v>0</v>
          </cell>
          <cell r="AC497">
            <v>0</v>
          </cell>
          <cell r="AF497">
            <v>0</v>
          </cell>
          <cell r="AI497">
            <v>0</v>
          </cell>
          <cell r="AL497">
            <v>0</v>
          </cell>
          <cell r="AO497">
            <v>0</v>
          </cell>
        </row>
        <row r="498">
          <cell r="A498" t="str">
            <v>[...]</v>
          </cell>
          <cell r="B498" t="str">
            <v>[...]</v>
          </cell>
          <cell r="E498">
            <v>0</v>
          </cell>
          <cell r="H498">
            <v>0</v>
          </cell>
          <cell r="K498">
            <v>0</v>
          </cell>
          <cell r="N498">
            <v>0</v>
          </cell>
          <cell r="Q498">
            <v>0</v>
          </cell>
          <cell r="T498">
            <v>0</v>
          </cell>
          <cell r="W498">
            <v>0</v>
          </cell>
          <cell r="Z498">
            <v>0</v>
          </cell>
          <cell r="AC498">
            <v>0</v>
          </cell>
          <cell r="AF498">
            <v>0</v>
          </cell>
          <cell r="AI498">
            <v>0</v>
          </cell>
          <cell r="AL498">
            <v>0</v>
          </cell>
          <cell r="AO498">
            <v>0</v>
          </cell>
        </row>
        <row r="499">
          <cell r="A499" t="str">
            <v>Revenus d'intérêts floor plan</v>
          </cell>
          <cell r="B499" t="str">
            <v>Revenus d'intérêts floor plan</v>
          </cell>
          <cell r="E499">
            <v>-55999.999999999993</v>
          </cell>
          <cell r="H499">
            <v>-4666.666666666667</v>
          </cell>
          <cell r="K499">
            <v>-4666.666666666667</v>
          </cell>
          <cell r="N499">
            <v>-4666.666666666667</v>
          </cell>
          <cell r="Q499">
            <v>-4666.666666666667</v>
          </cell>
          <cell r="T499">
            <v>-4666.666666666667</v>
          </cell>
          <cell r="W499">
            <v>-4666.666666666667</v>
          </cell>
          <cell r="Z499">
            <v>-4666.666666666667</v>
          </cell>
          <cell r="AC499">
            <v>-4666.666666666667</v>
          </cell>
          <cell r="AF499">
            <v>-4666.666666666667</v>
          </cell>
          <cell r="AI499">
            <v>-4666.666666666667</v>
          </cell>
          <cell r="AL499">
            <v>-4666.666666666667</v>
          </cell>
          <cell r="AO499">
            <v>-4666.666666666667</v>
          </cell>
        </row>
        <row r="500">
          <cell r="A500" t="str">
            <v>[...]</v>
          </cell>
          <cell r="B500" t="str">
            <v>[...]</v>
          </cell>
        </row>
        <row r="501">
          <cell r="B501" t="str">
            <v>Profit Net</v>
          </cell>
          <cell r="C501" t="str">
            <v>%vte</v>
          </cell>
          <cell r="D501">
            <v>3.4885995799651758E-2</v>
          </cell>
          <cell r="E501">
            <v>2241342.6559872241</v>
          </cell>
          <cell r="F501" t="str">
            <v>%vte</v>
          </cell>
          <cell r="G501">
            <v>-8.2209744825280911E-3</v>
          </cell>
          <cell r="H501">
            <v>-28878.287087053879</v>
          </cell>
          <cell r="I501" t="str">
            <v>%vte</v>
          </cell>
          <cell r="J501">
            <v>-1.2102178138519375E-2</v>
          </cell>
          <cell r="K501">
            <v>-42096.024061305208</v>
          </cell>
          <cell r="L501" t="str">
            <v>%vte</v>
          </cell>
          <cell r="M501">
            <v>2.4054927122685369E-2</v>
          </cell>
          <cell r="N501">
            <v>119727.4815994216</v>
          </cell>
          <cell r="O501" t="str">
            <v>%vte</v>
          </cell>
          <cell r="P501">
            <v>5.6281375915090456E-2</v>
          </cell>
          <cell r="Q501">
            <v>364481.25477760477</v>
          </cell>
          <cell r="R501" t="str">
            <v>%vte</v>
          </cell>
          <cell r="S501">
            <v>5.7168652336618025E-2</v>
          </cell>
          <cell r="T501">
            <v>403342.91547259438</v>
          </cell>
          <cell r="U501" t="str">
            <v>%vte</v>
          </cell>
          <cell r="V501">
            <v>4.5979621885564766E-2</v>
          </cell>
          <cell r="W501">
            <v>263596.39730866934</v>
          </cell>
          <cell r="X501" t="str">
            <v>%vte</v>
          </cell>
          <cell r="Y501">
            <v>2.8013812765258956E-2</v>
          </cell>
          <cell r="Z501">
            <v>147444.38533576709</v>
          </cell>
          <cell r="AA501" t="str">
            <v>%vte</v>
          </cell>
          <cell r="AB501">
            <v>2.3254534426441605E-2</v>
          </cell>
          <cell r="AC501">
            <v>131405.20166736867</v>
          </cell>
          <cell r="AD501" t="str">
            <v>%vte</v>
          </cell>
          <cell r="AE501">
            <v>2.8193409120127976E-2</v>
          </cell>
          <cell r="AF501">
            <v>146858.30211839321</v>
          </cell>
          <cell r="AG501" t="str">
            <v>%vte</v>
          </cell>
          <cell r="AH501">
            <v>5.7157440288891879E-2</v>
          </cell>
          <cell r="AI501">
            <v>396244.90190190251</v>
          </cell>
          <cell r="AJ501" t="str">
            <v>%vte</v>
          </cell>
          <cell r="AK501">
            <v>5.0677035539094785E-2</v>
          </cell>
          <cell r="AL501">
            <v>320737.15334462537</v>
          </cell>
          <cell r="AM501" t="str">
            <v>%vte</v>
          </cell>
          <cell r="AN501">
            <v>5.0900045019417646E-3</v>
          </cell>
          <cell r="AO501">
            <v>18478.973609235978</v>
          </cell>
        </row>
      </sheetData>
      <sheetData sheetId="3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>X</v>
          </cell>
          <cell r="AH2" t="str">
            <v>O</v>
          </cell>
          <cell r="AI2" t="str">
            <v>U</v>
          </cell>
          <cell r="AJ2" t="str">
            <v/>
          </cell>
          <cell r="AK2" t="str">
            <v/>
          </cell>
          <cell r="AL2" t="str">
            <v/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>X</v>
          </cell>
          <cell r="AE3" t="str">
            <v>O</v>
          </cell>
          <cell r="AF3" t="str">
            <v>U</v>
          </cell>
          <cell r="AG3" t="str">
            <v>X</v>
          </cell>
          <cell r="AH3" t="str">
            <v>O</v>
          </cell>
          <cell r="AI3" t="str">
            <v>U</v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Réel 2023</v>
          </cell>
          <cell r="C4" t="str">
            <v>Véhicules neufs</v>
          </cell>
        </row>
        <row r="6">
          <cell r="B6" t="str">
            <v>Mois</v>
          </cell>
          <cell r="C6">
            <v>2023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46883613.60999997</v>
          </cell>
          <cell r="H8">
            <v>2000310.4399999899</v>
          </cell>
          <cell r="K8">
            <v>1303139.55999999</v>
          </cell>
          <cell r="N8">
            <v>2316528.27999999</v>
          </cell>
          <cell r="Q8">
            <v>1765866.96</v>
          </cell>
          <cell r="T8">
            <v>2808157.66</v>
          </cell>
          <cell r="W8">
            <v>2851329.31</v>
          </cell>
          <cell r="Z8">
            <v>2122186.91</v>
          </cell>
          <cell r="AC8">
            <v>2567524.5099999998</v>
          </cell>
          <cell r="AF8">
            <v>2612584.64</v>
          </cell>
          <cell r="AI8">
            <v>8285274.8799999999</v>
          </cell>
          <cell r="AL8">
            <v>10151414.289999999</v>
          </cell>
          <cell r="AO8">
            <v>8099296.1699999999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160</v>
          </cell>
          <cell r="D9">
            <v>2077.4208749999957</v>
          </cell>
          <cell r="E9">
            <v>332387.33999999933</v>
          </cell>
          <cell r="F9">
            <v>14</v>
          </cell>
          <cell r="G9">
            <v>1585.0142857142785</v>
          </cell>
          <cell r="H9">
            <v>22190.199999999899</v>
          </cell>
          <cell r="I9">
            <v>3</v>
          </cell>
          <cell r="J9">
            <v>908.03333333333001</v>
          </cell>
          <cell r="K9">
            <v>2724.0999999999899</v>
          </cell>
          <cell r="L9">
            <v>9</v>
          </cell>
          <cell r="M9">
            <v>2223.0811111111002</v>
          </cell>
          <cell r="N9">
            <v>20007.729999999901</v>
          </cell>
          <cell r="O9">
            <v>12</v>
          </cell>
          <cell r="P9">
            <v>2975.6024999999918</v>
          </cell>
          <cell r="Q9">
            <v>35707.229999999901</v>
          </cell>
          <cell r="R9">
            <v>12</v>
          </cell>
          <cell r="S9">
            <v>2048.0299999999916</v>
          </cell>
          <cell r="T9">
            <v>24576.359999999899</v>
          </cell>
          <cell r="U9">
            <v>16</v>
          </cell>
          <cell r="V9">
            <v>2103.44875</v>
          </cell>
          <cell r="W9">
            <v>33655.18</v>
          </cell>
          <cell r="X9">
            <v>12</v>
          </cell>
          <cell r="Y9">
            <v>1882.1941666666669</v>
          </cell>
          <cell r="Z9">
            <v>22586.33</v>
          </cell>
          <cell r="AA9">
            <v>21</v>
          </cell>
          <cell r="AB9">
            <v>2336.3823809523715</v>
          </cell>
          <cell r="AC9">
            <v>49064.029999999802</v>
          </cell>
          <cell r="AD9">
            <v>17</v>
          </cell>
          <cell r="AE9">
            <v>1804.1035294117589</v>
          </cell>
          <cell r="AF9">
            <v>30669.7599999999</v>
          </cell>
          <cell r="AG9">
            <v>14</v>
          </cell>
          <cell r="AH9">
            <v>2125.1657142857143</v>
          </cell>
          <cell r="AI9">
            <v>29752.32</v>
          </cell>
          <cell r="AJ9">
            <v>18</v>
          </cell>
          <cell r="AK9">
            <v>2139.7994444444444</v>
          </cell>
          <cell r="AL9">
            <v>38516.39</v>
          </cell>
          <cell r="AM9">
            <v>12</v>
          </cell>
          <cell r="AN9">
            <v>1911.4758333333332</v>
          </cell>
          <cell r="AO9">
            <v>22937.71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402</v>
          </cell>
          <cell r="D10">
            <v>2485.1099751243746</v>
          </cell>
          <cell r="E10">
            <v>999014.20999999857</v>
          </cell>
          <cell r="F10">
            <v>28</v>
          </cell>
          <cell r="G10">
            <v>2112.1560714285747</v>
          </cell>
          <cell r="H10">
            <v>59140.370000000097</v>
          </cell>
          <cell r="I10">
            <v>19</v>
          </cell>
          <cell r="J10">
            <v>2501.8715789473681</v>
          </cell>
          <cell r="K10">
            <v>47535.56</v>
          </cell>
          <cell r="L10">
            <v>29</v>
          </cell>
          <cell r="M10">
            <v>2831.0634482758551</v>
          </cell>
          <cell r="N10">
            <v>82100.839999999793</v>
          </cell>
          <cell r="O10">
            <v>16</v>
          </cell>
          <cell r="P10">
            <v>2481.2724999999937</v>
          </cell>
          <cell r="Q10">
            <v>39700.359999999899</v>
          </cell>
          <cell r="R10">
            <v>34</v>
          </cell>
          <cell r="S10">
            <v>2504.176764705885</v>
          </cell>
          <cell r="T10">
            <v>85142.010000000097</v>
          </cell>
          <cell r="U10">
            <v>39</v>
          </cell>
          <cell r="V10">
            <v>2445.2556410256461</v>
          </cell>
          <cell r="W10">
            <v>95364.970000000205</v>
          </cell>
          <cell r="X10">
            <v>24</v>
          </cell>
          <cell r="Y10">
            <v>2577.0195833333291</v>
          </cell>
          <cell r="Z10">
            <v>61848.469999999899</v>
          </cell>
          <cell r="AA10">
            <v>22</v>
          </cell>
          <cell r="AB10">
            <v>2712.29</v>
          </cell>
          <cell r="AC10">
            <v>59670.38</v>
          </cell>
          <cell r="AD10">
            <v>36</v>
          </cell>
          <cell r="AE10">
            <v>2493.9233333333304</v>
          </cell>
          <cell r="AF10">
            <v>89781.239999999903</v>
          </cell>
          <cell r="AG10">
            <v>45</v>
          </cell>
          <cell r="AH10">
            <v>2647.1666666666442</v>
          </cell>
          <cell r="AI10">
            <v>119122.499999999</v>
          </cell>
          <cell r="AJ10">
            <v>71</v>
          </cell>
          <cell r="AK10">
            <v>2320.1190140845074</v>
          </cell>
          <cell r="AL10">
            <v>164728.45000000001</v>
          </cell>
          <cell r="AM10">
            <v>39</v>
          </cell>
          <cell r="AN10">
            <v>2432.7964102564051</v>
          </cell>
          <cell r="AO10">
            <v>94879.059999999794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562</v>
          </cell>
          <cell r="D16">
            <v>2369.0419039145872</v>
          </cell>
          <cell r="E16">
            <v>1331401.549999998</v>
          </cell>
          <cell r="F16">
            <v>42</v>
          </cell>
          <cell r="G16">
            <v>1936.4421428571427</v>
          </cell>
          <cell r="H16">
            <v>81330.569999999992</v>
          </cell>
          <cell r="I16">
            <v>22</v>
          </cell>
          <cell r="J16">
            <v>2284.5299999999993</v>
          </cell>
          <cell r="K16">
            <v>50259.659999999989</v>
          </cell>
          <cell r="L16">
            <v>38</v>
          </cell>
          <cell r="M16">
            <v>2687.0676315789392</v>
          </cell>
          <cell r="N16">
            <v>102108.56999999969</v>
          </cell>
          <cell r="O16">
            <v>28</v>
          </cell>
          <cell r="P16">
            <v>2693.1282142857067</v>
          </cell>
          <cell r="Q16">
            <v>75407.589999999793</v>
          </cell>
          <cell r="R16">
            <v>46</v>
          </cell>
          <cell r="S16">
            <v>2385.1819565217388</v>
          </cell>
          <cell r="T16">
            <v>109718.37</v>
          </cell>
          <cell r="U16">
            <v>55</v>
          </cell>
          <cell r="V16">
            <v>2345.8209090909127</v>
          </cell>
          <cell r="W16">
            <v>129020.1500000002</v>
          </cell>
          <cell r="X16">
            <v>36</v>
          </cell>
          <cell r="Y16">
            <v>2345.4111111111083</v>
          </cell>
          <cell r="Z16">
            <v>84434.799999999901</v>
          </cell>
          <cell r="AA16">
            <v>43</v>
          </cell>
          <cell r="AB16">
            <v>2528.7072093023207</v>
          </cell>
          <cell r="AC16">
            <v>108734.4099999998</v>
          </cell>
          <cell r="AD16">
            <v>53</v>
          </cell>
          <cell r="AE16">
            <v>2272.6603773584866</v>
          </cell>
          <cell r="AF16">
            <v>120450.9999999998</v>
          </cell>
          <cell r="AG16">
            <v>59</v>
          </cell>
          <cell r="AH16">
            <v>2523.3020338982878</v>
          </cell>
          <cell r="AI16">
            <v>148874.81999999899</v>
          </cell>
          <cell r="AJ16">
            <v>89</v>
          </cell>
          <cell r="AK16">
            <v>2283.6498876404498</v>
          </cell>
          <cell r="AL16">
            <v>203244.84000000003</v>
          </cell>
          <cell r="AM16">
            <v>51</v>
          </cell>
          <cell r="AN16">
            <v>2310.1327450980352</v>
          </cell>
          <cell r="AO16">
            <v>117816.76999999979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42</v>
          </cell>
          <cell r="D18">
            <v>2481.1169047619005</v>
          </cell>
          <cell r="E18">
            <v>104206.90999999983</v>
          </cell>
          <cell r="F18">
            <v>3</v>
          </cell>
          <cell r="G18">
            <v>6274.7466666666669</v>
          </cell>
          <cell r="H18">
            <v>18824.240000000002</v>
          </cell>
          <cell r="I18">
            <v>2</v>
          </cell>
          <cell r="J18">
            <v>5044.2700000000004</v>
          </cell>
          <cell r="K18">
            <v>10088.540000000001</v>
          </cell>
          <cell r="L18">
            <v>8</v>
          </cell>
          <cell r="M18">
            <v>3142.5462499999876</v>
          </cell>
          <cell r="N18">
            <v>25140.369999999901</v>
          </cell>
          <cell r="O18">
            <v>6</v>
          </cell>
          <cell r="P18">
            <v>1717.8083333333334</v>
          </cell>
          <cell r="Q18">
            <v>10306.85</v>
          </cell>
          <cell r="R18">
            <v>7</v>
          </cell>
          <cell r="S18">
            <v>2567.5442857142712</v>
          </cell>
          <cell r="T18">
            <v>17972.809999999899</v>
          </cell>
          <cell r="U18">
            <v>2</v>
          </cell>
          <cell r="V18">
            <v>1486.73</v>
          </cell>
          <cell r="W18">
            <v>2973.46</v>
          </cell>
          <cell r="X18">
            <v>3</v>
          </cell>
          <cell r="Y18">
            <v>851.18</v>
          </cell>
          <cell r="Z18">
            <v>2553.54</v>
          </cell>
          <cell r="AA18">
            <v>8</v>
          </cell>
          <cell r="AB18">
            <v>1186.9175000000025</v>
          </cell>
          <cell r="AC18">
            <v>9495.3400000000202</v>
          </cell>
          <cell r="AD18">
            <v>1</v>
          </cell>
          <cell r="AE18">
            <v>975.83000000000095</v>
          </cell>
          <cell r="AF18">
            <v>975.83000000000095</v>
          </cell>
          <cell r="AG18">
            <v>0</v>
          </cell>
          <cell r="AH18">
            <v>0</v>
          </cell>
          <cell r="AI18">
            <v>3550</v>
          </cell>
          <cell r="AJ18">
            <v>1</v>
          </cell>
          <cell r="AK18">
            <v>1154.9399999999901</v>
          </cell>
          <cell r="AL18">
            <v>1154.9399999999901</v>
          </cell>
          <cell r="AM18">
            <v>1</v>
          </cell>
          <cell r="AN18">
            <v>1170.99</v>
          </cell>
          <cell r="AO18">
            <v>1170.99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26</v>
          </cell>
          <cell r="D20">
            <v>2968.8999999999965</v>
          </cell>
          <cell r="E20">
            <v>77191.399999999907</v>
          </cell>
          <cell r="F20">
            <v>1</v>
          </cell>
          <cell r="G20">
            <v>2144.83</v>
          </cell>
          <cell r="H20">
            <v>2144.83</v>
          </cell>
          <cell r="I20">
            <v>1</v>
          </cell>
          <cell r="J20">
            <v>2919.37</v>
          </cell>
          <cell r="K20">
            <v>2919.37</v>
          </cell>
          <cell r="L20">
            <v>0</v>
          </cell>
          <cell r="M20">
            <v>0</v>
          </cell>
          <cell r="N20">
            <v>0</v>
          </cell>
          <cell r="O20">
            <v>3</v>
          </cell>
          <cell r="P20">
            <v>3228.9066666666663</v>
          </cell>
          <cell r="Q20">
            <v>9686.7199999999993</v>
          </cell>
          <cell r="R20">
            <v>3</v>
          </cell>
          <cell r="S20">
            <v>1222.9133333333332</v>
          </cell>
          <cell r="T20">
            <v>3668.74</v>
          </cell>
          <cell r="U20">
            <v>2</v>
          </cell>
          <cell r="V20">
            <v>2962.9449999999952</v>
          </cell>
          <cell r="W20">
            <v>5925.8899999999903</v>
          </cell>
          <cell r="X20">
            <v>1</v>
          </cell>
          <cell r="Y20">
            <v>4279.05</v>
          </cell>
          <cell r="Z20">
            <v>4279.05</v>
          </cell>
          <cell r="AA20">
            <v>4</v>
          </cell>
          <cell r="AB20">
            <v>3473.772499999975</v>
          </cell>
          <cell r="AC20">
            <v>13895.0899999999</v>
          </cell>
          <cell r="AD20">
            <v>1</v>
          </cell>
          <cell r="AE20">
            <v>3198</v>
          </cell>
          <cell r="AF20">
            <v>3198</v>
          </cell>
          <cell r="AG20">
            <v>8</v>
          </cell>
          <cell r="AH20">
            <v>3193.38</v>
          </cell>
          <cell r="AI20">
            <v>25547.040000000001</v>
          </cell>
          <cell r="AJ20">
            <v>2</v>
          </cell>
          <cell r="AK20">
            <v>3324.41</v>
          </cell>
          <cell r="AL20">
            <v>6648.82</v>
          </cell>
          <cell r="AM20">
            <v>0</v>
          </cell>
          <cell r="AN20">
            <v>0</v>
          </cell>
          <cell r="AO20">
            <v>-722.15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99141.099999999802</v>
          </cell>
          <cell r="H22">
            <v>5000.3999999999896</v>
          </cell>
          <cell r="K22">
            <v>6807.1699999999801</v>
          </cell>
          <cell r="N22">
            <v>11489.369999999901</v>
          </cell>
          <cell r="Q22">
            <v>7229.2700000000104</v>
          </cell>
          <cell r="T22">
            <v>12671.609999999901</v>
          </cell>
          <cell r="W22">
            <v>12900.75</v>
          </cell>
          <cell r="Z22">
            <v>9971</v>
          </cell>
          <cell r="AC22">
            <v>7757.94</v>
          </cell>
          <cell r="AF22">
            <v>7932.0800000000099</v>
          </cell>
          <cell r="AI22">
            <v>8229.7100000000191</v>
          </cell>
          <cell r="AL22">
            <v>3732.16</v>
          </cell>
          <cell r="AO22">
            <v>5419.6399999999803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138.28978476821189</v>
          </cell>
          <cell r="E24">
            <v>83527.029999999984</v>
          </cell>
          <cell r="G24">
            <v>214.11533333333335</v>
          </cell>
          <cell r="H24">
            <v>9635.19</v>
          </cell>
          <cell r="J24">
            <v>516.52875000000006</v>
          </cell>
          <cell r="K24">
            <v>12396.69</v>
          </cell>
          <cell r="M24">
            <v>256.81543478260869</v>
          </cell>
          <cell r="N24">
            <v>11813.51</v>
          </cell>
          <cell r="P24">
            <v>71.606764705882355</v>
          </cell>
          <cell r="Q24">
            <v>2434.63</v>
          </cell>
          <cell r="S24">
            <v>136.53245283018867</v>
          </cell>
          <cell r="T24">
            <v>7236.22</v>
          </cell>
          <cell r="V24">
            <v>89.401578947368421</v>
          </cell>
          <cell r="W24">
            <v>5095.8900000000003</v>
          </cell>
          <cell r="Y24">
            <v>247.88589743589742</v>
          </cell>
          <cell r="Z24">
            <v>9667.5499999999993</v>
          </cell>
          <cell r="AB24">
            <v>175.29411764705881</v>
          </cell>
          <cell r="AC24">
            <v>8940</v>
          </cell>
          <cell r="AE24">
            <v>92.308148148148149</v>
          </cell>
          <cell r="AF24">
            <v>4984.6400000000003</v>
          </cell>
          <cell r="AH24">
            <v>59.01033898305085</v>
          </cell>
          <cell r="AI24">
            <v>3481.61</v>
          </cell>
          <cell r="AK24">
            <v>48.026888888888891</v>
          </cell>
          <cell r="AL24">
            <v>4322.42</v>
          </cell>
          <cell r="AN24">
            <v>67.666923076923069</v>
          </cell>
          <cell r="AO24">
            <v>3518.68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972.14963576158937</v>
          </cell>
          <cell r="E25">
            <v>587178.38</v>
          </cell>
          <cell r="G25">
            <v>653.30888888888887</v>
          </cell>
          <cell r="H25">
            <v>29398.9</v>
          </cell>
          <cell r="J25">
            <v>943.50874999999996</v>
          </cell>
          <cell r="K25">
            <v>22644.21</v>
          </cell>
          <cell r="M25">
            <v>1021.8823913043477</v>
          </cell>
          <cell r="N25">
            <v>47006.59</v>
          </cell>
          <cell r="P25">
            <v>913.24941176470588</v>
          </cell>
          <cell r="Q25">
            <v>31050.48</v>
          </cell>
          <cell r="S25">
            <v>1002.9296226415094</v>
          </cell>
          <cell r="T25">
            <v>53155.27</v>
          </cell>
          <cell r="V25">
            <v>868.40771929824552</v>
          </cell>
          <cell r="W25">
            <v>49499.24</v>
          </cell>
          <cell r="Y25">
            <v>1110.4235897435897</v>
          </cell>
          <cell r="Z25">
            <v>43306.52</v>
          </cell>
          <cell r="AB25">
            <v>1030.0339215686274</v>
          </cell>
          <cell r="AC25">
            <v>52531.73</v>
          </cell>
          <cell r="AE25">
            <v>1111.5049999999999</v>
          </cell>
          <cell r="AF25">
            <v>60021.27</v>
          </cell>
          <cell r="AH25">
            <v>942.08305084745768</v>
          </cell>
          <cell r="AI25">
            <v>55582.9</v>
          </cell>
          <cell r="AK25">
            <v>993.18355555555559</v>
          </cell>
          <cell r="AL25">
            <v>89386.52</v>
          </cell>
          <cell r="AN25">
            <v>1030.6682692307693</v>
          </cell>
          <cell r="AO25">
            <v>53594.75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12.821324503311258</v>
          </cell>
          <cell r="E26">
            <v>7744.08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M26">
            <v>13.392826086956523</v>
          </cell>
          <cell r="N26">
            <v>616.07000000000005</v>
          </cell>
          <cell r="P26">
            <v>0</v>
          </cell>
          <cell r="Q26">
            <v>0</v>
          </cell>
          <cell r="S26">
            <v>32.927735849056603</v>
          </cell>
          <cell r="T26">
            <v>1745.17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B26">
            <v>12.943529411764706</v>
          </cell>
          <cell r="AC26">
            <v>660.12</v>
          </cell>
          <cell r="AE26">
            <v>9.5077777777777772</v>
          </cell>
          <cell r="AF26">
            <v>513.41999999999996</v>
          </cell>
          <cell r="AH26">
            <v>6.7493220338983049</v>
          </cell>
          <cell r="AI26">
            <v>398.21</v>
          </cell>
          <cell r="AK26">
            <v>15.009333333333332</v>
          </cell>
          <cell r="AL26">
            <v>1350.84</v>
          </cell>
          <cell r="AN26">
            <v>47.3125</v>
          </cell>
          <cell r="AO26">
            <v>2460.25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604</v>
          </cell>
          <cell r="D27">
            <v>1123.2607450331125</v>
          </cell>
          <cell r="E27">
            <v>678449.49</v>
          </cell>
          <cell r="F27">
            <v>45</v>
          </cell>
          <cell r="G27">
            <v>867.42422222222228</v>
          </cell>
          <cell r="H27">
            <v>39034.090000000004</v>
          </cell>
          <cell r="I27">
            <v>24</v>
          </cell>
          <cell r="J27">
            <v>1460.0375000000001</v>
          </cell>
          <cell r="K27">
            <v>35040.9</v>
          </cell>
          <cell r="L27">
            <v>46</v>
          </cell>
          <cell r="M27">
            <v>1292.090652173913</v>
          </cell>
          <cell r="N27">
            <v>59436.17</v>
          </cell>
          <cell r="O27">
            <v>34</v>
          </cell>
          <cell r="P27">
            <v>984.85617647058825</v>
          </cell>
          <cell r="Q27">
            <v>33485.11</v>
          </cell>
          <cell r="R27">
            <v>53</v>
          </cell>
          <cell r="S27">
            <v>1172.3898113207547</v>
          </cell>
          <cell r="T27">
            <v>62136.659999999996</v>
          </cell>
          <cell r="U27">
            <v>57</v>
          </cell>
          <cell r="V27">
            <v>957.80929824561395</v>
          </cell>
          <cell r="W27">
            <v>54595.13</v>
          </cell>
          <cell r="X27">
            <v>39</v>
          </cell>
          <cell r="Y27">
            <v>1358.309487179487</v>
          </cell>
          <cell r="Z27">
            <v>52974.069999999992</v>
          </cell>
          <cell r="AA27">
            <v>51</v>
          </cell>
          <cell r="AB27">
            <v>1218.2715686274512</v>
          </cell>
          <cell r="AC27">
            <v>62131.850000000006</v>
          </cell>
          <cell r="AD27">
            <v>54</v>
          </cell>
          <cell r="AE27">
            <v>1213.3209259259258</v>
          </cell>
          <cell r="AF27">
            <v>65519.329999999994</v>
          </cell>
          <cell r="AG27">
            <v>59</v>
          </cell>
          <cell r="AH27">
            <v>1007.8427118644069</v>
          </cell>
          <cell r="AI27">
            <v>59462.720000000001</v>
          </cell>
          <cell r="AJ27">
            <v>90</v>
          </cell>
          <cell r="AK27">
            <v>1056.2197777777778</v>
          </cell>
          <cell r="AL27">
            <v>95059.78</v>
          </cell>
          <cell r="AM27">
            <v>52</v>
          </cell>
          <cell r="AN27">
            <v>1145.6476923076923</v>
          </cell>
          <cell r="AO27">
            <v>59573.68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630</v>
          </cell>
          <cell r="D30">
            <v>3635.5403968253927</v>
          </cell>
          <cell r="E30">
            <v>2290390.4499999974</v>
          </cell>
          <cell r="F30">
            <v>46</v>
          </cell>
          <cell r="G30">
            <v>3181.1767391304343</v>
          </cell>
          <cell r="H30">
            <v>146334.12999999998</v>
          </cell>
          <cell r="I30">
            <v>25</v>
          </cell>
          <cell r="J30">
            <v>4204.6255999999994</v>
          </cell>
          <cell r="K30">
            <v>105115.63999999998</v>
          </cell>
          <cell r="L30">
            <v>46</v>
          </cell>
          <cell r="M30">
            <v>4308.1408695652071</v>
          </cell>
          <cell r="N30">
            <v>198174.47999999952</v>
          </cell>
          <cell r="O30">
            <v>37</v>
          </cell>
          <cell r="P30">
            <v>3678.7983783783729</v>
          </cell>
          <cell r="Q30">
            <v>136115.5399999998</v>
          </cell>
          <cell r="R30">
            <v>56</v>
          </cell>
          <cell r="S30">
            <v>3681.5748214285677</v>
          </cell>
          <cell r="T30">
            <v>206168.1899999998</v>
          </cell>
          <cell r="U30">
            <v>59</v>
          </cell>
          <cell r="V30">
            <v>3481.6166101694944</v>
          </cell>
          <cell r="W30">
            <v>205415.38000000018</v>
          </cell>
          <cell r="X30">
            <v>40</v>
          </cell>
          <cell r="Y30">
            <v>3855.3114999999975</v>
          </cell>
          <cell r="Z30">
            <v>154212.4599999999</v>
          </cell>
          <cell r="AA30">
            <v>55</v>
          </cell>
          <cell r="AB30">
            <v>3672.9932727272676</v>
          </cell>
          <cell r="AC30">
            <v>202014.62999999971</v>
          </cell>
          <cell r="AD30">
            <v>55</v>
          </cell>
          <cell r="AE30">
            <v>3601.3861818181781</v>
          </cell>
          <cell r="AF30">
            <v>198076.23999999979</v>
          </cell>
          <cell r="AG30">
            <v>67</v>
          </cell>
          <cell r="AH30">
            <v>3666.631194029836</v>
          </cell>
          <cell r="AI30">
            <v>245664.28999999902</v>
          </cell>
          <cell r="AJ30">
            <v>92</v>
          </cell>
          <cell r="AK30">
            <v>3367.8319565217394</v>
          </cell>
          <cell r="AL30">
            <v>309840.54000000004</v>
          </cell>
          <cell r="AM30">
            <v>52</v>
          </cell>
          <cell r="AN30">
            <v>3524.2101923076875</v>
          </cell>
          <cell r="AO30">
            <v>183258.92999999976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0.29849571936905456</v>
          </cell>
          <cell r="D34">
            <v>709.4751324503311</v>
          </cell>
          <cell r="E34">
            <v>428522.98</v>
          </cell>
          <cell r="F34">
            <v>0.20080094006468588</v>
          </cell>
          <cell r="G34">
            <v>446.91511111111112</v>
          </cell>
          <cell r="H34">
            <v>20111.18</v>
          </cell>
          <cell r="I34">
            <v>0.3748038881027107</v>
          </cell>
          <cell r="J34">
            <v>942.4475000000001</v>
          </cell>
          <cell r="K34">
            <v>22618.74</v>
          </cell>
          <cell r="L34">
            <v>0.34224819475903012</v>
          </cell>
          <cell r="M34">
            <v>946.75478260869568</v>
          </cell>
          <cell r="N34">
            <v>43550.720000000001</v>
          </cell>
          <cell r="O34">
            <v>0.4327795876634099</v>
          </cell>
          <cell r="P34">
            <v>1091.0429411764705</v>
          </cell>
          <cell r="Q34">
            <v>37095.46</v>
          </cell>
          <cell r="R34">
            <v>0.32730600500363483</v>
          </cell>
          <cell r="S34">
            <v>788.56773584905659</v>
          </cell>
          <cell r="T34">
            <v>41794.089999999997</v>
          </cell>
          <cell r="U34">
            <v>0.33310604960346141</v>
          </cell>
          <cell r="V34">
            <v>771.36614035087723</v>
          </cell>
          <cell r="W34">
            <v>43967.87</v>
          </cell>
          <cell r="X34">
            <v>0.37701685076413732</v>
          </cell>
          <cell r="Y34">
            <v>840.92487179487182</v>
          </cell>
          <cell r="Z34">
            <v>32796.07</v>
          </cell>
          <cell r="AA34">
            <v>0.35356676301861473</v>
          </cell>
          <cell r="AB34">
            <v>819.64921568627449</v>
          </cell>
          <cell r="AC34">
            <v>41802.11</v>
          </cell>
          <cell r="AD34">
            <v>0.19647832361266485</v>
          </cell>
          <cell r="AE34">
            <v>441.81</v>
          </cell>
          <cell r="AF34">
            <v>23857.74</v>
          </cell>
          <cell r="AG34">
            <v>0.2749352106828814</v>
          </cell>
          <cell r="AH34">
            <v>710.28728813559314</v>
          </cell>
          <cell r="AI34">
            <v>41906.949999999997</v>
          </cell>
          <cell r="AJ34">
            <v>0.22021936618522778</v>
          </cell>
          <cell r="AK34">
            <v>500.14211111111115</v>
          </cell>
          <cell r="AL34">
            <v>45012.79</v>
          </cell>
          <cell r="AM34">
            <v>0.28582149962315506</v>
          </cell>
          <cell r="AN34">
            <v>654.02423076923083</v>
          </cell>
          <cell r="AO34">
            <v>34009.26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0.30598638964265418</v>
          </cell>
          <cell r="D35">
            <v>343.70249999999999</v>
          </cell>
          <cell r="E35">
            <v>207596.31</v>
          </cell>
          <cell r="F35">
            <v>0.42056545957648811</v>
          </cell>
          <cell r="G35">
            <v>364.80866666666668</v>
          </cell>
          <cell r="H35">
            <v>16416.39</v>
          </cell>
          <cell r="I35">
            <v>0.2864355652965534</v>
          </cell>
          <cell r="J35">
            <v>418.20666666666665</v>
          </cell>
          <cell r="K35">
            <v>10036.959999999999</v>
          </cell>
          <cell r="L35">
            <v>0.29836781205787655</v>
          </cell>
          <cell r="M35">
            <v>385.51826086956521</v>
          </cell>
          <cell r="N35">
            <v>17733.84</v>
          </cell>
          <cell r="O35">
            <v>0.29978160442059171</v>
          </cell>
          <cell r="P35">
            <v>295.24176470588236</v>
          </cell>
          <cell r="Q35">
            <v>10038.219999999999</v>
          </cell>
          <cell r="R35">
            <v>0.29997186845897417</v>
          </cell>
          <cell r="S35">
            <v>351.68396226415092</v>
          </cell>
          <cell r="T35">
            <v>18639.25</v>
          </cell>
          <cell r="U35">
            <v>0.30010863606332655</v>
          </cell>
          <cell r="V35">
            <v>287.44684210526316</v>
          </cell>
          <cell r="W35">
            <v>16384.47</v>
          </cell>
          <cell r="X35">
            <v>0.30073845562555424</v>
          </cell>
          <cell r="Y35">
            <v>408.49589743589746</v>
          </cell>
          <cell r="Z35">
            <v>15931.34</v>
          </cell>
          <cell r="AA35">
            <v>0.29989739561915507</v>
          </cell>
          <cell r="AB35">
            <v>365.35647058823531</v>
          </cell>
          <cell r="AC35">
            <v>18633.18</v>
          </cell>
          <cell r="AD35">
            <v>0.30030542131612159</v>
          </cell>
          <cell r="AE35">
            <v>364.36685185185189</v>
          </cell>
          <cell r="AF35">
            <v>19675.810000000001</v>
          </cell>
          <cell r="AG35">
            <v>0.29873305492920604</v>
          </cell>
          <cell r="AH35">
            <v>301.07593220338981</v>
          </cell>
          <cell r="AI35">
            <v>17763.48</v>
          </cell>
          <cell r="AJ35">
            <v>0.29960999278559242</v>
          </cell>
          <cell r="AK35">
            <v>316.45400000000001</v>
          </cell>
          <cell r="AL35">
            <v>28480.86</v>
          </cell>
          <cell r="AM35">
            <v>0.29983895572675717</v>
          </cell>
          <cell r="AN35">
            <v>343.50980769230767</v>
          </cell>
          <cell r="AO35">
            <v>17862.509999999998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122.55435430463577</v>
          </cell>
          <cell r="E36">
            <v>74022.83</v>
          </cell>
          <cell r="G36">
            <v>58.516222222222225</v>
          </cell>
          <cell r="H36">
            <v>2633.23</v>
          </cell>
          <cell r="J36">
            <v>245.49916666666664</v>
          </cell>
          <cell r="K36">
            <v>5891.98</v>
          </cell>
          <cell r="M36">
            <v>64.906086956521733</v>
          </cell>
          <cell r="N36">
            <v>2985.68</v>
          </cell>
          <cell r="P36">
            <v>99.448823529411769</v>
          </cell>
          <cell r="Q36">
            <v>3381.26</v>
          </cell>
          <cell r="S36">
            <v>112.82150943396226</v>
          </cell>
          <cell r="T36">
            <v>5979.54</v>
          </cell>
          <cell r="V36">
            <v>98.259649122807019</v>
          </cell>
          <cell r="W36">
            <v>5600.8</v>
          </cell>
          <cell r="Y36">
            <v>168.41974358974358</v>
          </cell>
          <cell r="Z36">
            <v>6568.37</v>
          </cell>
          <cell r="AB36">
            <v>121.67235294117647</v>
          </cell>
          <cell r="AC36">
            <v>6205.29</v>
          </cell>
          <cell r="AE36">
            <v>85.562222222222218</v>
          </cell>
          <cell r="AF36">
            <v>4620.3599999999997</v>
          </cell>
          <cell r="AH36">
            <v>131.92101694915254</v>
          </cell>
          <cell r="AI36">
            <v>7783.34</v>
          </cell>
          <cell r="AK36">
            <v>138.78766666666667</v>
          </cell>
          <cell r="AL36">
            <v>12490.89</v>
          </cell>
          <cell r="AN36">
            <v>190.04019230769231</v>
          </cell>
          <cell r="AO36">
            <v>9882.09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13.843327814569538</v>
          </cell>
          <cell r="E37">
            <v>8361.3700000000008</v>
          </cell>
          <cell r="G37">
            <v>0</v>
          </cell>
          <cell r="H37">
            <v>0</v>
          </cell>
          <cell r="J37">
            <v>0</v>
          </cell>
          <cell r="K37">
            <v>0</v>
          </cell>
          <cell r="M37">
            <v>4.5619565217391305</v>
          </cell>
          <cell r="N37">
            <v>209.85</v>
          </cell>
          <cell r="P37">
            <v>2.3529411764705883</v>
          </cell>
          <cell r="Q37">
            <v>80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Y37">
            <v>1.0256410256410255</v>
          </cell>
          <cell r="Z37">
            <v>40</v>
          </cell>
          <cell r="AB37">
            <v>1.803921568627451</v>
          </cell>
          <cell r="AC37">
            <v>92</v>
          </cell>
          <cell r="AE37">
            <v>3.9803703703703701</v>
          </cell>
          <cell r="AF37">
            <v>214.94</v>
          </cell>
          <cell r="AH37">
            <v>9.4247457627118632</v>
          </cell>
          <cell r="AI37">
            <v>556.05999999999995</v>
          </cell>
          <cell r="AK37">
            <v>63.11022222222222</v>
          </cell>
          <cell r="AL37">
            <v>5679.92</v>
          </cell>
          <cell r="AN37">
            <v>28.626923076923074</v>
          </cell>
          <cell r="AO37">
            <v>1488.6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79.811440397350992</v>
          </cell>
          <cell r="E38">
            <v>48206.11</v>
          </cell>
          <cell r="G38">
            <v>59.264222222222216</v>
          </cell>
          <cell r="H38">
            <v>2666.89</v>
          </cell>
          <cell r="J38">
            <v>125.22541666666666</v>
          </cell>
          <cell r="K38">
            <v>3005.41</v>
          </cell>
          <cell r="M38">
            <v>48.714347826086957</v>
          </cell>
          <cell r="N38">
            <v>2240.86</v>
          </cell>
          <cell r="P38">
            <v>88.820000000000007</v>
          </cell>
          <cell r="Q38">
            <v>3019.88</v>
          </cell>
          <cell r="S38">
            <v>66.649056603773587</v>
          </cell>
          <cell r="T38">
            <v>3532.4</v>
          </cell>
          <cell r="V38">
            <v>70.21052631578948</v>
          </cell>
          <cell r="W38">
            <v>4002</v>
          </cell>
          <cell r="Y38">
            <v>118.0776923076923</v>
          </cell>
          <cell r="Z38">
            <v>4605.03</v>
          </cell>
          <cell r="AB38">
            <v>78.708235294117642</v>
          </cell>
          <cell r="AC38">
            <v>4014.12</v>
          </cell>
          <cell r="AE38">
            <v>80.21648148148148</v>
          </cell>
          <cell r="AF38">
            <v>4331.6899999999996</v>
          </cell>
          <cell r="AH38">
            <v>92.110169491525426</v>
          </cell>
          <cell r="AI38">
            <v>5434.5</v>
          </cell>
          <cell r="AK38">
            <v>83.834222222222223</v>
          </cell>
          <cell r="AL38">
            <v>7545.08</v>
          </cell>
          <cell r="AN38">
            <v>73.23557692307692</v>
          </cell>
          <cell r="AO38">
            <v>3808.25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100.76802980132439</v>
          </cell>
          <cell r="E39">
            <v>60863.889999999927</v>
          </cell>
          <cell r="G39">
            <v>7.4604444444444447</v>
          </cell>
          <cell r="H39">
            <v>335.72</v>
          </cell>
          <cell r="J39">
            <v>300.07</v>
          </cell>
          <cell r="K39">
            <v>7201.68</v>
          </cell>
          <cell r="M39">
            <v>87.100652173912835</v>
          </cell>
          <cell r="N39">
            <v>4006.6299999999901</v>
          </cell>
          <cell r="P39">
            <v>159.71529411764706</v>
          </cell>
          <cell r="Q39">
            <v>5430.32</v>
          </cell>
          <cell r="S39">
            <v>56.458679245282831</v>
          </cell>
          <cell r="T39">
            <v>2992.3099999999899</v>
          </cell>
          <cell r="V39">
            <v>122.48649122807016</v>
          </cell>
          <cell r="W39">
            <v>6981.73</v>
          </cell>
          <cell r="Y39">
            <v>154.58692307692283</v>
          </cell>
          <cell r="Z39">
            <v>6028.8899999999903</v>
          </cell>
          <cell r="AB39">
            <v>40.121960784313529</v>
          </cell>
          <cell r="AC39">
            <v>2046.21999999999</v>
          </cell>
          <cell r="AE39">
            <v>102.55351851851835</v>
          </cell>
          <cell r="AF39">
            <v>5537.8899999999903</v>
          </cell>
          <cell r="AH39">
            <v>155.86983050847456</v>
          </cell>
          <cell r="AI39">
            <v>9196.32</v>
          </cell>
          <cell r="AK39">
            <v>38.481888888888776</v>
          </cell>
          <cell r="AL39">
            <v>3463.3699999999899</v>
          </cell>
          <cell r="AN39">
            <v>146.97711538461519</v>
          </cell>
          <cell r="AO39">
            <v>7642.8099999999904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121.38026490066224</v>
          </cell>
          <cell r="E40">
            <v>73313.679999999993</v>
          </cell>
          <cell r="G40">
            <v>153.29866666666666</v>
          </cell>
          <cell r="H40">
            <v>6898.44</v>
          </cell>
          <cell r="J40">
            <v>187.08333333333334</v>
          </cell>
          <cell r="K40">
            <v>4490</v>
          </cell>
          <cell r="M40">
            <v>86.143043478260864</v>
          </cell>
          <cell r="N40">
            <v>3962.58</v>
          </cell>
          <cell r="P40">
            <v>54.914411764705882</v>
          </cell>
          <cell r="Q40">
            <v>1867.09</v>
          </cell>
          <cell r="S40">
            <v>110.78396226415094</v>
          </cell>
          <cell r="T40">
            <v>5871.55</v>
          </cell>
          <cell r="V40">
            <v>83.07263157894738</v>
          </cell>
          <cell r="W40">
            <v>4735.1400000000003</v>
          </cell>
          <cell r="Y40">
            <v>90.482564102564112</v>
          </cell>
          <cell r="Z40">
            <v>3528.82</v>
          </cell>
          <cell r="AB40">
            <v>0</v>
          </cell>
          <cell r="AC40">
            <v>0</v>
          </cell>
          <cell r="AE40">
            <v>95.057592592592584</v>
          </cell>
          <cell r="AF40">
            <v>5133.1099999999997</v>
          </cell>
          <cell r="AH40">
            <v>0</v>
          </cell>
          <cell r="AI40">
            <v>0</v>
          </cell>
          <cell r="AK40">
            <v>217.76155555555556</v>
          </cell>
          <cell r="AL40">
            <v>19598.54</v>
          </cell>
          <cell r="AN40">
            <v>331.31557692307695</v>
          </cell>
          <cell r="AO40">
            <v>17228.41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0.39333344670556103</v>
          </cell>
          <cell r="E44">
            <v>900887.16999999993</v>
          </cell>
          <cell r="F44" t="str">
            <v>% brut</v>
          </cell>
          <cell r="G44">
            <v>0.33527277607759731</v>
          </cell>
          <cell r="H44">
            <v>49061.850000000006</v>
          </cell>
          <cell r="I44" t="str">
            <v>% brut</v>
          </cell>
          <cell r="J44">
            <v>0.50653518353691229</v>
          </cell>
          <cell r="K44">
            <v>53244.77</v>
          </cell>
          <cell r="L44" t="str">
            <v>% brut</v>
          </cell>
          <cell r="M44">
            <v>0.37689090946523573</v>
          </cell>
          <cell r="N44">
            <v>74690.159999999989</v>
          </cell>
          <cell r="O44" t="str">
            <v>% brut</v>
          </cell>
          <cell r="P44">
            <v>0.44750386326204988</v>
          </cell>
          <cell r="Q44">
            <v>60912.229999999996</v>
          </cell>
          <cell r="R44" t="str">
            <v>% brut</v>
          </cell>
          <cell r="S44">
            <v>0.3822565450082287</v>
          </cell>
          <cell r="T44">
            <v>78809.13999999997</v>
          </cell>
          <cell r="U44" t="str">
            <v>% brut</v>
          </cell>
          <cell r="V44">
            <v>0.39759442550017393</v>
          </cell>
          <cell r="W44">
            <v>81672.009999999995</v>
          </cell>
          <cell r="X44" t="str">
            <v>% brut</v>
          </cell>
          <cell r="Y44">
            <v>0.4506673455569028</v>
          </cell>
          <cell r="Z44">
            <v>69498.52</v>
          </cell>
          <cell r="AA44" t="str">
            <v>% brut</v>
          </cell>
          <cell r="AB44">
            <v>0.36033489257684004</v>
          </cell>
          <cell r="AC44">
            <v>72792.919999999984</v>
          </cell>
          <cell r="AD44" t="str">
            <v>% brut</v>
          </cell>
          <cell r="AE44">
            <v>0.31993509165965622</v>
          </cell>
          <cell r="AF44">
            <v>63371.54</v>
          </cell>
          <cell r="AG44" t="str">
            <v>% brut</v>
          </cell>
          <cell r="AH44">
            <v>0.33639667368830989</v>
          </cell>
          <cell r="AI44">
            <v>82640.649999999994</v>
          </cell>
          <cell r="AJ44" t="str">
            <v>% brut</v>
          </cell>
          <cell r="AK44">
            <v>0.39462702330689187</v>
          </cell>
          <cell r="AL44">
            <v>122271.44999999998</v>
          </cell>
          <cell r="AM44" t="str">
            <v>% brut</v>
          </cell>
          <cell r="AN44">
            <v>0.50159591131520909</v>
          </cell>
          <cell r="AO44">
            <v>91921.93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161101.4</v>
          </cell>
          <cell r="H45">
            <v>13320.96</v>
          </cell>
          <cell r="K45">
            <v>9312.9599999999991</v>
          </cell>
          <cell r="N45">
            <v>13684.73</v>
          </cell>
          <cell r="Q45">
            <v>13295.96</v>
          </cell>
          <cell r="T45">
            <v>13546.32</v>
          </cell>
          <cell r="W45">
            <v>13776.33</v>
          </cell>
          <cell r="Z45">
            <v>17842.099999999999</v>
          </cell>
          <cell r="AC45">
            <v>14353.64</v>
          </cell>
          <cell r="AF45">
            <v>14161.33</v>
          </cell>
          <cell r="AI45">
            <v>11603.64</v>
          </cell>
          <cell r="AL45">
            <v>14903.64</v>
          </cell>
          <cell r="AO45">
            <v>11299.79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144740.67000000001</v>
          </cell>
          <cell r="H46">
            <v>11974.81</v>
          </cell>
          <cell r="K46">
            <v>12588.32</v>
          </cell>
          <cell r="N46">
            <v>13439.44</v>
          </cell>
          <cell r="Q46">
            <v>10544.06</v>
          </cell>
          <cell r="T46">
            <v>12202.83</v>
          </cell>
          <cell r="W46">
            <v>14509.06</v>
          </cell>
          <cell r="Z46">
            <v>9643.58</v>
          </cell>
          <cell r="AC46">
            <v>12006.55</v>
          </cell>
          <cell r="AF46">
            <v>16026.9</v>
          </cell>
          <cell r="AI46">
            <v>11332.89</v>
          </cell>
          <cell r="AL46">
            <v>8776.4699999999993</v>
          </cell>
          <cell r="AO46">
            <v>11695.76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115434.12000000002</v>
          </cell>
          <cell r="H47">
            <v>11519.26</v>
          </cell>
          <cell r="K47">
            <v>10464.68</v>
          </cell>
          <cell r="N47">
            <v>11841.01</v>
          </cell>
          <cell r="Q47">
            <v>12250.19</v>
          </cell>
          <cell r="T47">
            <v>14212.21</v>
          </cell>
          <cell r="W47">
            <v>13387.76</v>
          </cell>
          <cell r="Z47">
            <v>12343.13</v>
          </cell>
          <cell r="AC47">
            <v>11151.24</v>
          </cell>
          <cell r="AF47">
            <v>6488.86</v>
          </cell>
          <cell r="AI47">
            <v>3994.82</v>
          </cell>
          <cell r="AL47">
            <v>2988</v>
          </cell>
          <cell r="AO47">
            <v>4792.96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  <cell r="H48">
            <v>0</v>
          </cell>
          <cell r="K48">
            <v>0</v>
          </cell>
          <cell r="N48">
            <v>0</v>
          </cell>
          <cell r="Q48">
            <v>0</v>
          </cell>
          <cell r="T48">
            <v>0</v>
          </cell>
          <cell r="W48">
            <v>0</v>
          </cell>
          <cell r="Z48">
            <v>0</v>
          </cell>
          <cell r="AC48">
            <v>0</v>
          </cell>
          <cell r="AF48">
            <v>0</v>
          </cell>
          <cell r="AI48">
            <v>0</v>
          </cell>
          <cell r="AL48">
            <v>0</v>
          </cell>
          <cell r="AO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  <cell r="H49">
            <v>0</v>
          </cell>
          <cell r="K49">
            <v>0</v>
          </cell>
          <cell r="N49">
            <v>0</v>
          </cell>
          <cell r="Q49">
            <v>0</v>
          </cell>
          <cell r="T49">
            <v>0</v>
          </cell>
          <cell r="W49">
            <v>0</v>
          </cell>
          <cell r="Z49">
            <v>0</v>
          </cell>
          <cell r="AC49">
            <v>0</v>
          </cell>
          <cell r="AF49">
            <v>0</v>
          </cell>
          <cell r="AI49">
            <v>0</v>
          </cell>
          <cell r="AL49">
            <v>0</v>
          </cell>
          <cell r="AO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  <cell r="H50">
            <v>0</v>
          </cell>
          <cell r="K50">
            <v>0</v>
          </cell>
          <cell r="N50">
            <v>0</v>
          </cell>
          <cell r="Q50">
            <v>0</v>
          </cell>
          <cell r="T50">
            <v>0</v>
          </cell>
          <cell r="W50">
            <v>0</v>
          </cell>
          <cell r="Z50">
            <v>0</v>
          </cell>
          <cell r="AC50">
            <v>0</v>
          </cell>
          <cell r="AF50">
            <v>0</v>
          </cell>
          <cell r="AI50">
            <v>0</v>
          </cell>
          <cell r="AL50">
            <v>0</v>
          </cell>
          <cell r="AO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  <cell r="H51">
            <v>0</v>
          </cell>
          <cell r="K51">
            <v>0</v>
          </cell>
          <cell r="N51">
            <v>0</v>
          </cell>
          <cell r="Q51">
            <v>0</v>
          </cell>
          <cell r="T51">
            <v>0</v>
          </cell>
          <cell r="W51">
            <v>0</v>
          </cell>
          <cell r="Z51">
            <v>0</v>
          </cell>
          <cell r="AC51">
            <v>0</v>
          </cell>
          <cell r="AF51">
            <v>0</v>
          </cell>
          <cell r="AI51">
            <v>0</v>
          </cell>
          <cell r="AL51">
            <v>0</v>
          </cell>
          <cell r="AO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126459.04000000001</v>
          </cell>
          <cell r="H52">
            <v>18179.34</v>
          </cell>
          <cell r="K52">
            <v>9804.34</v>
          </cell>
          <cell r="N52">
            <v>6896.42</v>
          </cell>
          <cell r="Q52">
            <v>11060.27</v>
          </cell>
          <cell r="T52">
            <v>12615.57</v>
          </cell>
          <cell r="W52">
            <v>12929.12</v>
          </cell>
          <cell r="Z52">
            <v>10139.23</v>
          </cell>
          <cell r="AC52">
            <v>6780.38</v>
          </cell>
          <cell r="AF52">
            <v>10273.68</v>
          </cell>
          <cell r="AI52">
            <v>9419.91</v>
          </cell>
          <cell r="AL52">
            <v>8803.83</v>
          </cell>
          <cell r="AO52">
            <v>9556.9500000000007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156049.84999999998</v>
          </cell>
          <cell r="H53">
            <v>16049.06</v>
          </cell>
          <cell r="K53">
            <v>16298.39</v>
          </cell>
          <cell r="N53">
            <v>15375.15</v>
          </cell>
          <cell r="Q53">
            <v>16153.21</v>
          </cell>
          <cell r="T53">
            <v>12626.31</v>
          </cell>
          <cell r="W53">
            <v>12404.94</v>
          </cell>
          <cell r="Z53">
            <v>14378.55</v>
          </cell>
          <cell r="AC53">
            <v>10620.12</v>
          </cell>
          <cell r="AF53">
            <v>10461.01</v>
          </cell>
          <cell r="AI53">
            <v>8905.2099999999991</v>
          </cell>
          <cell r="AL53">
            <v>11365.4</v>
          </cell>
          <cell r="AO53">
            <v>11412.5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74708.680000000008</v>
          </cell>
          <cell r="H54">
            <v>6493.21</v>
          </cell>
          <cell r="K54">
            <v>5878.89</v>
          </cell>
          <cell r="N54">
            <v>5879.65</v>
          </cell>
          <cell r="Q54">
            <v>9403.86</v>
          </cell>
          <cell r="T54">
            <v>6414.78</v>
          </cell>
          <cell r="W54">
            <v>5591.61</v>
          </cell>
          <cell r="Z54">
            <v>7088.75</v>
          </cell>
          <cell r="AC54">
            <v>5958.04</v>
          </cell>
          <cell r="AF54">
            <v>6088.21</v>
          </cell>
          <cell r="AI54">
            <v>5383.41</v>
          </cell>
          <cell r="AL54">
            <v>6383.8099999999904</v>
          </cell>
          <cell r="AO54">
            <v>4144.46</v>
          </cell>
        </row>
        <row r="55">
          <cell r="A55" t="str">
            <v>Véhicules neufsCsst</v>
          </cell>
          <cell r="B55" t="str">
            <v>Csst</v>
          </cell>
          <cell r="E55">
            <v>24570.019999999997</v>
          </cell>
          <cell r="H55">
            <v>2475.7399999999998</v>
          </cell>
          <cell r="K55">
            <v>2534.25</v>
          </cell>
          <cell r="N55">
            <v>2462.5300000000002</v>
          </cell>
          <cell r="Q55">
            <v>2775.98</v>
          </cell>
          <cell r="T55">
            <v>2337.2399999999998</v>
          </cell>
          <cell r="W55">
            <v>3273.76</v>
          </cell>
          <cell r="Z55">
            <v>2311.3000000000002</v>
          </cell>
          <cell r="AC55">
            <v>1830.69</v>
          </cell>
          <cell r="AF55">
            <v>1526.89</v>
          </cell>
          <cell r="AI55">
            <v>686.07</v>
          </cell>
          <cell r="AL55">
            <v>1164.96</v>
          </cell>
          <cell r="AO55">
            <v>1190.6099999999999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0.35062309135981645</v>
          </cell>
          <cell r="E57">
            <v>803063.78000000014</v>
          </cell>
          <cell r="F57" t="str">
            <v>% brut</v>
          </cell>
          <cell r="G57">
            <v>0.54677866332345038</v>
          </cell>
          <cell r="H57">
            <v>80012.38</v>
          </cell>
          <cell r="I57" t="str">
            <v>% brut</v>
          </cell>
          <cell r="J57">
            <v>0.63626906519334336</v>
          </cell>
          <cell r="K57">
            <v>66881.83</v>
          </cell>
          <cell r="L57" t="str">
            <v>% brut</v>
          </cell>
          <cell r="M57">
            <v>0.35109934437572465</v>
          </cell>
          <cell r="N57">
            <v>69578.929999999993</v>
          </cell>
          <cell r="O57" t="str">
            <v>% brut</v>
          </cell>
          <cell r="P57">
            <v>0.55455482893430164</v>
          </cell>
          <cell r="Q57">
            <v>75483.529999999984</v>
          </cell>
          <cell r="R57" t="str">
            <v>% brut</v>
          </cell>
          <cell r="S57">
            <v>0.35871324281403488</v>
          </cell>
          <cell r="T57">
            <v>73955.260000000009</v>
          </cell>
          <cell r="U57" t="str">
            <v>% brut</v>
          </cell>
          <cell r="V57">
            <v>0.3693617293894933</v>
          </cell>
          <cell r="W57">
            <v>75872.58</v>
          </cell>
          <cell r="X57" t="str">
            <v>% brut</v>
          </cell>
          <cell r="Y57">
            <v>0.47821453597199631</v>
          </cell>
          <cell r="Z57">
            <v>73746.64</v>
          </cell>
          <cell r="AA57" t="str">
            <v>% brut</v>
          </cell>
          <cell r="AB57">
            <v>0.31037682765847252</v>
          </cell>
          <cell r="AC57">
            <v>62700.66</v>
          </cell>
          <cell r="AD57" t="str">
            <v>% brut</v>
          </cell>
          <cell r="AE57">
            <v>0.32829217679010902</v>
          </cell>
          <cell r="AF57">
            <v>65026.879999999997</v>
          </cell>
          <cell r="AG57" t="str">
            <v>% brut</v>
          </cell>
          <cell r="AH57">
            <v>0.20892719084243053</v>
          </cell>
          <cell r="AI57">
            <v>51325.94999999999</v>
          </cell>
          <cell r="AJ57" t="str">
            <v>% brut</v>
          </cell>
          <cell r="AK57">
            <v>0.17552935455121524</v>
          </cell>
          <cell r="AL57">
            <v>54386.109999999993</v>
          </cell>
          <cell r="AM57" t="str">
            <v>% brut</v>
          </cell>
          <cell r="AN57">
            <v>0.29517268271729008</v>
          </cell>
          <cell r="AO57">
            <v>54093.030000000006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81122.09</v>
          </cell>
          <cell r="H60">
            <v>9342.8700000000008</v>
          </cell>
          <cell r="K60">
            <v>7178.73</v>
          </cell>
          <cell r="N60">
            <v>5765.85</v>
          </cell>
          <cell r="Q60">
            <v>6050.54</v>
          </cell>
          <cell r="T60">
            <v>7607.19</v>
          </cell>
          <cell r="W60">
            <v>5916.23</v>
          </cell>
          <cell r="Z60">
            <v>7279.84</v>
          </cell>
          <cell r="AC60">
            <v>2665.34</v>
          </cell>
          <cell r="AF60">
            <v>5210.8500000000004</v>
          </cell>
          <cell r="AI60">
            <v>10080.58</v>
          </cell>
          <cell r="AL60">
            <v>7119.66</v>
          </cell>
          <cell r="AO60">
            <v>6904.41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84970.739999999991</v>
          </cell>
          <cell r="H61">
            <v>5818.91</v>
          </cell>
          <cell r="K61">
            <v>8139.24</v>
          </cell>
          <cell r="N61">
            <v>7063.11</v>
          </cell>
          <cell r="Q61">
            <v>6422.17</v>
          </cell>
          <cell r="T61">
            <v>9434.75</v>
          </cell>
          <cell r="W61">
            <v>7019.75</v>
          </cell>
          <cell r="Z61">
            <v>7196.92</v>
          </cell>
          <cell r="AC61">
            <v>6738.03</v>
          </cell>
          <cell r="AF61">
            <v>7114.48</v>
          </cell>
          <cell r="AI61">
            <v>6701.59</v>
          </cell>
          <cell r="AL61">
            <v>6760.11</v>
          </cell>
          <cell r="AO61">
            <v>6561.68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17989.309999999998</v>
          </cell>
          <cell r="H62">
            <v>738.56</v>
          </cell>
          <cell r="K62">
            <v>2412.6</v>
          </cell>
          <cell r="N62">
            <v>2012.95</v>
          </cell>
          <cell r="Q62">
            <v>925.52</v>
          </cell>
          <cell r="T62">
            <v>3463.39</v>
          </cell>
          <cell r="W62">
            <v>504.08</v>
          </cell>
          <cell r="Z62">
            <v>818.1</v>
          </cell>
          <cell r="AC62">
            <v>1465.98</v>
          </cell>
          <cell r="AF62">
            <v>1420.02</v>
          </cell>
          <cell r="AI62">
            <v>1507.17</v>
          </cell>
          <cell r="AL62">
            <v>1646.26</v>
          </cell>
          <cell r="AO62">
            <v>1074.68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81747.97</v>
          </cell>
          <cell r="H63">
            <v>7190.38</v>
          </cell>
          <cell r="K63">
            <v>8043.06</v>
          </cell>
          <cell r="N63">
            <v>5970.74</v>
          </cell>
          <cell r="Q63">
            <v>5703.27</v>
          </cell>
          <cell r="T63">
            <v>6186.31</v>
          </cell>
          <cell r="W63">
            <v>6175.67</v>
          </cell>
          <cell r="Z63">
            <v>5967.65</v>
          </cell>
          <cell r="AC63">
            <v>6269.32</v>
          </cell>
          <cell r="AF63">
            <v>6350.63</v>
          </cell>
          <cell r="AI63">
            <v>8041.2</v>
          </cell>
          <cell r="AL63">
            <v>8387.93</v>
          </cell>
          <cell r="AO63">
            <v>7461.81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471.47999999999996</v>
          </cell>
          <cell r="H64">
            <v>0</v>
          </cell>
          <cell r="K64">
            <v>0</v>
          </cell>
          <cell r="N64">
            <v>8.23</v>
          </cell>
          <cell r="Q64">
            <v>0</v>
          </cell>
          <cell r="T64">
            <v>0</v>
          </cell>
          <cell r="W64">
            <v>0</v>
          </cell>
          <cell r="Z64">
            <v>0</v>
          </cell>
          <cell r="AC64">
            <v>0</v>
          </cell>
          <cell r="AF64">
            <v>141.18</v>
          </cell>
          <cell r="AI64">
            <v>0</v>
          </cell>
          <cell r="AL64">
            <v>250.25</v>
          </cell>
          <cell r="AO64">
            <v>71.819999999999993</v>
          </cell>
        </row>
        <row r="65">
          <cell r="A65" t="str">
            <v>Véhicules neufsUniformes</v>
          </cell>
          <cell r="B65" t="str">
            <v>Uniformes</v>
          </cell>
          <cell r="E65">
            <v>0</v>
          </cell>
          <cell r="H65">
            <v>0</v>
          </cell>
          <cell r="K65">
            <v>0</v>
          </cell>
          <cell r="N65">
            <v>0</v>
          </cell>
          <cell r="Q65">
            <v>0</v>
          </cell>
          <cell r="T65">
            <v>0</v>
          </cell>
          <cell r="W65">
            <v>0</v>
          </cell>
          <cell r="Z65">
            <v>0</v>
          </cell>
          <cell r="AC65">
            <v>0</v>
          </cell>
          <cell r="AF65">
            <v>0</v>
          </cell>
          <cell r="AI65">
            <v>0</v>
          </cell>
          <cell r="AL65">
            <v>0</v>
          </cell>
          <cell r="AO65">
            <v>0</v>
          </cell>
        </row>
        <row r="66">
          <cell r="A66" t="str">
            <v>Véhicules neufsPapeterie</v>
          </cell>
          <cell r="B66" t="str">
            <v>Papeterie</v>
          </cell>
          <cell r="E66">
            <v>10026.720000000001</v>
          </cell>
          <cell r="H66">
            <v>387.75</v>
          </cell>
          <cell r="K66">
            <v>522.87</v>
          </cell>
          <cell r="N66">
            <v>1420.85</v>
          </cell>
          <cell r="Q66">
            <v>783.41</v>
          </cell>
          <cell r="T66">
            <v>536.74</v>
          </cell>
          <cell r="W66">
            <v>605.80999999999995</v>
          </cell>
          <cell r="Z66">
            <v>479.83</v>
          </cell>
          <cell r="AC66">
            <v>1114.19</v>
          </cell>
          <cell r="AF66">
            <v>751.79</v>
          </cell>
          <cell r="AI66">
            <v>281.8</v>
          </cell>
          <cell r="AL66">
            <v>2065.7600000000002</v>
          </cell>
          <cell r="AO66">
            <v>1075.92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3799.73</v>
          </cell>
          <cell r="H67">
            <v>346.5</v>
          </cell>
          <cell r="K67">
            <v>354.25</v>
          </cell>
          <cell r="N67">
            <v>268.57</v>
          </cell>
          <cell r="Q67">
            <v>233.07</v>
          </cell>
          <cell r="T67">
            <v>338.47</v>
          </cell>
          <cell r="W67">
            <v>232.9</v>
          </cell>
          <cell r="Z67">
            <v>233.9</v>
          </cell>
          <cell r="AC67">
            <v>597.5</v>
          </cell>
          <cell r="AF67">
            <v>294.13</v>
          </cell>
          <cell r="AI67">
            <v>303.89</v>
          </cell>
          <cell r="AL67">
            <v>280.55</v>
          </cell>
          <cell r="AO67">
            <v>316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1622.4400000000003</v>
          </cell>
          <cell r="H68">
            <v>102.26</v>
          </cell>
          <cell r="K68">
            <v>88.51</v>
          </cell>
          <cell r="N68">
            <v>84.98</v>
          </cell>
          <cell r="Q68">
            <v>129.09</v>
          </cell>
          <cell r="T68">
            <v>115.6</v>
          </cell>
          <cell r="W68">
            <v>81.84</v>
          </cell>
          <cell r="Z68">
            <v>130.12</v>
          </cell>
          <cell r="AC68">
            <v>103.55</v>
          </cell>
          <cell r="AF68">
            <v>133.46</v>
          </cell>
          <cell r="AI68">
            <v>252.96</v>
          </cell>
          <cell r="AL68">
            <v>169.87</v>
          </cell>
          <cell r="AO68">
            <v>230.2</v>
          </cell>
        </row>
        <row r="69">
          <cell r="A69" t="str">
            <v>Véhicules neufsDivers</v>
          </cell>
          <cell r="B69" t="str">
            <v>Divers</v>
          </cell>
          <cell r="E69">
            <v>1959.2599999999998</v>
          </cell>
          <cell r="H69">
            <v>567.02</v>
          </cell>
          <cell r="K69">
            <v>283.39</v>
          </cell>
          <cell r="N69">
            <v>66.3</v>
          </cell>
          <cell r="Q69">
            <v>116.88</v>
          </cell>
          <cell r="T69">
            <v>78.52</v>
          </cell>
          <cell r="W69">
            <v>111.34</v>
          </cell>
          <cell r="Z69">
            <v>106.21</v>
          </cell>
          <cell r="AC69">
            <v>112.7</v>
          </cell>
          <cell r="AF69">
            <v>199.88</v>
          </cell>
          <cell r="AI69">
            <v>120</v>
          </cell>
          <cell r="AL69">
            <v>102.8</v>
          </cell>
          <cell r="AO69">
            <v>94.22</v>
          </cell>
        </row>
        <row r="70">
          <cell r="A70" t="str">
            <v>Véhicules neufsFormation</v>
          </cell>
          <cell r="B70" t="str">
            <v>Formation</v>
          </cell>
          <cell r="E70">
            <v>21671.25</v>
          </cell>
          <cell r="H70">
            <v>700.25</v>
          </cell>
          <cell r="K70">
            <v>2862.04</v>
          </cell>
          <cell r="N70">
            <v>6662.96</v>
          </cell>
          <cell r="Q70">
            <v>2687.5</v>
          </cell>
          <cell r="T70">
            <v>783.47</v>
          </cell>
          <cell r="W70">
            <v>487.93</v>
          </cell>
          <cell r="Z70">
            <v>177.08</v>
          </cell>
          <cell r="AC70">
            <v>832.06</v>
          </cell>
          <cell r="AF70">
            <v>1644.02</v>
          </cell>
          <cell r="AI70">
            <v>2106.41</v>
          </cell>
          <cell r="AL70">
            <v>2190.54</v>
          </cell>
          <cell r="AO70">
            <v>536.99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42299.27</v>
          </cell>
          <cell r="H71">
            <v>3141.73</v>
          </cell>
          <cell r="K71">
            <v>2483.42</v>
          </cell>
          <cell r="N71">
            <v>357.08</v>
          </cell>
          <cell r="Q71">
            <v>3025.62</v>
          </cell>
          <cell r="T71">
            <v>7746.73</v>
          </cell>
          <cell r="W71">
            <v>3537.15</v>
          </cell>
          <cell r="Z71">
            <v>3406.43</v>
          </cell>
          <cell r="AC71">
            <v>2659.84</v>
          </cell>
          <cell r="AF71">
            <v>3603.56</v>
          </cell>
          <cell r="AI71">
            <v>4006.58</v>
          </cell>
          <cell r="AL71">
            <v>5124.82</v>
          </cell>
          <cell r="AO71">
            <v>3206.31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0.15179955889180394</v>
          </cell>
          <cell r="E75">
            <v>347680.25999999995</v>
          </cell>
          <cell r="F75" t="str">
            <v>% brut</v>
          </cell>
          <cell r="G75">
            <v>0.193640608653634</v>
          </cell>
          <cell r="H75">
            <v>28336.23</v>
          </cell>
          <cell r="I75" t="str">
            <v>% brut</v>
          </cell>
          <cell r="J75">
            <v>0.30792858227377018</v>
          </cell>
          <cell r="K75">
            <v>32368.11</v>
          </cell>
          <cell r="L75" t="str">
            <v>% brut</v>
          </cell>
          <cell r="M75">
            <v>0.14977518800604434</v>
          </cell>
          <cell r="N75">
            <v>29681.62</v>
          </cell>
          <cell r="O75" t="str">
            <v>% brut</v>
          </cell>
          <cell r="P75">
            <v>0.19158040294297063</v>
          </cell>
          <cell r="Q75">
            <v>26077.07</v>
          </cell>
          <cell r="R75" t="str">
            <v>% brut</v>
          </cell>
          <cell r="S75">
            <v>0.17602700979234495</v>
          </cell>
          <cell r="T75">
            <v>36291.17</v>
          </cell>
          <cell r="U75" t="str">
            <v>% brut</v>
          </cell>
          <cell r="V75">
            <v>0.12011125943928826</v>
          </cell>
          <cell r="W75">
            <v>24672.700000000004</v>
          </cell>
          <cell r="X75" t="str">
            <v>% brut</v>
          </cell>
          <cell r="Y75">
            <v>0.16727623695257843</v>
          </cell>
          <cell r="Z75">
            <v>25796.080000000005</v>
          </cell>
          <cell r="AA75" t="str">
            <v>% brut</v>
          </cell>
          <cell r="AB75">
            <v>0.11166770446279078</v>
          </cell>
          <cell r="AC75">
            <v>22558.51</v>
          </cell>
          <cell r="AD75" t="str">
            <v>% brut</v>
          </cell>
          <cell r="AE75">
            <v>0.13562454537707316</v>
          </cell>
          <cell r="AF75">
            <v>26864.000000000004</v>
          </cell>
          <cell r="AG75" t="str">
            <v>% brut</v>
          </cell>
          <cell r="AH75">
            <v>0.13596676993632298</v>
          </cell>
          <cell r="AI75">
            <v>33402.179999999993</v>
          </cell>
          <cell r="AJ75" t="str">
            <v>% brut</v>
          </cell>
          <cell r="AK75">
            <v>0.11005193187437641</v>
          </cell>
          <cell r="AL75">
            <v>34098.550000000003</v>
          </cell>
          <cell r="AM75" t="str">
            <v>% brut</v>
          </cell>
          <cell r="AN75">
            <v>0.15024664828065973</v>
          </cell>
          <cell r="AO75">
            <v>27534.040000000005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0.8957560969571815</v>
          </cell>
          <cell r="E77">
            <v>2051631.2100000002</v>
          </cell>
          <cell r="F77" t="str">
            <v>% brut</v>
          </cell>
          <cell r="G77">
            <v>1.0756920480546817</v>
          </cell>
          <cell r="H77">
            <v>157410.46000000002</v>
          </cell>
          <cell r="I77" t="str">
            <v>% brut</v>
          </cell>
          <cell r="J77">
            <v>1.4507328310040262</v>
          </cell>
          <cell r="K77">
            <v>152494.71000000002</v>
          </cell>
          <cell r="L77" t="str">
            <v>% brut</v>
          </cell>
          <cell r="M77">
            <v>0.87776544184700467</v>
          </cell>
          <cell r="N77">
            <v>173950.70999999996</v>
          </cell>
          <cell r="O77" t="str">
            <v>% brut</v>
          </cell>
          <cell r="P77">
            <v>1.1936390951393223</v>
          </cell>
          <cell r="Q77">
            <v>162472.82999999999</v>
          </cell>
          <cell r="R77" t="str">
            <v>% brut</v>
          </cell>
          <cell r="S77">
            <v>0.91699679761460839</v>
          </cell>
          <cell r="T77">
            <v>189055.56999999995</v>
          </cell>
          <cell r="U77" t="str">
            <v>% brut</v>
          </cell>
          <cell r="V77">
            <v>0.88706741432895553</v>
          </cell>
          <cell r="W77">
            <v>182217.29</v>
          </cell>
          <cell r="X77" t="str">
            <v>% brut</v>
          </cell>
          <cell r="Y77">
            <v>1.0961581184814777</v>
          </cell>
          <cell r="Z77">
            <v>169041.24000000002</v>
          </cell>
          <cell r="AA77" t="str">
            <v>% brut</v>
          </cell>
          <cell r="AB77">
            <v>0.7823794246981034</v>
          </cell>
          <cell r="AC77">
            <v>158052.09</v>
          </cell>
          <cell r="AD77" t="str">
            <v>% brut</v>
          </cell>
          <cell r="AE77">
            <v>0.78385181382683844</v>
          </cell>
          <cell r="AF77">
            <v>155262.42000000001</v>
          </cell>
          <cell r="AG77" t="str">
            <v>% brut</v>
          </cell>
          <cell r="AH77">
            <v>0.68129063446706328</v>
          </cell>
          <cell r="AI77">
            <v>167368.77999999997</v>
          </cell>
          <cell r="AJ77" t="str">
            <v>% brut</v>
          </cell>
          <cell r="AK77">
            <v>0.68020830973248358</v>
          </cell>
          <cell r="AL77">
            <v>210756.11</v>
          </cell>
          <cell r="AM77" t="str">
            <v>% brut</v>
          </cell>
          <cell r="AN77">
            <v>0.94701524231315892</v>
          </cell>
          <cell r="AO77">
            <v>173549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31556</v>
          </cell>
          <cell r="H78">
            <v>0</v>
          </cell>
          <cell r="K78">
            <v>0</v>
          </cell>
          <cell r="N78">
            <v>0</v>
          </cell>
          <cell r="Q78">
            <v>0</v>
          </cell>
          <cell r="T78">
            <v>0</v>
          </cell>
          <cell r="W78">
            <v>0</v>
          </cell>
          <cell r="Z78">
            <v>0</v>
          </cell>
          <cell r="AC78">
            <v>0</v>
          </cell>
          <cell r="AF78">
            <v>0</v>
          </cell>
          <cell r="AI78">
            <v>0</v>
          </cell>
          <cell r="AL78">
            <v>0</v>
          </cell>
          <cell r="AO78">
            <v>31556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  <cell r="H79">
            <v>0</v>
          </cell>
          <cell r="K79">
            <v>0</v>
          </cell>
          <cell r="N79">
            <v>0</v>
          </cell>
          <cell r="Q79">
            <v>0</v>
          </cell>
          <cell r="T79">
            <v>0</v>
          </cell>
          <cell r="W79">
            <v>0</v>
          </cell>
          <cell r="Z79">
            <v>0</v>
          </cell>
          <cell r="AC79">
            <v>0</v>
          </cell>
          <cell r="AF79">
            <v>0</v>
          </cell>
          <cell r="AI79">
            <v>0</v>
          </cell>
          <cell r="AL79">
            <v>0</v>
          </cell>
          <cell r="AO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  <cell r="H80">
            <v>0</v>
          </cell>
          <cell r="K80">
            <v>0</v>
          </cell>
          <cell r="N80">
            <v>0</v>
          </cell>
          <cell r="Q80">
            <v>0</v>
          </cell>
          <cell r="T80">
            <v>0</v>
          </cell>
          <cell r="W80">
            <v>0</v>
          </cell>
          <cell r="Z80">
            <v>0</v>
          </cell>
          <cell r="AC80">
            <v>0</v>
          </cell>
          <cell r="AF80">
            <v>0</v>
          </cell>
          <cell r="AI80">
            <v>0</v>
          </cell>
          <cell r="AL80">
            <v>0</v>
          </cell>
          <cell r="AO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679516.07</v>
          </cell>
          <cell r="H81">
            <v>49875</v>
          </cell>
          <cell r="K81">
            <v>15765</v>
          </cell>
          <cell r="N81">
            <v>49529.35</v>
          </cell>
          <cell r="Q81">
            <v>39086.080000000002</v>
          </cell>
          <cell r="T81">
            <v>67424.75</v>
          </cell>
          <cell r="W81">
            <v>63469.55</v>
          </cell>
          <cell r="Z81">
            <v>42698.55</v>
          </cell>
          <cell r="AC81">
            <v>59882.85</v>
          </cell>
          <cell r="AF81">
            <v>58938</v>
          </cell>
          <cell r="AI81">
            <v>77258.09</v>
          </cell>
          <cell r="AL81">
            <v>100428</v>
          </cell>
          <cell r="AO81">
            <v>55160.85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  <cell r="H82">
            <v>0</v>
          </cell>
          <cell r="K82">
            <v>0</v>
          </cell>
          <cell r="N82">
            <v>0</v>
          </cell>
          <cell r="Q82">
            <v>0</v>
          </cell>
          <cell r="T82">
            <v>0</v>
          </cell>
          <cell r="W82">
            <v>0</v>
          </cell>
          <cell r="Z82">
            <v>0</v>
          </cell>
          <cell r="AC82">
            <v>0</v>
          </cell>
          <cell r="AF82">
            <v>0</v>
          </cell>
          <cell r="AI82">
            <v>0</v>
          </cell>
          <cell r="AL82">
            <v>0</v>
          </cell>
          <cell r="AO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  <cell r="H83">
            <v>0</v>
          </cell>
          <cell r="K83">
            <v>0</v>
          </cell>
          <cell r="N83">
            <v>0</v>
          </cell>
          <cell r="Q83">
            <v>0</v>
          </cell>
          <cell r="T83">
            <v>0</v>
          </cell>
          <cell r="W83">
            <v>0</v>
          </cell>
          <cell r="Z83">
            <v>0</v>
          </cell>
          <cell r="AC83">
            <v>0</v>
          </cell>
          <cell r="AF83">
            <v>0</v>
          </cell>
          <cell r="AI83">
            <v>0</v>
          </cell>
          <cell r="AL83">
            <v>0</v>
          </cell>
          <cell r="AO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  <cell r="H84">
            <v>0</v>
          </cell>
          <cell r="K84">
            <v>0</v>
          </cell>
          <cell r="N84">
            <v>0</v>
          </cell>
          <cell r="Q84">
            <v>0</v>
          </cell>
          <cell r="T84">
            <v>0</v>
          </cell>
          <cell r="W84">
            <v>0</v>
          </cell>
          <cell r="Z84">
            <v>0</v>
          </cell>
          <cell r="AC84">
            <v>0</v>
          </cell>
          <cell r="AF84">
            <v>0</v>
          </cell>
          <cell r="AI84">
            <v>0</v>
          </cell>
          <cell r="AL84">
            <v>0</v>
          </cell>
          <cell r="AO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271044.90000000002</v>
          </cell>
          <cell r="H85">
            <v>17432</v>
          </cell>
          <cell r="K85">
            <v>9307</v>
          </cell>
          <cell r="N85">
            <v>16474</v>
          </cell>
          <cell r="Q85">
            <v>12599</v>
          </cell>
          <cell r="T85">
            <v>23301</v>
          </cell>
          <cell r="W85">
            <v>26386</v>
          </cell>
          <cell r="Z85">
            <v>19446</v>
          </cell>
          <cell r="AC85">
            <v>26922</v>
          </cell>
          <cell r="AF85">
            <v>25665</v>
          </cell>
          <cell r="AI85">
            <v>29179</v>
          </cell>
          <cell r="AL85">
            <v>41872.9</v>
          </cell>
          <cell r="AO85">
            <v>22461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982116.97</v>
          </cell>
          <cell r="H86">
            <v>67307</v>
          </cell>
          <cell r="K86">
            <v>25072</v>
          </cell>
          <cell r="N86">
            <v>66003.350000000006</v>
          </cell>
          <cell r="Q86">
            <v>51685.08</v>
          </cell>
          <cell r="T86">
            <v>90725.75</v>
          </cell>
          <cell r="W86">
            <v>89855.55</v>
          </cell>
          <cell r="Z86">
            <v>62144.55</v>
          </cell>
          <cell r="AC86">
            <v>86804.85</v>
          </cell>
          <cell r="AF86">
            <v>84603</v>
          </cell>
          <cell r="AI86">
            <v>106437.09</v>
          </cell>
          <cell r="AL86">
            <v>142300.9</v>
          </cell>
          <cell r="AO86">
            <v>109177.85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1220876.2099999972</v>
          </cell>
          <cell r="H88">
            <v>56230.669999999955</v>
          </cell>
          <cell r="K88">
            <v>-22307.070000000036</v>
          </cell>
          <cell r="N88">
            <v>90227.119999999559</v>
          </cell>
          <cell r="Q88">
            <v>25327.789999999819</v>
          </cell>
          <cell r="T88">
            <v>107838.36999999985</v>
          </cell>
          <cell r="W88">
            <v>113053.64000000017</v>
          </cell>
          <cell r="Z88">
            <v>47315.769999999888</v>
          </cell>
          <cell r="AC88">
            <v>130767.38999999972</v>
          </cell>
          <cell r="AF88">
            <v>127416.81999999977</v>
          </cell>
          <cell r="AI88">
            <v>184732.59999999905</v>
          </cell>
          <cell r="AL88">
            <v>241385.33000000005</v>
          </cell>
          <cell r="AO88">
            <v>118887.77999999977</v>
          </cell>
        </row>
        <row r="92">
          <cell r="B92" t="str">
            <v>Réel 2023</v>
          </cell>
          <cell r="C92" t="str">
            <v>Véhicules usagés</v>
          </cell>
        </row>
        <row r="94">
          <cell r="B94" t="str">
            <v>Mois</v>
          </cell>
          <cell r="C94">
            <v>2023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16855455.29999996</v>
          </cell>
          <cell r="H96">
            <v>1296133.08</v>
          </cell>
          <cell r="K96">
            <v>1497630.22</v>
          </cell>
          <cell r="N96">
            <v>1620696.5999999901</v>
          </cell>
          <cell r="Q96">
            <v>738971.179999999</v>
          </cell>
          <cell r="T96">
            <v>1554686.55</v>
          </cell>
          <cell r="W96">
            <v>1977586.1099999901</v>
          </cell>
          <cell r="Z96">
            <v>1727866.74999999</v>
          </cell>
          <cell r="AC96">
            <v>1894182.16</v>
          </cell>
          <cell r="AF96">
            <v>1244144.26</v>
          </cell>
          <cell r="AI96">
            <v>1412113.8299999901</v>
          </cell>
          <cell r="AL96">
            <v>1111062.75</v>
          </cell>
          <cell r="AO96">
            <v>780381.81</v>
          </cell>
        </row>
        <row r="97">
          <cell r="A97" t="str">
            <v>Véhicules usagésCertifié</v>
          </cell>
          <cell r="B97" t="str">
            <v>Certifié</v>
          </cell>
          <cell r="C97">
            <v>277</v>
          </cell>
          <cell r="D97">
            <v>1593.4981227436801</v>
          </cell>
          <cell r="E97">
            <v>441398.9799999994</v>
          </cell>
          <cell r="F97">
            <v>24</v>
          </cell>
          <cell r="G97">
            <v>1385.6670833333292</v>
          </cell>
          <cell r="H97">
            <v>33256.0099999999</v>
          </cell>
          <cell r="I97">
            <v>25</v>
          </cell>
          <cell r="J97">
            <v>1372.090399999996</v>
          </cell>
          <cell r="K97">
            <v>34302.2599999999</v>
          </cell>
          <cell r="L97">
            <v>34</v>
          </cell>
          <cell r="M97">
            <v>1614.0461764705851</v>
          </cell>
          <cell r="N97">
            <v>54877.569999999898</v>
          </cell>
          <cell r="O97">
            <v>15</v>
          </cell>
          <cell r="P97">
            <v>1983.7439999999935</v>
          </cell>
          <cell r="Q97">
            <v>29756.159999999902</v>
          </cell>
          <cell r="R97">
            <v>15</v>
          </cell>
          <cell r="S97">
            <v>1755.5306666666665</v>
          </cell>
          <cell r="T97">
            <v>26332.959999999999</v>
          </cell>
          <cell r="U97">
            <v>18</v>
          </cell>
          <cell r="V97">
            <v>2437.2944444444447</v>
          </cell>
          <cell r="W97">
            <v>43871.3</v>
          </cell>
          <cell r="X97">
            <v>32</v>
          </cell>
          <cell r="Y97">
            <v>1795.72</v>
          </cell>
          <cell r="Z97">
            <v>57463.040000000001</v>
          </cell>
          <cell r="AA97">
            <v>35</v>
          </cell>
          <cell r="AB97">
            <v>878.82857142856858</v>
          </cell>
          <cell r="AC97">
            <v>30758.999999999902</v>
          </cell>
          <cell r="AD97">
            <v>29</v>
          </cell>
          <cell r="AE97">
            <v>1929.9779310344827</v>
          </cell>
          <cell r="AF97">
            <v>55969.36</v>
          </cell>
          <cell r="AG97">
            <v>21</v>
          </cell>
          <cell r="AH97">
            <v>1924.4195238095238</v>
          </cell>
          <cell r="AI97">
            <v>40412.81</v>
          </cell>
          <cell r="AJ97">
            <v>16</v>
          </cell>
          <cell r="AK97">
            <v>1359.5374999999999</v>
          </cell>
          <cell r="AL97">
            <v>21752.6</v>
          </cell>
          <cell r="AM97">
            <v>13</v>
          </cell>
          <cell r="AN97">
            <v>972.76230769230767</v>
          </cell>
          <cell r="AO97">
            <v>12645.91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49</v>
          </cell>
          <cell r="D98">
            <v>1832.4291836734628</v>
          </cell>
          <cell r="E98">
            <v>89789.029999999679</v>
          </cell>
          <cell r="F98">
            <v>2</v>
          </cell>
          <cell r="G98">
            <v>-934.86499999999501</v>
          </cell>
          <cell r="H98">
            <v>-1869.72999999999</v>
          </cell>
          <cell r="I98">
            <v>1</v>
          </cell>
          <cell r="J98">
            <v>-2595.5</v>
          </cell>
          <cell r="K98">
            <v>-2595.5</v>
          </cell>
          <cell r="L98">
            <v>1</v>
          </cell>
          <cell r="M98">
            <v>951</v>
          </cell>
          <cell r="N98">
            <v>951</v>
          </cell>
          <cell r="O98">
            <v>5</v>
          </cell>
          <cell r="P98">
            <v>2587.1639999999798</v>
          </cell>
          <cell r="Q98">
            <v>12935.8199999999</v>
          </cell>
          <cell r="R98">
            <v>10</v>
          </cell>
          <cell r="S98">
            <v>2407.5810000000001</v>
          </cell>
          <cell r="T98">
            <v>24075.81</v>
          </cell>
          <cell r="U98">
            <v>7</v>
          </cell>
          <cell r="V98">
            <v>1925.8071428571286</v>
          </cell>
          <cell r="W98">
            <v>13480.6499999999</v>
          </cell>
          <cell r="X98">
            <v>4</v>
          </cell>
          <cell r="Y98">
            <v>1612.4724999999976</v>
          </cell>
          <cell r="Z98">
            <v>6449.8899999999903</v>
          </cell>
          <cell r="AA98">
            <v>1</v>
          </cell>
          <cell r="AB98">
            <v>3601.1</v>
          </cell>
          <cell r="AC98">
            <v>3601.1</v>
          </cell>
          <cell r="AD98">
            <v>4</v>
          </cell>
          <cell r="AE98">
            <v>2172.4674999999975</v>
          </cell>
          <cell r="AF98">
            <v>8689.8699999999899</v>
          </cell>
          <cell r="AG98">
            <v>5</v>
          </cell>
          <cell r="AH98">
            <v>2390.0219999999799</v>
          </cell>
          <cell r="AI98">
            <v>11950.109999999901</v>
          </cell>
          <cell r="AJ98">
            <v>4</v>
          </cell>
          <cell r="AK98">
            <v>817.01750000000004</v>
          </cell>
          <cell r="AL98">
            <v>3268.07</v>
          </cell>
          <cell r="AM98">
            <v>5</v>
          </cell>
          <cell r="AN98">
            <v>1770.3879999999979</v>
          </cell>
          <cell r="AO98">
            <v>8851.9399999999896</v>
          </cell>
        </row>
        <row r="99">
          <cell r="A99" t="str">
            <v>Véhicules usagésAutres Marques</v>
          </cell>
          <cell r="B99" t="str">
            <v>Autres Marques</v>
          </cell>
        </row>
        <row r="100">
          <cell r="A100" t="str">
            <v>Véhicules usagésTotal Usagés</v>
          </cell>
          <cell r="B100" t="str">
            <v>Total Usagés</v>
          </cell>
          <cell r="C100">
            <v>326</v>
          </cell>
          <cell r="D100">
            <v>1629.4110736196292</v>
          </cell>
          <cell r="E100">
            <v>531188.00999999908</v>
          </cell>
          <cell r="F100">
            <v>26</v>
          </cell>
          <cell r="G100">
            <v>1207.164615384612</v>
          </cell>
          <cell r="H100">
            <v>31386.279999999912</v>
          </cell>
          <cell r="I100">
            <v>26</v>
          </cell>
          <cell r="J100">
            <v>1219.4907692307654</v>
          </cell>
          <cell r="K100">
            <v>31706.7599999999</v>
          </cell>
          <cell r="L100">
            <v>35</v>
          </cell>
          <cell r="M100">
            <v>1595.1019999999971</v>
          </cell>
          <cell r="N100">
            <v>55828.569999999898</v>
          </cell>
          <cell r="O100">
            <v>20</v>
          </cell>
          <cell r="P100">
            <v>2134.5989999999902</v>
          </cell>
          <cell r="Q100">
            <v>42691.979999999799</v>
          </cell>
          <cell r="R100">
            <v>25</v>
          </cell>
          <cell r="S100">
            <v>2016.3508000000002</v>
          </cell>
          <cell r="T100">
            <v>50408.770000000004</v>
          </cell>
          <cell r="U100">
            <v>25</v>
          </cell>
          <cell r="V100">
            <v>2294.0779999999959</v>
          </cell>
          <cell r="W100">
            <v>57351.949999999903</v>
          </cell>
          <cell r="X100">
            <v>36</v>
          </cell>
          <cell r="Y100">
            <v>1775.3591666666664</v>
          </cell>
          <cell r="Z100">
            <v>63912.929999999993</v>
          </cell>
          <cell r="AA100">
            <v>36</v>
          </cell>
          <cell r="AB100">
            <v>954.44722222221958</v>
          </cell>
          <cell r="AC100">
            <v>34360.099999999904</v>
          </cell>
          <cell r="AD100">
            <v>33</v>
          </cell>
          <cell r="AE100">
            <v>1959.3706060606057</v>
          </cell>
          <cell r="AF100">
            <v>64659.229999999989</v>
          </cell>
          <cell r="AG100">
            <v>26</v>
          </cell>
          <cell r="AH100">
            <v>2013.9584615384576</v>
          </cell>
          <cell r="AI100">
            <v>52362.919999999896</v>
          </cell>
          <cell r="AJ100">
            <v>20</v>
          </cell>
          <cell r="AK100">
            <v>1251.0335</v>
          </cell>
          <cell r="AL100">
            <v>25020.67</v>
          </cell>
          <cell r="AM100">
            <v>18</v>
          </cell>
          <cell r="AN100">
            <v>1194.3249999999996</v>
          </cell>
          <cell r="AO100">
            <v>21497.849999999991</v>
          </cell>
        </row>
        <row r="101">
          <cell r="A101" t="str">
            <v>Véhicules usagés</v>
          </cell>
        </row>
        <row r="102">
          <cell r="A102" t="str">
            <v>Véhicules usagés</v>
          </cell>
          <cell r="F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F102">
            <v>0</v>
          </cell>
          <cell r="AG102">
            <v>0</v>
          </cell>
          <cell r="AI102">
            <v>0</v>
          </cell>
          <cell r="AJ102">
            <v>0</v>
          </cell>
          <cell r="AL102">
            <v>0</v>
          </cell>
          <cell r="AM102">
            <v>0</v>
          </cell>
          <cell r="AO102">
            <v>0</v>
          </cell>
        </row>
        <row r="103">
          <cell r="A103" t="str">
            <v>Véhicules usagésVentes au Gros</v>
          </cell>
          <cell r="B103" t="str">
            <v>Ventes au Gros</v>
          </cell>
          <cell r="C103">
            <v>388</v>
          </cell>
          <cell r="D103">
            <v>407.72474226804064</v>
          </cell>
          <cell r="E103">
            <v>158197.19999999978</v>
          </cell>
          <cell r="F103">
            <v>34</v>
          </cell>
          <cell r="G103">
            <v>996.86470588235295</v>
          </cell>
          <cell r="H103">
            <v>33893.4</v>
          </cell>
          <cell r="I103">
            <v>30</v>
          </cell>
          <cell r="J103">
            <v>494.24499999999665</v>
          </cell>
          <cell r="K103">
            <v>14827.3499999999</v>
          </cell>
          <cell r="L103">
            <v>32</v>
          </cell>
          <cell r="M103">
            <v>198.24874999999875</v>
          </cell>
          <cell r="N103">
            <v>6343.95999999996</v>
          </cell>
          <cell r="O103">
            <v>10</v>
          </cell>
          <cell r="P103">
            <v>1818</v>
          </cell>
          <cell r="Q103">
            <v>18180</v>
          </cell>
          <cell r="R103">
            <v>43</v>
          </cell>
          <cell r="S103">
            <v>409.93325581395351</v>
          </cell>
          <cell r="T103">
            <v>17627.13</v>
          </cell>
          <cell r="U103">
            <v>57</v>
          </cell>
          <cell r="V103">
            <v>568.81631578947372</v>
          </cell>
          <cell r="W103">
            <v>32422.53</v>
          </cell>
          <cell r="X103">
            <v>28</v>
          </cell>
          <cell r="Y103">
            <v>616.26178571428579</v>
          </cell>
          <cell r="Z103">
            <v>17255.330000000002</v>
          </cell>
          <cell r="AA103">
            <v>38</v>
          </cell>
          <cell r="AB103">
            <v>-4.677894736842342</v>
          </cell>
          <cell r="AC103">
            <v>-177.760000000009</v>
          </cell>
          <cell r="AD103">
            <v>26</v>
          </cell>
          <cell r="AE103">
            <v>442.14423076923077</v>
          </cell>
          <cell r="AF103">
            <v>11495.75</v>
          </cell>
          <cell r="AG103">
            <v>38</v>
          </cell>
          <cell r="AH103">
            <v>362.24263157894472</v>
          </cell>
          <cell r="AI103">
            <v>13765.219999999899</v>
          </cell>
          <cell r="AJ103">
            <v>31</v>
          </cell>
          <cell r="AK103">
            <v>15.867741935484613</v>
          </cell>
          <cell r="AL103">
            <v>491.900000000023</v>
          </cell>
          <cell r="AM103">
            <v>21</v>
          </cell>
          <cell r="AN103">
            <v>-377.50523809523713</v>
          </cell>
          <cell r="AO103">
            <v>-7927.6099999999797</v>
          </cell>
        </row>
        <row r="104">
          <cell r="A104" t="str">
            <v>Véhicules usagés</v>
          </cell>
        </row>
        <row r="105">
          <cell r="A105" t="str">
            <v>Véhicules usagésRev. Finances</v>
          </cell>
          <cell r="B105" t="str">
            <v>Rev. Finances</v>
          </cell>
          <cell r="D105">
            <v>652.20840490797548</v>
          </cell>
          <cell r="E105">
            <v>212619.94</v>
          </cell>
          <cell r="G105">
            <v>952.25192307692305</v>
          </cell>
          <cell r="H105">
            <v>24758.55</v>
          </cell>
          <cell r="J105">
            <v>654.84538461538455</v>
          </cell>
          <cell r="K105">
            <v>17025.98</v>
          </cell>
          <cell r="M105">
            <v>617.24285714285713</v>
          </cell>
          <cell r="N105">
            <v>21603.5</v>
          </cell>
          <cell r="P105">
            <v>948.60249999999996</v>
          </cell>
          <cell r="Q105">
            <v>18972.05</v>
          </cell>
          <cell r="S105">
            <v>829.99440000000004</v>
          </cell>
          <cell r="T105">
            <v>20749.86</v>
          </cell>
          <cell r="V105">
            <v>734.96679999999992</v>
          </cell>
          <cell r="W105">
            <v>18374.169999999998</v>
          </cell>
          <cell r="Y105">
            <v>517.39305555555563</v>
          </cell>
          <cell r="Z105">
            <v>18626.150000000001</v>
          </cell>
          <cell r="AB105">
            <v>707.17361111111109</v>
          </cell>
          <cell r="AC105">
            <v>25458.25</v>
          </cell>
          <cell r="AE105">
            <v>444.8366666666667</v>
          </cell>
          <cell r="AF105">
            <v>14679.61</v>
          </cell>
          <cell r="AH105">
            <v>756.81269230769237</v>
          </cell>
          <cell r="AI105">
            <v>19677.13</v>
          </cell>
          <cell r="AK105">
            <v>370.49099999999999</v>
          </cell>
          <cell r="AL105">
            <v>7409.82</v>
          </cell>
          <cell r="AN105">
            <v>293.60388888888889</v>
          </cell>
          <cell r="AO105">
            <v>5284.87</v>
          </cell>
        </row>
        <row r="106">
          <cell r="A106" t="str">
            <v>Véhicules usagésRev. Protections</v>
          </cell>
          <cell r="B106" t="str">
            <v>Rev. Protections</v>
          </cell>
          <cell r="D106">
            <v>1332.3468098159501</v>
          </cell>
          <cell r="E106">
            <v>434345.05999999976</v>
          </cell>
          <cell r="G106">
            <v>1098.0211538461538</v>
          </cell>
          <cell r="H106">
            <v>28548.55</v>
          </cell>
          <cell r="J106">
            <v>905.16</v>
          </cell>
          <cell r="K106">
            <v>23534.16</v>
          </cell>
          <cell r="M106">
            <v>1357.6008571428572</v>
          </cell>
          <cell r="N106">
            <v>47516.03</v>
          </cell>
          <cell r="P106">
            <v>2016.6610000000001</v>
          </cell>
          <cell r="Q106">
            <v>40333.22</v>
          </cell>
          <cell r="S106">
            <v>1483.5695999999998</v>
          </cell>
          <cell r="T106">
            <v>37089.24</v>
          </cell>
          <cell r="V106">
            <v>1754.646</v>
          </cell>
          <cell r="W106">
            <v>43866.15</v>
          </cell>
          <cell r="Y106">
            <v>997.11055555555276</v>
          </cell>
          <cell r="Z106">
            <v>35895.979999999901</v>
          </cell>
          <cell r="AB106">
            <v>1507.8911111111111</v>
          </cell>
          <cell r="AC106">
            <v>54284.08</v>
          </cell>
          <cell r="AE106">
            <v>1292.9415151515152</v>
          </cell>
          <cell r="AF106">
            <v>42667.07</v>
          </cell>
          <cell r="AH106">
            <v>1666.1407692307694</v>
          </cell>
          <cell r="AI106">
            <v>43319.66</v>
          </cell>
          <cell r="AK106">
            <v>937.14650000000006</v>
          </cell>
          <cell r="AL106">
            <v>18742.93</v>
          </cell>
          <cell r="AN106">
            <v>1030.4438888888833</v>
          </cell>
          <cell r="AO106">
            <v>18547.9899999999</v>
          </cell>
        </row>
        <row r="107">
          <cell r="A107" t="str">
            <v>Véhicules usagésRev. Autres</v>
          </cell>
          <cell r="B107" t="str">
            <v>Rev. Autres</v>
          </cell>
          <cell r="D107">
            <v>29.861165644171784</v>
          </cell>
          <cell r="E107">
            <v>9734.7400000000016</v>
          </cell>
          <cell r="G107">
            <v>0</v>
          </cell>
          <cell r="H107">
            <v>0</v>
          </cell>
          <cell r="J107">
            <v>45.006538461538462</v>
          </cell>
          <cell r="K107">
            <v>1170.17</v>
          </cell>
          <cell r="M107">
            <v>26.397714285714283</v>
          </cell>
          <cell r="N107">
            <v>923.92</v>
          </cell>
          <cell r="P107">
            <v>0</v>
          </cell>
          <cell r="Q107">
            <v>0</v>
          </cell>
          <cell r="S107">
            <v>35.728000000000002</v>
          </cell>
          <cell r="T107">
            <v>893.2</v>
          </cell>
          <cell r="V107">
            <v>59.932400000000001</v>
          </cell>
          <cell r="W107">
            <v>1498.31</v>
          </cell>
          <cell r="Y107">
            <v>25.253888888888888</v>
          </cell>
          <cell r="Z107">
            <v>909.14</v>
          </cell>
          <cell r="AB107">
            <v>29.091666666666665</v>
          </cell>
          <cell r="AC107">
            <v>1047.3</v>
          </cell>
          <cell r="AE107">
            <v>40.802424242424244</v>
          </cell>
          <cell r="AF107">
            <v>1346.48</v>
          </cell>
          <cell r="AH107">
            <v>59.70269230769231</v>
          </cell>
          <cell r="AI107">
            <v>1552.27</v>
          </cell>
          <cell r="AK107">
            <v>19.697499999999998</v>
          </cell>
          <cell r="AL107">
            <v>393.95</v>
          </cell>
          <cell r="AN107">
            <v>0</v>
          </cell>
          <cell r="AO107">
            <v>0</v>
          </cell>
        </row>
        <row r="108">
          <cell r="A108" t="str">
            <v>Véhicules usagésTotal F&amp;I</v>
          </cell>
          <cell r="B108" t="str">
            <v>Total F&amp;I</v>
          </cell>
          <cell r="C108">
            <v>326</v>
          </cell>
          <cell r="D108">
            <v>2014.4163803680974</v>
          </cell>
          <cell r="E108">
            <v>656699.73999999976</v>
          </cell>
          <cell r="F108">
            <v>26</v>
          </cell>
          <cell r="G108">
            <v>2050.273076923077</v>
          </cell>
          <cell r="H108">
            <v>53307.1</v>
          </cell>
          <cell r="I108">
            <v>26</v>
          </cell>
          <cell r="J108">
            <v>1605.011923076923</v>
          </cell>
          <cell r="K108">
            <v>41730.31</v>
          </cell>
          <cell r="L108">
            <v>35</v>
          </cell>
          <cell r="M108">
            <v>2001.2414285714285</v>
          </cell>
          <cell r="N108">
            <v>70043.45</v>
          </cell>
          <cell r="O108">
            <v>20</v>
          </cell>
          <cell r="P108">
            <v>2965.2635</v>
          </cell>
          <cell r="Q108">
            <v>59305.270000000004</v>
          </cell>
          <cell r="R108">
            <v>25</v>
          </cell>
          <cell r="S108">
            <v>2349.2919999999999</v>
          </cell>
          <cell r="T108">
            <v>58732.299999999996</v>
          </cell>
          <cell r="U108">
            <v>25</v>
          </cell>
          <cell r="V108">
            <v>2549.5452</v>
          </cell>
          <cell r="W108">
            <v>63738.63</v>
          </cell>
          <cell r="X108">
            <v>36</v>
          </cell>
          <cell r="Y108">
            <v>1539.7574999999972</v>
          </cell>
          <cell r="Z108">
            <v>55431.269999999902</v>
          </cell>
          <cell r="AA108">
            <v>36</v>
          </cell>
          <cell r="AB108">
            <v>2244.1563888888891</v>
          </cell>
          <cell r="AC108">
            <v>80789.63</v>
          </cell>
          <cell r="AD108">
            <v>33</v>
          </cell>
          <cell r="AE108">
            <v>1778.5806060606062</v>
          </cell>
          <cell r="AF108">
            <v>58693.16</v>
          </cell>
          <cell r="AG108">
            <v>26</v>
          </cell>
          <cell r="AH108">
            <v>2482.6561538461542</v>
          </cell>
          <cell r="AI108">
            <v>64549.060000000005</v>
          </cell>
          <cell r="AJ108">
            <v>20</v>
          </cell>
          <cell r="AK108">
            <v>1327.335</v>
          </cell>
          <cell r="AL108">
            <v>26546.7</v>
          </cell>
          <cell r="AM108">
            <v>18</v>
          </cell>
          <cell r="AN108">
            <v>1324.0477777777721</v>
          </cell>
          <cell r="AO108">
            <v>23832.859999999899</v>
          </cell>
        </row>
        <row r="109">
          <cell r="A109" t="str">
            <v>Véhicules usagés</v>
          </cell>
        </row>
        <row r="110">
          <cell r="A110" t="str">
            <v>Véhicules usagés</v>
          </cell>
        </row>
        <row r="111">
          <cell r="A111" t="str">
            <v>Véhicules usagésTotal Dépt. Usagés</v>
          </cell>
          <cell r="B111" t="str">
            <v>Total Dépt. Usagés</v>
          </cell>
          <cell r="C111">
            <v>714</v>
          </cell>
          <cell r="D111">
            <v>1885.2730392156843</v>
          </cell>
          <cell r="E111">
            <v>1346084.9499999986</v>
          </cell>
          <cell r="F111">
            <v>60</v>
          </cell>
          <cell r="G111">
            <v>1976.4463333333319</v>
          </cell>
          <cell r="H111">
            <v>118586.77999999991</v>
          </cell>
          <cell r="I111">
            <v>56</v>
          </cell>
          <cell r="J111">
            <v>1576.1503571428534</v>
          </cell>
          <cell r="K111">
            <v>88264.419999999795</v>
          </cell>
          <cell r="L111">
            <v>67</v>
          </cell>
          <cell r="M111">
            <v>1973.3728358208934</v>
          </cell>
          <cell r="N111">
            <v>132215.97999999986</v>
          </cell>
          <cell r="O111">
            <v>30</v>
          </cell>
          <cell r="P111">
            <v>4005.9083333333265</v>
          </cell>
          <cell r="Q111">
            <v>120177.2499999998</v>
          </cell>
          <cell r="R111">
            <v>68</v>
          </cell>
          <cell r="S111">
            <v>1864.2382352941179</v>
          </cell>
          <cell r="T111">
            <v>126768.20000000001</v>
          </cell>
          <cell r="U111">
            <v>82</v>
          </cell>
          <cell r="V111">
            <v>1872.1110975609745</v>
          </cell>
          <cell r="W111">
            <v>153513.1099999999</v>
          </cell>
          <cell r="X111">
            <v>64</v>
          </cell>
          <cell r="Y111">
            <v>2134.3676562499986</v>
          </cell>
          <cell r="Z111">
            <v>136599.52999999991</v>
          </cell>
          <cell r="AA111">
            <v>74</v>
          </cell>
          <cell r="AB111">
            <v>1553.6752702702688</v>
          </cell>
          <cell r="AC111">
            <v>114971.9699999999</v>
          </cell>
          <cell r="AD111">
            <v>59</v>
          </cell>
          <cell r="AE111">
            <v>2285.5616949152541</v>
          </cell>
          <cell r="AF111">
            <v>134848.13999999998</v>
          </cell>
          <cell r="AG111">
            <v>64</v>
          </cell>
          <cell r="AH111">
            <v>2041.8312499999968</v>
          </cell>
          <cell r="AI111">
            <v>130677.19999999979</v>
          </cell>
          <cell r="AJ111">
            <v>51</v>
          </cell>
          <cell r="AK111">
            <v>1020.7700000000003</v>
          </cell>
          <cell r="AL111">
            <v>52059.270000000019</v>
          </cell>
          <cell r="AM111">
            <v>39</v>
          </cell>
          <cell r="AN111">
            <v>959.05384615384389</v>
          </cell>
          <cell r="AO111">
            <v>37403.099999999911</v>
          </cell>
        </row>
        <row r="112">
          <cell r="A112" t="str">
            <v>Véhicules usagés</v>
          </cell>
        </row>
        <row r="113">
          <cell r="A113" t="str">
            <v>Véhicules usagés</v>
          </cell>
        </row>
        <row r="114">
          <cell r="A114" t="str">
            <v>Véhicules usagésDEPENSES</v>
          </cell>
          <cell r="B114" t="str">
            <v>DEPENSES</v>
          </cell>
        </row>
        <row r="115">
          <cell r="A115" t="str">
            <v>Véhicules usagésComm. vendeurs</v>
          </cell>
          <cell r="B115" t="str">
            <v>Comm. vendeurs</v>
          </cell>
          <cell r="C115">
            <v>0.48212844638567881</v>
          </cell>
          <cell r="D115">
            <v>785.58542944785268</v>
          </cell>
          <cell r="E115">
            <v>256100.84999999998</v>
          </cell>
          <cell r="F115">
            <v>0.42351403224593798</v>
          </cell>
          <cell r="G115">
            <v>511.2511538461539</v>
          </cell>
          <cell r="H115">
            <v>13292.53</v>
          </cell>
          <cell r="I115">
            <v>0.44295916706721356</v>
          </cell>
          <cell r="J115">
            <v>540.18461538461531</v>
          </cell>
          <cell r="K115">
            <v>14044.8</v>
          </cell>
          <cell r="L115">
            <v>0.54418517257382837</v>
          </cell>
          <cell r="M115">
            <v>868.03085714285714</v>
          </cell>
          <cell r="N115">
            <v>30381.08</v>
          </cell>
          <cell r="O115">
            <v>0.43717508534390037</v>
          </cell>
          <cell r="P115">
            <v>933.19349999999997</v>
          </cell>
          <cell r="Q115">
            <v>18663.87</v>
          </cell>
          <cell r="R115">
            <v>0.54239014361985027</v>
          </cell>
          <cell r="S115">
            <v>1093.6487999999999</v>
          </cell>
          <cell r="T115">
            <v>27341.22</v>
          </cell>
          <cell r="U115">
            <v>0.42385620715599104</v>
          </cell>
          <cell r="V115">
            <v>972.35919999999999</v>
          </cell>
          <cell r="W115">
            <v>24308.98</v>
          </cell>
          <cell r="X115">
            <v>0.53527729052634576</v>
          </cell>
          <cell r="Y115">
            <v>950.30944444444447</v>
          </cell>
          <cell r="Z115">
            <v>34211.14</v>
          </cell>
          <cell r="AA115">
            <v>0.62041204769485703</v>
          </cell>
          <cell r="AB115">
            <v>592.15055555555546</v>
          </cell>
          <cell r="AC115">
            <v>21317.42</v>
          </cell>
          <cell r="AD115">
            <v>0.41499891044171117</v>
          </cell>
          <cell r="AE115">
            <v>813.13666666666666</v>
          </cell>
          <cell r="AF115">
            <v>26833.51</v>
          </cell>
          <cell r="AG115">
            <v>0.50307011144527569</v>
          </cell>
          <cell r="AH115">
            <v>1013.1623076923078</v>
          </cell>
          <cell r="AI115">
            <v>26342.22</v>
          </cell>
          <cell r="AJ115">
            <v>0.32932491416097176</v>
          </cell>
          <cell r="AK115">
            <v>411.99650000000003</v>
          </cell>
          <cell r="AL115">
            <v>8239.93</v>
          </cell>
          <cell r="AM115">
            <v>0.51745407098849439</v>
          </cell>
          <cell r="AN115">
            <v>618.00833333333333</v>
          </cell>
          <cell r="AO115">
            <v>11124.15</v>
          </cell>
        </row>
        <row r="116">
          <cell r="A116" t="str">
            <v>Véhicules usagésComm. F&amp;I</v>
          </cell>
          <cell r="B116" t="str">
            <v>Comm. F&amp;I</v>
          </cell>
          <cell r="C116">
            <v>0.29783623791293123</v>
          </cell>
          <cell r="D116">
            <v>599.96619631901842</v>
          </cell>
          <cell r="E116">
            <v>195588.98</v>
          </cell>
          <cell r="F116">
            <v>0.18338045025897112</v>
          </cell>
          <cell r="G116">
            <v>375.97999999999996</v>
          </cell>
          <cell r="H116">
            <v>9775.48</v>
          </cell>
          <cell r="I116">
            <v>0.33317868954244528</v>
          </cell>
          <cell r="J116">
            <v>534.75576923076926</v>
          </cell>
          <cell r="K116">
            <v>13903.65</v>
          </cell>
          <cell r="L116">
            <v>0.31930066266010598</v>
          </cell>
          <cell r="M116">
            <v>638.99771428571421</v>
          </cell>
          <cell r="N116">
            <v>22364.92</v>
          </cell>
          <cell r="O116">
            <v>0.29925822781010858</v>
          </cell>
          <cell r="P116">
            <v>887.37950000000001</v>
          </cell>
          <cell r="Q116">
            <v>17747.59</v>
          </cell>
          <cell r="R116">
            <v>0.35189852942929195</v>
          </cell>
          <cell r="S116">
            <v>826.7124</v>
          </cell>
          <cell r="T116">
            <v>20667.810000000001</v>
          </cell>
          <cell r="U116">
            <v>0.30015392549227998</v>
          </cell>
          <cell r="V116">
            <v>765.25600000000009</v>
          </cell>
          <cell r="W116">
            <v>19131.400000000001</v>
          </cell>
          <cell r="X116">
            <v>0.28294588956738725</v>
          </cell>
          <cell r="Y116">
            <v>435.66805555555555</v>
          </cell>
          <cell r="Z116">
            <v>15684.05</v>
          </cell>
          <cell r="AA116">
            <v>0.29984021464140881</v>
          </cell>
          <cell r="AB116">
            <v>672.88833333333332</v>
          </cell>
          <cell r="AC116">
            <v>24223.98</v>
          </cell>
          <cell r="AD116">
            <v>0.30044489000081098</v>
          </cell>
          <cell r="AE116">
            <v>534.36545454545455</v>
          </cell>
          <cell r="AF116">
            <v>17634.060000000001</v>
          </cell>
          <cell r="AG116">
            <v>0.29975959371058231</v>
          </cell>
          <cell r="AH116">
            <v>744.2</v>
          </cell>
          <cell r="AI116">
            <v>19349.2</v>
          </cell>
          <cell r="AJ116">
            <v>0.30119751230849784</v>
          </cell>
          <cell r="AK116">
            <v>399.79</v>
          </cell>
          <cell r="AL116">
            <v>7995.8</v>
          </cell>
          <cell r="AM116">
            <v>0.29837124037988016</v>
          </cell>
          <cell r="AN116">
            <v>395.0577777777778</v>
          </cell>
          <cell r="AO116">
            <v>7111.04</v>
          </cell>
        </row>
        <row r="117">
          <cell r="A117" t="str">
            <v>Véhicules usagésFrais de livraison</v>
          </cell>
          <cell r="B117" t="str">
            <v>Frais de livraison</v>
          </cell>
          <cell r="D117">
            <v>-17.275674846625765</v>
          </cell>
          <cell r="E117">
            <v>-5631.87</v>
          </cell>
          <cell r="G117">
            <v>29.692692307692308</v>
          </cell>
          <cell r="H117">
            <v>772.01</v>
          </cell>
          <cell r="J117">
            <v>26.889615384615386</v>
          </cell>
          <cell r="K117">
            <v>699.13</v>
          </cell>
          <cell r="M117">
            <v>1.712</v>
          </cell>
          <cell r="N117">
            <v>59.92</v>
          </cell>
          <cell r="P117">
            <v>-57.813499999999998</v>
          </cell>
          <cell r="Q117">
            <v>-1156.27</v>
          </cell>
          <cell r="S117">
            <v>-49.627200000000002</v>
          </cell>
          <cell r="T117">
            <v>-1240.68</v>
          </cell>
          <cell r="V117">
            <v>-2.5384000000000002</v>
          </cell>
          <cell r="W117">
            <v>-63.46</v>
          </cell>
          <cell r="Y117">
            <v>-47.69638888888889</v>
          </cell>
          <cell r="Z117">
            <v>-1717.07</v>
          </cell>
          <cell r="AB117">
            <v>2.4216666666666669</v>
          </cell>
          <cell r="AC117">
            <v>87.18</v>
          </cell>
          <cell r="AE117">
            <v>-31.004848484848484</v>
          </cell>
          <cell r="AF117">
            <v>-1023.16</v>
          </cell>
          <cell r="AH117">
            <v>5.3234615384615385</v>
          </cell>
          <cell r="AI117">
            <v>138.41</v>
          </cell>
          <cell r="AK117">
            <v>-11.343500000000001</v>
          </cell>
          <cell r="AL117">
            <v>-226.87</v>
          </cell>
          <cell r="AN117">
            <v>-108.94499999999999</v>
          </cell>
          <cell r="AO117">
            <v>-1961.01</v>
          </cell>
        </row>
        <row r="118">
          <cell r="A118" t="str">
            <v>Véhicules usagésService gratuit 1</v>
          </cell>
          <cell r="B118" t="str">
            <v>Service gratuit 1</v>
          </cell>
          <cell r="D118">
            <v>13.774478527607361</v>
          </cell>
          <cell r="E118">
            <v>4490.4799999999996</v>
          </cell>
          <cell r="G118">
            <v>2.1153846153846154</v>
          </cell>
          <cell r="H118">
            <v>55</v>
          </cell>
          <cell r="J118">
            <v>0</v>
          </cell>
          <cell r="K118">
            <v>0</v>
          </cell>
          <cell r="M118">
            <v>-48.536000000000001</v>
          </cell>
          <cell r="N118">
            <v>-1698.76</v>
          </cell>
          <cell r="P118">
            <v>6.5</v>
          </cell>
          <cell r="Q118">
            <v>130</v>
          </cell>
          <cell r="S118">
            <v>18.0124</v>
          </cell>
          <cell r="T118">
            <v>450.31</v>
          </cell>
          <cell r="V118">
            <v>0</v>
          </cell>
          <cell r="W118">
            <v>0</v>
          </cell>
          <cell r="Y118">
            <v>17.229722222222222</v>
          </cell>
          <cell r="Z118">
            <v>620.27</v>
          </cell>
          <cell r="AB118">
            <v>4.4291666666666663</v>
          </cell>
          <cell r="AC118">
            <v>159.44999999999999</v>
          </cell>
          <cell r="AE118">
            <v>17.09212121212121</v>
          </cell>
          <cell r="AF118">
            <v>564.04</v>
          </cell>
          <cell r="AH118">
            <v>67.09346153846154</v>
          </cell>
          <cell r="AI118">
            <v>1744.43</v>
          </cell>
          <cell r="AK118">
            <v>69.605499999999992</v>
          </cell>
          <cell r="AL118">
            <v>1392.11</v>
          </cell>
          <cell r="AN118">
            <v>59.646111111111118</v>
          </cell>
          <cell r="AO118">
            <v>1073.6300000000001</v>
          </cell>
        </row>
        <row r="119">
          <cell r="A119" t="str">
            <v>Véhicules usagésEntretien stock</v>
          </cell>
          <cell r="B119" t="str">
            <v>Entretien stock</v>
          </cell>
          <cell r="D119">
            <v>154.21174846625766</v>
          </cell>
          <cell r="E119">
            <v>50273.03</v>
          </cell>
          <cell r="G119">
            <v>147.15846153846152</v>
          </cell>
          <cell r="H119">
            <v>3826.12</v>
          </cell>
          <cell r="J119">
            <v>192.49038461538461</v>
          </cell>
          <cell r="K119">
            <v>5004.75</v>
          </cell>
          <cell r="M119">
            <v>97.121428571428567</v>
          </cell>
          <cell r="N119">
            <v>3399.25</v>
          </cell>
          <cell r="P119">
            <v>237.09800000000001</v>
          </cell>
          <cell r="Q119">
            <v>4741.96</v>
          </cell>
          <cell r="S119">
            <v>184.31759999999997</v>
          </cell>
          <cell r="T119">
            <v>4607.9399999999996</v>
          </cell>
          <cell r="V119">
            <v>166.30360000000002</v>
          </cell>
          <cell r="W119">
            <v>4157.59</v>
          </cell>
          <cell r="Y119">
            <v>118.6263888888889</v>
          </cell>
          <cell r="Z119">
            <v>4270.55</v>
          </cell>
          <cell r="AB119">
            <v>126.47638888888888</v>
          </cell>
          <cell r="AC119">
            <v>4553.1499999999996</v>
          </cell>
          <cell r="AE119">
            <v>127.50151515151515</v>
          </cell>
          <cell r="AF119">
            <v>4207.55</v>
          </cell>
          <cell r="AH119">
            <v>155.28461538461539</v>
          </cell>
          <cell r="AI119">
            <v>4037.4</v>
          </cell>
          <cell r="AK119">
            <v>194.48750000000001</v>
          </cell>
          <cell r="AL119">
            <v>3889.75</v>
          </cell>
          <cell r="AN119">
            <v>198.72333333333333</v>
          </cell>
          <cell r="AO119">
            <v>3577.02</v>
          </cell>
        </row>
        <row r="120">
          <cell r="A120" t="str">
            <v>Véhicules usagésPublicité 1</v>
          </cell>
          <cell r="B120" t="str">
            <v>Publicité 1</v>
          </cell>
          <cell r="D120">
            <v>458.57052147239273</v>
          </cell>
          <cell r="E120">
            <v>149493.99000000002</v>
          </cell>
          <cell r="G120">
            <v>279.03230769230771</v>
          </cell>
          <cell r="H120">
            <v>7254.84</v>
          </cell>
          <cell r="J120">
            <v>304.13230769230768</v>
          </cell>
          <cell r="K120">
            <v>7907.44</v>
          </cell>
          <cell r="M120">
            <v>254.21257142857144</v>
          </cell>
          <cell r="N120">
            <v>8897.44</v>
          </cell>
          <cell r="P120">
            <v>612.85599999999999</v>
          </cell>
          <cell r="Q120">
            <v>12257.12</v>
          </cell>
          <cell r="S120">
            <v>703.154</v>
          </cell>
          <cell r="T120">
            <v>17578.849999999999</v>
          </cell>
          <cell r="V120">
            <v>557.51400000000001</v>
          </cell>
          <cell r="W120">
            <v>13937.85</v>
          </cell>
          <cell r="Y120">
            <v>356.96111111111111</v>
          </cell>
          <cell r="Z120">
            <v>12850.6</v>
          </cell>
          <cell r="AB120">
            <v>301.05361111111114</v>
          </cell>
          <cell r="AC120">
            <v>10837.93</v>
          </cell>
          <cell r="AE120">
            <v>270.76727272727271</v>
          </cell>
          <cell r="AF120">
            <v>8935.32</v>
          </cell>
          <cell r="AH120">
            <v>601.99384615384611</v>
          </cell>
          <cell r="AI120">
            <v>15651.84</v>
          </cell>
          <cell r="AK120">
            <v>716.18000000000006</v>
          </cell>
          <cell r="AL120">
            <v>14323.6</v>
          </cell>
          <cell r="AN120">
            <v>1058.9533333333334</v>
          </cell>
          <cell r="AO120">
            <v>19061.16</v>
          </cell>
        </row>
        <row r="121">
          <cell r="A121" t="str">
            <v>Véhicules usagésIntérêt de gros</v>
          </cell>
          <cell r="B121" t="str">
            <v>Intérêt de gros</v>
          </cell>
          <cell r="D121">
            <v>89.829355828220855</v>
          </cell>
          <cell r="E121">
            <v>29284.37</v>
          </cell>
          <cell r="G121">
            <v>206.4346153846154</v>
          </cell>
          <cell r="H121">
            <v>5367.3</v>
          </cell>
          <cell r="J121">
            <v>162.9046153846154</v>
          </cell>
          <cell r="K121">
            <v>4235.5200000000004</v>
          </cell>
          <cell r="M121">
            <v>86.214857142857142</v>
          </cell>
          <cell r="N121">
            <v>3017.52</v>
          </cell>
          <cell r="P121">
            <v>101.116</v>
          </cell>
          <cell r="Q121">
            <v>2022.32</v>
          </cell>
          <cell r="S121">
            <v>86.6</v>
          </cell>
          <cell r="T121">
            <v>2165</v>
          </cell>
          <cell r="V121">
            <v>62.494</v>
          </cell>
          <cell r="W121">
            <v>1562.35</v>
          </cell>
          <cell r="Y121">
            <v>64.885000000000005</v>
          </cell>
          <cell r="Z121">
            <v>2335.86</v>
          </cell>
          <cell r="AB121">
            <v>201.38499999999999</v>
          </cell>
          <cell r="AC121">
            <v>7249.86</v>
          </cell>
          <cell r="AE121">
            <v>15.888181818181817</v>
          </cell>
          <cell r="AF121">
            <v>524.30999999999995</v>
          </cell>
          <cell r="AH121">
            <v>0</v>
          </cell>
          <cell r="AI121">
            <v>0</v>
          </cell>
          <cell r="AK121">
            <v>22.137999999999998</v>
          </cell>
          <cell r="AL121">
            <v>442.76</v>
          </cell>
          <cell r="AN121">
            <v>20.087222222222223</v>
          </cell>
          <cell r="AO121">
            <v>361.57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usagés[...]</v>
          </cell>
          <cell r="B124" t="str">
            <v>[...]</v>
          </cell>
          <cell r="D124">
            <v>0</v>
          </cell>
          <cell r="E124">
            <v>0</v>
          </cell>
          <cell r="G124">
            <v>0</v>
          </cell>
          <cell r="J124">
            <v>0</v>
          </cell>
          <cell r="M124">
            <v>0</v>
          </cell>
          <cell r="P124">
            <v>0</v>
          </cell>
          <cell r="S124">
            <v>0</v>
          </cell>
          <cell r="V124">
            <v>0</v>
          </cell>
          <cell r="Y124">
            <v>0</v>
          </cell>
          <cell r="AB124">
            <v>0</v>
          </cell>
          <cell r="AE124">
            <v>0</v>
          </cell>
          <cell r="AH124">
            <v>0</v>
          </cell>
          <cell r="AK124">
            <v>0</v>
          </cell>
          <cell r="AN124">
            <v>0</v>
          </cell>
        </row>
        <row r="125">
          <cell r="A125" t="str">
            <v>Véhicules usagésTOTAL VARIABLES</v>
          </cell>
          <cell r="B125" t="str">
            <v>TOTAL VARIABLES</v>
          </cell>
          <cell r="C125" t="str">
            <v>% brut</v>
          </cell>
          <cell r="D125">
            <v>0.50487142731965073</v>
          </cell>
          <cell r="E125">
            <v>679599.83</v>
          </cell>
          <cell r="F125" t="str">
            <v>% brut</v>
          </cell>
          <cell r="G125">
            <v>0.34020048440475431</v>
          </cell>
          <cell r="H125">
            <v>40343.279999999999</v>
          </cell>
          <cell r="I125" t="str">
            <v>% brut</v>
          </cell>
          <cell r="J125">
            <v>0.51884202037468907</v>
          </cell>
          <cell r="K125">
            <v>45795.290000000008</v>
          </cell>
          <cell r="L125" t="str">
            <v>% brut</v>
          </cell>
          <cell r="M125">
            <v>0.5023702127382792</v>
          </cell>
          <cell r="N125">
            <v>66421.37</v>
          </cell>
          <cell r="O125" t="str">
            <v>% brut</v>
          </cell>
          <cell r="P125">
            <v>0.45271954550466165</v>
          </cell>
          <cell r="Q125">
            <v>54406.590000000004</v>
          </cell>
          <cell r="R125" t="str">
            <v>% brut</v>
          </cell>
          <cell r="S125">
            <v>0.56457731513108167</v>
          </cell>
          <cell r="T125">
            <v>71570.45</v>
          </cell>
          <cell r="U125" t="str">
            <v>% brut</v>
          </cell>
          <cell r="V125">
            <v>0.41061450712580866</v>
          </cell>
          <cell r="W125">
            <v>63034.710000000006</v>
          </cell>
          <cell r="X125" t="str">
            <v>% brut</v>
          </cell>
          <cell r="Y125">
            <v>0.49967521850185026</v>
          </cell>
          <cell r="Z125">
            <v>68255.400000000009</v>
          </cell>
          <cell r="AA125" t="str">
            <v>% brut</v>
          </cell>
          <cell r="AB125">
            <v>0.59517959029492185</v>
          </cell>
          <cell r="AC125">
            <v>68428.969999999987</v>
          </cell>
          <cell r="AD125" t="str">
            <v>% brut</v>
          </cell>
          <cell r="AE125">
            <v>0.42770801288026666</v>
          </cell>
          <cell r="AF125">
            <v>57675.63</v>
          </cell>
          <cell r="AG125" t="str">
            <v>% brut</v>
          </cell>
          <cell r="AH125">
            <v>0.51473019011732812</v>
          </cell>
          <cell r="AI125">
            <v>67263.5</v>
          </cell>
          <cell r="AJ125" t="str">
            <v>% brut</v>
          </cell>
          <cell r="AK125">
            <v>0.69261593564412238</v>
          </cell>
          <cell r="AL125">
            <v>36057.08</v>
          </cell>
          <cell r="AM125" t="str">
            <v>% brut</v>
          </cell>
          <cell r="AN125">
            <v>1.0787223518906213</v>
          </cell>
          <cell r="AO125">
            <v>40347.56</v>
          </cell>
        </row>
        <row r="126">
          <cell r="A126" t="str">
            <v>Véhicules usagésSalaires cadres</v>
          </cell>
          <cell r="B126" t="str">
            <v>Salaires cadres</v>
          </cell>
          <cell r="E126">
            <v>106199.94999999998</v>
          </cell>
          <cell r="H126">
            <v>7150.06</v>
          </cell>
          <cell r="K126">
            <v>6477</v>
          </cell>
          <cell r="N126">
            <v>7084.23</v>
          </cell>
          <cell r="Q126">
            <v>6562.1</v>
          </cell>
          <cell r="T126">
            <v>8961.51</v>
          </cell>
          <cell r="W126">
            <v>5868.57</v>
          </cell>
          <cell r="Z126">
            <v>4280.84</v>
          </cell>
          <cell r="AC126">
            <v>13011.74</v>
          </cell>
          <cell r="AF126">
            <v>11464.55</v>
          </cell>
          <cell r="AI126">
            <v>9570.15</v>
          </cell>
          <cell r="AL126">
            <v>15556.27</v>
          </cell>
          <cell r="AO126">
            <v>10212.93</v>
          </cell>
        </row>
        <row r="127">
          <cell r="A127" t="str">
            <v>Véhicules usagésSalaires commis</v>
          </cell>
          <cell r="B127" t="str">
            <v>Salaires commis</v>
          </cell>
          <cell r="E127">
            <v>63216.83</v>
          </cell>
          <cell r="H127">
            <v>4042.4</v>
          </cell>
          <cell r="K127">
            <v>3902.4</v>
          </cell>
          <cell r="N127">
            <v>4222.3999999999996</v>
          </cell>
          <cell r="Q127">
            <v>3582.4</v>
          </cell>
          <cell r="T127">
            <v>5269.9</v>
          </cell>
          <cell r="W127">
            <v>7695.5</v>
          </cell>
          <cell r="Z127">
            <v>3874.42</v>
          </cell>
          <cell r="AC127">
            <v>6264</v>
          </cell>
          <cell r="AF127">
            <v>6049.73</v>
          </cell>
          <cell r="AI127">
            <v>5660.15</v>
          </cell>
          <cell r="AL127">
            <v>6131.09</v>
          </cell>
          <cell r="AO127">
            <v>6522.44</v>
          </cell>
        </row>
        <row r="128">
          <cell r="A128" t="str">
            <v>Véhicules usagésSalaires autres</v>
          </cell>
          <cell r="B128" t="str">
            <v>Salaires autres</v>
          </cell>
          <cell r="E128">
            <v>120523.42</v>
          </cell>
          <cell r="H128">
            <v>11941.25</v>
          </cell>
          <cell r="K128">
            <v>11309.64</v>
          </cell>
          <cell r="N128">
            <v>12046.99</v>
          </cell>
          <cell r="Q128">
            <v>13048.16</v>
          </cell>
          <cell r="T128">
            <v>14110.2</v>
          </cell>
          <cell r="W128">
            <v>10820.29</v>
          </cell>
          <cell r="Z128">
            <v>13291.11</v>
          </cell>
          <cell r="AC128">
            <v>12249.22</v>
          </cell>
          <cell r="AF128">
            <v>6286.83</v>
          </cell>
          <cell r="AI128">
            <v>5342.79</v>
          </cell>
          <cell r="AL128">
            <v>4186</v>
          </cell>
          <cell r="AO128">
            <v>5890.94</v>
          </cell>
        </row>
        <row r="129">
          <cell r="A129" t="str">
            <v>Véhicules usagésSalaires spécialistes</v>
          </cell>
          <cell r="B129" t="str">
            <v>Salaires spécialistes</v>
          </cell>
          <cell r="E129">
            <v>0</v>
          </cell>
          <cell r="H129">
            <v>0</v>
          </cell>
          <cell r="K129">
            <v>0</v>
          </cell>
          <cell r="N129">
            <v>0</v>
          </cell>
          <cell r="Q129">
            <v>0</v>
          </cell>
          <cell r="T129">
            <v>0</v>
          </cell>
          <cell r="W129">
            <v>0</v>
          </cell>
          <cell r="Z129">
            <v>0</v>
          </cell>
          <cell r="AC129">
            <v>0</v>
          </cell>
          <cell r="AF129">
            <v>0</v>
          </cell>
          <cell r="AI129">
            <v>0</v>
          </cell>
          <cell r="AL129">
            <v>0</v>
          </cell>
          <cell r="AO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  <cell r="H130">
            <v>0</v>
          </cell>
          <cell r="K130">
            <v>0</v>
          </cell>
          <cell r="N130">
            <v>0</v>
          </cell>
          <cell r="Q130">
            <v>0</v>
          </cell>
          <cell r="T130">
            <v>0</v>
          </cell>
          <cell r="W130">
            <v>0</v>
          </cell>
          <cell r="Z130">
            <v>0</v>
          </cell>
          <cell r="AC130">
            <v>0</v>
          </cell>
          <cell r="AF130">
            <v>0</v>
          </cell>
          <cell r="AI130">
            <v>0</v>
          </cell>
          <cell r="AL130">
            <v>0</v>
          </cell>
          <cell r="AO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  <cell r="H131">
            <v>0</v>
          </cell>
          <cell r="K131">
            <v>0</v>
          </cell>
          <cell r="N131">
            <v>0</v>
          </cell>
          <cell r="Q131">
            <v>0</v>
          </cell>
          <cell r="T131">
            <v>0</v>
          </cell>
          <cell r="W131">
            <v>0</v>
          </cell>
          <cell r="Z131">
            <v>0</v>
          </cell>
          <cell r="AC131">
            <v>0</v>
          </cell>
          <cell r="AF131">
            <v>0</v>
          </cell>
          <cell r="AI131">
            <v>0</v>
          </cell>
          <cell r="AL131">
            <v>0</v>
          </cell>
          <cell r="AO131">
            <v>0</v>
          </cell>
        </row>
        <row r="132">
          <cell r="A132" t="str">
            <v>Véhicules usagés[...]</v>
          </cell>
          <cell r="B132" t="str">
            <v>[...]</v>
          </cell>
          <cell r="E132">
            <v>0</v>
          </cell>
          <cell r="H132">
            <v>0</v>
          </cell>
          <cell r="K132">
            <v>0</v>
          </cell>
          <cell r="N132">
            <v>0</v>
          </cell>
          <cell r="Q132">
            <v>0</v>
          </cell>
          <cell r="T132">
            <v>0</v>
          </cell>
          <cell r="W132">
            <v>0</v>
          </cell>
          <cell r="Z132">
            <v>0</v>
          </cell>
          <cell r="AC132">
            <v>0</v>
          </cell>
          <cell r="AF132">
            <v>0</v>
          </cell>
          <cell r="AI132">
            <v>0</v>
          </cell>
          <cell r="AL132">
            <v>0</v>
          </cell>
          <cell r="AO132">
            <v>0</v>
          </cell>
        </row>
        <row r="133">
          <cell r="A133" t="str">
            <v>Véhicules usagésSalaires en absences</v>
          </cell>
          <cell r="B133" t="str">
            <v>Salaires en absences</v>
          </cell>
          <cell r="E133">
            <v>51285.100000000006</v>
          </cell>
          <cell r="H133">
            <v>4595.8</v>
          </cell>
          <cell r="K133">
            <v>1510.22</v>
          </cell>
          <cell r="N133">
            <v>3172.69</v>
          </cell>
          <cell r="Q133">
            <v>4042.86</v>
          </cell>
          <cell r="T133">
            <v>4797.91</v>
          </cell>
          <cell r="W133">
            <v>9064.58</v>
          </cell>
          <cell r="Z133">
            <v>3725.02</v>
          </cell>
          <cell r="AC133">
            <v>3209.54</v>
          </cell>
          <cell r="AF133">
            <v>3616.31</v>
          </cell>
          <cell r="AI133">
            <v>4412.51</v>
          </cell>
          <cell r="AL133">
            <v>2437.8000000000002</v>
          </cell>
          <cell r="AO133">
            <v>6699.86</v>
          </cell>
        </row>
        <row r="134">
          <cell r="A134" t="str">
            <v>Véhicules usagésDéduction à la source</v>
          </cell>
          <cell r="B134" t="str">
            <v>Déduction à la source</v>
          </cell>
          <cell r="E134">
            <v>82978.789999999994</v>
          </cell>
          <cell r="H134">
            <v>5903.83</v>
          </cell>
          <cell r="K134">
            <v>5245.25</v>
          </cell>
          <cell r="N134">
            <v>6451</v>
          </cell>
          <cell r="Q134">
            <v>8576.25</v>
          </cell>
          <cell r="T134">
            <v>7606.16</v>
          </cell>
          <cell r="W134">
            <v>8664.81</v>
          </cell>
          <cell r="Z134">
            <v>5997.26</v>
          </cell>
          <cell r="AC134">
            <v>7828.03</v>
          </cell>
          <cell r="AF134">
            <v>7425.03</v>
          </cell>
          <cell r="AI134">
            <v>6323.94</v>
          </cell>
          <cell r="AL134">
            <v>5730.84</v>
          </cell>
          <cell r="AO134">
            <v>7226.39</v>
          </cell>
        </row>
        <row r="135">
          <cell r="A135" t="str">
            <v>Véhicules usagésBénéfices marginaux</v>
          </cell>
          <cell r="B135" t="str">
            <v>Bénéfices marginaux</v>
          </cell>
          <cell r="E135">
            <v>24794.709999999977</v>
          </cell>
          <cell r="H135">
            <v>1552.12</v>
          </cell>
          <cell r="K135">
            <v>1106.6099999999999</v>
          </cell>
          <cell r="N135">
            <v>1995.98999999999</v>
          </cell>
          <cell r="Q135">
            <v>2346.83</v>
          </cell>
          <cell r="T135">
            <v>-381.92999999999898</v>
          </cell>
          <cell r="W135">
            <v>3509.34</v>
          </cell>
          <cell r="Z135">
            <v>2237.7599999999902</v>
          </cell>
          <cell r="AC135">
            <v>3804.14</v>
          </cell>
          <cell r="AF135">
            <v>2608.88</v>
          </cell>
          <cell r="AI135">
            <v>2622.87</v>
          </cell>
          <cell r="AL135">
            <v>1906.19</v>
          </cell>
          <cell r="AO135">
            <v>1485.91</v>
          </cell>
        </row>
        <row r="136">
          <cell r="A136" t="str">
            <v>Véhicules usagésCsst</v>
          </cell>
          <cell r="B136" t="str">
            <v>Csst</v>
          </cell>
          <cell r="E136">
            <v>15014.8</v>
          </cell>
          <cell r="H136">
            <v>914.94</v>
          </cell>
          <cell r="K136">
            <v>795.88</v>
          </cell>
          <cell r="N136">
            <v>1066.6600000000001</v>
          </cell>
          <cell r="Q136">
            <v>1442.59</v>
          </cell>
          <cell r="T136">
            <v>1262.03</v>
          </cell>
          <cell r="W136">
            <v>1964.95</v>
          </cell>
          <cell r="Z136">
            <v>1223.1400000000001</v>
          </cell>
          <cell r="AC136">
            <v>1534.35</v>
          </cell>
          <cell r="AF136">
            <v>1265.72</v>
          </cell>
          <cell r="AI136">
            <v>1281.49</v>
          </cell>
          <cell r="AL136">
            <v>1041.1500000000001</v>
          </cell>
          <cell r="AO136">
            <v>1221.9000000000001</v>
          </cell>
        </row>
        <row r="137">
          <cell r="A137" t="str">
            <v>Véhicules usagés[...]</v>
          </cell>
          <cell r="B137" t="str">
            <v>[...]</v>
          </cell>
          <cell r="E137">
            <v>0</v>
          </cell>
        </row>
        <row r="138">
          <cell r="A138" t="str">
            <v>Véhicules usagésTOTAL PERSONNEL</v>
          </cell>
          <cell r="B138" t="str">
            <v>TOTAL PERSONNEL</v>
          </cell>
          <cell r="C138" t="str">
            <v>% brut</v>
          </cell>
          <cell r="D138">
            <v>0.3447134595777186</v>
          </cell>
          <cell r="E138">
            <v>464013.59999999986</v>
          </cell>
          <cell r="F138" t="str">
            <v>% brut</v>
          </cell>
          <cell r="G138">
            <v>0.30442179136662645</v>
          </cell>
          <cell r="H138">
            <v>36100.400000000001</v>
          </cell>
          <cell r="I138" t="str">
            <v>% brut</v>
          </cell>
          <cell r="J138">
            <v>0.34381917424937564</v>
          </cell>
          <cell r="K138">
            <v>30347.000000000004</v>
          </cell>
          <cell r="L138" t="str">
            <v>% brut</v>
          </cell>
          <cell r="M138">
            <v>0.27258399476371942</v>
          </cell>
          <cell r="N138">
            <v>36039.959999999992</v>
          </cell>
          <cell r="O138" t="str">
            <v>% brut</v>
          </cell>
          <cell r="P138">
            <v>0.329523183464425</v>
          </cell>
          <cell r="Q138">
            <v>39601.19</v>
          </cell>
          <cell r="R138" t="str">
            <v>% brut</v>
          </cell>
          <cell r="S138">
            <v>0.32836137138493726</v>
          </cell>
          <cell r="T138">
            <v>41625.780000000006</v>
          </cell>
          <cell r="U138" t="str">
            <v>% brut</v>
          </cell>
          <cell r="V138">
            <v>0.30999332890852138</v>
          </cell>
          <cell r="W138">
            <v>47588.039999999994</v>
          </cell>
          <cell r="X138" t="str">
            <v>% brut</v>
          </cell>
          <cell r="Y138">
            <v>0.25351148719179351</v>
          </cell>
          <cell r="Z138">
            <v>34629.549999999988</v>
          </cell>
          <cell r="AA138" t="str">
            <v>% brut</v>
          </cell>
          <cell r="AB138">
            <v>0.41663215825561689</v>
          </cell>
          <cell r="AC138">
            <v>47901.02</v>
          </cell>
          <cell r="AD138" t="str">
            <v>% brut</v>
          </cell>
          <cell r="AE138">
            <v>0.28711593648974326</v>
          </cell>
          <cell r="AF138">
            <v>38717.050000000003</v>
          </cell>
          <cell r="AG138" t="str">
            <v>% brut</v>
          </cell>
          <cell r="AH138">
            <v>0.26947240987716337</v>
          </cell>
          <cell r="AI138">
            <v>35213.899999999994</v>
          </cell>
          <cell r="AJ138" t="str">
            <v>% brut</v>
          </cell>
          <cell r="AK138">
            <v>0.71052360127216518</v>
          </cell>
          <cell r="AL138">
            <v>36989.340000000004</v>
          </cell>
          <cell r="AM138" t="str">
            <v>% brut</v>
          </cell>
          <cell r="AN138">
            <v>1.0496555098374225</v>
          </cell>
          <cell r="AO138">
            <v>39260.370000000003</v>
          </cell>
        </row>
        <row r="139">
          <cell r="A139" t="str">
            <v>Véhicules usagésPublicité 2</v>
          </cell>
          <cell r="B139" t="str">
            <v>Publicité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usagésService gratuit 2</v>
          </cell>
          <cell r="B140" t="str">
            <v>Service gratuit 2</v>
          </cell>
          <cell r="E140">
            <v>0</v>
          </cell>
          <cell r="H140">
            <v>0</v>
          </cell>
          <cell r="K140">
            <v>0</v>
          </cell>
          <cell r="N140">
            <v>0</v>
          </cell>
          <cell r="Q140">
            <v>0</v>
          </cell>
          <cell r="T140">
            <v>0</v>
          </cell>
          <cell r="W140">
            <v>0</v>
          </cell>
          <cell r="Z140">
            <v>0</v>
          </cell>
          <cell r="AC140">
            <v>0</v>
          </cell>
          <cell r="AF140">
            <v>0</v>
          </cell>
          <cell r="AI140">
            <v>0</v>
          </cell>
          <cell r="AL140">
            <v>0</v>
          </cell>
          <cell r="AO140">
            <v>0</v>
          </cell>
        </row>
        <row r="141">
          <cell r="A141" t="str">
            <v>Véhicules usagésFrais véhicules de cie</v>
          </cell>
          <cell r="B141" t="str">
            <v>Frais véhicules de cie</v>
          </cell>
          <cell r="E141">
            <v>12205.75</v>
          </cell>
          <cell r="H141">
            <v>-176.64</v>
          </cell>
          <cell r="K141">
            <v>-108.84</v>
          </cell>
          <cell r="N141">
            <v>988.66</v>
          </cell>
          <cell r="Q141">
            <v>1353.95</v>
          </cell>
          <cell r="T141">
            <v>1878.99</v>
          </cell>
          <cell r="W141">
            <v>1622</v>
          </cell>
          <cell r="Z141">
            <v>1692.94</v>
          </cell>
          <cell r="AC141">
            <v>1347.45</v>
          </cell>
          <cell r="AF141">
            <v>1464.28</v>
          </cell>
          <cell r="AI141">
            <v>1470.58</v>
          </cell>
          <cell r="AL141">
            <v>561.08000000000004</v>
          </cell>
          <cell r="AO141">
            <v>111.3</v>
          </cell>
        </row>
        <row r="142">
          <cell r="A142" t="str">
            <v>Véhicules usagésInformatique</v>
          </cell>
          <cell r="B142" t="str">
            <v>Informatique</v>
          </cell>
          <cell r="E142">
            <v>42756.7</v>
          </cell>
          <cell r="H142">
            <v>2317.2800000000002</v>
          </cell>
          <cell r="K142">
            <v>4653.93</v>
          </cell>
          <cell r="N142">
            <v>3530.19</v>
          </cell>
          <cell r="Q142">
            <v>2787.21</v>
          </cell>
          <cell r="T142">
            <v>4765.4399999999996</v>
          </cell>
          <cell r="W142">
            <v>3390.32</v>
          </cell>
          <cell r="Z142">
            <v>3593.59</v>
          </cell>
          <cell r="AC142">
            <v>3469.08</v>
          </cell>
          <cell r="AF142">
            <v>3651.6</v>
          </cell>
          <cell r="AI142">
            <v>3537.97</v>
          </cell>
          <cell r="AL142">
            <v>3471.27</v>
          </cell>
          <cell r="AO142">
            <v>3588.82</v>
          </cell>
        </row>
        <row r="143">
          <cell r="A143" t="str">
            <v>Véhicules usagésFrais de déplacement</v>
          </cell>
          <cell r="B143" t="str">
            <v>Frais de déplacement</v>
          </cell>
          <cell r="E143">
            <v>8244.9599999999991</v>
          </cell>
          <cell r="H143">
            <v>453.42</v>
          </cell>
          <cell r="K143">
            <v>882.36</v>
          </cell>
          <cell r="N143">
            <v>1166.95</v>
          </cell>
          <cell r="Q143">
            <v>347.09</v>
          </cell>
          <cell r="T143">
            <v>2206.02</v>
          </cell>
          <cell r="W143">
            <v>-6.81</v>
          </cell>
          <cell r="Z143">
            <v>430.47</v>
          </cell>
          <cell r="AC143">
            <v>725.33</v>
          </cell>
          <cell r="AF143">
            <v>580.28</v>
          </cell>
          <cell r="AI143">
            <v>565.19000000000005</v>
          </cell>
          <cell r="AL143">
            <v>491.66</v>
          </cell>
          <cell r="AO143">
            <v>403</v>
          </cell>
        </row>
        <row r="144">
          <cell r="A144" t="str">
            <v>Véhicules usagésServices extérieurs</v>
          </cell>
          <cell r="B144" t="str">
            <v>Services extérieurs</v>
          </cell>
          <cell r="E144">
            <v>17065.52</v>
          </cell>
          <cell r="H144">
            <v>1224.83</v>
          </cell>
          <cell r="K144">
            <v>1544.58</v>
          </cell>
          <cell r="N144">
            <v>767.46</v>
          </cell>
          <cell r="Q144">
            <v>2040.21</v>
          </cell>
          <cell r="T144">
            <v>2489.19</v>
          </cell>
          <cell r="W144">
            <v>1114.8</v>
          </cell>
          <cell r="Z144">
            <v>1241.24</v>
          </cell>
          <cell r="AC144">
            <v>879.44</v>
          </cell>
          <cell r="AF144">
            <v>909.96</v>
          </cell>
          <cell r="AI144">
            <v>1543.92</v>
          </cell>
          <cell r="AL144">
            <v>1983.25</v>
          </cell>
          <cell r="AO144">
            <v>1326.64</v>
          </cell>
        </row>
        <row r="145">
          <cell r="A145" t="str">
            <v>Véhicules usagésFournitures autres</v>
          </cell>
          <cell r="B145" t="str">
            <v>Fournitures autres</v>
          </cell>
          <cell r="E145">
            <v>243.2</v>
          </cell>
          <cell r="H145">
            <v>0</v>
          </cell>
          <cell r="K145">
            <v>0</v>
          </cell>
          <cell r="N145">
            <v>3.09</v>
          </cell>
          <cell r="Q145">
            <v>0</v>
          </cell>
          <cell r="T145">
            <v>0</v>
          </cell>
          <cell r="W145">
            <v>0</v>
          </cell>
          <cell r="Z145">
            <v>0</v>
          </cell>
          <cell r="AC145">
            <v>0</v>
          </cell>
          <cell r="AF145">
            <v>52.94</v>
          </cell>
          <cell r="AI145">
            <v>0</v>
          </cell>
          <cell r="AL145">
            <v>115.35</v>
          </cell>
          <cell r="AO145">
            <v>71.819999999999993</v>
          </cell>
        </row>
        <row r="146">
          <cell r="A146" t="str">
            <v>Véhicules usagésUniformes</v>
          </cell>
          <cell r="B146" t="str">
            <v>Uniformes</v>
          </cell>
          <cell r="E146">
            <v>210</v>
          </cell>
          <cell r="H146">
            <v>210</v>
          </cell>
          <cell r="K146">
            <v>0</v>
          </cell>
          <cell r="N146">
            <v>0</v>
          </cell>
          <cell r="Q146">
            <v>0</v>
          </cell>
          <cell r="T146">
            <v>0</v>
          </cell>
          <cell r="W146">
            <v>0</v>
          </cell>
          <cell r="Z146">
            <v>0</v>
          </cell>
          <cell r="AC146">
            <v>0</v>
          </cell>
          <cell r="AF146">
            <v>0</v>
          </cell>
          <cell r="AI146">
            <v>0</v>
          </cell>
          <cell r="AL146">
            <v>0</v>
          </cell>
          <cell r="AO146">
            <v>0</v>
          </cell>
        </row>
        <row r="147">
          <cell r="A147" t="str">
            <v>Véhicules usagésPapeterie</v>
          </cell>
          <cell r="B147" t="str">
            <v>Papeterie</v>
          </cell>
          <cell r="E147">
            <v>4051.17</v>
          </cell>
          <cell r="H147">
            <v>145.4</v>
          </cell>
          <cell r="K147">
            <v>196.08</v>
          </cell>
          <cell r="N147">
            <v>802.61</v>
          </cell>
          <cell r="Q147">
            <v>293.77</v>
          </cell>
          <cell r="T147">
            <v>201.28</v>
          </cell>
          <cell r="W147">
            <v>227.16</v>
          </cell>
          <cell r="Z147">
            <v>179.94</v>
          </cell>
          <cell r="AC147">
            <v>417.81</v>
          </cell>
          <cell r="AF147">
            <v>323.17</v>
          </cell>
          <cell r="AI147">
            <v>85.82</v>
          </cell>
          <cell r="AL147">
            <v>774.66</v>
          </cell>
          <cell r="AO147">
            <v>403.47</v>
          </cell>
        </row>
        <row r="148">
          <cell r="A148" t="str">
            <v>Véhicules usagésTéléphone</v>
          </cell>
          <cell r="B148" t="str">
            <v>Téléphone</v>
          </cell>
          <cell r="E148">
            <v>1068.07</v>
          </cell>
          <cell r="H148">
            <v>74.17</v>
          </cell>
          <cell r="K148">
            <v>77.069999999999993</v>
          </cell>
          <cell r="N148">
            <v>36.14</v>
          </cell>
          <cell r="Q148">
            <v>36.03</v>
          </cell>
          <cell r="T148">
            <v>141.53</v>
          </cell>
          <cell r="W148">
            <v>35.96</v>
          </cell>
          <cell r="Z148">
            <v>36.340000000000003</v>
          </cell>
          <cell r="AC148">
            <v>168.64</v>
          </cell>
          <cell r="AF148">
            <v>134.41999999999999</v>
          </cell>
          <cell r="AI148">
            <v>122.59</v>
          </cell>
          <cell r="AL148">
            <v>113.83</v>
          </cell>
          <cell r="AO148">
            <v>91.35</v>
          </cell>
        </row>
        <row r="149">
          <cell r="A149" t="str">
            <v>Véhicules usagésFrais postaux</v>
          </cell>
          <cell r="B149" t="str">
            <v>Frais postaux</v>
          </cell>
          <cell r="E149">
            <v>948.14999999999986</v>
          </cell>
          <cell r="H149">
            <v>92.23</v>
          </cell>
          <cell r="K149">
            <v>33.19</v>
          </cell>
          <cell r="N149">
            <v>57.93</v>
          </cell>
          <cell r="Q149">
            <v>48.41</v>
          </cell>
          <cell r="T149">
            <v>113</v>
          </cell>
          <cell r="W149">
            <v>30.69</v>
          </cell>
          <cell r="Z149">
            <v>92.28</v>
          </cell>
          <cell r="AC149">
            <v>56.38</v>
          </cell>
          <cell r="AF149">
            <v>119.77</v>
          </cell>
          <cell r="AI149">
            <v>133.26</v>
          </cell>
          <cell r="AL149">
            <v>84.69</v>
          </cell>
          <cell r="AO149">
            <v>86.32</v>
          </cell>
        </row>
        <row r="150">
          <cell r="A150" t="str">
            <v>Véhicules usagésDivers</v>
          </cell>
          <cell r="B150" t="str">
            <v>Divers</v>
          </cell>
          <cell r="E150">
            <v>1838.9399999999996</v>
          </cell>
          <cell r="H150">
            <v>1327.62</v>
          </cell>
          <cell r="K150">
            <v>106.27</v>
          </cell>
          <cell r="N150">
            <v>24.86</v>
          </cell>
          <cell r="Q150">
            <v>43.83</v>
          </cell>
          <cell r="T150">
            <v>29.45</v>
          </cell>
          <cell r="W150">
            <v>41.75</v>
          </cell>
          <cell r="Z150">
            <v>29.04</v>
          </cell>
          <cell r="AC150">
            <v>42.26</v>
          </cell>
          <cell r="AF150">
            <v>74.959999999999994</v>
          </cell>
          <cell r="AI150">
            <v>45.01</v>
          </cell>
          <cell r="AL150">
            <v>38.549999999999997</v>
          </cell>
          <cell r="AO150">
            <v>35.340000000000003</v>
          </cell>
        </row>
        <row r="151">
          <cell r="A151" t="str">
            <v>Véhicules usagésFormation</v>
          </cell>
          <cell r="B151" t="str">
            <v>Formation</v>
          </cell>
          <cell r="E151">
            <v>6730.5099999999993</v>
          </cell>
          <cell r="H151">
            <v>1012.59</v>
          </cell>
          <cell r="K151">
            <v>886.55</v>
          </cell>
          <cell r="N151">
            <v>884.54</v>
          </cell>
          <cell r="Q151">
            <v>1259.51</v>
          </cell>
          <cell r="T151">
            <v>293.8</v>
          </cell>
          <cell r="W151">
            <v>182.97</v>
          </cell>
          <cell r="Z151">
            <v>113.28</v>
          </cell>
          <cell r="AC151">
            <v>151.21</v>
          </cell>
          <cell r="AF151">
            <v>272.86</v>
          </cell>
          <cell r="AI151">
            <v>1082.42</v>
          </cell>
          <cell r="AL151">
            <v>558.28</v>
          </cell>
          <cell r="AO151">
            <v>32.5</v>
          </cell>
        </row>
        <row r="152">
          <cell r="A152" t="str">
            <v>Véhicules usagésFrais bancaires</v>
          </cell>
          <cell r="B152" t="str">
            <v>Frais bancaires</v>
          </cell>
          <cell r="E152">
            <v>9411.4299999999985</v>
          </cell>
          <cell r="H152">
            <v>698.17</v>
          </cell>
          <cell r="K152">
            <v>551.88</v>
          </cell>
          <cell r="N152">
            <v>79.349999999999994</v>
          </cell>
          <cell r="Q152">
            <v>672.36</v>
          </cell>
          <cell r="T152">
            <v>1718.22</v>
          </cell>
          <cell r="W152">
            <v>786.04</v>
          </cell>
          <cell r="Z152">
            <v>756.99</v>
          </cell>
          <cell r="AC152">
            <v>591.07000000000005</v>
          </cell>
          <cell r="AF152">
            <v>800.81</v>
          </cell>
          <cell r="AI152">
            <v>905.16</v>
          </cell>
          <cell r="AL152">
            <v>1138.8699999999999</v>
          </cell>
          <cell r="AO152">
            <v>712.51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usagés[...]</v>
          </cell>
          <cell r="B155" t="str">
            <v>[...]</v>
          </cell>
          <cell r="E155">
            <v>0</v>
          </cell>
        </row>
        <row r="156">
          <cell r="A156" t="str">
            <v>Véhicules usagésTOTAL SEMI-FIXES</v>
          </cell>
          <cell r="B156" t="str">
            <v>TOTAL SEMI-FIXES</v>
          </cell>
          <cell r="C156" t="str">
            <v>% brut</v>
          </cell>
          <cell r="D156">
            <v>7.7836395095272473E-2</v>
          </cell>
          <cell r="E156">
            <v>104774.39999999998</v>
          </cell>
          <cell r="F156" t="str">
            <v>% brut</v>
          </cell>
          <cell r="G156">
            <v>6.2225064210361433E-2</v>
          </cell>
          <cell r="H156">
            <v>7379.07</v>
          </cell>
          <cell r="I156" t="str">
            <v>% brut</v>
          </cell>
          <cell r="J156">
            <v>9.9961796610684328E-2</v>
          </cell>
          <cell r="K156">
            <v>8823.0699999999979</v>
          </cell>
          <cell r="L156" t="str">
            <v>% brut</v>
          </cell>
          <cell r="M156">
            <v>6.3092071018949522E-2</v>
          </cell>
          <cell r="N156">
            <v>8341.7800000000007</v>
          </cell>
          <cell r="O156" t="str">
            <v>% brut</v>
          </cell>
          <cell r="P156">
            <v>7.3910577917201584E-2</v>
          </cell>
          <cell r="Q156">
            <v>8882.369999999999</v>
          </cell>
          <cell r="R156" t="str">
            <v>% brut</v>
          </cell>
          <cell r="S156">
            <v>0.10915134868208272</v>
          </cell>
          <cell r="T156">
            <v>13836.92</v>
          </cell>
          <cell r="U156" t="str">
            <v>% brut</v>
          </cell>
          <cell r="V156">
            <v>4.8366422906812354E-2</v>
          </cell>
          <cell r="W156">
            <v>7424.8799999999992</v>
          </cell>
          <cell r="X156" t="str">
            <v>% brut</v>
          </cell>
          <cell r="Y156">
            <v>5.9781391634363641E-2</v>
          </cell>
          <cell r="Z156">
            <v>8166.11</v>
          </cell>
          <cell r="AA156" t="str">
            <v>% brut</v>
          </cell>
          <cell r="AB156">
            <v>6.8265943429515974E-2</v>
          </cell>
          <cell r="AC156">
            <v>7848.67</v>
          </cell>
          <cell r="AD156" t="str">
            <v>% brut</v>
          </cell>
          <cell r="AE156">
            <v>6.218142867969851E-2</v>
          </cell>
          <cell r="AF156">
            <v>8385.0499999999993</v>
          </cell>
          <cell r="AG156" t="str">
            <v>% brut</v>
          </cell>
          <cell r="AH156">
            <v>7.2636389515539163E-2</v>
          </cell>
          <cell r="AI156">
            <v>9491.92</v>
          </cell>
          <cell r="AJ156" t="str">
            <v>% brut</v>
          </cell>
          <cell r="AK156">
            <v>0.17924742317746672</v>
          </cell>
          <cell r="AL156">
            <v>9331.4900000000016</v>
          </cell>
          <cell r="AM156" t="str">
            <v>% brut</v>
          </cell>
          <cell r="AN156">
            <v>0.18348933644537532</v>
          </cell>
          <cell r="AO156">
            <v>6863.0700000000015</v>
          </cell>
        </row>
        <row r="157">
          <cell r="A157" t="str">
            <v>Véhicules usagés</v>
          </cell>
        </row>
        <row r="158">
          <cell r="A158" t="str">
            <v>Véhicules usagésTOTAL DES DÉPENSES</v>
          </cell>
          <cell r="B158" t="str">
            <v>TOTAL DES DÉPENSES</v>
          </cell>
          <cell r="C158" t="str">
            <v>% brut</v>
          </cell>
          <cell r="D158">
            <v>0.92742128199264162</v>
          </cell>
          <cell r="E158">
            <v>1248387.8299999996</v>
          </cell>
          <cell r="F158" t="str">
            <v>% brut</v>
          </cell>
          <cell r="G158">
            <v>0.70684733998174221</v>
          </cell>
          <cell r="H158">
            <v>83822.75</v>
          </cell>
          <cell r="I158" t="str">
            <v>% brut</v>
          </cell>
          <cell r="J158">
            <v>0.96262299123474893</v>
          </cell>
          <cell r="K158">
            <v>84965.36</v>
          </cell>
          <cell r="L158" t="str">
            <v>% brut</v>
          </cell>
          <cell r="M158">
            <v>0.83804627852094804</v>
          </cell>
          <cell r="N158">
            <v>110803.10999999999</v>
          </cell>
          <cell r="O158" t="str">
            <v>% brut</v>
          </cell>
          <cell r="P158">
            <v>0.8561533068862881</v>
          </cell>
          <cell r="Q158">
            <v>102890.15</v>
          </cell>
          <cell r="R158" t="str">
            <v>% brut</v>
          </cell>
          <cell r="S158">
            <v>1.0020900351981017</v>
          </cell>
          <cell r="T158">
            <v>127033.15000000001</v>
          </cell>
          <cell r="U158" t="str">
            <v>% brut</v>
          </cell>
          <cell r="V158">
            <v>0.76897425894114246</v>
          </cell>
          <cell r="W158">
            <v>118047.63</v>
          </cell>
          <cell r="X158" t="str">
            <v>% brut</v>
          </cell>
          <cell r="Y158">
            <v>0.81296809732800746</v>
          </cell>
          <cell r="Z158">
            <v>111051.06</v>
          </cell>
          <cell r="AA158" t="str">
            <v>% brut</v>
          </cell>
          <cell r="AB158">
            <v>1.0800776919800548</v>
          </cell>
          <cell r="AC158">
            <v>124178.65999999999</v>
          </cell>
          <cell r="AD158" t="str">
            <v>% brut</v>
          </cell>
          <cell r="AE158">
            <v>0.77700537804970837</v>
          </cell>
          <cell r="AF158">
            <v>104777.73</v>
          </cell>
          <cell r="AG158" t="str">
            <v>% brut</v>
          </cell>
          <cell r="AH158">
            <v>0.85683898951003057</v>
          </cell>
          <cell r="AI158">
            <v>111969.31999999999</v>
          </cell>
          <cell r="AJ158" t="str">
            <v>% brut</v>
          </cell>
          <cell r="AK158">
            <v>1.5823869600937543</v>
          </cell>
          <cell r="AL158">
            <v>82377.910000000018</v>
          </cell>
          <cell r="AM158" t="str">
            <v>% brut</v>
          </cell>
          <cell r="AN158">
            <v>2.3118671981734189</v>
          </cell>
          <cell r="AO158">
            <v>86471</v>
          </cell>
        </row>
        <row r="159">
          <cell r="A159" t="str">
            <v>Véhicules usagésProgramme used 1</v>
          </cell>
          <cell r="B159" t="str">
            <v>Programme used 1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2</v>
          </cell>
          <cell r="B160" t="str">
            <v>Programme used 2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usagésProgramme used 3</v>
          </cell>
          <cell r="B161" t="str">
            <v>Programme used 3</v>
          </cell>
          <cell r="E161">
            <v>0</v>
          </cell>
          <cell r="H161">
            <v>0</v>
          </cell>
          <cell r="K161">
            <v>0</v>
          </cell>
          <cell r="N161">
            <v>0</v>
          </cell>
          <cell r="Q161">
            <v>0</v>
          </cell>
          <cell r="T161">
            <v>0</v>
          </cell>
          <cell r="W161">
            <v>0</v>
          </cell>
          <cell r="Z161">
            <v>0</v>
          </cell>
          <cell r="AC161">
            <v>0</v>
          </cell>
          <cell r="AF161">
            <v>0</v>
          </cell>
          <cell r="AI161">
            <v>0</v>
          </cell>
          <cell r="AL161">
            <v>0</v>
          </cell>
          <cell r="AO161">
            <v>0</v>
          </cell>
        </row>
        <row r="162">
          <cell r="A162" t="str">
            <v>Véhicules usagés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usagés[...]</v>
          </cell>
          <cell r="B164" t="str">
            <v>[...]</v>
          </cell>
          <cell r="E164">
            <v>0</v>
          </cell>
        </row>
        <row r="165">
          <cell r="A165" t="str">
            <v>Véhicules usagésFrais administration</v>
          </cell>
          <cell r="B165" t="str">
            <v>Frais administration</v>
          </cell>
          <cell r="E165">
            <v>128814</v>
          </cell>
          <cell r="H165">
            <v>9874</v>
          </cell>
          <cell r="K165">
            <v>8812</v>
          </cell>
          <cell r="N165">
            <v>13046</v>
          </cell>
          <cell r="Q165">
            <v>7645</v>
          </cell>
          <cell r="T165">
            <v>8919</v>
          </cell>
          <cell r="W165">
            <v>8552</v>
          </cell>
          <cell r="Z165">
            <v>14460</v>
          </cell>
          <cell r="AC165">
            <v>16835</v>
          </cell>
          <cell r="AF165">
            <v>15069</v>
          </cell>
          <cell r="AI165">
            <v>10119</v>
          </cell>
          <cell r="AL165">
            <v>7749</v>
          </cell>
          <cell r="AO165">
            <v>7734</v>
          </cell>
        </row>
        <row r="166">
          <cell r="A166" t="str">
            <v>Véhicules usagésAUTRES REVENUS</v>
          </cell>
          <cell r="B166" t="str">
            <v>AUTRES REVENUS</v>
          </cell>
          <cell r="E166">
            <v>128814</v>
          </cell>
          <cell r="H166">
            <v>9874</v>
          </cell>
          <cell r="K166">
            <v>8812</v>
          </cell>
          <cell r="N166">
            <v>13046</v>
          </cell>
          <cell r="Q166">
            <v>7645</v>
          </cell>
          <cell r="T166">
            <v>8919</v>
          </cell>
          <cell r="W166">
            <v>8552</v>
          </cell>
          <cell r="Z166">
            <v>14460</v>
          </cell>
          <cell r="AC166">
            <v>16835</v>
          </cell>
          <cell r="AF166">
            <v>15069</v>
          </cell>
          <cell r="AI166">
            <v>10119</v>
          </cell>
          <cell r="AL166">
            <v>7749</v>
          </cell>
          <cell r="AO166">
            <v>7734</v>
          </cell>
        </row>
        <row r="167">
          <cell r="A167" t="str">
            <v>Véhicules usagés</v>
          </cell>
        </row>
        <row r="168">
          <cell r="A168" t="str">
            <v>Véhicules usagésPROFIT DÉPARTEMENTAL</v>
          </cell>
          <cell r="B168" t="str">
            <v>PROFIT DÉPARTEMENTAL</v>
          </cell>
          <cell r="E168">
            <v>226511.11999999895</v>
          </cell>
          <cell r="H168">
            <v>44638.029999999912</v>
          </cell>
          <cell r="K168">
            <v>12111.059999999794</v>
          </cell>
          <cell r="N168">
            <v>34458.869999999879</v>
          </cell>
          <cell r="Q168">
            <v>24932.099999999802</v>
          </cell>
          <cell r="T168">
            <v>8654.0500000000029</v>
          </cell>
          <cell r="W168">
            <v>44017.479999999894</v>
          </cell>
          <cell r="Z168">
            <v>40008.469999999914</v>
          </cell>
          <cell r="AC168">
            <v>7628.3099999999104</v>
          </cell>
          <cell r="AF168">
            <v>45139.409999999989</v>
          </cell>
          <cell r="AI168">
            <v>28826.879999999801</v>
          </cell>
          <cell r="AL168">
            <v>-22569.64</v>
          </cell>
          <cell r="AO168">
            <v>-41333.900000000089</v>
          </cell>
        </row>
        <row r="171">
          <cell r="B171" t="str">
            <v>Réel 2023</v>
          </cell>
          <cell r="C171" t="str">
            <v>Service</v>
          </cell>
        </row>
        <row r="173">
          <cell r="B173" t="str">
            <v>Mois</v>
          </cell>
          <cell r="C173">
            <v>2023</v>
          </cell>
          <cell r="F173" t="str">
            <v>Janvier</v>
          </cell>
          <cell r="I173" t="str">
            <v>Février</v>
          </cell>
          <cell r="L173" t="str">
            <v>Mars</v>
          </cell>
          <cell r="O173" t="str">
            <v>Avril</v>
          </cell>
          <cell r="R173" t="str">
            <v>Mai</v>
          </cell>
          <cell r="U173" t="str">
            <v>Juin</v>
          </cell>
          <cell r="X173" t="str">
            <v>Juillet</v>
          </cell>
          <cell r="AA173" t="str">
            <v>Août</v>
          </cell>
          <cell r="AD173" t="str">
            <v>Septembre</v>
          </cell>
          <cell r="AG173" t="str">
            <v>Octobre</v>
          </cell>
          <cell r="AJ173" t="str">
            <v>Novembre</v>
          </cell>
          <cell r="AM173" t="str">
            <v>Décembre</v>
          </cell>
        </row>
        <row r="174">
          <cell r="A174" t="str">
            <v>Service</v>
          </cell>
          <cell r="C174" t="str">
            <v>#</v>
          </cell>
          <cell r="D174" t="str">
            <v>$VENTES</v>
          </cell>
          <cell r="E174" t="str">
            <v>$PROFITS</v>
          </cell>
          <cell r="F174" t="str">
            <v>#</v>
          </cell>
          <cell r="G174" t="str">
            <v>$VENTES</v>
          </cell>
          <cell r="H174" t="str">
            <v>$PROFITS</v>
          </cell>
          <cell r="I174" t="str">
            <v>#</v>
          </cell>
          <cell r="J174" t="str">
            <v>$VENTES</v>
          </cell>
          <cell r="K174" t="str">
            <v>$PROFITS</v>
          </cell>
          <cell r="L174" t="str">
            <v>#</v>
          </cell>
          <cell r="M174" t="str">
            <v>$VENTES</v>
          </cell>
          <cell r="N174" t="str">
            <v>$PROFITS</v>
          </cell>
          <cell r="O174" t="str">
            <v>#</v>
          </cell>
          <cell r="P174" t="str">
            <v>$VENTES</v>
          </cell>
          <cell r="Q174" t="str">
            <v>$PROFITS</v>
          </cell>
          <cell r="R174" t="str">
            <v>#</v>
          </cell>
          <cell r="S174" t="str">
            <v>$VENTES</v>
          </cell>
          <cell r="T174" t="str">
            <v>$PROFITS</v>
          </cell>
          <cell r="U174" t="str">
            <v>#</v>
          </cell>
          <cell r="V174" t="str">
            <v>$VENTES</v>
          </cell>
          <cell r="W174" t="str">
            <v>$PROFITS</v>
          </cell>
          <cell r="X174" t="str">
            <v>#</v>
          </cell>
          <cell r="Y174" t="str">
            <v>$VENTES</v>
          </cell>
          <cell r="Z174" t="str">
            <v>$PROFITS</v>
          </cell>
          <cell r="AA174" t="str">
            <v>#</v>
          </cell>
          <cell r="AB174" t="str">
            <v>$VENTES</v>
          </cell>
          <cell r="AC174" t="str">
            <v>$PROFITS</v>
          </cell>
          <cell r="AD174" t="str">
            <v>#</v>
          </cell>
          <cell r="AE174" t="str">
            <v>$VENTES</v>
          </cell>
          <cell r="AF174" t="str">
            <v>$PROFITS</v>
          </cell>
          <cell r="AG174" t="str">
            <v>#</v>
          </cell>
          <cell r="AH174" t="str">
            <v>$VENTES</v>
          </cell>
          <cell r="AI174" t="str">
            <v>$PROFITS</v>
          </cell>
          <cell r="AJ174" t="str">
            <v>#</v>
          </cell>
          <cell r="AK174" t="str">
            <v>$VENTES</v>
          </cell>
          <cell r="AL174" t="str">
            <v>$PROFITS</v>
          </cell>
          <cell r="AM174" t="str">
            <v>#</v>
          </cell>
          <cell r="AN174" t="str">
            <v>$VENTES</v>
          </cell>
          <cell r="AO174" t="str">
            <v>$PROFITS</v>
          </cell>
        </row>
        <row r="175">
          <cell r="A175" t="str">
            <v>ServiceM/O Client</v>
          </cell>
          <cell r="B175" t="str">
            <v>M/O Client</v>
          </cell>
          <cell r="C175">
            <v>5672</v>
          </cell>
          <cell r="D175">
            <v>1794757.1899999969</v>
          </cell>
          <cell r="E175">
            <v>1365745.6399999978</v>
          </cell>
          <cell r="F175">
            <v>306</v>
          </cell>
          <cell r="G175">
            <v>99375.66</v>
          </cell>
          <cell r="H175">
            <v>73499.429999999993</v>
          </cell>
          <cell r="I175">
            <v>260</v>
          </cell>
          <cell r="J175">
            <v>88638.59</v>
          </cell>
          <cell r="K175">
            <v>67573.42</v>
          </cell>
          <cell r="L175">
            <v>324</v>
          </cell>
          <cell r="M175">
            <v>116309.069999999</v>
          </cell>
          <cell r="N175">
            <v>89120.03</v>
          </cell>
          <cell r="O175">
            <v>649</v>
          </cell>
          <cell r="P175">
            <v>206618.41</v>
          </cell>
          <cell r="Q175">
            <v>159399.99</v>
          </cell>
          <cell r="R175">
            <v>630</v>
          </cell>
          <cell r="S175">
            <v>205419.62999999899</v>
          </cell>
          <cell r="T175">
            <v>160181.58999999901</v>
          </cell>
          <cell r="U175">
            <v>424</v>
          </cell>
          <cell r="V175">
            <v>163560.49</v>
          </cell>
          <cell r="W175">
            <v>130305.849999999</v>
          </cell>
          <cell r="X175">
            <v>376</v>
          </cell>
          <cell r="Y175">
            <v>134675.75999999899</v>
          </cell>
          <cell r="Z175">
            <v>98157.879999999903</v>
          </cell>
          <cell r="AA175">
            <v>346</v>
          </cell>
          <cell r="AB175">
            <v>124231.09</v>
          </cell>
          <cell r="AC175">
            <v>94401.34</v>
          </cell>
          <cell r="AD175">
            <v>351</v>
          </cell>
          <cell r="AE175">
            <v>121290.73</v>
          </cell>
          <cell r="AF175">
            <v>89262.04</v>
          </cell>
          <cell r="AG175">
            <v>584</v>
          </cell>
          <cell r="AH175">
            <v>160196.75</v>
          </cell>
          <cell r="AI175">
            <v>122881.74</v>
          </cell>
          <cell r="AJ175">
            <v>1003</v>
          </cell>
          <cell r="AK175">
            <v>245740.65</v>
          </cell>
          <cell r="AL175">
            <v>184881.37</v>
          </cell>
          <cell r="AM175">
            <v>419</v>
          </cell>
          <cell r="AN175">
            <v>128700.36</v>
          </cell>
          <cell r="AO175">
            <v>96080.960000000006</v>
          </cell>
        </row>
        <row r="176">
          <cell r="A176" t="str">
            <v>Service% profit / ventes</v>
          </cell>
          <cell r="B176" t="str">
            <v>% profit / ventes</v>
          </cell>
          <cell r="E176">
            <v>0.76096401653083789</v>
          </cell>
          <cell r="H176">
            <v>0.73961199352034479</v>
          </cell>
          <cell r="K176">
            <v>0.76234764113463449</v>
          </cell>
          <cell r="N176">
            <v>0.76623456794900657</v>
          </cell>
          <cell r="Q176">
            <v>0.77147041253487525</v>
          </cell>
          <cell r="T176">
            <v>0.77977742438733721</v>
          </cell>
          <cell r="W176">
            <v>0.79668292752118197</v>
          </cell>
          <cell r="Z176">
            <v>0.72884593337361259</v>
          </cell>
          <cell r="AC176">
            <v>0.75988498531245274</v>
          </cell>
          <cell r="AF176">
            <v>0.7359345598793906</v>
          </cell>
          <cell r="AI176">
            <v>0.76706762153414476</v>
          </cell>
          <cell r="AL176">
            <v>0.75234345640413991</v>
          </cell>
          <cell r="AO176">
            <v>0.74654771750444215</v>
          </cell>
        </row>
        <row r="177">
          <cell r="A177" t="str">
            <v>Service</v>
          </cell>
          <cell r="D177">
            <v>316.42404619181895</v>
          </cell>
          <cell r="G177">
            <v>324.75705882352941</v>
          </cell>
          <cell r="J177">
            <v>340.91765384615383</v>
          </cell>
          <cell r="M177">
            <v>358.97861111110802</v>
          </cell>
          <cell r="P177">
            <v>318.36426810477656</v>
          </cell>
          <cell r="S177">
            <v>326.06290476190316</v>
          </cell>
          <cell r="V177">
            <v>385.75587264150943</v>
          </cell>
          <cell r="Y177">
            <v>358.18021276595476</v>
          </cell>
          <cell r="AB177">
            <v>359.04939306358381</v>
          </cell>
          <cell r="AE177">
            <v>345.5576353276353</v>
          </cell>
          <cell r="AH177">
            <v>274.30950342465752</v>
          </cell>
          <cell r="AK177">
            <v>245.00563310069791</v>
          </cell>
          <cell r="AN177">
            <v>307.16076372315035</v>
          </cell>
        </row>
        <row r="178">
          <cell r="A178" t="str">
            <v>ServiceM/O Garantie</v>
          </cell>
          <cell r="B178" t="str">
            <v>M/O Garantie</v>
          </cell>
          <cell r="C178">
            <v>1295</v>
          </cell>
          <cell r="D178">
            <v>340943.76</v>
          </cell>
          <cell r="E178">
            <v>205916.44999999969</v>
          </cell>
          <cell r="F178">
            <v>116</v>
          </cell>
          <cell r="G178">
            <v>26426.29</v>
          </cell>
          <cell r="H178">
            <v>15576.71</v>
          </cell>
          <cell r="I178">
            <v>104</v>
          </cell>
          <cell r="J178">
            <v>26193.41</v>
          </cell>
          <cell r="K178">
            <v>14568.82</v>
          </cell>
          <cell r="L178">
            <v>104</v>
          </cell>
          <cell r="M178">
            <v>24148.27</v>
          </cell>
          <cell r="N178">
            <v>14611.85</v>
          </cell>
          <cell r="O178">
            <v>76</v>
          </cell>
          <cell r="P178">
            <v>19537.28</v>
          </cell>
          <cell r="Q178">
            <v>11548.07</v>
          </cell>
          <cell r="R178">
            <v>84</v>
          </cell>
          <cell r="S178">
            <v>18769.009999999998</v>
          </cell>
          <cell r="T178">
            <v>12245.8999999999</v>
          </cell>
          <cell r="U178">
            <v>93</v>
          </cell>
          <cell r="V178">
            <v>23312.13</v>
          </cell>
          <cell r="W178">
            <v>14886.99</v>
          </cell>
          <cell r="X178">
            <v>127</v>
          </cell>
          <cell r="Y178">
            <v>31627.03</v>
          </cell>
          <cell r="Z178">
            <v>20159.589999999898</v>
          </cell>
          <cell r="AA178">
            <v>112</v>
          </cell>
          <cell r="AB178">
            <v>47082.720000000001</v>
          </cell>
          <cell r="AC178">
            <v>28555.8</v>
          </cell>
          <cell r="AD178">
            <v>118</v>
          </cell>
          <cell r="AE178">
            <v>34071.730000000003</v>
          </cell>
          <cell r="AF178">
            <v>20940.57</v>
          </cell>
          <cell r="AG178">
            <v>98</v>
          </cell>
          <cell r="AH178">
            <v>29283.51</v>
          </cell>
          <cell r="AI178">
            <v>17174.5</v>
          </cell>
          <cell r="AJ178">
            <v>116</v>
          </cell>
          <cell r="AK178">
            <v>22849.53</v>
          </cell>
          <cell r="AL178">
            <v>12512.06</v>
          </cell>
          <cell r="AM178">
            <v>147</v>
          </cell>
          <cell r="AN178">
            <v>37642.85</v>
          </cell>
          <cell r="AO178">
            <v>23135.589999999898</v>
          </cell>
        </row>
        <row r="179">
          <cell r="A179" t="str">
            <v>Service% profit / ventes</v>
          </cell>
          <cell r="B179" t="str">
            <v>% profit / ventes</v>
          </cell>
          <cell r="E179">
            <v>0.60396016633359029</v>
          </cell>
          <cell r="H179">
            <v>0.58943991002898999</v>
          </cell>
          <cell r="K179">
            <v>0.55620173165693199</v>
          </cell>
          <cell r="N179">
            <v>0.60508889456677439</v>
          </cell>
          <cell r="Q179">
            <v>0.59107869672748714</v>
          </cell>
          <cell r="T179">
            <v>0.65245316614994087</v>
          </cell>
          <cell r="W179">
            <v>0.63859415677589304</v>
          </cell>
          <cell r="Z179">
            <v>0.63741647571712867</v>
          </cell>
          <cell r="AC179">
            <v>0.60650276789446311</v>
          </cell>
          <cell r="AF179">
            <v>0.61460248716457888</v>
          </cell>
          <cell r="AI179">
            <v>0.58649048560094064</v>
          </cell>
          <cell r="AL179">
            <v>0.54758500503073804</v>
          </cell>
          <cell r="AO179">
            <v>0.6146078206086919</v>
          </cell>
        </row>
        <row r="180">
          <cell r="A180" t="str">
            <v>Service</v>
          </cell>
          <cell r="D180">
            <v>263.27703474903478</v>
          </cell>
          <cell r="G180">
            <v>227.81284482758622</v>
          </cell>
          <cell r="J180">
            <v>251.85971153846154</v>
          </cell>
          <cell r="M180">
            <v>232.19490384615386</v>
          </cell>
          <cell r="P180">
            <v>257.06947368421049</v>
          </cell>
          <cell r="S180">
            <v>223.44059523809523</v>
          </cell>
          <cell r="V180">
            <v>250.66806451612905</v>
          </cell>
          <cell r="Y180">
            <v>249.03173228346455</v>
          </cell>
          <cell r="AB180">
            <v>420.38142857142856</v>
          </cell>
          <cell r="AE180">
            <v>288.74347457627124</v>
          </cell>
          <cell r="AH180">
            <v>298.81132653061223</v>
          </cell>
          <cell r="AK180">
            <v>196.97870689655173</v>
          </cell>
          <cell r="AN180">
            <v>256.07380952380953</v>
          </cell>
        </row>
        <row r="181">
          <cell r="A181" t="str">
            <v>ServiceM/O Interne</v>
          </cell>
          <cell r="B181" t="str">
            <v>M/O Interne</v>
          </cell>
          <cell r="C181">
            <v>2616</v>
          </cell>
          <cell r="D181">
            <v>774983.94999999984</v>
          </cell>
          <cell r="E181">
            <v>522451.40999999957</v>
          </cell>
          <cell r="F181">
            <v>147</v>
          </cell>
          <cell r="G181">
            <v>41247.18</v>
          </cell>
          <cell r="H181">
            <v>27655.16</v>
          </cell>
          <cell r="I181">
            <v>153</v>
          </cell>
          <cell r="J181">
            <v>44287.68</v>
          </cell>
          <cell r="K181">
            <v>24875.26</v>
          </cell>
          <cell r="L181">
            <v>209</v>
          </cell>
          <cell r="M181">
            <v>44954.73</v>
          </cell>
          <cell r="N181">
            <v>29428.93</v>
          </cell>
          <cell r="O181">
            <v>141</v>
          </cell>
          <cell r="P181">
            <v>39589.24</v>
          </cell>
          <cell r="Q181">
            <v>28469.120000000003</v>
          </cell>
          <cell r="R181">
            <v>218</v>
          </cell>
          <cell r="S181">
            <v>70537.03</v>
          </cell>
          <cell r="T181">
            <v>51061.659999999902</v>
          </cell>
          <cell r="U181">
            <v>207</v>
          </cell>
          <cell r="V181">
            <v>61936.79</v>
          </cell>
          <cell r="W181">
            <v>45575.42</v>
          </cell>
          <cell r="X181">
            <v>205</v>
          </cell>
          <cell r="Y181">
            <v>71469.95</v>
          </cell>
          <cell r="Z181">
            <v>47106.679999999898</v>
          </cell>
          <cell r="AA181">
            <v>207</v>
          </cell>
          <cell r="AB181">
            <v>64628.659999999902</v>
          </cell>
          <cell r="AC181">
            <v>40631.67</v>
          </cell>
          <cell r="AD181">
            <v>246</v>
          </cell>
          <cell r="AE181">
            <v>70784.98</v>
          </cell>
          <cell r="AF181">
            <v>49450.3299999999</v>
          </cell>
          <cell r="AG181">
            <v>319</v>
          </cell>
          <cell r="AH181">
            <v>100162.52</v>
          </cell>
          <cell r="AI181">
            <v>59641.43</v>
          </cell>
          <cell r="AJ181">
            <v>339</v>
          </cell>
          <cell r="AK181">
            <v>94484.31</v>
          </cell>
          <cell r="AL181">
            <v>69294.319999999905</v>
          </cell>
          <cell r="AM181">
            <v>225</v>
          </cell>
          <cell r="AN181">
            <v>70900.88</v>
          </cell>
          <cell r="AO181">
            <v>49261.43</v>
          </cell>
        </row>
        <row r="182">
          <cell r="A182" t="str">
            <v>Service% profit / ventes</v>
          </cell>
          <cell r="B182" t="str">
            <v>% profit / ventes</v>
          </cell>
          <cell r="E182">
            <v>0.67414481293451256</v>
          </cell>
          <cell r="H182">
            <v>0.67047395724992598</v>
          </cell>
          <cell r="K182">
            <v>0.5616744882549729</v>
          </cell>
          <cell r="N182">
            <v>0.65463478481574677</v>
          </cell>
          <cell r="Q182">
            <v>0.7191125669500098</v>
          </cell>
          <cell r="T182">
            <v>0.72389863877171889</v>
          </cell>
          <cell r="W182">
            <v>0.73583761767440636</v>
          </cell>
          <cell r="Z182">
            <v>0.65911169659416158</v>
          </cell>
          <cell r="AC182">
            <v>0.6286942975453933</v>
          </cell>
          <cell r="AF182">
            <v>0.6985991943488562</v>
          </cell>
          <cell r="AI182">
            <v>0.59544658021782992</v>
          </cell>
          <cell r="AL182">
            <v>0.73339499436467182</v>
          </cell>
          <cell r="AO182">
            <v>0.69479292781697488</v>
          </cell>
        </row>
        <row r="183">
          <cell r="A183" t="str">
            <v>Service</v>
          </cell>
          <cell r="D183">
            <v>296.24768730886842</v>
          </cell>
          <cell r="G183">
            <v>280.59306122448982</v>
          </cell>
          <cell r="J183">
            <v>289.4619607843137</v>
          </cell>
          <cell r="M183">
            <v>215.0944019138756</v>
          </cell>
          <cell r="P183">
            <v>280.77475177304962</v>
          </cell>
          <cell r="S183">
            <v>323.56435779816513</v>
          </cell>
          <cell r="V183">
            <v>299.2115458937198</v>
          </cell>
          <cell r="Y183">
            <v>348.63390243902438</v>
          </cell>
          <cell r="AB183">
            <v>312.21574879227006</v>
          </cell>
          <cell r="AE183">
            <v>287.74382113821139</v>
          </cell>
          <cell r="AH183">
            <v>313.98909090909092</v>
          </cell>
          <cell r="AK183">
            <v>278.71477876106195</v>
          </cell>
          <cell r="AN183">
            <v>315.11502222222225</v>
          </cell>
        </row>
        <row r="184">
          <cell r="A184" t="str">
            <v>ServiceM/O Esthétique</v>
          </cell>
          <cell r="B184" t="str">
            <v>M/O Esthétique</v>
          </cell>
          <cell r="C184">
            <v>0</v>
          </cell>
          <cell r="D184">
            <v>115951.84999999998</v>
          </cell>
          <cell r="E184">
            <v>91317.869999999937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119.9</v>
          </cell>
          <cell r="K184">
            <v>76.7</v>
          </cell>
          <cell r="L184">
            <v>0</v>
          </cell>
          <cell r="M184">
            <v>2307.7399999999998</v>
          </cell>
          <cell r="N184">
            <v>2088.8599999999901</v>
          </cell>
          <cell r="O184">
            <v>0</v>
          </cell>
          <cell r="P184">
            <v>4257.78</v>
          </cell>
          <cell r="Q184">
            <v>3429.3799999999901</v>
          </cell>
          <cell r="R184">
            <v>0</v>
          </cell>
          <cell r="S184">
            <v>18455.04</v>
          </cell>
          <cell r="T184">
            <v>14338.96</v>
          </cell>
          <cell r="U184">
            <v>0</v>
          </cell>
          <cell r="V184">
            <v>12535.35</v>
          </cell>
          <cell r="W184">
            <v>9643.2099999999991</v>
          </cell>
          <cell r="X184">
            <v>0</v>
          </cell>
          <cell r="Y184">
            <v>12357.23</v>
          </cell>
          <cell r="Z184">
            <v>9196.53999999999</v>
          </cell>
          <cell r="AA184">
            <v>0</v>
          </cell>
          <cell r="AB184">
            <v>16369.69</v>
          </cell>
          <cell r="AC184">
            <v>14346.63</v>
          </cell>
          <cell r="AD184">
            <v>0</v>
          </cell>
          <cell r="AE184">
            <v>11861.54</v>
          </cell>
          <cell r="AF184">
            <v>9783.99</v>
          </cell>
          <cell r="AG184">
            <v>0</v>
          </cell>
          <cell r="AH184">
            <v>14474.65</v>
          </cell>
          <cell r="AI184">
            <v>11844.48</v>
          </cell>
          <cell r="AJ184">
            <v>0</v>
          </cell>
          <cell r="AK184">
            <v>17546.61</v>
          </cell>
          <cell r="AL184">
            <v>12159.81</v>
          </cell>
          <cell r="AM184">
            <v>0</v>
          </cell>
          <cell r="AN184">
            <v>5666.32</v>
          </cell>
          <cell r="AO184">
            <v>4409.3099999999904</v>
          </cell>
        </row>
        <row r="185">
          <cell r="A185" t="str">
            <v>Service% profit / ventes</v>
          </cell>
          <cell r="B185" t="str">
            <v>% profit / ventes</v>
          </cell>
          <cell r="D185">
            <v>0</v>
          </cell>
          <cell r="E185">
            <v>0.78754991834972843</v>
          </cell>
          <cell r="G185">
            <v>0</v>
          </cell>
          <cell r="H185">
            <v>0</v>
          </cell>
          <cell r="J185">
            <v>0</v>
          </cell>
          <cell r="K185">
            <v>0.63969974979149291</v>
          </cell>
          <cell r="M185">
            <v>0</v>
          </cell>
          <cell r="N185">
            <v>0.90515396015148597</v>
          </cell>
          <cell r="P185">
            <v>0</v>
          </cell>
          <cell r="Q185">
            <v>0.80543851490682705</v>
          </cell>
          <cell r="S185">
            <v>0</v>
          </cell>
          <cell r="T185">
            <v>0.77696715910667213</v>
          </cell>
          <cell r="V185">
            <v>0</v>
          </cell>
          <cell r="W185">
            <v>0.76928127256119683</v>
          </cell>
          <cell r="Y185">
            <v>0</v>
          </cell>
          <cell r="Z185">
            <v>0.74422342223944926</v>
          </cell>
          <cell r="AB185">
            <v>0</v>
          </cell>
          <cell r="AC185">
            <v>0.87641427540778105</v>
          </cell>
          <cell r="AE185">
            <v>0</v>
          </cell>
          <cell r="AF185">
            <v>0.82484989301557798</v>
          </cell>
          <cell r="AH185">
            <v>0</v>
          </cell>
          <cell r="AI185">
            <v>0.81829128856310862</v>
          </cell>
          <cell r="AK185">
            <v>0</v>
          </cell>
          <cell r="AL185">
            <v>0.69300052830717718</v>
          </cell>
          <cell r="AN185">
            <v>0</v>
          </cell>
          <cell r="AO185">
            <v>0.77816113456352454</v>
          </cell>
        </row>
        <row r="186">
          <cell r="A186" t="str">
            <v>Service</v>
          </cell>
          <cell r="D186">
            <v>0</v>
          </cell>
          <cell r="G186">
            <v>0</v>
          </cell>
          <cell r="J186">
            <v>0</v>
          </cell>
          <cell r="M186">
            <v>0</v>
          </cell>
          <cell r="P186">
            <v>0</v>
          </cell>
          <cell r="S186">
            <v>0</v>
          </cell>
          <cell r="V186">
            <v>0</v>
          </cell>
          <cell r="Y186">
            <v>0</v>
          </cell>
          <cell r="AB186">
            <v>0</v>
          </cell>
          <cell r="AE186">
            <v>0</v>
          </cell>
          <cell r="AH186">
            <v>0</v>
          </cell>
          <cell r="AK186">
            <v>0</v>
          </cell>
          <cell r="AN186">
            <v>0</v>
          </cell>
        </row>
        <row r="187">
          <cell r="A187" t="str">
            <v>ServiceAjustement M/O</v>
          </cell>
          <cell r="B187" t="str">
            <v>Ajustement M/O</v>
          </cell>
          <cell r="E187">
            <v>-32056.45</v>
          </cell>
          <cell r="H187">
            <v>-2262.14</v>
          </cell>
          <cell r="K187">
            <v>-2759.96</v>
          </cell>
          <cell r="N187">
            <v>-1643.12</v>
          </cell>
          <cell r="Q187">
            <v>-3057.78</v>
          </cell>
          <cell r="T187">
            <v>-211.89</v>
          </cell>
          <cell r="W187">
            <v>-2801.5</v>
          </cell>
          <cell r="Z187">
            <v>-1305.82</v>
          </cell>
          <cell r="AC187">
            <v>-1755.16</v>
          </cell>
          <cell r="AF187">
            <v>-6099.74</v>
          </cell>
          <cell r="AI187">
            <v>-3152.12</v>
          </cell>
          <cell r="AL187">
            <v>-1433.5</v>
          </cell>
          <cell r="AO187">
            <v>-5573.72</v>
          </cell>
        </row>
        <row r="188">
          <cell r="A188" t="str">
            <v>ServiceSous-total M/O</v>
          </cell>
          <cell r="B188" t="str">
            <v>Sous-total M/O</v>
          </cell>
          <cell r="C188">
            <v>9583</v>
          </cell>
          <cell r="D188">
            <v>3026636.7499999967</v>
          </cell>
          <cell r="E188">
            <v>2153374.9199999971</v>
          </cell>
          <cell r="F188">
            <v>569</v>
          </cell>
          <cell r="G188">
            <v>167049.13</v>
          </cell>
          <cell r="H188">
            <v>114469.15999999999</v>
          </cell>
          <cell r="I188">
            <v>517</v>
          </cell>
          <cell r="J188">
            <v>159239.57999999999</v>
          </cell>
          <cell r="K188">
            <v>104334.23999999998</v>
          </cell>
          <cell r="L188">
            <v>637</v>
          </cell>
          <cell r="M188">
            <v>187719.80999999901</v>
          </cell>
          <cell r="N188">
            <v>133606.54999999999</v>
          </cell>
          <cell r="O188">
            <v>866</v>
          </cell>
          <cell r="P188">
            <v>270002.71000000002</v>
          </cell>
          <cell r="Q188">
            <v>199788.78</v>
          </cell>
          <cell r="R188">
            <v>932</v>
          </cell>
          <cell r="S188">
            <v>313180.70999999897</v>
          </cell>
          <cell r="T188">
            <v>237616.21999999878</v>
          </cell>
          <cell r="U188">
            <v>724</v>
          </cell>
          <cell r="V188">
            <v>261344.76</v>
          </cell>
          <cell r="W188">
            <v>197609.96999999901</v>
          </cell>
          <cell r="X188">
            <v>708</v>
          </cell>
          <cell r="Y188">
            <v>250129.96999999901</v>
          </cell>
          <cell r="Z188">
            <v>173314.86999999968</v>
          </cell>
          <cell r="AA188">
            <v>665</v>
          </cell>
          <cell r="AB188">
            <v>252312.15999999992</v>
          </cell>
          <cell r="AC188">
            <v>176180.28</v>
          </cell>
          <cell r="AD188">
            <v>715</v>
          </cell>
          <cell r="AE188">
            <v>238008.98</v>
          </cell>
          <cell r="AF188">
            <v>163337.18999999989</v>
          </cell>
          <cell r="AG188">
            <v>1001</v>
          </cell>
          <cell r="AH188">
            <v>304117.43000000005</v>
          </cell>
          <cell r="AI188">
            <v>208390.03</v>
          </cell>
          <cell r="AJ188">
            <v>1458</v>
          </cell>
          <cell r="AK188">
            <v>380621.1</v>
          </cell>
          <cell r="AL188">
            <v>277414.05999999988</v>
          </cell>
          <cell r="AM188">
            <v>791</v>
          </cell>
          <cell r="AN188">
            <v>242910.41</v>
          </cell>
          <cell r="AO188">
            <v>167313.56999999989</v>
          </cell>
        </row>
        <row r="189">
          <cell r="A189" t="str">
            <v>Service% protit / ventes</v>
          </cell>
          <cell r="B189" t="str">
            <v>% protit / ventes</v>
          </cell>
          <cell r="D189">
            <v>315.83395074611258</v>
          </cell>
          <cell r="E189">
            <v>0.71147451705263254</v>
          </cell>
          <cell r="G189">
            <v>293.58370826010548</v>
          </cell>
          <cell r="H189">
            <v>0.68524247926343573</v>
          </cell>
          <cell r="J189">
            <v>308.00692456479686</v>
          </cell>
          <cell r="K189">
            <v>0.65520293384345762</v>
          </cell>
          <cell r="M189">
            <v>294.69357927786342</v>
          </cell>
          <cell r="N189">
            <v>0.71173388679650107</v>
          </cell>
          <cell r="P189">
            <v>311.78142032332568</v>
          </cell>
          <cell r="Q189">
            <v>0.73995101752867587</v>
          </cell>
          <cell r="S189">
            <v>336.03080472102891</v>
          </cell>
          <cell r="T189">
            <v>0.75871920719510333</v>
          </cell>
          <cell r="V189">
            <v>360.97342541436467</v>
          </cell>
          <cell r="W189">
            <v>0.75612753819896372</v>
          </cell>
          <cell r="Y189">
            <v>353.29091807909464</v>
          </cell>
          <cell r="Z189">
            <v>0.69289925553503384</v>
          </cell>
          <cell r="AB189">
            <v>379.41678195488709</v>
          </cell>
          <cell r="AC189">
            <v>0.69826313563325704</v>
          </cell>
          <cell r="AE189">
            <v>332.87969230769232</v>
          </cell>
          <cell r="AF189">
            <v>0.68626482076432527</v>
          </cell>
          <cell r="AH189">
            <v>303.81361638361642</v>
          </cell>
          <cell r="AI189">
            <v>0.68522882756177428</v>
          </cell>
          <cell r="AK189">
            <v>261.05699588477364</v>
          </cell>
          <cell r="AL189">
            <v>0.7288457208494219</v>
          </cell>
          <cell r="AN189">
            <v>307.09280657395703</v>
          </cell>
          <cell r="AO189">
            <v>0.68878715407873992</v>
          </cell>
        </row>
        <row r="190">
          <cell r="A190" t="str">
            <v>Service</v>
          </cell>
        </row>
        <row r="191">
          <cell r="A191" t="str">
            <v>ServiceSous-traitement</v>
          </cell>
          <cell r="B191" t="str">
            <v>Sous-traitement</v>
          </cell>
          <cell r="C191">
            <v>0</v>
          </cell>
          <cell r="D191">
            <v>153688.8599999999</v>
          </cell>
          <cell r="E191">
            <v>29772.999999999953</v>
          </cell>
          <cell r="F191">
            <v>0</v>
          </cell>
          <cell r="G191">
            <v>13993.6899999999</v>
          </cell>
          <cell r="H191">
            <v>2908.0899999999901</v>
          </cell>
          <cell r="I191">
            <v>0</v>
          </cell>
          <cell r="J191">
            <v>15319.49</v>
          </cell>
          <cell r="K191">
            <v>3499.79</v>
          </cell>
          <cell r="L191">
            <v>0</v>
          </cell>
          <cell r="M191">
            <v>13379.64</v>
          </cell>
          <cell r="N191">
            <v>2737.98</v>
          </cell>
          <cell r="O191">
            <v>0</v>
          </cell>
          <cell r="P191">
            <v>10677.2</v>
          </cell>
          <cell r="Q191">
            <v>345.05000000000098</v>
          </cell>
          <cell r="R191">
            <v>0</v>
          </cell>
          <cell r="S191">
            <v>11573.04</v>
          </cell>
          <cell r="T191">
            <v>1454.89</v>
          </cell>
          <cell r="U191">
            <v>0</v>
          </cell>
          <cell r="V191">
            <v>11169.3</v>
          </cell>
          <cell r="W191">
            <v>2446.3999999999901</v>
          </cell>
          <cell r="X191">
            <v>0</v>
          </cell>
          <cell r="Y191">
            <v>13313.75</v>
          </cell>
          <cell r="Z191">
            <v>2687.7799999999902</v>
          </cell>
          <cell r="AA191">
            <v>0</v>
          </cell>
          <cell r="AB191">
            <v>14003.68</v>
          </cell>
          <cell r="AC191">
            <v>2238.2399999999998</v>
          </cell>
          <cell r="AD191">
            <v>0</v>
          </cell>
          <cell r="AE191">
            <v>12633.65</v>
          </cell>
          <cell r="AF191">
            <v>2733.9</v>
          </cell>
          <cell r="AG191">
            <v>0</v>
          </cell>
          <cell r="AH191">
            <v>12600.7</v>
          </cell>
          <cell r="AI191">
            <v>2662.37</v>
          </cell>
          <cell r="AJ191">
            <v>0</v>
          </cell>
          <cell r="AK191">
            <v>15124.4</v>
          </cell>
          <cell r="AL191">
            <v>3157.1899999999901</v>
          </cell>
          <cell r="AM191">
            <v>0</v>
          </cell>
          <cell r="AN191">
            <v>9900.32</v>
          </cell>
          <cell r="AO191">
            <v>2901.3199999999902</v>
          </cell>
        </row>
        <row r="192">
          <cell r="A192" t="str">
            <v>Service% profit / ventes</v>
          </cell>
          <cell r="B192" t="str">
            <v>% profit / ventes</v>
          </cell>
          <cell r="E192">
            <v>0.19372256388654305</v>
          </cell>
          <cell r="H192">
            <v>0.20781437919519519</v>
          </cell>
          <cell r="K192">
            <v>0.22845342762715992</v>
          </cell>
          <cell r="N192">
            <v>0.20463779294510168</v>
          </cell>
          <cell r="Q192">
            <v>3.2316524931630106E-2</v>
          </cell>
          <cell r="T192">
            <v>0.12571372776729364</v>
          </cell>
          <cell r="W192">
            <v>0.21902894541287191</v>
          </cell>
          <cell r="Z192">
            <v>0.201880011266547</v>
          </cell>
          <cell r="AC192">
            <v>0.159832272659758</v>
          </cell>
          <cell r="AF192">
            <v>0.21639826970036372</v>
          </cell>
          <cell r="AI192">
            <v>0.21128746815653096</v>
          </cell>
          <cell r="AL192">
            <v>0.20874811562772672</v>
          </cell>
          <cell r="AO192">
            <v>0.29305315383745073</v>
          </cell>
        </row>
        <row r="193">
          <cell r="A193" t="str">
            <v>Service</v>
          </cell>
        </row>
        <row r="194">
          <cell r="A194" t="str">
            <v>ServiceM.O. Recond. MCPA</v>
          </cell>
          <cell r="B194" t="str">
            <v>M.O. Recond. MCPA</v>
          </cell>
          <cell r="C194">
            <v>361</v>
          </cell>
          <cell r="D194">
            <v>67720.11</v>
          </cell>
          <cell r="E194">
            <v>48459.05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37</v>
          </cell>
          <cell r="Y194">
            <v>6269.36</v>
          </cell>
          <cell r="Z194">
            <v>4401.66</v>
          </cell>
          <cell r="AA194">
            <v>67</v>
          </cell>
          <cell r="AB194">
            <v>10767.44</v>
          </cell>
          <cell r="AC194">
            <v>7120.63</v>
          </cell>
          <cell r="AD194">
            <v>72</v>
          </cell>
          <cell r="AE194">
            <v>12594.24</v>
          </cell>
          <cell r="AF194">
            <v>8569.1299999999992</v>
          </cell>
          <cell r="AG194">
            <v>63</v>
          </cell>
          <cell r="AH194">
            <v>12649.56</v>
          </cell>
          <cell r="AI194">
            <v>9369.09</v>
          </cell>
          <cell r="AJ194">
            <v>58</v>
          </cell>
          <cell r="AK194">
            <v>12814.91</v>
          </cell>
          <cell r="AL194">
            <v>9705.07</v>
          </cell>
          <cell r="AM194">
            <v>64</v>
          </cell>
          <cell r="AN194">
            <v>12624.6</v>
          </cell>
          <cell r="AO194">
            <v>9293.4699999999993</v>
          </cell>
        </row>
        <row r="195">
          <cell r="A195" t="str">
            <v>Service% profit / ventes</v>
          </cell>
          <cell r="B195" t="str">
            <v>% profit / ventes</v>
          </cell>
          <cell r="E195">
            <v>0.71557843010001021</v>
          </cell>
          <cell r="H195">
            <v>0</v>
          </cell>
          <cell r="K195">
            <v>0</v>
          </cell>
          <cell r="N195">
            <v>0</v>
          </cell>
          <cell r="Q195">
            <v>0</v>
          </cell>
          <cell r="T195">
            <v>0</v>
          </cell>
          <cell r="W195">
            <v>0</v>
          </cell>
          <cell r="Z195">
            <v>0.70209080352699482</v>
          </cell>
          <cell r="AC195">
            <v>0.66131132376869528</v>
          </cell>
          <cell r="AF195">
            <v>0.68040072287013742</v>
          </cell>
          <cell r="AI195">
            <v>0.74066528796258535</v>
          </cell>
          <cell r="AL195">
            <v>0.75732642679503792</v>
          </cell>
          <cell r="AO195">
            <v>0.73613975888344974</v>
          </cell>
        </row>
        <row r="196">
          <cell r="A196" t="str">
            <v>Service</v>
          </cell>
        </row>
        <row r="197">
          <cell r="A197" t="str">
            <v>ServiceTotal Mécanique</v>
          </cell>
          <cell r="B197" t="str">
            <v>Total Mécanique</v>
          </cell>
          <cell r="D197">
            <v>3248045.7199999965</v>
          </cell>
          <cell r="E197">
            <v>2231606.9699999969</v>
          </cell>
          <cell r="G197">
            <v>181042.81999999989</v>
          </cell>
          <cell r="H197">
            <v>117377.24999999999</v>
          </cell>
          <cell r="J197">
            <v>174559.06999999998</v>
          </cell>
          <cell r="K197">
            <v>107834.02999999997</v>
          </cell>
          <cell r="M197">
            <v>201099.44999999902</v>
          </cell>
          <cell r="N197">
            <v>136344.53</v>
          </cell>
          <cell r="P197">
            <v>280679.91000000003</v>
          </cell>
          <cell r="Q197">
            <v>200133.83</v>
          </cell>
          <cell r="S197">
            <v>324753.74999999895</v>
          </cell>
          <cell r="T197">
            <v>239071.10999999879</v>
          </cell>
          <cell r="V197">
            <v>272514.06</v>
          </cell>
          <cell r="W197">
            <v>200056.36999999901</v>
          </cell>
          <cell r="Y197">
            <v>269713.07999999903</v>
          </cell>
          <cell r="Z197">
            <v>180404.30999999968</v>
          </cell>
          <cell r="AB197">
            <v>277083.27999999991</v>
          </cell>
          <cell r="AC197">
            <v>185539.15</v>
          </cell>
          <cell r="AE197">
            <v>263236.87</v>
          </cell>
          <cell r="AF197">
            <v>174640.21999999988</v>
          </cell>
          <cell r="AH197">
            <v>329367.69000000006</v>
          </cell>
          <cell r="AI197">
            <v>220421.49</v>
          </cell>
          <cell r="AK197">
            <v>408560.41</v>
          </cell>
          <cell r="AL197">
            <v>290276.31999999989</v>
          </cell>
          <cell r="AN197">
            <v>265435.33</v>
          </cell>
          <cell r="AO197">
            <v>179508.35999999987</v>
          </cell>
        </row>
        <row r="198">
          <cell r="A198" t="str">
            <v>Service</v>
          </cell>
          <cell r="E198">
            <v>0.68706144013268367</v>
          </cell>
          <cell r="H198">
            <v>0.64833971322364536</v>
          </cell>
          <cell r="K198">
            <v>0.61775094241737183</v>
          </cell>
          <cell r="N198">
            <v>0.6779955390231085</v>
          </cell>
          <cell r="Q198">
            <v>0.71303225799096193</v>
          </cell>
          <cell r="T198">
            <v>0.7361611990623651</v>
          </cell>
          <cell r="W198">
            <v>0.73411393892850518</v>
          </cell>
          <cell r="Z198">
            <v>0.66887490217382239</v>
          </cell>
          <cell r="AC198">
            <v>0.66961510633193044</v>
          </cell>
          <cell r="AF198">
            <v>0.66343373555535701</v>
          </cell>
          <cell r="AI198">
            <v>0.66922620734292415</v>
          </cell>
          <cell r="AL198">
            <v>0.71048567823788877</v>
          </cell>
          <cell r="AO198">
            <v>0.67627907709196011</v>
          </cell>
        </row>
        <row r="199">
          <cell r="A199" t="str">
            <v>Service</v>
          </cell>
        </row>
        <row r="200">
          <cell r="A200" t="str">
            <v>ServiceDEPENSES</v>
          </cell>
          <cell r="B200" t="str">
            <v>DEPENSES</v>
          </cell>
        </row>
        <row r="201">
          <cell r="A201" t="str">
            <v>ServiceSalaires cadres</v>
          </cell>
          <cell r="B201" t="str">
            <v>Salaires cadres</v>
          </cell>
          <cell r="E201">
            <v>138678.93999999997</v>
          </cell>
          <cell r="H201">
            <v>9975.99</v>
          </cell>
          <cell r="K201">
            <v>4892.75</v>
          </cell>
          <cell r="N201">
            <v>6801.06</v>
          </cell>
          <cell r="Q201">
            <v>6865.75</v>
          </cell>
          <cell r="T201">
            <v>16331.68</v>
          </cell>
          <cell r="W201">
            <v>10048.370000000001</v>
          </cell>
          <cell r="Z201">
            <v>15471.14</v>
          </cell>
          <cell r="AC201">
            <v>8860.06</v>
          </cell>
          <cell r="AF201">
            <v>11257.65</v>
          </cell>
          <cell r="AI201">
            <v>8835.52</v>
          </cell>
          <cell r="AL201">
            <v>20516.509999999998</v>
          </cell>
          <cell r="AO201">
            <v>18822.46</v>
          </cell>
        </row>
        <row r="202">
          <cell r="A202" t="str">
            <v>ServiceSalaires commis</v>
          </cell>
          <cell r="B202" t="str">
            <v>Salaires commis</v>
          </cell>
          <cell r="E202">
            <v>87087.040000000008</v>
          </cell>
          <cell r="H202">
            <v>6224.23</v>
          </cell>
          <cell r="K202">
            <v>6776.61</v>
          </cell>
          <cell r="N202">
            <v>6148.97</v>
          </cell>
          <cell r="Q202">
            <v>6119.29</v>
          </cell>
          <cell r="T202">
            <v>7247.63</v>
          </cell>
          <cell r="W202">
            <v>4392.7299999999996</v>
          </cell>
          <cell r="Z202">
            <v>7065.61</v>
          </cell>
          <cell r="AC202">
            <v>8762.59</v>
          </cell>
          <cell r="AF202">
            <v>9437.7800000000007</v>
          </cell>
          <cell r="AI202">
            <v>8026.69</v>
          </cell>
          <cell r="AL202">
            <v>8125.49</v>
          </cell>
          <cell r="AO202">
            <v>8759.42</v>
          </cell>
        </row>
        <row r="203">
          <cell r="A203" t="str">
            <v>ServiceSalaires autres</v>
          </cell>
          <cell r="B203" t="str">
            <v>Salaires autres</v>
          </cell>
          <cell r="E203">
            <v>170123.82</v>
          </cell>
          <cell r="H203">
            <v>4806.96</v>
          </cell>
          <cell r="K203">
            <v>11006.09</v>
          </cell>
          <cell r="N203">
            <v>6650.9</v>
          </cell>
          <cell r="Q203">
            <v>10219.44</v>
          </cell>
          <cell r="T203">
            <v>11269.4</v>
          </cell>
          <cell r="W203">
            <v>4935.46</v>
          </cell>
          <cell r="Z203">
            <v>5232</v>
          </cell>
          <cell r="AC203">
            <v>3894</v>
          </cell>
          <cell r="AF203">
            <v>22744.12</v>
          </cell>
          <cell r="AI203">
            <v>18675.060000000001</v>
          </cell>
          <cell r="AL203">
            <v>49361.41</v>
          </cell>
          <cell r="AO203">
            <v>21328.98</v>
          </cell>
        </row>
        <row r="204">
          <cell r="A204" t="str">
            <v>ServiceSalaires spécialistes</v>
          </cell>
          <cell r="B204" t="str">
            <v>Salaires spécialistes</v>
          </cell>
          <cell r="E204">
            <v>338254.12</v>
          </cell>
          <cell r="H204">
            <v>27507.4</v>
          </cell>
          <cell r="K204">
            <v>19052.349999999999</v>
          </cell>
          <cell r="N204">
            <v>29586.65</v>
          </cell>
          <cell r="Q204">
            <v>30326</v>
          </cell>
          <cell r="T204">
            <v>30365.98</v>
          </cell>
          <cell r="W204">
            <v>33595.35</v>
          </cell>
          <cell r="Z204">
            <v>23983.360000000001</v>
          </cell>
          <cell r="AC204">
            <v>23569.11</v>
          </cell>
          <cell r="AF204">
            <v>28337.21</v>
          </cell>
          <cell r="AI204">
            <v>34817.24</v>
          </cell>
          <cell r="AL204">
            <v>20706.29</v>
          </cell>
          <cell r="AO204">
            <v>36407.18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  <cell r="H205">
            <v>0</v>
          </cell>
          <cell r="K205">
            <v>0</v>
          </cell>
          <cell r="N205">
            <v>0</v>
          </cell>
          <cell r="Q205">
            <v>0</v>
          </cell>
          <cell r="T205">
            <v>0</v>
          </cell>
          <cell r="W205">
            <v>0</v>
          </cell>
          <cell r="Z205">
            <v>0</v>
          </cell>
          <cell r="AC205">
            <v>0</v>
          </cell>
          <cell r="AF205">
            <v>0</v>
          </cell>
          <cell r="AI205">
            <v>0</v>
          </cell>
          <cell r="AL205">
            <v>0</v>
          </cell>
          <cell r="AO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  <cell r="H206">
            <v>0</v>
          </cell>
          <cell r="K206">
            <v>0</v>
          </cell>
          <cell r="N206">
            <v>0</v>
          </cell>
          <cell r="Q206">
            <v>0</v>
          </cell>
          <cell r="T206">
            <v>0</v>
          </cell>
          <cell r="W206">
            <v>0</v>
          </cell>
          <cell r="Z206">
            <v>0</v>
          </cell>
          <cell r="AC206">
            <v>0</v>
          </cell>
          <cell r="AF206">
            <v>0</v>
          </cell>
          <cell r="AI206">
            <v>0</v>
          </cell>
          <cell r="AL206">
            <v>0</v>
          </cell>
          <cell r="AO206">
            <v>0</v>
          </cell>
        </row>
        <row r="207">
          <cell r="A207" t="str">
            <v>Service[...]</v>
          </cell>
          <cell r="B207" t="str">
            <v>[...]</v>
          </cell>
          <cell r="E207">
            <v>0</v>
          </cell>
          <cell r="H207">
            <v>0</v>
          </cell>
          <cell r="K207">
            <v>0</v>
          </cell>
          <cell r="N207">
            <v>0</v>
          </cell>
          <cell r="Q207">
            <v>0</v>
          </cell>
          <cell r="T207">
            <v>0</v>
          </cell>
          <cell r="W207">
            <v>0</v>
          </cell>
          <cell r="Z207">
            <v>0</v>
          </cell>
          <cell r="AC207">
            <v>0</v>
          </cell>
          <cell r="AF207">
            <v>0</v>
          </cell>
          <cell r="AI207">
            <v>0</v>
          </cell>
          <cell r="AL207">
            <v>0</v>
          </cell>
          <cell r="AO207">
            <v>0</v>
          </cell>
        </row>
        <row r="208">
          <cell r="A208" t="str">
            <v>ServiceSalaires en absences</v>
          </cell>
          <cell r="B208" t="str">
            <v>Salaires en absences</v>
          </cell>
          <cell r="E208">
            <v>197825.93999999997</v>
          </cell>
          <cell r="H208">
            <v>20436.990000000002</v>
          </cell>
          <cell r="K208">
            <v>11116.91</v>
          </cell>
          <cell r="N208">
            <v>17570.07</v>
          </cell>
          <cell r="Q208">
            <v>15596.8</v>
          </cell>
          <cell r="T208">
            <v>20039.23</v>
          </cell>
          <cell r="W208">
            <v>17366.91</v>
          </cell>
          <cell r="Z208">
            <v>16870.189999999999</v>
          </cell>
          <cell r="AC208">
            <v>14383.58</v>
          </cell>
          <cell r="AF208">
            <v>17917.86</v>
          </cell>
          <cell r="AI208">
            <v>20926.18</v>
          </cell>
          <cell r="AL208">
            <v>11221.96</v>
          </cell>
          <cell r="AO208">
            <v>14379.26</v>
          </cell>
        </row>
        <row r="209">
          <cell r="A209" t="str">
            <v>ServiceDéduction à la source</v>
          </cell>
          <cell r="B209" t="str">
            <v>Déduction à la source</v>
          </cell>
          <cell r="E209">
            <v>238785.46</v>
          </cell>
          <cell r="H209">
            <v>19677.78</v>
          </cell>
          <cell r="K209">
            <v>17388.43</v>
          </cell>
          <cell r="N209">
            <v>18915.009999999998</v>
          </cell>
          <cell r="Q209">
            <v>19500.03</v>
          </cell>
          <cell r="T209">
            <v>20335.98</v>
          </cell>
          <cell r="W209">
            <v>16373.82</v>
          </cell>
          <cell r="Z209">
            <v>20788.66</v>
          </cell>
          <cell r="AC209">
            <v>18817.25</v>
          </cell>
          <cell r="AF209">
            <v>17844.88</v>
          </cell>
          <cell r="AI209">
            <v>21642.75</v>
          </cell>
          <cell r="AL209">
            <v>22418.080000000002</v>
          </cell>
          <cell r="AO209">
            <v>25082.79</v>
          </cell>
        </row>
        <row r="210">
          <cell r="A210" t="str">
            <v>ServiceBénéfices marginaux</v>
          </cell>
          <cell r="B210" t="str">
            <v>Bénéfices marginaux</v>
          </cell>
          <cell r="E210">
            <v>133124.79</v>
          </cell>
          <cell r="H210">
            <v>10850.44</v>
          </cell>
          <cell r="K210">
            <v>10001.790000000001</v>
          </cell>
          <cell r="N210">
            <v>11491.31</v>
          </cell>
          <cell r="Q210">
            <v>10358.59</v>
          </cell>
          <cell r="T210">
            <v>11033.41</v>
          </cell>
          <cell r="W210">
            <v>11498.83</v>
          </cell>
          <cell r="Z210">
            <v>10049.94</v>
          </cell>
          <cell r="AC210">
            <v>8987.86</v>
          </cell>
          <cell r="AF210">
            <v>11268.55</v>
          </cell>
          <cell r="AI210">
            <v>12794.84</v>
          </cell>
          <cell r="AL210">
            <v>10662.57</v>
          </cell>
          <cell r="AO210">
            <v>14126.66</v>
          </cell>
        </row>
        <row r="211">
          <cell r="A211" t="str">
            <v>ServiceCsst</v>
          </cell>
          <cell r="B211" t="str">
            <v>Csst</v>
          </cell>
          <cell r="E211">
            <v>52334.76</v>
          </cell>
          <cell r="H211">
            <v>3284.48</v>
          </cell>
          <cell r="K211">
            <v>2876.05</v>
          </cell>
          <cell r="N211">
            <v>3268.14</v>
          </cell>
          <cell r="Q211">
            <v>3311.66</v>
          </cell>
          <cell r="T211">
            <v>3472.88</v>
          </cell>
          <cell r="W211">
            <v>5572.29</v>
          </cell>
          <cell r="Z211">
            <v>3934.27</v>
          </cell>
          <cell r="AC211">
            <v>6530.55</v>
          </cell>
          <cell r="AF211">
            <v>5954.05</v>
          </cell>
          <cell r="AI211">
            <v>4122.1000000000004</v>
          </cell>
          <cell r="AL211">
            <v>4648.37</v>
          </cell>
          <cell r="AO211">
            <v>5359.92</v>
          </cell>
        </row>
        <row r="212">
          <cell r="A212" t="str">
            <v>Service[...]</v>
          </cell>
          <cell r="B212" t="str">
            <v>[...]</v>
          </cell>
          <cell r="E212">
            <v>0</v>
          </cell>
        </row>
        <row r="213">
          <cell r="A213" t="str">
            <v>ServiceTOTAL PERSONNEL</v>
          </cell>
          <cell r="B213" t="str">
            <v>TOTAL PERSONNEL</v>
          </cell>
          <cell r="C213" t="str">
            <v>%brut</v>
          </cell>
          <cell r="D213">
            <v>0.60773016406199953</v>
          </cell>
          <cell r="E213">
            <v>1356214.8699999999</v>
          </cell>
          <cell r="F213" t="str">
            <v>%brut</v>
          </cell>
          <cell r="G213">
            <v>0.87550415433995954</v>
          </cell>
          <cell r="H213">
            <v>102764.27</v>
          </cell>
          <cell r="I213" t="str">
            <v>%brut</v>
          </cell>
          <cell r="J213">
            <v>0.77073053840239536</v>
          </cell>
          <cell r="K213">
            <v>83110.980000000025</v>
          </cell>
          <cell r="L213" t="str">
            <v>%brut</v>
          </cell>
          <cell r="M213">
            <v>0.73660534823069168</v>
          </cell>
          <cell r="N213">
            <v>100432.10999999999</v>
          </cell>
          <cell r="O213" t="str">
            <v>%brut</v>
          </cell>
          <cell r="P213">
            <v>0.51114576681013901</v>
          </cell>
          <cell r="Q213">
            <v>102297.56</v>
          </cell>
          <cell r="R213" t="str">
            <v>%brut</v>
          </cell>
          <cell r="S213">
            <v>0.50234505541050367</v>
          </cell>
          <cell r="T213">
            <v>120096.19</v>
          </cell>
          <cell r="U213" t="str">
            <v>%brut</v>
          </cell>
          <cell r="V213">
            <v>0.51877258394721715</v>
          </cell>
          <cell r="W213">
            <v>103783.76000000001</v>
          </cell>
          <cell r="X213" t="str">
            <v>%brut</v>
          </cell>
          <cell r="Y213">
            <v>0.57313026501417952</v>
          </cell>
          <cell r="Z213">
            <v>103395.17000000001</v>
          </cell>
          <cell r="AA213" t="str">
            <v>%brut</v>
          </cell>
          <cell r="AB213">
            <v>0.505580628131583</v>
          </cell>
          <cell r="AC213">
            <v>93805</v>
          </cell>
          <cell r="AD213" t="str">
            <v>%brut</v>
          </cell>
          <cell r="AE213">
            <v>0.71439500018953306</v>
          </cell>
          <cell r="AF213">
            <v>124762.10000000002</v>
          </cell>
          <cell r="AG213" t="str">
            <v>%brut</v>
          </cell>
          <cell r="AH213">
            <v>0.58905499640711079</v>
          </cell>
          <cell r="AI213">
            <v>129840.38</v>
          </cell>
          <cell r="AJ213" t="str">
            <v>%brut</v>
          </cell>
          <cell r="AK213">
            <v>0.50869006469421985</v>
          </cell>
          <cell r="AL213">
            <v>147660.68</v>
          </cell>
          <cell r="AM213" t="str">
            <v>%brut</v>
          </cell>
          <cell r="AN213">
            <v>0.80367660871059221</v>
          </cell>
          <cell r="AO213">
            <v>144266.67000000001</v>
          </cell>
        </row>
        <row r="214">
          <cell r="A214" t="str">
            <v>ServicePublicité 2</v>
          </cell>
          <cell r="B214" t="str">
            <v>Publicité 2</v>
          </cell>
          <cell r="E214">
            <v>130898.63999999998</v>
          </cell>
          <cell r="H214">
            <v>10730.64</v>
          </cell>
          <cell r="K214">
            <v>11330.17</v>
          </cell>
          <cell r="N214">
            <v>10144.01</v>
          </cell>
          <cell r="Q214">
            <v>11679.54</v>
          </cell>
          <cell r="T214">
            <v>9272.43</v>
          </cell>
          <cell r="W214">
            <v>11043.03</v>
          </cell>
          <cell r="Z214">
            <v>12593.62</v>
          </cell>
          <cell r="AC214">
            <v>11909.29</v>
          </cell>
          <cell r="AF214">
            <v>10155.48</v>
          </cell>
          <cell r="AI214">
            <v>9632.07</v>
          </cell>
          <cell r="AL214">
            <v>11066.65</v>
          </cell>
          <cell r="AO214">
            <v>11341.71</v>
          </cell>
        </row>
        <row r="215">
          <cell r="A215" t="str">
            <v>ServiceService gratuit 2</v>
          </cell>
          <cell r="B215" t="str">
            <v>Service gratuit 2</v>
          </cell>
          <cell r="E215">
            <v>53458.459999999977</v>
          </cell>
          <cell r="H215">
            <v>-1490.82</v>
          </cell>
          <cell r="K215">
            <v>2508.5299999999902</v>
          </cell>
          <cell r="N215">
            <v>2340</v>
          </cell>
          <cell r="Q215">
            <v>4362.38</v>
          </cell>
          <cell r="T215">
            <v>3846.09</v>
          </cell>
          <cell r="W215">
            <v>4858.63</v>
          </cell>
          <cell r="Z215">
            <v>4847.43</v>
          </cell>
          <cell r="AC215">
            <v>6855.65</v>
          </cell>
          <cell r="AF215">
            <v>5835.12</v>
          </cell>
          <cell r="AI215">
            <v>7925.8499999999904</v>
          </cell>
          <cell r="AL215">
            <v>9363.8799999999901</v>
          </cell>
          <cell r="AO215">
            <v>2205.7199999999998</v>
          </cell>
        </row>
        <row r="216">
          <cell r="A216" t="str">
            <v>ServiceFrais véhicules de cie</v>
          </cell>
          <cell r="B216" t="str">
            <v>Frais véhicules de cie</v>
          </cell>
          <cell r="E216">
            <v>154655.71</v>
          </cell>
          <cell r="H216">
            <v>11086.63</v>
          </cell>
          <cell r="K216">
            <v>8832.82</v>
          </cell>
          <cell r="N216">
            <v>12925.28</v>
          </cell>
          <cell r="Q216">
            <v>12465.7</v>
          </cell>
          <cell r="T216">
            <v>15091.41</v>
          </cell>
          <cell r="W216">
            <v>14198.73</v>
          </cell>
          <cell r="Z216">
            <v>14517.16</v>
          </cell>
          <cell r="AC216">
            <v>9564.31</v>
          </cell>
          <cell r="AF216">
            <v>8344.8799999999992</v>
          </cell>
          <cell r="AI216">
            <v>11694.57</v>
          </cell>
          <cell r="AL216">
            <v>16921.98</v>
          </cell>
          <cell r="AO216">
            <v>19012.240000000002</v>
          </cell>
        </row>
        <row r="217">
          <cell r="A217" t="str">
            <v>ServiceInformatique</v>
          </cell>
          <cell r="B217" t="str">
            <v>Informatique</v>
          </cell>
          <cell r="E217">
            <v>62213.120000000003</v>
          </cell>
          <cell r="H217">
            <v>4061.38</v>
          </cell>
          <cell r="K217">
            <v>4080.5</v>
          </cell>
          <cell r="N217">
            <v>4201</v>
          </cell>
          <cell r="Q217">
            <v>4576.83</v>
          </cell>
          <cell r="T217">
            <v>4404.96</v>
          </cell>
          <cell r="W217">
            <v>3979.91</v>
          </cell>
          <cell r="Z217">
            <v>4994.3100000000004</v>
          </cell>
          <cell r="AC217">
            <v>4019.67</v>
          </cell>
          <cell r="AF217">
            <v>5085.4399999999996</v>
          </cell>
          <cell r="AI217">
            <v>10021.040000000001</v>
          </cell>
          <cell r="AL217">
            <v>5124.75</v>
          </cell>
          <cell r="AO217">
            <v>7663.33</v>
          </cell>
        </row>
        <row r="218">
          <cell r="A218" t="str">
            <v>ServiceFrais de déplacement</v>
          </cell>
          <cell r="B218" t="str">
            <v>Frais de déplacement</v>
          </cell>
          <cell r="E218">
            <v>19208.180000000004</v>
          </cell>
          <cell r="H218">
            <v>848.87</v>
          </cell>
          <cell r="K218">
            <v>1229.74</v>
          </cell>
          <cell r="N218">
            <v>1981.24</v>
          </cell>
          <cell r="Q218">
            <v>1653.06</v>
          </cell>
          <cell r="T218">
            <v>2432.6799999999998</v>
          </cell>
          <cell r="W218">
            <v>2116.58</v>
          </cell>
          <cell r="Z218">
            <v>1758.01</v>
          </cell>
          <cell r="AC218">
            <v>1234.68</v>
          </cell>
          <cell r="AF218">
            <v>1896.44</v>
          </cell>
          <cell r="AI218">
            <v>1980.16</v>
          </cell>
          <cell r="AL218">
            <v>1212.22</v>
          </cell>
          <cell r="AO218">
            <v>864.5</v>
          </cell>
        </row>
        <row r="219">
          <cell r="A219" t="str">
            <v>ServiceServices extérieurs</v>
          </cell>
          <cell r="B219" t="str">
            <v>Services extérieurs</v>
          </cell>
          <cell r="E219">
            <v>58171.479999999996</v>
          </cell>
          <cell r="H219">
            <v>2604.36</v>
          </cell>
          <cell r="K219">
            <v>3394.18</v>
          </cell>
          <cell r="N219">
            <v>2923.97</v>
          </cell>
          <cell r="Q219">
            <v>4098.16</v>
          </cell>
          <cell r="T219">
            <v>3220.42</v>
          </cell>
          <cell r="W219">
            <v>4130.46</v>
          </cell>
          <cell r="Z219">
            <v>2838</v>
          </cell>
          <cell r="AC219">
            <v>1928.3</v>
          </cell>
          <cell r="AF219">
            <v>3260.09</v>
          </cell>
          <cell r="AI219">
            <v>8980.36</v>
          </cell>
          <cell r="AL219">
            <v>11810.48</v>
          </cell>
          <cell r="AO219">
            <v>8982.7000000000007</v>
          </cell>
        </row>
        <row r="220">
          <cell r="A220" t="str">
            <v>ServiceFournitures d'atelier</v>
          </cell>
          <cell r="B220" t="str">
            <v>Fournitures d'atelier</v>
          </cell>
          <cell r="E220">
            <v>0</v>
          </cell>
          <cell r="H220">
            <v>0</v>
          </cell>
          <cell r="K220">
            <v>0</v>
          </cell>
          <cell r="N220">
            <v>0</v>
          </cell>
          <cell r="Q220">
            <v>0</v>
          </cell>
          <cell r="T220">
            <v>0</v>
          </cell>
          <cell r="W220">
            <v>0</v>
          </cell>
          <cell r="Z220">
            <v>0</v>
          </cell>
          <cell r="AC220">
            <v>0</v>
          </cell>
          <cell r="AF220">
            <v>0</v>
          </cell>
          <cell r="AI220">
            <v>0</v>
          </cell>
          <cell r="AL220">
            <v>0</v>
          </cell>
          <cell r="AO220">
            <v>0</v>
          </cell>
        </row>
        <row r="221">
          <cell r="A221" t="str">
            <v>ServiceFournitures autres</v>
          </cell>
          <cell r="B221" t="str">
            <v>Fournitures autres</v>
          </cell>
          <cell r="E221">
            <v>80118.310000000012</v>
          </cell>
          <cell r="H221">
            <v>3871.25</v>
          </cell>
          <cell r="K221">
            <v>2302.6799999999998</v>
          </cell>
          <cell r="N221">
            <v>1992.75</v>
          </cell>
          <cell r="Q221">
            <v>8832.08</v>
          </cell>
          <cell r="T221">
            <v>5864</v>
          </cell>
          <cell r="W221">
            <v>4394.93</v>
          </cell>
          <cell r="Z221">
            <v>8929.44</v>
          </cell>
          <cell r="AC221">
            <v>5618.51</v>
          </cell>
          <cell r="AF221">
            <v>10685.23</v>
          </cell>
          <cell r="AI221">
            <v>13015.97</v>
          </cell>
          <cell r="AL221">
            <v>10655.23</v>
          </cell>
          <cell r="AO221">
            <v>3956.24</v>
          </cell>
        </row>
        <row r="222">
          <cell r="A222" t="str">
            <v>ServiceUniformes</v>
          </cell>
          <cell r="B222" t="str">
            <v>Uniformes</v>
          </cell>
          <cell r="E222">
            <v>15312.959999999997</v>
          </cell>
          <cell r="H222">
            <v>5487.43</v>
          </cell>
          <cell r="K222">
            <v>860.45</v>
          </cell>
          <cell r="N222">
            <v>725.99</v>
          </cell>
          <cell r="Q222">
            <v>619.66999999999996</v>
          </cell>
          <cell r="T222">
            <v>822.42</v>
          </cell>
          <cell r="W222">
            <v>788.71</v>
          </cell>
          <cell r="Z222">
            <v>1535.27</v>
          </cell>
          <cell r="AC222">
            <v>460.85</v>
          </cell>
          <cell r="AF222">
            <v>608.80999999999995</v>
          </cell>
          <cell r="AI222">
            <v>679.32</v>
          </cell>
          <cell r="AL222">
            <v>1903.87</v>
          </cell>
          <cell r="AO222">
            <v>820.17</v>
          </cell>
        </row>
        <row r="223">
          <cell r="A223" t="str">
            <v>ServicePapeterie</v>
          </cell>
          <cell r="B223" t="str">
            <v>Papeterie</v>
          </cell>
          <cell r="E223">
            <v>11275.07</v>
          </cell>
          <cell r="H223">
            <v>290.82</v>
          </cell>
          <cell r="K223">
            <v>1711.96</v>
          </cell>
          <cell r="N223">
            <v>748.1</v>
          </cell>
          <cell r="Q223">
            <v>587.58000000000004</v>
          </cell>
          <cell r="T223">
            <v>660.28</v>
          </cell>
          <cell r="W223">
            <v>1170.8699999999999</v>
          </cell>
          <cell r="Z223">
            <v>359.87</v>
          </cell>
          <cell r="AC223">
            <v>982.57</v>
          </cell>
          <cell r="AF223">
            <v>904.35</v>
          </cell>
          <cell r="AI223">
            <v>1502.42</v>
          </cell>
          <cell r="AL223">
            <v>1549.31</v>
          </cell>
          <cell r="AO223">
            <v>806.94</v>
          </cell>
        </row>
        <row r="224">
          <cell r="A224" t="str">
            <v>ServiceTéléphone</v>
          </cell>
          <cell r="B224" t="str">
            <v>Téléphone</v>
          </cell>
          <cell r="E224">
            <v>2320.3100000000004</v>
          </cell>
          <cell r="H224">
            <v>218.72</v>
          </cell>
          <cell r="K224">
            <v>118.95</v>
          </cell>
          <cell r="N224">
            <v>177.86</v>
          </cell>
          <cell r="Q224">
            <v>353.57</v>
          </cell>
          <cell r="T224">
            <v>247.88</v>
          </cell>
          <cell r="W224">
            <v>177.5</v>
          </cell>
          <cell r="Z224">
            <v>248.63</v>
          </cell>
          <cell r="AC224">
            <v>222.93</v>
          </cell>
          <cell r="AF224">
            <v>129.49</v>
          </cell>
          <cell r="AI224">
            <v>115.96</v>
          </cell>
          <cell r="AL224">
            <v>153.81</v>
          </cell>
          <cell r="AO224">
            <v>155.01</v>
          </cell>
        </row>
        <row r="225">
          <cell r="A225" t="str">
            <v>ServiceFrais postaux</v>
          </cell>
          <cell r="B225" t="str">
            <v>Frais postaux</v>
          </cell>
          <cell r="E225">
            <v>1475.2500000000002</v>
          </cell>
          <cell r="H225">
            <v>76.69</v>
          </cell>
          <cell r="K225">
            <v>91.11</v>
          </cell>
          <cell r="N225">
            <v>63.74</v>
          </cell>
          <cell r="Q225">
            <v>371.82</v>
          </cell>
          <cell r="T225">
            <v>86.7</v>
          </cell>
          <cell r="W225">
            <v>-15.61</v>
          </cell>
          <cell r="Z225">
            <v>97.59</v>
          </cell>
          <cell r="AC225">
            <v>77.650000000000006</v>
          </cell>
          <cell r="AF225">
            <v>100.09</v>
          </cell>
          <cell r="AI225">
            <v>203.61</v>
          </cell>
          <cell r="AL225">
            <v>127.41</v>
          </cell>
          <cell r="AO225">
            <v>194.45</v>
          </cell>
        </row>
        <row r="226">
          <cell r="A226" t="str">
            <v>ServiceDivers</v>
          </cell>
          <cell r="B226" t="str">
            <v>Divers</v>
          </cell>
          <cell r="E226">
            <v>1398.8899999999999</v>
          </cell>
          <cell r="H226">
            <v>425.28</v>
          </cell>
          <cell r="K226">
            <v>212.54</v>
          </cell>
          <cell r="N226">
            <v>49.72</v>
          </cell>
          <cell r="Q226">
            <v>163.63</v>
          </cell>
          <cell r="T226">
            <v>58.9</v>
          </cell>
          <cell r="W226">
            <v>83.51</v>
          </cell>
          <cell r="Z226">
            <v>58.08</v>
          </cell>
          <cell r="AC226">
            <v>84.53</v>
          </cell>
          <cell r="AF226">
            <v>274.92</v>
          </cell>
          <cell r="AI226">
            <v>90</v>
          </cell>
          <cell r="AL226">
            <v>-172.89</v>
          </cell>
          <cell r="AO226">
            <v>70.67</v>
          </cell>
        </row>
        <row r="227">
          <cell r="A227" t="str">
            <v>ServiceFormation</v>
          </cell>
          <cell r="B227" t="str">
            <v>Formation</v>
          </cell>
          <cell r="E227">
            <v>58713.009999999995</v>
          </cell>
          <cell r="H227">
            <v>4107.62</v>
          </cell>
          <cell r="K227">
            <v>6175.92</v>
          </cell>
          <cell r="N227">
            <v>7145.58</v>
          </cell>
          <cell r="Q227">
            <v>5330.26</v>
          </cell>
          <cell r="T227">
            <v>4373.49</v>
          </cell>
          <cell r="W227">
            <v>3115.28</v>
          </cell>
          <cell r="Z227">
            <v>5450.1</v>
          </cell>
          <cell r="AC227">
            <v>4247.2700000000004</v>
          </cell>
          <cell r="AF227">
            <v>4354.53</v>
          </cell>
          <cell r="AI227">
            <v>2578.59</v>
          </cell>
          <cell r="AL227">
            <v>8573.24</v>
          </cell>
          <cell r="AO227">
            <v>3261.13</v>
          </cell>
        </row>
        <row r="228">
          <cell r="A228" t="str">
            <v>ServiceFrais bancaires</v>
          </cell>
          <cell r="B228" t="str">
            <v>Frais bancaires</v>
          </cell>
          <cell r="E228">
            <v>21142.239999999998</v>
          </cell>
          <cell r="H228">
            <v>1570.87</v>
          </cell>
          <cell r="K228">
            <v>1241.71</v>
          </cell>
          <cell r="N228">
            <v>178.54</v>
          </cell>
          <cell r="Q228">
            <v>1512.81</v>
          </cell>
          <cell r="T228">
            <v>3865.97</v>
          </cell>
          <cell r="W228">
            <v>1768.57</v>
          </cell>
          <cell r="Z228">
            <v>1703.22</v>
          </cell>
          <cell r="AC228">
            <v>1329.91</v>
          </cell>
          <cell r="AF228">
            <v>1801.79</v>
          </cell>
          <cell r="AI228">
            <v>2003.28</v>
          </cell>
          <cell r="AL228">
            <v>2562.4</v>
          </cell>
          <cell r="AO228">
            <v>1603.17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Service[...]</v>
          </cell>
          <cell r="B231" t="str">
            <v>[...]</v>
          </cell>
          <cell r="E231">
            <v>0</v>
          </cell>
        </row>
        <row r="232">
          <cell r="A232" t="str">
            <v>ServiceTOTAL SEMI-FIXES</v>
          </cell>
          <cell r="B232" t="str">
            <v>TOTAL SEMI-FIXES</v>
          </cell>
          <cell r="C232" t="str">
            <v>%brut</v>
          </cell>
          <cell r="D232">
            <v>0.30039412809326405</v>
          </cell>
          <cell r="E232">
            <v>670361.62999999989</v>
          </cell>
          <cell r="F232" t="str">
            <v>%brut</v>
          </cell>
          <cell r="G232">
            <v>0.37392032953574916</v>
          </cell>
          <cell r="H232">
            <v>43889.740000000005</v>
          </cell>
          <cell r="I232" t="str">
            <v>%brut</v>
          </cell>
          <cell r="J232">
            <v>0.40888075869927137</v>
          </cell>
          <cell r="K232">
            <v>44091.25999999998</v>
          </cell>
          <cell r="L232" t="str">
            <v>%brut</v>
          </cell>
          <cell r="M232">
            <v>0.33443057818307781</v>
          </cell>
          <cell r="N232">
            <v>45597.78</v>
          </cell>
          <cell r="O232" t="str">
            <v>%brut</v>
          </cell>
          <cell r="P232">
            <v>0.28284618347632684</v>
          </cell>
          <cell r="Q232">
            <v>56607.09</v>
          </cell>
          <cell r="R232" t="str">
            <v>%brut</v>
          </cell>
          <cell r="S232">
            <v>0.22691001852963441</v>
          </cell>
          <cell r="T232">
            <v>54247.62999999999</v>
          </cell>
          <cell r="U232" t="str">
            <v>%brut</v>
          </cell>
          <cell r="V232">
            <v>0.258982505780747</v>
          </cell>
          <cell r="W232">
            <v>51811.100000000006</v>
          </cell>
          <cell r="X232" t="str">
            <v>%brut</v>
          </cell>
          <cell r="Y232">
            <v>0.33220231822621149</v>
          </cell>
          <cell r="Z232">
            <v>59930.73</v>
          </cell>
          <cell r="AA232" t="str">
            <v>%brut</v>
          </cell>
          <cell r="AB232">
            <v>0.26159503263866418</v>
          </cell>
          <cell r="AC232">
            <v>48536.12000000001</v>
          </cell>
          <cell r="AD232" t="str">
            <v>%brut</v>
          </cell>
          <cell r="AE232">
            <v>0.30598140565787202</v>
          </cell>
          <cell r="AF232">
            <v>53436.659999999982</v>
          </cell>
          <cell r="AG232" t="str">
            <v>%brut</v>
          </cell>
          <cell r="AH232">
            <v>0.31949334885632069</v>
          </cell>
          <cell r="AI232">
            <v>70423.199999999997</v>
          </cell>
          <cell r="AJ232" t="str">
            <v>%brut</v>
          </cell>
          <cell r="AK232">
            <v>0.27853577584282457</v>
          </cell>
          <cell r="AL232">
            <v>80852.339999999982</v>
          </cell>
          <cell r="AM232" t="str">
            <v>%brut</v>
          </cell>
          <cell r="AN232">
            <v>0.33947154327519918</v>
          </cell>
          <cell r="AO232">
            <v>60937.979999999989</v>
          </cell>
        </row>
        <row r="233">
          <cell r="A233" t="str">
            <v>Service</v>
          </cell>
        </row>
        <row r="234">
          <cell r="A234" t="str">
            <v>ServiceTOTAL DES DÉPENSES</v>
          </cell>
          <cell r="B234" t="str">
            <v>TOTAL DES DÉPENSES</v>
          </cell>
          <cell r="C234" t="str">
            <v>% brut</v>
          </cell>
          <cell r="D234">
            <v>0.90812429215526358</v>
          </cell>
          <cell r="E234">
            <v>2026576.4999999998</v>
          </cell>
          <cell r="F234" t="str">
            <v>% brut</v>
          </cell>
          <cell r="G234">
            <v>1.2494244838757087</v>
          </cell>
          <cell r="H234">
            <v>146654.01</v>
          </cell>
          <cell r="I234" t="str">
            <v>% brut</v>
          </cell>
          <cell r="J234">
            <v>1.1796112971016668</v>
          </cell>
          <cell r="K234">
            <v>127202.24000000001</v>
          </cell>
          <cell r="L234" t="str">
            <v>% brut</v>
          </cell>
          <cell r="M234">
            <v>1.0710359264137694</v>
          </cell>
          <cell r="N234">
            <v>146029.88999999998</v>
          </cell>
          <cell r="O234" t="str">
            <v>% brut</v>
          </cell>
          <cell r="P234">
            <v>0.79399195028646585</v>
          </cell>
          <cell r="Q234">
            <v>158904.65</v>
          </cell>
          <cell r="R234" t="str">
            <v>% brut</v>
          </cell>
          <cell r="S234">
            <v>0.72925507394013811</v>
          </cell>
          <cell r="T234">
            <v>174343.82</v>
          </cell>
          <cell r="U234" t="str">
            <v>% brut</v>
          </cell>
          <cell r="V234">
            <v>0.77775508972796414</v>
          </cell>
          <cell r="W234">
            <v>155594.86000000002</v>
          </cell>
          <cell r="X234" t="str">
            <v>% brut</v>
          </cell>
          <cell r="Y234">
            <v>0.90533258324039112</v>
          </cell>
          <cell r="Z234">
            <v>163325.90000000002</v>
          </cell>
          <cell r="AA234" t="str">
            <v>% brut</v>
          </cell>
          <cell r="AB234">
            <v>0.76717566077024713</v>
          </cell>
          <cell r="AC234">
            <v>142341.12</v>
          </cell>
          <cell r="AD234" t="str">
            <v>% brut</v>
          </cell>
          <cell r="AE234">
            <v>1.0203764058474052</v>
          </cell>
          <cell r="AF234">
            <v>178198.76</v>
          </cell>
          <cell r="AG234" t="str">
            <v>% brut</v>
          </cell>
          <cell r="AH234">
            <v>0.90854834526343153</v>
          </cell>
          <cell r="AI234">
            <v>200263.58000000002</v>
          </cell>
          <cell r="AJ234" t="str">
            <v>% brut</v>
          </cell>
          <cell r="AK234">
            <v>0.78722584053704436</v>
          </cell>
          <cell r="AL234">
            <v>228513.01999999996</v>
          </cell>
          <cell r="AM234" t="str">
            <v>% brut</v>
          </cell>
          <cell r="AN234">
            <v>1.1431481519857913</v>
          </cell>
          <cell r="AO234">
            <v>205204.65</v>
          </cell>
        </row>
        <row r="235">
          <cell r="A235" t="str">
            <v>Service</v>
          </cell>
        </row>
        <row r="236">
          <cell r="A236" t="str">
            <v>ServicePROFIT DÉPARTEMENTAL</v>
          </cell>
          <cell r="B236" t="str">
            <v>PROFIT DÉPARTEMENTAL</v>
          </cell>
          <cell r="E236">
            <v>205030.46999999718</v>
          </cell>
          <cell r="H236">
            <v>-29276.760000000024</v>
          </cell>
          <cell r="K236">
            <v>-19368.210000000036</v>
          </cell>
          <cell r="N236">
            <v>-9685.359999999986</v>
          </cell>
          <cell r="Q236">
            <v>41229.179999999993</v>
          </cell>
          <cell r="T236">
            <v>64727.289999998786</v>
          </cell>
          <cell r="W236">
            <v>44461.509999998991</v>
          </cell>
          <cell r="Z236">
            <v>17078.409999999654</v>
          </cell>
          <cell r="AC236">
            <v>43198.03</v>
          </cell>
          <cell r="AF236">
            <v>-3558.5400000001246</v>
          </cell>
          <cell r="AI236">
            <v>20157.909999999974</v>
          </cell>
          <cell r="AL236">
            <v>61763.29999999993</v>
          </cell>
          <cell r="AO236">
            <v>-25696.290000000125</v>
          </cell>
        </row>
        <row r="239">
          <cell r="B239" t="str">
            <v>Réel 2023</v>
          </cell>
          <cell r="C239" t="str">
            <v>Carrosserie</v>
          </cell>
        </row>
        <row r="241">
          <cell r="B241" t="str">
            <v>Mois</v>
          </cell>
          <cell r="C241">
            <v>2023</v>
          </cell>
          <cell r="F241" t="str">
            <v>Janvier</v>
          </cell>
          <cell r="I241" t="str">
            <v>Février</v>
          </cell>
          <cell r="L241" t="str">
            <v>Mars</v>
          </cell>
          <cell r="O241" t="str">
            <v>Avril</v>
          </cell>
          <cell r="R241" t="str">
            <v>Mai</v>
          </cell>
          <cell r="U241" t="str">
            <v>Juin</v>
          </cell>
          <cell r="X241" t="str">
            <v>Juillet</v>
          </cell>
          <cell r="AA241" t="str">
            <v>Août</v>
          </cell>
          <cell r="AD241" t="str">
            <v>Septembre</v>
          </cell>
          <cell r="AG241" t="str">
            <v>Octobre</v>
          </cell>
          <cell r="AJ241" t="str">
            <v>Novembre</v>
          </cell>
          <cell r="AM241" t="str">
            <v>Décembre</v>
          </cell>
        </row>
        <row r="242">
          <cell r="A242" t="str">
            <v>Carrosserie</v>
          </cell>
          <cell r="C242" t="str">
            <v>#</v>
          </cell>
          <cell r="D242" t="str">
            <v>$VENTES</v>
          </cell>
          <cell r="E242" t="str">
            <v>$PROFITS</v>
          </cell>
          <cell r="F242" t="str">
            <v>#</v>
          </cell>
          <cell r="G242" t="str">
            <v>$VENTES</v>
          </cell>
          <cell r="H242" t="str">
            <v>$PROFITS</v>
          </cell>
          <cell r="I242" t="str">
            <v>#</v>
          </cell>
          <cell r="J242" t="str">
            <v>$VENTES</v>
          </cell>
          <cell r="K242" t="str">
            <v>$PROFITS</v>
          </cell>
          <cell r="L242" t="str">
            <v>#</v>
          </cell>
          <cell r="M242" t="str">
            <v>$VENTES</v>
          </cell>
          <cell r="N242" t="str">
            <v>$PROFITS</v>
          </cell>
          <cell r="O242" t="str">
            <v>#</v>
          </cell>
          <cell r="P242" t="str">
            <v>$VENTES</v>
          </cell>
          <cell r="Q242" t="str">
            <v>$PROFITS</v>
          </cell>
          <cell r="R242" t="str">
            <v>#</v>
          </cell>
          <cell r="S242" t="str">
            <v>$VENTES</v>
          </cell>
          <cell r="T242" t="str">
            <v>$PROFITS</v>
          </cell>
          <cell r="U242" t="str">
            <v>#</v>
          </cell>
          <cell r="V242" t="str">
            <v>$VENTES</v>
          </cell>
          <cell r="W242" t="str">
            <v>$PROFITS</v>
          </cell>
          <cell r="X242" t="str">
            <v>#</v>
          </cell>
          <cell r="Y242" t="str">
            <v>$VENTES</v>
          </cell>
          <cell r="Z242" t="str">
            <v>$PROFITS</v>
          </cell>
          <cell r="AA242" t="str">
            <v>#</v>
          </cell>
          <cell r="AB242" t="str">
            <v>$VENTES</v>
          </cell>
          <cell r="AC242" t="str">
            <v>$PROFITS</v>
          </cell>
          <cell r="AD242" t="str">
            <v>#</v>
          </cell>
          <cell r="AE242" t="str">
            <v>$VENTES</v>
          </cell>
          <cell r="AF242" t="str">
            <v>$PROFITS</v>
          </cell>
          <cell r="AG242" t="str">
            <v>#</v>
          </cell>
          <cell r="AH242" t="str">
            <v>$VENTES</v>
          </cell>
          <cell r="AI242" t="str">
            <v>$PROFITS</v>
          </cell>
          <cell r="AJ242" t="str">
            <v>#</v>
          </cell>
          <cell r="AK242" t="str">
            <v>$VENTES</v>
          </cell>
          <cell r="AL242" t="str">
            <v>$PROFITS</v>
          </cell>
          <cell r="AM242" t="str">
            <v>#</v>
          </cell>
          <cell r="AN242" t="str">
            <v>$VENTES</v>
          </cell>
          <cell r="AO242" t="str">
            <v>$PROFITS</v>
          </cell>
        </row>
        <row r="243">
          <cell r="A243" t="str">
            <v>Carrosserie</v>
          </cell>
        </row>
        <row r="244">
          <cell r="A244" t="str">
            <v>CarrosserieM/O Sous-traitement</v>
          </cell>
          <cell r="B244" t="str">
            <v>M/O Sous-traitement</v>
          </cell>
          <cell r="C244">
            <v>506</v>
          </cell>
          <cell r="D244">
            <v>911810.67999999772</v>
          </cell>
          <cell r="E244">
            <v>186467.59999999951</v>
          </cell>
          <cell r="F244">
            <v>62</v>
          </cell>
          <cell r="G244">
            <v>125402.079999999</v>
          </cell>
          <cell r="H244">
            <v>28396.889999999901</v>
          </cell>
          <cell r="I244">
            <v>54</v>
          </cell>
          <cell r="J244">
            <v>80938.570000000007</v>
          </cell>
          <cell r="K244">
            <v>12421.9</v>
          </cell>
          <cell r="L244">
            <v>43</v>
          </cell>
          <cell r="M244">
            <v>100057.5</v>
          </cell>
          <cell r="N244">
            <v>13104.05</v>
          </cell>
          <cell r="O244">
            <v>21</v>
          </cell>
          <cell r="P244">
            <v>20068.84</v>
          </cell>
          <cell r="Q244">
            <v>6932.34</v>
          </cell>
          <cell r="R244">
            <v>53</v>
          </cell>
          <cell r="S244">
            <v>81827.360000000001</v>
          </cell>
          <cell r="T244">
            <v>22554.99</v>
          </cell>
          <cell r="U244">
            <v>35</v>
          </cell>
          <cell r="V244">
            <v>61602.33</v>
          </cell>
          <cell r="W244">
            <v>12667</v>
          </cell>
          <cell r="X244">
            <v>43</v>
          </cell>
          <cell r="Y244">
            <v>93198.95</v>
          </cell>
          <cell r="Z244">
            <v>23146.659999999902</v>
          </cell>
          <cell r="AA244">
            <v>61</v>
          </cell>
          <cell r="AB244">
            <v>123808.129999999</v>
          </cell>
          <cell r="AC244">
            <v>26996.3299999999</v>
          </cell>
          <cell r="AD244">
            <v>32</v>
          </cell>
          <cell r="AE244">
            <v>43872.799999999901</v>
          </cell>
          <cell r="AF244">
            <v>7855.5599999999904</v>
          </cell>
          <cell r="AG244">
            <v>44</v>
          </cell>
          <cell r="AH244">
            <v>82403.109999999899</v>
          </cell>
          <cell r="AI244">
            <v>16545.369999999901</v>
          </cell>
          <cell r="AJ244">
            <v>42</v>
          </cell>
          <cell r="AK244">
            <v>66881.5</v>
          </cell>
          <cell r="AL244">
            <v>11630.529999999901</v>
          </cell>
          <cell r="AM244">
            <v>16</v>
          </cell>
          <cell r="AN244">
            <v>31749.51</v>
          </cell>
          <cell r="AO244">
            <v>4215.9799999999996</v>
          </cell>
        </row>
        <row r="245">
          <cell r="A245" t="str">
            <v>Carrosserie% profit / ventes</v>
          </cell>
          <cell r="B245" t="str">
            <v>% profit / ventes</v>
          </cell>
          <cell r="E245">
            <v>0.20450253993515405</v>
          </cell>
          <cell r="H245">
            <v>0.22644672241481265</v>
          </cell>
          <cell r="K245">
            <v>0.15347318342787622</v>
          </cell>
          <cell r="N245">
            <v>0.1309651950128676</v>
          </cell>
          <cell r="Q245">
            <v>0.34542803669768657</v>
          </cell>
          <cell r="T245">
            <v>0.27564117918505499</v>
          </cell>
          <cell r="W245">
            <v>0.2056253391714242</v>
          </cell>
          <cell r="Z245">
            <v>0.24835751904930153</v>
          </cell>
          <cell r="AC245">
            <v>0.21804973550606183</v>
          </cell>
          <cell r="AF245">
            <v>0.17905308072427581</v>
          </cell>
          <cell r="AI245">
            <v>0.20078574704279875</v>
          </cell>
          <cell r="AL245">
            <v>0.17389756509647511</v>
          </cell>
          <cell r="AO245">
            <v>0.13278882099282791</v>
          </cell>
        </row>
        <row r="246">
          <cell r="A246" t="str">
            <v>Carrosserie</v>
          </cell>
        </row>
        <row r="247">
          <cell r="A247" t="str">
            <v>CarrosserieM/O Carrosserie</v>
          </cell>
          <cell r="B247" t="str">
            <v>M/O Carrosserie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</row>
        <row r="248">
          <cell r="A248" t="str">
            <v>Carrosserie% profit / ventes</v>
          </cell>
          <cell r="B248" t="str">
            <v>% profit / ventes</v>
          </cell>
          <cell r="E248">
            <v>0</v>
          </cell>
          <cell r="H248">
            <v>0</v>
          </cell>
          <cell r="K248">
            <v>0</v>
          </cell>
          <cell r="N248">
            <v>0</v>
          </cell>
          <cell r="Q248">
            <v>0</v>
          </cell>
          <cell r="T248">
            <v>0</v>
          </cell>
          <cell r="W248">
            <v>0</v>
          </cell>
          <cell r="Z248">
            <v>0</v>
          </cell>
          <cell r="AC248">
            <v>0</v>
          </cell>
          <cell r="AF248">
            <v>0</v>
          </cell>
          <cell r="AI248">
            <v>0</v>
          </cell>
          <cell r="AL248">
            <v>0</v>
          </cell>
          <cell r="AO248">
            <v>0</v>
          </cell>
        </row>
        <row r="249">
          <cell r="A249" t="str">
            <v>Carrosserie</v>
          </cell>
        </row>
        <row r="250">
          <cell r="A250" t="str">
            <v>CarrosserieM/O Esthétique Carr.</v>
          </cell>
          <cell r="B250" t="str">
            <v>M/O Esthétique Carr.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</row>
        <row r="251">
          <cell r="A251" t="str">
            <v>Carrosserie% profit / ventes</v>
          </cell>
          <cell r="B251" t="str">
            <v>% profit / ventes</v>
          </cell>
          <cell r="E251">
            <v>0</v>
          </cell>
          <cell r="H251">
            <v>0</v>
          </cell>
          <cell r="K251">
            <v>0</v>
          </cell>
          <cell r="N251">
            <v>0</v>
          </cell>
          <cell r="Q251">
            <v>0</v>
          </cell>
          <cell r="T251">
            <v>0</v>
          </cell>
          <cell r="W251">
            <v>0</v>
          </cell>
          <cell r="Z251">
            <v>0</v>
          </cell>
          <cell r="AC251">
            <v>0</v>
          </cell>
          <cell r="AF251">
            <v>0</v>
          </cell>
          <cell r="AI251">
            <v>0</v>
          </cell>
          <cell r="AL251">
            <v>0</v>
          </cell>
          <cell r="AO251">
            <v>0</v>
          </cell>
        </row>
        <row r="252">
          <cell r="A252" t="str">
            <v>Carrosserie</v>
          </cell>
        </row>
        <row r="253">
          <cell r="A253" t="str">
            <v>CarrosserieTotal Mécanique</v>
          </cell>
          <cell r="B253" t="str">
            <v>Total Mécanique</v>
          </cell>
          <cell r="D253">
            <v>911810.67999999772</v>
          </cell>
          <cell r="E253">
            <v>186467.59999999951</v>
          </cell>
          <cell r="G253">
            <v>125402.079999999</v>
          </cell>
          <cell r="H253">
            <v>28396.889999999901</v>
          </cell>
          <cell r="J253">
            <v>80938.570000000007</v>
          </cell>
          <cell r="K253">
            <v>12421.9</v>
          </cell>
          <cell r="M253">
            <v>100057.5</v>
          </cell>
          <cell r="N253">
            <v>13104.05</v>
          </cell>
          <cell r="P253">
            <v>20068.84</v>
          </cell>
          <cell r="Q253">
            <v>6932.34</v>
          </cell>
          <cell r="S253">
            <v>81827.360000000001</v>
          </cell>
          <cell r="T253">
            <v>22554.99</v>
          </cell>
          <cell r="V253">
            <v>61602.33</v>
          </cell>
          <cell r="W253">
            <v>12667</v>
          </cell>
          <cell r="Y253">
            <v>93198.95</v>
          </cell>
          <cell r="Z253">
            <v>23146.659999999902</v>
          </cell>
          <cell r="AB253">
            <v>123808.129999999</v>
          </cell>
          <cell r="AC253">
            <v>26996.3299999999</v>
          </cell>
          <cell r="AE253">
            <v>43872.799999999901</v>
          </cell>
          <cell r="AF253">
            <v>7855.5599999999904</v>
          </cell>
          <cell r="AH253">
            <v>82403.109999999899</v>
          </cell>
          <cell r="AI253">
            <v>16545.369999999901</v>
          </cell>
          <cell r="AK253">
            <v>66881.5</v>
          </cell>
          <cell r="AL253">
            <v>11630.529999999901</v>
          </cell>
          <cell r="AN253">
            <v>31749.51</v>
          </cell>
          <cell r="AO253">
            <v>4215.9799999999996</v>
          </cell>
        </row>
        <row r="254">
          <cell r="A254" t="str">
            <v>Carrosserie</v>
          </cell>
          <cell r="E254">
            <v>0.20450253993515405</v>
          </cell>
          <cell r="H254">
            <v>0.22644672241481265</v>
          </cell>
          <cell r="K254">
            <v>0.15347318342787622</v>
          </cell>
          <cell r="N254">
            <v>0.1309651950128676</v>
          </cell>
          <cell r="Q254">
            <v>0.34542803669768657</v>
          </cell>
          <cell r="T254">
            <v>0.27564117918505499</v>
          </cell>
          <cell r="W254">
            <v>0.2056253391714242</v>
          </cell>
          <cell r="Z254">
            <v>0.24835751904930153</v>
          </cell>
          <cell r="AC254">
            <v>0.21804973550606183</v>
          </cell>
          <cell r="AF254">
            <v>0.17905308072427581</v>
          </cell>
          <cell r="AI254">
            <v>0.20078574704279875</v>
          </cell>
          <cell r="AL254">
            <v>0.17389756509647511</v>
          </cell>
          <cell r="AO254">
            <v>0.13278882099282791</v>
          </cell>
        </row>
        <row r="255">
          <cell r="A255" t="str">
            <v>Carrosserie</v>
          </cell>
        </row>
        <row r="256">
          <cell r="A256" t="str">
            <v>CarrosserieDEPENSES</v>
          </cell>
          <cell r="B256" t="str">
            <v>DEPENSES</v>
          </cell>
        </row>
        <row r="257">
          <cell r="A257" t="str">
            <v>CarrosserieSalaires cadres</v>
          </cell>
          <cell r="B257" t="str">
            <v>Salaires cadres</v>
          </cell>
          <cell r="E257">
            <v>10822.56</v>
          </cell>
          <cell r="H257">
            <v>1901.88</v>
          </cell>
          <cell r="K257">
            <v>-98.12</v>
          </cell>
          <cell r="N257">
            <v>901.88</v>
          </cell>
          <cell r="Q257">
            <v>901.88</v>
          </cell>
          <cell r="T257">
            <v>1785.72</v>
          </cell>
          <cell r="W257">
            <v>768.04</v>
          </cell>
          <cell r="Z257">
            <v>651.88</v>
          </cell>
          <cell r="AC257">
            <v>1401.88</v>
          </cell>
          <cell r="AF257">
            <v>-98.12</v>
          </cell>
          <cell r="AI257">
            <v>901.88</v>
          </cell>
          <cell r="AL257">
            <v>901.88</v>
          </cell>
          <cell r="AO257">
            <v>901.88</v>
          </cell>
        </row>
        <row r="258">
          <cell r="A258" t="str">
            <v>CarrosserieSalaires commis</v>
          </cell>
          <cell r="B258" t="str">
            <v>Salaires commis</v>
          </cell>
          <cell r="E258">
            <v>0</v>
          </cell>
          <cell r="H258">
            <v>0</v>
          </cell>
          <cell r="K258">
            <v>0</v>
          </cell>
          <cell r="N258">
            <v>0</v>
          </cell>
          <cell r="Q258">
            <v>0</v>
          </cell>
          <cell r="T258">
            <v>0</v>
          </cell>
          <cell r="W258">
            <v>0</v>
          </cell>
          <cell r="Z258">
            <v>0</v>
          </cell>
          <cell r="AC258">
            <v>0</v>
          </cell>
          <cell r="AF258">
            <v>0</v>
          </cell>
          <cell r="AI258">
            <v>0</v>
          </cell>
          <cell r="AL258">
            <v>0</v>
          </cell>
          <cell r="AO258">
            <v>0</v>
          </cell>
        </row>
        <row r="259">
          <cell r="A259" t="str">
            <v>CarrosserieSalaires autres</v>
          </cell>
          <cell r="B259" t="str">
            <v>Salaires autres</v>
          </cell>
          <cell r="E259">
            <v>0.98999999999999977</v>
          </cell>
          <cell r="H259">
            <v>0.08</v>
          </cell>
          <cell r="K259">
            <v>0.08</v>
          </cell>
          <cell r="N259">
            <v>0.08</v>
          </cell>
          <cell r="Q259">
            <v>0.08</v>
          </cell>
          <cell r="T259">
            <v>0.08</v>
          </cell>
          <cell r="W259">
            <v>0.21</v>
          </cell>
          <cell r="Z259">
            <v>-0.02</v>
          </cell>
          <cell r="AC259">
            <v>0.08</v>
          </cell>
          <cell r="AF259">
            <v>0.08</v>
          </cell>
          <cell r="AI259">
            <v>0.08</v>
          </cell>
          <cell r="AL259">
            <v>0.08</v>
          </cell>
          <cell r="AO259">
            <v>0.08</v>
          </cell>
        </row>
        <row r="260">
          <cell r="A260" t="str">
            <v>CarrosserieSalaires spécialistes</v>
          </cell>
          <cell r="B260" t="str">
            <v>Salaires spécialistes</v>
          </cell>
          <cell r="E260">
            <v>52208.659999999996</v>
          </cell>
          <cell r="H260">
            <v>3922.4</v>
          </cell>
          <cell r="K260">
            <v>6212.1</v>
          </cell>
          <cell r="N260">
            <v>4474.6000000000004</v>
          </cell>
          <cell r="Q260">
            <v>1862.6</v>
          </cell>
          <cell r="T260">
            <v>3887.6</v>
          </cell>
          <cell r="W260">
            <v>5032.4399999999996</v>
          </cell>
          <cell r="Z260">
            <v>4550.6000000000004</v>
          </cell>
          <cell r="AC260">
            <v>4343.3599999999997</v>
          </cell>
          <cell r="AF260">
            <v>3832.35</v>
          </cell>
          <cell r="AI260">
            <v>4192.29</v>
          </cell>
          <cell r="AL260">
            <v>4680.32</v>
          </cell>
          <cell r="AO260">
            <v>5218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  <cell r="H261">
            <v>0</v>
          </cell>
          <cell r="K261">
            <v>0</v>
          </cell>
          <cell r="N261">
            <v>0</v>
          </cell>
          <cell r="Q261">
            <v>0</v>
          </cell>
          <cell r="T261">
            <v>0</v>
          </cell>
          <cell r="W261">
            <v>0</v>
          </cell>
          <cell r="Z261">
            <v>0</v>
          </cell>
          <cell r="AC261">
            <v>0</v>
          </cell>
          <cell r="AF261">
            <v>0</v>
          </cell>
          <cell r="AI261">
            <v>0</v>
          </cell>
          <cell r="AL261">
            <v>0</v>
          </cell>
          <cell r="AO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  <cell r="H262">
            <v>0</v>
          </cell>
          <cell r="K262">
            <v>0</v>
          </cell>
          <cell r="N262">
            <v>0</v>
          </cell>
          <cell r="Q262">
            <v>0</v>
          </cell>
          <cell r="T262">
            <v>0</v>
          </cell>
          <cell r="W262">
            <v>0</v>
          </cell>
          <cell r="Z262">
            <v>0</v>
          </cell>
          <cell r="AC262">
            <v>0</v>
          </cell>
          <cell r="AF262">
            <v>0</v>
          </cell>
          <cell r="AI262">
            <v>0</v>
          </cell>
          <cell r="AL262">
            <v>0</v>
          </cell>
          <cell r="AO262">
            <v>0</v>
          </cell>
        </row>
        <row r="263">
          <cell r="A263" t="str">
            <v>Carrosserie[...]</v>
          </cell>
          <cell r="B263" t="str">
            <v>[...]</v>
          </cell>
          <cell r="E263">
            <v>0</v>
          </cell>
          <cell r="H263">
            <v>0</v>
          </cell>
          <cell r="K263">
            <v>0</v>
          </cell>
          <cell r="N263">
            <v>0</v>
          </cell>
          <cell r="Q263">
            <v>0</v>
          </cell>
          <cell r="T263">
            <v>0</v>
          </cell>
          <cell r="W263">
            <v>0</v>
          </cell>
          <cell r="Z263">
            <v>0</v>
          </cell>
          <cell r="AC263">
            <v>0</v>
          </cell>
          <cell r="AF263">
            <v>0</v>
          </cell>
          <cell r="AI263">
            <v>0</v>
          </cell>
          <cell r="AL263">
            <v>0</v>
          </cell>
          <cell r="AO263">
            <v>0</v>
          </cell>
        </row>
        <row r="264">
          <cell r="A264" t="str">
            <v>CarrosserieSalaires en absences</v>
          </cell>
          <cell r="B264" t="str">
            <v>Salaires en absences</v>
          </cell>
          <cell r="E264">
            <v>5022.6899999999996</v>
          </cell>
          <cell r="H264">
            <v>618.65</v>
          </cell>
          <cell r="K264">
            <v>312.42</v>
          </cell>
          <cell r="N264">
            <v>350.09</v>
          </cell>
          <cell r="Q264">
            <v>331.33</v>
          </cell>
          <cell r="T264">
            <v>303.48</v>
          </cell>
          <cell r="W264">
            <v>352.77</v>
          </cell>
          <cell r="Z264">
            <v>382.81</v>
          </cell>
          <cell r="AC264">
            <v>240.79</v>
          </cell>
          <cell r="AF264">
            <v>384.29</v>
          </cell>
          <cell r="AI264">
            <v>506.89</v>
          </cell>
          <cell r="AL264">
            <v>259.37</v>
          </cell>
          <cell r="AO264">
            <v>979.8</v>
          </cell>
        </row>
        <row r="265">
          <cell r="A265" t="str">
            <v>CarrosserieDéduction à la source</v>
          </cell>
          <cell r="B265" t="str">
            <v>Déduction à la source</v>
          </cell>
          <cell r="E265">
            <v>15798.319999999998</v>
          </cell>
          <cell r="H265">
            <v>1359.12</v>
          </cell>
          <cell r="K265">
            <v>1627.6</v>
          </cell>
          <cell r="N265">
            <v>1266.97</v>
          </cell>
          <cell r="Q265">
            <v>946.77</v>
          </cell>
          <cell r="T265">
            <v>1200.4100000000001</v>
          </cell>
          <cell r="W265">
            <v>1340.49</v>
          </cell>
          <cell r="Z265">
            <v>1298.79</v>
          </cell>
          <cell r="AC265">
            <v>1254.0999999999999</v>
          </cell>
          <cell r="AF265">
            <v>1454.76</v>
          </cell>
          <cell r="AI265">
            <v>1262.6099999999999</v>
          </cell>
          <cell r="AL265">
            <v>1309.81</v>
          </cell>
          <cell r="AO265">
            <v>1476.89</v>
          </cell>
        </row>
        <row r="266">
          <cell r="A266" t="str">
            <v>CarrosserieBénéfices marginaux</v>
          </cell>
          <cell r="B266" t="str">
            <v>Bénéfices marginaux</v>
          </cell>
          <cell r="E266">
            <v>3471.46</v>
          </cell>
          <cell r="H266">
            <v>351.75</v>
          </cell>
          <cell r="K266">
            <v>258.60000000000002</v>
          </cell>
          <cell r="N266">
            <v>56.92</v>
          </cell>
          <cell r="Q266">
            <v>34.520000000000003</v>
          </cell>
          <cell r="T266">
            <v>300.10000000000002</v>
          </cell>
          <cell r="W266">
            <v>122.31</v>
          </cell>
          <cell r="Z266">
            <v>46.81</v>
          </cell>
          <cell r="AC266">
            <v>896.14</v>
          </cell>
          <cell r="AF266">
            <v>453.78</v>
          </cell>
          <cell r="AI266">
            <v>174.49</v>
          </cell>
          <cell r="AL266">
            <v>345.19</v>
          </cell>
          <cell r="AO266">
            <v>430.85</v>
          </cell>
        </row>
        <row r="267">
          <cell r="A267" t="str">
            <v>CarrosserieCsst</v>
          </cell>
          <cell r="B267" t="str">
            <v>Csst</v>
          </cell>
          <cell r="E267">
            <v>1919.8799999999999</v>
          </cell>
          <cell r="H267">
            <v>133</v>
          </cell>
          <cell r="K267">
            <v>175.67</v>
          </cell>
          <cell r="N267">
            <v>128.44</v>
          </cell>
          <cell r="Q267">
            <v>49.08</v>
          </cell>
          <cell r="T267">
            <v>98.15</v>
          </cell>
          <cell r="W267">
            <v>419.85</v>
          </cell>
          <cell r="Z267">
            <v>170.57</v>
          </cell>
          <cell r="AC267">
            <v>117.7</v>
          </cell>
          <cell r="AF267">
            <v>172.1</v>
          </cell>
          <cell r="AI267">
            <v>119.83</v>
          </cell>
          <cell r="AL267">
            <v>120.56</v>
          </cell>
          <cell r="AO267">
            <v>214.93</v>
          </cell>
        </row>
        <row r="268">
          <cell r="A268" t="str">
            <v>Carrosserie[...]</v>
          </cell>
          <cell r="B268" t="str">
            <v>[...]</v>
          </cell>
          <cell r="E268">
            <v>0</v>
          </cell>
        </row>
        <row r="269">
          <cell r="A269" t="str">
            <v>CarrosserieTOTAL PERSONNEL</v>
          </cell>
          <cell r="B269" t="str">
            <v>TOTAL PERSONNEL</v>
          </cell>
          <cell r="C269" t="str">
            <v>% brut</v>
          </cell>
          <cell r="D269">
            <v>0</v>
          </cell>
          <cell r="E269">
            <v>89244.56</v>
          </cell>
          <cell r="F269" t="str">
            <v>% brut</v>
          </cell>
          <cell r="G269">
            <v>0</v>
          </cell>
          <cell r="H269">
            <v>8286.880000000001</v>
          </cell>
          <cell r="I269" t="str">
            <v>% brut</v>
          </cell>
          <cell r="J269">
            <v>0</v>
          </cell>
          <cell r="K269">
            <v>8488.35</v>
          </cell>
          <cell r="L269" t="str">
            <v>% brut</v>
          </cell>
          <cell r="M269">
            <v>0</v>
          </cell>
          <cell r="N269">
            <v>7178.9800000000005</v>
          </cell>
          <cell r="O269" t="str">
            <v>% brut</v>
          </cell>
          <cell r="P269">
            <v>0</v>
          </cell>
          <cell r="Q269">
            <v>4126.26</v>
          </cell>
          <cell r="R269" t="str">
            <v>% brut</v>
          </cell>
          <cell r="S269">
            <v>0</v>
          </cell>
          <cell r="T269">
            <v>7575.5399999999991</v>
          </cell>
          <cell r="U269" t="str">
            <v>% brut</v>
          </cell>
          <cell r="V269">
            <v>0</v>
          </cell>
          <cell r="W269">
            <v>8036.11</v>
          </cell>
          <cell r="X269" t="str">
            <v>% brut</v>
          </cell>
          <cell r="Y269">
            <v>0</v>
          </cell>
          <cell r="Z269">
            <v>7101.4400000000005</v>
          </cell>
          <cell r="AA269" t="str">
            <v>% brut</v>
          </cell>
          <cell r="AB269">
            <v>0</v>
          </cell>
          <cell r="AC269">
            <v>8254.0499999999993</v>
          </cell>
          <cell r="AD269" t="str">
            <v>% brut</v>
          </cell>
          <cell r="AE269">
            <v>0</v>
          </cell>
          <cell r="AF269">
            <v>6199.2400000000007</v>
          </cell>
          <cell r="AG269" t="str">
            <v>% brut</v>
          </cell>
          <cell r="AH269">
            <v>0</v>
          </cell>
          <cell r="AI269">
            <v>7158.07</v>
          </cell>
          <cell r="AJ269" t="str">
            <v>% brut</v>
          </cell>
          <cell r="AK269">
            <v>0</v>
          </cell>
          <cell r="AL269">
            <v>7617.2099999999991</v>
          </cell>
          <cell r="AM269" t="str">
            <v>% brut</v>
          </cell>
          <cell r="AN269">
            <v>0</v>
          </cell>
          <cell r="AO269">
            <v>9222.43</v>
          </cell>
        </row>
        <row r="270">
          <cell r="A270" t="str">
            <v>CarrosseriePublicité 2</v>
          </cell>
          <cell r="B270" t="str">
            <v>Publicité 2</v>
          </cell>
          <cell r="E270">
            <v>887.27</v>
          </cell>
          <cell r="H270">
            <v>70.069999999999993</v>
          </cell>
          <cell r="K270">
            <v>0.05</v>
          </cell>
          <cell r="N270">
            <v>173.45</v>
          </cell>
          <cell r="Q270">
            <v>24.52</v>
          </cell>
          <cell r="T270">
            <v>10.5</v>
          </cell>
          <cell r="W270">
            <v>168.82</v>
          </cell>
          <cell r="Z270">
            <v>24.55</v>
          </cell>
          <cell r="AC270">
            <v>117.3</v>
          </cell>
          <cell r="AF270">
            <v>119.6</v>
          </cell>
          <cell r="AI270">
            <v>140.03</v>
          </cell>
          <cell r="AL270">
            <v>35.03</v>
          </cell>
          <cell r="AO270">
            <v>3.35</v>
          </cell>
        </row>
        <row r="271">
          <cell r="A271" t="str">
            <v>CarrosserieService gratuit 2</v>
          </cell>
          <cell r="B271" t="str">
            <v>Service gratuit 2</v>
          </cell>
          <cell r="E271">
            <v>17814.03</v>
          </cell>
          <cell r="H271">
            <v>-126.43</v>
          </cell>
          <cell r="K271">
            <v>264.18</v>
          </cell>
          <cell r="N271">
            <v>-1123.1199999999999</v>
          </cell>
          <cell r="Q271">
            <v>453.76</v>
          </cell>
          <cell r="T271">
            <v>2419.17</v>
          </cell>
          <cell r="W271">
            <v>3855.54</v>
          </cell>
          <cell r="Z271">
            <v>1009.17</v>
          </cell>
          <cell r="AC271">
            <v>1948.41</v>
          </cell>
          <cell r="AF271">
            <v>2934.37</v>
          </cell>
          <cell r="AI271">
            <v>3817.34</v>
          </cell>
          <cell r="AL271">
            <v>3488.78</v>
          </cell>
          <cell r="AO271">
            <v>-1127.1400000000001</v>
          </cell>
        </row>
        <row r="272">
          <cell r="A272" t="str">
            <v>CarrosserieFrais véhicules de cie</v>
          </cell>
          <cell r="B272" t="str">
            <v>Frais véhicules de cie</v>
          </cell>
          <cell r="E272">
            <v>9128.5499999999993</v>
          </cell>
          <cell r="H272">
            <v>409.64</v>
          </cell>
          <cell r="K272">
            <v>1230.29</v>
          </cell>
          <cell r="N272">
            <v>302.11</v>
          </cell>
          <cell r="Q272">
            <v>1298.76</v>
          </cell>
          <cell r="T272">
            <v>306.87</v>
          </cell>
          <cell r="W272">
            <v>165.8</v>
          </cell>
          <cell r="Z272">
            <v>149.79</v>
          </cell>
          <cell r="AC272">
            <v>609.21</v>
          </cell>
          <cell r="AF272">
            <v>295.38</v>
          </cell>
          <cell r="AI272">
            <v>1816.75</v>
          </cell>
          <cell r="AL272">
            <v>1070.53</v>
          </cell>
          <cell r="AO272">
            <v>1473.42</v>
          </cell>
        </row>
        <row r="273">
          <cell r="A273" t="str">
            <v>CarrosserieInformatique</v>
          </cell>
          <cell r="B273" t="str">
            <v>Informatique</v>
          </cell>
          <cell r="E273">
            <v>18258.95</v>
          </cell>
          <cell r="H273">
            <v>1408.01</v>
          </cell>
          <cell r="K273">
            <v>1439.98</v>
          </cell>
          <cell r="N273">
            <v>1499.64</v>
          </cell>
          <cell r="Q273">
            <v>1645.4</v>
          </cell>
          <cell r="T273">
            <v>2012.5</v>
          </cell>
          <cell r="W273">
            <v>1422.13</v>
          </cell>
          <cell r="Z273">
            <v>1466.11</v>
          </cell>
          <cell r="AC273">
            <v>1015.93</v>
          </cell>
          <cell r="AF273">
            <v>2094.9299999999998</v>
          </cell>
          <cell r="AI273">
            <v>1460.27</v>
          </cell>
          <cell r="AL273">
            <v>1443.09</v>
          </cell>
          <cell r="AO273">
            <v>1350.96</v>
          </cell>
        </row>
        <row r="274">
          <cell r="A274" t="str">
            <v>CarrosserieFrais de déplacement</v>
          </cell>
          <cell r="B274" t="str">
            <v>Frais de déplacement</v>
          </cell>
          <cell r="E274">
            <v>2857.98</v>
          </cell>
          <cell r="H274">
            <v>144.15</v>
          </cell>
          <cell r="K274">
            <v>319.45</v>
          </cell>
          <cell r="N274">
            <v>225.94</v>
          </cell>
          <cell r="Q274">
            <v>202.46</v>
          </cell>
          <cell r="T274">
            <v>335.94</v>
          </cell>
          <cell r="W274">
            <v>147.46</v>
          </cell>
          <cell r="Z274">
            <v>169.45</v>
          </cell>
          <cell r="AC274">
            <v>218.31</v>
          </cell>
          <cell r="AF274">
            <v>265.83999999999997</v>
          </cell>
          <cell r="AI274">
            <v>329.67</v>
          </cell>
          <cell r="AL274">
            <v>264.20999999999998</v>
          </cell>
          <cell r="AO274">
            <v>235.1</v>
          </cell>
        </row>
        <row r="275">
          <cell r="A275" t="str">
            <v>CarrosserieServices extérieurs</v>
          </cell>
          <cell r="B275" t="str">
            <v>Services extérieurs</v>
          </cell>
          <cell r="E275">
            <v>7538.869999999999</v>
          </cell>
          <cell r="H275">
            <v>709.55</v>
          </cell>
          <cell r="K275">
            <v>896.07</v>
          </cell>
          <cell r="N275">
            <v>437.81</v>
          </cell>
          <cell r="Q275">
            <v>369.39</v>
          </cell>
          <cell r="T275">
            <v>494.87</v>
          </cell>
          <cell r="W275">
            <v>492.53</v>
          </cell>
          <cell r="Z275">
            <v>447.02</v>
          </cell>
          <cell r="AC275">
            <v>493.23</v>
          </cell>
          <cell r="AF275">
            <v>530.83000000000004</v>
          </cell>
          <cell r="AI275">
            <v>900.65</v>
          </cell>
          <cell r="AL275">
            <v>976.45</v>
          </cell>
          <cell r="AO275">
            <v>790.47</v>
          </cell>
        </row>
        <row r="276">
          <cell r="A276" t="str">
            <v>CarrosserieFournitures d'atelier</v>
          </cell>
          <cell r="B276" t="str">
            <v>Fournitures d'atelier</v>
          </cell>
          <cell r="E276">
            <v>0</v>
          </cell>
          <cell r="H276">
            <v>0</v>
          </cell>
          <cell r="K276">
            <v>0</v>
          </cell>
          <cell r="N276">
            <v>0</v>
          </cell>
          <cell r="Q276">
            <v>0</v>
          </cell>
          <cell r="T276">
            <v>0</v>
          </cell>
          <cell r="W276">
            <v>0</v>
          </cell>
          <cell r="Z276">
            <v>0</v>
          </cell>
          <cell r="AC276">
            <v>0</v>
          </cell>
          <cell r="AF276">
            <v>0</v>
          </cell>
          <cell r="AI276">
            <v>0</v>
          </cell>
          <cell r="AL276">
            <v>0</v>
          </cell>
          <cell r="AO276">
            <v>0</v>
          </cell>
        </row>
        <row r="277">
          <cell r="A277" t="str">
            <v>CarrosserieFournitures autres</v>
          </cell>
          <cell r="B277" t="str">
            <v>Fournitures autres</v>
          </cell>
          <cell r="E277">
            <v>235.89000000000001</v>
          </cell>
          <cell r="H277">
            <v>0</v>
          </cell>
          <cell r="K277">
            <v>0</v>
          </cell>
          <cell r="N277">
            <v>1.8</v>
          </cell>
          <cell r="Q277">
            <v>0</v>
          </cell>
          <cell r="T277">
            <v>0</v>
          </cell>
          <cell r="W277">
            <v>0</v>
          </cell>
          <cell r="Z277">
            <v>0</v>
          </cell>
          <cell r="AC277">
            <v>0</v>
          </cell>
          <cell r="AF277">
            <v>30.88</v>
          </cell>
          <cell r="AI277">
            <v>155.99</v>
          </cell>
          <cell r="AL277">
            <v>47.22</v>
          </cell>
          <cell r="AO277">
            <v>0</v>
          </cell>
        </row>
        <row r="278">
          <cell r="A278" t="str">
            <v>CarrosserieUniformes</v>
          </cell>
          <cell r="B278" t="str">
            <v>Uniformes</v>
          </cell>
          <cell r="E278">
            <v>0</v>
          </cell>
          <cell r="H278">
            <v>0</v>
          </cell>
          <cell r="K278">
            <v>0</v>
          </cell>
          <cell r="N278">
            <v>0</v>
          </cell>
          <cell r="Q278">
            <v>0</v>
          </cell>
          <cell r="T278">
            <v>0</v>
          </cell>
          <cell r="W278">
            <v>0</v>
          </cell>
          <cell r="Z278">
            <v>0</v>
          </cell>
          <cell r="AC278">
            <v>0</v>
          </cell>
          <cell r="AF278">
            <v>0</v>
          </cell>
          <cell r="AI278">
            <v>0</v>
          </cell>
          <cell r="AL278">
            <v>0</v>
          </cell>
          <cell r="AO278">
            <v>0</v>
          </cell>
        </row>
        <row r="279">
          <cell r="A279" t="str">
            <v>CarrosseriePapeterie</v>
          </cell>
          <cell r="B279" t="str">
            <v>Papeterie</v>
          </cell>
          <cell r="E279">
            <v>2072.9499999999998</v>
          </cell>
          <cell r="H279">
            <v>84.82</v>
          </cell>
          <cell r="K279">
            <v>114.38</v>
          </cell>
          <cell r="N279">
            <v>216.39</v>
          </cell>
          <cell r="Q279">
            <v>171.37</v>
          </cell>
          <cell r="T279">
            <v>117.42</v>
          </cell>
          <cell r="W279">
            <v>132.52000000000001</v>
          </cell>
          <cell r="Z279">
            <v>104.97</v>
          </cell>
          <cell r="AC279">
            <v>243.74</v>
          </cell>
          <cell r="AF279">
            <v>150.02000000000001</v>
          </cell>
          <cell r="AI279">
            <v>50.07</v>
          </cell>
          <cell r="AL279">
            <v>451.88</v>
          </cell>
          <cell r="AO279">
            <v>235.37</v>
          </cell>
        </row>
        <row r="280">
          <cell r="A280" t="str">
            <v>CarrosserieTéléphone</v>
          </cell>
          <cell r="B280" t="str">
            <v>Téléphone</v>
          </cell>
          <cell r="E280">
            <v>303.3</v>
          </cell>
          <cell r="H280">
            <v>22.74</v>
          </cell>
          <cell r="K280">
            <v>24.43</v>
          </cell>
          <cell r="N280">
            <v>21.08</v>
          </cell>
          <cell r="Q280">
            <v>21.02</v>
          </cell>
          <cell r="T280">
            <v>20.98</v>
          </cell>
          <cell r="W280">
            <v>20.98</v>
          </cell>
          <cell r="Z280">
            <v>21.2</v>
          </cell>
          <cell r="AC280">
            <v>53.9</v>
          </cell>
          <cell r="AF280">
            <v>24.23</v>
          </cell>
          <cell r="AI280">
            <v>28.44</v>
          </cell>
          <cell r="AL280">
            <v>23.32</v>
          </cell>
          <cell r="AO280">
            <v>20.98</v>
          </cell>
        </row>
        <row r="281">
          <cell r="A281" t="str">
            <v>CarrosserieFrais postaux</v>
          </cell>
          <cell r="B281" t="str">
            <v>Frais postaux</v>
          </cell>
          <cell r="E281">
            <v>354.88</v>
          </cell>
          <cell r="H281">
            <v>22.36</v>
          </cell>
          <cell r="K281">
            <v>19.350000000000001</v>
          </cell>
          <cell r="N281">
            <v>18.59</v>
          </cell>
          <cell r="Q281">
            <v>28.24</v>
          </cell>
          <cell r="T281">
            <v>25.29</v>
          </cell>
          <cell r="W281">
            <v>17.91</v>
          </cell>
          <cell r="Z281">
            <v>28.46</v>
          </cell>
          <cell r="AC281">
            <v>22.65</v>
          </cell>
          <cell r="AF281">
            <v>29.2</v>
          </cell>
          <cell r="AI281">
            <v>55.33</v>
          </cell>
          <cell r="AL281">
            <v>37.15</v>
          </cell>
          <cell r="AO281">
            <v>50.35</v>
          </cell>
        </row>
        <row r="282">
          <cell r="A282" t="str">
            <v>CarrosserieDivers</v>
          </cell>
          <cell r="B282" t="str">
            <v>Divers</v>
          </cell>
          <cell r="E282">
            <v>2466.3700000000003</v>
          </cell>
          <cell r="H282">
            <v>796.64</v>
          </cell>
          <cell r="K282">
            <v>1433.45</v>
          </cell>
          <cell r="N282">
            <v>14.5</v>
          </cell>
          <cell r="Q282">
            <v>25.57</v>
          </cell>
          <cell r="T282">
            <v>17.18</v>
          </cell>
          <cell r="W282">
            <v>24.36</v>
          </cell>
          <cell r="Z282">
            <v>16.940000000000001</v>
          </cell>
          <cell r="AC282">
            <v>24.65</v>
          </cell>
          <cell r="AF282">
            <v>43.73</v>
          </cell>
          <cell r="AI282">
            <v>26.25</v>
          </cell>
          <cell r="AL282">
            <v>22.49</v>
          </cell>
          <cell r="AO282">
            <v>20.61</v>
          </cell>
        </row>
        <row r="283">
          <cell r="A283" t="str">
            <v>CarrosserieFormation</v>
          </cell>
          <cell r="B283" t="str">
            <v>Formation</v>
          </cell>
          <cell r="E283">
            <v>6840.78</v>
          </cell>
          <cell r="H283">
            <v>153.18</v>
          </cell>
          <cell r="K283">
            <v>105.68</v>
          </cell>
          <cell r="N283">
            <v>515.98</v>
          </cell>
          <cell r="Q283">
            <v>122.21</v>
          </cell>
          <cell r="T283">
            <v>1039.3800000000001</v>
          </cell>
          <cell r="W283">
            <v>272.94</v>
          </cell>
          <cell r="Z283">
            <v>22.33</v>
          </cell>
          <cell r="AC283">
            <v>2627.11</v>
          </cell>
          <cell r="AF283">
            <v>1851.77</v>
          </cell>
          <cell r="AI283">
            <v>18.91</v>
          </cell>
          <cell r="AL283">
            <v>92.33</v>
          </cell>
          <cell r="AO283">
            <v>18.96</v>
          </cell>
        </row>
        <row r="284">
          <cell r="A284" t="str">
            <v>CarrosserieFrais bancaires</v>
          </cell>
          <cell r="B284" t="str">
            <v>Frais bancaires</v>
          </cell>
          <cell r="E284">
            <v>2349.1699999999996</v>
          </cell>
          <cell r="H284">
            <v>174.54</v>
          </cell>
          <cell r="K284">
            <v>137.97</v>
          </cell>
          <cell r="N284">
            <v>19.84</v>
          </cell>
          <cell r="Q284">
            <v>168.09</v>
          </cell>
          <cell r="T284">
            <v>429.56</v>
          </cell>
          <cell r="W284">
            <v>196.51</v>
          </cell>
          <cell r="Z284">
            <v>189.25</v>
          </cell>
          <cell r="AC284">
            <v>147.77000000000001</v>
          </cell>
          <cell r="AF284">
            <v>200.2</v>
          </cell>
          <cell r="AI284">
            <v>222.59</v>
          </cell>
          <cell r="AL284">
            <v>284.70999999999998</v>
          </cell>
          <cell r="AO284">
            <v>178.14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Carrosserie[...]</v>
          </cell>
          <cell r="B287" t="str">
            <v>[...]</v>
          </cell>
          <cell r="E287">
            <v>0</v>
          </cell>
        </row>
        <row r="288">
          <cell r="A288" t="str">
            <v>CarrosserieTOTAL SEMI-FIXES</v>
          </cell>
          <cell r="B288" t="str">
            <v>TOTAL SEMI-FIXES</v>
          </cell>
          <cell r="C288" t="str">
            <v>% brut</v>
          </cell>
          <cell r="D288">
            <v>0</v>
          </cell>
          <cell r="E288">
            <v>71108.990000000005</v>
          </cell>
          <cell r="F288" t="str">
            <v>% brut</v>
          </cell>
          <cell r="G288">
            <v>0</v>
          </cell>
          <cell r="H288">
            <v>3869.2699999999995</v>
          </cell>
          <cell r="I288" t="str">
            <v>% brut</v>
          </cell>
          <cell r="J288">
            <v>0</v>
          </cell>
          <cell r="K288">
            <v>5985.2800000000007</v>
          </cell>
          <cell r="L288" t="str">
            <v>% brut</v>
          </cell>
          <cell r="M288">
            <v>0</v>
          </cell>
          <cell r="N288">
            <v>2324.0100000000002</v>
          </cell>
          <cell r="O288" t="str">
            <v>% brut</v>
          </cell>
          <cell r="P288">
            <v>0</v>
          </cell>
          <cell r="Q288">
            <v>4530.79</v>
          </cell>
          <cell r="R288" t="str">
            <v>% brut</v>
          </cell>
          <cell r="S288">
            <v>0</v>
          </cell>
          <cell r="T288">
            <v>7229.66</v>
          </cell>
          <cell r="U288" t="str">
            <v>% brut</v>
          </cell>
          <cell r="V288">
            <v>0</v>
          </cell>
          <cell r="W288">
            <v>6917.4999999999991</v>
          </cell>
          <cell r="X288" t="str">
            <v>% brut</v>
          </cell>
          <cell r="Y288">
            <v>0</v>
          </cell>
          <cell r="Z288">
            <v>3649.2399999999993</v>
          </cell>
          <cell r="AA288" t="str">
            <v>% brut</v>
          </cell>
          <cell r="AB288">
            <v>0</v>
          </cell>
          <cell r="AC288">
            <v>7522.2099999999991</v>
          </cell>
          <cell r="AD288" t="str">
            <v>% brut</v>
          </cell>
          <cell r="AE288">
            <v>0</v>
          </cell>
          <cell r="AF288">
            <v>8570.98</v>
          </cell>
          <cell r="AG288" t="str">
            <v>% brut</v>
          </cell>
          <cell r="AH288">
            <v>0</v>
          </cell>
          <cell r="AI288">
            <v>9022.2900000000009</v>
          </cell>
          <cell r="AJ288" t="str">
            <v>% brut</v>
          </cell>
          <cell r="AK288">
            <v>0</v>
          </cell>
          <cell r="AL288">
            <v>8237.1899999999987</v>
          </cell>
          <cell r="AM288" t="str">
            <v>% brut</v>
          </cell>
          <cell r="AN288">
            <v>0</v>
          </cell>
          <cell r="AO288">
            <v>3250.5699999999997</v>
          </cell>
        </row>
        <row r="289">
          <cell r="A289" t="str">
            <v>Carrosserie</v>
          </cell>
        </row>
        <row r="290">
          <cell r="A290" t="str">
            <v>CarrosserieTOTAL DES DÉPENSES</v>
          </cell>
          <cell r="B290" t="str">
            <v>TOTAL DES DÉPENSES</v>
          </cell>
          <cell r="C290" t="str">
            <v>% brut</v>
          </cell>
          <cell r="D290">
            <v>0</v>
          </cell>
          <cell r="E290">
            <v>160353.54999999999</v>
          </cell>
          <cell r="F290" t="str">
            <v>% brut</v>
          </cell>
          <cell r="G290">
            <v>0</v>
          </cell>
          <cell r="H290">
            <v>12156.150000000001</v>
          </cell>
          <cell r="I290" t="str">
            <v>% brut</v>
          </cell>
          <cell r="J290">
            <v>0</v>
          </cell>
          <cell r="K290">
            <v>14473.630000000001</v>
          </cell>
          <cell r="L290" t="str">
            <v>% brut</v>
          </cell>
          <cell r="M290">
            <v>0</v>
          </cell>
          <cell r="N290">
            <v>9502.9900000000016</v>
          </cell>
          <cell r="O290" t="str">
            <v>% brut</v>
          </cell>
          <cell r="P290">
            <v>0</v>
          </cell>
          <cell r="Q290">
            <v>8657.0499999999993</v>
          </cell>
          <cell r="R290" t="str">
            <v>% brut</v>
          </cell>
          <cell r="S290">
            <v>0</v>
          </cell>
          <cell r="T290">
            <v>14805.199999999999</v>
          </cell>
          <cell r="U290" t="str">
            <v>% brut</v>
          </cell>
          <cell r="V290">
            <v>0</v>
          </cell>
          <cell r="W290">
            <v>14953.609999999999</v>
          </cell>
          <cell r="X290" t="str">
            <v>% brut</v>
          </cell>
          <cell r="Y290">
            <v>0</v>
          </cell>
          <cell r="Z290">
            <v>10750.68</v>
          </cell>
          <cell r="AA290" t="str">
            <v>% brut</v>
          </cell>
          <cell r="AB290">
            <v>0</v>
          </cell>
          <cell r="AC290">
            <v>15776.259999999998</v>
          </cell>
          <cell r="AD290" t="str">
            <v>% brut</v>
          </cell>
          <cell r="AE290">
            <v>0</v>
          </cell>
          <cell r="AF290">
            <v>14770.220000000001</v>
          </cell>
          <cell r="AG290" t="str">
            <v>% brut</v>
          </cell>
          <cell r="AH290">
            <v>0</v>
          </cell>
          <cell r="AI290">
            <v>16180.36</v>
          </cell>
          <cell r="AJ290" t="str">
            <v>% brut</v>
          </cell>
          <cell r="AK290">
            <v>0</v>
          </cell>
          <cell r="AL290">
            <v>15854.399999999998</v>
          </cell>
          <cell r="AM290" t="str">
            <v>% brut</v>
          </cell>
          <cell r="AN290">
            <v>0</v>
          </cell>
          <cell r="AO290">
            <v>12473</v>
          </cell>
        </row>
        <row r="291">
          <cell r="A291" t="str">
            <v>Carrosserie</v>
          </cell>
        </row>
        <row r="292">
          <cell r="A292" t="str">
            <v>CarrosseriePROFIT DÉPARTEMENTAL</v>
          </cell>
          <cell r="B292" t="str">
            <v>PROFIT DÉPARTEMENTAL</v>
          </cell>
          <cell r="E292">
            <v>26114.049999999523</v>
          </cell>
          <cell r="H292">
            <v>16240.7399999999</v>
          </cell>
          <cell r="K292">
            <v>-2051.7300000000014</v>
          </cell>
          <cell r="N292">
            <v>3601.0599999999977</v>
          </cell>
          <cell r="Q292">
            <v>-1724.7099999999991</v>
          </cell>
          <cell r="T292">
            <v>7749.7900000000027</v>
          </cell>
          <cell r="W292">
            <v>-2286.6099999999988</v>
          </cell>
          <cell r="Z292">
            <v>12395.979999999901</v>
          </cell>
          <cell r="AC292">
            <v>11220.069999999901</v>
          </cell>
          <cell r="AF292">
            <v>-6914.6600000000108</v>
          </cell>
          <cell r="AI292">
            <v>365.00999999990017</v>
          </cell>
          <cell r="AL292">
            <v>-4223.8700000000972</v>
          </cell>
          <cell r="AO292">
            <v>-8257.02</v>
          </cell>
        </row>
        <row r="294">
          <cell r="B294" t="str">
            <v>Réel 2023</v>
          </cell>
          <cell r="C294" t="str">
            <v>Pièces</v>
          </cell>
        </row>
        <row r="296">
          <cell r="B296" t="str">
            <v>Mois</v>
          </cell>
          <cell r="C296">
            <v>2023</v>
          </cell>
          <cell r="F296" t="str">
            <v>Janvier</v>
          </cell>
          <cell r="I296" t="str">
            <v>Février</v>
          </cell>
          <cell r="L296" t="str">
            <v>Mars</v>
          </cell>
          <cell r="O296" t="str">
            <v>Avril</v>
          </cell>
          <cell r="R296" t="str">
            <v>Mai</v>
          </cell>
          <cell r="U296" t="str">
            <v>Juin</v>
          </cell>
          <cell r="X296" t="str">
            <v>Juillet</v>
          </cell>
          <cell r="AA296" t="str">
            <v>Août</v>
          </cell>
          <cell r="AD296" t="str">
            <v>Septembre</v>
          </cell>
          <cell r="AG296" t="str">
            <v>Octobre</v>
          </cell>
          <cell r="AJ296" t="str">
            <v>Novembre</v>
          </cell>
          <cell r="AM296" t="str">
            <v>Décembre</v>
          </cell>
        </row>
        <row r="297">
          <cell r="A297" t="str">
            <v>Pièces</v>
          </cell>
          <cell r="C297" t="str">
            <v>$VENTES</v>
          </cell>
          <cell r="D297" t="str">
            <v>% P. BRUT</v>
          </cell>
          <cell r="E297" t="str">
            <v>$PROFITS</v>
          </cell>
          <cell r="F297" t="str">
            <v>$VENTES</v>
          </cell>
          <cell r="G297" t="str">
            <v>% P. BRUT</v>
          </cell>
          <cell r="H297" t="str">
            <v>$PROFITS</v>
          </cell>
          <cell r="I297" t="str">
            <v>$VENTES</v>
          </cell>
          <cell r="J297" t="str">
            <v>% P. BRUT</v>
          </cell>
          <cell r="K297" t="str">
            <v>$PROFITS</v>
          </cell>
          <cell r="L297" t="str">
            <v>$VENTES</v>
          </cell>
          <cell r="M297" t="str">
            <v>% P. BRUT</v>
          </cell>
          <cell r="N297" t="str">
            <v>$PROFITS</v>
          </cell>
          <cell r="O297" t="str">
            <v>$VENTES</v>
          </cell>
          <cell r="P297" t="str">
            <v>% P. BRUT</v>
          </cell>
          <cell r="Q297" t="str">
            <v>$PROFITS</v>
          </cell>
          <cell r="R297" t="str">
            <v>$VENTES</v>
          </cell>
          <cell r="S297" t="str">
            <v>% P. BRUT</v>
          </cell>
          <cell r="T297" t="str">
            <v>$PROFITS</v>
          </cell>
          <cell r="U297" t="str">
            <v>$VENTES</v>
          </cell>
          <cell r="V297" t="str">
            <v>% P. BRUT</v>
          </cell>
          <cell r="W297" t="str">
            <v>$PROFITS</v>
          </cell>
          <cell r="X297" t="str">
            <v>$VENTES</v>
          </cell>
          <cell r="Y297" t="str">
            <v>% P. BRUT</v>
          </cell>
          <cell r="Z297" t="str">
            <v>$PROFITS</v>
          </cell>
          <cell r="AA297" t="str">
            <v>$VENTES</v>
          </cell>
          <cell r="AB297" t="str">
            <v>% P. BRUT</v>
          </cell>
          <cell r="AC297" t="str">
            <v>$PROFITS</v>
          </cell>
          <cell r="AD297" t="str">
            <v>$VENTES</v>
          </cell>
          <cell r="AE297" t="str">
            <v>% P. BRUT</v>
          </cell>
          <cell r="AF297" t="str">
            <v>$PROFITS</v>
          </cell>
          <cell r="AG297" t="str">
            <v>$VENTES</v>
          </cell>
          <cell r="AH297" t="str">
            <v>% P. BRUT</v>
          </cell>
          <cell r="AI297" t="str">
            <v>$PROFITS</v>
          </cell>
          <cell r="AJ297" t="str">
            <v>$VENTES</v>
          </cell>
          <cell r="AK297" t="str">
            <v>% P. BRUT</v>
          </cell>
          <cell r="AL297" t="str">
            <v>$PROFITS</v>
          </cell>
          <cell r="AM297" t="str">
            <v>$VENTES</v>
          </cell>
          <cell r="AN297" t="str">
            <v>% P. BRUT</v>
          </cell>
          <cell r="AO297" t="str">
            <v>$PROFITS</v>
          </cell>
        </row>
        <row r="298">
          <cell r="A298" t="str">
            <v>PiècesPièces Ro Clients</v>
          </cell>
          <cell r="B298" t="str">
            <v>Pièces Ro Clients</v>
          </cell>
          <cell r="C298">
            <v>1192011.8199999998</v>
          </cell>
          <cell r="D298">
            <v>0.34520734869894132</v>
          </cell>
          <cell r="E298">
            <v>411491.23999999964</v>
          </cell>
          <cell r="F298">
            <v>82311.17</v>
          </cell>
          <cell r="G298">
            <v>0.34057018020761826</v>
          </cell>
          <cell r="H298">
            <v>28032.729999999901</v>
          </cell>
          <cell r="I298">
            <v>64598.619999999901</v>
          </cell>
          <cell r="J298">
            <v>0.36178280588656592</v>
          </cell>
          <cell r="K298">
            <v>23370.67</v>
          </cell>
          <cell r="L298">
            <v>73697.440000000002</v>
          </cell>
          <cell r="M298">
            <v>0.34372700055795696</v>
          </cell>
          <cell r="N298">
            <v>25331.8</v>
          </cell>
          <cell r="O298">
            <v>103800.09</v>
          </cell>
          <cell r="P298">
            <v>0.31221562524656771</v>
          </cell>
          <cell r="Q298">
            <v>32408.01</v>
          </cell>
          <cell r="R298">
            <v>117803.88</v>
          </cell>
          <cell r="S298">
            <v>0.34810296570876947</v>
          </cell>
          <cell r="T298">
            <v>41007.879999999997</v>
          </cell>
          <cell r="U298">
            <v>105150.77</v>
          </cell>
          <cell r="V298">
            <v>0.35954544127446714</v>
          </cell>
          <cell r="W298">
            <v>37806.480000000003</v>
          </cell>
          <cell r="X298">
            <v>99369.709999999905</v>
          </cell>
          <cell r="Y298">
            <v>0.32475731286727044</v>
          </cell>
          <cell r="Z298">
            <v>32271.039999999899</v>
          </cell>
          <cell r="AA298">
            <v>111273.11</v>
          </cell>
          <cell r="AB298">
            <v>0.33089953179164222</v>
          </cell>
          <cell r="AC298">
            <v>36820.219999999899</v>
          </cell>
          <cell r="AD298">
            <v>89538.52</v>
          </cell>
          <cell r="AE298">
            <v>0.36544048304573268</v>
          </cell>
          <cell r="AF298">
            <v>32721</v>
          </cell>
          <cell r="AG298">
            <v>107277.3</v>
          </cell>
          <cell r="AH298">
            <v>0.33880280357540687</v>
          </cell>
          <cell r="AI298">
            <v>36345.85</v>
          </cell>
          <cell r="AJ298">
            <v>133780.1</v>
          </cell>
          <cell r="AK298">
            <v>0.36223406919265272</v>
          </cell>
          <cell r="AL298">
            <v>48459.71</v>
          </cell>
          <cell r="AM298">
            <v>103411.11</v>
          </cell>
          <cell r="AN298">
            <v>0.35698146939917769</v>
          </cell>
          <cell r="AO298">
            <v>36915.85</v>
          </cell>
        </row>
        <row r="299">
          <cell r="A299" t="str">
            <v>PiècesPièces Ro Carrosserie</v>
          </cell>
          <cell r="B299" t="str">
            <v>Pièces Ro Carrosserie</v>
          </cell>
          <cell r="C299">
            <v>491488.82999999978</v>
          </cell>
          <cell r="D299">
            <v>0.26848209347911273</v>
          </cell>
          <cell r="E299">
            <v>131955.94999999969</v>
          </cell>
          <cell r="F299">
            <v>59143.06</v>
          </cell>
          <cell r="G299">
            <v>0.26266733577870172</v>
          </cell>
          <cell r="H299">
            <v>15534.949999999901</v>
          </cell>
          <cell r="I299">
            <v>50449.97</v>
          </cell>
          <cell r="J299">
            <v>0.25000589693115777</v>
          </cell>
          <cell r="K299">
            <v>12612.79</v>
          </cell>
          <cell r="L299">
            <v>57480.79</v>
          </cell>
          <cell r="M299">
            <v>0.23446041712370341</v>
          </cell>
          <cell r="N299">
            <v>13476.97</v>
          </cell>
          <cell r="O299">
            <v>10030.48</v>
          </cell>
          <cell r="P299">
            <v>0.32753666823521804</v>
          </cell>
          <cell r="Q299">
            <v>3285.3499999999899</v>
          </cell>
          <cell r="R299">
            <v>41761.039999999899</v>
          </cell>
          <cell r="S299">
            <v>0.29395244946006927</v>
          </cell>
          <cell r="T299">
            <v>12275.7599999999</v>
          </cell>
          <cell r="U299">
            <v>37089.9399999999</v>
          </cell>
          <cell r="V299">
            <v>0.27931913613232934</v>
          </cell>
          <cell r="W299">
            <v>10359.9299999999</v>
          </cell>
          <cell r="X299">
            <v>50553.47</v>
          </cell>
          <cell r="Y299">
            <v>0.28681235927029342</v>
          </cell>
          <cell r="Z299">
            <v>14499.36</v>
          </cell>
          <cell r="AA299">
            <v>60727.46</v>
          </cell>
          <cell r="AB299">
            <v>0.27616501661686493</v>
          </cell>
          <cell r="AC299">
            <v>16770.8</v>
          </cell>
          <cell r="AD299">
            <v>23887.27</v>
          </cell>
          <cell r="AE299">
            <v>0.30739469181702217</v>
          </cell>
          <cell r="AF299">
            <v>7342.82</v>
          </cell>
          <cell r="AG299">
            <v>40000.519999999997</v>
          </cell>
          <cell r="AH299">
            <v>0.26120960427514445</v>
          </cell>
          <cell r="AI299">
            <v>10448.52</v>
          </cell>
          <cell r="AJ299">
            <v>36556.910000000003</v>
          </cell>
          <cell r="AK299">
            <v>0.24894773655650873</v>
          </cell>
          <cell r="AL299">
            <v>9100.76</v>
          </cell>
          <cell r="AM299">
            <v>23807.919999999998</v>
          </cell>
          <cell r="AN299">
            <v>0.26243115736275996</v>
          </cell>
          <cell r="AO299">
            <v>6247.94</v>
          </cell>
        </row>
        <row r="300">
          <cell r="A300" t="str">
            <v>PiècesP/A Garantie</v>
          </cell>
          <cell r="B300" t="str">
            <v>P/A Garantie</v>
          </cell>
          <cell r="C300">
            <v>511332.57000000007</v>
          </cell>
          <cell r="D300">
            <v>0.23452922234153767</v>
          </cell>
          <cell r="E300">
            <v>119922.42999999989</v>
          </cell>
          <cell r="F300">
            <v>33190.080000000002</v>
          </cell>
          <cell r="G300">
            <v>0.25104157627821322</v>
          </cell>
          <cell r="H300">
            <v>8332.09</v>
          </cell>
          <cell r="I300">
            <v>39666.25</v>
          </cell>
          <cell r="J300">
            <v>0.23944638073929322</v>
          </cell>
          <cell r="K300">
            <v>9497.9399999999896</v>
          </cell>
          <cell r="L300">
            <v>26875.99</v>
          </cell>
          <cell r="M300">
            <v>0.25785617571668989</v>
          </cell>
          <cell r="N300">
            <v>6930.14</v>
          </cell>
          <cell r="O300">
            <v>50247.839999999997</v>
          </cell>
          <cell r="P300">
            <v>0.24430383475189979</v>
          </cell>
          <cell r="Q300">
            <v>12275.7399999999</v>
          </cell>
          <cell r="R300">
            <v>17870.95</v>
          </cell>
          <cell r="S300">
            <v>0.23867169904230048</v>
          </cell>
          <cell r="T300">
            <v>4265.29</v>
          </cell>
          <cell r="U300">
            <v>21374.01</v>
          </cell>
          <cell r="V300">
            <v>0.24063102805697154</v>
          </cell>
          <cell r="W300">
            <v>5143.24999999999</v>
          </cell>
          <cell r="X300">
            <v>47223.46</v>
          </cell>
          <cell r="Y300">
            <v>0.2315844709388088</v>
          </cell>
          <cell r="Z300">
            <v>10936.22</v>
          </cell>
          <cell r="AA300">
            <v>81262.460000000006</v>
          </cell>
          <cell r="AB300">
            <v>0.23106524217947622</v>
          </cell>
          <cell r="AC300">
            <v>18776.93</v>
          </cell>
          <cell r="AD300">
            <v>58707.55</v>
          </cell>
          <cell r="AE300">
            <v>0.2316078596364522</v>
          </cell>
          <cell r="AF300">
            <v>13597.13</v>
          </cell>
          <cell r="AG300">
            <v>40743.97</v>
          </cell>
          <cell r="AH300">
            <v>0.25411318533760946</v>
          </cell>
          <cell r="AI300">
            <v>10353.58</v>
          </cell>
          <cell r="AJ300">
            <v>27809.93</v>
          </cell>
          <cell r="AK300">
            <v>0.1430377566574238</v>
          </cell>
          <cell r="AL300">
            <v>3977.8699999999899</v>
          </cell>
          <cell r="AM300">
            <v>66360.08</v>
          </cell>
          <cell r="AN300">
            <v>0.23864121321131621</v>
          </cell>
          <cell r="AO300">
            <v>15836.25</v>
          </cell>
        </row>
        <row r="301">
          <cell r="A301" t="str">
            <v>PiècesVentes Internes</v>
          </cell>
          <cell r="B301" t="str">
            <v>Ventes Internes</v>
          </cell>
          <cell r="C301">
            <v>481751.80000000005</v>
          </cell>
          <cell r="D301">
            <v>0.30924150153668339</v>
          </cell>
          <cell r="E301">
            <v>148977.65</v>
          </cell>
          <cell r="F301">
            <v>28194.25</v>
          </cell>
          <cell r="G301">
            <v>0.32791934525656791</v>
          </cell>
          <cell r="H301">
            <v>9245.4399999999896</v>
          </cell>
          <cell r="I301">
            <v>28846.63</v>
          </cell>
          <cell r="J301">
            <v>0.30991592432114257</v>
          </cell>
          <cell r="K301">
            <v>8940.0300000000007</v>
          </cell>
          <cell r="L301">
            <v>32999.22</v>
          </cell>
          <cell r="M301">
            <v>0.29415968013789418</v>
          </cell>
          <cell r="N301">
            <v>9707.0400000000009</v>
          </cell>
          <cell r="O301">
            <v>24960.95</v>
          </cell>
          <cell r="P301">
            <v>0.31938207480083891</v>
          </cell>
          <cell r="Q301">
            <v>7972.08</v>
          </cell>
          <cell r="R301">
            <v>35439.96</v>
          </cell>
          <cell r="S301">
            <v>0.34078368034275436</v>
          </cell>
          <cell r="T301">
            <v>12077.36</v>
          </cell>
          <cell r="U301">
            <v>33715.69</v>
          </cell>
          <cell r="V301">
            <v>0.30651308040855751</v>
          </cell>
          <cell r="W301">
            <v>10334.299999999999</v>
          </cell>
          <cell r="X301">
            <v>49052.26</v>
          </cell>
          <cell r="Y301">
            <v>0.31003097512734373</v>
          </cell>
          <cell r="Z301">
            <v>15207.72</v>
          </cell>
          <cell r="AA301">
            <v>35747.19</v>
          </cell>
          <cell r="AB301">
            <v>0.33819749188677489</v>
          </cell>
          <cell r="AC301">
            <v>12089.61</v>
          </cell>
          <cell r="AD301">
            <v>47172.79</v>
          </cell>
          <cell r="AE301">
            <v>0.32062678505977704</v>
          </cell>
          <cell r="AF301">
            <v>15124.86</v>
          </cell>
          <cell r="AG301">
            <v>56008.65</v>
          </cell>
          <cell r="AH301">
            <v>0.29652598304011968</v>
          </cell>
          <cell r="AI301">
            <v>16608.02</v>
          </cell>
          <cell r="AJ301">
            <v>67622.210000000006</v>
          </cell>
          <cell r="AK301">
            <v>0.28324288721116919</v>
          </cell>
          <cell r="AL301">
            <v>19153.509999999998</v>
          </cell>
          <cell r="AM301">
            <v>41992</v>
          </cell>
          <cell r="AN301">
            <v>0.29809678033911224</v>
          </cell>
          <cell r="AO301">
            <v>12517.68</v>
          </cell>
        </row>
        <row r="302">
          <cell r="A302" t="str">
            <v>PiècesVentes Détails</v>
          </cell>
          <cell r="B302" t="str">
            <v>Ventes Détails</v>
          </cell>
          <cell r="C302">
            <v>207516.24000000002</v>
          </cell>
          <cell r="D302">
            <v>0.25799672353354103</v>
          </cell>
          <cell r="E302">
            <v>53538.509999999958</v>
          </cell>
          <cell r="F302">
            <v>17577.66</v>
          </cell>
          <cell r="G302">
            <v>0.30386240261786834</v>
          </cell>
          <cell r="H302">
            <v>5341.19</v>
          </cell>
          <cell r="I302">
            <v>16153.13</v>
          </cell>
          <cell r="J302">
            <v>0.26057859993697818</v>
          </cell>
          <cell r="K302">
            <v>4209.16</v>
          </cell>
          <cell r="L302">
            <v>21105.759999999998</v>
          </cell>
          <cell r="M302">
            <v>0.24661135159311914</v>
          </cell>
          <cell r="N302">
            <v>5204.9199999999901</v>
          </cell>
          <cell r="O302">
            <v>19409.09</v>
          </cell>
          <cell r="P302">
            <v>0.26700582046865673</v>
          </cell>
          <cell r="Q302">
            <v>5182.34</v>
          </cell>
          <cell r="R302">
            <v>18968.09</v>
          </cell>
          <cell r="S302">
            <v>0.26662357675443338</v>
          </cell>
          <cell r="T302">
            <v>5057.34</v>
          </cell>
          <cell r="U302">
            <v>14407.53</v>
          </cell>
          <cell r="V302">
            <v>0.28317553390484002</v>
          </cell>
          <cell r="W302">
            <v>4079.86</v>
          </cell>
          <cell r="X302">
            <v>18843.27</v>
          </cell>
          <cell r="Y302">
            <v>0.21975909701447782</v>
          </cell>
          <cell r="Z302">
            <v>4140.9799999999996</v>
          </cell>
          <cell r="AA302">
            <v>13071.21</v>
          </cell>
          <cell r="AB302">
            <v>0.2633015612173617</v>
          </cell>
          <cell r="AC302">
            <v>3441.6699999999901</v>
          </cell>
          <cell r="AD302">
            <v>14154.98</v>
          </cell>
          <cell r="AE302">
            <v>0.26499154361221211</v>
          </cell>
          <cell r="AF302">
            <v>3750.9499999999898</v>
          </cell>
          <cell r="AG302">
            <v>16941.57</v>
          </cell>
          <cell r="AH302">
            <v>0.22296929977564003</v>
          </cell>
          <cell r="AI302">
            <v>3777.4499999999898</v>
          </cell>
          <cell r="AJ302">
            <v>22817.25</v>
          </cell>
          <cell r="AK302">
            <v>0.23199027051901522</v>
          </cell>
          <cell r="AL302">
            <v>5293.38</v>
          </cell>
          <cell r="AM302">
            <v>14066.7</v>
          </cell>
          <cell r="AN302">
            <v>0.28857301286015907</v>
          </cell>
          <cell r="AO302">
            <v>4059.27</v>
          </cell>
        </row>
        <row r="303">
          <cell r="A303" t="str">
            <v>PiècesVentes de Gros</v>
          </cell>
          <cell r="B303" t="str">
            <v>Ventes de Gros</v>
          </cell>
          <cell r="C303">
            <v>1486540.9599999997</v>
          </cell>
          <cell r="D303">
            <v>0.17803058046917147</v>
          </cell>
          <cell r="E303">
            <v>264649.74999999936</v>
          </cell>
          <cell r="F303">
            <v>126239.13</v>
          </cell>
          <cell r="G303">
            <v>0.18811694915831564</v>
          </cell>
          <cell r="H303">
            <v>23747.72</v>
          </cell>
          <cell r="I303">
            <v>124967.5</v>
          </cell>
          <cell r="J303">
            <v>0.19190637565767019</v>
          </cell>
          <cell r="K303">
            <v>23982.059999999899</v>
          </cell>
          <cell r="L303">
            <v>145372.95000000001</v>
          </cell>
          <cell r="M303">
            <v>0.1869029279518645</v>
          </cell>
          <cell r="N303">
            <v>27170.63</v>
          </cell>
          <cell r="O303">
            <v>110639.22</v>
          </cell>
          <cell r="P303">
            <v>0.1786696435495469</v>
          </cell>
          <cell r="Q303">
            <v>19767.869999999901</v>
          </cell>
          <cell r="R303">
            <v>131455.94</v>
          </cell>
          <cell r="S303">
            <v>0.18220355808950134</v>
          </cell>
          <cell r="T303">
            <v>23951.74</v>
          </cell>
          <cell r="U303">
            <v>105345.60000000001</v>
          </cell>
          <cell r="V303">
            <v>0.18486533846691269</v>
          </cell>
          <cell r="W303">
            <v>19474.75</v>
          </cell>
          <cell r="X303">
            <v>133684.29999999999</v>
          </cell>
          <cell r="Y303">
            <v>0.18301662947705827</v>
          </cell>
          <cell r="Z303">
            <v>24466.449999999899</v>
          </cell>
          <cell r="AA303">
            <v>114010.97</v>
          </cell>
          <cell r="AB303">
            <v>0.18489790938538633</v>
          </cell>
          <cell r="AC303">
            <v>21080.39</v>
          </cell>
          <cell r="AD303">
            <v>124254.39</v>
          </cell>
          <cell r="AE303">
            <v>0.17551951283169875</v>
          </cell>
          <cell r="AF303">
            <v>21809.069999999901</v>
          </cell>
          <cell r="AG303">
            <v>137780.70000000001</v>
          </cell>
          <cell r="AH303">
            <v>0.16951067892672919</v>
          </cell>
          <cell r="AI303">
            <v>23355.3</v>
          </cell>
          <cell r="AJ303">
            <v>123520.37</v>
          </cell>
          <cell r="AK303">
            <v>0.17072520103364247</v>
          </cell>
          <cell r="AL303">
            <v>21088.039999999899</v>
          </cell>
          <cell r="AM303">
            <v>109269.89</v>
          </cell>
          <cell r="AN303">
            <v>0.13503930497230207</v>
          </cell>
          <cell r="AO303">
            <v>14755.7299999999</v>
          </cell>
        </row>
        <row r="304">
          <cell r="A304" t="str">
            <v>Pièces[...]</v>
          </cell>
          <cell r="B304" t="str">
            <v>[...]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A305" t="str">
            <v>PiècesEscomptes</v>
          </cell>
          <cell r="B305" t="str">
            <v>Escomptes</v>
          </cell>
          <cell r="C305">
            <v>0</v>
          </cell>
          <cell r="D305">
            <v>0</v>
          </cell>
          <cell r="E305">
            <v>107117.11999999988</v>
          </cell>
          <cell r="F305">
            <v>0</v>
          </cell>
          <cell r="G305">
            <v>0</v>
          </cell>
          <cell r="H305">
            <v>5742.52</v>
          </cell>
          <cell r="I305">
            <v>0</v>
          </cell>
          <cell r="J305">
            <v>0</v>
          </cell>
          <cell r="K305">
            <v>7516.7999999999902</v>
          </cell>
          <cell r="L305">
            <v>0</v>
          </cell>
          <cell r="M305">
            <v>0</v>
          </cell>
          <cell r="N305">
            <v>9182.9</v>
          </cell>
          <cell r="O305">
            <v>0</v>
          </cell>
          <cell r="P305">
            <v>0</v>
          </cell>
          <cell r="Q305">
            <v>13912.76</v>
          </cell>
          <cell r="R305">
            <v>0</v>
          </cell>
          <cell r="S305">
            <v>0</v>
          </cell>
          <cell r="T305">
            <v>8490.4599999999991</v>
          </cell>
          <cell r="U305">
            <v>0</v>
          </cell>
          <cell r="V305">
            <v>0</v>
          </cell>
          <cell r="W305">
            <v>7973.19</v>
          </cell>
          <cell r="X305">
            <v>0</v>
          </cell>
          <cell r="Y305">
            <v>0</v>
          </cell>
          <cell r="Z305">
            <v>7131.57</v>
          </cell>
          <cell r="AA305">
            <v>0</v>
          </cell>
          <cell r="AB305">
            <v>0</v>
          </cell>
          <cell r="AC305">
            <v>4366.2299999999996</v>
          </cell>
          <cell r="AD305">
            <v>0</v>
          </cell>
          <cell r="AE305">
            <v>0</v>
          </cell>
          <cell r="AF305">
            <v>8499.4599999999991</v>
          </cell>
          <cell r="AG305">
            <v>0</v>
          </cell>
          <cell r="AH305">
            <v>0</v>
          </cell>
          <cell r="AI305">
            <v>5777.25</v>
          </cell>
          <cell r="AJ305">
            <v>0</v>
          </cell>
          <cell r="AK305">
            <v>0</v>
          </cell>
          <cell r="AL305">
            <v>18021.03</v>
          </cell>
          <cell r="AM305">
            <v>0</v>
          </cell>
          <cell r="AN305">
            <v>0</v>
          </cell>
          <cell r="AO305">
            <v>10502.949999999901</v>
          </cell>
        </row>
        <row r="306">
          <cell r="A306" t="str">
            <v>PiècesRectif. Inventaire</v>
          </cell>
          <cell r="B306" t="str">
            <v>Rectif. Inventaire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A307" t="str">
            <v>PiècesSous-total Pièces</v>
          </cell>
          <cell r="B307" t="str">
            <v>Sous-total Pièces</v>
          </cell>
          <cell r="C307">
            <v>4370642.22</v>
          </cell>
          <cell r="D307">
            <v>0.28317409380628705</v>
          </cell>
          <cell r="E307">
            <v>1237652.6499999985</v>
          </cell>
          <cell r="F307">
            <v>346655.35</v>
          </cell>
          <cell r="G307">
            <v>0.27686473034384096</v>
          </cell>
          <cell r="H307">
            <v>95976.639999999796</v>
          </cell>
          <cell r="I307">
            <v>324682.09999999992</v>
          </cell>
          <cell r="J307">
            <v>0.2775929131910872</v>
          </cell>
          <cell r="K307">
            <v>90129.449999999866</v>
          </cell>
          <cell r="L307">
            <v>357532.15</v>
          </cell>
          <cell r="M307">
            <v>0.27131657950201116</v>
          </cell>
          <cell r="N307">
            <v>97004.39999999998</v>
          </cell>
          <cell r="O307">
            <v>319087.67</v>
          </cell>
          <cell r="P307">
            <v>0.29711003875517905</v>
          </cell>
          <cell r="Q307">
            <v>94804.149999999776</v>
          </cell>
          <cell r="R307">
            <v>363299.85999999987</v>
          </cell>
          <cell r="S307">
            <v>0.29486889975680125</v>
          </cell>
          <cell r="T307">
            <v>107125.8299999999</v>
          </cell>
          <cell r="U307">
            <v>317083.53999999992</v>
          </cell>
          <cell r="V307">
            <v>0.30014727349139575</v>
          </cell>
          <cell r="W307">
            <v>95171.759999999893</v>
          </cell>
          <cell r="X307">
            <v>398726.46999999991</v>
          </cell>
          <cell r="Y307">
            <v>0.27250094532224012</v>
          </cell>
          <cell r="Z307">
            <v>108653.33999999979</v>
          </cell>
          <cell r="AA307">
            <v>416092.4</v>
          </cell>
          <cell r="AB307">
            <v>0.27240548012893256</v>
          </cell>
          <cell r="AC307">
            <v>113345.84999999987</v>
          </cell>
          <cell r="AD307">
            <v>357715.50000000006</v>
          </cell>
          <cell r="AE307">
            <v>0.28750582515993822</v>
          </cell>
          <cell r="AF307">
            <v>102845.28999999989</v>
          </cell>
          <cell r="AG307">
            <v>398752.71</v>
          </cell>
          <cell r="AH307">
            <v>0.26749904721650664</v>
          </cell>
          <cell r="AI307">
            <v>106665.96999999999</v>
          </cell>
          <cell r="AJ307">
            <v>412106.77</v>
          </cell>
          <cell r="AK307">
            <v>0.30354827706421783</v>
          </cell>
          <cell r="AL307">
            <v>125094.2999999999</v>
          </cell>
          <cell r="AM307">
            <v>358907.7</v>
          </cell>
          <cell r="AN307">
            <v>0.28095153712221776</v>
          </cell>
          <cell r="AO307">
            <v>100835.66999999979</v>
          </cell>
        </row>
        <row r="308">
          <cell r="A308" t="str">
            <v>Pièces</v>
          </cell>
        </row>
        <row r="309">
          <cell r="A309" t="str">
            <v>Pièces</v>
          </cell>
        </row>
        <row r="310">
          <cell r="A310" t="str">
            <v>PiècesVentes Pneus</v>
          </cell>
          <cell r="B310" t="str">
            <v>Ventes Pneus</v>
          </cell>
          <cell r="C310">
            <v>553066.79999999993</v>
          </cell>
          <cell r="D310">
            <v>0.17961251696901703</v>
          </cell>
          <cell r="E310">
            <v>99337.719999999943</v>
          </cell>
          <cell r="F310">
            <v>30592.2399999999</v>
          </cell>
          <cell r="G310">
            <v>0.19904818999850976</v>
          </cell>
          <cell r="H310">
            <v>6089.3299999999899</v>
          </cell>
          <cell r="I310">
            <v>41997.53</v>
          </cell>
          <cell r="J310">
            <v>0.18267050467015536</v>
          </cell>
          <cell r="K310">
            <v>7671.70999999999</v>
          </cell>
          <cell r="L310">
            <v>41663.86</v>
          </cell>
          <cell r="M310">
            <v>0.16266375703067357</v>
          </cell>
          <cell r="N310">
            <v>6777.2</v>
          </cell>
          <cell r="O310">
            <v>30345.22</v>
          </cell>
          <cell r="P310">
            <v>0.16760069625463253</v>
          </cell>
          <cell r="Q310">
            <v>5085.88</v>
          </cell>
          <cell r="R310">
            <v>35494.959999999999</v>
          </cell>
          <cell r="S310">
            <v>0.19044309389276648</v>
          </cell>
          <cell r="T310">
            <v>6759.7699999999904</v>
          </cell>
          <cell r="U310">
            <v>19732.46</v>
          </cell>
          <cell r="V310">
            <v>0.19391348063039227</v>
          </cell>
          <cell r="W310">
            <v>3826.3899999999899</v>
          </cell>
          <cell r="X310">
            <v>17144.36</v>
          </cell>
          <cell r="Y310">
            <v>0.20076806599954736</v>
          </cell>
          <cell r="Z310">
            <v>3442.04</v>
          </cell>
          <cell r="AA310">
            <v>17683.11</v>
          </cell>
          <cell r="AB310">
            <v>0.18873094155948811</v>
          </cell>
          <cell r="AC310">
            <v>3337.35</v>
          </cell>
          <cell r="AD310">
            <v>31339.7</v>
          </cell>
          <cell r="AE310">
            <v>0.18025252315752832</v>
          </cell>
          <cell r="AF310">
            <v>5649.0599999999904</v>
          </cell>
          <cell r="AG310">
            <v>77932.36</v>
          </cell>
          <cell r="AH310">
            <v>0.1819295604547328</v>
          </cell>
          <cell r="AI310">
            <v>14178.2</v>
          </cell>
          <cell r="AJ310">
            <v>150650.59</v>
          </cell>
          <cell r="AK310">
            <v>0.17327439607106748</v>
          </cell>
          <cell r="AL310">
            <v>26103.89</v>
          </cell>
          <cell r="AM310">
            <v>58490.41</v>
          </cell>
          <cell r="AN310">
            <v>0.17809586221057433</v>
          </cell>
          <cell r="AO310">
            <v>10416.9</v>
          </cell>
        </row>
        <row r="311">
          <cell r="A311" t="str">
            <v>PiècesHuiles et Graisse</v>
          </cell>
          <cell r="B311" t="str">
            <v>Huiles et Graisse</v>
          </cell>
          <cell r="C311">
            <v>268549.64999999997</v>
          </cell>
          <cell r="D311">
            <v>0.24732212460526376</v>
          </cell>
          <cell r="E311">
            <v>66418.26999999996</v>
          </cell>
          <cell r="F311">
            <v>19043.990000000002</v>
          </cell>
          <cell r="G311">
            <v>0.26548270609257829</v>
          </cell>
          <cell r="H311">
            <v>5055.8500000000004</v>
          </cell>
          <cell r="I311">
            <v>16201.81</v>
          </cell>
          <cell r="J311">
            <v>0.28618839500031112</v>
          </cell>
          <cell r="K311">
            <v>4636.7699999999904</v>
          </cell>
          <cell r="L311">
            <v>18457.419999999998</v>
          </cell>
          <cell r="M311">
            <v>0.27123400778656986</v>
          </cell>
          <cell r="N311">
            <v>5006.2799999999897</v>
          </cell>
          <cell r="O311">
            <v>23693.71</v>
          </cell>
          <cell r="P311">
            <v>0.25796593273066948</v>
          </cell>
          <cell r="Q311">
            <v>6112.1699999999901</v>
          </cell>
          <cell r="R311">
            <v>26037.82</v>
          </cell>
          <cell r="S311">
            <v>0.26885891368785869</v>
          </cell>
          <cell r="T311">
            <v>7000.5</v>
          </cell>
          <cell r="U311">
            <v>21141.68</v>
          </cell>
          <cell r="V311">
            <v>0.24924603910379872</v>
          </cell>
          <cell r="W311">
            <v>5269.48</v>
          </cell>
          <cell r="X311">
            <v>23063.49</v>
          </cell>
          <cell r="Y311">
            <v>0.25688479930834401</v>
          </cell>
          <cell r="Z311">
            <v>5924.66</v>
          </cell>
          <cell r="AA311">
            <v>19868.830000000002</v>
          </cell>
          <cell r="AB311">
            <v>0.22414757184997808</v>
          </cell>
          <cell r="AC311">
            <v>4453.55</v>
          </cell>
          <cell r="AD311">
            <v>19956.650000000001</v>
          </cell>
          <cell r="AE311">
            <v>0.21938401485219211</v>
          </cell>
          <cell r="AF311">
            <v>4378.17</v>
          </cell>
          <cell r="AG311">
            <v>26618.27</v>
          </cell>
          <cell r="AH311">
            <v>0.21983885504204442</v>
          </cell>
          <cell r="AI311">
            <v>5851.73</v>
          </cell>
          <cell r="AJ311">
            <v>34386.25</v>
          </cell>
          <cell r="AK311">
            <v>0.23183917990475844</v>
          </cell>
          <cell r="AL311">
            <v>7972.08</v>
          </cell>
          <cell r="AM311">
            <v>20079.73</v>
          </cell>
          <cell r="AN311">
            <v>0.2369070699655817</v>
          </cell>
          <cell r="AO311">
            <v>4757.0299999999897</v>
          </cell>
        </row>
        <row r="312">
          <cell r="A312" t="str">
            <v>PiècesSous-total Pièces et Acc.</v>
          </cell>
          <cell r="B312" t="str">
            <v>Sous-total Pièces et Acc.</v>
          </cell>
          <cell r="C312">
            <v>5192258.67</v>
          </cell>
          <cell r="D312">
            <v>0.27028866032978255</v>
          </cell>
          <cell r="E312">
            <v>1403408.6399999985</v>
          </cell>
          <cell r="F312">
            <v>396291.57999999984</v>
          </cell>
          <cell r="G312">
            <v>0.27031061321060579</v>
          </cell>
          <cell r="H312">
            <v>107121.81999999979</v>
          </cell>
          <cell r="I312">
            <v>382881.43999999989</v>
          </cell>
          <cell r="J312">
            <v>0.26754477835227497</v>
          </cell>
          <cell r="K312">
            <v>102437.92999999985</v>
          </cell>
          <cell r="L312">
            <v>417653.43</v>
          </cell>
          <cell r="M312">
            <v>0.2604740490219366</v>
          </cell>
          <cell r="N312">
            <v>108787.87999999996</v>
          </cell>
          <cell r="O312">
            <v>373126.60000000003</v>
          </cell>
          <cell r="P312">
            <v>0.28409178010894898</v>
          </cell>
          <cell r="Q312">
            <v>106002.19999999976</v>
          </cell>
          <cell r="R312">
            <v>424832.6399999999</v>
          </cell>
          <cell r="S312">
            <v>0.28454993476960694</v>
          </cell>
          <cell r="T312">
            <v>120886.09999999989</v>
          </cell>
          <cell r="U312">
            <v>357957.67999999993</v>
          </cell>
          <cell r="V312">
            <v>0.29128479657148265</v>
          </cell>
          <cell r="W312">
            <v>104267.62999999987</v>
          </cell>
          <cell r="X312">
            <v>438934.31999999989</v>
          </cell>
          <cell r="Y312">
            <v>0.26887858757547101</v>
          </cell>
          <cell r="Z312">
            <v>118020.03999999979</v>
          </cell>
          <cell r="AA312">
            <v>453644.34</v>
          </cell>
          <cell r="AB312">
            <v>0.26703022460282405</v>
          </cell>
          <cell r="AC312">
            <v>121136.74999999988</v>
          </cell>
          <cell r="AD312">
            <v>409011.85000000009</v>
          </cell>
          <cell r="AE312">
            <v>0.27596393600821068</v>
          </cell>
          <cell r="AF312">
            <v>112872.51999999989</v>
          </cell>
          <cell r="AG312">
            <v>503303.34</v>
          </cell>
          <cell r="AH312">
            <v>0.2517287089730022</v>
          </cell>
          <cell r="AI312">
            <v>126695.89999999998</v>
          </cell>
          <cell r="AJ312">
            <v>597143.61</v>
          </cell>
          <cell r="AK312">
            <v>0.26655274767153564</v>
          </cell>
          <cell r="AL312">
            <v>159170.26999999987</v>
          </cell>
          <cell r="AM312">
            <v>437477.83999999997</v>
          </cell>
          <cell r="AN312">
            <v>0.26517823165625892</v>
          </cell>
          <cell r="AO312">
            <v>116009.59999999977</v>
          </cell>
        </row>
        <row r="313">
          <cell r="A313" t="str">
            <v>Pièces</v>
          </cell>
        </row>
        <row r="314">
          <cell r="A314" t="str">
            <v>PiècesPièces recond. MCPA</v>
          </cell>
          <cell r="B314" t="str">
            <v>Pièces recond. MCPA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</row>
        <row r="315">
          <cell r="A315" t="str">
            <v>PiècesAutostock</v>
          </cell>
          <cell r="B315" t="str">
            <v>Autostock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A316" t="str">
            <v>Pièces</v>
          </cell>
        </row>
        <row r="317">
          <cell r="A317" t="str">
            <v>PiècesTotal Dépt. Pièces</v>
          </cell>
          <cell r="B317" t="str">
            <v>Total Dépt. Pièces</v>
          </cell>
          <cell r="C317">
            <v>5192258.67</v>
          </cell>
          <cell r="D317">
            <v>0.27028866032978255</v>
          </cell>
          <cell r="E317">
            <v>1403408.6399999985</v>
          </cell>
          <cell r="F317">
            <v>396291.57999999984</v>
          </cell>
          <cell r="G317">
            <v>0.27031061321060579</v>
          </cell>
          <cell r="H317">
            <v>107121.81999999979</v>
          </cell>
          <cell r="I317">
            <v>382881.43999999989</v>
          </cell>
          <cell r="J317">
            <v>0.26754477835227497</v>
          </cell>
          <cell r="K317">
            <v>102437.92999999985</v>
          </cell>
          <cell r="L317">
            <v>417653.43</v>
          </cell>
          <cell r="M317">
            <v>0.2604740490219366</v>
          </cell>
          <cell r="N317">
            <v>108787.87999999996</v>
          </cell>
          <cell r="O317">
            <v>373126.60000000003</v>
          </cell>
          <cell r="P317">
            <v>0.28409178010894898</v>
          </cell>
          <cell r="Q317">
            <v>106002.19999999976</v>
          </cell>
          <cell r="R317">
            <v>424832.6399999999</v>
          </cell>
          <cell r="S317">
            <v>0.28454993476960694</v>
          </cell>
          <cell r="T317">
            <v>120886.09999999989</v>
          </cell>
          <cell r="U317">
            <v>357957.67999999993</v>
          </cell>
          <cell r="V317">
            <v>0.29128479657148265</v>
          </cell>
          <cell r="W317">
            <v>104267.62999999987</v>
          </cell>
          <cell r="X317">
            <v>438934.31999999989</v>
          </cell>
          <cell r="Y317">
            <v>0.26887858757547101</v>
          </cell>
          <cell r="Z317">
            <v>118020.03999999979</v>
          </cell>
          <cell r="AA317">
            <v>453644.34</v>
          </cell>
          <cell r="AB317">
            <v>0.26703022460282405</v>
          </cell>
          <cell r="AC317">
            <v>121136.74999999988</v>
          </cell>
          <cell r="AD317">
            <v>409011.85000000009</v>
          </cell>
          <cell r="AE317">
            <v>0.27596393600821068</v>
          </cell>
          <cell r="AF317">
            <v>112872.51999999989</v>
          </cell>
          <cell r="AG317">
            <v>503303.34</v>
          </cell>
          <cell r="AH317">
            <v>0.2517287089730022</v>
          </cell>
          <cell r="AI317">
            <v>126695.89999999998</v>
          </cell>
          <cell r="AJ317">
            <v>597143.61</v>
          </cell>
          <cell r="AK317">
            <v>0.26655274767153564</v>
          </cell>
          <cell r="AL317">
            <v>159170.26999999987</v>
          </cell>
          <cell r="AM317">
            <v>437477.83999999997</v>
          </cell>
          <cell r="AN317">
            <v>0.26517823165625892</v>
          </cell>
          <cell r="AO317">
            <v>116009.59999999977</v>
          </cell>
        </row>
        <row r="318">
          <cell r="A318" t="str">
            <v>Pièces</v>
          </cell>
        </row>
        <row r="319">
          <cell r="A319" t="str">
            <v>Pièces</v>
          </cell>
        </row>
        <row r="320">
          <cell r="A320" t="str">
            <v>PiècesDEPENSES</v>
          </cell>
          <cell r="B320" t="str">
            <v>DEPENSES</v>
          </cell>
        </row>
        <row r="321">
          <cell r="A321" t="str">
            <v>PiècesSalaires cadres</v>
          </cell>
          <cell r="B321" t="str">
            <v>Salaires cadres</v>
          </cell>
          <cell r="E321">
            <v>84682.14</v>
          </cell>
          <cell r="H321">
            <v>5210.5200000000004</v>
          </cell>
          <cell r="K321">
            <v>7237.23</v>
          </cell>
          <cell r="N321">
            <v>7222.04</v>
          </cell>
          <cell r="Q321">
            <v>6557.1</v>
          </cell>
          <cell r="T321">
            <v>6312.13</v>
          </cell>
          <cell r="W321">
            <v>7430.53</v>
          </cell>
          <cell r="Z321">
            <v>7410.88</v>
          </cell>
          <cell r="AC321">
            <v>8034.1</v>
          </cell>
          <cell r="AF321">
            <v>3331.7</v>
          </cell>
          <cell r="AI321">
            <v>3701.53</v>
          </cell>
          <cell r="AL321">
            <v>10881.83</v>
          </cell>
          <cell r="AO321">
            <v>11352.55</v>
          </cell>
        </row>
        <row r="322">
          <cell r="A322" t="str">
            <v>PiècesSalaires commis</v>
          </cell>
          <cell r="B322" t="str">
            <v>Salaires commis</v>
          </cell>
          <cell r="E322">
            <v>294172.55</v>
          </cell>
          <cell r="H322">
            <v>24614.9</v>
          </cell>
          <cell r="K322">
            <v>23775.67</v>
          </cell>
          <cell r="N322">
            <v>25892.82</v>
          </cell>
          <cell r="Q322">
            <v>23228.23</v>
          </cell>
          <cell r="T322">
            <v>26693.7</v>
          </cell>
          <cell r="W322">
            <v>24203.71</v>
          </cell>
          <cell r="Z322">
            <v>21961.89</v>
          </cell>
          <cell r="AC322">
            <v>19684.650000000001</v>
          </cell>
          <cell r="AF322">
            <v>30206.06</v>
          </cell>
          <cell r="AI322">
            <v>22126.37</v>
          </cell>
          <cell r="AL322">
            <v>26228.09</v>
          </cell>
          <cell r="AO322">
            <v>25556.46</v>
          </cell>
        </row>
        <row r="323">
          <cell r="A323" t="str">
            <v>PiècesSalaires autres</v>
          </cell>
          <cell r="B323" t="str">
            <v>Salaires autres</v>
          </cell>
          <cell r="E323">
            <v>15780.18</v>
          </cell>
          <cell r="H323">
            <v>1040.52</v>
          </cell>
          <cell r="K323">
            <v>113.92</v>
          </cell>
          <cell r="N323">
            <v>113.92</v>
          </cell>
          <cell r="Q323">
            <v>2573.29</v>
          </cell>
          <cell r="T323">
            <v>113.92</v>
          </cell>
          <cell r="W323">
            <v>1521.99</v>
          </cell>
          <cell r="Z323">
            <v>248.16</v>
          </cell>
          <cell r="AC323">
            <v>113.92</v>
          </cell>
          <cell r="AF323">
            <v>2264.56</v>
          </cell>
          <cell r="AI323">
            <v>3676.64</v>
          </cell>
          <cell r="AL323">
            <v>113.92</v>
          </cell>
          <cell r="AO323">
            <v>3885.42</v>
          </cell>
        </row>
        <row r="324">
          <cell r="A324" t="str">
            <v>PiècesSalaires spécialistes</v>
          </cell>
          <cell r="B324" t="str">
            <v>Salaires spécialistes</v>
          </cell>
          <cell r="E324">
            <v>0</v>
          </cell>
          <cell r="H324">
            <v>0</v>
          </cell>
          <cell r="K324">
            <v>0</v>
          </cell>
          <cell r="N324">
            <v>0</v>
          </cell>
          <cell r="Q324">
            <v>0</v>
          </cell>
          <cell r="T324">
            <v>0</v>
          </cell>
          <cell r="W324">
            <v>0</v>
          </cell>
          <cell r="Z324">
            <v>0</v>
          </cell>
          <cell r="AC324">
            <v>0</v>
          </cell>
          <cell r="AF324">
            <v>0</v>
          </cell>
          <cell r="AI324">
            <v>0</v>
          </cell>
          <cell r="AL324">
            <v>0</v>
          </cell>
          <cell r="AO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  <cell r="H325">
            <v>0</v>
          </cell>
          <cell r="K325">
            <v>0</v>
          </cell>
          <cell r="N325">
            <v>0</v>
          </cell>
          <cell r="Q325">
            <v>0</v>
          </cell>
          <cell r="T325">
            <v>0</v>
          </cell>
          <cell r="W325">
            <v>0</v>
          </cell>
          <cell r="Z325">
            <v>0</v>
          </cell>
          <cell r="AC325">
            <v>0</v>
          </cell>
          <cell r="AF325">
            <v>0</v>
          </cell>
          <cell r="AI325">
            <v>0</v>
          </cell>
          <cell r="AL325">
            <v>0</v>
          </cell>
          <cell r="AO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  <cell r="H326">
            <v>0</v>
          </cell>
          <cell r="K326">
            <v>0</v>
          </cell>
          <cell r="N326">
            <v>0</v>
          </cell>
          <cell r="Q326">
            <v>0</v>
          </cell>
          <cell r="T326">
            <v>0</v>
          </cell>
          <cell r="W326">
            <v>0</v>
          </cell>
          <cell r="Z326">
            <v>0</v>
          </cell>
          <cell r="AC326">
            <v>0</v>
          </cell>
          <cell r="AF326">
            <v>0</v>
          </cell>
          <cell r="AI326">
            <v>0</v>
          </cell>
          <cell r="AL326">
            <v>0</v>
          </cell>
          <cell r="AO326">
            <v>0</v>
          </cell>
        </row>
        <row r="327">
          <cell r="A327" t="str">
            <v>Pièces[...]</v>
          </cell>
          <cell r="B327" t="str">
            <v>[...]</v>
          </cell>
          <cell r="E327">
            <v>0</v>
          </cell>
          <cell r="H327">
            <v>0</v>
          </cell>
          <cell r="K327">
            <v>0</v>
          </cell>
          <cell r="N327">
            <v>0</v>
          </cell>
          <cell r="Q327">
            <v>0</v>
          </cell>
          <cell r="T327">
            <v>0</v>
          </cell>
          <cell r="W327">
            <v>0</v>
          </cell>
          <cell r="Z327">
            <v>0</v>
          </cell>
          <cell r="AC327">
            <v>0</v>
          </cell>
          <cell r="AF327">
            <v>0</v>
          </cell>
          <cell r="AI327">
            <v>0</v>
          </cell>
          <cell r="AL327">
            <v>0</v>
          </cell>
          <cell r="AO327">
            <v>0</v>
          </cell>
        </row>
        <row r="328">
          <cell r="A328" t="str">
            <v>PiècesSalaires en absences</v>
          </cell>
          <cell r="B328" t="str">
            <v>Salaires en absences</v>
          </cell>
          <cell r="E328">
            <v>39233.490000000005</v>
          </cell>
          <cell r="H328">
            <v>4232.28</v>
          </cell>
          <cell r="K328">
            <v>2361.19</v>
          </cell>
          <cell r="N328">
            <v>4182.25</v>
          </cell>
          <cell r="Q328">
            <v>2892.89</v>
          </cell>
          <cell r="T328">
            <v>3530.61</v>
          </cell>
          <cell r="W328">
            <v>4167.74</v>
          </cell>
          <cell r="Z328">
            <v>2525.11</v>
          </cell>
          <cell r="AC328">
            <v>2438.31</v>
          </cell>
          <cell r="AF328">
            <v>3310.7</v>
          </cell>
          <cell r="AI328">
            <v>3147.76</v>
          </cell>
          <cell r="AL328">
            <v>2051.38</v>
          </cell>
          <cell r="AO328">
            <v>4393.2700000000004</v>
          </cell>
        </row>
        <row r="329">
          <cell r="A329" t="str">
            <v>PiècesDéduction à la source</v>
          </cell>
          <cell r="B329" t="str">
            <v>Déduction à la source</v>
          </cell>
          <cell r="E329">
            <v>87918.87</v>
          </cell>
          <cell r="H329">
            <v>1008.33</v>
          </cell>
          <cell r="K329">
            <v>927.2</v>
          </cell>
          <cell r="N329">
            <v>1070.1199999999999</v>
          </cell>
          <cell r="Q329">
            <v>28085.94</v>
          </cell>
          <cell r="T329">
            <v>7594.6799999999903</v>
          </cell>
          <cell r="W329">
            <v>7410.92</v>
          </cell>
          <cell r="Z329">
            <v>7136</v>
          </cell>
          <cell r="AC329">
            <v>7371.69</v>
          </cell>
          <cell r="AF329">
            <v>7548.5</v>
          </cell>
          <cell r="AI329">
            <v>6074.83</v>
          </cell>
          <cell r="AL329">
            <v>6537.46</v>
          </cell>
          <cell r="AO329">
            <v>7153.2</v>
          </cell>
        </row>
        <row r="330">
          <cell r="A330" t="str">
            <v>PiècesBénéfices marginaux</v>
          </cell>
          <cell r="B330" t="str">
            <v>Bénéfices marginaux</v>
          </cell>
          <cell r="E330">
            <v>14057.14</v>
          </cell>
          <cell r="H330">
            <v>1389.91</v>
          </cell>
          <cell r="K330">
            <v>1374.04</v>
          </cell>
          <cell r="N330">
            <v>1522.52</v>
          </cell>
          <cell r="Q330">
            <v>1272.5999999999999</v>
          </cell>
          <cell r="T330">
            <v>1440.48</v>
          </cell>
          <cell r="W330">
            <v>949.05</v>
          </cell>
          <cell r="Z330">
            <v>1124.96</v>
          </cell>
          <cell r="AC330">
            <v>1277.6300000000001</v>
          </cell>
          <cell r="AF330">
            <v>628.41</v>
          </cell>
          <cell r="AI330">
            <v>958.41</v>
          </cell>
          <cell r="AL330">
            <v>999.12</v>
          </cell>
          <cell r="AO330">
            <v>1120.01</v>
          </cell>
        </row>
        <row r="331">
          <cell r="A331" t="str">
            <v>PiècesCsst</v>
          </cell>
          <cell r="B331" t="str">
            <v>Csst</v>
          </cell>
          <cell r="E331">
            <v>11559.459999999992</v>
          </cell>
          <cell r="H331">
            <v>7467.57</v>
          </cell>
          <cell r="K331">
            <v>7543.31</v>
          </cell>
          <cell r="N331">
            <v>7500.0599999999904</v>
          </cell>
          <cell r="Q331">
            <v>-19275.34</v>
          </cell>
          <cell r="T331">
            <v>793.09</v>
          </cell>
          <cell r="W331">
            <v>1818.31</v>
          </cell>
          <cell r="Z331">
            <v>916.61</v>
          </cell>
          <cell r="AC331">
            <v>812.13</v>
          </cell>
          <cell r="AF331">
            <v>1075.77</v>
          </cell>
          <cell r="AI331">
            <v>642.45000000000005</v>
          </cell>
          <cell r="AL331">
            <v>797.39</v>
          </cell>
          <cell r="AO331">
            <v>1468.11</v>
          </cell>
        </row>
        <row r="332">
          <cell r="A332" t="str">
            <v>Pièces[...]</v>
          </cell>
          <cell r="B332" t="str">
            <v>[...]</v>
          </cell>
          <cell r="E332">
            <v>0</v>
          </cell>
        </row>
        <row r="333">
          <cell r="A333" t="str">
            <v>PiècesTOTAL PERSONNEL</v>
          </cell>
          <cell r="B333" t="str">
            <v>TOTAL PERSONNEL</v>
          </cell>
          <cell r="C333" t="str">
            <v>% brut</v>
          </cell>
          <cell r="D333">
            <v>0.39005305682028618</v>
          </cell>
          <cell r="E333">
            <v>547403.82999999996</v>
          </cell>
          <cell r="F333" t="str">
            <v>% brut</v>
          </cell>
          <cell r="G333">
            <v>0.41974669586457825</v>
          </cell>
          <cell r="H333">
            <v>44964.030000000006</v>
          </cell>
          <cell r="I333" t="str">
            <v>% brut</v>
          </cell>
          <cell r="J333">
            <v>0.42301284299673036</v>
          </cell>
          <cell r="K333">
            <v>43332.55999999999</v>
          </cell>
          <cell r="L333" t="str">
            <v>% brut</v>
          </cell>
          <cell r="M333">
            <v>0.4366638085051387</v>
          </cell>
          <cell r="N333">
            <v>47503.729999999989</v>
          </cell>
          <cell r="O333" t="str">
            <v>% brut</v>
          </cell>
          <cell r="P333">
            <v>0.42767706707974074</v>
          </cell>
          <cell r="Q333">
            <v>45334.709999999992</v>
          </cell>
          <cell r="R333" t="str">
            <v>% brut</v>
          </cell>
          <cell r="S333">
            <v>0.38448266591444374</v>
          </cell>
          <cell r="T333">
            <v>46478.609999999993</v>
          </cell>
          <cell r="U333" t="str">
            <v>% brut</v>
          </cell>
          <cell r="V333">
            <v>0.45558002996711494</v>
          </cell>
          <cell r="W333">
            <v>47502.249999999993</v>
          </cell>
          <cell r="X333" t="str">
            <v>% brut</v>
          </cell>
          <cell r="Y333">
            <v>0.35014062018619951</v>
          </cell>
          <cell r="Z333">
            <v>41323.61</v>
          </cell>
          <cell r="AA333" t="str">
            <v>% brut</v>
          </cell>
          <cell r="AB333">
            <v>0.32799649982354678</v>
          </cell>
          <cell r="AC333">
            <v>39732.429999999993</v>
          </cell>
          <cell r="AD333" t="str">
            <v>% brut</v>
          </cell>
          <cell r="AE333">
            <v>0.42849845117305829</v>
          </cell>
          <cell r="AF333">
            <v>48365.7</v>
          </cell>
          <cell r="AG333" t="str">
            <v>% brut</v>
          </cell>
          <cell r="AH333">
            <v>0.31830540688372716</v>
          </cell>
          <cell r="AI333">
            <v>40327.99</v>
          </cell>
          <cell r="AJ333" t="str">
            <v>% brut</v>
          </cell>
          <cell r="AK333">
            <v>0.29910855840101314</v>
          </cell>
          <cell r="AL333">
            <v>47609.189999999995</v>
          </cell>
          <cell r="AM333" t="str">
            <v>% brut</v>
          </cell>
          <cell r="AN333">
            <v>0.47348684936419144</v>
          </cell>
          <cell r="AO333">
            <v>54929.02</v>
          </cell>
        </row>
        <row r="334">
          <cell r="A334" t="str">
            <v>PiècesPublicité 2</v>
          </cell>
          <cell r="B334" t="str">
            <v>Publicité 2</v>
          </cell>
          <cell r="E334">
            <v>46937.58</v>
          </cell>
          <cell r="H334">
            <v>3998.35</v>
          </cell>
          <cell r="K334">
            <v>4496.84</v>
          </cell>
          <cell r="N334">
            <v>2542.2600000000002</v>
          </cell>
          <cell r="Q334">
            <v>3416.28</v>
          </cell>
          <cell r="T334">
            <v>2512.11</v>
          </cell>
          <cell r="W334">
            <v>4220.76</v>
          </cell>
          <cell r="Z334">
            <v>5963.31</v>
          </cell>
          <cell r="AC334">
            <v>5403.41</v>
          </cell>
          <cell r="AF334">
            <v>3460.63</v>
          </cell>
          <cell r="AI334">
            <v>2622.08</v>
          </cell>
          <cell r="AL334">
            <v>3984.93</v>
          </cell>
          <cell r="AO334">
            <v>4316.62</v>
          </cell>
        </row>
        <row r="335">
          <cell r="A335" t="str">
            <v>PiècesService gratuit 2</v>
          </cell>
          <cell r="B335" t="str">
            <v>Service gratuit 2</v>
          </cell>
          <cell r="E335">
            <v>16265.52</v>
          </cell>
          <cell r="H335">
            <v>1467.83</v>
          </cell>
          <cell r="K335">
            <v>1447.27</v>
          </cell>
          <cell r="N335">
            <v>3813.29</v>
          </cell>
          <cell r="Q335">
            <v>1915.31</v>
          </cell>
          <cell r="T335">
            <v>1812.07</v>
          </cell>
          <cell r="W335">
            <v>3208.48</v>
          </cell>
          <cell r="Z335">
            <v>184.1</v>
          </cell>
          <cell r="AC335">
            <v>60.37</v>
          </cell>
          <cell r="AF335">
            <v>-6</v>
          </cell>
          <cell r="AI335">
            <v>428.9</v>
          </cell>
          <cell r="AL335">
            <v>1834.86</v>
          </cell>
          <cell r="AO335">
            <v>99.04</v>
          </cell>
        </row>
        <row r="336">
          <cell r="A336" t="str">
            <v>PiècesFrais véhicules de cie</v>
          </cell>
          <cell r="B336" t="str">
            <v>Frais véhicules de cie</v>
          </cell>
          <cell r="E336">
            <v>11617.630000000001</v>
          </cell>
          <cell r="H336">
            <v>598.67999999999995</v>
          </cell>
          <cell r="K336">
            <v>793.02</v>
          </cell>
          <cell r="N336">
            <v>891.75</v>
          </cell>
          <cell r="Q336">
            <v>791.55</v>
          </cell>
          <cell r="T336">
            <v>1056.55</v>
          </cell>
          <cell r="W336">
            <v>1031</v>
          </cell>
          <cell r="Z336">
            <v>959.29</v>
          </cell>
          <cell r="AC336">
            <v>927.84</v>
          </cell>
          <cell r="AF336">
            <v>1045.49</v>
          </cell>
          <cell r="AI336">
            <v>920.77</v>
          </cell>
          <cell r="AL336">
            <v>1022.19</v>
          </cell>
          <cell r="AO336">
            <v>1579.5</v>
          </cell>
        </row>
        <row r="337">
          <cell r="A337" t="str">
            <v>PiècesInformatique</v>
          </cell>
          <cell r="B337" t="str">
            <v>Informatique</v>
          </cell>
          <cell r="E337">
            <v>47452.229999999996</v>
          </cell>
          <cell r="H337">
            <v>3839.98</v>
          </cell>
          <cell r="K337">
            <v>3908.92</v>
          </cell>
          <cell r="N337">
            <v>3798.77</v>
          </cell>
          <cell r="Q337">
            <v>4186.4799999999996</v>
          </cell>
          <cell r="T337">
            <v>4277.7299999999996</v>
          </cell>
          <cell r="W337">
            <v>3783.42</v>
          </cell>
          <cell r="Z337">
            <v>4034.99</v>
          </cell>
          <cell r="AC337">
            <v>3830.31</v>
          </cell>
          <cell r="AF337">
            <v>4095.17</v>
          </cell>
          <cell r="AI337">
            <v>4283.41</v>
          </cell>
          <cell r="AL337">
            <v>3858.32</v>
          </cell>
          <cell r="AO337">
            <v>3554.73</v>
          </cell>
        </row>
        <row r="338">
          <cell r="A338" t="str">
            <v>PiècesFrais de déplacement</v>
          </cell>
          <cell r="B338" t="str">
            <v>Frais de déplacement</v>
          </cell>
          <cell r="E338">
            <v>11594.619999999999</v>
          </cell>
          <cell r="H338">
            <v>514.72</v>
          </cell>
          <cell r="K338">
            <v>1140.8699999999999</v>
          </cell>
          <cell r="N338">
            <v>1161.45</v>
          </cell>
          <cell r="Q338">
            <v>911.08</v>
          </cell>
          <cell r="T338">
            <v>1320.64</v>
          </cell>
          <cell r="W338">
            <v>526.75</v>
          </cell>
          <cell r="Z338">
            <v>605.16999999999996</v>
          </cell>
          <cell r="AC338">
            <v>831.42</v>
          </cell>
          <cell r="AF338">
            <v>997.22</v>
          </cell>
          <cell r="AI338">
            <v>1177.5</v>
          </cell>
          <cell r="AL338">
            <v>1568.23</v>
          </cell>
          <cell r="AO338">
            <v>839.57</v>
          </cell>
        </row>
        <row r="339">
          <cell r="A339" t="str">
            <v>PiècesServices extérieurs</v>
          </cell>
          <cell r="B339" t="str">
            <v>Services extérieurs</v>
          </cell>
          <cell r="E339">
            <v>195002.43000000002</v>
          </cell>
          <cell r="H339">
            <v>12278.11</v>
          </cell>
          <cell r="K339">
            <v>20835.64</v>
          </cell>
          <cell r="N339">
            <v>15779.81</v>
          </cell>
          <cell r="Q339">
            <v>13813.01</v>
          </cell>
          <cell r="T339">
            <v>16362.1</v>
          </cell>
          <cell r="W339">
            <v>16475.91</v>
          </cell>
          <cell r="Z339">
            <v>18820.55</v>
          </cell>
          <cell r="AC339">
            <v>13115.82</v>
          </cell>
          <cell r="AF339">
            <v>18074.82</v>
          </cell>
          <cell r="AI339">
            <v>18021.23</v>
          </cell>
          <cell r="AL339">
            <v>16850.41</v>
          </cell>
          <cell r="AO339">
            <v>14575.02</v>
          </cell>
        </row>
        <row r="340">
          <cell r="A340" t="str">
            <v>PiècesFournitures d'atelier</v>
          </cell>
          <cell r="B340" t="str">
            <v>Fournitures d'atelier</v>
          </cell>
          <cell r="E340">
            <v>0</v>
          </cell>
          <cell r="H340">
            <v>0</v>
          </cell>
          <cell r="K340">
            <v>0</v>
          </cell>
          <cell r="N340">
            <v>0</v>
          </cell>
          <cell r="Q340">
            <v>0</v>
          </cell>
          <cell r="T340">
            <v>0</v>
          </cell>
          <cell r="W340">
            <v>0</v>
          </cell>
          <cell r="Z340">
            <v>0</v>
          </cell>
          <cell r="AC340">
            <v>0</v>
          </cell>
          <cell r="AF340">
            <v>0</v>
          </cell>
          <cell r="AI340">
            <v>0</v>
          </cell>
          <cell r="AL340">
            <v>0</v>
          </cell>
          <cell r="AO340">
            <v>0</v>
          </cell>
        </row>
        <row r="341">
          <cell r="A341" t="str">
            <v>PiècesFournitures autres</v>
          </cell>
          <cell r="B341" t="str">
            <v>Fournitures autres</v>
          </cell>
          <cell r="E341">
            <v>1744.87</v>
          </cell>
          <cell r="H341">
            <v>0</v>
          </cell>
          <cell r="K341">
            <v>28.92</v>
          </cell>
          <cell r="N341">
            <v>46.41</v>
          </cell>
          <cell r="Q341">
            <v>0</v>
          </cell>
          <cell r="T341">
            <v>345.67</v>
          </cell>
          <cell r="W341">
            <v>0</v>
          </cell>
          <cell r="Z341">
            <v>428.39</v>
          </cell>
          <cell r="AC341">
            <v>37.25</v>
          </cell>
          <cell r="AF341">
            <v>374.84</v>
          </cell>
          <cell r="AI341">
            <v>314.76</v>
          </cell>
          <cell r="AL341">
            <v>168.63</v>
          </cell>
          <cell r="AO341">
            <v>0</v>
          </cell>
        </row>
        <row r="342">
          <cell r="A342" t="str">
            <v>PiècesUniformes</v>
          </cell>
          <cell r="B342" t="str">
            <v>Uniformes</v>
          </cell>
          <cell r="E342">
            <v>0</v>
          </cell>
          <cell r="H342">
            <v>0</v>
          </cell>
          <cell r="K342">
            <v>0</v>
          </cell>
          <cell r="N342">
            <v>0</v>
          </cell>
          <cell r="Q342">
            <v>0</v>
          </cell>
          <cell r="T342">
            <v>0</v>
          </cell>
          <cell r="W342">
            <v>0</v>
          </cell>
          <cell r="Z342">
            <v>0</v>
          </cell>
          <cell r="AC342">
            <v>0</v>
          </cell>
          <cell r="AF342">
            <v>0</v>
          </cell>
          <cell r="AI342">
            <v>0</v>
          </cell>
          <cell r="AL342">
            <v>0</v>
          </cell>
          <cell r="AO342">
            <v>0</v>
          </cell>
        </row>
        <row r="343">
          <cell r="A343" t="str">
            <v>PiècesPapeterie</v>
          </cell>
          <cell r="B343" t="str">
            <v>Papeterie</v>
          </cell>
          <cell r="E343">
            <v>8703.33</v>
          </cell>
          <cell r="H343">
            <v>302.92</v>
          </cell>
          <cell r="K343">
            <v>408.49</v>
          </cell>
          <cell r="N343">
            <v>772.78</v>
          </cell>
          <cell r="Q343">
            <v>612.05999999999995</v>
          </cell>
          <cell r="T343">
            <v>419.31</v>
          </cell>
          <cell r="W343">
            <v>1123.3800000000001</v>
          </cell>
          <cell r="Z343">
            <v>374.87</v>
          </cell>
          <cell r="AC343">
            <v>870.44</v>
          </cell>
          <cell r="AF343">
            <v>535.78</v>
          </cell>
          <cell r="AI343">
            <v>828.89</v>
          </cell>
          <cell r="AL343">
            <v>1613.87</v>
          </cell>
          <cell r="AO343">
            <v>840.54</v>
          </cell>
        </row>
        <row r="344">
          <cell r="A344" t="str">
            <v>PiècesTéléphone</v>
          </cell>
          <cell r="B344" t="str">
            <v>Téléphone</v>
          </cell>
          <cell r="E344">
            <v>1083.0999999999999</v>
          </cell>
          <cell r="H344">
            <v>81.19</v>
          </cell>
          <cell r="K344">
            <v>87.25</v>
          </cell>
          <cell r="N344">
            <v>75.3</v>
          </cell>
          <cell r="Q344">
            <v>75.05</v>
          </cell>
          <cell r="T344">
            <v>74.930000000000007</v>
          </cell>
          <cell r="W344">
            <v>74.930000000000007</v>
          </cell>
          <cell r="Z344">
            <v>75.7</v>
          </cell>
          <cell r="AC344">
            <v>192.54</v>
          </cell>
          <cell r="AF344">
            <v>86.44</v>
          </cell>
          <cell r="AI344">
            <v>101.52</v>
          </cell>
          <cell r="AL344">
            <v>83.3</v>
          </cell>
          <cell r="AO344">
            <v>74.95</v>
          </cell>
        </row>
        <row r="345">
          <cell r="A345" t="str">
            <v>PiècesFrais postaux</v>
          </cell>
          <cell r="B345" t="str">
            <v>Frais postaux</v>
          </cell>
          <cell r="E345">
            <v>-475.76999999999992</v>
          </cell>
          <cell r="H345">
            <v>16.850000000000001</v>
          </cell>
          <cell r="K345">
            <v>-121.43</v>
          </cell>
          <cell r="N345">
            <v>66.06</v>
          </cell>
          <cell r="Q345">
            <v>53.44</v>
          </cell>
          <cell r="T345">
            <v>-192.32</v>
          </cell>
          <cell r="W345">
            <v>814.78</v>
          </cell>
          <cell r="Z345">
            <v>1025.6199999999999</v>
          </cell>
          <cell r="AC345">
            <v>-163.86</v>
          </cell>
          <cell r="AF345">
            <v>-158.06</v>
          </cell>
          <cell r="AI345">
            <v>-205.28</v>
          </cell>
          <cell r="AL345">
            <v>-1293.8599999999999</v>
          </cell>
          <cell r="AO345">
            <v>-317.70999999999998</v>
          </cell>
        </row>
        <row r="346">
          <cell r="A346" t="str">
            <v>PiècesDivers</v>
          </cell>
          <cell r="B346" t="str">
            <v>Divers</v>
          </cell>
          <cell r="E346">
            <v>1508.2700000000002</v>
          </cell>
          <cell r="H346">
            <v>443.01</v>
          </cell>
          <cell r="K346">
            <v>221.4</v>
          </cell>
          <cell r="N346">
            <v>51.8</v>
          </cell>
          <cell r="Q346">
            <v>91.31</v>
          </cell>
          <cell r="T346">
            <v>61.33</v>
          </cell>
          <cell r="W346">
            <v>86.99</v>
          </cell>
          <cell r="Z346">
            <v>60.49</v>
          </cell>
          <cell r="AC346">
            <v>88.05</v>
          </cell>
          <cell r="AF346">
            <v>156.15</v>
          </cell>
          <cell r="AI346">
            <v>93.75</v>
          </cell>
          <cell r="AL346">
            <v>80.349999999999994</v>
          </cell>
          <cell r="AO346">
            <v>73.64</v>
          </cell>
        </row>
        <row r="347">
          <cell r="A347" t="str">
            <v>PiècesFormation</v>
          </cell>
          <cell r="B347" t="str">
            <v>Formation</v>
          </cell>
          <cell r="E347">
            <v>8785.5600000000013</v>
          </cell>
          <cell r="H347">
            <v>547.08000000000004</v>
          </cell>
          <cell r="K347">
            <v>377.4</v>
          </cell>
          <cell r="N347">
            <v>1842.8</v>
          </cell>
          <cell r="Q347">
            <v>2535.9699999999998</v>
          </cell>
          <cell r="T347">
            <v>2540.88</v>
          </cell>
          <cell r="W347">
            <v>-486.8</v>
          </cell>
          <cell r="Z347">
            <v>79.75</v>
          </cell>
          <cell r="AC347">
            <v>315.02</v>
          </cell>
          <cell r="AF347">
            <v>568.47</v>
          </cell>
          <cell r="AI347">
            <v>67.540000000000006</v>
          </cell>
          <cell r="AL347">
            <v>329.75</v>
          </cell>
          <cell r="AO347">
            <v>67.7</v>
          </cell>
        </row>
        <row r="348">
          <cell r="A348" t="str">
            <v>PiècesFrais bancaires</v>
          </cell>
          <cell r="B348" t="str">
            <v>Frais bancaires</v>
          </cell>
          <cell r="E348">
            <v>18792.920000000002</v>
          </cell>
          <cell r="H348">
            <v>1396.3</v>
          </cell>
          <cell r="K348">
            <v>1103.73</v>
          </cell>
          <cell r="N348">
            <v>158.69999999999999</v>
          </cell>
          <cell r="Q348">
            <v>1344.72</v>
          </cell>
          <cell r="T348">
            <v>3436.4</v>
          </cell>
          <cell r="W348">
            <v>1572.05</v>
          </cell>
          <cell r="Z348">
            <v>1513.96</v>
          </cell>
          <cell r="AC348">
            <v>1182.18</v>
          </cell>
          <cell r="AF348">
            <v>1601.54</v>
          </cell>
          <cell r="AI348">
            <v>1780.66</v>
          </cell>
          <cell r="AL348">
            <v>2277.67</v>
          </cell>
          <cell r="AO348">
            <v>1425.01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Pièces[...]</v>
          </cell>
          <cell r="B351" t="str">
            <v>[...]</v>
          </cell>
          <cell r="E351">
            <v>0</v>
          </cell>
        </row>
        <row r="352">
          <cell r="A352" t="str">
            <v>PiècesTOTAL SEMI-FIXES</v>
          </cell>
          <cell r="B352" t="str">
            <v>TOTAL SEMI-FIXES</v>
          </cell>
          <cell r="C352" t="str">
            <v>% brut</v>
          </cell>
          <cell r="D352">
            <v>0.26294001581748877</v>
          </cell>
          <cell r="E352">
            <v>369012.29</v>
          </cell>
          <cell r="F352" t="str">
            <v>% brut</v>
          </cell>
          <cell r="G352">
            <v>0.23790689889324176</v>
          </cell>
          <cell r="H352">
            <v>25485.019999999993</v>
          </cell>
          <cell r="I352" t="str">
            <v>% brut</v>
          </cell>
          <cell r="J352">
            <v>0.33901817422511427</v>
          </cell>
          <cell r="K352">
            <v>34728.320000000007</v>
          </cell>
          <cell r="L352" t="str">
            <v>% brut</v>
          </cell>
          <cell r="M352">
            <v>0.28496906089170976</v>
          </cell>
          <cell r="N352">
            <v>31001.18</v>
          </cell>
          <cell r="O352" t="str">
            <v>% brut</v>
          </cell>
          <cell r="P352">
            <v>0.28061927016609156</v>
          </cell>
          <cell r="Q352">
            <v>29746.260000000002</v>
          </cell>
          <cell r="R352" t="str">
            <v>% brut</v>
          </cell>
          <cell r="S352">
            <v>0.28148314818659909</v>
          </cell>
          <cell r="T352">
            <v>34027.4</v>
          </cell>
          <cell r="U352" t="str">
            <v>% brut</v>
          </cell>
          <cell r="V352">
            <v>0.31104236281192965</v>
          </cell>
          <cell r="W352">
            <v>32431.65</v>
          </cell>
          <cell r="X352" t="str">
            <v>% brut</v>
          </cell>
          <cell r="Y352">
            <v>0.28915589250774754</v>
          </cell>
          <cell r="Z352">
            <v>34126.19</v>
          </cell>
          <cell r="AA352" t="str">
            <v>% brut</v>
          </cell>
          <cell r="AB352">
            <v>0.22033602519466655</v>
          </cell>
          <cell r="AC352">
            <v>26690.789999999997</v>
          </cell>
          <cell r="AD352" t="str">
            <v>% brut</v>
          </cell>
          <cell r="AE352">
            <v>0.27316205928599835</v>
          </cell>
          <cell r="AF352">
            <v>30832.49</v>
          </cell>
          <cell r="AG352" t="str">
            <v>% brut</v>
          </cell>
          <cell r="AH352">
            <v>0.24022663716821147</v>
          </cell>
          <cell r="AI352">
            <v>30435.73</v>
          </cell>
          <cell r="AJ352" t="str">
            <v>% brut</v>
          </cell>
          <cell r="AK352">
            <v>0.20342146809199996</v>
          </cell>
          <cell r="AL352">
            <v>32378.649999999994</v>
          </cell>
          <cell r="AM352" t="str">
            <v>% brut</v>
          </cell>
          <cell r="AN352">
            <v>0.23384797465037421</v>
          </cell>
          <cell r="AO352">
            <v>27128.61</v>
          </cell>
        </row>
        <row r="353">
          <cell r="A353" t="str">
            <v>Pièces</v>
          </cell>
        </row>
        <row r="354">
          <cell r="A354" t="str">
            <v>PiècesTOTAL DES DÉPENSES</v>
          </cell>
          <cell r="B354" t="str">
            <v>TOTAL DES DÉPENSES</v>
          </cell>
          <cell r="C354" t="str">
            <v>% brut</v>
          </cell>
          <cell r="D354">
            <v>0.65299307263777484</v>
          </cell>
          <cell r="E354">
            <v>916416.11999999988</v>
          </cell>
          <cell r="F354" t="str">
            <v>% brut</v>
          </cell>
          <cell r="G354">
            <v>0.65765359475782004</v>
          </cell>
          <cell r="H354">
            <v>70449.05</v>
          </cell>
          <cell r="I354" t="str">
            <v>% brut</v>
          </cell>
          <cell r="J354">
            <v>0.76203101722184474</v>
          </cell>
          <cell r="K354">
            <v>78060.88</v>
          </cell>
          <cell r="L354" t="str">
            <v>% brut</v>
          </cell>
          <cell r="M354">
            <v>0.72163286939684845</v>
          </cell>
          <cell r="N354">
            <v>78504.909999999989</v>
          </cell>
          <cell r="O354" t="str">
            <v>% brut</v>
          </cell>
          <cell r="P354">
            <v>0.7082963372458323</v>
          </cell>
          <cell r="Q354">
            <v>75080.97</v>
          </cell>
          <cell r="R354" t="str">
            <v>% brut</v>
          </cell>
          <cell r="S354">
            <v>0.66596581410104283</v>
          </cell>
          <cell r="T354">
            <v>80506.009999999995</v>
          </cell>
          <cell r="U354" t="str">
            <v>% brut</v>
          </cell>
          <cell r="V354">
            <v>0.76662239277904454</v>
          </cell>
          <cell r="W354">
            <v>79933.899999999994</v>
          </cell>
          <cell r="X354" t="str">
            <v>% brut</v>
          </cell>
          <cell r="Y354">
            <v>0.63929651269394705</v>
          </cell>
          <cell r="Z354">
            <v>75449.8</v>
          </cell>
          <cell r="AA354" t="str">
            <v>% brut</v>
          </cell>
          <cell r="AB354">
            <v>0.54833252501821328</v>
          </cell>
          <cell r="AC354">
            <v>66423.219999999987</v>
          </cell>
          <cell r="AD354" t="str">
            <v>% brut</v>
          </cell>
          <cell r="AE354">
            <v>0.70166051045905664</v>
          </cell>
          <cell r="AF354">
            <v>79198.19</v>
          </cell>
          <cell r="AG354" t="str">
            <v>% brut</v>
          </cell>
          <cell r="AH354">
            <v>0.55853204405193868</v>
          </cell>
          <cell r="AI354">
            <v>70763.72</v>
          </cell>
          <cell r="AJ354" t="str">
            <v>% brut</v>
          </cell>
          <cell r="AK354">
            <v>0.50253002649301315</v>
          </cell>
          <cell r="AL354">
            <v>79987.839999999997</v>
          </cell>
          <cell r="AM354" t="str">
            <v>% brut</v>
          </cell>
          <cell r="AN354">
            <v>0.70733482401456571</v>
          </cell>
          <cell r="AO354">
            <v>82057.63</v>
          </cell>
        </row>
        <row r="355">
          <cell r="A355" t="str">
            <v>Pièces</v>
          </cell>
        </row>
        <row r="356">
          <cell r="A356" t="str">
            <v>PiècesPROFIT DÉPARTEMENTAL</v>
          </cell>
          <cell r="B356" t="str">
            <v>PROFIT DÉPARTEMENTAL</v>
          </cell>
          <cell r="E356">
            <v>486992.51999999862</v>
          </cell>
          <cell r="H356">
            <v>36672.769999999786</v>
          </cell>
          <cell r="K356">
            <v>24377.049999999843</v>
          </cell>
          <cell r="N356">
            <v>30282.969999999972</v>
          </cell>
          <cell r="Q356">
            <v>30921.229999999763</v>
          </cell>
          <cell r="T356">
            <v>40380.089999999895</v>
          </cell>
          <cell r="W356">
            <v>24333.72999999988</v>
          </cell>
          <cell r="Z356">
            <v>42570.239999999787</v>
          </cell>
          <cell r="AC356">
            <v>54713.529999999897</v>
          </cell>
          <cell r="AF356">
            <v>33674.329999999885</v>
          </cell>
          <cell r="AI356">
            <v>55932.179999999978</v>
          </cell>
          <cell r="AL356">
            <v>79182.429999999877</v>
          </cell>
          <cell r="AO356">
            <v>33951.969999999768</v>
          </cell>
        </row>
        <row r="359">
          <cell r="B359" t="str">
            <v>Réel 2023</v>
          </cell>
          <cell r="C359" t="str">
            <v>Boutique</v>
          </cell>
        </row>
        <row r="361">
          <cell r="B361" t="str">
            <v>Mois</v>
          </cell>
          <cell r="C361">
            <v>2023</v>
          </cell>
          <cell r="F361" t="str">
            <v>Janvier</v>
          </cell>
          <cell r="I361" t="str">
            <v>Février</v>
          </cell>
          <cell r="L361" t="str">
            <v>Mars</v>
          </cell>
          <cell r="O361" t="str">
            <v>Avril</v>
          </cell>
          <cell r="R361" t="str">
            <v>Mai</v>
          </cell>
          <cell r="U361" t="str">
            <v>Juin</v>
          </cell>
          <cell r="X361" t="str">
            <v>Juillet</v>
          </cell>
          <cell r="AA361" t="str">
            <v>Août</v>
          </cell>
          <cell r="AD361" t="str">
            <v>Septembre</v>
          </cell>
          <cell r="AG361" t="str">
            <v>Octobre</v>
          </cell>
          <cell r="AJ361" t="str">
            <v>Novembre</v>
          </cell>
          <cell r="AM361" t="str">
            <v>Décembre</v>
          </cell>
        </row>
        <row r="362">
          <cell r="C362" t="str">
            <v>$VENTES</v>
          </cell>
          <cell r="D362" t="str">
            <v>% P. BRUT</v>
          </cell>
          <cell r="E362" t="str">
            <v>$PROFITS</v>
          </cell>
          <cell r="F362" t="str">
            <v>$VENTES</v>
          </cell>
          <cell r="G362" t="str">
            <v>% P. BRUT</v>
          </cell>
          <cell r="H362" t="str">
            <v>$PROFITS</v>
          </cell>
          <cell r="I362" t="str">
            <v>$VENTES</v>
          </cell>
          <cell r="J362" t="str">
            <v>% P. BRUT</v>
          </cell>
          <cell r="K362" t="str">
            <v>$PROFITS</v>
          </cell>
          <cell r="L362" t="str">
            <v>$VENTES</v>
          </cell>
          <cell r="M362" t="str">
            <v>% P. BRUT</v>
          </cell>
          <cell r="N362" t="str">
            <v>$PROFITS</v>
          </cell>
          <cell r="O362" t="str">
            <v>$VENTES</v>
          </cell>
          <cell r="P362" t="str">
            <v>% P. BRUT</v>
          </cell>
          <cell r="Q362" t="str">
            <v>$PROFITS</v>
          </cell>
          <cell r="R362" t="str">
            <v>$VENTES</v>
          </cell>
          <cell r="S362" t="str">
            <v>% P. BRUT</v>
          </cell>
          <cell r="T362" t="str">
            <v>$PROFITS</v>
          </cell>
          <cell r="U362" t="str">
            <v>$VENTES</v>
          </cell>
          <cell r="V362" t="str">
            <v>% P. BRUT</v>
          </cell>
          <cell r="W362" t="str">
            <v>$PROFITS</v>
          </cell>
          <cell r="X362" t="str">
            <v>$VENTES</v>
          </cell>
          <cell r="Y362" t="str">
            <v>% P. BRUT</v>
          </cell>
          <cell r="Z362" t="str">
            <v>$PROFITS</v>
          </cell>
          <cell r="AA362" t="str">
            <v>$VENTES</v>
          </cell>
          <cell r="AB362" t="str">
            <v>% P. BRUT</v>
          </cell>
          <cell r="AC362" t="str">
            <v>$PROFITS</v>
          </cell>
          <cell r="AD362" t="str">
            <v>$VENTES</v>
          </cell>
          <cell r="AE362" t="str">
            <v>% P. BRUT</v>
          </cell>
          <cell r="AF362" t="str">
            <v>$PROFITS</v>
          </cell>
          <cell r="AG362" t="str">
            <v>$VENTES</v>
          </cell>
          <cell r="AH362" t="str">
            <v>% P. BRUT</v>
          </cell>
          <cell r="AI362" t="str">
            <v>$PROFITS</v>
          </cell>
          <cell r="AJ362" t="str">
            <v>$VENTES</v>
          </cell>
          <cell r="AK362" t="str">
            <v>% P. BRUT</v>
          </cell>
          <cell r="AL362" t="str">
            <v>$PROFITS</v>
          </cell>
          <cell r="AM362" t="str">
            <v>$VENTES</v>
          </cell>
          <cell r="AN362" t="str">
            <v>% P. BRUT</v>
          </cell>
          <cell r="AO362" t="str">
            <v>$PROFITS</v>
          </cell>
        </row>
        <row r="363">
          <cell r="A363" t="str">
            <v>BoutiqueBoutique</v>
          </cell>
          <cell r="B363" t="str">
            <v>Boutique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A364" t="str">
            <v>Boutique</v>
          </cell>
        </row>
        <row r="365">
          <cell r="A365" t="str">
            <v>BoutiqueTotal Dépt. Boutique</v>
          </cell>
          <cell r="B365" t="str">
            <v>Total Dépt. Boutique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A366" t="str">
            <v>Boutique</v>
          </cell>
        </row>
        <row r="367">
          <cell r="A367" t="str">
            <v>BoutiqueDEPENSES</v>
          </cell>
          <cell r="B367" t="str">
            <v>DEPENSES</v>
          </cell>
        </row>
        <row r="368">
          <cell r="A368" t="str">
            <v>BoutiqueSalaires cadres</v>
          </cell>
          <cell r="B368" t="str">
            <v>Salaires cadres</v>
          </cell>
          <cell r="E368">
            <v>0</v>
          </cell>
          <cell r="H368">
            <v>0</v>
          </cell>
          <cell r="K368">
            <v>0</v>
          </cell>
          <cell r="N368">
            <v>0</v>
          </cell>
          <cell r="Q368">
            <v>0</v>
          </cell>
          <cell r="T368">
            <v>0</v>
          </cell>
          <cell r="W368">
            <v>0</v>
          </cell>
          <cell r="Z368">
            <v>0</v>
          </cell>
          <cell r="AC368">
            <v>0</v>
          </cell>
          <cell r="AF368">
            <v>0</v>
          </cell>
          <cell r="AI368">
            <v>0</v>
          </cell>
          <cell r="AL368">
            <v>0</v>
          </cell>
          <cell r="AO368">
            <v>0</v>
          </cell>
        </row>
        <row r="369">
          <cell r="A369" t="str">
            <v>BoutiqueSalaires commis</v>
          </cell>
          <cell r="B369" t="str">
            <v>Salaires commis</v>
          </cell>
          <cell r="E369">
            <v>0</v>
          </cell>
          <cell r="H369">
            <v>0</v>
          </cell>
          <cell r="K369">
            <v>0</v>
          </cell>
          <cell r="N369">
            <v>0</v>
          </cell>
          <cell r="Q369">
            <v>0</v>
          </cell>
          <cell r="T369">
            <v>0</v>
          </cell>
          <cell r="W369">
            <v>0</v>
          </cell>
          <cell r="Z369">
            <v>0</v>
          </cell>
          <cell r="AC369">
            <v>0</v>
          </cell>
          <cell r="AF369">
            <v>0</v>
          </cell>
          <cell r="AI369">
            <v>0</v>
          </cell>
          <cell r="AL369">
            <v>0</v>
          </cell>
          <cell r="AO369">
            <v>0</v>
          </cell>
        </row>
        <row r="370">
          <cell r="A370" t="str">
            <v>BoutiqueSalaires autres</v>
          </cell>
          <cell r="B370" t="str">
            <v>Salaires autres</v>
          </cell>
          <cell r="E370">
            <v>0</v>
          </cell>
          <cell r="H370">
            <v>0</v>
          </cell>
          <cell r="K370">
            <v>0</v>
          </cell>
          <cell r="N370">
            <v>0</v>
          </cell>
          <cell r="Q370">
            <v>0</v>
          </cell>
          <cell r="T370">
            <v>0</v>
          </cell>
          <cell r="W370">
            <v>0</v>
          </cell>
          <cell r="Z370">
            <v>0</v>
          </cell>
          <cell r="AC370">
            <v>0</v>
          </cell>
          <cell r="AF370">
            <v>0</v>
          </cell>
          <cell r="AI370">
            <v>0</v>
          </cell>
          <cell r="AL370">
            <v>0</v>
          </cell>
          <cell r="AO370">
            <v>0</v>
          </cell>
        </row>
        <row r="371">
          <cell r="A371" t="str">
            <v>BoutiqueSalaires spécialistes</v>
          </cell>
          <cell r="B371" t="str">
            <v>Salaires spécialistes</v>
          </cell>
          <cell r="E371">
            <v>0</v>
          </cell>
          <cell r="H371">
            <v>0</v>
          </cell>
          <cell r="K371">
            <v>0</v>
          </cell>
          <cell r="N371">
            <v>0</v>
          </cell>
          <cell r="Q371">
            <v>0</v>
          </cell>
          <cell r="T371">
            <v>0</v>
          </cell>
          <cell r="W371">
            <v>0</v>
          </cell>
          <cell r="Z371">
            <v>0</v>
          </cell>
          <cell r="AC371">
            <v>0</v>
          </cell>
          <cell r="AF371">
            <v>0</v>
          </cell>
          <cell r="AI371">
            <v>0</v>
          </cell>
          <cell r="AL371">
            <v>0</v>
          </cell>
          <cell r="AO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  <cell r="H372">
            <v>0</v>
          </cell>
          <cell r="K372">
            <v>0</v>
          </cell>
          <cell r="N372">
            <v>0</v>
          </cell>
          <cell r="Q372">
            <v>0</v>
          </cell>
          <cell r="T372">
            <v>0</v>
          </cell>
          <cell r="W372">
            <v>0</v>
          </cell>
          <cell r="Z372">
            <v>0</v>
          </cell>
          <cell r="AC372">
            <v>0</v>
          </cell>
          <cell r="AF372">
            <v>0</v>
          </cell>
          <cell r="AI372">
            <v>0</v>
          </cell>
          <cell r="AL372">
            <v>0</v>
          </cell>
          <cell r="AO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  <cell r="H373">
            <v>0</v>
          </cell>
          <cell r="K373">
            <v>0</v>
          </cell>
          <cell r="N373">
            <v>0</v>
          </cell>
          <cell r="Q373">
            <v>0</v>
          </cell>
          <cell r="T373">
            <v>0</v>
          </cell>
          <cell r="W373">
            <v>0</v>
          </cell>
          <cell r="Z373">
            <v>0</v>
          </cell>
          <cell r="AC373">
            <v>0</v>
          </cell>
          <cell r="AF373">
            <v>0</v>
          </cell>
          <cell r="AI373">
            <v>0</v>
          </cell>
          <cell r="AL373">
            <v>0</v>
          </cell>
          <cell r="AO373">
            <v>0</v>
          </cell>
        </row>
        <row r="374">
          <cell r="A374" t="str">
            <v>Boutique[...]</v>
          </cell>
          <cell r="B374" t="str">
            <v>[...]</v>
          </cell>
          <cell r="E374">
            <v>0</v>
          </cell>
          <cell r="H374">
            <v>0</v>
          </cell>
          <cell r="K374">
            <v>0</v>
          </cell>
          <cell r="N374">
            <v>0</v>
          </cell>
          <cell r="Q374">
            <v>0</v>
          </cell>
          <cell r="T374">
            <v>0</v>
          </cell>
          <cell r="W374">
            <v>0</v>
          </cell>
          <cell r="Z374">
            <v>0</v>
          </cell>
          <cell r="AC374">
            <v>0</v>
          </cell>
          <cell r="AF374">
            <v>0</v>
          </cell>
          <cell r="AI374">
            <v>0</v>
          </cell>
          <cell r="AL374">
            <v>0</v>
          </cell>
          <cell r="AO374">
            <v>0</v>
          </cell>
        </row>
        <row r="375">
          <cell r="A375" t="str">
            <v>BoutiqueSalaires en absences</v>
          </cell>
          <cell r="B375" t="str">
            <v>Salaires en absences</v>
          </cell>
          <cell r="E375">
            <v>0</v>
          </cell>
          <cell r="H375">
            <v>0</v>
          </cell>
          <cell r="K375">
            <v>0</v>
          </cell>
          <cell r="N375">
            <v>0</v>
          </cell>
          <cell r="Q375">
            <v>0</v>
          </cell>
          <cell r="T375">
            <v>0</v>
          </cell>
          <cell r="W375">
            <v>0</v>
          </cell>
          <cell r="Z375">
            <v>0</v>
          </cell>
          <cell r="AC375">
            <v>0</v>
          </cell>
          <cell r="AF375">
            <v>0</v>
          </cell>
          <cell r="AI375">
            <v>0</v>
          </cell>
          <cell r="AL375">
            <v>0</v>
          </cell>
          <cell r="AO375">
            <v>0</v>
          </cell>
        </row>
        <row r="376">
          <cell r="A376" t="str">
            <v>BoutiqueDéduction à la source</v>
          </cell>
          <cell r="B376" t="str">
            <v>Déduction à la source</v>
          </cell>
          <cell r="E376">
            <v>0</v>
          </cell>
          <cell r="H376">
            <v>0</v>
          </cell>
          <cell r="K376">
            <v>0</v>
          </cell>
          <cell r="N376">
            <v>0</v>
          </cell>
          <cell r="Q376">
            <v>0</v>
          </cell>
          <cell r="T376">
            <v>0</v>
          </cell>
          <cell r="W376">
            <v>0</v>
          </cell>
          <cell r="Z376">
            <v>0</v>
          </cell>
          <cell r="AC376">
            <v>0</v>
          </cell>
          <cell r="AF376">
            <v>0</v>
          </cell>
          <cell r="AI376">
            <v>0</v>
          </cell>
          <cell r="AL376">
            <v>0</v>
          </cell>
          <cell r="AO376">
            <v>0</v>
          </cell>
        </row>
        <row r="377">
          <cell r="A377" t="str">
            <v>BoutiqueBénéfices marginaux</v>
          </cell>
          <cell r="B377" t="str">
            <v>Bénéfices marginaux</v>
          </cell>
          <cell r="E377">
            <v>0</v>
          </cell>
          <cell r="H377">
            <v>0</v>
          </cell>
          <cell r="K377">
            <v>0</v>
          </cell>
          <cell r="N377">
            <v>0</v>
          </cell>
          <cell r="Q377">
            <v>0</v>
          </cell>
          <cell r="T377">
            <v>0</v>
          </cell>
          <cell r="W377">
            <v>0</v>
          </cell>
          <cell r="Z377">
            <v>0</v>
          </cell>
          <cell r="AC377">
            <v>0</v>
          </cell>
          <cell r="AF377">
            <v>0</v>
          </cell>
          <cell r="AI377">
            <v>0</v>
          </cell>
          <cell r="AL377">
            <v>0</v>
          </cell>
          <cell r="AO377">
            <v>0</v>
          </cell>
        </row>
        <row r="378">
          <cell r="A378" t="str">
            <v>BoutiqueCsst</v>
          </cell>
          <cell r="B378" t="str">
            <v>Csst</v>
          </cell>
          <cell r="E378">
            <v>0</v>
          </cell>
          <cell r="H378">
            <v>0</v>
          </cell>
          <cell r="K378">
            <v>0</v>
          </cell>
          <cell r="N378">
            <v>0</v>
          </cell>
          <cell r="Q378">
            <v>0</v>
          </cell>
          <cell r="T378">
            <v>0</v>
          </cell>
          <cell r="W378">
            <v>0</v>
          </cell>
          <cell r="Z378">
            <v>0</v>
          </cell>
          <cell r="AC378">
            <v>0</v>
          </cell>
          <cell r="AF378">
            <v>0</v>
          </cell>
          <cell r="AI378">
            <v>0</v>
          </cell>
          <cell r="AL378">
            <v>0</v>
          </cell>
          <cell r="AO378">
            <v>0</v>
          </cell>
        </row>
        <row r="379">
          <cell r="A379" t="str">
            <v>Boutique[...]</v>
          </cell>
          <cell r="B379" t="str">
            <v>[...]</v>
          </cell>
        </row>
        <row r="380">
          <cell r="A380" t="str">
            <v>BoutiqueTOTAL PERSONNEL</v>
          </cell>
          <cell r="B380" t="str">
            <v>TOTAL PERSONNEL</v>
          </cell>
          <cell r="C380" t="str">
            <v>% brut</v>
          </cell>
          <cell r="D380">
            <v>0</v>
          </cell>
          <cell r="E380">
            <v>0</v>
          </cell>
          <cell r="F380" t="str">
            <v>% brut</v>
          </cell>
          <cell r="G380">
            <v>0</v>
          </cell>
          <cell r="H380">
            <v>0</v>
          </cell>
          <cell r="I380" t="str">
            <v>% brut</v>
          </cell>
          <cell r="J380">
            <v>0</v>
          </cell>
          <cell r="K380">
            <v>0</v>
          </cell>
          <cell r="L380" t="str">
            <v>% brut</v>
          </cell>
          <cell r="M380">
            <v>0</v>
          </cell>
          <cell r="N380">
            <v>0</v>
          </cell>
          <cell r="O380" t="str">
            <v>% brut</v>
          </cell>
          <cell r="P380">
            <v>0</v>
          </cell>
          <cell r="Q380">
            <v>0</v>
          </cell>
          <cell r="R380" t="str">
            <v>% brut</v>
          </cell>
          <cell r="S380">
            <v>0</v>
          </cell>
          <cell r="T380">
            <v>0</v>
          </cell>
          <cell r="U380" t="str">
            <v>% brut</v>
          </cell>
          <cell r="V380">
            <v>0</v>
          </cell>
          <cell r="W380">
            <v>0</v>
          </cell>
          <cell r="X380" t="str">
            <v>% brut</v>
          </cell>
          <cell r="Y380">
            <v>0</v>
          </cell>
          <cell r="Z380">
            <v>0</v>
          </cell>
          <cell r="AA380" t="str">
            <v>% brut</v>
          </cell>
          <cell r="AB380">
            <v>0</v>
          </cell>
          <cell r="AC380">
            <v>0</v>
          </cell>
          <cell r="AD380" t="str">
            <v>% brut</v>
          </cell>
          <cell r="AE380">
            <v>0</v>
          </cell>
          <cell r="AF380">
            <v>0</v>
          </cell>
          <cell r="AG380" t="str">
            <v>% brut</v>
          </cell>
          <cell r="AH380">
            <v>0</v>
          </cell>
          <cell r="AI380">
            <v>0</v>
          </cell>
          <cell r="AJ380" t="str">
            <v>% brut</v>
          </cell>
          <cell r="AK380">
            <v>0</v>
          </cell>
          <cell r="AL380">
            <v>0</v>
          </cell>
          <cell r="AM380" t="str">
            <v>% brut</v>
          </cell>
          <cell r="AN380">
            <v>0</v>
          </cell>
          <cell r="AO380">
            <v>0</v>
          </cell>
        </row>
        <row r="381">
          <cell r="A381" t="str">
            <v>BoutiquePublicité 2</v>
          </cell>
          <cell r="B381" t="str">
            <v>Publicité 2</v>
          </cell>
          <cell r="E381">
            <v>0</v>
          </cell>
          <cell r="H381">
            <v>0</v>
          </cell>
          <cell r="K381">
            <v>0</v>
          </cell>
          <cell r="N381">
            <v>0</v>
          </cell>
          <cell r="Q381">
            <v>0</v>
          </cell>
          <cell r="T381">
            <v>0</v>
          </cell>
          <cell r="W381">
            <v>0</v>
          </cell>
          <cell r="Z381">
            <v>0</v>
          </cell>
          <cell r="AC381">
            <v>0</v>
          </cell>
          <cell r="AF381">
            <v>0</v>
          </cell>
          <cell r="AI381">
            <v>0</v>
          </cell>
          <cell r="AL381">
            <v>0</v>
          </cell>
          <cell r="AO381">
            <v>0</v>
          </cell>
        </row>
        <row r="382">
          <cell r="A382" t="str">
            <v>BoutiqueService gratuit 2</v>
          </cell>
          <cell r="B382" t="str">
            <v>Service gratuit 2</v>
          </cell>
          <cell r="E382">
            <v>0</v>
          </cell>
          <cell r="H382">
            <v>0</v>
          </cell>
          <cell r="K382">
            <v>0</v>
          </cell>
          <cell r="N382">
            <v>0</v>
          </cell>
          <cell r="Q382">
            <v>0</v>
          </cell>
          <cell r="T382">
            <v>0</v>
          </cell>
          <cell r="W382">
            <v>0</v>
          </cell>
          <cell r="Z382">
            <v>0</v>
          </cell>
          <cell r="AC382">
            <v>0</v>
          </cell>
          <cell r="AF382">
            <v>0</v>
          </cell>
          <cell r="AI382">
            <v>0</v>
          </cell>
          <cell r="AL382">
            <v>0</v>
          </cell>
          <cell r="AO382">
            <v>0</v>
          </cell>
        </row>
        <row r="383">
          <cell r="A383" t="str">
            <v>BoutiqueFrais véhicules de cie</v>
          </cell>
          <cell r="B383" t="str">
            <v>Frais véhicules de cie</v>
          </cell>
          <cell r="E383">
            <v>0</v>
          </cell>
          <cell r="H383">
            <v>0</v>
          </cell>
          <cell r="K383">
            <v>0</v>
          </cell>
          <cell r="N383">
            <v>0</v>
          </cell>
          <cell r="Q383">
            <v>0</v>
          </cell>
          <cell r="T383">
            <v>0</v>
          </cell>
          <cell r="W383">
            <v>0</v>
          </cell>
          <cell r="Z383">
            <v>0</v>
          </cell>
          <cell r="AC383">
            <v>0</v>
          </cell>
          <cell r="AF383">
            <v>0</v>
          </cell>
          <cell r="AI383">
            <v>0</v>
          </cell>
          <cell r="AL383">
            <v>0</v>
          </cell>
          <cell r="AO383">
            <v>0</v>
          </cell>
        </row>
        <row r="384">
          <cell r="A384" t="str">
            <v>BoutiqueInformatique</v>
          </cell>
          <cell r="B384" t="str">
            <v>Informatique</v>
          </cell>
          <cell r="E384">
            <v>0</v>
          </cell>
          <cell r="H384">
            <v>0</v>
          </cell>
          <cell r="K384">
            <v>0</v>
          </cell>
          <cell r="N384">
            <v>0</v>
          </cell>
          <cell r="Q384">
            <v>0</v>
          </cell>
          <cell r="T384">
            <v>0</v>
          </cell>
          <cell r="W384">
            <v>0</v>
          </cell>
          <cell r="Z384">
            <v>0</v>
          </cell>
          <cell r="AC384">
            <v>0</v>
          </cell>
          <cell r="AF384">
            <v>0</v>
          </cell>
          <cell r="AI384">
            <v>0</v>
          </cell>
          <cell r="AL384">
            <v>0</v>
          </cell>
          <cell r="AO384">
            <v>0</v>
          </cell>
        </row>
        <row r="385">
          <cell r="A385" t="str">
            <v>BoutiqueFrais de déplacement</v>
          </cell>
          <cell r="B385" t="str">
            <v>Frais de déplacement</v>
          </cell>
          <cell r="E385">
            <v>0</v>
          </cell>
          <cell r="H385">
            <v>0</v>
          </cell>
          <cell r="K385">
            <v>0</v>
          </cell>
          <cell r="N385">
            <v>0</v>
          </cell>
          <cell r="Q385">
            <v>0</v>
          </cell>
          <cell r="T385">
            <v>0</v>
          </cell>
          <cell r="W385">
            <v>0</v>
          </cell>
          <cell r="Z385">
            <v>0</v>
          </cell>
          <cell r="AC385">
            <v>0</v>
          </cell>
          <cell r="AF385">
            <v>0</v>
          </cell>
          <cell r="AI385">
            <v>0</v>
          </cell>
          <cell r="AL385">
            <v>0</v>
          </cell>
          <cell r="AO385">
            <v>0</v>
          </cell>
        </row>
        <row r="386">
          <cell r="A386" t="str">
            <v>BoutiqueServices extérieurs</v>
          </cell>
          <cell r="B386" t="str">
            <v>Services extérieurs</v>
          </cell>
          <cell r="E386">
            <v>0</v>
          </cell>
          <cell r="H386">
            <v>0</v>
          </cell>
          <cell r="K386">
            <v>0</v>
          </cell>
          <cell r="N386">
            <v>0</v>
          </cell>
          <cell r="Q386">
            <v>0</v>
          </cell>
          <cell r="T386">
            <v>0</v>
          </cell>
          <cell r="W386">
            <v>0</v>
          </cell>
          <cell r="Z386">
            <v>0</v>
          </cell>
          <cell r="AC386">
            <v>0</v>
          </cell>
          <cell r="AF386">
            <v>0</v>
          </cell>
          <cell r="AI386">
            <v>0</v>
          </cell>
          <cell r="AL386">
            <v>0</v>
          </cell>
          <cell r="AO386">
            <v>0</v>
          </cell>
        </row>
        <row r="387">
          <cell r="A387" t="str">
            <v>BoutiqueFournitures autres</v>
          </cell>
          <cell r="B387" t="str">
            <v>Fournitures autres</v>
          </cell>
          <cell r="E387">
            <v>0</v>
          </cell>
          <cell r="H387">
            <v>0</v>
          </cell>
          <cell r="K387">
            <v>0</v>
          </cell>
          <cell r="N387">
            <v>0</v>
          </cell>
          <cell r="Q387">
            <v>0</v>
          </cell>
          <cell r="T387">
            <v>0</v>
          </cell>
          <cell r="W387">
            <v>0</v>
          </cell>
          <cell r="Z387">
            <v>0</v>
          </cell>
          <cell r="AC387">
            <v>0</v>
          </cell>
          <cell r="AF387">
            <v>0</v>
          </cell>
          <cell r="AI387">
            <v>0</v>
          </cell>
          <cell r="AL387">
            <v>0</v>
          </cell>
          <cell r="AO387">
            <v>0</v>
          </cell>
        </row>
        <row r="388">
          <cell r="A388" t="str">
            <v>BoutiqueUniformes</v>
          </cell>
          <cell r="B388" t="str">
            <v>Uniformes</v>
          </cell>
          <cell r="E388">
            <v>0</v>
          </cell>
          <cell r="H388">
            <v>0</v>
          </cell>
          <cell r="K388">
            <v>0</v>
          </cell>
          <cell r="N388">
            <v>0</v>
          </cell>
          <cell r="Q388">
            <v>0</v>
          </cell>
          <cell r="T388">
            <v>0</v>
          </cell>
          <cell r="W388">
            <v>0</v>
          </cell>
          <cell r="Z388">
            <v>0</v>
          </cell>
          <cell r="AC388">
            <v>0</v>
          </cell>
          <cell r="AF388">
            <v>0</v>
          </cell>
          <cell r="AI388">
            <v>0</v>
          </cell>
          <cell r="AL388">
            <v>0</v>
          </cell>
          <cell r="AO388">
            <v>0</v>
          </cell>
        </row>
        <row r="389">
          <cell r="A389" t="str">
            <v>BoutiquePapeterie</v>
          </cell>
          <cell r="B389" t="str">
            <v>Papeterie</v>
          </cell>
          <cell r="E389">
            <v>0</v>
          </cell>
          <cell r="H389">
            <v>0</v>
          </cell>
          <cell r="K389">
            <v>0</v>
          </cell>
          <cell r="N389">
            <v>0</v>
          </cell>
          <cell r="Q389">
            <v>0</v>
          </cell>
          <cell r="T389">
            <v>0</v>
          </cell>
          <cell r="W389">
            <v>0</v>
          </cell>
          <cell r="Z389">
            <v>0</v>
          </cell>
          <cell r="AC389">
            <v>0</v>
          </cell>
          <cell r="AF389">
            <v>0</v>
          </cell>
          <cell r="AI389">
            <v>0</v>
          </cell>
          <cell r="AL389">
            <v>0</v>
          </cell>
          <cell r="AO389">
            <v>0</v>
          </cell>
        </row>
        <row r="390">
          <cell r="A390" t="str">
            <v>BoutiqueTéléphone</v>
          </cell>
          <cell r="B390" t="str">
            <v>Téléphone</v>
          </cell>
          <cell r="E390">
            <v>0</v>
          </cell>
          <cell r="H390">
            <v>0</v>
          </cell>
          <cell r="K390">
            <v>0</v>
          </cell>
          <cell r="N390">
            <v>0</v>
          </cell>
          <cell r="Q390">
            <v>0</v>
          </cell>
          <cell r="T390">
            <v>0</v>
          </cell>
          <cell r="W390">
            <v>0</v>
          </cell>
          <cell r="Z390">
            <v>0</v>
          </cell>
          <cell r="AC390">
            <v>0</v>
          </cell>
          <cell r="AF390">
            <v>0</v>
          </cell>
          <cell r="AI390">
            <v>0</v>
          </cell>
          <cell r="AL390">
            <v>0</v>
          </cell>
          <cell r="AO390">
            <v>0</v>
          </cell>
        </row>
        <row r="391">
          <cell r="A391" t="str">
            <v>BoutiqueFrais postaux</v>
          </cell>
          <cell r="B391" t="str">
            <v>Frais postaux</v>
          </cell>
          <cell r="E391">
            <v>0</v>
          </cell>
          <cell r="H391">
            <v>0</v>
          </cell>
          <cell r="K391">
            <v>0</v>
          </cell>
          <cell r="N391">
            <v>0</v>
          </cell>
          <cell r="Q391">
            <v>0</v>
          </cell>
          <cell r="T391">
            <v>0</v>
          </cell>
          <cell r="W391">
            <v>0</v>
          </cell>
          <cell r="Z391">
            <v>0</v>
          </cell>
          <cell r="AC391">
            <v>0</v>
          </cell>
          <cell r="AF391">
            <v>0</v>
          </cell>
          <cell r="AI391">
            <v>0</v>
          </cell>
          <cell r="AL391">
            <v>0</v>
          </cell>
          <cell r="AO391">
            <v>0</v>
          </cell>
        </row>
        <row r="392">
          <cell r="A392" t="str">
            <v>BoutiqueDivers</v>
          </cell>
          <cell r="B392" t="str">
            <v>Divers</v>
          </cell>
          <cell r="E392">
            <v>0</v>
          </cell>
          <cell r="H392">
            <v>0</v>
          </cell>
          <cell r="K392">
            <v>0</v>
          </cell>
          <cell r="N392">
            <v>0</v>
          </cell>
          <cell r="Q392">
            <v>0</v>
          </cell>
          <cell r="T392">
            <v>0</v>
          </cell>
          <cell r="W392">
            <v>0</v>
          </cell>
          <cell r="Z392">
            <v>0</v>
          </cell>
          <cell r="AC392">
            <v>0</v>
          </cell>
          <cell r="AF392">
            <v>0</v>
          </cell>
          <cell r="AI392">
            <v>0</v>
          </cell>
          <cell r="AL392">
            <v>0</v>
          </cell>
          <cell r="AO392">
            <v>0</v>
          </cell>
        </row>
        <row r="393">
          <cell r="A393" t="str">
            <v>BoutiqueFormation</v>
          </cell>
          <cell r="B393" t="str">
            <v>Formation</v>
          </cell>
          <cell r="E393">
            <v>0</v>
          </cell>
          <cell r="H393">
            <v>0</v>
          </cell>
          <cell r="K393">
            <v>0</v>
          </cell>
          <cell r="N393">
            <v>0</v>
          </cell>
          <cell r="Q393">
            <v>0</v>
          </cell>
          <cell r="T393">
            <v>0</v>
          </cell>
          <cell r="W393">
            <v>0</v>
          </cell>
          <cell r="Z393">
            <v>0</v>
          </cell>
          <cell r="AC393">
            <v>0</v>
          </cell>
          <cell r="AF393">
            <v>0</v>
          </cell>
          <cell r="AI393">
            <v>0</v>
          </cell>
          <cell r="AL393">
            <v>0</v>
          </cell>
          <cell r="AO393">
            <v>0</v>
          </cell>
        </row>
        <row r="394">
          <cell r="A394" t="str">
            <v>BoutiqueFrais bancaires</v>
          </cell>
          <cell r="B394" t="str">
            <v>Frais bancaires</v>
          </cell>
          <cell r="E394">
            <v>0</v>
          </cell>
          <cell r="H394">
            <v>0</v>
          </cell>
          <cell r="K394">
            <v>0</v>
          </cell>
          <cell r="N394">
            <v>0</v>
          </cell>
          <cell r="Q394">
            <v>0</v>
          </cell>
          <cell r="T394">
            <v>0</v>
          </cell>
          <cell r="W394">
            <v>0</v>
          </cell>
          <cell r="Z394">
            <v>0</v>
          </cell>
          <cell r="AC394">
            <v>0</v>
          </cell>
          <cell r="AF394">
            <v>0</v>
          </cell>
          <cell r="AI394">
            <v>0</v>
          </cell>
          <cell r="AL394">
            <v>0</v>
          </cell>
          <cell r="AO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Boutique[...]</v>
          </cell>
          <cell r="B397" t="str">
            <v>[...]</v>
          </cell>
          <cell r="E397">
            <v>0</v>
          </cell>
        </row>
        <row r="398">
          <cell r="A398" t="str">
            <v>BoutiqueTOTAL SEMI-FIXES</v>
          </cell>
          <cell r="B398" t="str">
            <v>TOTAL SEMI-FIXES</v>
          </cell>
          <cell r="C398" t="str">
            <v>% brut</v>
          </cell>
          <cell r="D398">
            <v>0</v>
          </cell>
          <cell r="E398">
            <v>0</v>
          </cell>
          <cell r="F398" t="str">
            <v>% brut</v>
          </cell>
          <cell r="G398">
            <v>0</v>
          </cell>
          <cell r="H398">
            <v>0</v>
          </cell>
          <cell r="I398" t="str">
            <v>% brut</v>
          </cell>
          <cell r="J398">
            <v>0</v>
          </cell>
          <cell r="K398">
            <v>0</v>
          </cell>
          <cell r="L398" t="str">
            <v>% brut</v>
          </cell>
          <cell r="M398">
            <v>0</v>
          </cell>
          <cell r="N398">
            <v>0</v>
          </cell>
          <cell r="O398" t="str">
            <v>% brut</v>
          </cell>
          <cell r="P398">
            <v>0</v>
          </cell>
          <cell r="Q398">
            <v>0</v>
          </cell>
          <cell r="R398" t="str">
            <v>% brut</v>
          </cell>
          <cell r="S398">
            <v>0</v>
          </cell>
          <cell r="T398">
            <v>0</v>
          </cell>
          <cell r="U398" t="str">
            <v>% brut</v>
          </cell>
          <cell r="V398">
            <v>0</v>
          </cell>
          <cell r="W398">
            <v>0</v>
          </cell>
          <cell r="X398" t="str">
            <v>% brut</v>
          </cell>
          <cell r="Y398">
            <v>0</v>
          </cell>
          <cell r="Z398">
            <v>0</v>
          </cell>
          <cell r="AA398" t="str">
            <v>% brut</v>
          </cell>
          <cell r="AB398">
            <v>0</v>
          </cell>
          <cell r="AC398">
            <v>0</v>
          </cell>
          <cell r="AD398" t="str">
            <v>% brut</v>
          </cell>
          <cell r="AE398">
            <v>0</v>
          </cell>
          <cell r="AF398">
            <v>0</v>
          </cell>
          <cell r="AG398" t="str">
            <v>% brut</v>
          </cell>
          <cell r="AH398">
            <v>0</v>
          </cell>
          <cell r="AI398">
            <v>0</v>
          </cell>
          <cell r="AJ398" t="str">
            <v>% brut</v>
          </cell>
          <cell r="AK398">
            <v>0</v>
          </cell>
          <cell r="AL398">
            <v>0</v>
          </cell>
          <cell r="AM398" t="str">
            <v>% brut</v>
          </cell>
          <cell r="AN398">
            <v>0</v>
          </cell>
          <cell r="AO398">
            <v>0</v>
          </cell>
        </row>
        <row r="399">
          <cell r="A399" t="str">
            <v>Boutique</v>
          </cell>
        </row>
        <row r="400">
          <cell r="A400" t="str">
            <v>BoutiqueTOTAL DES DÉPENSES</v>
          </cell>
          <cell r="B400" t="str">
            <v>TOTAL DES DÉPENSES</v>
          </cell>
          <cell r="C400" t="str">
            <v>% brut</v>
          </cell>
          <cell r="D400">
            <v>0</v>
          </cell>
          <cell r="E400">
            <v>0</v>
          </cell>
          <cell r="F400" t="str">
            <v>% brut</v>
          </cell>
          <cell r="G400">
            <v>0</v>
          </cell>
          <cell r="H400">
            <v>0</v>
          </cell>
          <cell r="I400" t="str">
            <v>% brut</v>
          </cell>
          <cell r="J400">
            <v>0</v>
          </cell>
          <cell r="K400">
            <v>0</v>
          </cell>
          <cell r="L400" t="str">
            <v>% brut</v>
          </cell>
          <cell r="M400">
            <v>0</v>
          </cell>
          <cell r="N400">
            <v>0</v>
          </cell>
          <cell r="O400" t="str">
            <v>% brut</v>
          </cell>
          <cell r="P400">
            <v>0</v>
          </cell>
          <cell r="Q400">
            <v>0</v>
          </cell>
          <cell r="R400" t="str">
            <v>% brut</v>
          </cell>
          <cell r="S400">
            <v>0</v>
          </cell>
          <cell r="T400">
            <v>0</v>
          </cell>
          <cell r="U400" t="str">
            <v>% brut</v>
          </cell>
          <cell r="V400">
            <v>0</v>
          </cell>
          <cell r="W400">
            <v>0</v>
          </cell>
          <cell r="X400" t="str">
            <v>% brut</v>
          </cell>
          <cell r="Y400">
            <v>0</v>
          </cell>
          <cell r="Z400">
            <v>0</v>
          </cell>
          <cell r="AA400" t="str">
            <v>% brut</v>
          </cell>
          <cell r="AB400">
            <v>0</v>
          </cell>
          <cell r="AC400">
            <v>0</v>
          </cell>
          <cell r="AD400" t="str">
            <v>% brut</v>
          </cell>
          <cell r="AE400">
            <v>0</v>
          </cell>
          <cell r="AF400">
            <v>0</v>
          </cell>
          <cell r="AG400" t="str">
            <v>% brut</v>
          </cell>
          <cell r="AH400">
            <v>0</v>
          </cell>
          <cell r="AI400">
            <v>0</v>
          </cell>
          <cell r="AJ400" t="str">
            <v>% brut</v>
          </cell>
          <cell r="AK400">
            <v>0</v>
          </cell>
          <cell r="AL400">
            <v>0</v>
          </cell>
          <cell r="AM400" t="str">
            <v>% brut</v>
          </cell>
          <cell r="AN400">
            <v>0</v>
          </cell>
          <cell r="AO400">
            <v>0</v>
          </cell>
        </row>
        <row r="401">
          <cell r="A401" t="str">
            <v>Boutique</v>
          </cell>
        </row>
        <row r="402">
          <cell r="A402" t="str">
            <v>BoutiquePROFIT DÉPARTEMENTAL</v>
          </cell>
          <cell r="B402" t="str">
            <v>PROFIT DÉPARTEMENTAL</v>
          </cell>
          <cell r="E402">
            <v>0</v>
          </cell>
          <cell r="H402">
            <v>0</v>
          </cell>
          <cell r="K402">
            <v>0</v>
          </cell>
          <cell r="N402">
            <v>0</v>
          </cell>
          <cell r="Q402">
            <v>0</v>
          </cell>
          <cell r="T402">
            <v>0</v>
          </cell>
          <cell r="W402">
            <v>0</v>
          </cell>
          <cell r="Z402">
            <v>0</v>
          </cell>
          <cell r="AC402">
            <v>0</v>
          </cell>
          <cell r="AF402">
            <v>0</v>
          </cell>
          <cell r="AI402">
            <v>0</v>
          </cell>
          <cell r="AL402">
            <v>0</v>
          </cell>
          <cell r="AO402">
            <v>0</v>
          </cell>
        </row>
        <row r="404">
          <cell r="H404">
            <v>0</v>
          </cell>
          <cell r="K404">
            <v>0</v>
          </cell>
          <cell r="N404">
            <v>0</v>
          </cell>
          <cell r="Q404">
            <v>0</v>
          </cell>
          <cell r="T404">
            <v>0</v>
          </cell>
          <cell r="W404">
            <v>0</v>
          </cell>
          <cell r="Z404">
            <v>0</v>
          </cell>
          <cell r="AC404">
            <v>0</v>
          </cell>
          <cell r="AF404">
            <v>0</v>
          </cell>
          <cell r="AI404">
            <v>0</v>
          </cell>
          <cell r="AL404">
            <v>0</v>
          </cell>
          <cell r="AO404">
            <v>0</v>
          </cell>
        </row>
        <row r="405">
          <cell r="B405" t="str">
            <v>Réel 2023</v>
          </cell>
          <cell r="C405" t="str">
            <v>TOTAL  DES  REVENUS  ET  DÉPENSES</v>
          </cell>
        </row>
        <row r="406">
          <cell r="H406">
            <v>3999179.9999999888</v>
          </cell>
          <cell r="K406">
            <v>3439148.8599999901</v>
          </cell>
          <cell r="N406">
            <v>4656035.2599999793</v>
          </cell>
          <cell r="Q406">
            <v>3178713.4899999993</v>
          </cell>
          <cell r="T406">
            <v>5194257.959999999</v>
          </cell>
          <cell r="W406">
            <v>5520989.48999999</v>
          </cell>
          <cell r="Z406">
            <v>4651900.0099999886</v>
          </cell>
          <cell r="AC406">
            <v>5316242.4199999981</v>
          </cell>
          <cell r="AF406">
            <v>4572850.42</v>
          </cell>
          <cell r="AI406">
            <v>10612462.84999999</v>
          </cell>
          <cell r="AL406">
            <v>12335062.559999999</v>
          </cell>
          <cell r="AO406">
            <v>9614340.6600000001</v>
          </cell>
        </row>
        <row r="407">
          <cell r="B407" t="str">
            <v>Mois</v>
          </cell>
          <cell r="C407">
            <v>2023</v>
          </cell>
          <cell r="F407" t="str">
            <v>Janvier</v>
          </cell>
          <cell r="I407" t="str">
            <v>Février</v>
          </cell>
          <cell r="L407" t="str">
            <v>Mars</v>
          </cell>
          <cell r="O407" t="str">
            <v>Avril</v>
          </cell>
          <cell r="R407" t="str">
            <v>Mai</v>
          </cell>
          <cell r="U407" t="str">
            <v>Juin</v>
          </cell>
          <cell r="X407" t="str">
            <v>Juillet</v>
          </cell>
          <cell r="AA407" t="str">
            <v>Août</v>
          </cell>
          <cell r="AD407" t="str">
            <v>Septembre</v>
          </cell>
          <cell r="AG407" t="str">
            <v>Octobre</v>
          </cell>
          <cell r="AJ407" t="str">
            <v>Novembre</v>
          </cell>
          <cell r="AM407" t="str">
            <v>Décembre</v>
          </cell>
        </row>
        <row r="408">
          <cell r="C408" t="str">
            <v>%P.Brut</v>
          </cell>
          <cell r="D408" t="str">
            <v>$/Unite</v>
          </cell>
          <cell r="E408" t="str">
            <v>$TOTAL</v>
          </cell>
          <cell r="F408" t="str">
            <v>%P.Brut</v>
          </cell>
          <cell r="G408" t="str">
            <v>$/Unite</v>
          </cell>
          <cell r="H408" t="str">
            <v>$TOTAL</v>
          </cell>
          <cell r="I408" t="str">
            <v>%P.Brut</v>
          </cell>
          <cell r="J408" t="str">
            <v>$/Unite</v>
          </cell>
          <cell r="K408" t="str">
            <v>$TOTAL</v>
          </cell>
          <cell r="L408" t="str">
            <v>%P.Brut</v>
          </cell>
          <cell r="M408" t="str">
            <v>$/Unite</v>
          </cell>
          <cell r="N408" t="str">
            <v>$TOTAL</v>
          </cell>
          <cell r="O408" t="str">
            <v>%P.Brut</v>
          </cell>
          <cell r="P408" t="str">
            <v>$/Unite</v>
          </cell>
          <cell r="Q408" t="str">
            <v>$TOTAL</v>
          </cell>
          <cell r="R408" t="str">
            <v>%P.Brut</v>
          </cell>
          <cell r="S408" t="str">
            <v>$/Unite</v>
          </cell>
          <cell r="T408" t="str">
            <v>$TOTAL</v>
          </cell>
          <cell r="U408" t="str">
            <v>%P.Brut</v>
          </cell>
          <cell r="V408" t="str">
            <v>$/Unite</v>
          </cell>
          <cell r="W408" t="str">
            <v>$TOTAL</v>
          </cell>
          <cell r="X408" t="str">
            <v>%P.Brut</v>
          </cell>
          <cell r="Y408" t="str">
            <v>$/Unite</v>
          </cell>
          <cell r="Z408" t="str">
            <v>$TOTAL</v>
          </cell>
          <cell r="AA408" t="str">
            <v>%P.Brut</v>
          </cell>
          <cell r="AB408" t="str">
            <v>$/Unite</v>
          </cell>
          <cell r="AC408" t="str">
            <v>$TOTAL</v>
          </cell>
          <cell r="AD408" t="str">
            <v>%P.Brut</v>
          </cell>
          <cell r="AE408" t="str">
            <v>$/Unite</v>
          </cell>
          <cell r="AF408" t="str">
            <v>$TOTAL</v>
          </cell>
          <cell r="AG408" t="str">
            <v>%P.Brut</v>
          </cell>
          <cell r="AH408" t="str">
            <v>$/Unite</v>
          </cell>
          <cell r="AI408" t="str">
            <v>$TOTAL</v>
          </cell>
          <cell r="AJ408" t="str">
            <v>%P.Brut</v>
          </cell>
          <cell r="AK408" t="str">
            <v>$/Unite</v>
          </cell>
          <cell r="AL408" t="str">
            <v>$TOTAL</v>
          </cell>
          <cell r="AM408" t="str">
            <v>%P.Brut</v>
          </cell>
          <cell r="AN408" t="str">
            <v>$/Unite</v>
          </cell>
          <cell r="AO408" t="str">
            <v>$TOTAL</v>
          </cell>
        </row>
        <row r="409">
          <cell r="A409" t="str">
            <v>Ventes nettes</v>
          </cell>
          <cell r="B409" t="str">
            <v>Ventes nettes</v>
          </cell>
          <cell r="E409">
            <v>73091183.97999993</v>
          </cell>
          <cell r="H409">
            <v>3999179.9999999888</v>
          </cell>
          <cell r="K409">
            <v>3439148.8599999901</v>
          </cell>
          <cell r="N409">
            <v>4656035.2599999793</v>
          </cell>
          <cell r="Q409">
            <v>3178713.4899999993</v>
          </cell>
          <cell r="T409">
            <v>5194257.959999999</v>
          </cell>
          <cell r="W409">
            <v>5520989.48999999</v>
          </cell>
          <cell r="Z409">
            <v>4651900.0099999886</v>
          </cell>
          <cell r="AC409">
            <v>5316242.4199999981</v>
          </cell>
          <cell r="AF409">
            <v>4572850.42</v>
          </cell>
          <cell r="AI409">
            <v>10612462.84999999</v>
          </cell>
          <cell r="AL409">
            <v>12335062.559999999</v>
          </cell>
          <cell r="AO409">
            <v>9614340.6600000001</v>
          </cell>
        </row>
        <row r="410">
          <cell r="A410" t="str">
            <v>Profit brut</v>
          </cell>
          <cell r="B410" t="str">
            <v>Profit brut</v>
          </cell>
          <cell r="E410">
            <v>7457958.609999991</v>
          </cell>
          <cell r="H410">
            <v>517816.86999999959</v>
          </cell>
          <cell r="K410">
            <v>416073.91999999958</v>
          </cell>
          <cell r="N410">
            <v>588626.91999999934</v>
          </cell>
          <cell r="Q410">
            <v>569361.15999999933</v>
          </cell>
          <cell r="T410">
            <v>715448.58999999845</v>
          </cell>
          <cell r="W410">
            <v>675919.48999999906</v>
          </cell>
          <cell r="Z410">
            <v>612382.99999999919</v>
          </cell>
          <cell r="AC410">
            <v>650658.82999999949</v>
          </cell>
          <cell r="AF410">
            <v>628292.67999999947</v>
          </cell>
          <cell r="AI410">
            <v>740004.24999999872</v>
          </cell>
          <cell r="AL410">
            <v>822976.9299999997</v>
          </cell>
          <cell r="AO410">
            <v>520395.96999999927</v>
          </cell>
        </row>
        <row r="411">
          <cell r="A411" t="str">
            <v>DÉPENSES</v>
          </cell>
          <cell r="B411" t="str">
            <v>DÉPENSES</v>
          </cell>
        </row>
        <row r="412">
          <cell r="A412" t="str">
            <v>Comm. vendeurs</v>
          </cell>
          <cell r="B412" t="str">
            <v>Comm. vendeurs</v>
          </cell>
          <cell r="C412">
            <v>0.33494515307471034</v>
          </cell>
          <cell r="D412">
            <v>716.13371338912145</v>
          </cell>
          <cell r="E412">
            <v>684623.83000000007</v>
          </cell>
          <cell r="G412">
            <v>491.23102941176467</v>
          </cell>
          <cell r="H412">
            <v>33403.71</v>
          </cell>
          <cell r="J412">
            <v>763.82375000000002</v>
          </cell>
          <cell r="K412">
            <v>36663.54</v>
          </cell>
          <cell r="M412">
            <v>1012.7643835616439</v>
          </cell>
          <cell r="N412">
            <v>73931.8</v>
          </cell>
          <cell r="P412">
            <v>1161.6527083333333</v>
          </cell>
          <cell r="Q412">
            <v>55759.33</v>
          </cell>
          <cell r="S412">
            <v>973.73676056338024</v>
          </cell>
          <cell r="T412">
            <v>69135.31</v>
          </cell>
          <cell r="V412">
            <v>853.46062500000005</v>
          </cell>
          <cell r="W412">
            <v>68276.850000000006</v>
          </cell>
          <cell r="Y412">
            <v>930.65569444444429</v>
          </cell>
          <cell r="Z412">
            <v>67007.209999999992</v>
          </cell>
          <cell r="AB412">
            <v>798.98139240506327</v>
          </cell>
          <cell r="AC412">
            <v>63119.53</v>
          </cell>
          <cell r="AE412">
            <v>589.43313953488371</v>
          </cell>
          <cell r="AF412">
            <v>50691.25</v>
          </cell>
          <cell r="AH412">
            <v>802.9314117647059</v>
          </cell>
          <cell r="AI412">
            <v>68249.17</v>
          </cell>
          <cell r="AK412">
            <v>488.55706422018352</v>
          </cell>
          <cell r="AL412">
            <v>53252.72</v>
          </cell>
          <cell r="AN412">
            <v>654.10739130434786</v>
          </cell>
          <cell r="AO412">
            <v>45133.41</v>
          </cell>
        </row>
        <row r="413">
          <cell r="A413" t="str">
            <v>Comm. F&amp;I</v>
          </cell>
          <cell r="B413" t="str">
            <v>Comm. F&amp;I</v>
          </cell>
          <cell r="C413">
            <v>0.3019776972795768</v>
          </cell>
          <cell r="D413">
            <v>454.03748873873872</v>
          </cell>
          <cell r="E413">
            <v>403185.29</v>
          </cell>
          <cell r="G413">
            <v>385.17455882352942</v>
          </cell>
          <cell r="H413">
            <v>26191.87</v>
          </cell>
          <cell r="J413">
            <v>498.76270833333336</v>
          </cell>
          <cell r="K413">
            <v>23940.61</v>
          </cell>
          <cell r="M413">
            <v>549.29808219178074</v>
          </cell>
          <cell r="N413">
            <v>40098.759999999995</v>
          </cell>
          <cell r="P413">
            <v>578.87104166666666</v>
          </cell>
          <cell r="Q413">
            <v>27785.809999999998</v>
          </cell>
          <cell r="S413">
            <v>553.62056338028162</v>
          </cell>
          <cell r="T413">
            <v>39307.06</v>
          </cell>
          <cell r="V413">
            <v>443.94837500000006</v>
          </cell>
          <cell r="W413">
            <v>35515.870000000003</v>
          </cell>
          <cell r="Y413">
            <v>439.10263888888886</v>
          </cell>
          <cell r="Z413">
            <v>31615.39</v>
          </cell>
          <cell r="AB413">
            <v>542.49569620253169</v>
          </cell>
          <cell r="AC413">
            <v>42857.16</v>
          </cell>
          <cell r="AE413">
            <v>433.83569767441861</v>
          </cell>
          <cell r="AF413">
            <v>37309.870000000003</v>
          </cell>
          <cell r="AH413">
            <v>436.61976470588235</v>
          </cell>
          <cell r="AI413">
            <v>37112.68</v>
          </cell>
          <cell r="AK413">
            <v>334.64825688073398</v>
          </cell>
          <cell r="AL413">
            <v>36476.660000000003</v>
          </cell>
          <cell r="AN413">
            <v>361.9355072463768</v>
          </cell>
          <cell r="AO413">
            <v>24973.55</v>
          </cell>
        </row>
        <row r="414">
          <cell r="A414" t="str">
            <v>Frais de livraison</v>
          </cell>
          <cell r="B414" t="str">
            <v>Frais de livraison</v>
          </cell>
          <cell r="D414">
            <v>77.016846846846832</v>
          </cell>
          <cell r="E414">
            <v>68390.959999999992</v>
          </cell>
          <cell r="G414">
            <v>50.077058823529406</v>
          </cell>
          <cell r="H414">
            <v>3405.24</v>
          </cell>
          <cell r="J414">
            <v>137.31479166666665</v>
          </cell>
          <cell r="K414">
            <v>6591.11</v>
          </cell>
          <cell r="M414">
            <v>41.720547945205482</v>
          </cell>
          <cell r="N414">
            <v>3045.6</v>
          </cell>
          <cell r="P414">
            <v>46.353958333333338</v>
          </cell>
          <cell r="Q414">
            <v>2224.9900000000002</v>
          </cell>
          <cell r="S414">
            <v>66.744507042253517</v>
          </cell>
          <cell r="T414">
            <v>4738.8599999999997</v>
          </cell>
          <cell r="V414">
            <v>69.216750000000005</v>
          </cell>
          <cell r="W414">
            <v>5537.34</v>
          </cell>
          <cell r="Y414">
            <v>67.379166666666663</v>
          </cell>
          <cell r="Z414">
            <v>4851.3</v>
          </cell>
          <cell r="AB414">
            <v>79.651518987341774</v>
          </cell>
          <cell r="AC414">
            <v>6292.47</v>
          </cell>
          <cell r="AE414">
            <v>41.827906976744181</v>
          </cell>
          <cell r="AF414">
            <v>3597.2</v>
          </cell>
          <cell r="AH414">
            <v>93.197058823529417</v>
          </cell>
          <cell r="AI414">
            <v>7921.75</v>
          </cell>
          <cell r="AK414">
            <v>112.51394495412843</v>
          </cell>
          <cell r="AL414">
            <v>12264.019999999999</v>
          </cell>
          <cell r="AN414">
            <v>114.79826086956521</v>
          </cell>
          <cell r="AO414">
            <v>7921.08</v>
          </cell>
        </row>
        <row r="415">
          <cell r="A415" t="str">
            <v>Service gratuit 1</v>
          </cell>
          <cell r="B415" t="str">
            <v>Service gratuit 1</v>
          </cell>
          <cell r="D415">
            <v>14.472804054054052</v>
          </cell>
          <cell r="E415">
            <v>12851.849999999999</v>
          </cell>
          <cell r="G415">
            <v>0.80882352941176472</v>
          </cell>
          <cell r="H415">
            <v>55</v>
          </cell>
          <cell r="J415">
            <v>0</v>
          </cell>
          <cell r="K415">
            <v>0</v>
          </cell>
          <cell r="M415">
            <v>-20.396027397260276</v>
          </cell>
          <cell r="N415">
            <v>-1488.91</v>
          </cell>
          <cell r="P415">
            <v>4.375</v>
          </cell>
          <cell r="Q415">
            <v>210</v>
          </cell>
          <cell r="S415">
            <v>6.3423943661971833</v>
          </cell>
          <cell r="T415">
            <v>450.31</v>
          </cell>
          <cell r="V415">
            <v>0</v>
          </cell>
          <cell r="W415">
            <v>0</v>
          </cell>
          <cell r="Y415">
            <v>9.1704166666666662</v>
          </cell>
          <cell r="Z415">
            <v>660.27</v>
          </cell>
          <cell r="AB415">
            <v>3.1829113924050629</v>
          </cell>
          <cell r="AC415">
            <v>251.45</v>
          </cell>
          <cell r="AE415">
            <v>9.0579069767441869</v>
          </cell>
          <cell r="AF415">
            <v>778.98</v>
          </cell>
          <cell r="AH415">
            <v>27.064588235294114</v>
          </cell>
          <cell r="AI415">
            <v>2300.4899999999998</v>
          </cell>
          <cell r="AK415">
            <v>64.881009174311927</v>
          </cell>
          <cell r="AL415">
            <v>7072.03</v>
          </cell>
          <cell r="AN415">
            <v>37.133768115942033</v>
          </cell>
          <cell r="AO415">
            <v>2562.23</v>
          </cell>
        </row>
        <row r="416">
          <cell r="A416" t="str">
            <v>Entretien stock</v>
          </cell>
          <cell r="B416" t="str">
            <v>Entretien stock</v>
          </cell>
          <cell r="D416">
            <v>110.89993243243245</v>
          </cell>
          <cell r="E416">
            <v>98479.140000000014</v>
          </cell>
          <cell r="G416">
            <v>95.485441176470587</v>
          </cell>
          <cell r="H416">
            <v>6493.01</v>
          </cell>
          <cell r="J416">
            <v>166.87833333333333</v>
          </cell>
          <cell r="K416">
            <v>8010.16</v>
          </cell>
          <cell r="M416">
            <v>77.26178082191781</v>
          </cell>
          <cell r="N416">
            <v>5640.1100000000006</v>
          </cell>
          <cell r="P416">
            <v>161.70500000000001</v>
          </cell>
          <cell r="Q416">
            <v>7761.84</v>
          </cell>
          <cell r="S416">
            <v>114.65267605633802</v>
          </cell>
          <cell r="T416">
            <v>8140.34</v>
          </cell>
          <cell r="V416">
            <v>101.99487500000001</v>
          </cell>
          <cell r="W416">
            <v>8159.59</v>
          </cell>
          <cell r="Y416">
            <v>123.27194444444444</v>
          </cell>
          <cell r="Z416">
            <v>8875.58</v>
          </cell>
          <cell r="AB416">
            <v>108.44645569620253</v>
          </cell>
          <cell r="AC416">
            <v>8567.27</v>
          </cell>
          <cell r="AE416">
            <v>99.293488372093023</v>
          </cell>
          <cell r="AF416">
            <v>8539.24</v>
          </cell>
          <cell r="AH416">
            <v>111.43411764705881</v>
          </cell>
          <cell r="AI416">
            <v>9471.9</v>
          </cell>
          <cell r="AK416">
            <v>104.90669724770642</v>
          </cell>
          <cell r="AL416">
            <v>11434.83</v>
          </cell>
          <cell r="AN416">
            <v>107.03289855072464</v>
          </cell>
          <cell r="AO416">
            <v>7385.27</v>
          </cell>
        </row>
        <row r="417">
          <cell r="A417" t="str">
            <v>Publicité 1</v>
          </cell>
          <cell r="B417" t="str">
            <v>Publicité 1</v>
          </cell>
          <cell r="D417">
            <v>236.88950450450446</v>
          </cell>
          <cell r="E417">
            <v>210357.87999999995</v>
          </cell>
          <cell r="G417">
            <v>111.62588235294118</v>
          </cell>
          <cell r="H417">
            <v>7590.56</v>
          </cell>
          <cell r="J417">
            <v>314.77333333333331</v>
          </cell>
          <cell r="K417">
            <v>15109.119999999999</v>
          </cell>
          <cell r="M417">
            <v>176.76808219178071</v>
          </cell>
          <cell r="N417">
            <v>12904.069999999991</v>
          </cell>
          <cell r="P417">
            <v>368.4883333333334</v>
          </cell>
          <cell r="Q417">
            <v>17687.440000000002</v>
          </cell>
          <cell r="S417">
            <v>289.73464788732377</v>
          </cell>
          <cell r="T417">
            <v>20571.159999999989</v>
          </cell>
          <cell r="V417">
            <v>261.49475000000001</v>
          </cell>
          <cell r="W417">
            <v>20919.580000000002</v>
          </cell>
          <cell r="Y417">
            <v>262.21513888888876</v>
          </cell>
          <cell r="Z417">
            <v>18879.489999999991</v>
          </cell>
          <cell r="AB417">
            <v>163.09050632911379</v>
          </cell>
          <cell r="AC417">
            <v>12884.149999999991</v>
          </cell>
          <cell r="AE417">
            <v>168.29313953488361</v>
          </cell>
          <cell r="AF417">
            <v>14473.20999999999</v>
          </cell>
          <cell r="AH417">
            <v>292.33129411764708</v>
          </cell>
          <cell r="AI417">
            <v>24848.16</v>
          </cell>
          <cell r="AK417">
            <v>163.18321100917422</v>
          </cell>
          <cell r="AL417">
            <v>17786.96999999999</v>
          </cell>
          <cell r="AN417">
            <v>387.01405797101432</v>
          </cell>
          <cell r="AO417">
            <v>26703.96999999999</v>
          </cell>
        </row>
        <row r="418">
          <cell r="A418" t="str">
            <v>Intérêt de gros</v>
          </cell>
          <cell r="B418" t="str">
            <v>Intérêt de gros</v>
          </cell>
          <cell r="D418">
            <v>115.53834459459458</v>
          </cell>
          <cell r="E418">
            <v>102598.04999999999</v>
          </cell>
          <cell r="G418">
            <v>180.3785294117647</v>
          </cell>
          <cell r="H418">
            <v>12265.74</v>
          </cell>
          <cell r="J418">
            <v>181.78166666666667</v>
          </cell>
          <cell r="K418">
            <v>8725.52</v>
          </cell>
          <cell r="M418">
            <v>95.617808219178087</v>
          </cell>
          <cell r="N418">
            <v>6980.1</v>
          </cell>
          <cell r="P418">
            <v>81.029375000000002</v>
          </cell>
          <cell r="Q418">
            <v>3889.41</v>
          </cell>
          <cell r="S418">
            <v>113.19084507042254</v>
          </cell>
          <cell r="T418">
            <v>8036.55</v>
          </cell>
          <cell r="V418">
            <v>78.718625000000003</v>
          </cell>
          <cell r="W418">
            <v>6297.49</v>
          </cell>
          <cell r="Y418">
            <v>81.453888888888898</v>
          </cell>
          <cell r="Z418">
            <v>5864.68</v>
          </cell>
          <cell r="AB418">
            <v>91.770379746835445</v>
          </cell>
          <cell r="AC418">
            <v>7249.86</v>
          </cell>
          <cell r="AE418">
            <v>65.783953488372092</v>
          </cell>
          <cell r="AF418">
            <v>5657.42</v>
          </cell>
          <cell r="AH418">
            <v>0</v>
          </cell>
          <cell r="AI418">
            <v>0</v>
          </cell>
          <cell r="AK418">
            <v>183.8651376146789</v>
          </cell>
          <cell r="AL418">
            <v>20041.3</v>
          </cell>
          <cell r="AN418">
            <v>254.92724637681158</v>
          </cell>
          <cell r="AO418">
            <v>17589.98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[...]</v>
          </cell>
          <cell r="B421" t="str">
            <v>[...]</v>
          </cell>
          <cell r="E421">
            <v>0</v>
          </cell>
          <cell r="H421">
            <v>0</v>
          </cell>
          <cell r="K421">
            <v>0</v>
          </cell>
          <cell r="N421">
            <v>0</v>
          </cell>
          <cell r="Q421">
            <v>0</v>
          </cell>
          <cell r="T421">
            <v>0</v>
          </cell>
          <cell r="W421">
            <v>0</v>
          </cell>
          <cell r="Z421">
            <v>0</v>
          </cell>
          <cell r="AC421">
            <v>0</v>
          </cell>
          <cell r="AF421">
            <v>0</v>
          </cell>
          <cell r="AI421">
            <v>0</v>
          </cell>
          <cell r="AL421">
            <v>0</v>
          </cell>
          <cell r="AO421">
            <v>0</v>
          </cell>
        </row>
        <row r="422">
          <cell r="A422" t="str">
            <v>TOTAL VARIABLES</v>
          </cell>
          <cell r="B422" t="str">
            <v>TOTAL VARIABLES</v>
          </cell>
          <cell r="C422">
            <v>0.2119195188185688</v>
          </cell>
          <cell r="D422">
            <v>1724.9886345602924</v>
          </cell>
          <cell r="E422">
            <v>1580487.0000000002</v>
          </cell>
          <cell r="F422">
            <v>0.17265781626620252</v>
          </cell>
          <cell r="H422">
            <v>89405.13</v>
          </cell>
          <cell r="I422">
            <v>0.23803477036003626</v>
          </cell>
          <cell r="K422">
            <v>99040.06</v>
          </cell>
          <cell r="L422">
            <v>0.23972999739801257</v>
          </cell>
          <cell r="N422">
            <v>141111.53</v>
          </cell>
          <cell r="O422">
            <v>0.20254072125327297</v>
          </cell>
          <cell r="Q422">
            <v>115318.82</v>
          </cell>
          <cell r="R422">
            <v>0.21018923246462795</v>
          </cell>
          <cell r="T422">
            <v>150379.58999999997</v>
          </cell>
          <cell r="U422">
            <v>0.21408869272285694</v>
          </cell>
          <cell r="W422">
            <v>144706.71999999997</v>
          </cell>
          <cell r="X422">
            <v>0.22494732871421996</v>
          </cell>
          <cell r="Z422">
            <v>137753.91999999998</v>
          </cell>
          <cell r="AA422">
            <v>0.21704445323519253</v>
          </cell>
          <cell r="AC422">
            <v>141221.88999999998</v>
          </cell>
          <cell r="AD422">
            <v>0.19266048109935022</v>
          </cell>
          <cell r="AF422">
            <v>121047.16999999998</v>
          </cell>
          <cell r="AG422">
            <v>0.20257201225533536</v>
          </cell>
          <cell r="AI422">
            <v>149904.15</v>
          </cell>
          <cell r="AJ422">
            <v>0.19238513769760235</v>
          </cell>
          <cell r="AL422">
            <v>158328.53</v>
          </cell>
          <cell r="AM422">
            <v>0.25417085762597313</v>
          </cell>
          <cell r="AO422">
            <v>132269.49</v>
          </cell>
        </row>
        <row r="423">
          <cell r="A423" t="str">
            <v>Salaires propriétaire</v>
          </cell>
          <cell r="B423" t="str">
            <v>Salaires propriétaire</v>
          </cell>
          <cell r="E423">
            <v>189463.65999999977</v>
          </cell>
          <cell r="H423">
            <v>21422.59</v>
          </cell>
          <cell r="K423">
            <v>17118.73</v>
          </cell>
          <cell r="N423">
            <v>16324.92</v>
          </cell>
          <cell r="Q423">
            <v>17494.309999999899</v>
          </cell>
          <cell r="T423">
            <v>20877.259999999998</v>
          </cell>
          <cell r="W423">
            <v>19731.150000000001</v>
          </cell>
          <cell r="Z423">
            <v>13077</v>
          </cell>
          <cell r="AC423">
            <v>15225.4199999999</v>
          </cell>
          <cell r="AF423">
            <v>14442.3</v>
          </cell>
          <cell r="AI423">
            <v>12153.84</v>
          </cell>
          <cell r="AL423">
            <v>12153.84</v>
          </cell>
          <cell r="AO423">
            <v>9442.2999999999993</v>
          </cell>
        </row>
        <row r="424">
          <cell r="A424" t="str">
            <v>Salaires cadres</v>
          </cell>
          <cell r="B424" t="str">
            <v>Salaires cadres</v>
          </cell>
          <cell r="E424">
            <v>501484.98999999976</v>
          </cell>
          <cell r="H424">
            <v>37559.410000000003</v>
          </cell>
          <cell r="K424">
            <v>27821.82</v>
          </cell>
          <cell r="N424">
            <v>35693.94</v>
          </cell>
          <cell r="Q424">
            <v>34182.79</v>
          </cell>
          <cell r="T424">
            <v>46937.36</v>
          </cell>
          <cell r="W424">
            <v>37891.839999999997</v>
          </cell>
          <cell r="Z424">
            <v>45656.84</v>
          </cell>
          <cell r="AC424">
            <v>45661.419999999896</v>
          </cell>
          <cell r="AF424">
            <v>40117.109999999899</v>
          </cell>
          <cell r="AI424">
            <v>34612.720000000001</v>
          </cell>
          <cell r="AL424">
            <v>62760.13</v>
          </cell>
          <cell r="AO424">
            <v>52589.61</v>
          </cell>
        </row>
        <row r="425">
          <cell r="A425" t="str">
            <v>Salaires commis</v>
          </cell>
          <cell r="B425" t="str">
            <v>Salaires commis</v>
          </cell>
          <cell r="E425">
            <v>589217.08999999985</v>
          </cell>
          <cell r="H425">
            <v>46856.34</v>
          </cell>
          <cell r="K425">
            <v>47043</v>
          </cell>
          <cell r="N425">
            <v>49703.63</v>
          </cell>
          <cell r="Q425">
            <v>43473.979999999901</v>
          </cell>
          <cell r="T425">
            <v>51414.06</v>
          </cell>
          <cell r="W425">
            <v>50801</v>
          </cell>
          <cell r="Z425">
            <v>42545.5</v>
          </cell>
          <cell r="AC425">
            <v>46717.79</v>
          </cell>
          <cell r="AF425">
            <v>61720.47</v>
          </cell>
          <cell r="AI425">
            <v>47146.1</v>
          </cell>
          <cell r="AL425">
            <v>49261.14</v>
          </cell>
          <cell r="AO425">
            <v>52534.080000000002</v>
          </cell>
        </row>
        <row r="426">
          <cell r="A426" t="str">
            <v>Salaires autres</v>
          </cell>
          <cell r="B426" t="str">
            <v>Salaires autres</v>
          </cell>
          <cell r="E426">
            <v>421862.52999999991</v>
          </cell>
          <cell r="H426">
            <v>29308.07</v>
          </cell>
          <cell r="K426">
            <v>32894.410000000003</v>
          </cell>
          <cell r="N426">
            <v>30652.9</v>
          </cell>
          <cell r="Q426">
            <v>38091.160000000003</v>
          </cell>
          <cell r="T426">
            <v>39705.81</v>
          </cell>
          <cell r="W426">
            <v>30665.71</v>
          </cell>
          <cell r="Z426">
            <v>31114.379999999899</v>
          </cell>
          <cell r="AC426">
            <v>27408.46</v>
          </cell>
          <cell r="AF426">
            <v>37784.449999999997</v>
          </cell>
          <cell r="AI426">
            <v>31689.39</v>
          </cell>
          <cell r="AL426">
            <v>56649.41</v>
          </cell>
          <cell r="AO426">
            <v>35898.379999999997</v>
          </cell>
        </row>
        <row r="427">
          <cell r="A427" t="str">
            <v>Salaires spécialistes</v>
          </cell>
          <cell r="B427" t="str">
            <v>Salaires spécialistes</v>
          </cell>
          <cell r="E427">
            <v>390462.77999999974</v>
          </cell>
          <cell r="H427">
            <v>31429.8</v>
          </cell>
          <cell r="K427">
            <v>25264.449999999899</v>
          </cell>
          <cell r="N427">
            <v>34061.25</v>
          </cell>
          <cell r="Q427">
            <v>32188.6</v>
          </cell>
          <cell r="T427">
            <v>34253.58</v>
          </cell>
          <cell r="W427">
            <v>38627.79</v>
          </cell>
          <cell r="Z427">
            <v>28533.96</v>
          </cell>
          <cell r="AC427">
            <v>27912.47</v>
          </cell>
          <cell r="AF427">
            <v>32169.559999999899</v>
          </cell>
          <cell r="AI427">
            <v>39009.53</v>
          </cell>
          <cell r="AL427">
            <v>25386.61</v>
          </cell>
          <cell r="AO427">
            <v>41625.18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[...]</v>
          </cell>
          <cell r="B430" t="str">
            <v>[...]</v>
          </cell>
          <cell r="E430">
            <v>0</v>
          </cell>
          <cell r="H430">
            <v>0</v>
          </cell>
          <cell r="K430">
            <v>0</v>
          </cell>
          <cell r="N430">
            <v>0</v>
          </cell>
          <cell r="Q430">
            <v>0</v>
          </cell>
          <cell r="T430">
            <v>0</v>
          </cell>
          <cell r="W430">
            <v>0</v>
          </cell>
          <cell r="Z430">
            <v>0</v>
          </cell>
          <cell r="AC430">
            <v>0</v>
          </cell>
          <cell r="AF430">
            <v>0</v>
          </cell>
          <cell r="AI430">
            <v>0</v>
          </cell>
          <cell r="AL430">
            <v>0</v>
          </cell>
          <cell r="AO430">
            <v>0</v>
          </cell>
        </row>
        <row r="431">
          <cell r="A431" t="str">
            <v>Salaires en absences</v>
          </cell>
          <cell r="B431" t="str">
            <v>Salaires en absences</v>
          </cell>
          <cell r="D431">
            <v>0.10003630628516677</v>
          </cell>
          <cell r="E431">
            <v>419826.25999999983</v>
          </cell>
          <cell r="G431">
            <v>0.16582769039850495</v>
          </cell>
          <cell r="H431">
            <v>48063.06</v>
          </cell>
          <cell r="J431">
            <v>9.0478016488894392E-2</v>
          </cell>
          <cell r="K431">
            <v>25105.0799999999</v>
          </cell>
          <cell r="M431">
            <v>9.3190783950924366E-2</v>
          </cell>
          <cell r="N431">
            <v>32171.52</v>
          </cell>
          <cell r="P431">
            <v>0.1029495567003921</v>
          </cell>
          <cell r="Q431">
            <v>33924.15</v>
          </cell>
          <cell r="S431">
            <v>0.10659800076981646</v>
          </cell>
          <cell r="T431">
            <v>41286.800000000003</v>
          </cell>
          <cell r="V431">
            <v>0.12396920737727848</v>
          </cell>
          <cell r="W431">
            <v>43881.119999999901</v>
          </cell>
          <cell r="Y431">
            <v>9.6435394179970602E-2</v>
          </cell>
          <cell r="Z431">
            <v>33642.36</v>
          </cell>
          <cell r="AB431">
            <v>7.5053049499345853E-2</v>
          </cell>
          <cell r="AC431">
            <v>27052.6</v>
          </cell>
          <cell r="AE431">
            <v>9.7849344238592609E-2</v>
          </cell>
          <cell r="AF431">
            <v>35502.839999999997</v>
          </cell>
          <cell r="AH431">
            <v>0.10137571917295493</v>
          </cell>
          <cell r="AI431">
            <v>38413.25</v>
          </cell>
          <cell r="AK431">
            <v>5.9808953886369851E-2</v>
          </cell>
          <cell r="AL431">
            <v>24774.34</v>
          </cell>
          <cell r="AN431">
            <v>0.10343783763163569</v>
          </cell>
          <cell r="AO431">
            <v>36009.14</v>
          </cell>
        </row>
        <row r="432">
          <cell r="A432" t="str">
            <v>Déduction à la source</v>
          </cell>
          <cell r="B432" t="str">
            <v>Déduction à la source</v>
          </cell>
          <cell r="D432">
            <v>0.13856742129672436</v>
          </cell>
          <cell r="E432">
            <v>581531.28999999969</v>
          </cell>
          <cell r="G432">
            <v>0.1518027903649137</v>
          </cell>
          <cell r="H432">
            <v>43998.12</v>
          </cell>
          <cell r="J432">
            <v>0.14951753620911082</v>
          </cell>
          <cell r="K432">
            <v>41486.869999999901</v>
          </cell>
          <cell r="M432">
            <v>0.12478415346038695</v>
          </cell>
          <cell r="N432">
            <v>43078.25</v>
          </cell>
          <cell r="P432">
            <v>0.22232866594728107</v>
          </cell>
          <cell r="Q432">
            <v>73262.199999999895</v>
          </cell>
          <cell r="S432">
            <v>0.12745125984384514</v>
          </cell>
          <cell r="T432">
            <v>49363.54</v>
          </cell>
          <cell r="V432">
            <v>0.13050612781554422</v>
          </cell>
          <cell r="W432">
            <v>46194.979999999901</v>
          </cell>
          <cell r="Y432">
            <v>0.14217564371628058</v>
          </cell>
          <cell r="Z432">
            <v>49599.26</v>
          </cell>
          <cell r="AB432">
            <v>0.12731766095140157</v>
          </cell>
          <cell r="AC432">
            <v>45891.19</v>
          </cell>
          <cell r="AE432">
            <v>0.12329183180982607</v>
          </cell>
          <cell r="AF432">
            <v>44734.18</v>
          </cell>
          <cell r="AH432">
            <v>0.11667207634505497</v>
          </cell>
          <cell r="AI432">
            <v>44209.34</v>
          </cell>
          <cell r="AK432">
            <v>0.11433794612874269</v>
          </cell>
          <cell r="AL432">
            <v>47361.59</v>
          </cell>
          <cell r="AN432">
            <v>0.15038276073765539</v>
          </cell>
          <cell r="AO432">
            <v>52351.77</v>
          </cell>
        </row>
        <row r="433">
          <cell r="A433" t="str">
            <v>Bénéfices marginaux</v>
          </cell>
          <cell r="B433" t="str">
            <v>Bénéfices marginaux</v>
          </cell>
          <cell r="D433">
            <v>5.9607420134679165E-2</v>
          </cell>
          <cell r="E433">
            <v>250156.77999999959</v>
          </cell>
          <cell r="G433">
            <v>7.1203484602537129E-2</v>
          </cell>
          <cell r="H433">
            <v>20637.43</v>
          </cell>
          <cell r="J433">
            <v>6.7105714602863881E-2</v>
          </cell>
          <cell r="K433">
            <v>18619.93</v>
          </cell>
          <cell r="M433">
            <v>6.0675109694593311E-2</v>
          </cell>
          <cell r="N433">
            <v>20946.39</v>
          </cell>
          <cell r="P433">
            <v>7.1061706764032437E-2</v>
          </cell>
          <cell r="Q433">
            <v>23416.3999999999</v>
          </cell>
          <cell r="S433">
            <v>4.8557203386986027E-2</v>
          </cell>
          <cell r="T433">
            <v>18806.84</v>
          </cell>
          <cell r="V433">
            <v>6.1223461223461048E-2</v>
          </cell>
          <cell r="W433">
            <v>21671.14</v>
          </cell>
          <cell r="Y433">
            <v>5.8901209528604878E-2</v>
          </cell>
          <cell r="Z433">
            <v>20548.22</v>
          </cell>
          <cell r="AB433">
            <v>5.804971602156199E-2</v>
          </cell>
          <cell r="AC433">
            <v>20923.810000000001</v>
          </cell>
          <cell r="AE433">
            <v>5.80099046483427E-2</v>
          </cell>
          <cell r="AF433">
            <v>21047.8299999999</v>
          </cell>
          <cell r="AH433">
            <v>5.7885678817959349E-2</v>
          </cell>
          <cell r="AI433">
            <v>21934.02</v>
          </cell>
          <cell r="AK433">
            <v>4.8999697265686051E-2</v>
          </cell>
          <cell r="AL433">
            <v>20296.879999999899</v>
          </cell>
          <cell r="AN433">
            <v>6.1207850731584919E-2</v>
          </cell>
          <cell r="AO433">
            <v>21307.889999999901</v>
          </cell>
        </row>
        <row r="434">
          <cell r="A434" t="str">
            <v>Csst</v>
          </cell>
          <cell r="B434" t="str">
            <v>Csst</v>
          </cell>
          <cell r="D434">
            <v>2.5114481031381371E-2</v>
          </cell>
          <cell r="E434">
            <v>105398.9199999999</v>
          </cell>
          <cell r="G434">
            <v>4.9254278330440236E-2</v>
          </cell>
          <cell r="H434">
            <v>14275.73</v>
          </cell>
          <cell r="J434">
            <v>5.0185892898588554E-2</v>
          </cell>
          <cell r="K434">
            <v>13925.16</v>
          </cell>
          <cell r="M434">
            <v>4.1787096377253981E-2</v>
          </cell>
          <cell r="N434">
            <v>14425.8299999999</v>
          </cell>
          <cell r="P434">
            <v>-3.5493921105008874E-2</v>
          </cell>
          <cell r="Q434">
            <v>-11696.029999999999</v>
          </cell>
          <cell r="S434">
            <v>2.0560601774667633E-2</v>
          </cell>
          <cell r="T434">
            <v>7963.3899999999903</v>
          </cell>
          <cell r="V434">
            <v>3.6865376775690573E-2</v>
          </cell>
          <cell r="W434">
            <v>13049.16</v>
          </cell>
          <cell r="Y434">
            <v>2.4525349134557405E-2</v>
          </cell>
          <cell r="Z434">
            <v>8555.89</v>
          </cell>
          <cell r="AB434">
            <v>3.0033371399096894E-2</v>
          </cell>
          <cell r="AC434">
            <v>10825.42</v>
          </cell>
          <cell r="AE434">
            <v>2.7545914819010007E-2</v>
          </cell>
          <cell r="AF434">
            <v>9994.5300000000007</v>
          </cell>
          <cell r="AH434">
            <v>1.8082831971518599E-2</v>
          </cell>
          <cell r="AI434">
            <v>6851.94</v>
          </cell>
          <cell r="AK434">
            <v>1.8763805915920976E-2</v>
          </cell>
          <cell r="AL434">
            <v>7772.43</v>
          </cell>
          <cell r="AN434">
            <v>2.716125324267123E-2</v>
          </cell>
          <cell r="AO434">
            <v>9455.4699999999993</v>
          </cell>
        </row>
        <row r="435">
          <cell r="A435" t="str">
            <v>[...]</v>
          </cell>
          <cell r="B435" t="str">
            <v>[...]</v>
          </cell>
          <cell r="E435">
            <v>0</v>
          </cell>
          <cell r="H435">
            <v>0</v>
          </cell>
          <cell r="K435">
            <v>0</v>
          </cell>
          <cell r="N435">
            <v>0</v>
          </cell>
          <cell r="Q435">
            <v>0</v>
          </cell>
          <cell r="T435">
            <v>0</v>
          </cell>
          <cell r="W435">
            <v>0</v>
          </cell>
          <cell r="Z435">
            <v>0</v>
          </cell>
          <cell r="AC435">
            <v>0</v>
          </cell>
          <cell r="AF435">
            <v>0</v>
          </cell>
          <cell r="AI435">
            <v>0</v>
          </cell>
          <cell r="AL435">
            <v>0</v>
          </cell>
          <cell r="AO435">
            <v>0</v>
          </cell>
        </row>
        <row r="436">
          <cell r="A436" t="str">
            <v>TOTAL PERSONNEL</v>
          </cell>
          <cell r="B436" t="str">
            <v>TOTAL PERSONNEL</v>
          </cell>
          <cell r="C436">
            <v>0.46251319970787586</v>
          </cell>
          <cell r="E436">
            <v>3449404.299999998</v>
          </cell>
          <cell r="F436">
            <v>0.56690032134333557</v>
          </cell>
          <cell r="H436">
            <v>293550.55</v>
          </cell>
          <cell r="I436">
            <v>0.59912298756913185</v>
          </cell>
          <cell r="K436">
            <v>249279.44999999972</v>
          </cell>
          <cell r="L436">
            <v>0.47068630500283642</v>
          </cell>
          <cell r="N436">
            <v>277058.62999999989</v>
          </cell>
          <cell r="O436">
            <v>0.49939753530079206</v>
          </cell>
          <cell r="Q436">
            <v>284337.55999999959</v>
          </cell>
          <cell r="R436">
            <v>0.43414529617005843</v>
          </cell>
          <cell r="T436">
            <v>310608.64000000001</v>
          </cell>
          <cell r="U436">
            <v>0.44755905766232634</v>
          </cell>
          <cell r="W436">
            <v>302513.88999999978</v>
          </cell>
          <cell r="X436">
            <v>0.44624591146390458</v>
          </cell>
          <cell r="Z436">
            <v>273273.40999999992</v>
          </cell>
          <cell r="AA436">
            <v>0.4113040009001338</v>
          </cell>
          <cell r="AC436">
            <v>267618.57999999978</v>
          </cell>
          <cell r="AD436">
            <v>0.47352655771829139</v>
          </cell>
          <cell r="AF436">
            <v>297513.26999999973</v>
          </cell>
          <cell r="AG436">
            <v>0.37299803345724092</v>
          </cell>
          <cell r="AI436">
            <v>276020.13</v>
          </cell>
          <cell r="AJ436">
            <v>0.3723268038631411</v>
          </cell>
          <cell r="AL436">
            <v>306416.36999999988</v>
          </cell>
          <cell r="AM436">
            <v>0.59803272496518434</v>
          </cell>
          <cell r="AO436">
            <v>311213.81999999989</v>
          </cell>
        </row>
        <row r="437">
          <cell r="A437" t="str">
            <v>Publicité 2</v>
          </cell>
          <cell r="B437" t="str">
            <v>Publicité 2</v>
          </cell>
          <cell r="E437">
            <v>178723.49</v>
          </cell>
          <cell r="H437">
            <v>14799.06</v>
          </cell>
          <cell r="K437">
            <v>15827.06</v>
          </cell>
          <cell r="N437">
            <v>12859.72</v>
          </cell>
          <cell r="Q437">
            <v>15120.34</v>
          </cell>
          <cell r="T437">
            <v>11795.04</v>
          </cell>
          <cell r="W437">
            <v>15432.61</v>
          </cell>
          <cell r="Z437">
            <v>18581.48</v>
          </cell>
          <cell r="AC437">
            <v>17430</v>
          </cell>
          <cell r="AF437">
            <v>13735.71</v>
          </cell>
          <cell r="AI437">
            <v>12394.18</v>
          </cell>
          <cell r="AL437">
            <v>15086.61</v>
          </cell>
          <cell r="AO437">
            <v>15661.68</v>
          </cell>
        </row>
        <row r="438">
          <cell r="A438" t="str">
            <v>Service gratuit 2</v>
          </cell>
          <cell r="B438" t="str">
            <v>Service gratuit 2</v>
          </cell>
          <cell r="E438">
            <v>87538.009999999791</v>
          </cell>
          <cell r="H438">
            <v>-149.41999999999999</v>
          </cell>
          <cell r="K438">
            <v>4219.9799999999996</v>
          </cell>
          <cell r="N438">
            <v>5030.17</v>
          </cell>
          <cell r="Q438">
            <v>6731.45</v>
          </cell>
          <cell r="T438">
            <v>8077.33</v>
          </cell>
          <cell r="W438">
            <v>11922.65</v>
          </cell>
          <cell r="Z438">
            <v>6040.7</v>
          </cell>
          <cell r="AC438">
            <v>8864.43</v>
          </cell>
          <cell r="AF438">
            <v>8763.49</v>
          </cell>
          <cell r="AI438">
            <v>12172.0899999999</v>
          </cell>
          <cell r="AL438">
            <v>14687.5199999999</v>
          </cell>
          <cell r="AO438">
            <v>1177.6199999999999</v>
          </cell>
        </row>
        <row r="439">
          <cell r="A439" t="str">
            <v>Frais véhicules de cie</v>
          </cell>
          <cell r="B439" t="str">
            <v>Frais véhicules de cie</v>
          </cell>
          <cell r="E439">
            <v>268729.72999999981</v>
          </cell>
          <cell r="H439">
            <v>21261.18</v>
          </cell>
          <cell r="K439">
            <v>17926.02</v>
          </cell>
          <cell r="N439">
            <v>20873.650000000001</v>
          </cell>
          <cell r="Q439">
            <v>21960.5</v>
          </cell>
          <cell r="T439">
            <v>25941.01</v>
          </cell>
          <cell r="W439">
            <v>22933.759999999998</v>
          </cell>
          <cell r="Z439">
            <v>24599.02</v>
          </cell>
          <cell r="AC439">
            <v>15114.1499999999</v>
          </cell>
          <cell r="AF439">
            <v>16360.879999999899</v>
          </cell>
          <cell r="AI439">
            <v>25983.25</v>
          </cell>
          <cell r="AL439">
            <v>26695.439999999999</v>
          </cell>
          <cell r="AO439">
            <v>29080.87</v>
          </cell>
        </row>
        <row r="440">
          <cell r="A440" t="str">
            <v>Informatique</v>
          </cell>
          <cell r="B440" t="str">
            <v>Informatique</v>
          </cell>
          <cell r="E440">
            <v>255651.73999999976</v>
          </cell>
          <cell r="H440">
            <v>17445.560000000001</v>
          </cell>
          <cell r="K440">
            <v>22222.57</v>
          </cell>
          <cell r="N440">
            <v>20092.71</v>
          </cell>
          <cell r="Q440">
            <v>19618.09</v>
          </cell>
          <cell r="T440">
            <v>24895.379999999899</v>
          </cell>
          <cell r="W440">
            <v>19595.53</v>
          </cell>
          <cell r="Z440">
            <v>21285.919999999998</v>
          </cell>
          <cell r="AC440">
            <v>19073.02</v>
          </cell>
          <cell r="AF440">
            <v>22041.62</v>
          </cell>
          <cell r="AI440">
            <v>26004.28</v>
          </cell>
          <cell r="AL440">
            <v>20657.539999999899</v>
          </cell>
          <cell r="AO440">
            <v>22719.52</v>
          </cell>
        </row>
        <row r="441">
          <cell r="A441" t="str">
            <v>Frais de déplacement</v>
          </cell>
          <cell r="B441" t="str">
            <v>Frais de déplacement</v>
          </cell>
          <cell r="E441">
            <v>59895.049999999981</v>
          </cell>
          <cell r="H441">
            <v>2699.72</v>
          </cell>
          <cell r="K441">
            <v>5985.0199999999904</v>
          </cell>
          <cell r="N441">
            <v>6548.53</v>
          </cell>
          <cell r="Q441">
            <v>4039.21</v>
          </cell>
          <cell r="T441">
            <v>9758.67</v>
          </cell>
          <cell r="W441">
            <v>3288.06</v>
          </cell>
          <cell r="Z441">
            <v>3781.2</v>
          </cell>
          <cell r="AC441">
            <v>4475.7199999999903</v>
          </cell>
          <cell r="AF441">
            <v>5159.8</v>
          </cell>
          <cell r="AI441">
            <v>5559.69</v>
          </cell>
          <cell r="AL441">
            <v>5182.58</v>
          </cell>
          <cell r="AO441">
            <v>3416.85</v>
          </cell>
        </row>
        <row r="442">
          <cell r="A442" t="str">
            <v>Services extérieurs</v>
          </cell>
          <cell r="B442" t="str">
            <v>Services extérieurs</v>
          </cell>
          <cell r="E442">
            <v>359526.27</v>
          </cell>
          <cell r="H442">
            <v>24007.23</v>
          </cell>
          <cell r="K442">
            <v>34713.53</v>
          </cell>
          <cell r="N442">
            <v>25879.79</v>
          </cell>
          <cell r="Q442">
            <v>26024.04</v>
          </cell>
          <cell r="T442">
            <v>28752.89</v>
          </cell>
          <cell r="W442">
            <v>28389.37</v>
          </cell>
          <cell r="Z442">
            <v>29314.46</v>
          </cell>
          <cell r="AC442">
            <v>22686.11</v>
          </cell>
          <cell r="AF442">
            <v>29126.33</v>
          </cell>
          <cell r="AI442">
            <v>37487.360000000001</v>
          </cell>
          <cell r="AL442">
            <v>40008.519999999997</v>
          </cell>
          <cell r="AO442">
            <v>33136.639999999999</v>
          </cell>
        </row>
        <row r="443">
          <cell r="B443" t="str">
            <v>Fournitures d'atelier</v>
          </cell>
          <cell r="E443">
            <v>0</v>
          </cell>
          <cell r="H443">
            <v>0</v>
          </cell>
          <cell r="K443">
            <v>0</v>
          </cell>
          <cell r="N443">
            <v>0</v>
          </cell>
          <cell r="Q443">
            <v>0</v>
          </cell>
          <cell r="T443">
            <v>0</v>
          </cell>
          <cell r="W443">
            <v>0</v>
          </cell>
          <cell r="Z443">
            <v>0</v>
          </cell>
          <cell r="AC443">
            <v>0</v>
          </cell>
          <cell r="AF443">
            <v>0</v>
          </cell>
          <cell r="AI443">
            <v>0</v>
          </cell>
          <cell r="AL443">
            <v>0</v>
          </cell>
          <cell r="AO443">
            <v>0</v>
          </cell>
        </row>
        <row r="444">
          <cell r="A444" t="str">
            <v>Fournitures autres</v>
          </cell>
          <cell r="B444" t="str">
            <v>Fournitures autres</v>
          </cell>
          <cell r="E444">
            <v>82813.749999999898</v>
          </cell>
          <cell r="H444">
            <v>3871.25</v>
          </cell>
          <cell r="K444">
            <v>2331.6</v>
          </cell>
          <cell r="N444">
            <v>2052.2799999999902</v>
          </cell>
          <cell r="Q444">
            <v>8832.08</v>
          </cell>
          <cell r="T444">
            <v>6209.67</v>
          </cell>
          <cell r="W444">
            <v>4394.93</v>
          </cell>
          <cell r="Z444">
            <v>9357.83</v>
          </cell>
          <cell r="AC444">
            <v>5655.76</v>
          </cell>
          <cell r="AF444">
            <v>11285.07</v>
          </cell>
          <cell r="AI444">
            <v>13486.72</v>
          </cell>
          <cell r="AL444">
            <v>11236.6799999999</v>
          </cell>
          <cell r="AO444">
            <v>4099.88</v>
          </cell>
        </row>
        <row r="445">
          <cell r="A445" t="str">
            <v>Uniformes</v>
          </cell>
          <cell r="B445" t="str">
            <v>Uniformes</v>
          </cell>
          <cell r="E445">
            <v>15522.959999999997</v>
          </cell>
          <cell r="H445">
            <v>5697.43</v>
          </cell>
          <cell r="K445">
            <v>860.45</v>
          </cell>
          <cell r="N445">
            <v>725.99</v>
          </cell>
          <cell r="Q445">
            <v>619.66999999999996</v>
          </cell>
          <cell r="T445">
            <v>822.42</v>
          </cell>
          <cell r="W445">
            <v>788.71</v>
          </cell>
          <cell r="Z445">
            <v>1535.27</v>
          </cell>
          <cell r="AC445">
            <v>460.85</v>
          </cell>
          <cell r="AF445">
            <v>608.80999999999995</v>
          </cell>
          <cell r="AI445">
            <v>679.32</v>
          </cell>
          <cell r="AL445">
            <v>1903.87</v>
          </cell>
          <cell r="AO445">
            <v>820.17</v>
          </cell>
        </row>
        <row r="446">
          <cell r="A446" t="str">
            <v>Papeterie</v>
          </cell>
          <cell r="B446" t="str">
            <v>Papeterie</v>
          </cell>
          <cell r="E446">
            <v>36129.239999999962</v>
          </cell>
          <cell r="H446">
            <v>1211.71</v>
          </cell>
          <cell r="K446">
            <v>2953.7799999999902</v>
          </cell>
          <cell r="N446">
            <v>3960.72999999999</v>
          </cell>
          <cell r="Q446">
            <v>2448.1899999999901</v>
          </cell>
          <cell r="T446">
            <v>1935.03</v>
          </cell>
          <cell r="W446">
            <v>3259.74</v>
          </cell>
          <cell r="Z446">
            <v>1499.48</v>
          </cell>
          <cell r="AC446">
            <v>3628.75</v>
          </cell>
          <cell r="AF446">
            <v>2665.1099999999901</v>
          </cell>
          <cell r="AI446">
            <v>2749</v>
          </cell>
          <cell r="AL446">
            <v>6455.48</v>
          </cell>
          <cell r="AO446">
            <v>3362.24</v>
          </cell>
        </row>
        <row r="447">
          <cell r="A447" t="str">
            <v>Téléphone</v>
          </cell>
          <cell r="B447" t="str">
            <v>Téléphone</v>
          </cell>
          <cell r="E447">
            <v>8574.5099999999984</v>
          </cell>
          <cell r="H447">
            <v>743.31999999999903</v>
          </cell>
          <cell r="K447">
            <v>661.94999999999902</v>
          </cell>
          <cell r="N447">
            <v>578.94999999999902</v>
          </cell>
          <cell r="Q447">
            <v>718.74</v>
          </cell>
          <cell r="T447">
            <v>823.79</v>
          </cell>
          <cell r="W447">
            <v>542.27</v>
          </cell>
          <cell r="Z447">
            <v>615.77</v>
          </cell>
          <cell r="AC447">
            <v>1235.51</v>
          </cell>
          <cell r="AF447">
            <v>668.71</v>
          </cell>
          <cell r="AI447">
            <v>672.4</v>
          </cell>
          <cell r="AL447">
            <v>654.80999999999995</v>
          </cell>
          <cell r="AO447">
            <v>658.29</v>
          </cell>
        </row>
        <row r="448">
          <cell r="A448" t="str">
            <v>Frais postaux</v>
          </cell>
          <cell r="B448" t="str">
            <v>Frais postaux</v>
          </cell>
          <cell r="E448">
            <v>3924.9499999999989</v>
          </cell>
          <cell r="H448">
            <v>310.39</v>
          </cell>
          <cell r="K448">
            <v>110.729999999999</v>
          </cell>
          <cell r="N448">
            <v>291.3</v>
          </cell>
          <cell r="Q448">
            <v>631</v>
          </cell>
          <cell r="T448">
            <v>148.27000000000001</v>
          </cell>
          <cell r="W448">
            <v>929.61</v>
          </cell>
          <cell r="Z448">
            <v>1374.07</v>
          </cell>
          <cell r="AC448">
            <v>96.37</v>
          </cell>
          <cell r="AF448">
            <v>224.46</v>
          </cell>
          <cell r="AI448">
            <v>439.88</v>
          </cell>
          <cell r="AL448">
            <v>-874.73999999999899</v>
          </cell>
          <cell r="AO448">
            <v>243.60999999999899</v>
          </cell>
        </row>
        <row r="449">
          <cell r="A449" t="str">
            <v>Divers</v>
          </cell>
          <cell r="B449" t="str">
            <v>Divers</v>
          </cell>
          <cell r="E449">
            <v>9171.7299999999886</v>
          </cell>
          <cell r="H449">
            <v>3559.5699999999902</v>
          </cell>
          <cell r="K449">
            <v>2257.0500000000002</v>
          </cell>
          <cell r="N449">
            <v>207.18</v>
          </cell>
          <cell r="Q449">
            <v>441.219999999999</v>
          </cell>
          <cell r="T449">
            <v>245.38</v>
          </cell>
          <cell r="W449">
            <v>347.95</v>
          </cell>
          <cell r="Z449">
            <v>270.76</v>
          </cell>
          <cell r="AC449">
            <v>352.19</v>
          </cell>
          <cell r="AF449">
            <v>749.64</v>
          </cell>
          <cell r="AI449">
            <v>375.01</v>
          </cell>
          <cell r="AL449">
            <v>71.3</v>
          </cell>
          <cell r="AO449">
            <v>294.48</v>
          </cell>
        </row>
        <row r="450">
          <cell r="A450" t="str">
            <v>Formation</v>
          </cell>
          <cell r="B450" t="str">
            <v>Formation</v>
          </cell>
          <cell r="E450">
            <v>102741.10999999987</v>
          </cell>
          <cell r="H450">
            <v>6520.72</v>
          </cell>
          <cell r="K450">
            <v>10407.59</v>
          </cell>
          <cell r="N450">
            <v>17051.86</v>
          </cell>
          <cell r="Q450">
            <v>11935.449999999901</v>
          </cell>
          <cell r="T450">
            <v>9031.02</v>
          </cell>
          <cell r="W450">
            <v>3572.32</v>
          </cell>
          <cell r="Z450">
            <v>5842.54</v>
          </cell>
          <cell r="AC450">
            <v>8172.67</v>
          </cell>
          <cell r="AF450">
            <v>8691.65</v>
          </cell>
          <cell r="AI450">
            <v>5853.87</v>
          </cell>
          <cell r="AL450">
            <v>11744.14</v>
          </cell>
          <cell r="AO450">
            <v>3917.2799999999902</v>
          </cell>
        </row>
        <row r="451">
          <cell r="A451" t="str">
            <v>Frais bancaires</v>
          </cell>
          <cell r="B451" t="str">
            <v>Frais bancaires</v>
          </cell>
          <cell r="E451">
            <v>93995.029999999897</v>
          </cell>
          <cell r="H451">
            <v>6981.61</v>
          </cell>
          <cell r="K451">
            <v>5518.71</v>
          </cell>
          <cell r="N451">
            <v>793.51</v>
          </cell>
          <cell r="Q451">
            <v>6723.6</v>
          </cell>
          <cell r="T451">
            <v>17196.879999999899</v>
          </cell>
          <cell r="W451">
            <v>7860.32</v>
          </cell>
          <cell r="Z451">
            <v>7569.85</v>
          </cell>
          <cell r="AC451">
            <v>5910.77</v>
          </cell>
          <cell r="AF451">
            <v>8007.9</v>
          </cell>
          <cell r="AI451">
            <v>8918.27</v>
          </cell>
          <cell r="AL451">
            <v>11388.47</v>
          </cell>
          <cell r="AO451">
            <v>7125.14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</row>
        <row r="454">
          <cell r="A454" t="str">
            <v>[...]</v>
          </cell>
          <cell r="B454" t="str">
            <v>[...]</v>
          </cell>
          <cell r="E454">
            <v>0</v>
          </cell>
        </row>
        <row r="455">
          <cell r="A455" t="str">
            <v>TOTAL SEMI-FIXES</v>
          </cell>
          <cell r="B455" t="str">
            <v>TOTAL SEMI-FIXES</v>
          </cell>
          <cell r="C455">
            <v>0.20956640439172411</v>
          </cell>
          <cell r="E455">
            <v>1562937.5699999987</v>
          </cell>
          <cell r="F455">
            <v>0.21042058749457138</v>
          </cell>
          <cell r="H455">
            <v>108959.33</v>
          </cell>
          <cell r="I455">
            <v>0.30282128714051604</v>
          </cell>
          <cell r="K455">
            <v>125996.03999999998</v>
          </cell>
          <cell r="L455">
            <v>0.19867655730050557</v>
          </cell>
          <cell r="N455">
            <v>116946.36999999998</v>
          </cell>
          <cell r="O455">
            <v>0.22102593018463018</v>
          </cell>
          <cell r="Q455">
            <v>125843.5799999999</v>
          </cell>
          <cell r="R455">
            <v>0.2035544999816131</v>
          </cell>
          <cell r="T455">
            <v>145632.7799999998</v>
          </cell>
          <cell r="U455">
            <v>0.18235578618986145</v>
          </cell>
          <cell r="W455">
            <v>123257.83000000002</v>
          </cell>
          <cell r="X455">
            <v>0.21500980595477043</v>
          </cell>
          <cell r="Z455">
            <v>131668.35</v>
          </cell>
          <cell r="AA455">
            <v>0.17391034253696361</v>
          </cell>
          <cell r="AC455">
            <v>113156.29999999989</v>
          </cell>
          <cell r="AD455">
            <v>0.20386864924162415</v>
          </cell>
          <cell r="AF455">
            <v>128089.17999999989</v>
          </cell>
          <cell r="AG455">
            <v>0.20645194943137171</v>
          </cell>
          <cell r="AI455">
            <v>152775.31999999989</v>
          </cell>
          <cell r="AJ455">
            <v>0.20036797386288796</v>
          </cell>
          <cell r="AL455">
            <v>164898.21999999971</v>
          </cell>
          <cell r="AM455">
            <v>0.24157425738712035</v>
          </cell>
          <cell r="AO455">
            <v>125714.26999999999</v>
          </cell>
        </row>
        <row r="456">
          <cell r="A456" t="str">
            <v>Loyer</v>
          </cell>
          <cell r="B456" t="str">
            <v>Loyer</v>
          </cell>
          <cell r="E456">
            <v>312000</v>
          </cell>
          <cell r="H456">
            <v>26000</v>
          </cell>
          <cell r="K456">
            <v>26000</v>
          </cell>
          <cell r="N456">
            <v>26000</v>
          </cell>
          <cell r="Q456">
            <v>26000</v>
          </cell>
          <cell r="T456">
            <v>26000</v>
          </cell>
          <cell r="W456">
            <v>26000</v>
          </cell>
          <cell r="Z456">
            <v>26000</v>
          </cell>
          <cell r="AC456">
            <v>26000</v>
          </cell>
          <cell r="AF456">
            <v>26000</v>
          </cell>
          <cell r="AI456">
            <v>26000</v>
          </cell>
          <cell r="AL456">
            <v>26000</v>
          </cell>
          <cell r="AO456">
            <v>26000</v>
          </cell>
        </row>
        <row r="457">
          <cell r="A457" t="str">
            <v>Taxes foncières</v>
          </cell>
          <cell r="B457" t="str">
            <v>Taxes foncières</v>
          </cell>
          <cell r="E457">
            <v>59826.75</v>
          </cell>
          <cell r="H457">
            <v>4930</v>
          </cell>
          <cell r="K457">
            <v>4930</v>
          </cell>
          <cell r="N457">
            <v>4930</v>
          </cell>
          <cell r="Q457">
            <v>4930</v>
          </cell>
          <cell r="T457">
            <v>5589</v>
          </cell>
          <cell r="W457">
            <v>4937.75</v>
          </cell>
          <cell r="Z457">
            <v>4930</v>
          </cell>
          <cell r="AC457">
            <v>4930</v>
          </cell>
          <cell r="AF457">
            <v>4930</v>
          </cell>
          <cell r="AI457">
            <v>4930</v>
          </cell>
          <cell r="AL457">
            <v>4930</v>
          </cell>
          <cell r="AO457">
            <v>4930</v>
          </cell>
        </row>
        <row r="458">
          <cell r="A458" t="str">
            <v>Taxes d`affaires</v>
          </cell>
          <cell r="B458" t="str">
            <v>Taxes d`affaires</v>
          </cell>
          <cell r="E458">
            <v>39984.999999999884</v>
          </cell>
          <cell r="H458">
            <v>3279.99999999999</v>
          </cell>
          <cell r="K458">
            <v>3904.99999999999</v>
          </cell>
          <cell r="N458">
            <v>3279.99999999999</v>
          </cell>
          <cell r="Q458">
            <v>3279.99999999999</v>
          </cell>
          <cell r="T458">
            <v>3279.99999999999</v>
          </cell>
          <cell r="W458">
            <v>3279.99999999999</v>
          </cell>
          <cell r="Z458">
            <v>3279.99999999999</v>
          </cell>
          <cell r="AC458">
            <v>3279.99999999999</v>
          </cell>
          <cell r="AF458">
            <v>3279.99999999999</v>
          </cell>
          <cell r="AI458">
            <v>3279.99999999999</v>
          </cell>
          <cell r="AL458">
            <v>3279.99999999999</v>
          </cell>
          <cell r="AO458">
            <v>3279.99999999999</v>
          </cell>
        </row>
        <row r="459">
          <cell r="A459" t="str">
            <v>Taxe sur le capital</v>
          </cell>
          <cell r="B459" t="str">
            <v>Taxe sur le capital</v>
          </cell>
          <cell r="E459">
            <v>0</v>
          </cell>
          <cell r="H459">
            <v>0</v>
          </cell>
          <cell r="K459">
            <v>0</v>
          </cell>
          <cell r="N459">
            <v>0</v>
          </cell>
          <cell r="Q459">
            <v>0</v>
          </cell>
          <cell r="T459">
            <v>0</v>
          </cell>
          <cell r="W459">
            <v>0</v>
          </cell>
          <cell r="Z459">
            <v>0</v>
          </cell>
          <cell r="AC459">
            <v>0</v>
          </cell>
          <cell r="AF459">
            <v>0</v>
          </cell>
          <cell r="AI459">
            <v>0</v>
          </cell>
          <cell r="AL459">
            <v>0</v>
          </cell>
          <cell r="AO459">
            <v>0</v>
          </cell>
        </row>
        <row r="460">
          <cell r="A460" t="str">
            <v>Assurances</v>
          </cell>
          <cell r="B460" t="str">
            <v>Assurances</v>
          </cell>
          <cell r="E460">
            <v>51252</v>
          </cell>
          <cell r="H460">
            <v>4271</v>
          </cell>
          <cell r="K460">
            <v>4271</v>
          </cell>
          <cell r="N460">
            <v>4271</v>
          </cell>
          <cell r="Q460">
            <v>4271</v>
          </cell>
          <cell r="T460">
            <v>4271</v>
          </cell>
          <cell r="W460">
            <v>4271</v>
          </cell>
          <cell r="Z460">
            <v>4271</v>
          </cell>
          <cell r="AC460">
            <v>4271</v>
          </cell>
          <cell r="AF460">
            <v>4271</v>
          </cell>
          <cell r="AI460">
            <v>4271</v>
          </cell>
          <cell r="AL460">
            <v>4271</v>
          </cell>
          <cell r="AO460">
            <v>4271</v>
          </cell>
        </row>
        <row r="461">
          <cell r="A461" t="str">
            <v>Chauffage, éclairage</v>
          </cell>
          <cell r="B461" t="str">
            <v>Chauffage, éclairage</v>
          </cell>
          <cell r="E461">
            <v>27353.499999999982</v>
          </cell>
          <cell r="H461">
            <v>3401.36</v>
          </cell>
          <cell r="K461">
            <v>1500</v>
          </cell>
          <cell r="N461">
            <v>5591.8899999999903</v>
          </cell>
          <cell r="Q461">
            <v>1478.46999999999</v>
          </cell>
          <cell r="T461">
            <v>4881.34</v>
          </cell>
          <cell r="W461">
            <v>-898.86</v>
          </cell>
          <cell r="Z461">
            <v>3629.42</v>
          </cell>
          <cell r="AC461">
            <v>1881.92</v>
          </cell>
          <cell r="AF461">
            <v>41.97</v>
          </cell>
          <cell r="AI461">
            <v>3137.5</v>
          </cell>
          <cell r="AL461">
            <v>137.27000000000001</v>
          </cell>
          <cell r="AO461">
            <v>2571.2199999999998</v>
          </cell>
        </row>
        <row r="462">
          <cell r="A462" t="str">
            <v>Honoraires</v>
          </cell>
          <cell r="B462" t="str">
            <v>Honoraires</v>
          </cell>
          <cell r="E462">
            <v>79580.73</v>
          </cell>
          <cell r="H462">
            <v>6550.12</v>
          </cell>
          <cell r="K462">
            <v>7270.12</v>
          </cell>
          <cell r="N462">
            <v>6550.12</v>
          </cell>
          <cell r="Q462">
            <v>6550.12</v>
          </cell>
          <cell r="T462">
            <v>6828.57</v>
          </cell>
          <cell r="W462">
            <v>6550.12</v>
          </cell>
          <cell r="Z462">
            <v>6550.12</v>
          </cell>
          <cell r="AC462">
            <v>6550.12</v>
          </cell>
          <cell r="AF462">
            <v>6550.12</v>
          </cell>
          <cell r="AI462">
            <v>6784.54</v>
          </cell>
          <cell r="AL462">
            <v>6296.54</v>
          </cell>
          <cell r="AO462">
            <v>6550.12</v>
          </cell>
        </row>
        <row r="463">
          <cell r="A463" t="str">
            <v>Réparation équipement</v>
          </cell>
          <cell r="B463" t="str">
            <v>Réparation équipement</v>
          </cell>
          <cell r="E463">
            <v>26007.289999999994</v>
          </cell>
          <cell r="H463">
            <v>4120.4399999999996</v>
          </cell>
          <cell r="K463">
            <v>0</v>
          </cell>
          <cell r="N463">
            <v>0</v>
          </cell>
          <cell r="Q463">
            <v>1935.3</v>
          </cell>
          <cell r="T463">
            <v>4533.54</v>
          </cell>
          <cell r="W463">
            <v>0</v>
          </cell>
          <cell r="Z463">
            <v>448.8</v>
          </cell>
          <cell r="AC463">
            <v>5794.15</v>
          </cell>
          <cell r="AF463">
            <v>480</v>
          </cell>
          <cell r="AI463">
            <v>3317.64</v>
          </cell>
          <cell r="AL463">
            <v>3263.48</v>
          </cell>
          <cell r="AO463">
            <v>2113.94</v>
          </cell>
        </row>
        <row r="464">
          <cell r="A464" t="str">
            <v>Location équipement</v>
          </cell>
          <cell r="B464" t="str">
            <v>Location équipement</v>
          </cell>
          <cell r="E464">
            <v>6895.5300000000007</v>
          </cell>
          <cell r="H464">
            <v>0</v>
          </cell>
          <cell r="K464">
            <v>0</v>
          </cell>
          <cell r="N464">
            <v>308.88</v>
          </cell>
          <cell r="Q464">
            <v>548.94000000000005</v>
          </cell>
          <cell r="T464">
            <v>1369.06</v>
          </cell>
          <cell r="W464">
            <v>0</v>
          </cell>
          <cell r="Z464">
            <v>561.12</v>
          </cell>
          <cell r="AC464">
            <v>1462.22</v>
          </cell>
          <cell r="AF464">
            <v>1060.92</v>
          </cell>
          <cell r="AI464">
            <v>515.29</v>
          </cell>
          <cell r="AL464">
            <v>515.29</v>
          </cell>
          <cell r="AO464">
            <v>553.80999999999995</v>
          </cell>
        </row>
        <row r="465">
          <cell r="A465" t="str">
            <v>Dons</v>
          </cell>
          <cell r="B465" t="str">
            <v>Dons</v>
          </cell>
          <cell r="E465">
            <v>0</v>
          </cell>
          <cell r="H465">
            <v>0</v>
          </cell>
          <cell r="K465">
            <v>0</v>
          </cell>
          <cell r="N465">
            <v>0</v>
          </cell>
          <cell r="Q465">
            <v>0</v>
          </cell>
          <cell r="T465">
            <v>0</v>
          </cell>
          <cell r="W465">
            <v>0</v>
          </cell>
          <cell r="Z465">
            <v>0</v>
          </cell>
          <cell r="AC465">
            <v>0</v>
          </cell>
          <cell r="AF465">
            <v>0</v>
          </cell>
          <cell r="AI465">
            <v>0</v>
          </cell>
          <cell r="AL465">
            <v>0</v>
          </cell>
          <cell r="AO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[...]</v>
          </cell>
          <cell r="B468" t="str">
            <v>[...]</v>
          </cell>
          <cell r="E468">
            <v>0</v>
          </cell>
        </row>
        <row r="469">
          <cell r="A469" t="str">
            <v>TOTAL DÉPENSES FIXES</v>
          </cell>
          <cell r="B469" t="str">
            <v>TOTAL DÉPENSES FIXES</v>
          </cell>
          <cell r="C469">
            <v>8.0839923030895003E-2</v>
          </cell>
          <cell r="E469">
            <v>602900.79999999993</v>
          </cell>
          <cell r="F469">
            <v>0.10148939334479397</v>
          </cell>
          <cell r="H469">
            <v>52552.92</v>
          </cell>
          <cell r="I469">
            <v>0.11506638051238598</v>
          </cell>
          <cell r="K469">
            <v>47876.119999999995</v>
          </cell>
          <cell r="L469">
            <v>8.6526606700216904E-2</v>
          </cell>
          <cell r="N469">
            <v>50931.889999999985</v>
          </cell>
          <cell r="O469">
            <v>8.6050530738696757E-2</v>
          </cell>
          <cell r="Q469">
            <v>48993.829999999987</v>
          </cell>
          <cell r="R469">
            <v>7.9324371860178128E-2</v>
          </cell>
          <cell r="T469">
            <v>56752.509999999995</v>
          </cell>
          <cell r="U469">
            <v>6.5303650291250001E-2</v>
          </cell>
          <cell r="W469">
            <v>44140.009999999995</v>
          </cell>
          <cell r="X469">
            <v>8.1110122260088971E-2</v>
          </cell>
          <cell r="Z469">
            <v>49670.46</v>
          </cell>
          <cell r="AA469">
            <v>8.3253169714149644E-2</v>
          </cell>
          <cell r="AC469">
            <v>54169.409999999996</v>
          </cell>
          <cell r="AD469">
            <v>7.4191553528842699E-2</v>
          </cell>
          <cell r="AF469">
            <v>46614.009999999995</v>
          </cell>
          <cell r="AG469">
            <v>7.0588743240326102E-2</v>
          </cell>
          <cell r="AI469">
            <v>52235.969999999994</v>
          </cell>
          <cell r="AJ469">
            <v>5.9167612389815119E-2</v>
          </cell>
          <cell r="AL469">
            <v>48693.579999999994</v>
          </cell>
          <cell r="AM469">
            <v>9.6599691192843146E-2</v>
          </cell>
          <cell r="AO469">
            <v>50270.09</v>
          </cell>
        </row>
        <row r="470">
          <cell r="A470">
            <v>0</v>
          </cell>
          <cell r="E470">
            <v>412768.32999999961</v>
          </cell>
          <cell r="H470">
            <v>31595.71999999999</v>
          </cell>
          <cell r="K470">
            <v>31086.879999999976</v>
          </cell>
          <cell r="N470">
            <v>32210.329999999976</v>
          </cell>
          <cell r="Q470">
            <v>36389.159999999887</v>
          </cell>
          <cell r="T470">
            <v>46171.129999999903</v>
          </cell>
          <cell r="W470">
            <v>24983.910000000003</v>
          </cell>
          <cell r="Z470">
            <v>31846.77</v>
          </cell>
          <cell r="AC470">
            <v>29988.589999999993</v>
          </cell>
          <cell r="AF470">
            <v>38061.149999999994</v>
          </cell>
          <cell r="AI470">
            <v>38734.160000000003</v>
          </cell>
          <cell r="AL470">
            <v>47762.589999999902</v>
          </cell>
          <cell r="AO470">
            <v>23937.939999999988</v>
          </cell>
        </row>
        <row r="471">
          <cell r="A471" t="str">
            <v>TOTAL DES DÉPENSES</v>
          </cell>
          <cell r="B471" t="str">
            <v>TOTAL DES DÉPENSES</v>
          </cell>
          <cell r="C471">
            <v>0.96483904594906367</v>
          </cell>
          <cell r="E471">
            <v>7195729.6699999962</v>
          </cell>
          <cell r="F471">
            <v>1.0514681184489036</v>
          </cell>
          <cell r="H471">
            <v>544467.93000000005</v>
          </cell>
          <cell r="I471">
            <v>1.2550454255820702</v>
          </cell>
          <cell r="K471">
            <v>522191.66999999969</v>
          </cell>
          <cell r="L471">
            <v>0.99561946640157162</v>
          </cell>
          <cell r="N471">
            <v>586048.41999999993</v>
          </cell>
          <cell r="O471">
            <v>1.0090147174773918</v>
          </cell>
          <cell r="Q471">
            <v>574493.78999999946</v>
          </cell>
          <cell r="R471">
            <v>0.9272134004764776</v>
          </cell>
          <cell r="T471">
            <v>663373.51999999979</v>
          </cell>
          <cell r="U471">
            <v>0.90930718686629464</v>
          </cell>
          <cell r="W471">
            <v>614618.44999999972</v>
          </cell>
          <cell r="X471">
            <v>0.96731316839298398</v>
          </cell>
          <cell r="Z471">
            <v>592366.1399999999</v>
          </cell>
          <cell r="AA471">
            <v>0.88551196638643948</v>
          </cell>
          <cell r="AC471">
            <v>576166.17999999959</v>
          </cell>
          <cell r="AD471">
            <v>0.94424724158810847</v>
          </cell>
          <cell r="AF471">
            <v>593263.62999999966</v>
          </cell>
          <cell r="AG471">
            <v>0.85261073838427404</v>
          </cell>
          <cell r="AI471">
            <v>630935.56999999983</v>
          </cell>
          <cell r="AJ471">
            <v>0.82424752781344657</v>
          </cell>
          <cell r="AL471">
            <v>678336.6999999996</v>
          </cell>
          <cell r="AM471">
            <v>1.1903775311711209</v>
          </cell>
          <cell r="AO471">
            <v>619467.66999999981</v>
          </cell>
        </row>
        <row r="472">
          <cell r="A472" t="str">
            <v>Revenus autres</v>
          </cell>
          <cell r="B472" t="str">
            <v>Revenus autres</v>
          </cell>
          <cell r="E472">
            <v>507447.12000000005</v>
          </cell>
          <cell r="H472">
            <v>34076.78</v>
          </cell>
          <cell r="K472">
            <v>49402.39</v>
          </cell>
          <cell r="N472">
            <v>18031.02</v>
          </cell>
          <cell r="Q472">
            <v>130416.22</v>
          </cell>
          <cell r="T472">
            <v>12636.76</v>
          </cell>
          <cell r="W472">
            <v>46212.49</v>
          </cell>
          <cell r="Z472">
            <v>58975.7</v>
          </cell>
          <cell r="AC472">
            <v>20948.240000000002</v>
          </cell>
          <cell r="AF472">
            <v>47782.21</v>
          </cell>
          <cell r="AI472">
            <v>18795.23</v>
          </cell>
          <cell r="AL472">
            <v>780.32</v>
          </cell>
          <cell r="AO472">
            <v>69389.759999999995</v>
          </cell>
        </row>
        <row r="473">
          <cell r="A473" t="str">
            <v>Holdbacks</v>
          </cell>
          <cell r="B473" t="str">
            <v>Holdbacks</v>
          </cell>
          <cell r="E473">
            <v>679516.07</v>
          </cell>
          <cell r="H473">
            <v>49875</v>
          </cell>
          <cell r="K473">
            <v>15765</v>
          </cell>
          <cell r="N473">
            <v>49529.35</v>
          </cell>
          <cell r="Q473">
            <v>39086.080000000002</v>
          </cell>
          <cell r="T473">
            <v>67424.75</v>
          </cell>
          <cell r="W473">
            <v>63469.55</v>
          </cell>
          <cell r="Z473">
            <v>42698.55</v>
          </cell>
          <cell r="AC473">
            <v>59882.85</v>
          </cell>
          <cell r="AF473">
            <v>58938</v>
          </cell>
          <cell r="AI473">
            <v>77258.09</v>
          </cell>
          <cell r="AL473">
            <v>100428</v>
          </cell>
          <cell r="AO473">
            <v>55160.85</v>
          </cell>
        </row>
        <row r="474">
          <cell r="A474" t="str">
            <v>RIMS</v>
          </cell>
          <cell r="B474" t="str">
            <v>RIMS</v>
          </cell>
          <cell r="E474">
            <v>31556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31556</v>
          </cell>
        </row>
        <row r="475">
          <cell r="A475" t="str">
            <v>Subsidies</v>
          </cell>
          <cell r="B475" t="str">
            <v>Subsidies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neuf 3</v>
          </cell>
          <cell r="B476" t="str">
            <v>Programme neuf 3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Garantie Nationale</v>
          </cell>
          <cell r="B477" t="str">
            <v>Garantie Nationale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2</v>
          </cell>
          <cell r="B478" t="str">
            <v>Programme used 2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Programme used 3</v>
          </cell>
          <cell r="B479" t="str">
            <v>Programme used 3</v>
          </cell>
          <cell r="E479">
            <v>0</v>
          </cell>
          <cell r="H479">
            <v>0</v>
          </cell>
          <cell r="K479">
            <v>0</v>
          </cell>
          <cell r="N479">
            <v>0</v>
          </cell>
          <cell r="Q479">
            <v>0</v>
          </cell>
          <cell r="T479">
            <v>0</v>
          </cell>
          <cell r="W479">
            <v>0</v>
          </cell>
          <cell r="Z479">
            <v>0</v>
          </cell>
          <cell r="AC479">
            <v>0</v>
          </cell>
          <cell r="AF479">
            <v>0</v>
          </cell>
          <cell r="AI479">
            <v>0</v>
          </cell>
          <cell r="AL479">
            <v>0</v>
          </cell>
          <cell r="AO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  <cell r="H480">
            <v>0</v>
          </cell>
          <cell r="K480">
            <v>0</v>
          </cell>
          <cell r="N480">
            <v>0</v>
          </cell>
          <cell r="Q480">
            <v>0</v>
          </cell>
          <cell r="T480">
            <v>0</v>
          </cell>
          <cell r="W480">
            <v>0</v>
          </cell>
          <cell r="Z480">
            <v>0</v>
          </cell>
          <cell r="AC480">
            <v>0</v>
          </cell>
          <cell r="AF480">
            <v>0</v>
          </cell>
          <cell r="AI480">
            <v>0</v>
          </cell>
          <cell r="AL480">
            <v>0</v>
          </cell>
          <cell r="AO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  <cell r="H481">
            <v>0</v>
          </cell>
          <cell r="K481">
            <v>0</v>
          </cell>
          <cell r="N481">
            <v>0</v>
          </cell>
          <cell r="Q481">
            <v>0</v>
          </cell>
          <cell r="T481">
            <v>0</v>
          </cell>
          <cell r="W481">
            <v>0</v>
          </cell>
          <cell r="Z481">
            <v>0</v>
          </cell>
          <cell r="AC481">
            <v>0</v>
          </cell>
          <cell r="AF481">
            <v>0</v>
          </cell>
          <cell r="AI481">
            <v>0</v>
          </cell>
          <cell r="AL481">
            <v>0</v>
          </cell>
          <cell r="AO481">
            <v>0</v>
          </cell>
        </row>
        <row r="482">
          <cell r="A482" t="str">
            <v>[...]</v>
          </cell>
          <cell r="B482" t="str">
            <v>[...]</v>
          </cell>
          <cell r="E482">
            <v>0</v>
          </cell>
          <cell r="H482">
            <v>0</v>
          </cell>
          <cell r="K482">
            <v>0</v>
          </cell>
          <cell r="N482">
            <v>0</v>
          </cell>
          <cell r="Q482">
            <v>0</v>
          </cell>
          <cell r="T482">
            <v>0</v>
          </cell>
          <cell r="W482">
            <v>0</v>
          </cell>
          <cell r="Z482">
            <v>0</v>
          </cell>
          <cell r="AC482">
            <v>0</v>
          </cell>
          <cell r="AF482">
            <v>0</v>
          </cell>
          <cell r="AI482">
            <v>0</v>
          </cell>
          <cell r="AL482">
            <v>0</v>
          </cell>
          <cell r="AO482">
            <v>0</v>
          </cell>
        </row>
        <row r="483">
          <cell r="A483" t="str">
            <v>Frais administration</v>
          </cell>
          <cell r="B483" t="str">
            <v>Frais administration</v>
          </cell>
          <cell r="E483">
            <v>399858.9</v>
          </cell>
          <cell r="H483">
            <v>27306</v>
          </cell>
          <cell r="K483">
            <v>18119</v>
          </cell>
          <cell r="N483">
            <v>29520</v>
          </cell>
          <cell r="Q483">
            <v>20244</v>
          </cell>
          <cell r="T483">
            <v>32220</v>
          </cell>
          <cell r="W483">
            <v>34938</v>
          </cell>
          <cell r="Z483">
            <v>33906</v>
          </cell>
          <cell r="AC483">
            <v>43757</v>
          </cell>
          <cell r="AF483">
            <v>40734</v>
          </cell>
          <cell r="AI483">
            <v>39298</v>
          </cell>
          <cell r="AL483">
            <v>49621.9</v>
          </cell>
          <cell r="AO483">
            <v>30195</v>
          </cell>
        </row>
        <row r="484">
          <cell r="A484" t="str">
            <v>TOTAL AUTRES REVENUS</v>
          </cell>
          <cell r="B484" t="str">
            <v>TOTAL AUTRES REVENUS</v>
          </cell>
          <cell r="C484">
            <v>0.21700014368945417</v>
          </cell>
          <cell r="E484">
            <v>1618378.0899999999</v>
          </cell>
          <cell r="F484">
            <v>0.21485931889395588</v>
          </cell>
          <cell r="H484">
            <v>111257.78</v>
          </cell>
          <cell r="I484">
            <v>0.2001720992269837</v>
          </cell>
          <cell r="K484">
            <v>83286.39</v>
          </cell>
          <cell r="L484">
            <v>0.16492682665617825</v>
          </cell>
          <cell r="N484">
            <v>97080.37</v>
          </cell>
          <cell r="O484">
            <v>0.33326175603548408</v>
          </cell>
          <cell r="Q484">
            <v>189746.3</v>
          </cell>
          <cell r="R484">
            <v>0.15693861385623842</v>
          </cell>
          <cell r="T484">
            <v>112281.51</v>
          </cell>
          <cell r="U484">
            <v>0.21396045259769061</v>
          </cell>
          <cell r="W484">
            <v>144620.04</v>
          </cell>
          <cell r="X484">
            <v>0.2213978017025296</v>
          </cell>
          <cell r="Z484">
            <v>135580.25</v>
          </cell>
          <cell r="AA484">
            <v>0.19147990353101041</v>
          </cell>
          <cell r="AC484">
            <v>124588.09</v>
          </cell>
          <cell r="AD484">
            <v>0.2346903198044582</v>
          </cell>
          <cell r="AF484">
            <v>147454.21</v>
          </cell>
          <cell r="AG484">
            <v>0.1829061387147442</v>
          </cell>
          <cell r="AI484">
            <v>135351.32</v>
          </cell>
          <cell r="AJ484">
            <v>0.18327393454394894</v>
          </cell>
          <cell r="AL484">
            <v>150830.22</v>
          </cell>
          <cell r="AM484">
            <v>0.35799971702317418</v>
          </cell>
          <cell r="AO484">
            <v>186301.61</v>
          </cell>
        </row>
        <row r="485">
          <cell r="A485">
            <v>0</v>
          </cell>
          <cell r="E485">
            <v>211320.06999999986</v>
          </cell>
          <cell r="H485">
            <v>20002.799999999988</v>
          </cell>
          <cell r="K485">
            <v>14605.999999999989</v>
          </cell>
          <cell r="N485">
            <v>18381.769999999979</v>
          </cell>
          <cell r="Q485">
            <v>16443.709999999981</v>
          </cell>
          <cell r="T485">
            <v>23923.939999999991</v>
          </cell>
          <cell r="W485">
            <v>11589.88999999999</v>
          </cell>
          <cell r="Z485">
            <v>17120.339999999989</v>
          </cell>
          <cell r="AC485">
            <v>21619.28999999999</v>
          </cell>
          <cell r="AF485">
            <v>14063.88999999999</v>
          </cell>
          <cell r="AI485">
            <v>19451.429999999989</v>
          </cell>
          <cell r="AL485">
            <v>16397.03999999999</v>
          </cell>
          <cell r="AO485">
            <v>17719.96999999999</v>
          </cell>
        </row>
        <row r="486">
          <cell r="A486" t="str">
            <v>BAIIA OPÉRATIONNEL</v>
          </cell>
          <cell r="B486" t="str">
            <v>BAIIA OPÉRATIONNEL</v>
          </cell>
          <cell r="C486" t="str">
            <v>%vte</v>
          </cell>
          <cell r="D486">
            <v>2.5729601404658988E-2</v>
          </cell>
          <cell r="E486">
            <v>1880607.0299999947</v>
          </cell>
          <cell r="F486" t="str">
            <v>%vte</v>
          </cell>
          <cell r="G486">
            <v>2.1156016983481556E-2</v>
          </cell>
          <cell r="H486">
            <v>84606.719999999536</v>
          </cell>
          <cell r="I486" t="str">
            <v>%vte</v>
          </cell>
          <cell r="J486">
            <v>-6.6386658238457826E-3</v>
          </cell>
          <cell r="K486">
            <v>-22831.360000000117</v>
          </cell>
          <cell r="L486" t="str">
            <v>%vte</v>
          </cell>
          <cell r="M486">
            <v>2.1404234382881339E-2</v>
          </cell>
          <cell r="N486">
            <v>99658.869999999413</v>
          </cell>
          <cell r="O486" t="str">
            <v>%vte</v>
          </cell>
          <cell r="P486">
            <v>5.807810945553319E-2</v>
          </cell>
          <cell r="Q486">
            <v>184613.66999999987</v>
          </cell>
          <cell r="R486" t="str">
            <v>%vte</v>
          </cell>
          <cell r="S486">
            <v>3.164197490106916E-2</v>
          </cell>
          <cell r="T486">
            <v>164356.57999999868</v>
          </cell>
          <cell r="U486" t="str">
            <v>%vte</v>
          </cell>
          <cell r="V486">
            <v>3.7297857634574071E-2</v>
          </cell>
          <cell r="W486">
            <v>205921.07999999935</v>
          </cell>
          <cell r="X486" t="str">
            <v>%vte</v>
          </cell>
          <cell r="Y486">
            <v>3.3448077057872894E-2</v>
          </cell>
          <cell r="Z486">
            <v>155597.10999999929</v>
          </cell>
          <cell r="AA486" t="str">
            <v>%vte</v>
          </cell>
          <cell r="AB486">
            <v>3.7447641448976658E-2</v>
          </cell>
          <cell r="AC486">
            <v>199080.7399999999</v>
          </cell>
          <cell r="AD486" t="str">
            <v>%vte</v>
          </cell>
          <cell r="AE486">
            <v>3.9905801248578739E-2</v>
          </cell>
          <cell r="AF486">
            <v>182483.25999999981</v>
          </cell>
          <cell r="AG486" t="str">
            <v>%vte</v>
          </cell>
          <cell r="AH486">
            <v>2.3031411601125099E-2</v>
          </cell>
          <cell r="AI486">
            <v>244419.99999999889</v>
          </cell>
          <cell r="AJ486" t="str">
            <v>%vte</v>
          </cell>
          <cell r="AK486">
            <v>2.3953705022798043E-2</v>
          </cell>
          <cell r="AL486">
            <v>295470.45000000007</v>
          </cell>
          <cell r="AM486" t="str">
            <v>%vte</v>
          </cell>
          <cell r="AN486">
            <v>9.0728956966248629E-3</v>
          </cell>
          <cell r="AO486">
            <v>87229.909999999451</v>
          </cell>
        </row>
        <row r="488">
          <cell r="B488" t="str">
            <v>Réel 2023</v>
          </cell>
          <cell r="C488" t="str">
            <v>CALCUL DU PROFIT NET</v>
          </cell>
        </row>
        <row r="492">
          <cell r="B492" t="str">
            <v>BAIIA OPÉRATIONNEL</v>
          </cell>
          <cell r="C492" t="str">
            <v>%vte</v>
          </cell>
          <cell r="D492">
            <v>2.5729601404658988E-2</v>
          </cell>
          <cell r="E492">
            <v>1880607.0299999947</v>
          </cell>
          <cell r="F492" t="str">
            <v>%vte</v>
          </cell>
          <cell r="G492">
            <v>2.1156016983481556E-2</v>
          </cell>
          <cell r="H492">
            <v>84606.719999999536</v>
          </cell>
          <cell r="I492" t="str">
            <v>%vte</v>
          </cell>
          <cell r="J492">
            <v>-6.6386658238457826E-3</v>
          </cell>
          <cell r="K492">
            <v>-22831.360000000117</v>
          </cell>
          <cell r="L492" t="str">
            <v>%vte</v>
          </cell>
          <cell r="M492">
            <v>2.1404234382881339E-2</v>
          </cell>
          <cell r="N492">
            <v>99658.869999999413</v>
          </cell>
          <cell r="O492" t="str">
            <v>%vte</v>
          </cell>
          <cell r="P492">
            <v>5.807810945553319E-2</v>
          </cell>
          <cell r="Q492">
            <v>184613.66999999987</v>
          </cell>
          <cell r="R492" t="str">
            <v>%vte</v>
          </cell>
          <cell r="S492">
            <v>3.164197490106916E-2</v>
          </cell>
          <cell r="T492">
            <v>164356.57999999868</v>
          </cell>
          <cell r="U492" t="str">
            <v>%vte</v>
          </cell>
          <cell r="V492">
            <v>3.7297857634574071E-2</v>
          </cell>
          <cell r="W492">
            <v>205921.07999999935</v>
          </cell>
          <cell r="X492" t="str">
            <v>%vte</v>
          </cell>
          <cell r="Y492">
            <v>3.3448077057872894E-2</v>
          </cell>
          <cell r="Z492">
            <v>155597.10999999929</v>
          </cell>
          <cell r="AA492" t="str">
            <v>%vte</v>
          </cell>
          <cell r="AB492">
            <v>3.7447641448976658E-2</v>
          </cell>
          <cell r="AC492">
            <v>199080.7399999999</v>
          </cell>
          <cell r="AD492" t="str">
            <v>%vte</v>
          </cell>
          <cell r="AE492">
            <v>3.9905801248578739E-2</v>
          </cell>
          <cell r="AF492">
            <v>182483.25999999981</v>
          </cell>
          <cell r="AG492" t="str">
            <v>%vte</v>
          </cell>
          <cell r="AH492">
            <v>2.3031411601125099E-2</v>
          </cell>
          <cell r="AI492">
            <v>244419.99999999889</v>
          </cell>
          <cell r="AJ492" t="str">
            <v>%vte</v>
          </cell>
          <cell r="AK492">
            <v>2.3953705022798043E-2</v>
          </cell>
          <cell r="AL492">
            <v>295470.45000000007</v>
          </cell>
          <cell r="AM492" t="str">
            <v>%vte</v>
          </cell>
          <cell r="AN492">
            <v>9.0728956966248629E-3</v>
          </cell>
          <cell r="AO492">
            <v>87229.909999999451</v>
          </cell>
        </row>
        <row r="494">
          <cell r="A494" t="str">
            <v>Amortissement</v>
          </cell>
          <cell r="B494" t="str">
            <v>Amortissement</v>
          </cell>
          <cell r="E494">
            <v>51774</v>
          </cell>
          <cell r="H494">
            <v>4314.5</v>
          </cell>
          <cell r="K494">
            <v>4314.5</v>
          </cell>
          <cell r="N494">
            <v>4314.5</v>
          </cell>
          <cell r="Q494">
            <v>4314.5</v>
          </cell>
          <cell r="T494">
            <v>4314.5</v>
          </cell>
          <cell r="W494">
            <v>4314.5</v>
          </cell>
          <cell r="Z494">
            <v>4314.5</v>
          </cell>
          <cell r="AC494">
            <v>4314.5</v>
          </cell>
          <cell r="AF494">
            <v>4314.5</v>
          </cell>
          <cell r="AI494">
            <v>4314.5</v>
          </cell>
          <cell r="AL494">
            <v>4314.5</v>
          </cell>
          <cell r="AO494">
            <v>4314.5</v>
          </cell>
        </row>
        <row r="495">
          <cell r="A495" t="str">
            <v>Intérêts sur marge</v>
          </cell>
          <cell r="B495" t="str">
            <v>Intérêts sur marge</v>
          </cell>
          <cell r="E495">
            <v>0</v>
          </cell>
          <cell r="H495">
            <v>0</v>
          </cell>
          <cell r="K495">
            <v>0</v>
          </cell>
          <cell r="N495">
            <v>0</v>
          </cell>
          <cell r="Q495">
            <v>0</v>
          </cell>
          <cell r="T495">
            <v>0</v>
          </cell>
          <cell r="W495">
            <v>0</v>
          </cell>
          <cell r="Z495">
            <v>0</v>
          </cell>
          <cell r="AC495">
            <v>0</v>
          </cell>
          <cell r="AF495">
            <v>0</v>
          </cell>
          <cell r="AI495">
            <v>0</v>
          </cell>
          <cell r="AL495">
            <v>0</v>
          </cell>
          <cell r="AO495">
            <v>0</v>
          </cell>
        </row>
        <row r="496">
          <cell r="A496" t="str">
            <v>Intérêts sur prêt</v>
          </cell>
          <cell r="B496" t="str">
            <v>Intérêts sur prêt</v>
          </cell>
          <cell r="E496">
            <v>-2098.77</v>
          </cell>
          <cell r="H496">
            <v>0</v>
          </cell>
          <cell r="K496">
            <v>0</v>
          </cell>
          <cell r="N496">
            <v>0</v>
          </cell>
          <cell r="Q496">
            <v>0</v>
          </cell>
          <cell r="T496">
            <v>0</v>
          </cell>
          <cell r="W496">
            <v>0</v>
          </cell>
          <cell r="Z496">
            <v>0</v>
          </cell>
          <cell r="AC496">
            <v>0</v>
          </cell>
          <cell r="AF496">
            <v>0</v>
          </cell>
          <cell r="AI496">
            <v>0</v>
          </cell>
          <cell r="AL496">
            <v>0</v>
          </cell>
          <cell r="AO496">
            <v>-2098.77</v>
          </cell>
        </row>
        <row r="497">
          <cell r="A497" t="str">
            <v>Intérêts sur avance</v>
          </cell>
          <cell r="B497" t="str">
            <v>Intérêts sur avance</v>
          </cell>
          <cell r="E497">
            <v>0</v>
          </cell>
          <cell r="H497">
            <v>0</v>
          </cell>
          <cell r="K497">
            <v>0</v>
          </cell>
          <cell r="N497">
            <v>0</v>
          </cell>
          <cell r="Q497">
            <v>0</v>
          </cell>
          <cell r="T497">
            <v>0</v>
          </cell>
          <cell r="W497">
            <v>0</v>
          </cell>
          <cell r="Z497">
            <v>0</v>
          </cell>
          <cell r="AC497">
            <v>0</v>
          </cell>
          <cell r="AF497">
            <v>0</v>
          </cell>
          <cell r="AI497">
            <v>0</v>
          </cell>
          <cell r="AL497">
            <v>0</v>
          </cell>
          <cell r="AO497">
            <v>0</v>
          </cell>
        </row>
        <row r="498">
          <cell r="A498" t="str">
            <v>[...]</v>
          </cell>
          <cell r="B498" t="str">
            <v>[...]</v>
          </cell>
          <cell r="E498">
            <v>0</v>
          </cell>
          <cell r="H498">
            <v>0</v>
          </cell>
          <cell r="K498">
            <v>0</v>
          </cell>
          <cell r="N498">
            <v>0</v>
          </cell>
          <cell r="Q498">
            <v>0</v>
          </cell>
          <cell r="T498">
            <v>0</v>
          </cell>
          <cell r="W498">
            <v>0</v>
          </cell>
          <cell r="Z498">
            <v>0</v>
          </cell>
          <cell r="AC498">
            <v>0</v>
          </cell>
          <cell r="AF498">
            <v>0</v>
          </cell>
          <cell r="AI498">
            <v>0</v>
          </cell>
          <cell r="AL498">
            <v>0</v>
          </cell>
          <cell r="AO498">
            <v>0</v>
          </cell>
        </row>
        <row r="499">
          <cell r="A499" t="str">
            <v>Revenus d'intérêts floor plan</v>
          </cell>
          <cell r="B499" t="str">
            <v>Revenus d'intérêts floor plan</v>
          </cell>
        </row>
        <row r="500">
          <cell r="A500" t="str">
            <v>[...]</v>
          </cell>
          <cell r="B500" t="str">
            <v>[...]</v>
          </cell>
        </row>
        <row r="501">
          <cell r="B501" t="str">
            <v>Profit Net</v>
          </cell>
          <cell r="C501" t="str">
            <v>%vte</v>
          </cell>
          <cell r="D501">
            <v>2.5049967729363857E-2</v>
          </cell>
          <cell r="E501">
            <v>1830931.7999999947</v>
          </cell>
          <cell r="F501" t="str">
            <v>%vte</v>
          </cell>
          <cell r="G501">
            <v>2.0077170820018045E-2</v>
          </cell>
          <cell r="H501">
            <v>80292.219999999536</v>
          </cell>
          <cell r="I501" t="str">
            <v>%vte</v>
          </cell>
          <cell r="J501">
            <v>-7.8931913403714072E-3</v>
          </cell>
          <cell r="K501">
            <v>-27145.860000000117</v>
          </cell>
          <cell r="L501" t="str">
            <v>%vte</v>
          </cell>
          <cell r="M501">
            <v>2.047758762033083E-2</v>
          </cell>
          <cell r="N501">
            <v>95344.369999999413</v>
          </cell>
          <cell r="O501" t="str">
            <v>%vte</v>
          </cell>
          <cell r="P501">
            <v>5.6720799331933469E-2</v>
          </cell>
          <cell r="Q501">
            <v>180299.16999999987</v>
          </cell>
          <cell r="R501" t="str">
            <v>%vte</v>
          </cell>
          <cell r="S501">
            <v>3.0811346150393867E-2</v>
          </cell>
          <cell r="T501">
            <v>160042.07999999868</v>
          </cell>
          <cell r="U501" t="str">
            <v>%vte</v>
          </cell>
          <cell r="V501">
            <v>3.6516385398878873E-2</v>
          </cell>
          <cell r="W501">
            <v>201606.57999999935</v>
          </cell>
          <cell r="X501" t="str">
            <v>%vte</v>
          </cell>
          <cell r="Y501">
            <v>3.2520606563940235E-2</v>
          </cell>
          <cell r="Z501">
            <v>151282.60999999929</v>
          </cell>
          <cell r="AA501" t="str">
            <v>%vte</v>
          </cell>
          <cell r="AB501">
            <v>3.663607198710099E-2</v>
          </cell>
          <cell r="AC501">
            <v>194766.2399999999</v>
          </cell>
          <cell r="AD501" t="str">
            <v>%vte</v>
          </cell>
          <cell r="AE501">
            <v>3.8962297830857064E-2</v>
          </cell>
          <cell r="AF501">
            <v>178168.75999999981</v>
          </cell>
          <cell r="AG501" t="str">
            <v>%vte</v>
          </cell>
          <cell r="AH501">
            <v>2.262486129692309E-2</v>
          </cell>
          <cell r="AI501">
            <v>240105.49999999889</v>
          </cell>
          <cell r="AJ501" t="str">
            <v>%vte</v>
          </cell>
          <cell r="AK501">
            <v>2.3603929739615372E-2</v>
          </cell>
          <cell r="AL501">
            <v>291155.95000000007</v>
          </cell>
          <cell r="AM501" t="str">
            <v>%vte</v>
          </cell>
          <cell r="AN501">
            <v>8.8424347551670224E-3</v>
          </cell>
          <cell r="AO501">
            <v>85014.179999999455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 t="str">
            <v>$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 t="e">
            <v>#N/A</v>
          </cell>
          <cell r="V24" t="e">
            <v>#N/A</v>
          </cell>
          <cell r="W24" t="e">
            <v>#N/A</v>
          </cell>
          <cell r="X24" t="e">
            <v>#N/A</v>
          </cell>
        </row>
        <row r="25">
          <cell r="O25">
            <v>0</v>
          </cell>
          <cell r="U25" t="e">
            <v>#N/A</v>
          </cell>
          <cell r="V25" t="e">
            <v>#N/A</v>
          </cell>
          <cell r="W25" t="e">
            <v>#N/A</v>
          </cell>
          <cell r="X25" t="e">
            <v>#N/A</v>
          </cell>
        </row>
        <row r="26">
          <cell r="O26">
            <v>0</v>
          </cell>
          <cell r="U26" t="e">
            <v>#N/A</v>
          </cell>
          <cell r="V26" t="e">
            <v>#N/A</v>
          </cell>
          <cell r="W26" t="e">
            <v>#N/A</v>
          </cell>
          <cell r="X26" t="e">
            <v>#N/A</v>
          </cell>
        </row>
        <row r="27">
          <cell r="O27">
            <v>0</v>
          </cell>
          <cell r="U27" t="e">
            <v>#N/A</v>
          </cell>
          <cell r="V27" t="e">
            <v>#N/A</v>
          </cell>
          <cell r="W27" t="e">
            <v>#N/A</v>
          </cell>
          <cell r="X27" t="e">
            <v>#N/A</v>
          </cell>
        </row>
        <row r="28">
          <cell r="O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 t="str">
            <v>$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 t="str">
            <v>$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 t="str">
            <v>$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O78">
            <v>0</v>
          </cell>
          <cell r="U78">
            <v>0</v>
          </cell>
          <cell r="V78">
            <v>0</v>
          </cell>
          <cell r="W78" t="str">
            <v>$</v>
          </cell>
          <cell r="X78">
            <v>0</v>
          </cell>
        </row>
        <row r="79">
          <cell r="O79">
            <v>0</v>
          </cell>
          <cell r="U79">
            <v>0</v>
          </cell>
          <cell r="V79">
            <v>0</v>
          </cell>
          <cell r="W79" t="str">
            <v>$</v>
          </cell>
          <cell r="X79">
            <v>0</v>
          </cell>
        </row>
        <row r="80">
          <cell r="O80">
            <v>0</v>
          </cell>
          <cell r="U80">
            <v>0</v>
          </cell>
          <cell r="V80">
            <v>0</v>
          </cell>
          <cell r="W80" t="str">
            <v>$</v>
          </cell>
          <cell r="X80">
            <v>0</v>
          </cell>
        </row>
        <row r="81">
          <cell r="O81">
            <v>0</v>
          </cell>
          <cell r="U81">
            <v>0</v>
          </cell>
          <cell r="V81">
            <v>0</v>
          </cell>
          <cell r="W81" t="str">
            <v>$</v>
          </cell>
          <cell r="X81">
            <v>0</v>
          </cell>
        </row>
        <row r="82">
          <cell r="O82">
            <v>0</v>
          </cell>
          <cell r="U82">
            <v>0</v>
          </cell>
          <cell r="V82">
            <v>0</v>
          </cell>
          <cell r="W82" t="str">
            <v>$</v>
          </cell>
          <cell r="X82">
            <v>0</v>
          </cell>
        </row>
        <row r="83">
          <cell r="O83">
            <v>0</v>
          </cell>
          <cell r="U83">
            <v>0</v>
          </cell>
          <cell r="V83">
            <v>0</v>
          </cell>
          <cell r="W83" t="str">
            <v>$</v>
          </cell>
          <cell r="X83">
            <v>0</v>
          </cell>
        </row>
        <row r="84">
          <cell r="O84">
            <v>0</v>
          </cell>
          <cell r="U84">
            <v>0</v>
          </cell>
          <cell r="V84">
            <v>0</v>
          </cell>
          <cell r="W84" t="str">
            <v>$</v>
          </cell>
          <cell r="X84">
            <v>0</v>
          </cell>
        </row>
        <row r="85">
          <cell r="O85">
            <v>0</v>
          </cell>
          <cell r="U85">
            <v>0</v>
          </cell>
          <cell r="V85">
            <v>0</v>
          </cell>
          <cell r="W85" t="str">
            <v>$</v>
          </cell>
          <cell r="X85">
            <v>0</v>
          </cell>
        </row>
        <row r="86">
          <cell r="O86">
            <v>0</v>
          </cell>
          <cell r="U86">
            <v>0</v>
          </cell>
          <cell r="V86">
            <v>0</v>
          </cell>
          <cell r="W86" t="str">
            <v>$</v>
          </cell>
          <cell r="X86">
            <v>0</v>
          </cell>
        </row>
        <row r="87">
          <cell r="O87">
            <v>0</v>
          </cell>
          <cell r="U87">
            <v>0</v>
          </cell>
          <cell r="V87">
            <v>0</v>
          </cell>
          <cell r="W87" t="str">
            <v>$</v>
          </cell>
          <cell r="X87">
            <v>0</v>
          </cell>
        </row>
        <row r="88">
          <cell r="C88">
            <v>-130187.82</v>
          </cell>
          <cell r="O88">
            <v>1011598.32</v>
          </cell>
          <cell r="U88" t="str">
            <v>Bilan</v>
          </cell>
          <cell r="V88" t="str">
            <v>Encaisse</v>
          </cell>
          <cell r="W88" t="str">
            <v>$</v>
          </cell>
          <cell r="X88">
            <v>0</v>
          </cell>
        </row>
        <row r="89">
          <cell r="C89">
            <v>2074.27</v>
          </cell>
          <cell r="O89">
            <v>-528.66</v>
          </cell>
          <cell r="U89" t="str">
            <v>Bilan</v>
          </cell>
          <cell r="V89" t="str">
            <v>Encaisse</v>
          </cell>
          <cell r="W89" t="str">
            <v>$</v>
          </cell>
          <cell r="X89">
            <v>0</v>
          </cell>
        </row>
        <row r="90">
          <cell r="C90">
            <v>300000</v>
          </cell>
          <cell r="O90">
            <v>-50000</v>
          </cell>
          <cell r="U90" t="str">
            <v>Bilan</v>
          </cell>
          <cell r="V90" t="str">
            <v>Encaisse</v>
          </cell>
          <cell r="W90" t="str">
            <v>$</v>
          </cell>
          <cell r="X90">
            <v>0</v>
          </cell>
        </row>
        <row r="91">
          <cell r="C91">
            <v>208.82</v>
          </cell>
          <cell r="O91">
            <v>0</v>
          </cell>
          <cell r="U91" t="str">
            <v>Bilan</v>
          </cell>
          <cell r="V91" t="str">
            <v>Encaisse</v>
          </cell>
          <cell r="W91" t="str">
            <v>$</v>
          </cell>
          <cell r="X91">
            <v>0</v>
          </cell>
        </row>
        <row r="92">
          <cell r="C92">
            <v>1257389.02</v>
          </cell>
          <cell r="O92">
            <v>-239714.77</v>
          </cell>
          <cell r="U92" t="str">
            <v>Bilan</v>
          </cell>
          <cell r="V92" t="str">
            <v>Recevables Contrats en Transit</v>
          </cell>
          <cell r="W92" t="str">
            <v>$</v>
          </cell>
          <cell r="X92">
            <v>0</v>
          </cell>
        </row>
        <row r="93">
          <cell r="C93">
            <v>-16913.97</v>
          </cell>
          <cell r="O93">
            <v>-59453.65</v>
          </cell>
          <cell r="U93" t="str">
            <v>Bilan</v>
          </cell>
          <cell r="V93" t="str">
            <v>Recevables Véhicules</v>
          </cell>
          <cell r="W93" t="str">
            <v>$</v>
          </cell>
          <cell r="X93">
            <v>0</v>
          </cell>
        </row>
        <row r="94">
          <cell r="C94">
            <v>331168.56</v>
          </cell>
          <cell r="O94">
            <v>-69161.86</v>
          </cell>
          <cell r="U94" t="str">
            <v>Bilan</v>
          </cell>
          <cell r="V94" t="str">
            <v>Recevables Véhicules</v>
          </cell>
          <cell r="W94" t="str">
            <v>$</v>
          </cell>
          <cell r="X94">
            <v>0</v>
          </cell>
        </row>
        <row r="95">
          <cell r="C95">
            <v>243049.75</v>
          </cell>
          <cell r="O95">
            <v>1890.7</v>
          </cell>
          <cell r="U95" t="str">
            <v>Bilan</v>
          </cell>
          <cell r="V95" t="str">
            <v>Recevables Pièces et Service</v>
          </cell>
          <cell r="W95" t="str">
            <v>$</v>
          </cell>
          <cell r="X95">
            <v>0</v>
          </cell>
        </row>
        <row r="96">
          <cell r="C96">
            <v>4160.43</v>
          </cell>
          <cell r="O96">
            <v>-1511.41</v>
          </cell>
          <cell r="U96" t="str">
            <v>Bilan</v>
          </cell>
          <cell r="V96" t="str">
            <v>Recevables Carrosserie</v>
          </cell>
          <cell r="W96" t="str">
            <v>$</v>
          </cell>
          <cell r="X96">
            <v>0</v>
          </cell>
        </row>
        <row r="97">
          <cell r="C97">
            <v>37167.339999999997</v>
          </cell>
          <cell r="O97">
            <v>-206.54</v>
          </cell>
          <cell r="U97" t="str">
            <v>Bilan</v>
          </cell>
          <cell r="V97" t="str">
            <v>Recevables Intercos</v>
          </cell>
          <cell r="W97" t="str">
            <v>$</v>
          </cell>
          <cell r="X97">
            <v>0</v>
          </cell>
        </row>
        <row r="98">
          <cell r="C98">
            <v>27000</v>
          </cell>
          <cell r="O98">
            <v>400</v>
          </cell>
          <cell r="U98" t="str">
            <v>Bilan</v>
          </cell>
          <cell r="V98" t="str">
            <v>Recevables Intercos</v>
          </cell>
          <cell r="W98" t="str">
            <v>$</v>
          </cell>
          <cell r="X98">
            <v>0</v>
          </cell>
        </row>
        <row r="99">
          <cell r="C99">
            <v>11121</v>
          </cell>
          <cell r="O99">
            <v>114567</v>
          </cell>
          <cell r="U99" t="str">
            <v>Bilan</v>
          </cell>
          <cell r="V99" t="str">
            <v>Recevables Manufacturier</v>
          </cell>
          <cell r="W99" t="str">
            <v>$</v>
          </cell>
          <cell r="X99">
            <v>0</v>
          </cell>
        </row>
        <row r="100">
          <cell r="C100">
            <v>-2351.36</v>
          </cell>
          <cell r="O100">
            <v>19079.990000000002</v>
          </cell>
          <cell r="U100" t="str">
            <v>Bilan</v>
          </cell>
          <cell r="V100" t="str">
            <v>Recevables Garantie Manufacturier</v>
          </cell>
          <cell r="W100" t="str">
            <v>$</v>
          </cell>
          <cell r="X100">
            <v>0</v>
          </cell>
        </row>
        <row r="101">
          <cell r="C101">
            <v>25686.87</v>
          </cell>
          <cell r="O101">
            <v>-7177.5</v>
          </cell>
          <cell r="U101" t="str">
            <v>Bilan</v>
          </cell>
          <cell r="V101" t="str">
            <v>recevables Autres</v>
          </cell>
          <cell r="W101" t="str">
            <v>$</v>
          </cell>
          <cell r="X101">
            <v>0</v>
          </cell>
        </row>
        <row r="102">
          <cell r="C102">
            <v>416787</v>
          </cell>
          <cell r="O102">
            <v>-207900</v>
          </cell>
          <cell r="U102" t="str">
            <v>Bilan</v>
          </cell>
          <cell r="V102" t="str">
            <v>Recevables Manufacturier</v>
          </cell>
          <cell r="W102" t="str">
            <v>$</v>
          </cell>
          <cell r="X102">
            <v>0</v>
          </cell>
        </row>
        <row r="103">
          <cell r="C103">
            <v>325</v>
          </cell>
          <cell r="O103">
            <v>-325</v>
          </cell>
          <cell r="U103" t="str">
            <v>Bilan</v>
          </cell>
          <cell r="V103" t="str">
            <v>Recevables Autres</v>
          </cell>
          <cell r="W103" t="str">
            <v>$</v>
          </cell>
          <cell r="X103">
            <v>0</v>
          </cell>
        </row>
        <row r="104">
          <cell r="C104">
            <v>6182.09</v>
          </cell>
          <cell r="O104">
            <v>34370.99</v>
          </cell>
          <cell r="U104" t="str">
            <v>Bilan</v>
          </cell>
          <cell r="V104" t="str">
            <v>Taxes de Vente à Payer</v>
          </cell>
          <cell r="W104" t="str">
            <v>$</v>
          </cell>
          <cell r="X104">
            <v>0</v>
          </cell>
        </row>
        <row r="105">
          <cell r="C105">
            <v>6809941.7000000002</v>
          </cell>
          <cell r="O105">
            <v>457165.52</v>
          </cell>
          <cell r="U105" t="str">
            <v>Bilan</v>
          </cell>
          <cell r="V105" t="str">
            <v>Inventaire Véhicules Neufs</v>
          </cell>
          <cell r="W105" t="str">
            <v>$</v>
          </cell>
          <cell r="X105">
            <v>0</v>
          </cell>
        </row>
        <row r="106">
          <cell r="C106">
            <v>-65854</v>
          </cell>
          <cell r="O106">
            <v>36518.71</v>
          </cell>
          <cell r="U106" t="str">
            <v>Bilan</v>
          </cell>
          <cell r="V106" t="str">
            <v>Inventaire Véhicules Neufs</v>
          </cell>
          <cell r="W106" t="str">
            <v>$</v>
          </cell>
          <cell r="X106">
            <v>0</v>
          </cell>
        </row>
        <row r="107">
          <cell r="C107">
            <v>24151</v>
          </cell>
          <cell r="O107">
            <v>-36100</v>
          </cell>
          <cell r="U107" t="str">
            <v>Bilan</v>
          </cell>
          <cell r="V107" t="str">
            <v>Inventaire Véhicules Usagés</v>
          </cell>
          <cell r="W107" t="str">
            <v>$</v>
          </cell>
          <cell r="X107">
            <v>0</v>
          </cell>
        </row>
        <row r="108">
          <cell r="C108">
            <v>1257780.3400000001</v>
          </cell>
          <cell r="O108">
            <v>-302149.71999999997</v>
          </cell>
          <cell r="U108" t="str">
            <v>Bilan</v>
          </cell>
          <cell r="V108" t="str">
            <v>Inventaire Véhicules Usagés</v>
          </cell>
          <cell r="W108" t="str">
            <v>$</v>
          </cell>
          <cell r="X108">
            <v>0</v>
          </cell>
        </row>
        <row r="109">
          <cell r="C109">
            <v>-11088.62</v>
          </cell>
          <cell r="O109">
            <v>-1426.34</v>
          </cell>
          <cell r="U109" t="str">
            <v>Bilan</v>
          </cell>
          <cell r="V109" t="str">
            <v>Inventaire Véhicules Neufs</v>
          </cell>
          <cell r="W109" t="str">
            <v>$</v>
          </cell>
          <cell r="X109">
            <v>0</v>
          </cell>
        </row>
        <row r="110">
          <cell r="C110">
            <v>-19015.02</v>
          </cell>
          <cell r="O110">
            <v>-1797.78</v>
          </cell>
          <cell r="U110" t="str">
            <v>Bilan</v>
          </cell>
          <cell r="V110" t="str">
            <v>Inventaire Véhicules Neufs</v>
          </cell>
          <cell r="W110" t="str">
            <v>$</v>
          </cell>
          <cell r="X110">
            <v>0</v>
          </cell>
        </row>
        <row r="111">
          <cell r="C111">
            <v>482926.85</v>
          </cell>
          <cell r="O111">
            <v>-7855.48</v>
          </cell>
          <cell r="U111" t="str">
            <v>Bilan</v>
          </cell>
          <cell r="V111" t="str">
            <v>Inventaire Pièces, Pneus, Huile</v>
          </cell>
          <cell r="W111" t="str">
            <v>$</v>
          </cell>
          <cell r="X111">
            <v>0</v>
          </cell>
        </row>
        <row r="112">
          <cell r="C112">
            <v>4936.58</v>
          </cell>
          <cell r="O112">
            <v>659.51</v>
          </cell>
          <cell r="U112" t="str">
            <v>Bilan</v>
          </cell>
          <cell r="V112" t="str">
            <v>Inventaire Pièces, Pneus, Huile</v>
          </cell>
          <cell r="W112" t="str">
            <v>$</v>
          </cell>
          <cell r="X112">
            <v>0</v>
          </cell>
        </row>
        <row r="113">
          <cell r="C113">
            <v>43957.43</v>
          </cell>
          <cell r="O113">
            <v>2828.89</v>
          </cell>
          <cell r="U113" t="str">
            <v>Bilan</v>
          </cell>
          <cell r="V113" t="str">
            <v>Inventaire Pièces, Pneus, Huile</v>
          </cell>
          <cell r="W113" t="str">
            <v>$</v>
          </cell>
          <cell r="X113">
            <v>0</v>
          </cell>
        </row>
        <row r="114">
          <cell r="C114">
            <v>16494.05</v>
          </cell>
          <cell r="O114">
            <v>-14350.25</v>
          </cell>
          <cell r="U114" t="str">
            <v>Bilan</v>
          </cell>
          <cell r="V114" t="str">
            <v>Travaux en Cours</v>
          </cell>
          <cell r="W114" t="str">
            <v>$</v>
          </cell>
          <cell r="X114">
            <v>0</v>
          </cell>
        </row>
        <row r="115">
          <cell r="C115">
            <v>-19870.14</v>
          </cell>
          <cell r="O115">
            <v>680.07</v>
          </cell>
          <cell r="U115" t="str">
            <v>Bilan</v>
          </cell>
          <cell r="V115" t="str">
            <v>Sous-Traitance</v>
          </cell>
          <cell r="W115" t="str">
            <v>$</v>
          </cell>
          <cell r="X115">
            <v>0</v>
          </cell>
        </row>
        <row r="116">
          <cell r="C116">
            <v>20035.509999999998</v>
          </cell>
          <cell r="O116">
            <v>-379.02</v>
          </cell>
          <cell r="U116" t="str">
            <v>Bilan</v>
          </cell>
          <cell r="V116" t="str">
            <v>Inventaire Pièces, Pneus, Huile</v>
          </cell>
          <cell r="W116" t="str">
            <v>$</v>
          </cell>
          <cell r="X116">
            <v>0</v>
          </cell>
        </row>
        <row r="117">
          <cell r="C117">
            <v>159.9</v>
          </cell>
          <cell r="O117">
            <v>0</v>
          </cell>
          <cell r="U117" t="str">
            <v>Bilan</v>
          </cell>
          <cell r="V117" t="str">
            <v>Frais Payés d'Avance</v>
          </cell>
          <cell r="W117" t="str">
            <v>$</v>
          </cell>
          <cell r="X117">
            <v>0</v>
          </cell>
        </row>
        <row r="118">
          <cell r="C118">
            <v>2.4300000000000002</v>
          </cell>
          <cell r="O118">
            <v>-3131.38</v>
          </cell>
          <cell r="U118" t="str">
            <v>Bilan</v>
          </cell>
          <cell r="V118" t="str">
            <v>Frais Payés d'Avance</v>
          </cell>
          <cell r="W118" t="str">
            <v>$</v>
          </cell>
          <cell r="X118">
            <v>0</v>
          </cell>
        </row>
        <row r="119">
          <cell r="C119">
            <v>5060.8999999999996</v>
          </cell>
          <cell r="O119">
            <v>0</v>
          </cell>
          <cell r="U119" t="str">
            <v>Bilan</v>
          </cell>
          <cell r="V119" t="str">
            <v>Frais Payés d'Avance</v>
          </cell>
          <cell r="W119" t="str">
            <v>$</v>
          </cell>
          <cell r="X119">
            <v>0</v>
          </cell>
        </row>
        <row r="120">
          <cell r="C120">
            <v>4713.18</v>
          </cell>
          <cell r="O120">
            <v>-785.53</v>
          </cell>
          <cell r="U120" t="str">
            <v>Bilan</v>
          </cell>
          <cell r="V120" t="str">
            <v>Frais Payés d'Avance</v>
          </cell>
          <cell r="W120" t="str">
            <v>$</v>
          </cell>
          <cell r="X120">
            <v>0</v>
          </cell>
        </row>
        <row r="121">
          <cell r="C121">
            <v>2441</v>
          </cell>
          <cell r="O121">
            <v>0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0</v>
          </cell>
          <cell r="O122">
            <v>-215.07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1834.58</v>
          </cell>
          <cell r="O123">
            <v>0</v>
          </cell>
          <cell r="U123" t="str">
            <v>Bilan</v>
          </cell>
          <cell r="V123" t="str">
            <v>Autres Courus</v>
          </cell>
          <cell r="W123" t="str">
            <v>$</v>
          </cell>
          <cell r="X123">
            <v>0</v>
          </cell>
        </row>
        <row r="124">
          <cell r="C124">
            <v>96474.59</v>
          </cell>
          <cell r="O124">
            <v>3319.36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24649.64</v>
          </cell>
          <cell r="O125">
            <v>-8042.98</v>
          </cell>
          <cell r="U125" t="str">
            <v>Bilan</v>
          </cell>
          <cell r="V125" t="str">
            <v>Frais Payés d'Avance</v>
          </cell>
          <cell r="W125" t="str">
            <v>$</v>
          </cell>
          <cell r="X125">
            <v>0</v>
          </cell>
        </row>
        <row r="126">
          <cell r="C126">
            <v>-283.95999999999998</v>
          </cell>
          <cell r="O126">
            <v>1314.4</v>
          </cell>
          <cell r="U126" t="str">
            <v>Bilan</v>
          </cell>
          <cell r="V126" t="str">
            <v>Frais Payés d'Avance</v>
          </cell>
          <cell r="W126" t="str">
            <v>$</v>
          </cell>
          <cell r="X126">
            <v>0</v>
          </cell>
        </row>
        <row r="127">
          <cell r="C127">
            <v>119473.23</v>
          </cell>
          <cell r="O127">
            <v>-24525.85</v>
          </cell>
          <cell r="U127" t="str">
            <v>Bilan</v>
          </cell>
          <cell r="V127" t="str">
            <v>Frais Payés d'Avance</v>
          </cell>
          <cell r="W127" t="str">
            <v>$</v>
          </cell>
          <cell r="X127">
            <v>0</v>
          </cell>
        </row>
        <row r="128">
          <cell r="C128">
            <v>148504.63</v>
          </cell>
          <cell r="O128">
            <v>0</v>
          </cell>
          <cell r="U128" t="str">
            <v>Bilan</v>
          </cell>
          <cell r="V128" t="str">
            <v>Améliorations Locatives</v>
          </cell>
          <cell r="W128" t="str">
            <v>$</v>
          </cell>
          <cell r="X128">
            <v>0</v>
          </cell>
        </row>
        <row r="129">
          <cell r="C129">
            <v>-199480.93</v>
          </cell>
          <cell r="O129">
            <v>-28558</v>
          </cell>
          <cell r="U129" t="str">
            <v>Bilan</v>
          </cell>
          <cell r="V129" t="str">
            <v>Améliorations Locatives</v>
          </cell>
          <cell r="W129" t="str">
            <v>$</v>
          </cell>
          <cell r="X129">
            <v>0</v>
          </cell>
        </row>
        <row r="130">
          <cell r="C130">
            <v>10527.65</v>
          </cell>
          <cell r="O130">
            <v>0</v>
          </cell>
          <cell r="U130" t="str">
            <v>Bilan</v>
          </cell>
          <cell r="V130" t="str">
            <v>Améliorations Locatives</v>
          </cell>
          <cell r="W130" t="str">
            <v>$</v>
          </cell>
          <cell r="X130">
            <v>0</v>
          </cell>
        </row>
        <row r="131">
          <cell r="C131">
            <v>10113620.890000001</v>
          </cell>
          <cell r="O131">
            <v>197462.38</v>
          </cell>
          <cell r="U131" t="str">
            <v>Bilan</v>
          </cell>
          <cell r="V131" t="str">
            <v>Améliorations Locatives</v>
          </cell>
          <cell r="W131" t="str">
            <v>$</v>
          </cell>
          <cell r="X131">
            <v>0</v>
          </cell>
        </row>
        <row r="132">
          <cell r="C132">
            <v>1244067.29</v>
          </cell>
          <cell r="O132">
            <v>0</v>
          </cell>
          <cell r="U132" t="str">
            <v>Bilan</v>
          </cell>
          <cell r="V132" t="str">
            <v>Équipements Service</v>
          </cell>
          <cell r="W132" t="str">
            <v>$</v>
          </cell>
          <cell r="X132">
            <v>0</v>
          </cell>
        </row>
        <row r="133">
          <cell r="C133">
            <v>-893958.34</v>
          </cell>
          <cell r="O133">
            <v>-4612.5</v>
          </cell>
          <cell r="U133" t="str">
            <v>Bilan</v>
          </cell>
          <cell r="V133" t="str">
            <v>Équipements Service</v>
          </cell>
          <cell r="W133" t="str">
            <v>$</v>
          </cell>
          <cell r="X133">
            <v>0</v>
          </cell>
        </row>
        <row r="134">
          <cell r="C134">
            <v>47461.59</v>
          </cell>
          <cell r="O134">
            <v>0</v>
          </cell>
          <cell r="U134" t="str">
            <v>Bilan</v>
          </cell>
          <cell r="V134" t="str">
            <v>Équipements Service</v>
          </cell>
          <cell r="W134" t="str">
            <v>$</v>
          </cell>
          <cell r="X134">
            <v>0</v>
          </cell>
        </row>
        <row r="135">
          <cell r="C135">
            <v>-47538.09</v>
          </cell>
          <cell r="O135">
            <v>-8.5</v>
          </cell>
          <cell r="U135" t="str">
            <v>Bilan</v>
          </cell>
          <cell r="V135" t="str">
            <v>Équipements Service</v>
          </cell>
          <cell r="W135" t="str">
            <v>$</v>
          </cell>
          <cell r="X135">
            <v>0</v>
          </cell>
        </row>
        <row r="136">
          <cell r="C136">
            <v>440156.49</v>
          </cell>
          <cell r="O136">
            <v>0</v>
          </cell>
          <cell r="U136" t="str">
            <v>Bilan</v>
          </cell>
          <cell r="V136" t="str">
            <v>Mobilier</v>
          </cell>
          <cell r="W136" t="str">
            <v>$</v>
          </cell>
          <cell r="X136">
            <v>0</v>
          </cell>
        </row>
        <row r="137">
          <cell r="C137">
            <v>-419522.22</v>
          </cell>
          <cell r="O137">
            <v>-497</v>
          </cell>
          <cell r="U137" t="str">
            <v>Bilan</v>
          </cell>
          <cell r="V137" t="str">
            <v>Mobilier</v>
          </cell>
          <cell r="W137" t="str">
            <v>$</v>
          </cell>
          <cell r="X137">
            <v>0</v>
          </cell>
        </row>
        <row r="138">
          <cell r="C138">
            <v>3987.88</v>
          </cell>
          <cell r="O138">
            <v>0</v>
          </cell>
          <cell r="U138" t="str">
            <v>Bilan</v>
          </cell>
          <cell r="V138" t="str">
            <v>Équipements Service</v>
          </cell>
          <cell r="W138" t="str">
            <v>$</v>
          </cell>
          <cell r="X138">
            <v>0</v>
          </cell>
        </row>
        <row r="139">
          <cell r="C139">
            <v>-3987.88</v>
          </cell>
          <cell r="O139">
            <v>0</v>
          </cell>
          <cell r="U139" t="str">
            <v>Bilan</v>
          </cell>
          <cell r="V139" t="str">
            <v>Équipements Service</v>
          </cell>
          <cell r="W139" t="str">
            <v>$</v>
          </cell>
          <cell r="X139">
            <v>0</v>
          </cell>
        </row>
        <row r="140">
          <cell r="C140">
            <v>166384.26999999999</v>
          </cell>
          <cell r="O140">
            <v>4292.47</v>
          </cell>
          <cell r="U140" t="str">
            <v>Bilan</v>
          </cell>
          <cell r="V140" t="str">
            <v>Équipements Informatique</v>
          </cell>
          <cell r="W140" t="str">
            <v>$</v>
          </cell>
          <cell r="X140">
            <v>0</v>
          </cell>
        </row>
        <row r="141">
          <cell r="C141">
            <v>-130618.45</v>
          </cell>
          <cell r="O141">
            <v>-972</v>
          </cell>
          <cell r="U141" t="str">
            <v>Bilan</v>
          </cell>
          <cell r="V141" t="str">
            <v>Équipements Informatique</v>
          </cell>
          <cell r="W141" t="str">
            <v>$</v>
          </cell>
          <cell r="X141">
            <v>0</v>
          </cell>
        </row>
        <row r="142">
          <cell r="C142">
            <v>119393.66</v>
          </cell>
          <cell r="O142">
            <v>0</v>
          </cell>
          <cell r="U142" t="str">
            <v>Bilan</v>
          </cell>
          <cell r="V142" t="str">
            <v>Enseigne</v>
          </cell>
          <cell r="W142" t="str">
            <v>$</v>
          </cell>
          <cell r="X142">
            <v>0</v>
          </cell>
        </row>
        <row r="143">
          <cell r="C143">
            <v>-119393.65</v>
          </cell>
          <cell r="O143">
            <v>0</v>
          </cell>
          <cell r="U143" t="str">
            <v>Bilan</v>
          </cell>
          <cell r="V143" t="str">
            <v>Enseigne</v>
          </cell>
          <cell r="W143" t="str">
            <v>$</v>
          </cell>
          <cell r="X143">
            <v>0</v>
          </cell>
        </row>
        <row r="144">
          <cell r="C144">
            <v>573600</v>
          </cell>
          <cell r="O144">
            <v>0</v>
          </cell>
          <cell r="U144" t="str">
            <v>Bilan</v>
          </cell>
          <cell r="V144" t="str">
            <v>Avances à Recevoir Long Terme</v>
          </cell>
          <cell r="W144" t="str">
            <v>$</v>
          </cell>
          <cell r="X144">
            <v>0</v>
          </cell>
        </row>
        <row r="145">
          <cell r="C145">
            <v>5553.08</v>
          </cell>
          <cell r="O145">
            <v>2296.5</v>
          </cell>
          <cell r="U145" t="str">
            <v>Bilan</v>
          </cell>
          <cell r="V145" t="str">
            <v>Recevables Autres</v>
          </cell>
          <cell r="W145" t="str">
            <v>$</v>
          </cell>
          <cell r="X145">
            <v>0</v>
          </cell>
        </row>
        <row r="146">
          <cell r="C146">
            <v>-7390998.6100000003</v>
          </cell>
          <cell r="O146">
            <v>-1012825.8</v>
          </cell>
          <cell r="U146" t="str">
            <v>Bilan</v>
          </cell>
          <cell r="V146" t="str">
            <v>Effet à Payer Véhicules Neufs</v>
          </cell>
          <cell r="W146" t="str">
            <v>$</v>
          </cell>
          <cell r="X146">
            <v>0</v>
          </cell>
        </row>
        <row r="147">
          <cell r="C147">
            <v>-519890.76</v>
          </cell>
          <cell r="O147">
            <v>22987.38</v>
          </cell>
          <cell r="U147" t="str">
            <v>Bilan</v>
          </cell>
          <cell r="V147" t="str">
            <v>Effet à Payer Véhicules Usagés</v>
          </cell>
          <cell r="W147" t="str">
            <v>$</v>
          </cell>
          <cell r="X147">
            <v>0</v>
          </cell>
        </row>
        <row r="148">
          <cell r="C148">
            <v>0</v>
          </cell>
          <cell r="O148">
            <v>-382.77</v>
          </cell>
          <cell r="U148" t="str">
            <v>Bilan</v>
          </cell>
          <cell r="V148" t="str">
            <v>Taxes de Vente à Payer</v>
          </cell>
          <cell r="W148" t="str">
            <v>$</v>
          </cell>
          <cell r="X148">
            <v>0</v>
          </cell>
        </row>
        <row r="149">
          <cell r="C149">
            <v>-106926.6</v>
          </cell>
          <cell r="O149">
            <v>2779.62</v>
          </cell>
          <cell r="U149" t="str">
            <v>Bilan</v>
          </cell>
          <cell r="V149" t="str">
            <v>Taxes de Vente à Payer</v>
          </cell>
          <cell r="W149" t="str">
            <v>$</v>
          </cell>
          <cell r="X149">
            <v>0</v>
          </cell>
        </row>
        <row r="150">
          <cell r="C150">
            <v>141521.54999999999</v>
          </cell>
          <cell r="O150">
            <v>-70879.56</v>
          </cell>
          <cell r="U150" t="str">
            <v>Bilan</v>
          </cell>
          <cell r="V150" t="str">
            <v>Taxes de Vente à Payer</v>
          </cell>
          <cell r="W150" t="str">
            <v>$</v>
          </cell>
          <cell r="X150">
            <v>0</v>
          </cell>
        </row>
        <row r="151">
          <cell r="C151">
            <v>-215995.41</v>
          </cell>
          <cell r="O151">
            <v>-32709.81</v>
          </cell>
          <cell r="U151" t="str">
            <v>Bilan</v>
          </cell>
          <cell r="V151" t="str">
            <v>Taxes de Vente à Payer</v>
          </cell>
          <cell r="W151" t="str">
            <v>$</v>
          </cell>
          <cell r="X151">
            <v>0</v>
          </cell>
        </row>
        <row r="152">
          <cell r="C152">
            <v>215771.45</v>
          </cell>
          <cell r="O152">
            <v>24411.48</v>
          </cell>
          <cell r="U152" t="str">
            <v>Bilan</v>
          </cell>
          <cell r="V152" t="str">
            <v>Taxes de Vente à Payer</v>
          </cell>
          <cell r="W152" t="str">
            <v>$</v>
          </cell>
          <cell r="X152">
            <v>0</v>
          </cell>
        </row>
        <row r="153">
          <cell r="C153">
            <v>-1084.7</v>
          </cell>
          <cell r="O153">
            <v>-737.8</v>
          </cell>
          <cell r="U153" t="str">
            <v>Bilan</v>
          </cell>
          <cell r="V153" t="str">
            <v>Taxes de Vente à Payer</v>
          </cell>
          <cell r="W153" t="str">
            <v>$</v>
          </cell>
          <cell r="X153">
            <v>0</v>
          </cell>
        </row>
        <row r="154">
          <cell r="C154">
            <v>-75177.84</v>
          </cell>
          <cell r="O154">
            <v>-54846.09</v>
          </cell>
          <cell r="U154" t="str">
            <v>Bilan</v>
          </cell>
          <cell r="V154" t="str">
            <v>Autres Comptes à Payer</v>
          </cell>
          <cell r="W154" t="str">
            <v>$</v>
          </cell>
          <cell r="X154">
            <v>0</v>
          </cell>
        </row>
        <row r="155">
          <cell r="C155">
            <v>-7510</v>
          </cell>
          <cell r="O155">
            <v>-890</v>
          </cell>
          <cell r="U155" t="str">
            <v>Bilan</v>
          </cell>
          <cell r="V155" t="str">
            <v>Autres Comptes à Payer</v>
          </cell>
          <cell r="W155" t="str">
            <v>$</v>
          </cell>
          <cell r="X155">
            <v>0</v>
          </cell>
        </row>
        <row r="156">
          <cell r="C156">
            <v>-72191.86</v>
          </cell>
          <cell r="O156">
            <v>734.8</v>
          </cell>
          <cell r="U156" t="str">
            <v>Bilan</v>
          </cell>
          <cell r="V156" t="str">
            <v>Autres Comptes à Payer</v>
          </cell>
          <cell r="W156" t="str">
            <v>$</v>
          </cell>
          <cell r="X156">
            <v>0</v>
          </cell>
        </row>
        <row r="157">
          <cell r="C157">
            <v>-11167.56</v>
          </cell>
          <cell r="O157">
            <v>2026.03</v>
          </cell>
          <cell r="U157" t="str">
            <v>Bilan</v>
          </cell>
          <cell r="V157" t="str">
            <v>Autres Comptes à Payer</v>
          </cell>
          <cell r="W157" t="str">
            <v>$</v>
          </cell>
          <cell r="X157">
            <v>0</v>
          </cell>
        </row>
        <row r="158">
          <cell r="C158">
            <v>-1075656.67</v>
          </cell>
          <cell r="O158">
            <v>483717.32</v>
          </cell>
          <cell r="U158" t="str">
            <v>Bilan</v>
          </cell>
          <cell r="V158" t="str">
            <v>Comptes à Payer Fournisseurs</v>
          </cell>
          <cell r="W158" t="str">
            <v>$</v>
          </cell>
          <cell r="X158">
            <v>0</v>
          </cell>
        </row>
        <row r="159">
          <cell r="C159">
            <v>-13000</v>
          </cell>
          <cell r="O159">
            <v>13727</v>
          </cell>
          <cell r="U159" t="str">
            <v>Bilan</v>
          </cell>
          <cell r="V159" t="str">
            <v>Autres Comptes à Payer</v>
          </cell>
          <cell r="W159" t="str">
            <v>$</v>
          </cell>
          <cell r="X159">
            <v>0</v>
          </cell>
        </row>
        <row r="160">
          <cell r="C160">
            <v>-19955.72</v>
          </cell>
          <cell r="O160">
            <v>-4563.8</v>
          </cell>
          <cell r="U160" t="str">
            <v>Bilan</v>
          </cell>
          <cell r="V160" t="str">
            <v>Autres Courus</v>
          </cell>
          <cell r="W160" t="str">
            <v>$</v>
          </cell>
          <cell r="X160">
            <v>0</v>
          </cell>
        </row>
        <row r="161">
          <cell r="C161">
            <v>1086.92</v>
          </cell>
          <cell r="O161">
            <v>256.33</v>
          </cell>
          <cell r="U161" t="str">
            <v>Bilan</v>
          </cell>
          <cell r="V161" t="str">
            <v>Autres Courus</v>
          </cell>
          <cell r="W161" t="str">
            <v>$</v>
          </cell>
          <cell r="X161">
            <v>0</v>
          </cell>
        </row>
        <row r="162">
          <cell r="C162">
            <v>-86864.45</v>
          </cell>
          <cell r="O162">
            <v>-4242.37</v>
          </cell>
          <cell r="U162" t="str">
            <v>Bilan</v>
          </cell>
          <cell r="V162" t="str">
            <v>Payables Intercos</v>
          </cell>
          <cell r="W162" t="str">
            <v>$</v>
          </cell>
          <cell r="X162">
            <v>0</v>
          </cell>
        </row>
        <row r="163">
          <cell r="C163">
            <v>-53090</v>
          </cell>
          <cell r="O163">
            <v>-3250</v>
          </cell>
          <cell r="U163" t="str">
            <v>Bilan</v>
          </cell>
          <cell r="V163" t="str">
            <v>Autres Courus</v>
          </cell>
          <cell r="W163" t="str">
            <v>$</v>
          </cell>
          <cell r="X163">
            <v>0</v>
          </cell>
        </row>
        <row r="164">
          <cell r="C164">
            <v>27.79</v>
          </cell>
          <cell r="O164">
            <v>0</v>
          </cell>
          <cell r="U164" t="str">
            <v>Bilan</v>
          </cell>
          <cell r="V164" t="str">
            <v>DAS à Payer</v>
          </cell>
          <cell r="W164" t="str">
            <v>$</v>
          </cell>
          <cell r="X164">
            <v>0</v>
          </cell>
        </row>
        <row r="165">
          <cell r="C165">
            <v>32560.03</v>
          </cell>
          <cell r="O165">
            <v>3016.73</v>
          </cell>
          <cell r="U165" t="str">
            <v>Bilan</v>
          </cell>
          <cell r="V165" t="str">
            <v>DAS à Payer</v>
          </cell>
          <cell r="W165" t="str">
            <v>$</v>
          </cell>
          <cell r="X165">
            <v>0</v>
          </cell>
        </row>
        <row r="166">
          <cell r="C166">
            <v>52.35</v>
          </cell>
          <cell r="O166">
            <v>0</v>
          </cell>
          <cell r="U166" t="str">
            <v>Bilan</v>
          </cell>
          <cell r="V166" t="str">
            <v>DAS à Payer</v>
          </cell>
          <cell r="W166" t="str">
            <v>$</v>
          </cell>
          <cell r="X166">
            <v>0</v>
          </cell>
        </row>
        <row r="167">
          <cell r="C167">
            <v>-27777.84</v>
          </cell>
          <cell r="O167">
            <v>4715.71</v>
          </cell>
          <cell r="U167" t="str">
            <v>Bilan</v>
          </cell>
          <cell r="V167" t="str">
            <v>DAS à Payer</v>
          </cell>
          <cell r="W167" t="str">
            <v>$</v>
          </cell>
          <cell r="X167">
            <v>0</v>
          </cell>
        </row>
        <row r="168">
          <cell r="C168">
            <v>-637.4</v>
          </cell>
          <cell r="O168">
            <v>18.5</v>
          </cell>
          <cell r="U168" t="str">
            <v>Bilan</v>
          </cell>
          <cell r="V168" t="str">
            <v>DAS à Payer</v>
          </cell>
          <cell r="W168" t="str">
            <v>$</v>
          </cell>
          <cell r="X168">
            <v>0</v>
          </cell>
        </row>
        <row r="169">
          <cell r="C169">
            <v>-1545.85</v>
          </cell>
          <cell r="O169">
            <v>-378.07</v>
          </cell>
          <cell r="U169" t="str">
            <v>Bilan</v>
          </cell>
          <cell r="V169" t="str">
            <v>DAS à Payer</v>
          </cell>
          <cell r="W169" t="str">
            <v>$</v>
          </cell>
          <cell r="X169">
            <v>0</v>
          </cell>
        </row>
        <row r="170">
          <cell r="C170">
            <v>-23550</v>
          </cell>
          <cell r="O170">
            <v>-11250</v>
          </cell>
          <cell r="U170" t="str">
            <v>Bilan</v>
          </cell>
          <cell r="V170" t="str">
            <v>Dépôts de Client</v>
          </cell>
          <cell r="W170" t="str">
            <v>$</v>
          </cell>
          <cell r="X170">
            <v>0</v>
          </cell>
        </row>
        <row r="171">
          <cell r="C171">
            <v>-4185.7700000000004</v>
          </cell>
          <cell r="O171">
            <v>-20227.86</v>
          </cell>
          <cell r="U171" t="str">
            <v>Bilan</v>
          </cell>
          <cell r="V171" t="str">
            <v>Salaires à Payer</v>
          </cell>
          <cell r="W171" t="str">
            <v>$</v>
          </cell>
          <cell r="X171">
            <v>0</v>
          </cell>
        </row>
        <row r="172">
          <cell r="C172">
            <v>1666.61</v>
          </cell>
          <cell r="O172">
            <v>419.74</v>
          </cell>
          <cell r="U172" t="str">
            <v>Bilan</v>
          </cell>
          <cell r="V172" t="str">
            <v>Salaires à Payer</v>
          </cell>
          <cell r="W172" t="str">
            <v>$</v>
          </cell>
          <cell r="X172">
            <v>0</v>
          </cell>
        </row>
        <row r="173">
          <cell r="C173">
            <v>-148669.74</v>
          </cell>
          <cell r="O173">
            <v>-29310.26</v>
          </cell>
          <cell r="U173" t="str">
            <v>Bilan</v>
          </cell>
          <cell r="V173" t="str">
            <v>Salaires à Payer</v>
          </cell>
          <cell r="W173" t="str">
            <v>$</v>
          </cell>
          <cell r="X173">
            <v>0</v>
          </cell>
        </row>
        <row r="174">
          <cell r="C174">
            <v>-205380.78</v>
          </cell>
          <cell r="O174">
            <v>-6351.76</v>
          </cell>
          <cell r="U174" t="str">
            <v>Bilan</v>
          </cell>
          <cell r="V174" t="str">
            <v>Salaires à Payer</v>
          </cell>
          <cell r="W174" t="str">
            <v>$</v>
          </cell>
          <cell r="X174">
            <v>0</v>
          </cell>
        </row>
        <row r="175">
          <cell r="C175">
            <v>-10921.49</v>
          </cell>
          <cell r="O175">
            <v>0</v>
          </cell>
          <cell r="U175" t="str">
            <v>Bilan</v>
          </cell>
          <cell r="V175" t="str">
            <v>Salaires à Payer</v>
          </cell>
          <cell r="W175" t="str">
            <v>$</v>
          </cell>
          <cell r="X175">
            <v>0</v>
          </cell>
        </row>
        <row r="176">
          <cell r="C176">
            <v>-200572.85</v>
          </cell>
          <cell r="O176">
            <v>-6332.15</v>
          </cell>
          <cell r="U176" t="str">
            <v>Bilan</v>
          </cell>
          <cell r="V176" t="str">
            <v>Autres Courus</v>
          </cell>
          <cell r="W176" t="str">
            <v>$</v>
          </cell>
          <cell r="X176">
            <v>0</v>
          </cell>
        </row>
        <row r="177">
          <cell r="C177">
            <v>-242566.15</v>
          </cell>
          <cell r="O177">
            <v>0</v>
          </cell>
          <cell r="U177" t="str">
            <v>Bilan</v>
          </cell>
          <cell r="V177" t="str">
            <v>Autres Courus</v>
          </cell>
          <cell r="W177" t="str">
            <v>$</v>
          </cell>
          <cell r="X177">
            <v>0</v>
          </cell>
        </row>
        <row r="178">
          <cell r="C178">
            <v>-2350000</v>
          </cell>
          <cell r="O178">
            <v>0</v>
          </cell>
          <cell r="U178" t="str">
            <v>Bilan</v>
          </cell>
          <cell r="V178" t="str">
            <v>Capital Actions</v>
          </cell>
          <cell r="W178" t="str">
            <v>$</v>
          </cell>
          <cell r="X178">
            <v>0</v>
          </cell>
        </row>
        <row r="179">
          <cell r="C179">
            <v>-1723617</v>
          </cell>
          <cell r="O179">
            <v>0</v>
          </cell>
          <cell r="U179" t="str">
            <v>Bilan</v>
          </cell>
          <cell r="V179" t="str">
            <v>Apport</v>
          </cell>
          <cell r="W179" t="str">
            <v>$</v>
          </cell>
          <cell r="X179">
            <v>0</v>
          </cell>
        </row>
        <row r="180">
          <cell r="C180">
            <v>-347547.5</v>
          </cell>
          <cell r="O180">
            <v>0</v>
          </cell>
          <cell r="U180" t="str">
            <v>Bilan</v>
          </cell>
          <cell r="V180" t="str">
            <v>Capital Actions</v>
          </cell>
          <cell r="W180">
            <v>0</v>
          </cell>
          <cell r="X180">
            <v>0</v>
          </cell>
        </row>
        <row r="181">
          <cell r="C181">
            <v>-7046263.96</v>
          </cell>
          <cell r="O181">
            <v>0</v>
          </cell>
          <cell r="U181" t="str">
            <v>Bilan</v>
          </cell>
          <cell r="V181" t="str">
            <v>Bénéfices non répartis</v>
          </cell>
          <cell r="W181" t="str">
            <v>$</v>
          </cell>
          <cell r="X181">
            <v>0</v>
          </cell>
        </row>
        <row r="182">
          <cell r="C182">
            <v>-1851870.87</v>
          </cell>
          <cell r="O182">
            <v>-276589.90000000002</v>
          </cell>
          <cell r="U182" t="str">
            <v>Véhicules neufs</v>
          </cell>
          <cell r="V182" t="str">
            <v>Rachat bail</v>
          </cell>
          <cell r="W182" t="str">
            <v>$</v>
          </cell>
          <cell r="X182" t="str">
            <v>Oui</v>
          </cell>
        </row>
        <row r="183">
          <cell r="C183">
            <v>-1424548.2</v>
          </cell>
          <cell r="O183">
            <v>-55407.95</v>
          </cell>
          <cell r="U183" t="str">
            <v>Véhicules neufs</v>
          </cell>
          <cell r="V183" t="str">
            <v>Autos détail</v>
          </cell>
          <cell r="W183" t="str">
            <v>$</v>
          </cell>
          <cell r="X183" t="str">
            <v>Oui</v>
          </cell>
        </row>
        <row r="184">
          <cell r="C184">
            <v>-1864729.12</v>
          </cell>
          <cell r="O184">
            <v>-180519.3</v>
          </cell>
          <cell r="U184" t="str">
            <v>Véhicules neufs</v>
          </cell>
          <cell r="V184" t="str">
            <v>Autos détail</v>
          </cell>
          <cell r="W184" t="str">
            <v>$</v>
          </cell>
          <cell r="X184" t="str">
            <v>Oui</v>
          </cell>
        </row>
        <row r="185">
          <cell r="C185">
            <v>-4169979.96</v>
          </cell>
          <cell r="O185">
            <v>-538431.67000000004</v>
          </cell>
          <cell r="U185" t="str">
            <v>Véhicules neufs</v>
          </cell>
          <cell r="V185" t="str">
            <v>Camions détail</v>
          </cell>
          <cell r="W185" t="str">
            <v>$</v>
          </cell>
          <cell r="X185" t="str">
            <v>Oui</v>
          </cell>
        </row>
        <row r="186">
          <cell r="C186">
            <v>-3455134.72</v>
          </cell>
          <cell r="O186">
            <v>-226700.95</v>
          </cell>
          <cell r="U186" t="str">
            <v>Véhicules neufs</v>
          </cell>
          <cell r="V186" t="str">
            <v>Camions détail</v>
          </cell>
          <cell r="W186" t="str">
            <v>$</v>
          </cell>
          <cell r="X186" t="str">
            <v>Oui</v>
          </cell>
        </row>
        <row r="187">
          <cell r="C187">
            <v>0</v>
          </cell>
          <cell r="O187">
            <v>-174460</v>
          </cell>
          <cell r="U187" t="str">
            <v>Véhicules neufs</v>
          </cell>
          <cell r="V187" t="str">
            <v>Camions détail</v>
          </cell>
          <cell r="W187" t="str">
            <v>$</v>
          </cell>
          <cell r="X187" t="str">
            <v>oui</v>
          </cell>
        </row>
        <row r="188">
          <cell r="C188">
            <v>-2150222.06</v>
          </cell>
          <cell r="O188">
            <v>-175012.98</v>
          </cell>
          <cell r="U188" t="str">
            <v>Véhicules neufs</v>
          </cell>
          <cell r="V188" t="str">
            <v>Autos détail</v>
          </cell>
          <cell r="W188" t="str">
            <v>$</v>
          </cell>
          <cell r="X188" t="str">
            <v>Oui</v>
          </cell>
        </row>
        <row r="189">
          <cell r="C189">
            <v>-3707839.34</v>
          </cell>
          <cell r="O189">
            <v>-437067.37</v>
          </cell>
          <cell r="U189" t="str">
            <v>Véhicules neufs</v>
          </cell>
          <cell r="V189" t="str">
            <v>Camions détail</v>
          </cell>
          <cell r="W189" t="str">
            <v>$</v>
          </cell>
          <cell r="X189" t="str">
            <v>Oui</v>
          </cell>
        </row>
        <row r="190">
          <cell r="C190">
            <v>-429258.57</v>
          </cell>
          <cell r="O190">
            <v>-72900.84</v>
          </cell>
          <cell r="U190" t="str">
            <v>Véhicules neufs</v>
          </cell>
          <cell r="V190" t="str">
            <v>Flottes</v>
          </cell>
          <cell r="W190" t="str">
            <v>$</v>
          </cell>
          <cell r="X190" t="str">
            <v>Oui</v>
          </cell>
        </row>
        <row r="191">
          <cell r="C191">
            <v>-1330970.8799999999</v>
          </cell>
          <cell r="O191">
            <v>-252857.68</v>
          </cell>
          <cell r="U191" t="str">
            <v>Véhicules neufs</v>
          </cell>
          <cell r="V191" t="str">
            <v>Ex-Démos et courtoisies</v>
          </cell>
          <cell r="W191" t="str">
            <v>$</v>
          </cell>
          <cell r="X191" t="str">
            <v>Oui</v>
          </cell>
        </row>
        <row r="192">
          <cell r="C192">
            <v>-9852708.1500000004</v>
          </cell>
          <cell r="O192">
            <v>0</v>
          </cell>
          <cell r="U192" t="str">
            <v>Véhicules neufs</v>
          </cell>
          <cell r="V192" t="str">
            <v>Camions détail</v>
          </cell>
          <cell r="W192" t="str">
            <v>$</v>
          </cell>
          <cell r="X192" t="str">
            <v>Oui</v>
          </cell>
        </row>
        <row r="193">
          <cell r="C193">
            <v>-699656.19</v>
          </cell>
          <cell r="O193">
            <v>-37295</v>
          </cell>
          <cell r="U193" t="str">
            <v>Véhicules neufs</v>
          </cell>
          <cell r="V193" t="str">
            <v>Autos détail</v>
          </cell>
          <cell r="W193" t="str">
            <v>$</v>
          </cell>
          <cell r="X193" t="str">
            <v>Oui</v>
          </cell>
        </row>
        <row r="194">
          <cell r="C194">
            <v>-5608429.4000000004</v>
          </cell>
          <cell r="O194">
            <v>-808522.04</v>
          </cell>
          <cell r="U194" t="str">
            <v>Véhicules usagés</v>
          </cell>
          <cell r="V194" t="str">
            <v>Certifié</v>
          </cell>
          <cell r="W194" t="str">
            <v>$</v>
          </cell>
          <cell r="X194" t="str">
            <v>Oui</v>
          </cell>
        </row>
        <row r="195">
          <cell r="C195">
            <v>-54703.11</v>
          </cell>
          <cell r="O195">
            <v>-39091.199999999997</v>
          </cell>
          <cell r="U195" t="str">
            <v>Véhicules usagés</v>
          </cell>
          <cell r="V195" t="str">
            <v>Non Certifié</v>
          </cell>
          <cell r="W195" t="str">
            <v>$</v>
          </cell>
          <cell r="X195" t="str">
            <v>Oui</v>
          </cell>
        </row>
        <row r="196">
          <cell r="C196">
            <v>-260862.4</v>
          </cell>
          <cell r="O196">
            <v>-57142.8</v>
          </cell>
          <cell r="U196" t="str">
            <v>Véhicules usagés</v>
          </cell>
          <cell r="V196" t="str">
            <v>Autres Marques</v>
          </cell>
          <cell r="W196" t="str">
            <v>$</v>
          </cell>
          <cell r="X196" t="str">
            <v>Oui</v>
          </cell>
        </row>
        <row r="197">
          <cell r="C197">
            <v>-5733675.9299999997</v>
          </cell>
          <cell r="O197">
            <v>-353541.93</v>
          </cell>
          <cell r="U197" t="str">
            <v>Véhicules usagés</v>
          </cell>
          <cell r="V197" t="str">
            <v>Ventes au Gros</v>
          </cell>
          <cell r="W197" t="str">
            <v>$</v>
          </cell>
          <cell r="X197" t="str">
            <v>Oui</v>
          </cell>
        </row>
        <row r="198">
          <cell r="C198">
            <v>-1209459.74</v>
          </cell>
          <cell r="O198">
            <v>-204221.83</v>
          </cell>
          <cell r="U198" t="str">
            <v>Service</v>
          </cell>
          <cell r="V198" t="str">
            <v>M/O Client</v>
          </cell>
          <cell r="W198" t="str">
            <v>$</v>
          </cell>
          <cell r="X198" t="str">
            <v>Oui</v>
          </cell>
        </row>
        <row r="199">
          <cell r="C199">
            <v>-117138.57</v>
          </cell>
          <cell r="O199">
            <v>-11017.45</v>
          </cell>
          <cell r="U199" t="str">
            <v>Service</v>
          </cell>
          <cell r="V199" t="str">
            <v>M/O Esthétique</v>
          </cell>
          <cell r="W199" t="str">
            <v>$</v>
          </cell>
          <cell r="X199" t="str">
            <v>Oui</v>
          </cell>
        </row>
        <row r="200">
          <cell r="C200">
            <v>-292232.71000000002</v>
          </cell>
          <cell r="O200">
            <v>-48010.05</v>
          </cell>
          <cell r="U200" t="str">
            <v>Service</v>
          </cell>
          <cell r="V200" t="str">
            <v>M/O Garantie</v>
          </cell>
          <cell r="W200" t="str">
            <v>$</v>
          </cell>
          <cell r="X200" t="str">
            <v>Oui</v>
          </cell>
        </row>
        <row r="201">
          <cell r="C201">
            <v>-664688.75</v>
          </cell>
          <cell r="O201">
            <v>-69756.490000000005</v>
          </cell>
          <cell r="U201" t="str">
            <v>Service</v>
          </cell>
          <cell r="V201" t="str">
            <v>M/O Interne</v>
          </cell>
          <cell r="W201" t="str">
            <v>$</v>
          </cell>
          <cell r="X201" t="str">
            <v>Oui</v>
          </cell>
        </row>
        <row r="202">
          <cell r="C202">
            <v>-193497.46</v>
          </cell>
          <cell r="O202">
            <v>-30225.95</v>
          </cell>
          <cell r="U202" t="str">
            <v>Pièces</v>
          </cell>
          <cell r="V202" t="str">
            <v>Huiles et Graisse</v>
          </cell>
          <cell r="W202" t="str">
            <v>$</v>
          </cell>
          <cell r="X202" t="str">
            <v>Oui</v>
          </cell>
        </row>
        <row r="203">
          <cell r="C203">
            <v>-52098.48</v>
          </cell>
          <cell r="O203">
            <v>-6242.7</v>
          </cell>
          <cell r="U203" t="str">
            <v>Service</v>
          </cell>
          <cell r="V203" t="str">
            <v>Sous-traitement</v>
          </cell>
          <cell r="W203" t="str">
            <v>$</v>
          </cell>
          <cell r="X203" t="str">
            <v>Oui</v>
          </cell>
        </row>
        <row r="204">
          <cell r="C204">
            <v>-6700</v>
          </cell>
          <cell r="O204">
            <v>-3800</v>
          </cell>
          <cell r="U204" t="str">
            <v>Service</v>
          </cell>
          <cell r="V204" t="str">
            <v>Sous-traitement</v>
          </cell>
          <cell r="W204" t="str">
            <v>$</v>
          </cell>
          <cell r="X204" t="str">
            <v>Oui</v>
          </cell>
        </row>
        <row r="205">
          <cell r="C205">
            <v>-93694.91</v>
          </cell>
          <cell r="O205">
            <v>-7262.39</v>
          </cell>
          <cell r="U205" t="str">
            <v>Service</v>
          </cell>
          <cell r="V205" t="str">
            <v>Sous-traitement</v>
          </cell>
          <cell r="W205" t="str">
            <v>$</v>
          </cell>
          <cell r="X205" t="str">
            <v>Oui</v>
          </cell>
        </row>
        <row r="206">
          <cell r="C206">
            <v>-78490.14</v>
          </cell>
          <cell r="O206">
            <v>-10359.950000000001</v>
          </cell>
          <cell r="U206" t="str">
            <v>Service</v>
          </cell>
          <cell r="V206" t="str">
            <v>M.O. Recond. MCPA</v>
          </cell>
          <cell r="W206" t="str">
            <v>$</v>
          </cell>
          <cell r="X206" t="str">
            <v>Oui</v>
          </cell>
        </row>
        <row r="207">
          <cell r="C207">
            <v>-79123.39</v>
          </cell>
          <cell r="O207">
            <v>-3477.58</v>
          </cell>
          <cell r="U207" t="str">
            <v>Carrosserie</v>
          </cell>
          <cell r="V207" t="str">
            <v>M/O Sous-traitement</v>
          </cell>
          <cell r="W207" t="str">
            <v>$</v>
          </cell>
          <cell r="X207" t="str">
            <v>Oui</v>
          </cell>
        </row>
        <row r="208">
          <cell r="C208">
            <v>-204244.57</v>
          </cell>
          <cell r="O208">
            <v>-3578.95</v>
          </cell>
          <cell r="U208" t="str">
            <v>Carrosserie</v>
          </cell>
          <cell r="V208" t="str">
            <v>M/O Sous-traitement</v>
          </cell>
          <cell r="W208" t="str">
            <v>$</v>
          </cell>
          <cell r="X208" t="str">
            <v>Oui</v>
          </cell>
        </row>
        <row r="209">
          <cell r="C209">
            <v>-5365.22</v>
          </cell>
          <cell r="O209">
            <v>-3879.7</v>
          </cell>
          <cell r="U209" t="str">
            <v>Carrosserie</v>
          </cell>
          <cell r="V209" t="str">
            <v>M/O Sous-traitement</v>
          </cell>
          <cell r="W209" t="str">
            <v>$</v>
          </cell>
          <cell r="X209" t="str">
            <v>Oui</v>
          </cell>
        </row>
        <row r="210">
          <cell r="C210">
            <v>-743881.26</v>
          </cell>
          <cell r="O210">
            <v>-107853</v>
          </cell>
          <cell r="U210" t="str">
            <v>Pièces</v>
          </cell>
          <cell r="V210" t="str">
            <v>Pièces Ro Clients</v>
          </cell>
          <cell r="W210" t="str">
            <v>$</v>
          </cell>
          <cell r="X210" t="str">
            <v>Oui</v>
          </cell>
        </row>
        <row r="211">
          <cell r="C211">
            <v>-8347.33</v>
          </cell>
          <cell r="O211">
            <v>-1383.74</v>
          </cell>
          <cell r="U211" t="str">
            <v>Service</v>
          </cell>
          <cell r="V211" t="str">
            <v>M/O Client</v>
          </cell>
          <cell r="W211" t="str">
            <v>$</v>
          </cell>
          <cell r="X211" t="str">
            <v>Oui</v>
          </cell>
        </row>
        <row r="212">
          <cell r="C212">
            <v>-373105.91999999998</v>
          </cell>
          <cell r="O212">
            <v>-43545.83</v>
          </cell>
          <cell r="U212" t="str">
            <v>Pièces</v>
          </cell>
          <cell r="V212" t="str">
            <v>P/A Garantie</v>
          </cell>
          <cell r="W212" t="str">
            <v>$</v>
          </cell>
          <cell r="X212" t="str">
            <v>Oui</v>
          </cell>
        </row>
        <row r="213">
          <cell r="C213">
            <v>-13.17</v>
          </cell>
          <cell r="O213">
            <v>0</v>
          </cell>
          <cell r="U213" t="str">
            <v>Service</v>
          </cell>
          <cell r="V213" t="str">
            <v>M/O Interne</v>
          </cell>
          <cell r="W213" t="str">
            <v>$</v>
          </cell>
          <cell r="X213" t="str">
            <v>Oui</v>
          </cell>
        </row>
        <row r="214">
          <cell r="C214">
            <v>-478715.48</v>
          </cell>
          <cell r="O214">
            <v>-69951.149999999994</v>
          </cell>
          <cell r="U214" t="str">
            <v>Pièces</v>
          </cell>
          <cell r="V214" t="str">
            <v>Ventes Internes</v>
          </cell>
          <cell r="W214" t="str">
            <v>$</v>
          </cell>
          <cell r="X214" t="str">
            <v>Oui</v>
          </cell>
        </row>
        <row r="215">
          <cell r="C215">
            <v>-1281.3599999999999</v>
          </cell>
          <cell r="O215">
            <v>-225</v>
          </cell>
          <cell r="U215" t="str">
            <v>Service</v>
          </cell>
          <cell r="V215" t="str">
            <v>M/O Interne</v>
          </cell>
          <cell r="W215" t="str">
            <v>$</v>
          </cell>
          <cell r="X215" t="str">
            <v>Oui</v>
          </cell>
        </row>
        <row r="216">
          <cell r="C216">
            <v>-28812.78</v>
          </cell>
          <cell r="O216">
            <v>-4188.6499999999996</v>
          </cell>
          <cell r="U216" t="str">
            <v>Pièces</v>
          </cell>
          <cell r="V216" t="str">
            <v>Pièces Ro Clients</v>
          </cell>
          <cell r="W216" t="str">
            <v>$</v>
          </cell>
          <cell r="X216" t="str">
            <v>Oui</v>
          </cell>
        </row>
        <row r="217">
          <cell r="C217">
            <v>-22350.61</v>
          </cell>
          <cell r="O217">
            <v>0</v>
          </cell>
          <cell r="U217" t="str">
            <v>Pièces</v>
          </cell>
          <cell r="V217" t="str">
            <v>Pièces Ro Carrosserie</v>
          </cell>
          <cell r="W217" t="str">
            <v>$</v>
          </cell>
          <cell r="X217" t="str">
            <v>Oui</v>
          </cell>
        </row>
        <row r="218">
          <cell r="C218">
            <v>-147051.82</v>
          </cell>
          <cell r="O218">
            <v>-773.31</v>
          </cell>
          <cell r="U218" t="str">
            <v>Pièces</v>
          </cell>
          <cell r="V218" t="str">
            <v>Pièces Ro Carrosserie</v>
          </cell>
          <cell r="W218" t="str">
            <v>$</v>
          </cell>
          <cell r="X218" t="str">
            <v>Oui</v>
          </cell>
        </row>
        <row r="219">
          <cell r="C219">
            <v>-5944.5</v>
          </cell>
          <cell r="O219">
            <v>-3978.54</v>
          </cell>
          <cell r="U219" t="str">
            <v>Pièces</v>
          </cell>
          <cell r="V219" t="str">
            <v>Pièces Ro Carrosserie</v>
          </cell>
          <cell r="W219" t="str">
            <v>$</v>
          </cell>
          <cell r="X219" t="str">
            <v>Oui</v>
          </cell>
        </row>
        <row r="220">
          <cell r="C220">
            <v>-163096.66</v>
          </cell>
          <cell r="O220">
            <v>-19722.91</v>
          </cell>
          <cell r="U220" t="str">
            <v>Pièces</v>
          </cell>
          <cell r="V220" t="str">
            <v>Ventes Détails</v>
          </cell>
          <cell r="W220" t="str">
            <v>$</v>
          </cell>
          <cell r="X220" t="str">
            <v>Oui</v>
          </cell>
        </row>
        <row r="221">
          <cell r="C221">
            <v>-1341295.54</v>
          </cell>
          <cell r="O221">
            <v>-221066.25</v>
          </cell>
          <cell r="U221" t="str">
            <v>Pièces</v>
          </cell>
          <cell r="V221" t="str">
            <v>Ventes de Gros</v>
          </cell>
          <cell r="W221" t="str">
            <v>$</v>
          </cell>
          <cell r="X221" t="str">
            <v>Oui</v>
          </cell>
        </row>
        <row r="222">
          <cell r="C222">
            <v>-272949.71000000002</v>
          </cell>
          <cell r="O222">
            <v>-62709.29</v>
          </cell>
          <cell r="U222" t="str">
            <v>Pièces</v>
          </cell>
          <cell r="V222" t="str">
            <v>Ventes Pneus</v>
          </cell>
          <cell r="W222" t="str">
            <v>$</v>
          </cell>
          <cell r="X222" t="str">
            <v>Oui</v>
          </cell>
        </row>
        <row r="223">
          <cell r="C223">
            <v>-5337.88</v>
          </cell>
          <cell r="O223">
            <v>-7647.84</v>
          </cell>
          <cell r="U223" t="str">
            <v>Pièces</v>
          </cell>
          <cell r="V223" t="str">
            <v>Ventes Pneus</v>
          </cell>
          <cell r="W223" t="str">
            <v>$</v>
          </cell>
          <cell r="X223" t="str">
            <v>Oui</v>
          </cell>
        </row>
        <row r="224">
          <cell r="C224">
            <v>1784195.5</v>
          </cell>
          <cell r="O224">
            <v>266489.90000000002</v>
          </cell>
          <cell r="U224" t="str">
            <v>Véhicules neufs</v>
          </cell>
          <cell r="V224" t="str">
            <v>Rachat bail</v>
          </cell>
          <cell r="W224" t="str">
            <v>$</v>
          </cell>
          <cell r="X224">
            <v>0</v>
          </cell>
        </row>
        <row r="225">
          <cell r="C225">
            <v>1338980.53</v>
          </cell>
          <cell r="O225">
            <v>51180.85</v>
          </cell>
          <cell r="U225" t="str">
            <v>Véhicules neufs</v>
          </cell>
          <cell r="V225" t="str">
            <v>Autos détail</v>
          </cell>
          <cell r="W225" t="str">
            <v>$</v>
          </cell>
          <cell r="X225">
            <v>0</v>
          </cell>
        </row>
        <row r="226">
          <cell r="C226">
            <v>1782737.6</v>
          </cell>
          <cell r="O226">
            <v>171393.46</v>
          </cell>
          <cell r="U226" t="str">
            <v>Véhicules neufs</v>
          </cell>
          <cell r="V226" t="str">
            <v>Autos détail</v>
          </cell>
          <cell r="W226" t="str">
            <v>$</v>
          </cell>
          <cell r="X226">
            <v>0</v>
          </cell>
        </row>
        <row r="227">
          <cell r="C227">
            <v>3973052.71</v>
          </cell>
          <cell r="O227">
            <v>516779.5</v>
          </cell>
          <cell r="U227" t="str">
            <v>Véhicules neufs</v>
          </cell>
          <cell r="V227" t="str">
            <v>Camions détail</v>
          </cell>
          <cell r="W227" t="str">
            <v>$</v>
          </cell>
          <cell r="X227">
            <v>0</v>
          </cell>
        </row>
        <row r="228">
          <cell r="C228">
            <v>3264165.98</v>
          </cell>
          <cell r="O228">
            <v>221547.37</v>
          </cell>
          <cell r="U228" t="str">
            <v>Véhicules neufs</v>
          </cell>
          <cell r="V228" t="str">
            <v>Camions détail</v>
          </cell>
          <cell r="W228" t="str">
            <v>$</v>
          </cell>
          <cell r="X228">
            <v>0</v>
          </cell>
        </row>
        <row r="229">
          <cell r="C229">
            <v>0</v>
          </cell>
          <cell r="O229">
            <v>170090.37</v>
          </cell>
          <cell r="U229" t="str">
            <v>Véhicules neufs</v>
          </cell>
          <cell r="V229" t="str">
            <v>Camions détail</v>
          </cell>
          <cell r="W229" t="str">
            <v>$</v>
          </cell>
          <cell r="X229">
            <v>0</v>
          </cell>
        </row>
        <row r="230">
          <cell r="C230">
            <v>2041606.91</v>
          </cell>
          <cell r="O230">
            <v>166971.62</v>
          </cell>
          <cell r="U230" t="str">
            <v>Véhicules neufs</v>
          </cell>
          <cell r="V230" t="str">
            <v>Autos détail</v>
          </cell>
          <cell r="W230" t="str">
            <v>$</v>
          </cell>
          <cell r="X230">
            <v>0</v>
          </cell>
        </row>
        <row r="231">
          <cell r="C231">
            <v>3515707.53</v>
          </cell>
          <cell r="O231">
            <v>419969.51</v>
          </cell>
          <cell r="U231" t="str">
            <v>Véhicules neufs</v>
          </cell>
          <cell r="V231" t="str">
            <v>Camions détail</v>
          </cell>
          <cell r="W231" t="str">
            <v>$</v>
          </cell>
          <cell r="X231">
            <v>0</v>
          </cell>
        </row>
        <row r="232">
          <cell r="C232">
            <v>406686.71</v>
          </cell>
          <cell r="O232">
            <v>72133.88</v>
          </cell>
          <cell r="U232" t="str">
            <v>Véhicules neufs</v>
          </cell>
          <cell r="V232" t="str">
            <v>Flottes</v>
          </cell>
          <cell r="W232" t="str">
            <v>$</v>
          </cell>
          <cell r="X232">
            <v>0</v>
          </cell>
        </row>
        <row r="233">
          <cell r="C233">
            <v>1284917.03</v>
          </cell>
          <cell r="O233">
            <v>246624.38</v>
          </cell>
          <cell r="U233" t="str">
            <v>Véhicules neufs</v>
          </cell>
          <cell r="V233" t="str">
            <v>Ex-Démos et courtoisies</v>
          </cell>
          <cell r="W233" t="str">
            <v>$</v>
          </cell>
          <cell r="X233">
            <v>0</v>
          </cell>
        </row>
        <row r="234">
          <cell r="C234">
            <v>9425410.4600000009</v>
          </cell>
          <cell r="O234">
            <v>0</v>
          </cell>
          <cell r="U234" t="str">
            <v>Véhicules neufs</v>
          </cell>
          <cell r="V234" t="str">
            <v>Camions détail</v>
          </cell>
          <cell r="W234" t="str">
            <v>$</v>
          </cell>
          <cell r="X234">
            <v>0</v>
          </cell>
        </row>
        <row r="235">
          <cell r="C235">
            <v>667407.98</v>
          </cell>
          <cell r="O235">
            <v>37062.199999999997</v>
          </cell>
          <cell r="U235" t="str">
            <v>Véhicules neufs</v>
          </cell>
          <cell r="V235" t="str">
            <v>Autos détail</v>
          </cell>
          <cell r="W235" t="str">
            <v>$</v>
          </cell>
          <cell r="X235">
            <v>0</v>
          </cell>
        </row>
        <row r="236">
          <cell r="C236">
            <v>5026359.49</v>
          </cell>
          <cell r="O236">
            <v>686745.48</v>
          </cell>
          <cell r="U236" t="str">
            <v>Véhicules usagés</v>
          </cell>
          <cell r="V236" t="str">
            <v>Certifié</v>
          </cell>
          <cell r="W236" t="str">
            <v>$</v>
          </cell>
          <cell r="X236">
            <v>0</v>
          </cell>
        </row>
        <row r="237">
          <cell r="C237">
            <v>397350.88</v>
          </cell>
          <cell r="O237">
            <v>83520.990000000005</v>
          </cell>
          <cell r="U237" t="str">
            <v>Véhicules usagés</v>
          </cell>
          <cell r="V237" t="str">
            <v>Certifié</v>
          </cell>
          <cell r="W237" t="str">
            <v>$</v>
          </cell>
          <cell r="X237">
            <v>0</v>
          </cell>
        </row>
        <row r="238">
          <cell r="C238">
            <v>1566.29</v>
          </cell>
          <cell r="O238">
            <v>0</v>
          </cell>
          <cell r="U238" t="str">
            <v>Véhicules usagés</v>
          </cell>
          <cell r="V238" t="str">
            <v>Certifié</v>
          </cell>
          <cell r="W238" t="str">
            <v>$</v>
          </cell>
          <cell r="X238">
            <v>0</v>
          </cell>
        </row>
        <row r="239">
          <cell r="C239">
            <v>50655</v>
          </cell>
          <cell r="O239">
            <v>31450</v>
          </cell>
          <cell r="U239" t="str">
            <v>Véhicules usagés</v>
          </cell>
          <cell r="V239" t="str">
            <v>Non Certifié</v>
          </cell>
          <cell r="W239" t="str">
            <v>$</v>
          </cell>
          <cell r="X239">
            <v>0</v>
          </cell>
        </row>
        <row r="240">
          <cell r="C240">
            <v>1642.67</v>
          </cell>
          <cell r="O240">
            <v>3136.82</v>
          </cell>
          <cell r="U240" t="str">
            <v>Véhicules usagés</v>
          </cell>
          <cell r="V240" t="str">
            <v>Non Certifié</v>
          </cell>
          <cell r="W240" t="str">
            <v>$</v>
          </cell>
          <cell r="X240">
            <v>0</v>
          </cell>
        </row>
        <row r="241">
          <cell r="C241">
            <v>236297.83</v>
          </cell>
          <cell r="O241">
            <v>50450</v>
          </cell>
          <cell r="U241" t="str">
            <v>Véhicules usagés</v>
          </cell>
          <cell r="V241" t="str">
            <v>Autres Marques</v>
          </cell>
          <cell r="W241" t="str">
            <v>$</v>
          </cell>
          <cell r="X241">
            <v>0</v>
          </cell>
        </row>
        <row r="242">
          <cell r="C242">
            <v>19814.599999999999</v>
          </cell>
          <cell r="O242">
            <v>7890.25</v>
          </cell>
          <cell r="U242" t="str">
            <v>Véhicules usagés</v>
          </cell>
          <cell r="V242" t="str">
            <v>Non Certifié</v>
          </cell>
          <cell r="W242" t="str">
            <v>$</v>
          </cell>
          <cell r="X242">
            <v>0</v>
          </cell>
        </row>
        <row r="243">
          <cell r="C243">
            <v>5753939.2300000004</v>
          </cell>
          <cell r="O243">
            <v>347752.73</v>
          </cell>
          <cell r="U243" t="str">
            <v>Véhicules usagés</v>
          </cell>
          <cell r="V243" t="str">
            <v>Ventes au Gros</v>
          </cell>
          <cell r="W243" t="str">
            <v>$</v>
          </cell>
          <cell r="X243">
            <v>0</v>
          </cell>
        </row>
        <row r="244">
          <cell r="C244">
            <v>248380.37</v>
          </cell>
          <cell r="O244">
            <v>38048.120000000003</v>
          </cell>
          <cell r="U244" t="str">
            <v>Service</v>
          </cell>
          <cell r="V244" t="str">
            <v>M/O Client</v>
          </cell>
          <cell r="W244" t="str">
            <v>$</v>
          </cell>
          <cell r="X244">
            <v>0</v>
          </cell>
        </row>
        <row r="245">
          <cell r="C245">
            <v>29492.59</v>
          </cell>
          <cell r="O245">
            <v>2346.2399999999998</v>
          </cell>
          <cell r="U245" t="str">
            <v>Service</v>
          </cell>
          <cell r="V245" t="str">
            <v>M/O Esthétique</v>
          </cell>
          <cell r="W245" t="str">
            <v>$</v>
          </cell>
          <cell r="X245">
            <v>0</v>
          </cell>
        </row>
        <row r="246">
          <cell r="C246">
            <v>101107.82</v>
          </cell>
          <cell r="O246">
            <v>16153.94</v>
          </cell>
          <cell r="U246" t="str">
            <v>Service</v>
          </cell>
          <cell r="V246" t="str">
            <v>M/O Garantie</v>
          </cell>
          <cell r="W246" t="str">
            <v>$</v>
          </cell>
          <cell r="X246">
            <v>0</v>
          </cell>
        </row>
        <row r="247">
          <cell r="C247">
            <v>165321.10999999999</v>
          </cell>
          <cell r="O247">
            <v>15237.22</v>
          </cell>
          <cell r="U247" t="str">
            <v>Service</v>
          </cell>
          <cell r="V247" t="str">
            <v>M/O Interne</v>
          </cell>
          <cell r="W247" t="str">
            <v>$</v>
          </cell>
          <cell r="X247">
            <v>0</v>
          </cell>
        </row>
        <row r="248">
          <cell r="C248">
            <v>24724.7</v>
          </cell>
          <cell r="O248">
            <v>3610.57</v>
          </cell>
          <cell r="U248" t="str">
            <v>Service</v>
          </cell>
          <cell r="V248" t="str">
            <v>Ajustement M/O</v>
          </cell>
          <cell r="W248" t="str">
            <v>$</v>
          </cell>
          <cell r="X248">
            <v>0</v>
          </cell>
        </row>
        <row r="249">
          <cell r="C249">
            <v>144413.29999999999</v>
          </cell>
          <cell r="O249">
            <v>22339.82</v>
          </cell>
          <cell r="U249" t="str">
            <v>Pièces</v>
          </cell>
          <cell r="V249" t="str">
            <v>Huiles et Graisse</v>
          </cell>
          <cell r="W249" t="str">
            <v>$</v>
          </cell>
          <cell r="X249">
            <v>0</v>
          </cell>
        </row>
        <row r="250">
          <cell r="C250">
            <v>38566.83</v>
          </cell>
          <cell r="O250">
            <v>4352</v>
          </cell>
          <cell r="U250" t="str">
            <v>Service</v>
          </cell>
          <cell r="V250" t="str">
            <v>Sous-traitement</v>
          </cell>
          <cell r="W250" t="str">
            <v>$</v>
          </cell>
          <cell r="X250">
            <v>0</v>
          </cell>
        </row>
        <row r="251">
          <cell r="C251">
            <v>9452.1</v>
          </cell>
          <cell r="O251">
            <v>3850</v>
          </cell>
          <cell r="U251" t="str">
            <v>Service</v>
          </cell>
          <cell r="V251" t="str">
            <v>Sous-traitement</v>
          </cell>
          <cell r="W251" t="str">
            <v>$</v>
          </cell>
          <cell r="X251">
            <v>0</v>
          </cell>
        </row>
        <row r="252">
          <cell r="C252">
            <v>76624.179999999993</v>
          </cell>
          <cell r="O252">
            <v>5777.39</v>
          </cell>
          <cell r="U252" t="str">
            <v>Service</v>
          </cell>
          <cell r="V252" t="str">
            <v>Sous-traitement</v>
          </cell>
          <cell r="W252" t="str">
            <v>$</v>
          </cell>
          <cell r="X252">
            <v>0</v>
          </cell>
        </row>
        <row r="253">
          <cell r="C253">
            <v>22088.68</v>
          </cell>
          <cell r="O253">
            <v>3278.1</v>
          </cell>
          <cell r="U253" t="str">
            <v>Service</v>
          </cell>
          <cell r="V253" t="str">
            <v>M.O. Recond. MCPA</v>
          </cell>
          <cell r="W253" t="str">
            <v>$</v>
          </cell>
          <cell r="X253">
            <v>0</v>
          </cell>
        </row>
        <row r="254">
          <cell r="C254">
            <v>22975.58</v>
          </cell>
          <cell r="O254">
            <v>0</v>
          </cell>
          <cell r="U254" t="str">
            <v>Carrosserie</v>
          </cell>
          <cell r="V254" t="str">
            <v>M/O Sous-traitement</v>
          </cell>
          <cell r="W254" t="str">
            <v>$</v>
          </cell>
          <cell r="X254">
            <v>0</v>
          </cell>
        </row>
        <row r="255">
          <cell r="C255">
            <v>204244.57</v>
          </cell>
          <cell r="O255">
            <v>3578.95</v>
          </cell>
          <cell r="U255" t="str">
            <v>Carrosserie</v>
          </cell>
          <cell r="V255" t="str">
            <v>M/O Sous-traitement</v>
          </cell>
          <cell r="W255" t="str">
            <v>$</v>
          </cell>
          <cell r="X255">
            <v>0</v>
          </cell>
        </row>
        <row r="256">
          <cell r="C256">
            <v>4160.22</v>
          </cell>
          <cell r="O256">
            <v>3527.25</v>
          </cell>
          <cell r="U256" t="str">
            <v>Carrosserie</v>
          </cell>
          <cell r="V256" t="str">
            <v>M/O Sous-traitement</v>
          </cell>
          <cell r="W256" t="str">
            <v>$</v>
          </cell>
          <cell r="X256">
            <v>0</v>
          </cell>
        </row>
        <row r="257">
          <cell r="C257">
            <v>471272.92</v>
          </cell>
          <cell r="O257">
            <v>71949.929999999993</v>
          </cell>
          <cell r="U257" t="str">
            <v>Pièces</v>
          </cell>
          <cell r="V257" t="str">
            <v>Pièces Ro Clients</v>
          </cell>
          <cell r="W257" t="str">
            <v>$</v>
          </cell>
          <cell r="X257">
            <v>0</v>
          </cell>
        </row>
        <row r="258">
          <cell r="C258">
            <v>5668.73</v>
          </cell>
          <cell r="O258">
            <v>936.23</v>
          </cell>
          <cell r="U258" t="str">
            <v>Service</v>
          </cell>
          <cell r="V258" t="str">
            <v>M/O Client</v>
          </cell>
          <cell r="W258" t="str">
            <v>$</v>
          </cell>
          <cell r="X258">
            <v>0</v>
          </cell>
        </row>
        <row r="259">
          <cell r="C259">
            <v>286045.39</v>
          </cell>
          <cell r="O259">
            <v>33646.65</v>
          </cell>
          <cell r="U259" t="str">
            <v>Pièces</v>
          </cell>
          <cell r="V259" t="str">
            <v>P/A Garantie</v>
          </cell>
          <cell r="W259" t="str">
            <v>$</v>
          </cell>
          <cell r="X259">
            <v>0</v>
          </cell>
        </row>
        <row r="260">
          <cell r="C260">
            <v>10.119999999999999</v>
          </cell>
          <cell r="O260">
            <v>0</v>
          </cell>
          <cell r="U260" t="str">
            <v>Service</v>
          </cell>
          <cell r="V260" t="str">
            <v>M/O Interne</v>
          </cell>
          <cell r="W260" t="str">
            <v>$</v>
          </cell>
          <cell r="X260">
            <v>0</v>
          </cell>
        </row>
        <row r="261">
          <cell r="C261">
            <v>340322.78</v>
          </cell>
          <cell r="O261">
            <v>50892.31</v>
          </cell>
          <cell r="U261" t="str">
            <v>Pièces</v>
          </cell>
          <cell r="V261" t="str">
            <v>Ventes Internes</v>
          </cell>
          <cell r="W261" t="str">
            <v>$</v>
          </cell>
          <cell r="X261">
            <v>0</v>
          </cell>
        </row>
        <row r="262">
          <cell r="C262">
            <v>870.99</v>
          </cell>
          <cell r="O262">
            <v>151.80000000000001</v>
          </cell>
          <cell r="U262" t="str">
            <v>Service</v>
          </cell>
          <cell r="V262" t="str">
            <v>M/O Interne</v>
          </cell>
          <cell r="W262" t="str">
            <v>$</v>
          </cell>
          <cell r="X262">
            <v>0</v>
          </cell>
        </row>
        <row r="263">
          <cell r="C263">
            <v>19038.68</v>
          </cell>
          <cell r="O263">
            <v>2694.2</v>
          </cell>
          <cell r="U263" t="str">
            <v>Pièces</v>
          </cell>
          <cell r="V263" t="str">
            <v>Pièces Ro Clients</v>
          </cell>
          <cell r="W263" t="str">
            <v>$</v>
          </cell>
          <cell r="X263">
            <v>0</v>
          </cell>
        </row>
        <row r="264">
          <cell r="C264">
            <v>15530.37</v>
          </cell>
          <cell r="O264">
            <v>0</v>
          </cell>
          <cell r="U264" t="str">
            <v>Pièces</v>
          </cell>
          <cell r="V264" t="str">
            <v>Pièces Ro Carrosserie</v>
          </cell>
          <cell r="W264" t="str">
            <v>$</v>
          </cell>
          <cell r="X264">
            <v>0</v>
          </cell>
        </row>
        <row r="265">
          <cell r="C265">
            <v>112630.55</v>
          </cell>
          <cell r="O265">
            <v>594.86</v>
          </cell>
          <cell r="U265" t="str">
            <v>Pièces</v>
          </cell>
          <cell r="V265" t="str">
            <v>Pièces Ro Carrosserie</v>
          </cell>
          <cell r="W265" t="str">
            <v>$</v>
          </cell>
          <cell r="X265">
            <v>0</v>
          </cell>
        </row>
        <row r="266">
          <cell r="C266">
            <v>3776.26</v>
          </cell>
          <cell r="O266">
            <v>3060.4</v>
          </cell>
          <cell r="U266" t="str">
            <v>Pièces</v>
          </cell>
          <cell r="V266" t="str">
            <v>Pièces Ro Carrosserie</v>
          </cell>
          <cell r="W266" t="str">
            <v>$</v>
          </cell>
          <cell r="X266">
            <v>0</v>
          </cell>
        </row>
        <row r="267">
          <cell r="C267">
            <v>118240.54</v>
          </cell>
          <cell r="O267">
            <v>14453.59</v>
          </cell>
          <cell r="U267" t="str">
            <v>Pièces</v>
          </cell>
          <cell r="V267" t="str">
            <v>Ventes Détails</v>
          </cell>
          <cell r="W267" t="str">
            <v>$</v>
          </cell>
          <cell r="X267">
            <v>0</v>
          </cell>
        </row>
        <row r="268">
          <cell r="C268">
            <v>1106515.08</v>
          </cell>
          <cell r="O268">
            <v>188209.14</v>
          </cell>
          <cell r="U268" t="str">
            <v>Pièces</v>
          </cell>
          <cell r="V268" t="str">
            <v>Ventes de Gros</v>
          </cell>
          <cell r="W268" t="str">
            <v>$</v>
          </cell>
          <cell r="X268">
            <v>0</v>
          </cell>
        </row>
        <row r="269">
          <cell r="C269">
            <v>43457.3</v>
          </cell>
          <cell r="O269">
            <v>5204.04</v>
          </cell>
          <cell r="U269" t="str">
            <v>Pièces</v>
          </cell>
          <cell r="V269" t="str">
            <v>Ventes de Gros</v>
          </cell>
          <cell r="W269" t="str">
            <v>$</v>
          </cell>
          <cell r="X269">
            <v>0</v>
          </cell>
        </row>
        <row r="270">
          <cell r="C270">
            <v>227487.45</v>
          </cell>
          <cell r="O270">
            <v>51565.59</v>
          </cell>
          <cell r="U270" t="str">
            <v>Pièces</v>
          </cell>
          <cell r="V270" t="str">
            <v>Ventes Pneus</v>
          </cell>
          <cell r="W270" t="str">
            <v>$</v>
          </cell>
          <cell r="X270">
            <v>0</v>
          </cell>
        </row>
        <row r="271">
          <cell r="C271">
            <v>6383.12</v>
          </cell>
          <cell r="O271">
            <v>6688.12</v>
          </cell>
          <cell r="U271" t="str">
            <v>Pièces</v>
          </cell>
          <cell r="V271" t="str">
            <v>Ventes Pneus</v>
          </cell>
          <cell r="W271" t="str">
            <v>$</v>
          </cell>
          <cell r="X271">
            <v>0</v>
          </cell>
        </row>
        <row r="272">
          <cell r="C272">
            <v>-0.04</v>
          </cell>
          <cell r="O272">
            <v>0</v>
          </cell>
          <cell r="U272" t="e">
            <v>#N/A</v>
          </cell>
          <cell r="V272" t="e">
            <v>#N/A</v>
          </cell>
          <cell r="W272" t="e">
            <v>#N/A</v>
          </cell>
          <cell r="X272" t="e">
            <v>#N/A</v>
          </cell>
        </row>
        <row r="273">
          <cell r="C273">
            <v>-17679.47</v>
          </cell>
          <cell r="O273">
            <v>4404.18</v>
          </cell>
          <cell r="U273" t="str">
            <v>Pièces</v>
          </cell>
          <cell r="V273" t="str">
            <v>Escomptes</v>
          </cell>
          <cell r="W273" t="str">
            <v>$</v>
          </cell>
          <cell r="X273">
            <v>0</v>
          </cell>
        </row>
        <row r="274">
          <cell r="C274">
            <v>404893.06</v>
          </cell>
          <cell r="O274">
            <v>28097.97</v>
          </cell>
          <cell r="U274" t="str">
            <v>Véhicules neufs</v>
          </cell>
          <cell r="V274" t="str">
            <v>Comm. vendeurs</v>
          </cell>
          <cell r="W274" t="str">
            <v>$</v>
          </cell>
          <cell r="X274">
            <v>0</v>
          </cell>
        </row>
        <row r="275">
          <cell r="C275">
            <v>141187.07</v>
          </cell>
          <cell r="O275">
            <v>11574.71</v>
          </cell>
          <cell r="U275" t="str">
            <v>Véhicules neufs</v>
          </cell>
          <cell r="V275" t="str">
            <v>Comm. F&amp;I</v>
          </cell>
          <cell r="W275" t="str">
            <v>$</v>
          </cell>
          <cell r="X275">
            <v>0</v>
          </cell>
        </row>
        <row r="276">
          <cell r="C276">
            <v>9582.36</v>
          </cell>
          <cell r="O276">
            <v>843.18</v>
          </cell>
          <cell r="U276" t="str">
            <v>Véhicules neufs</v>
          </cell>
          <cell r="V276" t="str">
            <v>Service gratuit 1</v>
          </cell>
          <cell r="W276" t="str">
            <v>$</v>
          </cell>
          <cell r="X276">
            <v>0</v>
          </cell>
        </row>
        <row r="277">
          <cell r="C277">
            <v>68047.179999999993</v>
          </cell>
          <cell r="O277">
            <v>7992.94</v>
          </cell>
          <cell r="U277" t="str">
            <v>Véhicules neufs</v>
          </cell>
          <cell r="V277" t="str">
            <v>Entretien stock</v>
          </cell>
          <cell r="W277" t="str">
            <v>$</v>
          </cell>
          <cell r="X277">
            <v>0</v>
          </cell>
        </row>
        <row r="278">
          <cell r="C278">
            <v>321147.02</v>
          </cell>
          <cell r="O278">
            <v>26520.35</v>
          </cell>
          <cell r="U278" t="str">
            <v>Véhicules neufs</v>
          </cell>
          <cell r="V278" t="str">
            <v>Intérêt de gros</v>
          </cell>
          <cell r="W278" t="str">
            <v>$</v>
          </cell>
          <cell r="X278">
            <v>0</v>
          </cell>
        </row>
        <row r="279">
          <cell r="C279">
            <v>68636.11</v>
          </cell>
          <cell r="O279">
            <v>7817.33</v>
          </cell>
          <cell r="U279" t="str">
            <v>Véhicules neufs</v>
          </cell>
          <cell r="V279" t="str">
            <v>Frais de livraison</v>
          </cell>
          <cell r="W279" t="str">
            <v>$</v>
          </cell>
          <cell r="X279">
            <v>0</v>
          </cell>
        </row>
        <row r="280">
          <cell r="C280">
            <v>151368.71</v>
          </cell>
          <cell r="O280">
            <v>19034.18</v>
          </cell>
          <cell r="U280" t="str">
            <v>Véhicules neufs</v>
          </cell>
          <cell r="V280" t="str">
            <v>Publicité 1</v>
          </cell>
          <cell r="W280" t="str">
            <v>$</v>
          </cell>
          <cell r="X280">
            <v>0</v>
          </cell>
        </row>
        <row r="281">
          <cell r="C281">
            <v>-90150</v>
          </cell>
          <cell r="O281">
            <v>-7800</v>
          </cell>
          <cell r="U281" t="str">
            <v>Véhicules neufs</v>
          </cell>
          <cell r="V281" t="str">
            <v>Publicité 1</v>
          </cell>
          <cell r="W281" t="str">
            <v>$</v>
          </cell>
          <cell r="X281">
            <v>0</v>
          </cell>
        </row>
        <row r="282">
          <cell r="C282">
            <v>63710.73</v>
          </cell>
          <cell r="O282">
            <v>7048.68</v>
          </cell>
          <cell r="U282" t="str">
            <v>Véhicules neufs</v>
          </cell>
          <cell r="V282" t="str">
            <v>Salaires propriétaire</v>
          </cell>
          <cell r="W282" t="str">
            <v>$</v>
          </cell>
          <cell r="X282">
            <v>0</v>
          </cell>
        </row>
        <row r="283">
          <cell r="C283">
            <v>140269.4</v>
          </cell>
          <cell r="O283">
            <v>12188.2</v>
          </cell>
          <cell r="U283" t="str">
            <v>Véhicules neufs</v>
          </cell>
          <cell r="V283" t="str">
            <v>Salaires cadres</v>
          </cell>
          <cell r="W283" t="str">
            <v>$</v>
          </cell>
          <cell r="X283">
            <v>0</v>
          </cell>
        </row>
        <row r="284">
          <cell r="C284">
            <v>88374.53</v>
          </cell>
          <cell r="O284">
            <v>8630.7199999999993</v>
          </cell>
          <cell r="U284" t="str">
            <v>Véhicules neufs</v>
          </cell>
          <cell r="V284" t="str">
            <v>Salaires commis</v>
          </cell>
          <cell r="W284" t="str">
            <v>$</v>
          </cell>
          <cell r="X284">
            <v>0</v>
          </cell>
        </row>
        <row r="285">
          <cell r="C285">
            <v>32144.880000000001</v>
          </cell>
          <cell r="O285">
            <v>2146.12</v>
          </cell>
          <cell r="U285" t="str">
            <v>Véhicules neufs</v>
          </cell>
          <cell r="V285" t="str">
            <v>Salaires autres</v>
          </cell>
          <cell r="W285" t="str">
            <v>$</v>
          </cell>
          <cell r="X285">
            <v>0</v>
          </cell>
        </row>
        <row r="286">
          <cell r="C286">
            <v>99421.41</v>
          </cell>
          <cell r="O286">
            <v>10528.2</v>
          </cell>
          <cell r="U286" t="str">
            <v>Véhicules neufs</v>
          </cell>
          <cell r="V286" t="str">
            <v>Salaires en absences</v>
          </cell>
          <cell r="W286" t="str">
            <v>$</v>
          </cell>
          <cell r="X286">
            <v>0</v>
          </cell>
        </row>
        <row r="287">
          <cell r="C287">
            <v>25039.31</v>
          </cell>
          <cell r="O287">
            <v>1167.3399999999999</v>
          </cell>
          <cell r="U287" t="str">
            <v>Véhicules neufs</v>
          </cell>
          <cell r="V287" t="str">
            <v>Csst</v>
          </cell>
          <cell r="W287" t="str">
            <v>$</v>
          </cell>
          <cell r="X287">
            <v>0</v>
          </cell>
        </row>
        <row r="288">
          <cell r="C288">
            <v>137830.95000000001</v>
          </cell>
          <cell r="O288">
            <v>14036.34</v>
          </cell>
          <cell r="U288" t="str">
            <v>Véhicules neufs</v>
          </cell>
          <cell r="V288" t="str">
            <v>Déduction à la source</v>
          </cell>
          <cell r="W288" t="str">
            <v>$</v>
          </cell>
          <cell r="X288">
            <v>0</v>
          </cell>
        </row>
        <row r="289">
          <cell r="C289">
            <v>38773.32</v>
          </cell>
          <cell r="O289">
            <v>4130.46</v>
          </cell>
          <cell r="U289" t="str">
            <v>Véhicules neufs</v>
          </cell>
          <cell r="V289" t="str">
            <v>Bénéfices marginaux</v>
          </cell>
          <cell r="W289" t="str">
            <v>$</v>
          </cell>
          <cell r="X289">
            <v>0</v>
          </cell>
        </row>
        <row r="290">
          <cell r="C290">
            <v>25448.55</v>
          </cell>
          <cell r="O290">
            <v>2638.62</v>
          </cell>
          <cell r="U290" t="str">
            <v>Véhicules neufs</v>
          </cell>
          <cell r="V290" t="str">
            <v>Bénéfices marginaux</v>
          </cell>
          <cell r="W290" t="str">
            <v>$</v>
          </cell>
          <cell r="X290">
            <v>0</v>
          </cell>
        </row>
        <row r="291">
          <cell r="C291">
            <v>696.89</v>
          </cell>
          <cell r="O291">
            <v>0</v>
          </cell>
          <cell r="U291" t="str">
            <v>Véhicules neufs</v>
          </cell>
          <cell r="V291" t="str">
            <v>Fournitures autres</v>
          </cell>
          <cell r="W291" t="str">
            <v>$</v>
          </cell>
          <cell r="X291">
            <v>0</v>
          </cell>
        </row>
        <row r="292">
          <cell r="C292">
            <v>0</v>
          </cell>
          <cell r="O292">
            <v>434.88</v>
          </cell>
          <cell r="U292" t="str">
            <v>Véhicules neufs</v>
          </cell>
          <cell r="V292" t="str">
            <v>Uniformes</v>
          </cell>
          <cell r="W292" t="str">
            <v>$</v>
          </cell>
          <cell r="X292">
            <v>0</v>
          </cell>
        </row>
        <row r="293">
          <cell r="C293">
            <v>17840.27</v>
          </cell>
          <cell r="O293">
            <v>2366.96</v>
          </cell>
          <cell r="U293" t="str">
            <v>Véhicules neufs</v>
          </cell>
          <cell r="V293" t="str">
            <v>Formation</v>
          </cell>
          <cell r="W293" t="str">
            <v>$</v>
          </cell>
          <cell r="X293">
            <v>0</v>
          </cell>
        </row>
        <row r="294">
          <cell r="C294">
            <v>76996.17</v>
          </cell>
          <cell r="O294">
            <v>8473.11</v>
          </cell>
          <cell r="U294" t="str">
            <v>Véhicules neufs</v>
          </cell>
          <cell r="V294" t="str">
            <v>Frais véhicules de cie</v>
          </cell>
          <cell r="W294" t="str">
            <v>$</v>
          </cell>
          <cell r="X294">
            <v>0</v>
          </cell>
        </row>
        <row r="295">
          <cell r="C295">
            <v>790.12</v>
          </cell>
          <cell r="O295">
            <v>32.96</v>
          </cell>
          <cell r="U295" t="str">
            <v>Véhicules neufs</v>
          </cell>
          <cell r="V295" t="str">
            <v>Frais postaux</v>
          </cell>
          <cell r="W295" t="str">
            <v>$</v>
          </cell>
          <cell r="X295">
            <v>0</v>
          </cell>
        </row>
        <row r="296">
          <cell r="C296">
            <v>66353.399999999994</v>
          </cell>
          <cell r="O296">
            <v>7015.5</v>
          </cell>
          <cell r="U296" t="str">
            <v>Véhicules neufs</v>
          </cell>
          <cell r="V296" t="str">
            <v>Informatique</v>
          </cell>
          <cell r="W296" t="str">
            <v>$</v>
          </cell>
          <cell r="X296">
            <v>0</v>
          </cell>
        </row>
        <row r="297">
          <cell r="C297">
            <v>6323.24</v>
          </cell>
          <cell r="O297">
            <v>377.56</v>
          </cell>
          <cell r="U297" t="str">
            <v>Véhicules neufs</v>
          </cell>
          <cell r="V297" t="str">
            <v>Papeterie</v>
          </cell>
          <cell r="W297" t="str">
            <v>$</v>
          </cell>
          <cell r="X297">
            <v>0</v>
          </cell>
        </row>
        <row r="298">
          <cell r="C298">
            <v>3164.64</v>
          </cell>
          <cell r="O298">
            <v>393.48</v>
          </cell>
          <cell r="U298" t="str">
            <v>Véhicules neufs</v>
          </cell>
          <cell r="V298" t="str">
            <v>Téléphone</v>
          </cell>
          <cell r="W298" t="str">
            <v>$</v>
          </cell>
          <cell r="X298">
            <v>0</v>
          </cell>
        </row>
        <row r="299">
          <cell r="C299">
            <v>1388.87</v>
          </cell>
          <cell r="O299">
            <v>234.47</v>
          </cell>
          <cell r="U299" t="str">
            <v>Véhicules neufs</v>
          </cell>
          <cell r="V299" t="str">
            <v>Divers</v>
          </cell>
          <cell r="W299" t="str">
            <v>$</v>
          </cell>
          <cell r="X299">
            <v>0</v>
          </cell>
        </row>
        <row r="300">
          <cell r="C300">
            <v>12291.61</v>
          </cell>
          <cell r="O300">
            <v>2344.34</v>
          </cell>
          <cell r="U300" t="str">
            <v>Véhicules neufs</v>
          </cell>
          <cell r="V300" t="str">
            <v>Frais de déplacement</v>
          </cell>
          <cell r="W300" t="str">
            <v>$</v>
          </cell>
          <cell r="X300">
            <v>0</v>
          </cell>
        </row>
        <row r="301">
          <cell r="C301">
            <v>31687.63</v>
          </cell>
          <cell r="O301">
            <v>4782.88</v>
          </cell>
          <cell r="U301" t="str">
            <v>Véhicules neufs</v>
          </cell>
          <cell r="V301" t="str">
            <v>Frais bancaires</v>
          </cell>
          <cell r="W301" t="str">
            <v>$</v>
          </cell>
          <cell r="X301">
            <v>0</v>
          </cell>
        </row>
        <row r="302">
          <cell r="C302">
            <v>65778.94</v>
          </cell>
          <cell r="O302">
            <v>8179.53</v>
          </cell>
          <cell r="U302" t="str">
            <v>Véhicules neufs</v>
          </cell>
          <cell r="V302" t="str">
            <v>Services extérieurs</v>
          </cell>
          <cell r="W302" t="str">
            <v>$</v>
          </cell>
          <cell r="X302">
            <v>0</v>
          </cell>
        </row>
        <row r="303">
          <cell r="C303">
            <v>45386.879999999997</v>
          </cell>
          <cell r="O303">
            <v>11087.36</v>
          </cell>
          <cell r="U303" t="str">
            <v>Véhicules neufs</v>
          </cell>
          <cell r="V303" t="str">
            <v>Amortissement</v>
          </cell>
          <cell r="W303" t="str">
            <v>$</v>
          </cell>
          <cell r="X303">
            <v>0</v>
          </cell>
        </row>
        <row r="304">
          <cell r="C304">
            <v>11320.94</v>
          </cell>
          <cell r="O304">
            <v>871.54</v>
          </cell>
          <cell r="U304" t="str">
            <v>Véhicules neufs</v>
          </cell>
          <cell r="V304" t="str">
            <v>Chauffage, éclairage</v>
          </cell>
          <cell r="W304" t="str">
            <v>$</v>
          </cell>
          <cell r="X304">
            <v>0</v>
          </cell>
        </row>
        <row r="305">
          <cell r="C305">
            <v>103680</v>
          </cell>
          <cell r="O305">
            <v>11520</v>
          </cell>
          <cell r="U305" t="str">
            <v>Véhicules neufs</v>
          </cell>
          <cell r="V305" t="str">
            <v>Loyer</v>
          </cell>
          <cell r="W305" t="str">
            <v>$</v>
          </cell>
          <cell r="X305">
            <v>0</v>
          </cell>
        </row>
        <row r="306">
          <cell r="C306">
            <v>11212.11</v>
          </cell>
          <cell r="O306">
            <v>1245.79</v>
          </cell>
          <cell r="U306" t="str">
            <v>Véhicules neufs</v>
          </cell>
          <cell r="V306" t="str">
            <v>Assurances</v>
          </cell>
          <cell r="W306" t="str">
            <v>$</v>
          </cell>
          <cell r="X306">
            <v>0</v>
          </cell>
        </row>
        <row r="307">
          <cell r="C307">
            <v>14909.76</v>
          </cell>
          <cell r="O307">
            <v>1656.64</v>
          </cell>
          <cell r="U307" t="str">
            <v>Véhicules neufs</v>
          </cell>
          <cell r="V307" t="str">
            <v>Taxes foncières</v>
          </cell>
          <cell r="W307" t="str">
            <v>$</v>
          </cell>
          <cell r="X307">
            <v>0</v>
          </cell>
        </row>
        <row r="308">
          <cell r="C308">
            <v>10112.950000000001</v>
          </cell>
          <cell r="O308">
            <v>1102.4000000000001</v>
          </cell>
          <cell r="U308" t="str">
            <v>Véhicules neufs</v>
          </cell>
          <cell r="V308" t="str">
            <v>Taxes d`affaires</v>
          </cell>
          <cell r="W308" t="str">
            <v>$</v>
          </cell>
          <cell r="X308">
            <v>0</v>
          </cell>
        </row>
        <row r="309">
          <cell r="C309">
            <v>18641.13</v>
          </cell>
          <cell r="O309">
            <v>2187.91</v>
          </cell>
          <cell r="U309" t="str">
            <v>Véhicules neufs</v>
          </cell>
          <cell r="V309" t="str">
            <v>Honoraires</v>
          </cell>
          <cell r="W309" t="str">
            <v>$</v>
          </cell>
          <cell r="X309">
            <v>0</v>
          </cell>
        </row>
        <row r="310">
          <cell r="C310">
            <v>134900.91</v>
          </cell>
          <cell r="O310">
            <v>25505.439999999999</v>
          </cell>
          <cell r="U310" t="str">
            <v>Véhicules usagés</v>
          </cell>
          <cell r="V310" t="str">
            <v>Comm. vendeurs</v>
          </cell>
          <cell r="W310" t="str">
            <v>$</v>
          </cell>
          <cell r="X310">
            <v>0</v>
          </cell>
        </row>
        <row r="311">
          <cell r="C311">
            <v>116046.09</v>
          </cell>
          <cell r="O311">
            <v>25050.35</v>
          </cell>
          <cell r="U311" t="str">
            <v>Véhicules usagés</v>
          </cell>
          <cell r="V311" t="str">
            <v>Comm. F&amp;I</v>
          </cell>
          <cell r="W311" t="str">
            <v>$</v>
          </cell>
          <cell r="X311">
            <v>0</v>
          </cell>
        </row>
        <row r="312">
          <cell r="C312">
            <v>15283.41</v>
          </cell>
          <cell r="O312">
            <v>2341.69</v>
          </cell>
          <cell r="U312" t="str">
            <v>Véhicules usagés</v>
          </cell>
          <cell r="V312" t="str">
            <v>Service gratuit 1</v>
          </cell>
          <cell r="W312" t="str">
            <v>$</v>
          </cell>
          <cell r="X312">
            <v>0</v>
          </cell>
        </row>
        <row r="313">
          <cell r="C313">
            <v>39839.75</v>
          </cell>
          <cell r="O313">
            <v>5859.39</v>
          </cell>
          <cell r="U313" t="str">
            <v>Véhicules usagés</v>
          </cell>
          <cell r="V313" t="str">
            <v>Entretien stock</v>
          </cell>
          <cell r="W313" t="str">
            <v>$</v>
          </cell>
          <cell r="X313">
            <v>0</v>
          </cell>
        </row>
        <row r="314">
          <cell r="C314">
            <v>51170.41</v>
          </cell>
          <cell r="O314">
            <v>3214.9</v>
          </cell>
          <cell r="U314" t="str">
            <v>Véhicules usagés</v>
          </cell>
          <cell r="V314" t="str">
            <v>Intérêt de gros</v>
          </cell>
          <cell r="W314" t="str">
            <v>$</v>
          </cell>
          <cell r="X314">
            <v>0</v>
          </cell>
        </row>
        <row r="315">
          <cell r="C315">
            <v>4408.08</v>
          </cell>
          <cell r="O315">
            <v>-2001.24</v>
          </cell>
          <cell r="U315" t="str">
            <v>Véhicules usagés</v>
          </cell>
          <cell r="V315" t="str">
            <v>Frais de livraison</v>
          </cell>
          <cell r="W315" t="str">
            <v>$</v>
          </cell>
          <cell r="X315">
            <v>0</v>
          </cell>
        </row>
        <row r="316">
          <cell r="C316">
            <v>129642.78</v>
          </cell>
          <cell r="O316">
            <v>17326.43</v>
          </cell>
          <cell r="U316" t="str">
            <v>Véhicules usagés</v>
          </cell>
          <cell r="V316" t="str">
            <v>Publicité 1</v>
          </cell>
          <cell r="W316" t="str">
            <v>$</v>
          </cell>
          <cell r="X316">
            <v>0</v>
          </cell>
        </row>
        <row r="317">
          <cell r="C317">
            <v>-23300</v>
          </cell>
          <cell r="O317">
            <v>-4300</v>
          </cell>
          <cell r="U317" t="str">
            <v>Véhicules usagés</v>
          </cell>
          <cell r="V317" t="str">
            <v>Publicité 1</v>
          </cell>
          <cell r="W317" t="str">
            <v>$</v>
          </cell>
          <cell r="X317">
            <v>0</v>
          </cell>
        </row>
        <row r="318">
          <cell r="C318">
            <v>14157.95</v>
          </cell>
          <cell r="O318">
            <v>1566.37</v>
          </cell>
          <cell r="U318" t="str">
            <v>Véhicules usagés</v>
          </cell>
          <cell r="V318" t="str">
            <v>Salaires propriétaire</v>
          </cell>
          <cell r="W318" t="str">
            <v>$</v>
          </cell>
          <cell r="X318">
            <v>0</v>
          </cell>
        </row>
        <row r="319">
          <cell r="C319">
            <v>97983.86</v>
          </cell>
          <cell r="O319">
            <v>8898.24</v>
          </cell>
          <cell r="U319" t="str">
            <v>Véhicules usagés</v>
          </cell>
          <cell r="V319" t="str">
            <v>Salaires cadres</v>
          </cell>
          <cell r="W319" t="str">
            <v>$</v>
          </cell>
          <cell r="X319">
            <v>0</v>
          </cell>
        </row>
        <row r="320">
          <cell r="C320">
            <v>16413.87</v>
          </cell>
          <cell r="O320">
            <v>1857.41</v>
          </cell>
          <cell r="U320" t="str">
            <v>Véhicules usagés</v>
          </cell>
          <cell r="V320" t="str">
            <v>Salaires commis</v>
          </cell>
          <cell r="W320" t="str">
            <v>$</v>
          </cell>
          <cell r="X320">
            <v>0</v>
          </cell>
        </row>
        <row r="321">
          <cell r="C321">
            <v>53112.72</v>
          </cell>
          <cell r="O321">
            <v>5694.09</v>
          </cell>
          <cell r="U321" t="str">
            <v>Véhicules usagés</v>
          </cell>
          <cell r="V321" t="str">
            <v>Salaires autres</v>
          </cell>
          <cell r="W321" t="str">
            <v>$</v>
          </cell>
          <cell r="X321">
            <v>0</v>
          </cell>
        </row>
        <row r="322">
          <cell r="C322">
            <v>61312.02</v>
          </cell>
          <cell r="O322">
            <v>6393.9</v>
          </cell>
          <cell r="U322" t="str">
            <v>Véhicules usagés</v>
          </cell>
          <cell r="V322" t="str">
            <v>Salaires en absences</v>
          </cell>
          <cell r="W322" t="str">
            <v>$</v>
          </cell>
          <cell r="X322">
            <v>0</v>
          </cell>
        </row>
        <row r="323">
          <cell r="C323">
            <v>8886.52</v>
          </cell>
          <cell r="O323">
            <v>590.89</v>
          </cell>
          <cell r="U323" t="str">
            <v>Véhicules usagés</v>
          </cell>
          <cell r="V323" t="str">
            <v>Csst</v>
          </cell>
          <cell r="W323" t="str">
            <v>$</v>
          </cell>
          <cell r="X323">
            <v>0</v>
          </cell>
        </row>
        <row r="324">
          <cell r="C324">
            <v>63520.33</v>
          </cell>
          <cell r="O324">
            <v>9019.32</v>
          </cell>
          <cell r="U324" t="str">
            <v>Véhicules usagés</v>
          </cell>
          <cell r="V324" t="str">
            <v>Déduction à la source</v>
          </cell>
          <cell r="W324" t="str">
            <v>$</v>
          </cell>
          <cell r="X324">
            <v>0</v>
          </cell>
        </row>
        <row r="325">
          <cell r="C325">
            <v>10414.56</v>
          </cell>
          <cell r="O325">
            <v>4073.81</v>
          </cell>
          <cell r="U325" t="str">
            <v>Véhicules usagés</v>
          </cell>
          <cell r="V325" t="str">
            <v>Bénéfices marginaux</v>
          </cell>
          <cell r="W325" t="str">
            <v>$</v>
          </cell>
          <cell r="X325">
            <v>0</v>
          </cell>
        </row>
        <row r="326">
          <cell r="C326">
            <v>8060.86</v>
          </cell>
          <cell r="O326">
            <v>670.57</v>
          </cell>
          <cell r="U326" t="str">
            <v>Véhicules usagés</v>
          </cell>
          <cell r="V326" t="str">
            <v>Bénéfices marginaux</v>
          </cell>
          <cell r="W326" t="str">
            <v>$</v>
          </cell>
          <cell r="X326">
            <v>0</v>
          </cell>
        </row>
        <row r="327">
          <cell r="C327">
            <v>542.61</v>
          </cell>
          <cell r="O327">
            <v>0</v>
          </cell>
          <cell r="U327" t="str">
            <v>Véhicules usagés</v>
          </cell>
          <cell r="V327" t="str">
            <v>Fournitures autres</v>
          </cell>
          <cell r="W327" t="str">
            <v>$</v>
          </cell>
          <cell r="X327">
            <v>0</v>
          </cell>
        </row>
        <row r="328">
          <cell r="C328">
            <v>0</v>
          </cell>
          <cell r="O328">
            <v>434.88</v>
          </cell>
          <cell r="U328" t="str">
            <v>Véhicules usagés</v>
          </cell>
          <cell r="V328" t="str">
            <v>Uniformes</v>
          </cell>
          <cell r="W328" t="str">
            <v>$</v>
          </cell>
          <cell r="X328">
            <v>0</v>
          </cell>
        </row>
        <row r="329">
          <cell r="C329">
            <v>811.7</v>
          </cell>
          <cell r="O329">
            <v>498.39</v>
          </cell>
          <cell r="U329" t="str">
            <v>Véhicules usagés</v>
          </cell>
          <cell r="V329" t="str">
            <v>Formation</v>
          </cell>
          <cell r="W329" t="str">
            <v>$</v>
          </cell>
          <cell r="X329">
            <v>0</v>
          </cell>
        </row>
        <row r="330">
          <cell r="C330">
            <v>5849.08</v>
          </cell>
          <cell r="O330">
            <v>1048.82</v>
          </cell>
          <cell r="U330" t="str">
            <v>Véhicules usagés</v>
          </cell>
          <cell r="V330" t="str">
            <v>Frais véhicules de cie</v>
          </cell>
          <cell r="W330" t="str">
            <v>$</v>
          </cell>
          <cell r="X330">
            <v>0</v>
          </cell>
        </row>
        <row r="331">
          <cell r="C331">
            <v>338.31</v>
          </cell>
          <cell r="O331">
            <v>12.36</v>
          </cell>
          <cell r="U331" t="str">
            <v>Véhicules usagés</v>
          </cell>
          <cell r="V331" t="str">
            <v>Frais postaux</v>
          </cell>
          <cell r="W331" t="str">
            <v>$</v>
          </cell>
          <cell r="X331">
            <v>0</v>
          </cell>
        </row>
        <row r="332">
          <cell r="C332">
            <v>34062.03</v>
          </cell>
          <cell r="O332">
            <v>3313.84</v>
          </cell>
          <cell r="U332" t="str">
            <v>Véhicules usagés</v>
          </cell>
          <cell r="V332" t="str">
            <v>Informatique</v>
          </cell>
          <cell r="W332" t="str">
            <v>$</v>
          </cell>
          <cell r="X332">
            <v>0</v>
          </cell>
        </row>
        <row r="333">
          <cell r="C333">
            <v>2815.76</v>
          </cell>
          <cell r="O333">
            <v>141.58000000000001</v>
          </cell>
          <cell r="U333" t="str">
            <v>Véhicules usagés</v>
          </cell>
          <cell r="V333" t="str">
            <v>Papeterie</v>
          </cell>
          <cell r="W333" t="str">
            <v>$</v>
          </cell>
          <cell r="X333">
            <v>0</v>
          </cell>
        </row>
        <row r="334">
          <cell r="C334">
            <v>484.53</v>
          </cell>
          <cell r="O334">
            <v>105.42</v>
          </cell>
          <cell r="U334" t="str">
            <v>Véhicules usagés</v>
          </cell>
          <cell r="V334" t="str">
            <v>Téléphone</v>
          </cell>
          <cell r="W334" t="str">
            <v>$</v>
          </cell>
          <cell r="X334">
            <v>0</v>
          </cell>
        </row>
        <row r="335">
          <cell r="C335">
            <v>520.83000000000004</v>
          </cell>
          <cell r="O335">
            <v>87.91</v>
          </cell>
          <cell r="U335" t="str">
            <v>Véhicules usagés</v>
          </cell>
          <cell r="V335" t="str">
            <v>Divers</v>
          </cell>
          <cell r="W335" t="str">
            <v>$</v>
          </cell>
          <cell r="X335">
            <v>0</v>
          </cell>
        </row>
        <row r="336">
          <cell r="C336">
            <v>5659.04</v>
          </cell>
          <cell r="O336">
            <v>615.11</v>
          </cell>
          <cell r="U336" t="str">
            <v>Véhicules usagés</v>
          </cell>
          <cell r="V336" t="str">
            <v>Frais de déplacement</v>
          </cell>
          <cell r="W336" t="str">
            <v>$</v>
          </cell>
          <cell r="X336">
            <v>0</v>
          </cell>
        </row>
        <row r="337">
          <cell r="C337">
            <v>7130.51</v>
          </cell>
          <cell r="O337">
            <v>1077.6600000000001</v>
          </cell>
          <cell r="U337" t="str">
            <v>Véhicules usagés</v>
          </cell>
          <cell r="V337" t="str">
            <v>Frais bancaires</v>
          </cell>
          <cell r="W337" t="str">
            <v>$</v>
          </cell>
          <cell r="X337">
            <v>0</v>
          </cell>
        </row>
        <row r="338">
          <cell r="C338">
            <v>12720.12</v>
          </cell>
          <cell r="O338">
            <v>1598.14</v>
          </cell>
          <cell r="U338" t="str">
            <v>Véhicules usagés</v>
          </cell>
          <cell r="V338" t="str">
            <v>Services extérieurs</v>
          </cell>
          <cell r="W338" t="str">
            <v>$</v>
          </cell>
          <cell r="X338">
            <v>0</v>
          </cell>
        </row>
        <row r="339">
          <cell r="C339">
            <v>17020.080000000002</v>
          </cell>
          <cell r="O339">
            <v>4157.76</v>
          </cell>
          <cell r="U339" t="str">
            <v>Véhicules usagés</v>
          </cell>
          <cell r="V339" t="str">
            <v>Amortissement</v>
          </cell>
          <cell r="W339" t="str">
            <v>$</v>
          </cell>
          <cell r="X339">
            <v>0</v>
          </cell>
        </row>
        <row r="340">
          <cell r="C340">
            <v>4245.3500000000004</v>
          </cell>
          <cell r="O340">
            <v>326.83</v>
          </cell>
          <cell r="U340" t="str">
            <v>Véhicules usagés</v>
          </cell>
          <cell r="V340" t="str">
            <v>Chauffage, éclairage</v>
          </cell>
          <cell r="W340" t="str">
            <v>$</v>
          </cell>
          <cell r="X340">
            <v>0</v>
          </cell>
        </row>
        <row r="341">
          <cell r="C341">
            <v>38880</v>
          </cell>
          <cell r="O341">
            <v>4320</v>
          </cell>
          <cell r="U341" t="str">
            <v>Véhicules usagés</v>
          </cell>
          <cell r="V341" t="str">
            <v>Loyer</v>
          </cell>
          <cell r="W341" t="str">
            <v>$</v>
          </cell>
          <cell r="X341">
            <v>0</v>
          </cell>
        </row>
        <row r="342">
          <cell r="C342">
            <v>4204.53</v>
          </cell>
          <cell r="O342">
            <v>467.17</v>
          </cell>
          <cell r="U342" t="str">
            <v>Véhicules usagés</v>
          </cell>
          <cell r="V342" t="str">
            <v>Assurances</v>
          </cell>
          <cell r="W342" t="str">
            <v>$</v>
          </cell>
          <cell r="X342">
            <v>0</v>
          </cell>
        </row>
        <row r="343">
          <cell r="C343">
            <v>5591.16</v>
          </cell>
          <cell r="O343">
            <v>621.24</v>
          </cell>
          <cell r="U343" t="str">
            <v>Véhicules usagés</v>
          </cell>
          <cell r="V343" t="str">
            <v>Taxes foncières</v>
          </cell>
          <cell r="W343" t="str">
            <v>$</v>
          </cell>
          <cell r="X343">
            <v>0</v>
          </cell>
        </row>
        <row r="344">
          <cell r="C344">
            <v>3792.35</v>
          </cell>
          <cell r="O344">
            <v>413.4</v>
          </cell>
          <cell r="U344" t="str">
            <v>Véhicules usagés</v>
          </cell>
          <cell r="V344" t="str">
            <v>Taxes d`affaires</v>
          </cell>
          <cell r="W344" t="str">
            <v>$</v>
          </cell>
          <cell r="X344">
            <v>0</v>
          </cell>
        </row>
        <row r="345">
          <cell r="C345">
            <v>11390.41</v>
          </cell>
          <cell r="O345">
            <v>820.47</v>
          </cell>
          <cell r="U345" t="str">
            <v>Véhicules usagés</v>
          </cell>
          <cell r="V345" t="str">
            <v>Honoraires</v>
          </cell>
          <cell r="W345" t="str">
            <v>$</v>
          </cell>
          <cell r="X345">
            <v>0</v>
          </cell>
        </row>
        <row r="346">
          <cell r="C346">
            <v>20116.95</v>
          </cell>
          <cell r="O346">
            <v>2927.71</v>
          </cell>
          <cell r="U346" t="str">
            <v>Service</v>
          </cell>
          <cell r="V346" t="str">
            <v>Service gratuit 2</v>
          </cell>
          <cell r="W346" t="str">
            <v>$</v>
          </cell>
          <cell r="X346">
            <v>0</v>
          </cell>
        </row>
        <row r="347">
          <cell r="C347">
            <v>1295.49</v>
          </cell>
          <cell r="O347">
            <v>3664.97</v>
          </cell>
          <cell r="U347" t="str">
            <v>Service</v>
          </cell>
          <cell r="V347" t="str">
            <v>Service gratuit 2</v>
          </cell>
          <cell r="W347" t="str">
            <v>$</v>
          </cell>
          <cell r="X347">
            <v>0</v>
          </cell>
        </row>
        <row r="348">
          <cell r="C348">
            <v>99437.81</v>
          </cell>
          <cell r="O348">
            <v>11040.12</v>
          </cell>
          <cell r="U348" t="str">
            <v>Service</v>
          </cell>
          <cell r="V348" t="str">
            <v>Publicité 2</v>
          </cell>
          <cell r="W348" t="str">
            <v>$</v>
          </cell>
          <cell r="X348">
            <v>0</v>
          </cell>
        </row>
        <row r="349">
          <cell r="C349">
            <v>31855.48</v>
          </cell>
          <cell r="O349">
            <v>3524.36</v>
          </cell>
          <cell r="U349" t="str">
            <v>Service</v>
          </cell>
          <cell r="V349" t="str">
            <v>Salaires propriétaire</v>
          </cell>
          <cell r="W349" t="str">
            <v>$</v>
          </cell>
          <cell r="X349">
            <v>0</v>
          </cell>
        </row>
        <row r="350">
          <cell r="C350">
            <v>129767.56</v>
          </cell>
          <cell r="O350">
            <v>11607.04</v>
          </cell>
          <cell r="U350" t="str">
            <v>Service</v>
          </cell>
          <cell r="V350" t="str">
            <v>Salaires cadres</v>
          </cell>
          <cell r="W350" t="str">
            <v>$</v>
          </cell>
          <cell r="X350">
            <v>0</v>
          </cell>
        </row>
        <row r="351">
          <cell r="C351">
            <v>70528.800000000003</v>
          </cell>
          <cell r="O351">
            <v>7162.09</v>
          </cell>
          <cell r="U351" t="str">
            <v>Service</v>
          </cell>
          <cell r="V351" t="str">
            <v>Salaires commis</v>
          </cell>
          <cell r="W351" t="str">
            <v>$</v>
          </cell>
          <cell r="X351">
            <v>0</v>
          </cell>
        </row>
        <row r="352">
          <cell r="C352">
            <v>148421.97</v>
          </cell>
          <cell r="O352">
            <v>17131.98</v>
          </cell>
          <cell r="U352" t="str">
            <v>Service</v>
          </cell>
          <cell r="V352" t="str">
            <v>Salaires autres</v>
          </cell>
          <cell r="W352" t="str">
            <v>$</v>
          </cell>
          <cell r="X352">
            <v>0</v>
          </cell>
        </row>
        <row r="353">
          <cell r="C353">
            <v>258201.23</v>
          </cell>
          <cell r="O353">
            <v>29317.81</v>
          </cell>
          <cell r="U353" t="str">
            <v>Service</v>
          </cell>
          <cell r="V353" t="str">
            <v>Salaires spécialistes</v>
          </cell>
          <cell r="W353" t="str">
            <v>$</v>
          </cell>
          <cell r="X353">
            <v>0</v>
          </cell>
        </row>
        <row r="354">
          <cell r="C354">
            <v>150738.22</v>
          </cell>
          <cell r="O354">
            <v>20132.439999999999</v>
          </cell>
          <cell r="U354" t="str">
            <v>Service</v>
          </cell>
          <cell r="V354" t="str">
            <v>Salaires en absences</v>
          </cell>
          <cell r="W354" t="str">
            <v>$</v>
          </cell>
          <cell r="X354">
            <v>0</v>
          </cell>
        </row>
        <row r="355">
          <cell r="C355">
            <v>37290.74</v>
          </cell>
          <cell r="O355">
            <v>3283.11</v>
          </cell>
          <cell r="U355" t="str">
            <v>Service</v>
          </cell>
          <cell r="V355" t="str">
            <v>Csst</v>
          </cell>
          <cell r="W355" t="str">
            <v>$</v>
          </cell>
          <cell r="X355">
            <v>0</v>
          </cell>
        </row>
        <row r="356">
          <cell r="C356">
            <v>190538.67</v>
          </cell>
          <cell r="O356">
            <v>24038.78</v>
          </cell>
          <cell r="U356" t="str">
            <v>Service</v>
          </cell>
          <cell r="V356" t="str">
            <v>Déduction à la source</v>
          </cell>
          <cell r="W356" t="str">
            <v>$</v>
          </cell>
          <cell r="X356">
            <v>0</v>
          </cell>
        </row>
        <row r="357">
          <cell r="C357">
            <v>53232.08</v>
          </cell>
          <cell r="O357">
            <v>6681.39</v>
          </cell>
          <cell r="U357" t="str">
            <v>Service</v>
          </cell>
          <cell r="V357" t="str">
            <v>Bénéfices marginaux</v>
          </cell>
          <cell r="W357" t="str">
            <v>$</v>
          </cell>
          <cell r="X357">
            <v>0</v>
          </cell>
        </row>
        <row r="358">
          <cell r="C358">
            <v>47890.64</v>
          </cell>
          <cell r="O358">
            <v>4745.84</v>
          </cell>
          <cell r="U358" t="str">
            <v>Service</v>
          </cell>
          <cell r="V358" t="str">
            <v>Bénéfices marginaux</v>
          </cell>
          <cell r="W358" t="str">
            <v>$</v>
          </cell>
          <cell r="X358">
            <v>0</v>
          </cell>
        </row>
        <row r="359">
          <cell r="C359">
            <v>5916.15</v>
          </cell>
          <cell r="O359">
            <v>1274.1300000000001</v>
          </cell>
          <cell r="U359" t="str">
            <v>Service</v>
          </cell>
          <cell r="V359" t="str">
            <v>Service gratuit 2</v>
          </cell>
          <cell r="W359" t="str">
            <v>$</v>
          </cell>
          <cell r="X359">
            <v>0</v>
          </cell>
        </row>
        <row r="360">
          <cell r="C360">
            <v>36623.08</v>
          </cell>
          <cell r="O360">
            <v>6845.96</v>
          </cell>
          <cell r="U360" t="str">
            <v>Service</v>
          </cell>
          <cell r="V360" t="str">
            <v>Fournitures autres</v>
          </cell>
          <cell r="W360" t="str">
            <v>$</v>
          </cell>
          <cell r="X360">
            <v>0</v>
          </cell>
        </row>
        <row r="361">
          <cell r="C361">
            <v>10269.43</v>
          </cell>
          <cell r="O361">
            <v>2261.06</v>
          </cell>
          <cell r="U361" t="str">
            <v>Service</v>
          </cell>
          <cell r="V361" t="str">
            <v>Uniformes</v>
          </cell>
          <cell r="W361" t="str">
            <v>$</v>
          </cell>
          <cell r="X361">
            <v>0</v>
          </cell>
        </row>
        <row r="362">
          <cell r="C362">
            <v>21149.07</v>
          </cell>
          <cell r="O362">
            <v>1357.17</v>
          </cell>
          <cell r="U362" t="str">
            <v>Service</v>
          </cell>
          <cell r="V362" t="str">
            <v>Formation</v>
          </cell>
          <cell r="W362" t="str">
            <v>$</v>
          </cell>
          <cell r="X362">
            <v>0</v>
          </cell>
        </row>
        <row r="363">
          <cell r="C363">
            <v>102456.16</v>
          </cell>
          <cell r="O363">
            <v>9794.68</v>
          </cell>
          <cell r="U363" t="str">
            <v>Service</v>
          </cell>
          <cell r="V363" t="str">
            <v>Frais véhicules de cie</v>
          </cell>
          <cell r="W363" t="str">
            <v>$</v>
          </cell>
          <cell r="X363">
            <v>0</v>
          </cell>
        </row>
        <row r="364">
          <cell r="C364">
            <v>715.16</v>
          </cell>
          <cell r="O364">
            <v>124.72</v>
          </cell>
          <cell r="U364" t="str">
            <v>Service</v>
          </cell>
          <cell r="V364" t="str">
            <v>Frais postaux</v>
          </cell>
          <cell r="W364" t="str">
            <v>$</v>
          </cell>
          <cell r="X364">
            <v>0</v>
          </cell>
        </row>
        <row r="365">
          <cell r="C365">
            <v>44771.77</v>
          </cell>
          <cell r="O365">
            <v>5132.66</v>
          </cell>
          <cell r="U365" t="str">
            <v>Service</v>
          </cell>
          <cell r="V365" t="str">
            <v>Informatique</v>
          </cell>
          <cell r="W365" t="str">
            <v>$</v>
          </cell>
          <cell r="X365">
            <v>0</v>
          </cell>
        </row>
        <row r="366">
          <cell r="C366">
            <v>7472.57</v>
          </cell>
          <cell r="O366">
            <v>669.02</v>
          </cell>
          <cell r="U366" t="str">
            <v>Service</v>
          </cell>
          <cell r="V366" t="str">
            <v>Papeterie</v>
          </cell>
          <cell r="W366" t="str">
            <v>$</v>
          </cell>
          <cell r="X366">
            <v>0</v>
          </cell>
        </row>
        <row r="367">
          <cell r="C367">
            <v>1375.16</v>
          </cell>
          <cell r="O367">
            <v>450.83</v>
          </cell>
          <cell r="U367" t="str">
            <v>Service</v>
          </cell>
          <cell r="V367" t="str">
            <v>Téléphone</v>
          </cell>
          <cell r="W367" t="str">
            <v>$</v>
          </cell>
          <cell r="X367">
            <v>0</v>
          </cell>
        </row>
        <row r="368">
          <cell r="C368">
            <v>1041.6500000000001</v>
          </cell>
          <cell r="O368">
            <v>175.86</v>
          </cell>
          <cell r="U368" t="str">
            <v>Service</v>
          </cell>
          <cell r="V368" t="str">
            <v>Divers</v>
          </cell>
          <cell r="W368" t="str">
            <v>$</v>
          </cell>
          <cell r="X368">
            <v>0</v>
          </cell>
        </row>
        <row r="369">
          <cell r="C369">
            <v>9368.42</v>
          </cell>
          <cell r="O369">
            <v>997.62</v>
          </cell>
          <cell r="U369" t="str">
            <v>Service</v>
          </cell>
          <cell r="V369" t="str">
            <v>Frais de déplacement</v>
          </cell>
          <cell r="W369" t="str">
            <v>$</v>
          </cell>
          <cell r="X369">
            <v>0</v>
          </cell>
        </row>
        <row r="370">
          <cell r="C370">
            <v>15843.84</v>
          </cell>
          <cell r="O370">
            <v>2391.44</v>
          </cell>
          <cell r="U370" t="str">
            <v>Service</v>
          </cell>
          <cell r="V370" t="str">
            <v>Frais bancaires</v>
          </cell>
          <cell r="W370" t="str">
            <v>$</v>
          </cell>
          <cell r="X370">
            <v>0</v>
          </cell>
        </row>
        <row r="371">
          <cell r="C371">
            <v>100641.3</v>
          </cell>
          <cell r="O371">
            <v>18813.41</v>
          </cell>
          <cell r="U371" t="str">
            <v>Service</v>
          </cell>
          <cell r="V371" t="str">
            <v>Services extérieurs</v>
          </cell>
          <cell r="W371" t="str">
            <v>$</v>
          </cell>
          <cell r="X371">
            <v>0</v>
          </cell>
        </row>
        <row r="372">
          <cell r="C372">
            <v>34040.160000000003</v>
          </cell>
          <cell r="O372">
            <v>8315.52</v>
          </cell>
          <cell r="U372" t="str">
            <v>Service</v>
          </cell>
          <cell r="V372" t="str">
            <v>Amortissement</v>
          </cell>
          <cell r="W372" t="str">
            <v>$</v>
          </cell>
          <cell r="X372">
            <v>0</v>
          </cell>
        </row>
        <row r="373">
          <cell r="C373">
            <v>8179.94</v>
          </cell>
          <cell r="O373">
            <v>1159.0899999999999</v>
          </cell>
          <cell r="U373" t="str">
            <v>Service</v>
          </cell>
          <cell r="V373" t="str">
            <v>Location équipement</v>
          </cell>
          <cell r="W373" t="str">
            <v>$</v>
          </cell>
          <cell r="X373">
            <v>0</v>
          </cell>
        </row>
        <row r="374">
          <cell r="C374">
            <v>7468.15</v>
          </cell>
          <cell r="O374">
            <v>282.25</v>
          </cell>
          <cell r="U374" t="str">
            <v>Service</v>
          </cell>
          <cell r="V374" t="str">
            <v>Réparation équipement</v>
          </cell>
          <cell r="W374" t="str">
            <v>$</v>
          </cell>
          <cell r="X374">
            <v>0</v>
          </cell>
        </row>
        <row r="375">
          <cell r="C375">
            <v>8490.69</v>
          </cell>
          <cell r="O375">
            <v>653.64</v>
          </cell>
          <cell r="U375" t="str">
            <v>Service</v>
          </cell>
          <cell r="V375" t="str">
            <v>Chauffage, éclairage</v>
          </cell>
          <cell r="W375" t="str">
            <v>$</v>
          </cell>
          <cell r="X375">
            <v>0</v>
          </cell>
        </row>
        <row r="376">
          <cell r="C376">
            <v>77760</v>
          </cell>
          <cell r="O376">
            <v>8640</v>
          </cell>
          <cell r="U376" t="str">
            <v>Service</v>
          </cell>
          <cell r="V376" t="str">
            <v>Loyer</v>
          </cell>
          <cell r="W376" t="str">
            <v>$</v>
          </cell>
          <cell r="X376">
            <v>0</v>
          </cell>
        </row>
        <row r="377">
          <cell r="C377">
            <v>8409.06</v>
          </cell>
          <cell r="O377">
            <v>934.34</v>
          </cell>
          <cell r="U377" t="str">
            <v>Service</v>
          </cell>
          <cell r="V377" t="str">
            <v>Assurances</v>
          </cell>
          <cell r="W377" t="str">
            <v>$</v>
          </cell>
          <cell r="X377">
            <v>0</v>
          </cell>
        </row>
        <row r="378">
          <cell r="C378">
            <v>11182.32</v>
          </cell>
          <cell r="O378">
            <v>1242.48</v>
          </cell>
          <cell r="U378" t="str">
            <v>Service</v>
          </cell>
          <cell r="V378" t="str">
            <v>Taxes foncières</v>
          </cell>
          <cell r="W378" t="str">
            <v>$</v>
          </cell>
          <cell r="X378">
            <v>0</v>
          </cell>
        </row>
        <row r="379">
          <cell r="C379">
            <v>7584.72</v>
          </cell>
          <cell r="O379">
            <v>826.8</v>
          </cell>
          <cell r="U379" t="str">
            <v>Service</v>
          </cell>
          <cell r="V379" t="str">
            <v>Taxes d`affaires</v>
          </cell>
          <cell r="W379" t="str">
            <v>$</v>
          </cell>
          <cell r="X379">
            <v>0</v>
          </cell>
        </row>
        <row r="380">
          <cell r="C380">
            <v>13980.83</v>
          </cell>
          <cell r="O380">
            <v>1640.93</v>
          </cell>
          <cell r="U380" t="str">
            <v>Service</v>
          </cell>
          <cell r="V380" t="str">
            <v>Honoraires</v>
          </cell>
          <cell r="W380" t="str">
            <v>$</v>
          </cell>
          <cell r="X380">
            <v>0</v>
          </cell>
        </row>
        <row r="381">
          <cell r="C381">
            <v>6562.84</v>
          </cell>
          <cell r="O381">
            <v>2509.87</v>
          </cell>
          <cell r="U381" t="str">
            <v>Carrosserie</v>
          </cell>
          <cell r="V381" t="str">
            <v>Service gratuit 2</v>
          </cell>
          <cell r="W381" t="str">
            <v>$</v>
          </cell>
          <cell r="X381">
            <v>0</v>
          </cell>
        </row>
        <row r="382">
          <cell r="C382">
            <v>-69.81</v>
          </cell>
          <cell r="O382">
            <v>0</v>
          </cell>
          <cell r="U382" t="str">
            <v>Carrosserie</v>
          </cell>
          <cell r="V382" t="str">
            <v>Service gratuit 2</v>
          </cell>
          <cell r="W382" t="str">
            <v>$</v>
          </cell>
          <cell r="X382">
            <v>0</v>
          </cell>
        </row>
        <row r="383">
          <cell r="C383">
            <v>662.61</v>
          </cell>
          <cell r="O383">
            <v>43.75</v>
          </cell>
          <cell r="U383" t="str">
            <v>Carrosserie</v>
          </cell>
          <cell r="V383" t="str">
            <v>Publicité 2</v>
          </cell>
          <cell r="W383" t="str">
            <v>$</v>
          </cell>
          <cell r="X383">
            <v>0</v>
          </cell>
        </row>
        <row r="384">
          <cell r="C384">
            <v>3539.56</v>
          </cell>
          <cell r="O384">
            <v>391.61</v>
          </cell>
          <cell r="U384" t="str">
            <v>Carrosserie</v>
          </cell>
          <cell r="V384" t="str">
            <v>Salaires propriétaire</v>
          </cell>
          <cell r="W384" t="str">
            <v>$</v>
          </cell>
          <cell r="X384">
            <v>0</v>
          </cell>
        </row>
        <row r="385">
          <cell r="C385">
            <v>8116.92</v>
          </cell>
          <cell r="O385">
            <v>901.88</v>
          </cell>
          <cell r="U385" t="str">
            <v>Carrosserie</v>
          </cell>
          <cell r="V385" t="str">
            <v>Salaires cadres</v>
          </cell>
          <cell r="W385" t="str">
            <v>$</v>
          </cell>
          <cell r="X385">
            <v>0</v>
          </cell>
        </row>
        <row r="386">
          <cell r="C386">
            <v>13951.07</v>
          </cell>
          <cell r="O386">
            <v>3190.36</v>
          </cell>
          <cell r="U386" t="str">
            <v>Carrosserie</v>
          </cell>
          <cell r="V386" t="str">
            <v>Salaires commis</v>
          </cell>
          <cell r="W386" t="str">
            <v>$</v>
          </cell>
          <cell r="X386">
            <v>0</v>
          </cell>
        </row>
        <row r="387">
          <cell r="O387">
            <v>0.08</v>
          </cell>
          <cell r="U387" t="str">
            <v>Carrosserie</v>
          </cell>
          <cell r="V387" t="str">
            <v>Salaires autres</v>
          </cell>
          <cell r="W387" t="str">
            <v>$</v>
          </cell>
          <cell r="X387">
            <v>0</v>
          </cell>
        </row>
        <row r="388">
          <cell r="O388">
            <v>398.46</v>
          </cell>
          <cell r="U388" t="str">
            <v>Carrosserie</v>
          </cell>
          <cell r="V388" t="str">
            <v>Salaires en absences</v>
          </cell>
          <cell r="W388" t="str">
            <v>$</v>
          </cell>
          <cell r="X388">
            <v>0</v>
          </cell>
        </row>
        <row r="389">
          <cell r="O389">
            <v>104.48</v>
          </cell>
          <cell r="U389" t="str">
            <v>Carrosserie</v>
          </cell>
          <cell r="V389" t="str">
            <v>Csst</v>
          </cell>
          <cell r="W389" t="str">
            <v>$</v>
          </cell>
          <cell r="X389">
            <v>0</v>
          </cell>
        </row>
        <row r="390">
          <cell r="O390">
            <v>1174.77</v>
          </cell>
          <cell r="U390" t="str">
            <v>Carrosserie</v>
          </cell>
          <cell r="V390" t="str">
            <v>Déduction à la source</v>
          </cell>
          <cell r="W390" t="str">
            <v>$</v>
          </cell>
          <cell r="X390">
            <v>0</v>
          </cell>
        </row>
        <row r="391">
          <cell r="O391">
            <v>98.7</v>
          </cell>
          <cell r="U391" t="str">
            <v>Carrosserie</v>
          </cell>
          <cell r="V391" t="str">
            <v>Bénéfices marginaux</v>
          </cell>
          <cell r="W391" t="str">
            <v>$</v>
          </cell>
          <cell r="X391">
            <v>0</v>
          </cell>
        </row>
        <row r="392">
          <cell r="O392">
            <v>185.95</v>
          </cell>
          <cell r="U392" t="str">
            <v>Carrosserie</v>
          </cell>
          <cell r="V392" t="str">
            <v>Bénéfices marginaux</v>
          </cell>
          <cell r="W392" t="str">
            <v>$</v>
          </cell>
          <cell r="X392">
            <v>0</v>
          </cell>
        </row>
        <row r="393">
          <cell r="O393">
            <v>0</v>
          </cell>
          <cell r="U393" t="str">
            <v>Service</v>
          </cell>
          <cell r="V393" t="str">
            <v>Service gratuit 2</v>
          </cell>
          <cell r="W393" t="str">
            <v>$</v>
          </cell>
          <cell r="X393">
            <v>0</v>
          </cell>
        </row>
        <row r="394">
          <cell r="O394">
            <v>0</v>
          </cell>
          <cell r="U394" t="str">
            <v>Carrosserie</v>
          </cell>
          <cell r="V394" t="str">
            <v>Fournitures autres</v>
          </cell>
          <cell r="W394" t="str">
            <v>$</v>
          </cell>
          <cell r="X394">
            <v>0</v>
          </cell>
        </row>
        <row r="395">
          <cell r="O395">
            <v>290.72000000000003</v>
          </cell>
          <cell r="U395" t="str">
            <v>Carrosserie</v>
          </cell>
          <cell r="V395" t="str">
            <v>Formation</v>
          </cell>
          <cell r="W395" t="str">
            <v>$</v>
          </cell>
          <cell r="X395">
            <v>0</v>
          </cell>
        </row>
        <row r="396">
          <cell r="O396">
            <v>157.77000000000001</v>
          </cell>
          <cell r="U396" t="str">
            <v>Carrosserie</v>
          </cell>
          <cell r="V396" t="str">
            <v>Frais véhicules de cie</v>
          </cell>
          <cell r="W396" t="str">
            <v>$</v>
          </cell>
          <cell r="X396">
            <v>0</v>
          </cell>
        </row>
        <row r="397">
          <cell r="O397">
            <v>7.21</v>
          </cell>
          <cell r="U397" t="str">
            <v>Carrosserie</v>
          </cell>
          <cell r="V397" t="str">
            <v>Frais postaux</v>
          </cell>
          <cell r="W397" t="str">
            <v>$</v>
          </cell>
          <cell r="X397">
            <v>0</v>
          </cell>
        </row>
        <row r="398">
          <cell r="O398">
            <v>1640.35</v>
          </cell>
          <cell r="U398" t="str">
            <v>Carrosserie</v>
          </cell>
          <cell r="V398" t="str">
            <v>Informatique</v>
          </cell>
          <cell r="W398" t="str">
            <v>$</v>
          </cell>
          <cell r="X398">
            <v>0</v>
          </cell>
        </row>
        <row r="399">
          <cell r="O399">
            <v>82.59</v>
          </cell>
          <cell r="U399" t="str">
            <v>Carrosserie</v>
          </cell>
          <cell r="V399" t="str">
            <v>Papeterie</v>
          </cell>
          <cell r="W399" t="str">
            <v>$</v>
          </cell>
          <cell r="X399">
            <v>0</v>
          </cell>
        </row>
        <row r="400">
          <cell r="O400">
            <v>39.97</v>
          </cell>
          <cell r="U400" t="str">
            <v>Carrosserie</v>
          </cell>
          <cell r="V400" t="str">
            <v>Téléphone</v>
          </cell>
          <cell r="W400" t="str">
            <v>$</v>
          </cell>
          <cell r="X400">
            <v>0</v>
          </cell>
        </row>
        <row r="401">
          <cell r="O401">
            <v>51.31</v>
          </cell>
          <cell r="U401" t="str">
            <v>Carrosserie</v>
          </cell>
          <cell r="V401" t="str">
            <v>Divers</v>
          </cell>
          <cell r="W401" t="str">
            <v>$</v>
          </cell>
          <cell r="X401">
            <v>0</v>
          </cell>
        </row>
        <row r="402">
          <cell r="O402">
            <v>290.95999999999998</v>
          </cell>
          <cell r="U402" t="str">
            <v>Carrosserie</v>
          </cell>
          <cell r="V402" t="str">
            <v>Frais de déplacement</v>
          </cell>
          <cell r="W402" t="str">
            <v>$</v>
          </cell>
          <cell r="X402">
            <v>0</v>
          </cell>
        </row>
        <row r="403">
          <cell r="O403">
            <v>265.72000000000003</v>
          </cell>
          <cell r="U403" t="str">
            <v>Carrosserie</v>
          </cell>
          <cell r="V403" t="str">
            <v>Frais bancaires</v>
          </cell>
          <cell r="W403" t="str">
            <v>$</v>
          </cell>
          <cell r="X403">
            <v>0</v>
          </cell>
        </row>
        <row r="404">
          <cell r="O404">
            <v>964.68</v>
          </cell>
          <cell r="U404" t="str">
            <v>Carrosserie</v>
          </cell>
          <cell r="V404" t="str">
            <v>Services extérieurs</v>
          </cell>
          <cell r="W404" t="str">
            <v>$</v>
          </cell>
          <cell r="X404">
            <v>0</v>
          </cell>
        </row>
        <row r="405">
          <cell r="O405">
            <v>2425.36</v>
          </cell>
          <cell r="U405" t="str">
            <v>Carrosserie</v>
          </cell>
          <cell r="V405" t="str">
            <v>Amortissement</v>
          </cell>
          <cell r="W405" t="str">
            <v>$</v>
          </cell>
          <cell r="X405">
            <v>0</v>
          </cell>
        </row>
        <row r="406">
          <cell r="O406">
            <v>190.65</v>
          </cell>
          <cell r="U406" t="str">
            <v>Carrosserie</v>
          </cell>
          <cell r="V406" t="str">
            <v>Chauffage, éclairage</v>
          </cell>
          <cell r="W406" t="str">
            <v>$</v>
          </cell>
          <cell r="X406">
            <v>0</v>
          </cell>
        </row>
        <row r="407">
          <cell r="O407">
            <v>2520</v>
          </cell>
          <cell r="U407" t="str">
            <v>Carrosserie</v>
          </cell>
          <cell r="V407" t="str">
            <v>Loyer</v>
          </cell>
          <cell r="W407" t="str">
            <v>$</v>
          </cell>
          <cell r="X407">
            <v>0</v>
          </cell>
        </row>
        <row r="408">
          <cell r="O408">
            <v>272.52</v>
          </cell>
          <cell r="U408" t="str">
            <v>Carrosserie</v>
          </cell>
          <cell r="V408" t="str">
            <v>Assurances</v>
          </cell>
          <cell r="W408" t="str">
            <v>$</v>
          </cell>
          <cell r="X408">
            <v>0</v>
          </cell>
        </row>
        <row r="409">
          <cell r="O409">
            <v>362.39</v>
          </cell>
          <cell r="U409" t="str">
            <v>Carrosserie</v>
          </cell>
          <cell r="V409" t="str">
            <v>Taxes foncières</v>
          </cell>
          <cell r="W409" t="str">
            <v>$</v>
          </cell>
          <cell r="X409">
            <v>0</v>
          </cell>
        </row>
        <row r="410">
          <cell r="O410">
            <v>241.15</v>
          </cell>
          <cell r="U410" t="str">
            <v>Carrosserie</v>
          </cell>
          <cell r="V410" t="str">
            <v>Taxes d`affaires</v>
          </cell>
          <cell r="W410" t="str">
            <v>$</v>
          </cell>
          <cell r="X410">
            <v>0</v>
          </cell>
        </row>
        <row r="411">
          <cell r="O411">
            <v>478.6</v>
          </cell>
          <cell r="U411" t="str">
            <v>Carrosserie</v>
          </cell>
          <cell r="V411" t="str">
            <v>Honoraires</v>
          </cell>
          <cell r="W411" t="str">
            <v>$</v>
          </cell>
          <cell r="X411">
            <v>0</v>
          </cell>
        </row>
        <row r="412">
          <cell r="O412">
            <v>684.29</v>
          </cell>
          <cell r="U412" t="str">
            <v>Pièces</v>
          </cell>
          <cell r="V412" t="str">
            <v>Service gratuit 2</v>
          </cell>
          <cell r="W412" t="str">
            <v>$</v>
          </cell>
          <cell r="X412">
            <v>0</v>
          </cell>
        </row>
        <row r="413">
          <cell r="O413">
            <v>1128.4100000000001</v>
          </cell>
          <cell r="U413" t="str">
            <v>Pièces</v>
          </cell>
          <cell r="V413" t="str">
            <v>Service gratuit 2</v>
          </cell>
          <cell r="W413" t="str">
            <v>$</v>
          </cell>
          <cell r="X413">
            <v>0</v>
          </cell>
        </row>
        <row r="414">
          <cell r="O414">
            <v>4321.1400000000003</v>
          </cell>
          <cell r="U414" t="str">
            <v>Pièces</v>
          </cell>
          <cell r="V414" t="str">
            <v>Publicité 2</v>
          </cell>
          <cell r="W414" t="str">
            <v>$</v>
          </cell>
          <cell r="X414">
            <v>0</v>
          </cell>
        </row>
        <row r="415">
          <cell r="O415">
            <v>3132.75</v>
          </cell>
          <cell r="U415" t="str">
            <v>Pièces</v>
          </cell>
          <cell r="V415" t="str">
            <v>Salaires propriétaire</v>
          </cell>
          <cell r="W415" t="str">
            <v>$</v>
          </cell>
          <cell r="X415">
            <v>0</v>
          </cell>
        </row>
        <row r="416">
          <cell r="O416">
            <v>6958.82</v>
          </cell>
          <cell r="U416" t="str">
            <v>Pièces</v>
          </cell>
          <cell r="V416" t="str">
            <v>Salaires cadres</v>
          </cell>
          <cell r="W416" t="str">
            <v>$</v>
          </cell>
          <cell r="X416">
            <v>0</v>
          </cell>
        </row>
        <row r="417">
          <cell r="O417">
            <v>25749.9</v>
          </cell>
          <cell r="U417" t="str">
            <v>Pièces</v>
          </cell>
          <cell r="V417" t="str">
            <v>Salaires commis</v>
          </cell>
          <cell r="W417" t="str">
            <v>$</v>
          </cell>
          <cell r="X417">
            <v>0</v>
          </cell>
        </row>
        <row r="418">
          <cell r="O418">
            <v>113.92</v>
          </cell>
          <cell r="U418" t="str">
            <v>Pièces</v>
          </cell>
          <cell r="V418" t="str">
            <v>Salaires autres</v>
          </cell>
          <cell r="W418" t="str">
            <v>$</v>
          </cell>
          <cell r="X418">
            <v>0</v>
          </cell>
        </row>
        <row r="419">
          <cell r="O419">
            <v>3956.34</v>
          </cell>
          <cell r="U419" t="str">
            <v>Pièces</v>
          </cell>
          <cell r="V419" t="str">
            <v>Salaires en absences</v>
          </cell>
          <cell r="W419" t="str">
            <v>$</v>
          </cell>
          <cell r="X419">
            <v>0</v>
          </cell>
        </row>
        <row r="420">
          <cell r="O420">
            <v>738.69</v>
          </cell>
          <cell r="U420" t="str">
            <v>Pièces</v>
          </cell>
          <cell r="V420" t="str">
            <v>Csst</v>
          </cell>
          <cell r="W420" t="str">
            <v>$</v>
          </cell>
          <cell r="X420">
            <v>0</v>
          </cell>
        </row>
        <row r="421">
          <cell r="O421">
            <v>5842.19</v>
          </cell>
          <cell r="U421" t="str">
            <v>Pièces</v>
          </cell>
          <cell r="V421" t="str">
            <v>Déduction à la source</v>
          </cell>
          <cell r="W421" t="str">
            <v>$</v>
          </cell>
          <cell r="X421">
            <v>0</v>
          </cell>
        </row>
        <row r="422">
          <cell r="O422">
            <v>660.33</v>
          </cell>
          <cell r="U422" t="str">
            <v>Pièces</v>
          </cell>
          <cell r="V422" t="str">
            <v>Déduction à la source</v>
          </cell>
          <cell r="W422" t="str">
            <v>$</v>
          </cell>
          <cell r="X422">
            <v>0</v>
          </cell>
        </row>
        <row r="423">
          <cell r="O423">
            <v>1354.21</v>
          </cell>
          <cell r="U423" t="str">
            <v>Pièces</v>
          </cell>
          <cell r="V423" t="str">
            <v>Bénéfices marginaux</v>
          </cell>
          <cell r="W423" t="str">
            <v>$</v>
          </cell>
          <cell r="X423">
            <v>0</v>
          </cell>
        </row>
        <row r="424">
          <cell r="O424">
            <v>68.38</v>
          </cell>
          <cell r="U424" t="str">
            <v>Pièces</v>
          </cell>
          <cell r="V424" t="str">
            <v>Fournitures autres</v>
          </cell>
          <cell r="W424" t="str">
            <v>$</v>
          </cell>
          <cell r="X424">
            <v>0</v>
          </cell>
        </row>
        <row r="425">
          <cell r="O425">
            <v>1038.3</v>
          </cell>
          <cell r="U425" t="str">
            <v>Pièces</v>
          </cell>
          <cell r="V425" t="str">
            <v>Formation</v>
          </cell>
          <cell r="W425" t="str">
            <v>$</v>
          </cell>
          <cell r="X425">
            <v>0</v>
          </cell>
        </row>
        <row r="426">
          <cell r="O426">
            <v>1168.49</v>
          </cell>
          <cell r="U426" t="str">
            <v>Pièces</v>
          </cell>
          <cell r="V426" t="str">
            <v>Frais véhicules de cie</v>
          </cell>
          <cell r="W426" t="str">
            <v>$</v>
          </cell>
          <cell r="X426">
            <v>0</v>
          </cell>
        </row>
        <row r="427">
          <cell r="O427">
            <v>-104.06</v>
          </cell>
          <cell r="U427" t="str">
            <v>Pièces</v>
          </cell>
          <cell r="V427" t="str">
            <v>Frais postaux</v>
          </cell>
          <cell r="W427" t="str">
            <v>$</v>
          </cell>
          <cell r="X427">
            <v>0</v>
          </cell>
        </row>
        <row r="428">
          <cell r="O428">
            <v>5168.38</v>
          </cell>
          <cell r="U428" t="str">
            <v>Pièces</v>
          </cell>
          <cell r="V428" t="str">
            <v>Informatique</v>
          </cell>
          <cell r="W428" t="str">
            <v>$</v>
          </cell>
          <cell r="X428">
            <v>0</v>
          </cell>
        </row>
        <row r="429">
          <cell r="O429">
            <v>294.99</v>
          </cell>
          <cell r="U429" t="str">
            <v>Pièces</v>
          </cell>
          <cell r="V429" t="str">
            <v>Papeterie</v>
          </cell>
          <cell r="W429" t="str">
            <v>$</v>
          </cell>
          <cell r="X429">
            <v>0</v>
          </cell>
        </row>
        <row r="430">
          <cell r="O430">
            <v>142.66</v>
          </cell>
          <cell r="U430" t="str">
            <v>Pièces</v>
          </cell>
          <cell r="V430" t="str">
            <v>Téléphone</v>
          </cell>
          <cell r="W430" t="str">
            <v>$</v>
          </cell>
          <cell r="X430">
            <v>0</v>
          </cell>
        </row>
        <row r="431">
          <cell r="O431">
            <v>183.15</v>
          </cell>
          <cell r="U431" t="str">
            <v>Pièces</v>
          </cell>
          <cell r="V431" t="str">
            <v>Divers</v>
          </cell>
          <cell r="W431" t="str">
            <v>$</v>
          </cell>
          <cell r="X431">
            <v>0</v>
          </cell>
        </row>
        <row r="432">
          <cell r="O432">
            <v>1039.22</v>
          </cell>
          <cell r="U432" t="str">
            <v>Pièces</v>
          </cell>
          <cell r="V432" t="str">
            <v>Frais de déplacement</v>
          </cell>
          <cell r="W432" t="str">
            <v>$</v>
          </cell>
          <cell r="X432">
            <v>0</v>
          </cell>
        </row>
        <row r="433">
          <cell r="O433">
            <v>2142.2399999999998</v>
          </cell>
          <cell r="U433" t="str">
            <v>Pièces</v>
          </cell>
          <cell r="V433" t="str">
            <v>Frais bancaires</v>
          </cell>
          <cell r="W433" t="str">
            <v>$</v>
          </cell>
          <cell r="X433">
            <v>0</v>
          </cell>
        </row>
        <row r="434">
          <cell r="O434">
            <v>8600</v>
          </cell>
          <cell r="U434" t="str">
            <v>Pièces</v>
          </cell>
          <cell r="V434" t="str">
            <v>Services extérieurs</v>
          </cell>
          <cell r="W434" t="str">
            <v>$</v>
          </cell>
          <cell r="X434">
            <v>0</v>
          </cell>
        </row>
        <row r="435">
          <cell r="O435">
            <v>3486.68</v>
          </cell>
          <cell r="U435" t="str">
            <v>Pièces</v>
          </cell>
          <cell r="V435" t="str">
            <v>Services extérieurs</v>
          </cell>
          <cell r="W435" t="str">
            <v>$</v>
          </cell>
          <cell r="X435">
            <v>0</v>
          </cell>
        </row>
        <row r="436">
          <cell r="O436">
            <v>8662</v>
          </cell>
          <cell r="U436" t="str">
            <v>Pièces</v>
          </cell>
          <cell r="V436" t="str">
            <v>Amortissement</v>
          </cell>
          <cell r="W436" t="str">
            <v>$</v>
          </cell>
          <cell r="X436">
            <v>0</v>
          </cell>
        </row>
        <row r="437">
          <cell r="O437">
            <v>680.88</v>
          </cell>
          <cell r="U437" t="str">
            <v>Pièces</v>
          </cell>
          <cell r="V437" t="str">
            <v>Chauffage, éclairage</v>
          </cell>
          <cell r="W437" t="str">
            <v>$</v>
          </cell>
          <cell r="X437">
            <v>0</v>
          </cell>
        </row>
        <row r="438">
          <cell r="O438">
            <v>9000</v>
          </cell>
          <cell r="U438" t="str">
            <v>Pièces</v>
          </cell>
          <cell r="V438" t="str">
            <v>Loyer</v>
          </cell>
          <cell r="W438" t="str">
            <v>$</v>
          </cell>
          <cell r="X438">
            <v>0</v>
          </cell>
        </row>
        <row r="439">
          <cell r="O439">
            <v>973.26</v>
          </cell>
          <cell r="U439" t="str">
            <v>Pièces</v>
          </cell>
          <cell r="V439" t="str">
            <v>Assurances</v>
          </cell>
          <cell r="W439" t="str">
            <v>$</v>
          </cell>
          <cell r="X439">
            <v>0</v>
          </cell>
        </row>
        <row r="440">
          <cell r="O440">
            <v>1294.25</v>
          </cell>
          <cell r="U440" t="str">
            <v>Pièces</v>
          </cell>
          <cell r="V440" t="str">
            <v>Taxes foncières</v>
          </cell>
          <cell r="W440" t="str">
            <v>$</v>
          </cell>
          <cell r="X440">
            <v>0</v>
          </cell>
        </row>
        <row r="441">
          <cell r="O441">
            <v>861.25</v>
          </cell>
          <cell r="U441" t="str">
            <v>Pièces</v>
          </cell>
          <cell r="V441" t="str">
            <v>Taxes d`affaires</v>
          </cell>
          <cell r="W441" t="str">
            <v>$</v>
          </cell>
          <cell r="X441">
            <v>0</v>
          </cell>
        </row>
        <row r="442">
          <cell r="O442">
            <v>1709.3</v>
          </cell>
          <cell r="U442" t="str">
            <v>Pièces</v>
          </cell>
          <cell r="V442" t="str">
            <v>Honoraires</v>
          </cell>
          <cell r="W442" t="str">
            <v>$</v>
          </cell>
          <cell r="X442">
            <v>0</v>
          </cell>
        </row>
        <row r="443">
          <cell r="O443">
            <v>-66750.850000000006</v>
          </cell>
          <cell r="U443" t="str">
            <v>Véhicules neufs</v>
          </cell>
          <cell r="V443" t="str">
            <v>Holdbacks</v>
          </cell>
          <cell r="W443" t="str">
            <v>$</v>
          </cell>
          <cell r="X443">
            <v>0</v>
          </cell>
        </row>
        <row r="444">
          <cell r="O444">
            <v>-14035.5</v>
          </cell>
          <cell r="U444" t="str">
            <v>Pièces</v>
          </cell>
          <cell r="V444" t="str">
            <v>Escomptes</v>
          </cell>
          <cell r="W444" t="str">
            <v>$</v>
          </cell>
          <cell r="X444">
            <v>0</v>
          </cell>
        </row>
        <row r="445">
          <cell r="O445">
            <v>0</v>
          </cell>
          <cell r="U445" t="str">
            <v>Véhicules neufs</v>
          </cell>
          <cell r="V445" t="str">
            <v>Programme neuf 1</v>
          </cell>
          <cell r="W445" t="str">
            <v>$</v>
          </cell>
          <cell r="X445">
            <v>0</v>
          </cell>
        </row>
        <row r="446">
          <cell r="O446">
            <v>0</v>
          </cell>
          <cell r="U446" t="str">
            <v>Véhicules neufs</v>
          </cell>
          <cell r="V446" t="str">
            <v>Rev. Finances</v>
          </cell>
          <cell r="W446" t="str">
            <v>$</v>
          </cell>
          <cell r="X446" t="str">
            <v>Oui</v>
          </cell>
        </row>
        <row r="447">
          <cell r="O447">
            <v>-15224.94</v>
          </cell>
          <cell r="U447" t="str">
            <v>Véhicules usagés</v>
          </cell>
          <cell r="V447" t="str">
            <v>Rev. Finances</v>
          </cell>
          <cell r="W447" t="str">
            <v>$</v>
          </cell>
          <cell r="X447" t="str">
            <v>Oui</v>
          </cell>
        </row>
        <row r="448">
          <cell r="O448">
            <v>-644.02</v>
          </cell>
          <cell r="U448" t="str">
            <v>Véhicules neufs</v>
          </cell>
          <cell r="V448" t="str">
            <v>Rev. Autres</v>
          </cell>
          <cell r="W448" t="str">
            <v>$</v>
          </cell>
          <cell r="X448" t="str">
            <v>Oui</v>
          </cell>
        </row>
        <row r="449">
          <cell r="O449">
            <v>-1145.29</v>
          </cell>
          <cell r="U449" t="str">
            <v>Véhicules usagés</v>
          </cell>
          <cell r="V449" t="str">
            <v>Rev. Autres</v>
          </cell>
          <cell r="W449" t="str">
            <v>$</v>
          </cell>
          <cell r="X449" t="str">
            <v>Oui</v>
          </cell>
        </row>
        <row r="450">
          <cell r="O450">
            <v>-7302</v>
          </cell>
          <cell r="U450" t="str">
            <v>Véhicules neufs</v>
          </cell>
          <cell r="V450" t="str">
            <v>Rev. Protections</v>
          </cell>
          <cell r="W450" t="str">
            <v>$</v>
          </cell>
          <cell r="X450" t="str">
            <v>Oui</v>
          </cell>
        </row>
        <row r="451">
          <cell r="O451">
            <v>-34924.33</v>
          </cell>
          <cell r="U451" t="str">
            <v>Véhicules neufs</v>
          </cell>
          <cell r="V451" t="str">
            <v>Rev. Protections</v>
          </cell>
          <cell r="W451" t="str">
            <v>$</v>
          </cell>
          <cell r="X451" t="str">
            <v>Oui</v>
          </cell>
        </row>
        <row r="452">
          <cell r="O452">
            <v>-44330</v>
          </cell>
          <cell r="U452" t="str">
            <v>Véhicules usagés</v>
          </cell>
          <cell r="V452" t="str">
            <v>Rev. Protections</v>
          </cell>
          <cell r="W452" t="str">
            <v>$</v>
          </cell>
          <cell r="X452" t="str">
            <v>Oui</v>
          </cell>
        </row>
        <row r="453">
          <cell r="O453">
            <v>-22801.34</v>
          </cell>
          <cell r="U453" t="str">
            <v>Véhicules usagés</v>
          </cell>
          <cell r="V453" t="str">
            <v>Rev. Protections</v>
          </cell>
          <cell r="W453" t="str">
            <v>$</v>
          </cell>
          <cell r="X453" t="str">
            <v>Oui</v>
          </cell>
        </row>
        <row r="454">
          <cell r="O454">
            <v>-24378</v>
          </cell>
          <cell r="U454" t="str">
            <v>Véhicules neufs</v>
          </cell>
          <cell r="V454" t="str">
            <v>Frais administration</v>
          </cell>
          <cell r="W454" t="str">
            <v>$</v>
          </cell>
          <cell r="X454">
            <v>0</v>
          </cell>
        </row>
        <row r="455">
          <cell r="O455">
            <v>-20328</v>
          </cell>
          <cell r="U455" t="str">
            <v>Véhicules usagés</v>
          </cell>
          <cell r="V455" t="str">
            <v>Frais administration</v>
          </cell>
          <cell r="W455" t="str">
            <v>$</v>
          </cell>
          <cell r="X455">
            <v>0</v>
          </cell>
        </row>
        <row r="456">
          <cell r="O456">
            <v>-32956.15</v>
          </cell>
          <cell r="U456" t="str">
            <v>TOTAL  DES  REVENUS  ET  DÉPENSES</v>
          </cell>
          <cell r="V456" t="str">
            <v>Revenus autres</v>
          </cell>
          <cell r="W456" t="str">
            <v>$</v>
          </cell>
          <cell r="X456">
            <v>0</v>
          </cell>
        </row>
        <row r="457">
          <cell r="O457">
            <v>0</v>
          </cell>
          <cell r="U457" t="str">
            <v>TOTAL  DES  REVENUS  ET  DÉPENSES</v>
          </cell>
          <cell r="V457" t="str">
            <v>Intérêts sur prêt</v>
          </cell>
          <cell r="W457" t="str">
            <v>$</v>
          </cell>
          <cell r="X457">
            <v>0</v>
          </cell>
        </row>
        <row r="458">
          <cell r="O458">
            <v>-1488.59</v>
          </cell>
          <cell r="U458" t="str">
            <v>Autres</v>
          </cell>
          <cell r="V458" t="str">
            <v>Revenus d'intérêts floor plan</v>
          </cell>
          <cell r="W458" t="str">
            <v>$</v>
          </cell>
          <cell r="X458">
            <v>0</v>
          </cell>
        </row>
        <row r="459">
          <cell r="O459">
            <v>-3</v>
          </cell>
          <cell r="U459" t="str">
            <v>Véhicules usagés</v>
          </cell>
          <cell r="V459">
            <v>0</v>
          </cell>
          <cell r="W459" t="str">
            <v>NB</v>
          </cell>
          <cell r="X459">
            <v>0</v>
          </cell>
        </row>
        <row r="460">
          <cell r="O460">
            <v>-5</v>
          </cell>
          <cell r="U460">
            <v>0</v>
          </cell>
          <cell r="V460">
            <v>0</v>
          </cell>
          <cell r="W460" t="str">
            <v>NB</v>
          </cell>
          <cell r="X460">
            <v>0</v>
          </cell>
        </row>
        <row r="461">
          <cell r="O461">
            <v>-26</v>
          </cell>
          <cell r="U461" t="str">
            <v>Véhicules usagés</v>
          </cell>
          <cell r="V461">
            <v>0</v>
          </cell>
          <cell r="W461" t="str">
            <v>NB</v>
          </cell>
          <cell r="X461">
            <v>0</v>
          </cell>
        </row>
        <row r="462">
          <cell r="O462">
            <v>13</v>
          </cell>
          <cell r="U462" t="str">
            <v>Bilan</v>
          </cell>
          <cell r="V462">
            <v>0</v>
          </cell>
          <cell r="W462" t="str">
            <v>NB</v>
          </cell>
          <cell r="X462">
            <v>0</v>
          </cell>
        </row>
        <row r="463">
          <cell r="O463">
            <v>-6</v>
          </cell>
          <cell r="U463" t="str">
            <v>Bilan</v>
          </cell>
          <cell r="V463">
            <v>0</v>
          </cell>
          <cell r="W463" t="str">
            <v>NB</v>
          </cell>
          <cell r="X463">
            <v>0</v>
          </cell>
        </row>
        <row r="464">
          <cell r="O464">
            <v>-15</v>
          </cell>
          <cell r="U464" t="str">
            <v>Véhicules neufs</v>
          </cell>
          <cell r="V464" t="str">
            <v>Rachat bail</v>
          </cell>
          <cell r="W464" t="str">
            <v>NB</v>
          </cell>
          <cell r="X464">
            <v>0</v>
          </cell>
        </row>
        <row r="465">
          <cell r="O465">
            <v>-1</v>
          </cell>
          <cell r="U465" t="str">
            <v>Véhicules neufs</v>
          </cell>
          <cell r="V465" t="str">
            <v>Autos détail</v>
          </cell>
          <cell r="W465" t="str">
            <v>NB</v>
          </cell>
          <cell r="X465">
            <v>0</v>
          </cell>
        </row>
        <row r="466">
          <cell r="O466">
            <v>-6</v>
          </cell>
          <cell r="U466" t="str">
            <v>Véhicules neufs</v>
          </cell>
          <cell r="V466" t="str">
            <v>Autos détail</v>
          </cell>
          <cell r="W466" t="str">
            <v>NB</v>
          </cell>
          <cell r="X466">
            <v>0</v>
          </cell>
        </row>
        <row r="467">
          <cell r="O467">
            <v>-15</v>
          </cell>
          <cell r="U467" t="str">
            <v>Véhicules neufs</v>
          </cell>
          <cell r="V467" t="str">
            <v>Camions détail</v>
          </cell>
          <cell r="W467" t="str">
            <v>NB</v>
          </cell>
          <cell r="X467">
            <v>0</v>
          </cell>
        </row>
        <row r="468">
          <cell r="O468">
            <v>-4</v>
          </cell>
          <cell r="U468" t="str">
            <v>Véhicules neufs</v>
          </cell>
          <cell r="V468" t="str">
            <v>Camions détail</v>
          </cell>
          <cell r="W468" t="str">
            <v>NB</v>
          </cell>
          <cell r="X468">
            <v>0</v>
          </cell>
        </row>
        <row r="469">
          <cell r="O469">
            <v>-3</v>
          </cell>
          <cell r="U469" t="str">
            <v>Véhicules neufs</v>
          </cell>
          <cell r="V469" t="str">
            <v>Camions détail</v>
          </cell>
          <cell r="W469" t="str">
            <v>NB</v>
          </cell>
          <cell r="X469">
            <v>0</v>
          </cell>
        </row>
        <row r="470">
          <cell r="O470">
            <v>-4</v>
          </cell>
          <cell r="U470" t="str">
            <v>Véhicules neufs</v>
          </cell>
          <cell r="V470" t="str">
            <v>Autos détail</v>
          </cell>
          <cell r="W470" t="str">
            <v>NB</v>
          </cell>
          <cell r="X470">
            <v>0</v>
          </cell>
        </row>
        <row r="471">
          <cell r="O471">
            <v>-10</v>
          </cell>
          <cell r="U471" t="str">
            <v>Véhicules neufs</v>
          </cell>
          <cell r="V471" t="str">
            <v>Camions détail</v>
          </cell>
          <cell r="W471" t="str">
            <v>NB</v>
          </cell>
          <cell r="X471">
            <v>0</v>
          </cell>
        </row>
        <row r="472">
          <cell r="O472">
            <v>-2</v>
          </cell>
          <cell r="U472" t="str">
            <v>Véhicules neufs</v>
          </cell>
          <cell r="V472" t="str">
            <v>Flottes</v>
          </cell>
          <cell r="W472" t="str">
            <v>NB</v>
          </cell>
          <cell r="X472">
            <v>0</v>
          </cell>
        </row>
        <row r="473">
          <cell r="O473">
            <v>-6</v>
          </cell>
          <cell r="U473" t="str">
            <v>Véhicules neufs</v>
          </cell>
          <cell r="V473" t="str">
            <v>Ex-Démos et courtoisies</v>
          </cell>
          <cell r="W473" t="str">
            <v>NB</v>
          </cell>
          <cell r="X473">
            <v>0</v>
          </cell>
        </row>
        <row r="474">
          <cell r="O474">
            <v>0</v>
          </cell>
          <cell r="U474" t="str">
            <v>Véhicules neufs</v>
          </cell>
          <cell r="V474" t="str">
            <v>Camions détail</v>
          </cell>
          <cell r="W474" t="str">
            <v>NB</v>
          </cell>
          <cell r="X474">
            <v>0</v>
          </cell>
        </row>
        <row r="475">
          <cell r="O475">
            <v>-1</v>
          </cell>
          <cell r="U475" t="str">
            <v>Véhicules neufs</v>
          </cell>
          <cell r="V475" t="str">
            <v>Autos détail</v>
          </cell>
          <cell r="W475" t="str">
            <v>NB</v>
          </cell>
          <cell r="X475">
            <v>0</v>
          </cell>
        </row>
        <row r="476">
          <cell r="O476">
            <v>-37</v>
          </cell>
          <cell r="U476" t="str">
            <v>Véhicules usagés</v>
          </cell>
          <cell r="V476" t="str">
            <v>Certifié</v>
          </cell>
          <cell r="W476" t="str">
            <v>NB</v>
          </cell>
          <cell r="X476">
            <v>0</v>
          </cell>
        </row>
        <row r="477">
          <cell r="O477">
            <v>-3</v>
          </cell>
          <cell r="U477" t="str">
            <v>Véhicules usagés</v>
          </cell>
          <cell r="V477" t="str">
            <v>Non Certifié</v>
          </cell>
          <cell r="W477" t="str">
            <v>NB</v>
          </cell>
          <cell r="X477">
            <v>0</v>
          </cell>
        </row>
        <row r="478">
          <cell r="O478">
            <v>-3</v>
          </cell>
          <cell r="U478" t="str">
            <v>Véhicules usagés</v>
          </cell>
          <cell r="V478" t="str">
            <v>Autres Marques</v>
          </cell>
          <cell r="W478" t="str">
            <v>NB</v>
          </cell>
          <cell r="X478">
            <v>0</v>
          </cell>
        </row>
        <row r="479">
          <cell r="O479">
            <v>-23</v>
          </cell>
          <cell r="U479" t="str">
            <v>Véhicules usagés</v>
          </cell>
          <cell r="V479" t="str">
            <v>Ventes au Gros</v>
          </cell>
          <cell r="W479" t="str">
            <v>NB</v>
          </cell>
          <cell r="X479">
            <v>0</v>
          </cell>
        </row>
        <row r="480">
          <cell r="O480">
            <v>-551</v>
          </cell>
          <cell r="U480" t="str">
            <v>Service</v>
          </cell>
          <cell r="V480" t="str">
            <v>M/O Client</v>
          </cell>
          <cell r="W480" t="str">
            <v>NB</v>
          </cell>
          <cell r="X480">
            <v>0</v>
          </cell>
        </row>
        <row r="481">
          <cell r="O481">
            <v>-182</v>
          </cell>
          <cell r="U481" t="str">
            <v>Service</v>
          </cell>
          <cell r="V481" t="str">
            <v>M/O Garantie</v>
          </cell>
          <cell r="W481" t="str">
            <v>NB</v>
          </cell>
          <cell r="X481">
            <v>0</v>
          </cell>
        </row>
        <row r="482">
          <cell r="O482">
            <v>-214</v>
          </cell>
          <cell r="U482" t="str">
            <v>Service</v>
          </cell>
          <cell r="V482" t="str">
            <v>M/O Interne</v>
          </cell>
          <cell r="W482" t="str">
            <v>NB</v>
          </cell>
          <cell r="X482">
            <v>0</v>
          </cell>
        </row>
        <row r="483">
          <cell r="O483">
            <v>-406</v>
          </cell>
          <cell r="U483" t="str">
            <v>Pièces</v>
          </cell>
          <cell r="V483" t="str">
            <v>Huiles et Graisse</v>
          </cell>
          <cell r="W483" t="str">
            <v>NB</v>
          </cell>
          <cell r="X483">
            <v>0</v>
          </cell>
        </row>
        <row r="484">
          <cell r="O484">
            <v>-73</v>
          </cell>
          <cell r="U484" t="str">
            <v>Service</v>
          </cell>
          <cell r="V484" t="str">
            <v>Sous-traitement</v>
          </cell>
          <cell r="W484" t="str">
            <v>NB</v>
          </cell>
          <cell r="X484">
            <v>0</v>
          </cell>
        </row>
        <row r="485">
          <cell r="O485">
            <v>-2</v>
          </cell>
          <cell r="U485" t="str">
            <v>Service</v>
          </cell>
          <cell r="V485" t="str">
            <v>Sous-traitement</v>
          </cell>
          <cell r="W485" t="str">
            <v>NB</v>
          </cell>
          <cell r="X485">
            <v>0</v>
          </cell>
        </row>
        <row r="486">
          <cell r="O486">
            <v>-48</v>
          </cell>
          <cell r="U486" t="str">
            <v>Service</v>
          </cell>
          <cell r="V486" t="str">
            <v>Sous-traitement</v>
          </cell>
          <cell r="W486" t="str">
            <v>NB</v>
          </cell>
          <cell r="X486">
            <v>0</v>
          </cell>
        </row>
        <row r="487">
          <cell r="O487">
            <v>-43</v>
          </cell>
          <cell r="U487" t="str">
            <v>Service</v>
          </cell>
          <cell r="V487" t="str">
            <v>M.O. Recond. MCPA</v>
          </cell>
          <cell r="W487" t="str">
            <v>NB</v>
          </cell>
          <cell r="X487">
            <v>0</v>
          </cell>
        </row>
        <row r="488">
          <cell r="O488">
            <v>-1</v>
          </cell>
          <cell r="U488" t="str">
            <v>Carrosserie</v>
          </cell>
          <cell r="V488" t="str">
            <v>M/O Sous-traitement</v>
          </cell>
          <cell r="W488" t="str">
            <v>NB</v>
          </cell>
          <cell r="X488">
            <v>0</v>
          </cell>
        </row>
        <row r="489">
          <cell r="O489">
            <v>-2</v>
          </cell>
          <cell r="U489" t="str">
            <v>Carrosserie</v>
          </cell>
          <cell r="V489" t="str">
            <v>M/O Sous-traitement</v>
          </cell>
          <cell r="W489" t="str">
            <v>NB</v>
          </cell>
          <cell r="X489">
            <v>0</v>
          </cell>
        </row>
        <row r="490">
          <cell r="O490">
            <v>-1</v>
          </cell>
          <cell r="U490" t="str">
            <v>Carrosserie</v>
          </cell>
          <cell r="V490" t="str">
            <v>M/O Sous-traitement</v>
          </cell>
          <cell r="W490" t="str">
            <v>NB</v>
          </cell>
          <cell r="X490">
            <v>0</v>
          </cell>
        </row>
        <row r="491">
          <cell r="O491">
            <v>-560</v>
          </cell>
          <cell r="U491" t="str">
            <v>Pièces</v>
          </cell>
          <cell r="V491" t="str">
            <v>Pièces Ro Clients</v>
          </cell>
          <cell r="W491" t="str">
            <v>NB</v>
          </cell>
          <cell r="X491">
            <v>0</v>
          </cell>
        </row>
        <row r="492">
          <cell r="O492">
            <v>-163</v>
          </cell>
          <cell r="U492" t="str">
            <v>Pièces</v>
          </cell>
          <cell r="V492" t="str">
            <v>P/A Garantie</v>
          </cell>
          <cell r="W492" t="str">
            <v>NB</v>
          </cell>
          <cell r="X492">
            <v>0</v>
          </cell>
        </row>
        <row r="493">
          <cell r="O493">
            <v>-316</v>
          </cell>
          <cell r="U493" t="str">
            <v>Pièces</v>
          </cell>
          <cell r="V493" t="str">
            <v>Ventes Internes</v>
          </cell>
          <cell r="W493" t="str">
            <v>NB</v>
          </cell>
          <cell r="X493">
            <v>0</v>
          </cell>
        </row>
        <row r="494">
          <cell r="O494">
            <v>-230</v>
          </cell>
          <cell r="U494" t="str">
            <v>Pièces</v>
          </cell>
          <cell r="V494" t="str">
            <v>Pièces Ro Clients</v>
          </cell>
          <cell r="W494" t="str">
            <v>NB</v>
          </cell>
          <cell r="X494">
            <v>0</v>
          </cell>
        </row>
        <row r="495">
          <cell r="O495">
            <v>0</v>
          </cell>
          <cell r="U495" t="str">
            <v>Pièces</v>
          </cell>
          <cell r="V495" t="str">
            <v>Pièces Ro Carrosserie</v>
          </cell>
          <cell r="W495" t="str">
            <v>NB</v>
          </cell>
          <cell r="X495">
            <v>0</v>
          </cell>
        </row>
        <row r="496">
          <cell r="O496">
            <v>-1</v>
          </cell>
          <cell r="U496" t="str">
            <v>Pièces</v>
          </cell>
          <cell r="V496" t="str">
            <v>Pièces Ro Carrosserie</v>
          </cell>
          <cell r="W496" t="str">
            <v>NB</v>
          </cell>
          <cell r="X496">
            <v>0</v>
          </cell>
        </row>
        <row r="497">
          <cell r="O497">
            <v>-1</v>
          </cell>
          <cell r="U497" t="str">
            <v>Pièces</v>
          </cell>
          <cell r="V497" t="str">
            <v>Pièces Ro Carrosserie</v>
          </cell>
          <cell r="W497" t="str">
            <v>NB</v>
          </cell>
          <cell r="X497">
            <v>0</v>
          </cell>
        </row>
        <row r="498">
          <cell r="O498">
            <v>-156</v>
          </cell>
          <cell r="U498" t="str">
            <v>Pièces</v>
          </cell>
          <cell r="V498" t="str">
            <v>Ventes Détails</v>
          </cell>
          <cell r="W498" t="str">
            <v>NB</v>
          </cell>
          <cell r="X498">
            <v>0</v>
          </cell>
        </row>
        <row r="499">
          <cell r="O499">
            <v>-400</v>
          </cell>
          <cell r="U499" t="str">
            <v>Pièces</v>
          </cell>
          <cell r="V499" t="str">
            <v>Ventes de Gros</v>
          </cell>
          <cell r="W499" t="str">
            <v>NB</v>
          </cell>
          <cell r="X499">
            <v>0</v>
          </cell>
        </row>
        <row r="500">
          <cell r="O500">
            <v>-62</v>
          </cell>
          <cell r="U500" t="str">
            <v>Pièces</v>
          </cell>
          <cell r="V500" t="str">
            <v>Ventes Pneus</v>
          </cell>
          <cell r="W500" t="str">
            <v>NB</v>
          </cell>
          <cell r="X500">
            <v>0</v>
          </cell>
        </row>
        <row r="501">
          <cell r="O501">
            <v>0</v>
          </cell>
          <cell r="U501" t="str">
            <v>Véhicules neufs</v>
          </cell>
          <cell r="V501">
            <v>0</v>
          </cell>
          <cell r="W501" t="str">
            <v>NB</v>
          </cell>
          <cell r="X501">
            <v>0</v>
          </cell>
        </row>
        <row r="502">
          <cell r="O502">
            <v>-18</v>
          </cell>
          <cell r="U502" t="str">
            <v>Véhicules usagés</v>
          </cell>
          <cell r="V502">
            <v>0</v>
          </cell>
          <cell r="W502" t="str">
            <v>NB</v>
          </cell>
          <cell r="X502">
            <v>0</v>
          </cell>
        </row>
        <row r="503">
          <cell r="O503">
            <v>-47</v>
          </cell>
          <cell r="U503" t="str">
            <v>Véhicules neufs</v>
          </cell>
          <cell r="V503">
            <v>0</v>
          </cell>
          <cell r="W503" t="str">
            <v>NB</v>
          </cell>
          <cell r="X503">
            <v>0</v>
          </cell>
        </row>
        <row r="504">
          <cell r="O504">
            <v>-42</v>
          </cell>
          <cell r="U504" t="str">
            <v>Véhicules usagés</v>
          </cell>
          <cell r="V504">
            <v>0</v>
          </cell>
          <cell r="W504" t="str">
            <v>NB</v>
          </cell>
          <cell r="X504">
            <v>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3"/>
      <sheetName val="Capex"/>
      <sheetName val="Inventaire_Used"/>
      <sheetName val="Inventaire_Neuf"/>
      <sheetName val="2pager"/>
      <sheetName val="Chart1"/>
      <sheetName val="Print_Mois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>
        <row r="1">
          <cell r="B1" t="str">
            <v>Volks</v>
          </cell>
        </row>
        <row r="3">
          <cell r="B3" t="str">
            <v>Novembre</v>
          </cell>
        </row>
        <row r="4">
          <cell r="B4">
            <v>2024</v>
          </cell>
        </row>
      </sheetData>
      <sheetData sheetId="1"/>
      <sheetData sheetId="2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>X</v>
          </cell>
          <cell r="AK2" t="str">
            <v>O</v>
          </cell>
          <cell r="AL2" t="str">
            <v>U</v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>X</v>
          </cell>
          <cell r="AE3" t="str">
            <v>O</v>
          </cell>
          <cell r="AF3" t="str">
            <v>U</v>
          </cell>
          <cell r="AG3" t="str">
            <v>X</v>
          </cell>
          <cell r="AH3" t="str">
            <v>O</v>
          </cell>
          <cell r="AI3" t="str">
            <v>U</v>
          </cell>
          <cell r="AJ3" t="str">
            <v>X</v>
          </cell>
          <cell r="AK3" t="str">
            <v>O</v>
          </cell>
          <cell r="AL3" t="str">
            <v>U</v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Budget 2024</v>
          </cell>
          <cell r="C4" t="str">
            <v>Véhicules neufs</v>
          </cell>
        </row>
        <row r="6">
          <cell r="B6" t="str">
            <v>Mois</v>
          </cell>
          <cell r="C6">
            <v>2024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32266637.104539726</v>
          </cell>
          <cell r="H8">
            <v>1621482.1660572723</v>
          </cell>
          <cell r="K8">
            <v>1621482.1660572723</v>
          </cell>
          <cell r="N8">
            <v>2270075.0324801812</v>
          </cell>
          <cell r="Q8">
            <v>3243094.3321145447</v>
          </cell>
          <cell r="T8">
            <v>3729070.9819317264</v>
          </cell>
          <cell r="W8">
            <v>2918459.89890309</v>
          </cell>
          <cell r="Z8">
            <v>2594371.4656916359</v>
          </cell>
          <cell r="AC8">
            <v>2918927.89890309</v>
          </cell>
          <cell r="AF8">
            <v>2594475.4656916359</v>
          </cell>
          <cell r="AI8">
            <v>3890933.1985374531</v>
          </cell>
          <cell r="AL8">
            <v>3242782.3321145447</v>
          </cell>
          <cell r="AO8">
            <v>1621482.1660572723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120</v>
          </cell>
          <cell r="D9">
            <v>2187.1313189070997</v>
          </cell>
          <cell r="E9">
            <v>262455.75826885196</v>
          </cell>
          <cell r="F9">
            <v>6</v>
          </cell>
          <cell r="G9">
            <v>2198.1219285498491</v>
          </cell>
          <cell r="H9">
            <v>13188.731571299095</v>
          </cell>
          <cell r="I9">
            <v>6</v>
          </cell>
          <cell r="J9">
            <v>2198.1219285498491</v>
          </cell>
          <cell r="K9">
            <v>13188.731571299095</v>
          </cell>
          <cell r="L9">
            <v>8.4</v>
          </cell>
          <cell r="M9">
            <v>2198.1219285498491</v>
          </cell>
          <cell r="N9">
            <v>18464.224199818735</v>
          </cell>
          <cell r="O9">
            <v>12</v>
          </cell>
          <cell r="P9">
            <v>2198.1219285498491</v>
          </cell>
          <cell r="Q9">
            <v>26377.46314259819</v>
          </cell>
          <cell r="R9">
            <v>14</v>
          </cell>
          <cell r="S9">
            <v>2166.7201867134227</v>
          </cell>
          <cell r="T9">
            <v>30334.082613987917</v>
          </cell>
          <cell r="U9">
            <v>10.999999999999998</v>
          </cell>
          <cell r="V9">
            <v>2158.1560753034883</v>
          </cell>
          <cell r="W9">
            <v>23739.716828338369</v>
          </cell>
          <cell r="X9">
            <v>9.6</v>
          </cell>
          <cell r="Y9">
            <v>2198.1219285498491</v>
          </cell>
          <cell r="Z9">
            <v>21101.970514078552</v>
          </cell>
          <cell r="AA9">
            <v>10.999999999999998</v>
          </cell>
          <cell r="AB9">
            <v>2158.1560753034883</v>
          </cell>
          <cell r="AC9">
            <v>23739.716828338369</v>
          </cell>
          <cell r="AD9">
            <v>9.6</v>
          </cell>
          <cell r="AE9">
            <v>2198.1219285498491</v>
          </cell>
          <cell r="AF9">
            <v>21101.970514078552</v>
          </cell>
          <cell r="AG9">
            <v>14.399999999999999</v>
          </cell>
          <cell r="AH9">
            <v>2198.1219285498491</v>
          </cell>
          <cell r="AI9">
            <v>31652.955771117824</v>
          </cell>
          <cell r="AJ9">
            <v>12</v>
          </cell>
          <cell r="AK9">
            <v>2198.1219285498491</v>
          </cell>
          <cell r="AL9">
            <v>26377.46314259819</v>
          </cell>
          <cell r="AM9">
            <v>6</v>
          </cell>
          <cell r="AN9">
            <v>2198.1219285498491</v>
          </cell>
          <cell r="AO9">
            <v>13188.731571299095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496</v>
          </cell>
          <cell r="D10">
            <v>2858.8784302962704</v>
          </cell>
          <cell r="E10">
            <v>1418003.7014269501</v>
          </cell>
          <cell r="F10">
            <v>25</v>
          </cell>
          <cell r="G10">
            <v>2850.2586963355784</v>
          </cell>
          <cell r="H10">
            <v>71256.467408389464</v>
          </cell>
          <cell r="I10">
            <v>25</v>
          </cell>
          <cell r="J10">
            <v>2850.2586963355784</v>
          </cell>
          <cell r="K10">
            <v>71256.467408389464</v>
          </cell>
          <cell r="L10">
            <v>35.000000000000007</v>
          </cell>
          <cell r="M10">
            <v>2850.258696335578</v>
          </cell>
          <cell r="N10">
            <v>99759.054371745253</v>
          </cell>
          <cell r="O10">
            <v>50</v>
          </cell>
          <cell r="P10">
            <v>2850.2586963355784</v>
          </cell>
          <cell r="Q10">
            <v>142512.93481677893</v>
          </cell>
          <cell r="R10">
            <v>57.04</v>
          </cell>
          <cell r="S10">
            <v>2873.2446535640911</v>
          </cell>
          <cell r="T10">
            <v>163889.87503929576</v>
          </cell>
          <cell r="U10">
            <v>44.64</v>
          </cell>
          <cell r="V10">
            <v>2873.2446535640911</v>
          </cell>
          <cell r="W10">
            <v>128261.64133510103</v>
          </cell>
          <cell r="X10">
            <v>40</v>
          </cell>
          <cell r="Y10">
            <v>2850.2586963355784</v>
          </cell>
          <cell r="Z10">
            <v>114010.34785342314</v>
          </cell>
          <cell r="AA10">
            <v>45</v>
          </cell>
          <cell r="AB10">
            <v>2850.2586963355784</v>
          </cell>
          <cell r="AC10">
            <v>128261.64133510103</v>
          </cell>
          <cell r="AD10">
            <v>40</v>
          </cell>
          <cell r="AE10">
            <v>2850.2586963355784</v>
          </cell>
          <cell r="AF10">
            <v>114010.34785342314</v>
          </cell>
          <cell r="AG10">
            <v>59.519999999999996</v>
          </cell>
          <cell r="AH10">
            <v>2873.2446535640911</v>
          </cell>
          <cell r="AI10">
            <v>171015.5217801347</v>
          </cell>
          <cell r="AJ10">
            <v>49.800000000000004</v>
          </cell>
          <cell r="AK10">
            <v>2861.7055184092151</v>
          </cell>
          <cell r="AL10">
            <v>142512.93481677893</v>
          </cell>
          <cell r="AM10">
            <v>25</v>
          </cell>
          <cell r="AN10">
            <v>2850.2586963355784</v>
          </cell>
          <cell r="AO10">
            <v>71256.467408389464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616</v>
          </cell>
          <cell r="D16">
            <v>2728.0186034022763</v>
          </cell>
          <cell r="E16">
            <v>1680459.4596958021</v>
          </cell>
          <cell r="F16">
            <v>31</v>
          </cell>
          <cell r="G16">
            <v>2724.0386767641471</v>
          </cell>
          <cell r="H16">
            <v>84445.198979688561</v>
          </cell>
          <cell r="I16">
            <v>31</v>
          </cell>
          <cell r="J16">
            <v>2724.0386767641471</v>
          </cell>
          <cell r="K16">
            <v>84445.198979688561</v>
          </cell>
          <cell r="L16">
            <v>43.400000000000006</v>
          </cell>
          <cell r="M16">
            <v>2724.0386767641471</v>
          </cell>
          <cell r="N16">
            <v>118223.27857156399</v>
          </cell>
          <cell r="O16">
            <v>62</v>
          </cell>
          <cell r="P16">
            <v>2724.0386767641471</v>
          </cell>
          <cell r="Q16">
            <v>168890.39795937712</v>
          </cell>
          <cell r="R16">
            <v>71.039999999999992</v>
          </cell>
          <cell r="S16">
            <v>2734.0084129122142</v>
          </cell>
          <cell r="T16">
            <v>194223.95765328367</v>
          </cell>
          <cell r="U16">
            <v>55.64</v>
          </cell>
          <cell r="V16">
            <v>2731.8720014996297</v>
          </cell>
          <cell r="W16">
            <v>152001.35816343941</v>
          </cell>
          <cell r="X16">
            <v>49.6</v>
          </cell>
          <cell r="Y16">
            <v>2724.0386767641471</v>
          </cell>
          <cell r="Z16">
            <v>135112.31836750169</v>
          </cell>
          <cell r="AA16">
            <v>56</v>
          </cell>
          <cell r="AB16">
            <v>2714.3099672042749</v>
          </cell>
          <cell r="AC16">
            <v>152001.35816343941</v>
          </cell>
          <cell r="AD16">
            <v>49.6</v>
          </cell>
          <cell r="AE16">
            <v>2724.0386767641471</v>
          </cell>
          <cell r="AF16">
            <v>135112.31836750169</v>
          </cell>
          <cell r="AG16">
            <v>73.919999999999987</v>
          </cell>
          <cell r="AH16">
            <v>2741.7272396002782</v>
          </cell>
          <cell r="AI16">
            <v>202668.47755125252</v>
          </cell>
          <cell r="AJ16">
            <v>61.800000000000004</v>
          </cell>
          <cell r="AK16">
            <v>2732.8543359122509</v>
          </cell>
          <cell r="AL16">
            <v>168890.39795937712</v>
          </cell>
          <cell r="AM16">
            <v>31</v>
          </cell>
          <cell r="AN16">
            <v>2724.0386767641471</v>
          </cell>
          <cell r="AO16">
            <v>84445.198979688561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48.995000000000005</v>
          </cell>
          <cell r="D18">
            <v>2522.7033983960591</v>
          </cell>
          <cell r="E18">
            <v>123599.85300441494</v>
          </cell>
          <cell r="F18">
            <v>2.4500000000000002</v>
          </cell>
          <cell r="G18">
            <v>2535.1215876200376</v>
          </cell>
          <cell r="H18">
            <v>6211.0478896690929</v>
          </cell>
          <cell r="I18">
            <v>2.4500000000000002</v>
          </cell>
          <cell r="J18">
            <v>2535.1215876200376</v>
          </cell>
          <cell r="K18">
            <v>6211.0478896690929</v>
          </cell>
          <cell r="L18">
            <v>3.43</v>
          </cell>
          <cell r="M18">
            <v>2535.1215876200381</v>
          </cell>
          <cell r="N18">
            <v>8695.4670455367304</v>
          </cell>
          <cell r="O18">
            <v>5</v>
          </cell>
          <cell r="P18">
            <v>2484.4191558676371</v>
          </cell>
          <cell r="Q18">
            <v>12422.095779338186</v>
          </cell>
          <cell r="R18">
            <v>5.6350000000000007</v>
          </cell>
          <cell r="S18">
            <v>2535.1215876200376</v>
          </cell>
          <cell r="T18">
            <v>14285.410146238914</v>
          </cell>
          <cell r="U18">
            <v>4.41</v>
          </cell>
          <cell r="V18">
            <v>2535.1215876200376</v>
          </cell>
          <cell r="W18">
            <v>11179.886201404366</v>
          </cell>
          <cell r="X18">
            <v>3.92</v>
          </cell>
          <cell r="Y18">
            <v>2535.1215876200381</v>
          </cell>
          <cell r="Z18">
            <v>9937.6766234705483</v>
          </cell>
          <cell r="AA18">
            <v>4.41</v>
          </cell>
          <cell r="AB18">
            <v>2535.1215876200376</v>
          </cell>
          <cell r="AC18">
            <v>11179.886201404366</v>
          </cell>
          <cell r="AD18">
            <v>4</v>
          </cell>
          <cell r="AE18">
            <v>2484.4191558676371</v>
          </cell>
          <cell r="AF18">
            <v>9937.6766234705483</v>
          </cell>
          <cell r="AG18">
            <v>5.88</v>
          </cell>
          <cell r="AH18">
            <v>2535.1215876200376</v>
          </cell>
          <cell r="AI18">
            <v>14906.514935205822</v>
          </cell>
          <cell r="AJ18">
            <v>4.96</v>
          </cell>
          <cell r="AK18">
            <v>2504.4547942214085</v>
          </cell>
          <cell r="AL18">
            <v>12422.095779338186</v>
          </cell>
          <cell r="AM18">
            <v>2.4500000000000002</v>
          </cell>
          <cell r="AN18">
            <v>2535.1215876200376</v>
          </cell>
          <cell r="AO18">
            <v>6211.0478896690929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44.774999999999999</v>
          </cell>
          <cell r="D20">
            <v>2664.4640678584237</v>
          </cell>
          <cell r="E20">
            <v>119301.37863836091</v>
          </cell>
          <cell r="F20">
            <v>2.25</v>
          </cell>
          <cell r="G20">
            <v>2664.4640678584237</v>
          </cell>
          <cell r="H20">
            <v>5995.0441526814539</v>
          </cell>
          <cell r="I20">
            <v>2.25</v>
          </cell>
          <cell r="J20">
            <v>2664.4640678584237</v>
          </cell>
          <cell r="K20">
            <v>5995.0441526814539</v>
          </cell>
          <cell r="L20">
            <v>3.1500000000000004</v>
          </cell>
          <cell r="M20">
            <v>2664.4640678584237</v>
          </cell>
          <cell r="N20">
            <v>8393.061813754035</v>
          </cell>
          <cell r="O20">
            <v>4.5</v>
          </cell>
          <cell r="P20">
            <v>2664.4640678584237</v>
          </cell>
          <cell r="Q20">
            <v>11990.088305362908</v>
          </cell>
          <cell r="R20">
            <v>5.1749999999999998</v>
          </cell>
          <cell r="S20">
            <v>2664.4640678584237</v>
          </cell>
          <cell r="T20">
            <v>13788.601551167343</v>
          </cell>
          <cell r="U20">
            <v>4.05</v>
          </cell>
          <cell r="V20">
            <v>2664.4640678584233</v>
          </cell>
          <cell r="W20">
            <v>10791.079474826614</v>
          </cell>
          <cell r="X20">
            <v>3.6</v>
          </cell>
          <cell r="Y20">
            <v>2664.4640678584233</v>
          </cell>
          <cell r="Z20">
            <v>9592.0706442903247</v>
          </cell>
          <cell r="AA20">
            <v>4.05</v>
          </cell>
          <cell r="AB20">
            <v>2664.4640678584233</v>
          </cell>
          <cell r="AC20">
            <v>10791.079474826614</v>
          </cell>
          <cell r="AD20">
            <v>3.6</v>
          </cell>
          <cell r="AE20">
            <v>2664.4640678584233</v>
          </cell>
          <cell r="AF20">
            <v>9592.0706442903247</v>
          </cell>
          <cell r="AG20">
            <v>5.3999999999999995</v>
          </cell>
          <cell r="AH20">
            <v>2664.4640678584237</v>
          </cell>
          <cell r="AI20">
            <v>14388.105966435487</v>
          </cell>
          <cell r="AJ20">
            <v>4.5</v>
          </cell>
          <cell r="AK20">
            <v>2664.4640678584237</v>
          </cell>
          <cell r="AL20">
            <v>11990.088305362908</v>
          </cell>
          <cell r="AM20">
            <v>2.25</v>
          </cell>
          <cell r="AN20">
            <v>2664.4640678584237</v>
          </cell>
          <cell r="AO20">
            <v>5995.0441526814539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84575</v>
          </cell>
          <cell r="H22">
            <v>4250</v>
          </cell>
          <cell r="K22">
            <v>4250</v>
          </cell>
          <cell r="N22">
            <v>5950.0000000000009</v>
          </cell>
          <cell r="Q22">
            <v>8500</v>
          </cell>
          <cell r="T22">
            <v>9775</v>
          </cell>
          <cell r="W22">
            <v>7650</v>
          </cell>
          <cell r="Z22">
            <v>6800</v>
          </cell>
          <cell r="AC22">
            <v>7650</v>
          </cell>
          <cell r="AF22">
            <v>6800</v>
          </cell>
          <cell r="AI22">
            <v>10200</v>
          </cell>
          <cell r="AL22">
            <v>8500</v>
          </cell>
          <cell r="AO22">
            <v>4250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200</v>
          </cell>
          <cell r="E24">
            <v>132999</v>
          </cell>
          <cell r="G24">
            <v>200</v>
          </cell>
          <cell r="H24">
            <v>6690.0000000000009</v>
          </cell>
          <cell r="J24">
            <v>200</v>
          </cell>
          <cell r="K24">
            <v>6690.0000000000009</v>
          </cell>
          <cell r="M24">
            <v>200.00000000000003</v>
          </cell>
          <cell r="N24">
            <v>9366.0000000000018</v>
          </cell>
          <cell r="P24">
            <v>200</v>
          </cell>
          <cell r="Q24">
            <v>13400</v>
          </cell>
          <cell r="S24">
            <v>200</v>
          </cell>
          <cell r="T24">
            <v>15335</v>
          </cell>
          <cell r="V24">
            <v>200</v>
          </cell>
          <cell r="W24">
            <v>12010</v>
          </cell>
          <cell r="Y24">
            <v>200</v>
          </cell>
          <cell r="Z24">
            <v>10704</v>
          </cell>
          <cell r="AB24">
            <v>200</v>
          </cell>
          <cell r="AC24">
            <v>12082</v>
          </cell>
          <cell r="AE24">
            <v>200</v>
          </cell>
          <cell r="AF24">
            <v>10720</v>
          </cell>
          <cell r="AH24">
            <v>200</v>
          </cell>
          <cell r="AI24">
            <v>15959.999999999996</v>
          </cell>
          <cell r="AK24">
            <v>200</v>
          </cell>
          <cell r="AL24">
            <v>13352.000000000002</v>
          </cell>
          <cell r="AN24">
            <v>200</v>
          </cell>
          <cell r="AO24">
            <v>6690.0000000000009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1080</v>
          </cell>
          <cell r="E25">
            <v>718194.6</v>
          </cell>
          <cell r="G25">
            <v>1080</v>
          </cell>
          <cell r="H25">
            <v>36126</v>
          </cell>
          <cell r="J25">
            <v>1080</v>
          </cell>
          <cell r="K25">
            <v>36126</v>
          </cell>
          <cell r="M25">
            <v>1080</v>
          </cell>
          <cell r="N25">
            <v>50576.400000000009</v>
          </cell>
          <cell r="P25">
            <v>1080</v>
          </cell>
          <cell r="Q25">
            <v>72360</v>
          </cell>
          <cell r="S25">
            <v>1080</v>
          </cell>
          <cell r="T25">
            <v>82809</v>
          </cell>
          <cell r="V25">
            <v>1080</v>
          </cell>
          <cell r="W25">
            <v>64854</v>
          </cell>
          <cell r="Y25">
            <v>1080</v>
          </cell>
          <cell r="Z25">
            <v>57801.600000000006</v>
          </cell>
          <cell r="AB25">
            <v>1080</v>
          </cell>
          <cell r="AC25">
            <v>65242.799999999996</v>
          </cell>
          <cell r="AE25">
            <v>1080</v>
          </cell>
          <cell r="AF25">
            <v>57888</v>
          </cell>
          <cell r="AH25">
            <v>1080</v>
          </cell>
          <cell r="AI25">
            <v>86183.999999999985</v>
          </cell>
          <cell r="AK25">
            <v>1080</v>
          </cell>
          <cell r="AL25">
            <v>72100.800000000003</v>
          </cell>
          <cell r="AN25">
            <v>1080</v>
          </cell>
          <cell r="AO25">
            <v>36126</v>
          </cell>
        </row>
        <row r="26">
          <cell r="A26" t="str">
            <v>Véhicules neufsRev. Autres</v>
          </cell>
          <cell r="B26" t="str">
            <v>Rev. Autres</v>
          </cell>
          <cell r="D26">
            <v>20.000000000000004</v>
          </cell>
          <cell r="E26">
            <v>13299.900000000001</v>
          </cell>
          <cell r="G26">
            <v>20</v>
          </cell>
          <cell r="H26">
            <v>669</v>
          </cell>
          <cell r="J26">
            <v>20</v>
          </cell>
          <cell r="K26">
            <v>669</v>
          </cell>
          <cell r="M26">
            <v>20</v>
          </cell>
          <cell r="N26">
            <v>936.60000000000014</v>
          </cell>
          <cell r="P26">
            <v>20</v>
          </cell>
          <cell r="Q26">
            <v>1340</v>
          </cell>
          <cell r="S26">
            <v>20</v>
          </cell>
          <cell r="T26">
            <v>1533.5</v>
          </cell>
          <cell r="V26">
            <v>20</v>
          </cell>
          <cell r="W26">
            <v>1201</v>
          </cell>
          <cell r="Y26">
            <v>20</v>
          </cell>
          <cell r="Z26">
            <v>1070.4000000000001</v>
          </cell>
          <cell r="AB26">
            <v>19.999999999999996</v>
          </cell>
          <cell r="AC26">
            <v>1208.1999999999998</v>
          </cell>
          <cell r="AE26">
            <v>20</v>
          </cell>
          <cell r="AF26">
            <v>1072</v>
          </cell>
          <cell r="AH26">
            <v>20</v>
          </cell>
          <cell r="AI26">
            <v>1595.9999999999995</v>
          </cell>
          <cell r="AK26">
            <v>20</v>
          </cell>
          <cell r="AL26">
            <v>1335.2</v>
          </cell>
          <cell r="AN26">
            <v>20</v>
          </cell>
          <cell r="AO26">
            <v>669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664.995</v>
          </cell>
          <cell r="D27">
            <v>1300</v>
          </cell>
          <cell r="E27">
            <v>864493.5</v>
          </cell>
          <cell r="F27">
            <v>33.450000000000003</v>
          </cell>
          <cell r="G27">
            <v>1300</v>
          </cell>
          <cell r="H27">
            <v>43485</v>
          </cell>
          <cell r="I27">
            <v>33.450000000000003</v>
          </cell>
          <cell r="J27">
            <v>1300</v>
          </cell>
          <cell r="K27">
            <v>43485</v>
          </cell>
          <cell r="L27">
            <v>46.830000000000005</v>
          </cell>
          <cell r="M27">
            <v>1300</v>
          </cell>
          <cell r="N27">
            <v>60879.000000000007</v>
          </cell>
          <cell r="O27">
            <v>67</v>
          </cell>
          <cell r="P27">
            <v>1300</v>
          </cell>
          <cell r="Q27">
            <v>87100</v>
          </cell>
          <cell r="R27">
            <v>76.674999999999997</v>
          </cell>
          <cell r="S27">
            <v>1300</v>
          </cell>
          <cell r="T27">
            <v>99677.5</v>
          </cell>
          <cell r="U27">
            <v>60.05</v>
          </cell>
          <cell r="V27">
            <v>1300</v>
          </cell>
          <cell r="W27">
            <v>78065</v>
          </cell>
          <cell r="X27">
            <v>53.52</v>
          </cell>
          <cell r="Y27">
            <v>1300</v>
          </cell>
          <cell r="Z27">
            <v>69576</v>
          </cell>
          <cell r="AA27">
            <v>60.41</v>
          </cell>
          <cell r="AB27">
            <v>1299.9999999999998</v>
          </cell>
          <cell r="AC27">
            <v>78532.999999999985</v>
          </cell>
          <cell r="AD27">
            <v>53.6</v>
          </cell>
          <cell r="AE27">
            <v>1300</v>
          </cell>
          <cell r="AF27">
            <v>69680</v>
          </cell>
          <cell r="AG27">
            <v>79.799999999999983</v>
          </cell>
          <cell r="AH27">
            <v>1300</v>
          </cell>
          <cell r="AI27">
            <v>103739.99999999999</v>
          </cell>
          <cell r="AJ27">
            <v>66.760000000000005</v>
          </cell>
          <cell r="AK27">
            <v>1300</v>
          </cell>
          <cell r="AL27">
            <v>86788</v>
          </cell>
          <cell r="AM27">
            <v>33.450000000000003</v>
          </cell>
          <cell r="AN27">
            <v>1300</v>
          </cell>
          <cell r="AO27">
            <v>43485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709.77</v>
          </cell>
          <cell r="D30">
            <v>4046.9859128148241</v>
          </cell>
          <cell r="E30">
            <v>2872429.1913385778</v>
          </cell>
          <cell r="F30">
            <v>35.700000000000003</v>
          </cell>
          <cell r="G30">
            <v>4044.4339221859691</v>
          </cell>
          <cell r="H30">
            <v>144386.29102203911</v>
          </cell>
          <cell r="I30">
            <v>35.700000000000003</v>
          </cell>
          <cell r="J30">
            <v>4044.4339221859691</v>
          </cell>
          <cell r="K30">
            <v>144386.29102203911</v>
          </cell>
          <cell r="L30">
            <v>49.980000000000004</v>
          </cell>
          <cell r="M30">
            <v>4044.4339221859695</v>
          </cell>
          <cell r="N30">
            <v>202140.80743085477</v>
          </cell>
          <cell r="O30">
            <v>71.5</v>
          </cell>
          <cell r="P30">
            <v>4040.5955530640308</v>
          </cell>
          <cell r="Q30">
            <v>288902.58204407821</v>
          </cell>
          <cell r="R30">
            <v>81.849999999999994</v>
          </cell>
          <cell r="S30">
            <v>4053.151733056689</v>
          </cell>
          <cell r="T30">
            <v>331750.46935068996</v>
          </cell>
          <cell r="U30">
            <v>64.099999999999994</v>
          </cell>
          <cell r="V30">
            <v>4051.2843032709889</v>
          </cell>
          <cell r="W30">
            <v>259687.32383967037</v>
          </cell>
          <cell r="X30">
            <v>57.120000000000005</v>
          </cell>
          <cell r="Y30">
            <v>4044.4339221859691</v>
          </cell>
          <cell r="Z30">
            <v>231018.06563526258</v>
          </cell>
          <cell r="AA30">
            <v>64.459999999999994</v>
          </cell>
          <cell r="AB30">
            <v>4035.9187688437851</v>
          </cell>
          <cell r="AC30">
            <v>260155.32383967037</v>
          </cell>
          <cell r="AD30">
            <v>57.2</v>
          </cell>
          <cell r="AE30">
            <v>4040.5955530640308</v>
          </cell>
          <cell r="AF30">
            <v>231122.06563526258</v>
          </cell>
          <cell r="AG30">
            <v>85.199999999999989</v>
          </cell>
          <cell r="AH30">
            <v>4059.89552174758</v>
          </cell>
          <cell r="AI30">
            <v>345903.09845289378</v>
          </cell>
          <cell r="AJ30">
            <v>71.260000000000005</v>
          </cell>
          <cell r="AK30">
            <v>4049.8257373572578</v>
          </cell>
          <cell r="AL30">
            <v>288590.58204407821</v>
          </cell>
          <cell r="AM30">
            <v>35.700000000000003</v>
          </cell>
          <cell r="AN30">
            <v>4044.4339221859691</v>
          </cell>
          <cell r="AO30">
            <v>144386.29102203911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0.34000000000000008</v>
          </cell>
          <cell r="D34">
            <v>922.38312516345832</v>
          </cell>
          <cell r="E34">
            <v>613380.16631807399</v>
          </cell>
          <cell r="F34">
            <v>0.34</v>
          </cell>
          <cell r="G34">
            <v>921.46857804429294</v>
          </cell>
          <cell r="H34">
            <v>30823.123935581603</v>
          </cell>
          <cell r="I34">
            <v>0.34</v>
          </cell>
          <cell r="J34">
            <v>921.46857804429294</v>
          </cell>
          <cell r="K34">
            <v>30823.123935581603</v>
          </cell>
          <cell r="L34">
            <v>0.34</v>
          </cell>
          <cell r="M34">
            <v>921.46857804429305</v>
          </cell>
          <cell r="N34">
            <v>43152.37350981425</v>
          </cell>
          <cell r="O34">
            <v>0.34</v>
          </cell>
          <cell r="P34">
            <v>920.09325180840608</v>
          </cell>
          <cell r="Q34">
            <v>61646.247871163207</v>
          </cell>
          <cell r="R34">
            <v>0.34</v>
          </cell>
          <cell r="S34">
            <v>924.59321880453456</v>
          </cell>
          <cell r="T34">
            <v>70893.185051837689</v>
          </cell>
          <cell r="U34">
            <v>0.34</v>
          </cell>
          <cell r="V34">
            <v>923.92378158279575</v>
          </cell>
          <cell r="W34">
            <v>55481.623084046885</v>
          </cell>
          <cell r="X34">
            <v>0.34</v>
          </cell>
          <cell r="Y34">
            <v>921.46857804429317</v>
          </cell>
          <cell r="Z34">
            <v>49316.998296930571</v>
          </cell>
          <cell r="AA34">
            <v>0.34</v>
          </cell>
          <cell r="AB34">
            <v>918.41786267251928</v>
          </cell>
          <cell r="AC34">
            <v>55481.623084046885</v>
          </cell>
          <cell r="AD34">
            <v>0.34</v>
          </cell>
          <cell r="AE34">
            <v>920.09325180840619</v>
          </cell>
          <cell r="AF34">
            <v>49316.998296930571</v>
          </cell>
          <cell r="AG34">
            <v>0.34</v>
          </cell>
          <cell r="AH34">
            <v>927.01124618290544</v>
          </cell>
          <cell r="AI34">
            <v>73975.497445395842</v>
          </cell>
          <cell r="AJ34">
            <v>0.34</v>
          </cell>
          <cell r="AK34">
            <v>923.40095672802875</v>
          </cell>
          <cell r="AL34">
            <v>61646.247871163207</v>
          </cell>
          <cell r="AM34">
            <v>0.34</v>
          </cell>
          <cell r="AN34">
            <v>921.46857804429294</v>
          </cell>
          <cell r="AO34">
            <v>30823.123935581603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</v>
          </cell>
          <cell r="D35">
            <v>390</v>
          </cell>
          <cell r="E35">
            <v>259348.05</v>
          </cell>
          <cell r="F35">
            <v>0.3</v>
          </cell>
          <cell r="G35">
            <v>389.99999999999994</v>
          </cell>
          <cell r="H35">
            <v>13045.5</v>
          </cell>
          <cell r="I35">
            <v>0.3</v>
          </cell>
          <cell r="J35">
            <v>389.99999999999994</v>
          </cell>
          <cell r="K35">
            <v>13045.5</v>
          </cell>
          <cell r="L35">
            <v>0.3</v>
          </cell>
          <cell r="M35">
            <v>389.99999999999994</v>
          </cell>
          <cell r="N35">
            <v>18263.7</v>
          </cell>
          <cell r="O35">
            <v>0.3</v>
          </cell>
          <cell r="P35">
            <v>390</v>
          </cell>
          <cell r="Q35">
            <v>26130</v>
          </cell>
          <cell r="R35">
            <v>0.3</v>
          </cell>
          <cell r="S35">
            <v>390</v>
          </cell>
          <cell r="T35">
            <v>29903.25</v>
          </cell>
          <cell r="U35">
            <v>0.3</v>
          </cell>
          <cell r="V35">
            <v>390</v>
          </cell>
          <cell r="W35">
            <v>23419.5</v>
          </cell>
          <cell r="X35">
            <v>0.3</v>
          </cell>
          <cell r="Y35">
            <v>389.99999999999994</v>
          </cell>
          <cell r="Z35">
            <v>20872.8</v>
          </cell>
          <cell r="AA35">
            <v>0.3</v>
          </cell>
          <cell r="AB35">
            <v>389.99999999999994</v>
          </cell>
          <cell r="AC35">
            <v>23559.899999999994</v>
          </cell>
          <cell r="AD35">
            <v>0.3</v>
          </cell>
          <cell r="AE35">
            <v>390</v>
          </cell>
          <cell r="AF35">
            <v>20904</v>
          </cell>
          <cell r="AG35">
            <v>0.3</v>
          </cell>
          <cell r="AH35">
            <v>390</v>
          </cell>
          <cell r="AI35">
            <v>31121.999999999993</v>
          </cell>
          <cell r="AJ35">
            <v>0.3</v>
          </cell>
          <cell r="AK35">
            <v>389.99999999999994</v>
          </cell>
          <cell r="AL35">
            <v>26036.399999999998</v>
          </cell>
          <cell r="AM35">
            <v>0.3</v>
          </cell>
          <cell r="AN35">
            <v>389.99999999999994</v>
          </cell>
          <cell r="AO35">
            <v>13045.5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115</v>
          </cell>
          <cell r="E36">
            <v>76474.425000000003</v>
          </cell>
          <cell r="G36">
            <v>115</v>
          </cell>
          <cell r="H36">
            <v>3846.7500000000005</v>
          </cell>
          <cell r="J36">
            <v>115</v>
          </cell>
          <cell r="K36">
            <v>3846.7500000000005</v>
          </cell>
          <cell r="M36">
            <v>115</v>
          </cell>
          <cell r="N36">
            <v>5385.4500000000007</v>
          </cell>
          <cell r="P36">
            <v>115</v>
          </cell>
          <cell r="Q36">
            <v>7705</v>
          </cell>
          <cell r="S36">
            <v>115</v>
          </cell>
          <cell r="T36">
            <v>8817.625</v>
          </cell>
          <cell r="V36">
            <v>115</v>
          </cell>
          <cell r="W36">
            <v>6905.75</v>
          </cell>
          <cell r="Y36">
            <v>115</v>
          </cell>
          <cell r="Z36">
            <v>6154.8</v>
          </cell>
          <cell r="AB36">
            <v>115</v>
          </cell>
          <cell r="AC36">
            <v>6947.15</v>
          </cell>
          <cell r="AE36">
            <v>115</v>
          </cell>
          <cell r="AF36">
            <v>6164</v>
          </cell>
          <cell r="AH36">
            <v>115</v>
          </cell>
          <cell r="AI36">
            <v>9176.9999999999982</v>
          </cell>
          <cell r="AK36">
            <v>115</v>
          </cell>
          <cell r="AL36">
            <v>7677.4000000000005</v>
          </cell>
          <cell r="AN36">
            <v>115</v>
          </cell>
          <cell r="AO36">
            <v>3846.7500000000005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2.9999999999999996</v>
          </cell>
          <cell r="E37">
            <v>1994.9849999999997</v>
          </cell>
          <cell r="G37">
            <v>3</v>
          </cell>
          <cell r="H37">
            <v>100.35000000000001</v>
          </cell>
          <cell r="J37">
            <v>3</v>
          </cell>
          <cell r="K37">
            <v>100.35000000000001</v>
          </cell>
          <cell r="M37">
            <v>3</v>
          </cell>
          <cell r="N37">
            <v>140.49</v>
          </cell>
          <cell r="P37">
            <v>3</v>
          </cell>
          <cell r="Q37">
            <v>201</v>
          </cell>
          <cell r="S37">
            <v>3</v>
          </cell>
          <cell r="T37">
            <v>230.02499999999998</v>
          </cell>
          <cell r="V37">
            <v>2.9999999999999996</v>
          </cell>
          <cell r="W37">
            <v>180.14999999999998</v>
          </cell>
          <cell r="Y37">
            <v>3</v>
          </cell>
          <cell r="Z37">
            <v>160.56</v>
          </cell>
          <cell r="AB37">
            <v>3</v>
          </cell>
          <cell r="AC37">
            <v>181.23</v>
          </cell>
          <cell r="AE37">
            <v>3</v>
          </cell>
          <cell r="AF37">
            <v>160.80000000000001</v>
          </cell>
          <cell r="AH37">
            <v>3</v>
          </cell>
          <cell r="AI37">
            <v>239.39999999999995</v>
          </cell>
          <cell r="AK37">
            <v>3</v>
          </cell>
          <cell r="AL37">
            <v>200.28000000000003</v>
          </cell>
          <cell r="AN37">
            <v>3</v>
          </cell>
          <cell r="AO37">
            <v>100.35000000000001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85.05</v>
          </cell>
          <cell r="E38">
            <v>56557.82475</v>
          </cell>
          <cell r="G38">
            <v>85.05</v>
          </cell>
          <cell r="H38">
            <v>2844.9225000000001</v>
          </cell>
          <cell r="J38">
            <v>85.05</v>
          </cell>
          <cell r="K38">
            <v>2844.9225000000001</v>
          </cell>
          <cell r="M38">
            <v>85.05</v>
          </cell>
          <cell r="N38">
            <v>3982.8915000000002</v>
          </cell>
          <cell r="P38">
            <v>85.05</v>
          </cell>
          <cell r="Q38">
            <v>5698.3499999999995</v>
          </cell>
          <cell r="S38">
            <v>85.05</v>
          </cell>
          <cell r="T38">
            <v>6521.2087499999998</v>
          </cell>
          <cell r="V38">
            <v>85.05</v>
          </cell>
          <cell r="W38">
            <v>5107.2524999999996</v>
          </cell>
          <cell r="Y38">
            <v>85.05</v>
          </cell>
          <cell r="Z38">
            <v>4551.8760000000002</v>
          </cell>
          <cell r="AB38">
            <v>85.050000000000011</v>
          </cell>
          <cell r="AC38">
            <v>5137.8705</v>
          </cell>
          <cell r="AE38">
            <v>85.05</v>
          </cell>
          <cell r="AF38">
            <v>4558.68</v>
          </cell>
          <cell r="AH38">
            <v>85.05</v>
          </cell>
          <cell r="AI38">
            <v>6786.989999999998</v>
          </cell>
          <cell r="AK38">
            <v>85.05</v>
          </cell>
          <cell r="AL38">
            <v>5677.9380000000001</v>
          </cell>
          <cell r="AN38">
            <v>85.05</v>
          </cell>
          <cell r="AO38">
            <v>2844.9225000000001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116.29034804772968</v>
          </cell>
          <cell r="E39">
            <v>77332.5</v>
          </cell>
          <cell r="G39">
            <v>191.06128550074737</v>
          </cell>
          <cell r="H39">
            <v>6391</v>
          </cell>
          <cell r="J39">
            <v>191.06128550074737</v>
          </cell>
          <cell r="K39">
            <v>6391</v>
          </cell>
          <cell r="M39">
            <v>203.9931667734358</v>
          </cell>
          <cell r="N39">
            <v>9553</v>
          </cell>
          <cell r="P39">
            <v>112.4776119402985</v>
          </cell>
          <cell r="Q39">
            <v>7536</v>
          </cell>
          <cell r="S39">
            <v>26.977502445386371</v>
          </cell>
          <cell r="T39">
            <v>2068.5</v>
          </cell>
          <cell r="V39">
            <v>137.0691090757702</v>
          </cell>
          <cell r="W39">
            <v>8231</v>
          </cell>
          <cell r="Y39">
            <v>165.99402092675635</v>
          </cell>
          <cell r="Z39">
            <v>8884</v>
          </cell>
          <cell r="AB39">
            <v>61.165369971858965</v>
          </cell>
          <cell r="AC39">
            <v>3695</v>
          </cell>
          <cell r="AE39">
            <v>81.641791044776113</v>
          </cell>
          <cell r="AF39">
            <v>4376</v>
          </cell>
          <cell r="AH39">
            <v>78.395989974937379</v>
          </cell>
          <cell r="AI39">
            <v>6256.0000000000018</v>
          </cell>
          <cell r="AK39">
            <v>113.2414619532654</v>
          </cell>
          <cell r="AL39">
            <v>7559.9999999999991</v>
          </cell>
          <cell r="AN39">
            <v>191.06128550074737</v>
          </cell>
          <cell r="AO39">
            <v>6391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306.72127074983638</v>
          </cell>
          <cell r="E40">
            <v>203968.11144228745</v>
          </cell>
          <cell r="G40">
            <v>376.75365470852012</v>
          </cell>
          <cell r="H40">
            <v>12602.409749999999</v>
          </cell>
          <cell r="J40">
            <v>457.45428754708507</v>
          </cell>
          <cell r="K40">
            <v>15301.845918449997</v>
          </cell>
          <cell r="M40">
            <v>413.62169091928234</v>
          </cell>
          <cell r="N40">
            <v>19369.903785749993</v>
          </cell>
          <cell r="P40">
            <v>318.30489402145508</v>
          </cell>
          <cell r="Q40">
            <v>21326.427899437491</v>
          </cell>
          <cell r="S40">
            <v>234.37934533420278</v>
          </cell>
          <cell r="T40">
            <v>17971.036303499997</v>
          </cell>
          <cell r="V40">
            <v>277.29498755495416</v>
          </cell>
          <cell r="W40">
            <v>16651.564002674997</v>
          </cell>
          <cell r="Y40">
            <v>337.05323834360985</v>
          </cell>
          <cell r="Z40">
            <v>18039.089316149999</v>
          </cell>
          <cell r="AB40">
            <v>275.89284711761292</v>
          </cell>
          <cell r="AC40">
            <v>16666.686894374994</v>
          </cell>
          <cell r="AE40">
            <v>409.69587666744388</v>
          </cell>
          <cell r="AF40">
            <v>21959.698989374992</v>
          </cell>
          <cell r="AH40">
            <v>242.16209411842112</v>
          </cell>
          <cell r="AI40">
            <v>19324.535110650002</v>
          </cell>
          <cell r="AK40">
            <v>188.77186563810668</v>
          </cell>
          <cell r="AL40">
            <v>12602.409750000003</v>
          </cell>
          <cell r="AN40">
            <v>363.30354923542609</v>
          </cell>
          <cell r="AO40">
            <v>12152.503721925004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0.44876861243345384</v>
          </cell>
          <cell r="E44">
            <v>1289056.0625103614</v>
          </cell>
          <cell r="F44" t="str">
            <v>% brut</v>
          </cell>
          <cell r="G44">
            <v>0.48241460939632846</v>
          </cell>
          <cell r="H44">
            <v>69654.056185581605</v>
          </cell>
          <cell r="I44" t="str">
            <v>% brut</v>
          </cell>
          <cell r="J44">
            <v>0.50111054063288862</v>
          </cell>
          <cell r="K44">
            <v>72353.492354031609</v>
          </cell>
          <cell r="L44" t="str">
            <v>% brut</v>
          </cell>
          <cell r="M44">
            <v>0.49395176592296264</v>
          </cell>
          <cell r="N44">
            <v>99847.80879556424</v>
          </cell>
          <cell r="O44" t="str">
            <v>% brut</v>
          </cell>
          <cell r="P44">
            <v>0.45081987446802874</v>
          </cell>
          <cell r="Q44">
            <v>130243.02577060071</v>
          </cell>
          <cell r="R44" t="str">
            <v>% brut</v>
          </cell>
          <cell r="S44">
            <v>0.41116695440495538</v>
          </cell>
          <cell r="T44">
            <v>136404.83010533769</v>
          </cell>
          <cell r="U44" t="str">
            <v>% brut</v>
          </cell>
          <cell r="V44">
            <v>0.44660185130301311</v>
          </cell>
          <cell r="W44">
            <v>115976.83958672188</v>
          </cell>
          <cell r="X44" t="str">
            <v>% brut</v>
          </cell>
          <cell r="Y44">
            <v>0.46740986821161618</v>
          </cell>
          <cell r="Z44">
            <v>107980.12361308058</v>
          </cell>
          <cell r="AA44" t="str">
            <v>% brut</v>
          </cell>
          <cell r="AB44">
            <v>0.42924149631180325</v>
          </cell>
          <cell r="AC44">
            <v>111669.46047842185</v>
          </cell>
          <cell r="AD44" t="str">
            <v>% brut</v>
          </cell>
          <cell r="AE44">
            <v>0.46486334825277409</v>
          </cell>
          <cell r="AF44">
            <v>107440.17728630558</v>
          </cell>
          <cell r="AG44" t="str">
            <v>% brut</v>
          </cell>
          <cell r="AH44">
            <v>0.4246317052752524</v>
          </cell>
          <cell r="AI44">
            <v>146881.42255604581</v>
          </cell>
          <cell r="AJ44" t="str">
            <v>% brut</v>
          </cell>
          <cell r="AK44">
            <v>0.42066748942840043</v>
          </cell>
          <cell r="AL44">
            <v>121400.6756211632</v>
          </cell>
          <cell r="AM44" t="str">
            <v>% brut</v>
          </cell>
          <cell r="AN44">
            <v>0.47929862085690178</v>
          </cell>
          <cell r="AO44">
            <v>69204.150157506607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230110.85</v>
          </cell>
          <cell r="H45">
            <v>18197.116666666669</v>
          </cell>
          <cell r="K45">
            <v>18197.116666666669</v>
          </cell>
          <cell r="N45">
            <v>21133.479166666668</v>
          </cell>
          <cell r="Q45">
            <v>18197.116666666669</v>
          </cell>
          <cell r="T45">
            <v>21133.479166666668</v>
          </cell>
          <cell r="W45">
            <v>18197.116666666669</v>
          </cell>
          <cell r="Z45">
            <v>18197.116666666669</v>
          </cell>
          <cell r="AC45">
            <v>21133.479166666668</v>
          </cell>
          <cell r="AF45">
            <v>18197.116666666669</v>
          </cell>
          <cell r="AI45">
            <v>18197.116666666669</v>
          </cell>
          <cell r="AL45">
            <v>21133.479166666668</v>
          </cell>
          <cell r="AO45">
            <v>18197.116666666669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145957.64400000003</v>
          </cell>
          <cell r="H46">
            <v>11267.511076923076</v>
          </cell>
          <cell r="K46">
            <v>11267.511076923076</v>
          </cell>
          <cell r="N46">
            <v>13954.388846153846</v>
          </cell>
          <cell r="Q46">
            <v>11267.511076923076</v>
          </cell>
          <cell r="T46">
            <v>13954.388846153846</v>
          </cell>
          <cell r="W46">
            <v>11267.511076923076</v>
          </cell>
          <cell r="Z46">
            <v>11267.511076923076</v>
          </cell>
          <cell r="AC46">
            <v>13954.388846153846</v>
          </cell>
          <cell r="AF46">
            <v>11267.511076923076</v>
          </cell>
          <cell r="AI46">
            <v>11267.511076923076</v>
          </cell>
          <cell r="AL46">
            <v>13954.388846153846</v>
          </cell>
          <cell r="AO46">
            <v>11267.511076923076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34636.600000000006</v>
          </cell>
          <cell r="H47">
            <v>2664.3538461538465</v>
          </cell>
          <cell r="K47">
            <v>2664.3538461538465</v>
          </cell>
          <cell r="N47">
            <v>3330.4423076923076</v>
          </cell>
          <cell r="Q47">
            <v>2664.3538461538465</v>
          </cell>
          <cell r="T47">
            <v>3330.4423076923076</v>
          </cell>
          <cell r="W47">
            <v>2664.3538461538465</v>
          </cell>
          <cell r="Z47">
            <v>2664.3538461538465</v>
          </cell>
          <cell r="AC47">
            <v>3330.4423076923076</v>
          </cell>
          <cell r="AF47">
            <v>2664.3538461538465</v>
          </cell>
          <cell r="AI47">
            <v>2664.3538461538465</v>
          </cell>
          <cell r="AL47">
            <v>3330.4423076923076</v>
          </cell>
          <cell r="AO47">
            <v>2664.3538461538465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  <cell r="H48">
            <v>0</v>
          </cell>
          <cell r="K48">
            <v>0</v>
          </cell>
          <cell r="N48">
            <v>0</v>
          </cell>
          <cell r="Q48">
            <v>0</v>
          </cell>
          <cell r="T48">
            <v>0</v>
          </cell>
          <cell r="W48">
            <v>0</v>
          </cell>
          <cell r="Z48">
            <v>0</v>
          </cell>
          <cell r="AC48">
            <v>0</v>
          </cell>
          <cell r="AF48">
            <v>0</v>
          </cell>
          <cell r="AI48">
            <v>0</v>
          </cell>
          <cell r="AL48">
            <v>0</v>
          </cell>
          <cell r="AO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  <cell r="H49">
            <v>0</v>
          </cell>
          <cell r="K49">
            <v>0</v>
          </cell>
          <cell r="N49">
            <v>0</v>
          </cell>
          <cell r="Q49">
            <v>0</v>
          </cell>
          <cell r="T49">
            <v>0</v>
          </cell>
          <cell r="W49">
            <v>0</v>
          </cell>
          <cell r="Z49">
            <v>0</v>
          </cell>
          <cell r="AC49">
            <v>0</v>
          </cell>
          <cell r="AF49">
            <v>0</v>
          </cell>
          <cell r="AI49">
            <v>0</v>
          </cell>
          <cell r="AL49">
            <v>0</v>
          </cell>
          <cell r="AO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  <cell r="H50">
            <v>0</v>
          </cell>
          <cell r="K50">
            <v>0</v>
          </cell>
          <cell r="N50">
            <v>0</v>
          </cell>
          <cell r="Q50">
            <v>0</v>
          </cell>
          <cell r="T50">
            <v>0</v>
          </cell>
          <cell r="W50">
            <v>0</v>
          </cell>
          <cell r="Z50">
            <v>0</v>
          </cell>
          <cell r="AC50">
            <v>0</v>
          </cell>
          <cell r="AF50">
            <v>0</v>
          </cell>
          <cell r="AI50">
            <v>0</v>
          </cell>
          <cell r="AL50">
            <v>0</v>
          </cell>
          <cell r="AO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  <cell r="H51">
            <v>0</v>
          </cell>
          <cell r="K51">
            <v>0</v>
          </cell>
          <cell r="N51">
            <v>0</v>
          </cell>
          <cell r="Q51">
            <v>0</v>
          </cell>
          <cell r="T51">
            <v>0</v>
          </cell>
          <cell r="W51">
            <v>0</v>
          </cell>
          <cell r="Z51">
            <v>0</v>
          </cell>
          <cell r="AC51">
            <v>0</v>
          </cell>
          <cell r="AF51">
            <v>0</v>
          </cell>
          <cell r="AI51">
            <v>0</v>
          </cell>
          <cell r="AL51">
            <v>0</v>
          </cell>
          <cell r="AO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138466.75834874599</v>
          </cell>
          <cell r="H52">
            <v>10293.565807018116</v>
          </cell>
          <cell r="K52">
            <v>8944.9153385371192</v>
          </cell>
          <cell r="N52">
            <v>12708.147504669267</v>
          </cell>
          <cell r="Q52">
            <v>12428.151948410499</v>
          </cell>
          <cell r="T52">
            <v>14002.317973150264</v>
          </cell>
          <cell r="W52">
            <v>10829.040602587731</v>
          </cell>
          <cell r="Z52">
            <v>11005.094520815579</v>
          </cell>
          <cell r="AC52">
            <v>12098.265749985731</v>
          </cell>
          <cell r="AF52">
            <v>11438.922357271269</v>
          </cell>
          <cell r="AI52">
            <v>12326.504989296576</v>
          </cell>
          <cell r="AL52">
            <v>13494.083177580649</v>
          </cell>
          <cell r="AO52">
            <v>8897.7483794231975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168356.05860904799</v>
          </cell>
          <cell r="H53">
            <v>12515.524945977975</v>
          </cell>
          <cell r="K53">
            <v>10875.756094432798</v>
          </cell>
          <cell r="N53">
            <v>15451.315908760873</v>
          </cell>
          <cell r="Q53">
            <v>15110.880783089418</v>
          </cell>
          <cell r="T53">
            <v>17024.844760306049</v>
          </cell>
          <cell r="W53">
            <v>13166.58681195689</v>
          </cell>
          <cell r="Z53">
            <v>13380.643558348456</v>
          </cell>
          <cell r="AC53">
            <v>14709.785669586176</v>
          </cell>
          <cell r="AF53">
            <v>13908.117051131589</v>
          </cell>
          <cell r="AI53">
            <v>14987.292409893635</v>
          </cell>
          <cell r="AL53">
            <v>16406.902894327133</v>
          </cell>
          <cell r="AO53">
            <v>10818.407721237016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86739.969326835591</v>
          </cell>
          <cell r="H54">
            <v>6448.2161134712605</v>
          </cell>
          <cell r="K54">
            <v>5603.3786834360271</v>
          </cell>
          <cell r="N54">
            <v>7960.7866747311436</v>
          </cell>
          <cell r="Q54">
            <v>7785.3885773743295</v>
          </cell>
          <cell r="T54">
            <v>8771.4961047663764</v>
          </cell>
          <cell r="W54">
            <v>6783.6545096386571</v>
          </cell>
          <cell r="Z54">
            <v>6893.9402681056172</v>
          </cell>
          <cell r="AC54">
            <v>7578.7373993302672</v>
          </cell>
          <cell r="AF54">
            <v>7165.7037850395345</v>
          </cell>
          <cell r="AI54">
            <v>7721.7136981408503</v>
          </cell>
          <cell r="AL54">
            <v>8453.1217085989792</v>
          </cell>
          <cell r="AO54">
            <v>5573.8318042025494</v>
          </cell>
        </row>
        <row r="55">
          <cell r="A55" t="str">
            <v>Véhicules neufsCsst</v>
          </cell>
          <cell r="B55" t="str">
            <v>Csst</v>
          </cell>
          <cell r="E55">
            <v>37819.114615076003</v>
          </cell>
          <cell r="H55">
            <v>2811.4585023573709</v>
          </cell>
          <cell r="K55">
            <v>2443.1046299088166</v>
          </cell>
          <cell r="N55">
            <v>3470.947776605703</v>
          </cell>
          <cell r="Q55">
            <v>3394.4732193896516</v>
          </cell>
          <cell r="T55">
            <v>3824.4216490542567</v>
          </cell>
          <cell r="W55">
            <v>2957.7115302221996</v>
          </cell>
          <cell r="Z55">
            <v>3005.7967413681313</v>
          </cell>
          <cell r="AC55">
            <v>3304.3721431679087</v>
          </cell>
          <cell r="AF55">
            <v>3124.2871636599943</v>
          </cell>
          <cell r="AI55">
            <v>3366.710613816686</v>
          </cell>
          <cell r="AL55">
            <v>3685.6086211894285</v>
          </cell>
          <cell r="AO55">
            <v>2430.2220243358515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0.29316196807876249</v>
          </cell>
          <cell r="E57">
            <v>842086.99489970563</v>
          </cell>
          <cell r="F57" t="str">
            <v>% brut</v>
          </cell>
          <cell r="G57">
            <v>0.44462494676014069</v>
          </cell>
          <cell r="H57">
            <v>64197.746958568314</v>
          </cell>
          <cell r="I57" t="str">
            <v>% brut</v>
          </cell>
          <cell r="J57">
            <v>0.4155251576266375</v>
          </cell>
          <cell r="K57">
            <v>59996.136336058356</v>
          </cell>
          <cell r="L57" t="str">
            <v>% brut</v>
          </cell>
          <cell r="M57">
            <v>0.38591667450405387</v>
          </cell>
          <cell r="N57">
            <v>78009.508185279818</v>
          </cell>
          <cell r="O57" t="str">
            <v>% brut</v>
          </cell>
          <cell r="P57">
            <v>0.24523102430146551</v>
          </cell>
          <cell r="Q57">
            <v>70847.87611800748</v>
          </cell>
          <cell r="R57" t="str">
            <v>% brut</v>
          </cell>
          <cell r="S57">
            <v>0.24729849205146015</v>
          </cell>
          <cell r="T57">
            <v>82041.39080778978</v>
          </cell>
          <cell r="U57" t="str">
            <v>% brut</v>
          </cell>
          <cell r="V57">
            <v>0.25363569569076994</v>
          </cell>
          <cell r="W57">
            <v>65865.975044149061</v>
          </cell>
          <cell r="X57" t="str">
            <v>% brut</v>
          </cell>
          <cell r="Y57">
            <v>0.28748598727875363</v>
          </cell>
          <cell r="Z57">
            <v>66414.456678381364</v>
          </cell>
          <cell r="AA57" t="str">
            <v>% brut</v>
          </cell>
          <cell r="AB57">
            <v>0.29255396414446616</v>
          </cell>
          <cell r="AC57">
            <v>76109.471282582905</v>
          </cell>
          <cell r="AD57" t="str">
            <v>% brut</v>
          </cell>
          <cell r="AE57">
            <v>0.29320442321499757</v>
          </cell>
          <cell r="AF57">
            <v>67766.011946845974</v>
          </cell>
          <cell r="AG57" t="str">
            <v>% brut</v>
          </cell>
          <cell r="AH57">
            <v>0.20390451434622378</v>
          </cell>
          <cell r="AI57">
            <v>70531.203300891342</v>
          </cell>
          <cell r="AJ57" t="str">
            <v>% brut</v>
          </cell>
          <cell r="AK57">
            <v>0.27879643941367482</v>
          </cell>
          <cell r="AL57">
            <v>80458.026722209004</v>
          </cell>
          <cell r="AM57" t="str">
            <v>% brut</v>
          </cell>
          <cell r="AN57">
            <v>0.41450743761959252</v>
          </cell>
          <cell r="AO57">
            <v>59849.191518942207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110400</v>
          </cell>
          <cell r="H60">
            <v>9200</v>
          </cell>
          <cell r="K60">
            <v>9200</v>
          </cell>
          <cell r="N60">
            <v>9200</v>
          </cell>
          <cell r="Q60">
            <v>9200</v>
          </cell>
          <cell r="T60">
            <v>9200</v>
          </cell>
          <cell r="W60">
            <v>9200</v>
          </cell>
          <cell r="Z60">
            <v>9200</v>
          </cell>
          <cell r="AC60">
            <v>9200</v>
          </cell>
          <cell r="AF60">
            <v>9200</v>
          </cell>
          <cell r="AI60">
            <v>9200</v>
          </cell>
          <cell r="AL60">
            <v>9200</v>
          </cell>
          <cell r="AO60">
            <v>9200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108476.34559466668</v>
          </cell>
          <cell r="H61">
            <v>9039.6954662222215</v>
          </cell>
          <cell r="K61">
            <v>9039.6954662222215</v>
          </cell>
          <cell r="N61">
            <v>9039.6954662222215</v>
          </cell>
          <cell r="Q61">
            <v>9039.6954662222215</v>
          </cell>
          <cell r="T61">
            <v>9039.6954662222215</v>
          </cell>
          <cell r="W61">
            <v>9039.6954662222215</v>
          </cell>
          <cell r="Z61">
            <v>9039.6954662222215</v>
          </cell>
          <cell r="AC61">
            <v>9039.6954662222215</v>
          </cell>
          <cell r="AF61">
            <v>9039.6954662222215</v>
          </cell>
          <cell r="AI61">
            <v>9039.6954662222215</v>
          </cell>
          <cell r="AL61">
            <v>9039.6954662222215</v>
          </cell>
          <cell r="AO61">
            <v>9039.6954662222215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13262.710618693432</v>
          </cell>
          <cell r="H62">
            <v>1105.2258848911197</v>
          </cell>
          <cell r="K62">
            <v>1105.2258848911197</v>
          </cell>
          <cell r="N62">
            <v>1105.2258848911197</v>
          </cell>
          <cell r="Q62">
            <v>1105.2258848911197</v>
          </cell>
          <cell r="T62">
            <v>1105.2258848911197</v>
          </cell>
          <cell r="W62">
            <v>1105.2258848911197</v>
          </cell>
          <cell r="Z62">
            <v>1105.2258848911197</v>
          </cell>
          <cell r="AC62">
            <v>1105.2258848911197</v>
          </cell>
          <cell r="AF62">
            <v>1105.2258848911197</v>
          </cell>
          <cell r="AI62">
            <v>1105.2258848911197</v>
          </cell>
          <cell r="AL62">
            <v>1105.2258848911197</v>
          </cell>
          <cell r="AO62">
            <v>1105.2258848911197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80537.023706488893</v>
          </cell>
          <cell r="H63">
            <v>6711.4186422074081</v>
          </cell>
          <cell r="K63">
            <v>6711.4186422074081</v>
          </cell>
          <cell r="N63">
            <v>6711.4186422074081</v>
          </cell>
          <cell r="Q63">
            <v>6711.4186422074081</v>
          </cell>
          <cell r="T63">
            <v>6711.4186422074081</v>
          </cell>
          <cell r="W63">
            <v>6711.4186422074081</v>
          </cell>
          <cell r="Z63">
            <v>6711.4186422074081</v>
          </cell>
          <cell r="AC63">
            <v>6711.4186422074081</v>
          </cell>
          <cell r="AF63">
            <v>6711.4186422074081</v>
          </cell>
          <cell r="AI63">
            <v>6711.4186422074081</v>
          </cell>
          <cell r="AL63">
            <v>6711.4186422074081</v>
          </cell>
          <cell r="AO63">
            <v>6711.4186422074081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1500</v>
          </cell>
          <cell r="H64">
            <v>125</v>
          </cell>
          <cell r="K64">
            <v>125</v>
          </cell>
          <cell r="N64">
            <v>125</v>
          </cell>
          <cell r="Q64">
            <v>125</v>
          </cell>
          <cell r="T64">
            <v>125</v>
          </cell>
          <cell r="W64">
            <v>125</v>
          </cell>
          <cell r="Z64">
            <v>125</v>
          </cell>
          <cell r="AC64">
            <v>125</v>
          </cell>
          <cell r="AF64">
            <v>125</v>
          </cell>
          <cell r="AI64">
            <v>125</v>
          </cell>
          <cell r="AL64">
            <v>125</v>
          </cell>
          <cell r="AO64">
            <v>125</v>
          </cell>
        </row>
        <row r="65">
          <cell r="A65" t="str">
            <v>Véhicules neufsUniformes</v>
          </cell>
          <cell r="B65" t="str">
            <v>Uniformes</v>
          </cell>
          <cell r="E65">
            <v>1000.0000000000001</v>
          </cell>
          <cell r="H65">
            <v>83.333333333333329</v>
          </cell>
          <cell r="K65">
            <v>83.333333333333329</v>
          </cell>
          <cell r="N65">
            <v>83.333333333333329</v>
          </cell>
          <cell r="Q65">
            <v>83.333333333333329</v>
          </cell>
          <cell r="T65">
            <v>83.333333333333329</v>
          </cell>
          <cell r="W65">
            <v>83.333333333333329</v>
          </cell>
          <cell r="Z65">
            <v>83.333333333333329</v>
          </cell>
          <cell r="AC65">
            <v>83.333333333333329</v>
          </cell>
          <cell r="AF65">
            <v>83.333333333333329</v>
          </cell>
          <cell r="AI65">
            <v>83.333333333333329</v>
          </cell>
          <cell r="AL65">
            <v>83.333333333333329</v>
          </cell>
          <cell r="AO65">
            <v>83.333333333333329</v>
          </cell>
        </row>
        <row r="66">
          <cell r="A66" t="str">
            <v>Véhicules neufsPapeterie</v>
          </cell>
          <cell r="B66" t="str">
            <v>Papeterie</v>
          </cell>
          <cell r="E66">
            <v>9083.3592236160021</v>
          </cell>
          <cell r="H66">
            <v>756.94660196799998</v>
          </cell>
          <cell r="K66">
            <v>756.94660196799998</v>
          </cell>
          <cell r="N66">
            <v>756.94660196799998</v>
          </cell>
          <cell r="Q66">
            <v>756.94660196799998</v>
          </cell>
          <cell r="T66">
            <v>756.94660196799998</v>
          </cell>
          <cell r="W66">
            <v>756.94660196799998</v>
          </cell>
          <cell r="Z66">
            <v>756.94660196799998</v>
          </cell>
          <cell r="AC66">
            <v>756.94660196799998</v>
          </cell>
          <cell r="AF66">
            <v>756.94660196799998</v>
          </cell>
          <cell r="AI66">
            <v>756.94660196799998</v>
          </cell>
          <cell r="AL66">
            <v>756.94660196799998</v>
          </cell>
          <cell r="AO66">
            <v>756.94660196799998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3712.8418206346664</v>
          </cell>
          <cell r="H67">
            <v>309.40348505288893</v>
          </cell>
          <cell r="K67">
            <v>309.40348505288893</v>
          </cell>
          <cell r="N67">
            <v>309.40348505288893</v>
          </cell>
          <cell r="Q67">
            <v>309.40348505288893</v>
          </cell>
          <cell r="T67">
            <v>309.40348505288893</v>
          </cell>
          <cell r="W67">
            <v>309.40348505288893</v>
          </cell>
          <cell r="Z67">
            <v>309.40348505288893</v>
          </cell>
          <cell r="AC67">
            <v>309.40348505288893</v>
          </cell>
          <cell r="AF67">
            <v>309.40348505288893</v>
          </cell>
          <cell r="AI67">
            <v>309.40348505288893</v>
          </cell>
          <cell r="AL67">
            <v>309.40348505288893</v>
          </cell>
          <cell r="AO67">
            <v>309.40348505288893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1357.5457188853334</v>
          </cell>
          <cell r="H68">
            <v>113.12880990711112</v>
          </cell>
          <cell r="K68">
            <v>113.12880990711112</v>
          </cell>
          <cell r="N68">
            <v>113.12880990711112</v>
          </cell>
          <cell r="Q68">
            <v>113.12880990711112</v>
          </cell>
          <cell r="T68">
            <v>113.12880990711112</v>
          </cell>
          <cell r="W68">
            <v>113.12880990711112</v>
          </cell>
          <cell r="Z68">
            <v>113.12880990711112</v>
          </cell>
          <cell r="AC68">
            <v>113.12880990711112</v>
          </cell>
          <cell r="AF68">
            <v>113.12880990711112</v>
          </cell>
          <cell r="AI68">
            <v>113.12880990711112</v>
          </cell>
          <cell r="AL68">
            <v>113.12880990711112</v>
          </cell>
          <cell r="AO68">
            <v>113.12880990711112</v>
          </cell>
        </row>
        <row r="69">
          <cell r="A69" t="str">
            <v>Véhicules neufsDivers</v>
          </cell>
          <cell r="B69" t="str">
            <v>Divers</v>
          </cell>
          <cell r="E69">
            <v>3389.5512412213343</v>
          </cell>
          <cell r="H69">
            <v>282.46260343511113</v>
          </cell>
          <cell r="K69">
            <v>282.46260343511113</v>
          </cell>
          <cell r="N69">
            <v>282.46260343511113</v>
          </cell>
          <cell r="Q69">
            <v>282.46260343511113</v>
          </cell>
          <cell r="T69">
            <v>282.46260343511113</v>
          </cell>
          <cell r="W69">
            <v>282.46260343511113</v>
          </cell>
          <cell r="Z69">
            <v>282.46260343511113</v>
          </cell>
          <cell r="AC69">
            <v>282.46260343511113</v>
          </cell>
          <cell r="AF69">
            <v>282.46260343511113</v>
          </cell>
          <cell r="AI69">
            <v>282.46260343511113</v>
          </cell>
          <cell r="AL69">
            <v>282.46260343511113</v>
          </cell>
          <cell r="AO69">
            <v>282.46260343511113</v>
          </cell>
        </row>
        <row r="70">
          <cell r="A70" t="str">
            <v>Véhicules neufsFormation</v>
          </cell>
          <cell r="B70" t="str">
            <v>Formation</v>
          </cell>
          <cell r="E70">
            <v>22789.289999999994</v>
          </cell>
          <cell r="H70">
            <v>1899.1075000000001</v>
          </cell>
          <cell r="K70">
            <v>1899.1075000000001</v>
          </cell>
          <cell r="N70">
            <v>1899.1075000000001</v>
          </cell>
          <cell r="Q70">
            <v>1899.1075000000001</v>
          </cell>
          <cell r="T70">
            <v>1899.1075000000001</v>
          </cell>
          <cell r="W70">
            <v>1899.1075000000001</v>
          </cell>
          <cell r="Z70">
            <v>1899.1075000000001</v>
          </cell>
          <cell r="AC70">
            <v>1899.1075000000001</v>
          </cell>
          <cell r="AF70">
            <v>1899.1075000000001</v>
          </cell>
          <cell r="AI70">
            <v>1899.1075000000001</v>
          </cell>
          <cell r="AL70">
            <v>1899.1075000000001</v>
          </cell>
          <cell r="AO70">
            <v>1899.1075000000001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40359.551148111401</v>
          </cell>
          <cell r="H71">
            <v>3363.2959290092826</v>
          </cell>
          <cell r="K71">
            <v>3363.2959290092826</v>
          </cell>
          <cell r="N71">
            <v>3363.2959290092826</v>
          </cell>
          <cell r="Q71">
            <v>3363.2959290092826</v>
          </cell>
          <cell r="T71">
            <v>3363.2959290092826</v>
          </cell>
          <cell r="W71">
            <v>3363.2959290092826</v>
          </cell>
          <cell r="Z71">
            <v>3363.2959290092826</v>
          </cell>
          <cell r="AC71">
            <v>3363.2959290092826</v>
          </cell>
          <cell r="AF71">
            <v>3363.2959290092826</v>
          </cell>
          <cell r="AI71">
            <v>3363.2959290092826</v>
          </cell>
          <cell r="AL71">
            <v>3363.2959290092826</v>
          </cell>
          <cell r="AO71">
            <v>3363.2959290092826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0.13781652834681002</v>
          </cell>
          <cell r="E75">
            <v>395868.2190723177</v>
          </cell>
          <cell r="F75" t="str">
            <v>% brut</v>
          </cell>
          <cell r="G75">
            <v>0.22847749618411511</v>
          </cell>
          <cell r="H75">
            <v>32989.018256026473</v>
          </cell>
          <cell r="I75" t="str">
            <v>% brut</v>
          </cell>
          <cell r="J75">
            <v>0.22847749618411511</v>
          </cell>
          <cell r="K75">
            <v>32989.018256026473</v>
          </cell>
          <cell r="L75" t="str">
            <v>% brut</v>
          </cell>
          <cell r="M75">
            <v>0.16319821156008221</v>
          </cell>
          <cell r="N75">
            <v>32989.018256026473</v>
          </cell>
          <cell r="O75" t="str">
            <v>% brut</v>
          </cell>
          <cell r="P75">
            <v>0.11418734309198143</v>
          </cell>
          <cell r="Q75">
            <v>32989.018256026473</v>
          </cell>
          <cell r="R75" t="str">
            <v>% brut</v>
          </cell>
          <cell r="S75">
            <v>9.9439251195615114E-2</v>
          </cell>
          <cell r="T75">
            <v>32989.018256026473</v>
          </cell>
          <cell r="U75" t="str">
            <v>% brut</v>
          </cell>
          <cell r="V75">
            <v>0.1270336101441506</v>
          </cell>
          <cell r="W75">
            <v>32989.018256026473</v>
          </cell>
          <cell r="X75" t="str">
            <v>% brut</v>
          </cell>
          <cell r="Y75">
            <v>0.14279843511507193</v>
          </cell>
          <cell r="Z75">
            <v>32989.018256026473</v>
          </cell>
          <cell r="AA75" t="str">
            <v>% brut</v>
          </cell>
          <cell r="AB75">
            <v>0.12680508616597477</v>
          </cell>
          <cell r="AC75">
            <v>32989.018256026473</v>
          </cell>
          <cell r="AD75" t="str">
            <v>% brut</v>
          </cell>
          <cell r="AE75">
            <v>0.14273417886497677</v>
          </cell>
          <cell r="AF75">
            <v>32989.018256026473</v>
          </cell>
          <cell r="AG75" t="str">
            <v>% brut</v>
          </cell>
          <cell r="AH75">
            <v>9.5370693132195303E-2</v>
          </cell>
          <cell r="AI75">
            <v>32989.018256026473</v>
          </cell>
          <cell r="AJ75" t="str">
            <v>% brut</v>
          </cell>
          <cell r="AK75">
            <v>0.11431079289686542</v>
          </cell>
          <cell r="AL75">
            <v>32989.018256026473</v>
          </cell>
          <cell r="AM75" t="str">
            <v>% brut</v>
          </cell>
          <cell r="AN75">
            <v>0.22847749618411511</v>
          </cell>
          <cell r="AO75">
            <v>32989.018256026473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0.87974710885902629</v>
          </cell>
          <cell r="E77">
            <v>2527011.2764823847</v>
          </cell>
          <cell r="F77" t="str">
            <v>% brut</v>
          </cell>
          <cell r="G77">
            <v>1.1555170523405842</v>
          </cell>
          <cell r="H77">
            <v>166840.82140017638</v>
          </cell>
          <cell r="I77" t="str">
            <v>% brut</v>
          </cell>
          <cell r="J77">
            <v>1.1451131944436412</v>
          </cell>
          <cell r="K77">
            <v>165338.64694611644</v>
          </cell>
          <cell r="L77" t="str">
            <v>% brut</v>
          </cell>
          <cell r="M77">
            <v>1.0430666519870988</v>
          </cell>
          <cell r="N77">
            <v>210846.33523687054</v>
          </cell>
          <cell r="O77" t="str">
            <v>% brut</v>
          </cell>
          <cell r="P77">
            <v>0.81023824186147564</v>
          </cell>
          <cell r="Q77">
            <v>234079.92014463464</v>
          </cell>
          <cell r="R77" t="str">
            <v>% brut</v>
          </cell>
          <cell r="S77">
            <v>0.75790469765203061</v>
          </cell>
          <cell r="T77">
            <v>251435.23916915394</v>
          </cell>
          <cell r="U77" t="str">
            <v>% brut</v>
          </cell>
          <cell r="V77">
            <v>0.82727115713793364</v>
          </cell>
          <cell r="W77">
            <v>214831.83288689741</v>
          </cell>
          <cell r="X77" t="str">
            <v>% brut</v>
          </cell>
          <cell r="Y77">
            <v>0.8976942906054417</v>
          </cell>
          <cell r="Z77">
            <v>207383.59854748842</v>
          </cell>
          <cell r="AA77" t="str">
            <v>% brut</v>
          </cell>
          <cell r="AB77">
            <v>0.84860054662224416</v>
          </cell>
          <cell r="AC77">
            <v>220767.95001703122</v>
          </cell>
          <cell r="AD77" t="str">
            <v>% brut</v>
          </cell>
          <cell r="AE77">
            <v>0.90080195033274846</v>
          </cell>
          <cell r="AF77">
            <v>208195.20748917802</v>
          </cell>
          <cell r="AG77" t="str">
            <v>% brut</v>
          </cell>
          <cell r="AH77">
            <v>0.72390691275367147</v>
          </cell>
          <cell r="AI77">
            <v>250401.64411296361</v>
          </cell>
          <cell r="AJ77" t="str">
            <v>% brut</v>
          </cell>
          <cell r="AK77">
            <v>0.81377472173894072</v>
          </cell>
          <cell r="AL77">
            <v>234847.72059939869</v>
          </cell>
          <cell r="AM77" t="str">
            <v>% brut</v>
          </cell>
          <cell r="AN77">
            <v>1.1222835546606094</v>
          </cell>
          <cell r="AO77">
            <v>162042.35993247529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80000</v>
          </cell>
          <cell r="H78">
            <v>0</v>
          </cell>
          <cell r="K78">
            <v>0</v>
          </cell>
          <cell r="N78">
            <v>20000</v>
          </cell>
          <cell r="Q78">
            <v>0</v>
          </cell>
          <cell r="T78">
            <v>0</v>
          </cell>
          <cell r="W78">
            <v>20000</v>
          </cell>
          <cell r="Z78">
            <v>0</v>
          </cell>
          <cell r="AC78">
            <v>0</v>
          </cell>
          <cell r="AF78">
            <v>20000</v>
          </cell>
          <cell r="AI78">
            <v>0</v>
          </cell>
          <cell r="AL78">
            <v>0</v>
          </cell>
          <cell r="AO78">
            <v>20000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  <cell r="H79">
            <v>0</v>
          </cell>
          <cell r="K79">
            <v>0</v>
          </cell>
          <cell r="N79">
            <v>0</v>
          </cell>
          <cell r="Q79">
            <v>0</v>
          </cell>
          <cell r="T79">
            <v>0</v>
          </cell>
          <cell r="W79">
            <v>0</v>
          </cell>
          <cell r="Z79">
            <v>0</v>
          </cell>
          <cell r="AC79">
            <v>0</v>
          </cell>
          <cell r="AF79">
            <v>0</v>
          </cell>
          <cell r="AI79">
            <v>0</v>
          </cell>
          <cell r="AL79">
            <v>0</v>
          </cell>
          <cell r="AO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  <cell r="H80">
            <v>0</v>
          </cell>
          <cell r="K80">
            <v>0</v>
          </cell>
          <cell r="N80">
            <v>0</v>
          </cell>
          <cell r="Q80">
            <v>0</v>
          </cell>
          <cell r="T80">
            <v>0</v>
          </cell>
          <cell r="W80">
            <v>0</v>
          </cell>
          <cell r="Z80">
            <v>0</v>
          </cell>
          <cell r="AC80">
            <v>0</v>
          </cell>
          <cell r="AF80">
            <v>0</v>
          </cell>
          <cell r="AI80">
            <v>0</v>
          </cell>
          <cell r="AL80">
            <v>0</v>
          </cell>
          <cell r="AO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911504.31324615923</v>
          </cell>
          <cell r="H81">
            <v>43066.288712401452</v>
          </cell>
          <cell r="K81">
            <v>43066.288712401452</v>
          </cell>
          <cell r="N81">
            <v>63098.425611850726</v>
          </cell>
          <cell r="Q81">
            <v>93286.91203174906</v>
          </cell>
          <cell r="T81">
            <v>107806.00285172804</v>
          </cell>
          <cell r="W81">
            <v>82906.112798140894</v>
          </cell>
          <cell r="Z81">
            <v>73114.494061575373</v>
          </cell>
          <cell r="AC81">
            <v>83411.12465274884</v>
          </cell>
          <cell r="AF81">
            <v>73226.718918154904</v>
          </cell>
          <cell r="AI81">
            <v>112505.4187209966</v>
          </cell>
          <cell r="AL81">
            <v>92950.237462010438</v>
          </cell>
          <cell r="AO81">
            <v>43066.288712401452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  <cell r="H82">
            <v>0</v>
          </cell>
          <cell r="K82">
            <v>0</v>
          </cell>
          <cell r="N82">
            <v>0</v>
          </cell>
          <cell r="Q82">
            <v>0</v>
          </cell>
          <cell r="T82">
            <v>0</v>
          </cell>
          <cell r="W82">
            <v>0</v>
          </cell>
          <cell r="Z82">
            <v>0</v>
          </cell>
          <cell r="AC82">
            <v>0</v>
          </cell>
          <cell r="AF82">
            <v>0</v>
          </cell>
          <cell r="AI82">
            <v>0</v>
          </cell>
          <cell r="AL82">
            <v>0</v>
          </cell>
          <cell r="AO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  <cell r="H83">
            <v>0</v>
          </cell>
          <cell r="K83">
            <v>0</v>
          </cell>
          <cell r="N83">
            <v>0</v>
          </cell>
          <cell r="Q83">
            <v>0</v>
          </cell>
          <cell r="T83">
            <v>0</v>
          </cell>
          <cell r="W83">
            <v>0</v>
          </cell>
          <cell r="Z83">
            <v>0</v>
          </cell>
          <cell r="AC83">
            <v>0</v>
          </cell>
          <cell r="AF83">
            <v>0</v>
          </cell>
          <cell r="AI83">
            <v>0</v>
          </cell>
          <cell r="AL83">
            <v>0</v>
          </cell>
          <cell r="AO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  <cell r="H84">
            <v>0</v>
          </cell>
          <cell r="K84">
            <v>0</v>
          </cell>
          <cell r="N84">
            <v>0</v>
          </cell>
          <cell r="Q84">
            <v>0</v>
          </cell>
          <cell r="T84">
            <v>0</v>
          </cell>
          <cell r="W84">
            <v>0</v>
          </cell>
          <cell r="Z84">
            <v>0</v>
          </cell>
          <cell r="AC84">
            <v>0</v>
          </cell>
          <cell r="AF84">
            <v>0</v>
          </cell>
          <cell r="AI84">
            <v>0</v>
          </cell>
          <cell r="AL84">
            <v>0</v>
          </cell>
          <cell r="AO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315240.87974999991</v>
          </cell>
          <cell r="H85">
            <v>15856.9725</v>
          </cell>
          <cell r="K85">
            <v>15856.9725</v>
          </cell>
          <cell r="N85">
            <v>22199.761500000001</v>
          </cell>
          <cell r="Q85">
            <v>31761.35</v>
          </cell>
          <cell r="T85">
            <v>36347.783749999995</v>
          </cell>
          <cell r="W85">
            <v>28466.702499999996</v>
          </cell>
          <cell r="Z85">
            <v>25371.155999999999</v>
          </cell>
          <cell r="AC85">
            <v>28637.360499999995</v>
          </cell>
          <cell r="AF85">
            <v>25409.079999999998</v>
          </cell>
          <cell r="AI85">
            <v>37829.189999999988</v>
          </cell>
          <cell r="AL85">
            <v>31647.577999999998</v>
          </cell>
          <cell r="AO85">
            <v>15856.9725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1306745.1929961592</v>
          </cell>
          <cell r="H86">
            <v>58923.261212401456</v>
          </cell>
          <cell r="K86">
            <v>58923.261212401456</v>
          </cell>
          <cell r="N86">
            <v>105298.18711185071</v>
          </cell>
          <cell r="Q86">
            <v>125048.26203174907</v>
          </cell>
          <cell r="T86">
            <v>144153.78660172803</v>
          </cell>
          <cell r="W86">
            <v>131372.81529814089</v>
          </cell>
          <cell r="Z86">
            <v>98485.650061575376</v>
          </cell>
          <cell r="AC86">
            <v>112048.48515274884</v>
          </cell>
          <cell r="AF86">
            <v>118635.79891815491</v>
          </cell>
          <cell r="AI86">
            <v>150334.60872099659</v>
          </cell>
          <cell r="AL86">
            <v>124597.81546201043</v>
          </cell>
          <cell r="AO86">
            <v>78923.261212401456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1652163.1078523523</v>
          </cell>
          <cell r="H88">
            <v>36468.730834264177</v>
          </cell>
          <cell r="K88">
            <v>37970.905288324124</v>
          </cell>
          <cell r="N88">
            <v>96592.659305834939</v>
          </cell>
          <cell r="Q88">
            <v>179870.92393119264</v>
          </cell>
          <cell r="T88">
            <v>224469.01678326406</v>
          </cell>
          <cell r="W88">
            <v>176228.30625091385</v>
          </cell>
          <cell r="Z88">
            <v>122120.11714934953</v>
          </cell>
          <cell r="AC88">
            <v>151435.85897538799</v>
          </cell>
          <cell r="AF88">
            <v>141562.65706423947</v>
          </cell>
          <cell r="AI88">
            <v>245836.06306092677</v>
          </cell>
          <cell r="AL88">
            <v>178340.67690668994</v>
          </cell>
          <cell r="AO88">
            <v>61267.192301965275</v>
          </cell>
        </row>
        <row r="92">
          <cell r="B92" t="str">
            <v>Budget 2024</v>
          </cell>
          <cell r="C92" t="str">
            <v>Véhicules usagés</v>
          </cell>
        </row>
        <row r="94">
          <cell r="B94" t="str">
            <v>Mois</v>
          </cell>
          <cell r="C94">
            <v>2024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21136589.619951062</v>
          </cell>
          <cell r="H96">
            <v>1209133.839645165</v>
          </cell>
          <cell r="K96">
            <v>1249297.3762767354</v>
          </cell>
          <cell r="N96">
            <v>1879230.7402876783</v>
          </cell>
          <cell r="Q96">
            <v>2101187.1269358294</v>
          </cell>
          <cell r="T96">
            <v>2139236.7932183691</v>
          </cell>
          <cell r="W96">
            <v>1934191.3693624581</v>
          </cell>
          <cell r="Z96">
            <v>1801017.5373735677</v>
          </cell>
          <cell r="AC96">
            <v>1919394.2769192485</v>
          </cell>
          <cell r="AF96">
            <v>1896141.7030799182</v>
          </cell>
          <cell r="AI96">
            <v>1872889.1292405881</v>
          </cell>
          <cell r="AL96">
            <v>1824270.111212898</v>
          </cell>
          <cell r="AO96">
            <v>1310599.6163986055</v>
          </cell>
        </row>
        <row r="97">
          <cell r="A97" t="str">
            <v>Véhicules usagésCertifié</v>
          </cell>
          <cell r="B97" t="str">
            <v>Certifié</v>
          </cell>
          <cell r="C97">
            <v>389.96100000000001</v>
          </cell>
          <cell r="D97">
            <v>1799.9999999999998</v>
          </cell>
          <cell r="E97">
            <v>701929.79999999993</v>
          </cell>
          <cell r="F97">
            <v>22.308</v>
          </cell>
          <cell r="G97">
            <v>1800</v>
          </cell>
          <cell r="H97">
            <v>40154.400000000001</v>
          </cell>
          <cell r="I97">
            <v>23.048999999999999</v>
          </cell>
          <cell r="J97">
            <v>1800</v>
          </cell>
          <cell r="K97">
            <v>41488.199999999997</v>
          </cell>
          <cell r="L97">
            <v>34.670999999999999</v>
          </cell>
          <cell r="M97">
            <v>1800.0000000000002</v>
          </cell>
          <cell r="N97">
            <v>62407.8</v>
          </cell>
          <cell r="O97">
            <v>38.765999999999998</v>
          </cell>
          <cell r="P97">
            <v>1800.0000000000002</v>
          </cell>
          <cell r="Q97">
            <v>69778.8</v>
          </cell>
          <cell r="R97">
            <v>39.467999999999996</v>
          </cell>
          <cell r="S97">
            <v>1800</v>
          </cell>
          <cell r="T97">
            <v>71042.399999999994</v>
          </cell>
          <cell r="U97">
            <v>35.685000000000002</v>
          </cell>
          <cell r="V97">
            <v>1799.9999999999998</v>
          </cell>
          <cell r="W97">
            <v>64233</v>
          </cell>
          <cell r="X97">
            <v>33.228000000000002</v>
          </cell>
          <cell r="Y97">
            <v>1800</v>
          </cell>
          <cell r="Z97">
            <v>59810.400000000001</v>
          </cell>
          <cell r="AA97">
            <v>35.411999999999999</v>
          </cell>
          <cell r="AB97">
            <v>1800.0000000000002</v>
          </cell>
          <cell r="AC97">
            <v>63741.600000000006</v>
          </cell>
          <cell r="AD97">
            <v>34.983000000000004</v>
          </cell>
          <cell r="AE97">
            <v>1799.9999999999998</v>
          </cell>
          <cell r="AF97">
            <v>62969.4</v>
          </cell>
          <cell r="AG97">
            <v>34.554000000000002</v>
          </cell>
          <cell r="AH97">
            <v>1799.9999999999998</v>
          </cell>
          <cell r="AI97">
            <v>62197.2</v>
          </cell>
          <cell r="AJ97">
            <v>33.657000000000004</v>
          </cell>
          <cell r="AK97">
            <v>1799.9999999999998</v>
          </cell>
          <cell r="AL97">
            <v>60582.6</v>
          </cell>
          <cell r="AM97">
            <v>24.18</v>
          </cell>
          <cell r="AN97">
            <v>1800</v>
          </cell>
          <cell r="AO97">
            <v>43524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21.997800000000002</v>
          </cell>
          <cell r="D98">
            <v>1800</v>
          </cell>
          <cell r="E98">
            <v>39596.04</v>
          </cell>
          <cell r="F98">
            <v>1.2584</v>
          </cell>
          <cell r="G98">
            <v>1800</v>
          </cell>
          <cell r="H98">
            <v>2265.12</v>
          </cell>
          <cell r="I98">
            <v>1.3002</v>
          </cell>
          <cell r="J98">
            <v>1800</v>
          </cell>
          <cell r="K98">
            <v>2340.36</v>
          </cell>
          <cell r="L98">
            <v>1.9558000000000002</v>
          </cell>
          <cell r="M98">
            <v>1799.9999999999998</v>
          </cell>
          <cell r="N98">
            <v>3520.44</v>
          </cell>
          <cell r="O98">
            <v>2.1867999999999999</v>
          </cell>
          <cell r="P98">
            <v>1800.0000000000002</v>
          </cell>
          <cell r="Q98">
            <v>3936.2400000000002</v>
          </cell>
          <cell r="R98">
            <v>2.2263999999999999</v>
          </cell>
          <cell r="S98">
            <v>1800</v>
          </cell>
          <cell r="T98">
            <v>4007.52</v>
          </cell>
          <cell r="U98">
            <v>2.0129999999999999</v>
          </cell>
          <cell r="V98">
            <v>1800.0000000000002</v>
          </cell>
          <cell r="W98">
            <v>3623.4</v>
          </cell>
          <cell r="X98">
            <v>1.8744000000000001</v>
          </cell>
          <cell r="Y98">
            <v>1800</v>
          </cell>
          <cell r="Z98">
            <v>3373.92</v>
          </cell>
          <cell r="AA98">
            <v>1.9976</v>
          </cell>
          <cell r="AB98">
            <v>1800</v>
          </cell>
          <cell r="AC98">
            <v>3595.6800000000003</v>
          </cell>
          <cell r="AD98">
            <v>1.9734</v>
          </cell>
          <cell r="AE98">
            <v>1800</v>
          </cell>
          <cell r="AF98">
            <v>3552.12</v>
          </cell>
          <cell r="AG98">
            <v>1.9492</v>
          </cell>
          <cell r="AH98">
            <v>1800</v>
          </cell>
          <cell r="AI98">
            <v>3508.56</v>
          </cell>
          <cell r="AJ98">
            <v>1.8986000000000001</v>
          </cell>
          <cell r="AK98">
            <v>1800</v>
          </cell>
          <cell r="AL98">
            <v>3417.48</v>
          </cell>
          <cell r="AM98">
            <v>1.3639999999999999</v>
          </cell>
          <cell r="AN98">
            <v>1800</v>
          </cell>
          <cell r="AO98">
            <v>2455.1999999999998</v>
          </cell>
        </row>
        <row r="99">
          <cell r="A99" t="str">
            <v>Véhicules usagésAutres Marques</v>
          </cell>
          <cell r="B99" t="str">
            <v>Autres Marques</v>
          </cell>
          <cell r="C99">
            <v>12.998699999999999</v>
          </cell>
          <cell r="D99">
            <v>1800</v>
          </cell>
          <cell r="E99">
            <v>23397.66</v>
          </cell>
          <cell r="F99">
            <v>0.74360000000000004</v>
          </cell>
          <cell r="G99">
            <v>1800</v>
          </cell>
          <cell r="H99">
            <v>1338.48</v>
          </cell>
          <cell r="I99">
            <v>0.76829999999999998</v>
          </cell>
          <cell r="J99">
            <v>1800</v>
          </cell>
          <cell r="K99">
            <v>1382.94</v>
          </cell>
          <cell r="L99">
            <v>1.1557000000000002</v>
          </cell>
          <cell r="M99">
            <v>1800</v>
          </cell>
          <cell r="N99">
            <v>2080.2600000000002</v>
          </cell>
          <cell r="O99">
            <v>1.2922</v>
          </cell>
          <cell r="P99">
            <v>1800</v>
          </cell>
          <cell r="Q99">
            <v>2325.96</v>
          </cell>
          <cell r="R99">
            <v>1.3155999999999999</v>
          </cell>
          <cell r="S99">
            <v>1800</v>
          </cell>
          <cell r="T99">
            <v>2368.08</v>
          </cell>
          <cell r="U99">
            <v>1.1895</v>
          </cell>
          <cell r="V99">
            <v>1800</v>
          </cell>
          <cell r="W99">
            <v>2141.1</v>
          </cell>
          <cell r="X99">
            <v>1.1075999999999999</v>
          </cell>
          <cell r="Y99">
            <v>1800.0000000000002</v>
          </cell>
          <cell r="Z99">
            <v>1993.68</v>
          </cell>
          <cell r="AA99">
            <v>1.1804000000000001</v>
          </cell>
          <cell r="AB99">
            <v>1800</v>
          </cell>
          <cell r="AC99">
            <v>2124.7200000000003</v>
          </cell>
          <cell r="AD99">
            <v>1.1661000000000001</v>
          </cell>
          <cell r="AE99">
            <v>1799.9999999999998</v>
          </cell>
          <cell r="AF99">
            <v>2098.98</v>
          </cell>
          <cell r="AG99">
            <v>1.1517999999999999</v>
          </cell>
          <cell r="AH99">
            <v>1800</v>
          </cell>
          <cell r="AI99">
            <v>2073.2399999999998</v>
          </cell>
          <cell r="AJ99">
            <v>1.1219000000000001</v>
          </cell>
          <cell r="AK99">
            <v>1799.9999999999998</v>
          </cell>
          <cell r="AL99">
            <v>2019.42</v>
          </cell>
          <cell r="AM99">
            <v>0.80600000000000005</v>
          </cell>
          <cell r="AN99">
            <v>1799.9999999999998</v>
          </cell>
          <cell r="AO99">
            <v>1450.8</v>
          </cell>
        </row>
        <row r="100">
          <cell r="A100" t="str">
            <v>Véhicules usagésTotal Usagés</v>
          </cell>
          <cell r="B100" t="str">
            <v>Total Usagés</v>
          </cell>
          <cell r="C100">
            <v>424.95749999999998</v>
          </cell>
          <cell r="D100">
            <v>1800</v>
          </cell>
          <cell r="E100">
            <v>764923.5</v>
          </cell>
          <cell r="F100">
            <v>24.310000000000002</v>
          </cell>
          <cell r="G100">
            <v>1800.0000000000002</v>
          </cell>
          <cell r="H100">
            <v>43758.000000000007</v>
          </cell>
          <cell r="I100">
            <v>25.1175</v>
          </cell>
          <cell r="J100">
            <v>1800</v>
          </cell>
          <cell r="K100">
            <v>45211.5</v>
          </cell>
          <cell r="L100">
            <v>37.782500000000006</v>
          </cell>
          <cell r="M100">
            <v>1799.9999999999998</v>
          </cell>
          <cell r="N100">
            <v>68008.5</v>
          </cell>
          <cell r="O100">
            <v>42.244999999999997</v>
          </cell>
          <cell r="P100">
            <v>1800.0000000000005</v>
          </cell>
          <cell r="Q100">
            <v>76041.000000000015</v>
          </cell>
          <cell r="R100">
            <v>43.009999999999991</v>
          </cell>
          <cell r="S100">
            <v>1800.0000000000005</v>
          </cell>
          <cell r="T100">
            <v>77418</v>
          </cell>
          <cell r="U100">
            <v>38.887500000000003</v>
          </cell>
          <cell r="V100">
            <v>1799.9999999999998</v>
          </cell>
          <cell r="W100">
            <v>69997.5</v>
          </cell>
          <cell r="X100">
            <v>36.21</v>
          </cell>
          <cell r="Y100">
            <v>1800</v>
          </cell>
          <cell r="Z100">
            <v>65178</v>
          </cell>
          <cell r="AA100">
            <v>38.589999999999996</v>
          </cell>
          <cell r="AB100">
            <v>1800.0000000000002</v>
          </cell>
          <cell r="AC100">
            <v>69462</v>
          </cell>
          <cell r="AD100">
            <v>38.122500000000002</v>
          </cell>
          <cell r="AE100">
            <v>1800</v>
          </cell>
          <cell r="AF100">
            <v>68620.5</v>
          </cell>
          <cell r="AG100">
            <v>37.655000000000001</v>
          </cell>
          <cell r="AH100">
            <v>1800</v>
          </cell>
          <cell r="AI100">
            <v>67779</v>
          </cell>
          <cell r="AJ100">
            <v>36.677500000000009</v>
          </cell>
          <cell r="AK100">
            <v>1799.9999999999995</v>
          </cell>
          <cell r="AL100">
            <v>66019.5</v>
          </cell>
          <cell r="AM100">
            <v>26.35</v>
          </cell>
          <cell r="AN100">
            <v>1800</v>
          </cell>
          <cell r="AO100">
            <v>47430</v>
          </cell>
        </row>
        <row r="101">
          <cell r="A101" t="str">
            <v>Véhicules usagés</v>
          </cell>
        </row>
        <row r="102">
          <cell r="A102" t="str">
            <v>Véhicules usagés</v>
          </cell>
          <cell r="F102">
            <v>0</v>
          </cell>
          <cell r="H102">
            <v>0</v>
          </cell>
        </row>
        <row r="103">
          <cell r="A103" t="str">
            <v>Véhicules usagésVentes au Gros</v>
          </cell>
          <cell r="B103" t="str">
            <v>Ventes au Gros</v>
          </cell>
          <cell r="C103">
            <v>434.95650000000001</v>
          </cell>
          <cell r="D103">
            <v>400</v>
          </cell>
          <cell r="E103">
            <v>173982.6</v>
          </cell>
          <cell r="F103">
            <v>24.882000000000001</v>
          </cell>
          <cell r="G103">
            <v>399.99999999999994</v>
          </cell>
          <cell r="H103">
            <v>9952.7999999999993</v>
          </cell>
          <cell r="I103">
            <v>25.708500000000001</v>
          </cell>
          <cell r="J103">
            <v>400</v>
          </cell>
          <cell r="K103">
            <v>10283.4</v>
          </cell>
          <cell r="L103">
            <v>38.671500000000002</v>
          </cell>
          <cell r="M103">
            <v>400</v>
          </cell>
          <cell r="N103">
            <v>15468.6</v>
          </cell>
          <cell r="O103">
            <v>43.239000000000004</v>
          </cell>
          <cell r="P103">
            <v>400</v>
          </cell>
          <cell r="Q103">
            <v>17295.600000000002</v>
          </cell>
          <cell r="R103">
            <v>44.021999999999998</v>
          </cell>
          <cell r="S103">
            <v>400</v>
          </cell>
          <cell r="T103">
            <v>17608.8</v>
          </cell>
          <cell r="U103">
            <v>39.802500000000002</v>
          </cell>
          <cell r="V103">
            <v>400</v>
          </cell>
          <cell r="W103">
            <v>15921</v>
          </cell>
          <cell r="X103">
            <v>37.061999999999998</v>
          </cell>
          <cell r="Y103">
            <v>400</v>
          </cell>
          <cell r="Z103">
            <v>14824.8</v>
          </cell>
          <cell r="AA103">
            <v>39.498000000000005</v>
          </cell>
          <cell r="AB103">
            <v>399.99999999999994</v>
          </cell>
          <cell r="AC103">
            <v>15799.2</v>
          </cell>
          <cell r="AD103">
            <v>39.019500000000001</v>
          </cell>
          <cell r="AE103">
            <v>400</v>
          </cell>
          <cell r="AF103">
            <v>15607.800000000001</v>
          </cell>
          <cell r="AG103">
            <v>38.540999999999997</v>
          </cell>
          <cell r="AH103">
            <v>400</v>
          </cell>
          <cell r="AI103">
            <v>15416.4</v>
          </cell>
          <cell r="AJ103">
            <v>37.540500000000002</v>
          </cell>
          <cell r="AK103">
            <v>400</v>
          </cell>
          <cell r="AL103">
            <v>15016.2</v>
          </cell>
          <cell r="AM103">
            <v>26.97</v>
          </cell>
          <cell r="AN103">
            <v>400</v>
          </cell>
          <cell r="AO103">
            <v>10788</v>
          </cell>
        </row>
        <row r="104">
          <cell r="A104" t="str">
            <v>Véhicules usagés</v>
          </cell>
        </row>
        <row r="105">
          <cell r="A105" t="str">
            <v>Véhicules usagésRev. Finances</v>
          </cell>
          <cell r="B105" t="str">
            <v>Rev. Finances</v>
          </cell>
          <cell r="D105">
            <v>700</v>
          </cell>
          <cell r="E105">
            <v>297470.25</v>
          </cell>
          <cell r="G105">
            <v>699.99999999999989</v>
          </cell>
          <cell r="H105">
            <v>17017</v>
          </cell>
          <cell r="J105">
            <v>700</v>
          </cell>
          <cell r="K105">
            <v>17582.25</v>
          </cell>
          <cell r="M105">
            <v>700</v>
          </cell>
          <cell r="N105">
            <v>26447.750000000004</v>
          </cell>
          <cell r="P105">
            <v>700</v>
          </cell>
          <cell r="Q105">
            <v>29571.5</v>
          </cell>
          <cell r="S105">
            <v>700</v>
          </cell>
          <cell r="T105">
            <v>30106.999999999993</v>
          </cell>
          <cell r="V105">
            <v>700</v>
          </cell>
          <cell r="W105">
            <v>27221.250000000004</v>
          </cell>
          <cell r="Y105">
            <v>700</v>
          </cell>
          <cell r="Z105">
            <v>25347</v>
          </cell>
          <cell r="AB105">
            <v>700</v>
          </cell>
          <cell r="AC105">
            <v>27012.999999999996</v>
          </cell>
          <cell r="AE105">
            <v>700</v>
          </cell>
          <cell r="AF105">
            <v>26685.75</v>
          </cell>
          <cell r="AH105">
            <v>700</v>
          </cell>
          <cell r="AI105">
            <v>26358.5</v>
          </cell>
          <cell r="AK105">
            <v>700</v>
          </cell>
          <cell r="AL105">
            <v>25674.250000000007</v>
          </cell>
          <cell r="AN105">
            <v>700</v>
          </cell>
          <cell r="AO105">
            <v>18445</v>
          </cell>
        </row>
        <row r="106">
          <cell r="A106" t="str">
            <v>Véhicules usagésRev. Protections</v>
          </cell>
          <cell r="B106" t="str">
            <v>Rev. Protections</v>
          </cell>
          <cell r="D106">
            <v>1450</v>
          </cell>
          <cell r="E106">
            <v>616188.375</v>
          </cell>
          <cell r="G106">
            <v>1449.9999999999998</v>
          </cell>
          <cell r="H106">
            <v>35249.5</v>
          </cell>
          <cell r="J106">
            <v>1450</v>
          </cell>
          <cell r="K106">
            <v>36420.375</v>
          </cell>
          <cell r="M106">
            <v>1450</v>
          </cell>
          <cell r="N106">
            <v>54784.625000000007</v>
          </cell>
          <cell r="P106">
            <v>1450</v>
          </cell>
          <cell r="Q106">
            <v>61255.249999999993</v>
          </cell>
          <cell r="S106">
            <v>1450</v>
          </cell>
          <cell r="T106">
            <v>62364.499999999985</v>
          </cell>
          <cell r="V106">
            <v>1450</v>
          </cell>
          <cell r="W106">
            <v>56386.875000000007</v>
          </cell>
          <cell r="Y106">
            <v>1450</v>
          </cell>
          <cell r="Z106">
            <v>52504.5</v>
          </cell>
          <cell r="AB106">
            <v>1450</v>
          </cell>
          <cell r="AC106">
            <v>55955.499999999993</v>
          </cell>
          <cell r="AE106">
            <v>1450</v>
          </cell>
          <cell r="AF106">
            <v>55277.625</v>
          </cell>
          <cell r="AH106">
            <v>1450</v>
          </cell>
          <cell r="AI106">
            <v>54599.75</v>
          </cell>
          <cell r="AK106">
            <v>1450</v>
          </cell>
          <cell r="AL106">
            <v>53182.375000000015</v>
          </cell>
          <cell r="AN106">
            <v>1450</v>
          </cell>
          <cell r="AO106">
            <v>38207.5</v>
          </cell>
        </row>
        <row r="107">
          <cell r="A107" t="str">
            <v>Véhicules usagésRev. Autres</v>
          </cell>
          <cell r="B107" t="str">
            <v>Rev. Autres</v>
          </cell>
          <cell r="D107">
            <v>50</v>
          </cell>
          <cell r="E107">
            <v>21247.875</v>
          </cell>
          <cell r="G107">
            <v>49.999999999999993</v>
          </cell>
          <cell r="H107">
            <v>1215.5</v>
          </cell>
          <cell r="J107">
            <v>50</v>
          </cell>
          <cell r="K107">
            <v>1255.875</v>
          </cell>
          <cell r="M107">
            <v>50</v>
          </cell>
          <cell r="N107">
            <v>1889.1250000000002</v>
          </cell>
          <cell r="P107">
            <v>50</v>
          </cell>
          <cell r="Q107">
            <v>2112.25</v>
          </cell>
          <cell r="S107">
            <v>50</v>
          </cell>
          <cell r="T107">
            <v>2150.4999999999995</v>
          </cell>
          <cell r="V107">
            <v>50</v>
          </cell>
          <cell r="W107">
            <v>1944.3750000000002</v>
          </cell>
          <cell r="Y107">
            <v>50</v>
          </cell>
          <cell r="Z107">
            <v>1810.5</v>
          </cell>
          <cell r="AB107">
            <v>50</v>
          </cell>
          <cell r="AC107">
            <v>1929.4999999999998</v>
          </cell>
          <cell r="AE107">
            <v>50</v>
          </cell>
          <cell r="AF107">
            <v>1906.125</v>
          </cell>
          <cell r="AH107">
            <v>50</v>
          </cell>
          <cell r="AI107">
            <v>1882.75</v>
          </cell>
          <cell r="AK107">
            <v>50</v>
          </cell>
          <cell r="AL107">
            <v>1833.8750000000005</v>
          </cell>
          <cell r="AN107">
            <v>50</v>
          </cell>
          <cell r="AO107">
            <v>1317.5</v>
          </cell>
        </row>
        <row r="108">
          <cell r="A108" t="str">
            <v>Véhicules usagésTotal F&amp;I</v>
          </cell>
          <cell r="B108" t="str">
            <v>Total F&amp;I</v>
          </cell>
          <cell r="C108">
            <v>424.95749999999998</v>
          </cell>
          <cell r="D108">
            <v>2200</v>
          </cell>
          <cell r="E108">
            <v>934906.5</v>
          </cell>
          <cell r="F108">
            <v>24.310000000000002</v>
          </cell>
          <cell r="G108">
            <v>2200</v>
          </cell>
          <cell r="H108">
            <v>53482</v>
          </cell>
          <cell r="I108">
            <v>25.1175</v>
          </cell>
          <cell r="J108">
            <v>2200</v>
          </cell>
          <cell r="K108">
            <v>55258.5</v>
          </cell>
          <cell r="L108">
            <v>37.782500000000006</v>
          </cell>
          <cell r="M108">
            <v>2200</v>
          </cell>
          <cell r="N108">
            <v>83121.500000000015</v>
          </cell>
          <cell r="O108">
            <v>42.244999999999997</v>
          </cell>
          <cell r="P108">
            <v>2200</v>
          </cell>
          <cell r="Q108">
            <v>92939</v>
          </cell>
          <cell r="R108">
            <v>43.009999999999991</v>
          </cell>
          <cell r="S108">
            <v>2200</v>
          </cell>
          <cell r="T108">
            <v>94621.999999999971</v>
          </cell>
          <cell r="U108">
            <v>38.887500000000003</v>
          </cell>
          <cell r="V108">
            <v>2200</v>
          </cell>
          <cell r="W108">
            <v>85552.500000000015</v>
          </cell>
          <cell r="X108">
            <v>36.21</v>
          </cell>
          <cell r="Y108">
            <v>2200</v>
          </cell>
          <cell r="Z108">
            <v>79662</v>
          </cell>
          <cell r="AA108">
            <v>38.589999999999996</v>
          </cell>
          <cell r="AB108">
            <v>2200</v>
          </cell>
          <cell r="AC108">
            <v>84897.999999999985</v>
          </cell>
          <cell r="AD108">
            <v>38.122500000000002</v>
          </cell>
          <cell r="AE108">
            <v>2200</v>
          </cell>
          <cell r="AF108">
            <v>83869.5</v>
          </cell>
          <cell r="AG108">
            <v>37.655000000000001</v>
          </cell>
          <cell r="AH108">
            <v>2200</v>
          </cell>
          <cell r="AI108">
            <v>82841</v>
          </cell>
          <cell r="AJ108">
            <v>36.677500000000009</v>
          </cell>
          <cell r="AK108">
            <v>2200.0000000000005</v>
          </cell>
          <cell r="AL108">
            <v>80690.500000000029</v>
          </cell>
          <cell r="AM108">
            <v>26.35</v>
          </cell>
          <cell r="AN108">
            <v>2200</v>
          </cell>
          <cell r="AO108">
            <v>57970</v>
          </cell>
        </row>
        <row r="109">
          <cell r="A109" t="str">
            <v>Véhicules usagés</v>
          </cell>
        </row>
        <row r="110">
          <cell r="A110" t="str">
            <v>Véhicules usagés</v>
          </cell>
        </row>
        <row r="111">
          <cell r="A111" t="str">
            <v>Véhicules usagésTotal Dépt. Usagés</v>
          </cell>
          <cell r="B111" t="str">
            <v>Total Dépt. Usagés</v>
          </cell>
          <cell r="C111">
            <v>859.91399999999999</v>
          </cell>
          <cell r="D111">
            <v>2179.0697674418607</v>
          </cell>
          <cell r="E111">
            <v>1873812.6</v>
          </cell>
          <cell r="F111">
            <v>49.192000000000007</v>
          </cell>
          <cell r="G111">
            <v>2179.0697674418602</v>
          </cell>
          <cell r="H111">
            <v>107192.8</v>
          </cell>
          <cell r="I111">
            <v>50.826000000000001</v>
          </cell>
          <cell r="J111">
            <v>2179.0697674418602</v>
          </cell>
          <cell r="K111">
            <v>110753.4</v>
          </cell>
          <cell r="L111">
            <v>76.454000000000008</v>
          </cell>
          <cell r="M111">
            <v>2179.0697674418602</v>
          </cell>
          <cell r="N111">
            <v>166598.6</v>
          </cell>
          <cell r="O111">
            <v>85.484000000000009</v>
          </cell>
          <cell r="P111">
            <v>2179.0697674418602</v>
          </cell>
          <cell r="Q111">
            <v>186275.6</v>
          </cell>
          <cell r="R111">
            <v>87.031999999999982</v>
          </cell>
          <cell r="S111">
            <v>2179.0697674418602</v>
          </cell>
          <cell r="T111">
            <v>189648.79999999996</v>
          </cell>
          <cell r="U111">
            <v>78.69</v>
          </cell>
          <cell r="V111">
            <v>2179.0697674418607</v>
          </cell>
          <cell r="W111">
            <v>171471</v>
          </cell>
          <cell r="X111">
            <v>73.271999999999991</v>
          </cell>
          <cell r="Y111">
            <v>2179.0697674418607</v>
          </cell>
          <cell r="Z111">
            <v>159664.79999999999</v>
          </cell>
          <cell r="AA111">
            <v>78.087999999999994</v>
          </cell>
          <cell r="AB111">
            <v>2179.0697674418607</v>
          </cell>
          <cell r="AC111">
            <v>170159.2</v>
          </cell>
          <cell r="AD111">
            <v>77.141999999999996</v>
          </cell>
          <cell r="AE111">
            <v>2179.0697674418602</v>
          </cell>
          <cell r="AF111">
            <v>168097.8</v>
          </cell>
          <cell r="AG111">
            <v>76.195999999999998</v>
          </cell>
          <cell r="AH111">
            <v>2179.0697674418602</v>
          </cell>
          <cell r="AI111">
            <v>166036.4</v>
          </cell>
          <cell r="AJ111">
            <v>74.218000000000018</v>
          </cell>
          <cell r="AK111">
            <v>2179.0697674418607</v>
          </cell>
          <cell r="AL111">
            <v>161726.20000000004</v>
          </cell>
          <cell r="AM111">
            <v>53.32</v>
          </cell>
          <cell r="AN111">
            <v>2179.0697674418607</v>
          </cell>
          <cell r="AO111">
            <v>116188</v>
          </cell>
        </row>
        <row r="112">
          <cell r="A112" t="str">
            <v>Véhicules usagés</v>
          </cell>
        </row>
        <row r="113">
          <cell r="A113" t="str">
            <v>Véhicules usagés</v>
          </cell>
        </row>
        <row r="114">
          <cell r="A114" t="str">
            <v>Véhicules usagésDEPENSES</v>
          </cell>
          <cell r="B114" t="str">
            <v>DEPENSES</v>
          </cell>
        </row>
        <row r="115">
          <cell r="A115" t="str">
            <v>Véhicules usagésComm. vendeurs</v>
          </cell>
          <cell r="B115" t="str">
            <v>Comm. vendeurs</v>
          </cell>
          <cell r="C115">
            <v>0.33000000000000007</v>
          </cell>
          <cell r="D115">
            <v>612.742718446602</v>
          </cell>
          <cell r="E115">
            <v>252424.75500000003</v>
          </cell>
          <cell r="F115">
            <v>0.33</v>
          </cell>
          <cell r="G115">
            <v>612.742718446602</v>
          </cell>
          <cell r="H115">
            <v>14440.140000000003</v>
          </cell>
          <cell r="I115">
            <v>0.33</v>
          </cell>
          <cell r="J115">
            <v>612.742718446602</v>
          </cell>
          <cell r="K115">
            <v>14919.795</v>
          </cell>
          <cell r="L115">
            <v>0.33</v>
          </cell>
          <cell r="M115">
            <v>612.74271844660188</v>
          </cell>
          <cell r="N115">
            <v>22442.805</v>
          </cell>
          <cell r="O115">
            <v>0.33</v>
          </cell>
          <cell r="P115">
            <v>612.74271844660211</v>
          </cell>
          <cell r="Q115">
            <v>25093.530000000006</v>
          </cell>
          <cell r="R115">
            <v>0.33</v>
          </cell>
          <cell r="S115">
            <v>612.74271844660211</v>
          </cell>
          <cell r="T115">
            <v>25547.940000000002</v>
          </cell>
          <cell r="U115">
            <v>0.33</v>
          </cell>
          <cell r="V115">
            <v>612.74271844660188</v>
          </cell>
          <cell r="W115">
            <v>23099.174999999999</v>
          </cell>
          <cell r="X115">
            <v>0.33</v>
          </cell>
          <cell r="Y115">
            <v>612.74271844660188</v>
          </cell>
          <cell r="Z115">
            <v>21508.74</v>
          </cell>
          <cell r="AA115">
            <v>0.33</v>
          </cell>
          <cell r="AB115">
            <v>612.74271844660211</v>
          </cell>
          <cell r="AC115">
            <v>22922.460000000003</v>
          </cell>
          <cell r="AD115">
            <v>0.33</v>
          </cell>
          <cell r="AE115">
            <v>612.74271844660188</v>
          </cell>
          <cell r="AF115">
            <v>22644.764999999999</v>
          </cell>
          <cell r="AG115">
            <v>0.33</v>
          </cell>
          <cell r="AH115">
            <v>612.74271844660188</v>
          </cell>
          <cell r="AI115">
            <v>22367.07</v>
          </cell>
          <cell r="AJ115">
            <v>0.33</v>
          </cell>
          <cell r="AK115">
            <v>612.74271844660188</v>
          </cell>
          <cell r="AL115">
            <v>21786.435000000001</v>
          </cell>
          <cell r="AM115">
            <v>0.33</v>
          </cell>
          <cell r="AN115">
            <v>612.742718446602</v>
          </cell>
          <cell r="AO115">
            <v>15651.900000000001</v>
          </cell>
        </row>
        <row r="116">
          <cell r="A116" t="str">
            <v>Véhicules usagésComm. F&amp;I</v>
          </cell>
          <cell r="B116" t="str">
            <v>Comm. F&amp;I</v>
          </cell>
          <cell r="C116">
            <v>0.3</v>
          </cell>
          <cell r="D116">
            <v>680.82524271844659</v>
          </cell>
          <cell r="E116">
            <v>280471.95</v>
          </cell>
          <cell r="F116">
            <v>0.3</v>
          </cell>
          <cell r="G116">
            <v>680.82524271844648</v>
          </cell>
          <cell r="H116">
            <v>16044.599999999999</v>
          </cell>
          <cell r="I116">
            <v>0.3</v>
          </cell>
          <cell r="J116">
            <v>680.82524271844659</v>
          </cell>
          <cell r="K116">
            <v>16577.55</v>
          </cell>
          <cell r="L116">
            <v>0.3</v>
          </cell>
          <cell r="M116">
            <v>680.8252427184467</v>
          </cell>
          <cell r="N116">
            <v>24936.450000000004</v>
          </cell>
          <cell r="O116">
            <v>0.3</v>
          </cell>
          <cell r="P116">
            <v>680.8252427184467</v>
          </cell>
          <cell r="Q116">
            <v>27881.7</v>
          </cell>
          <cell r="R116">
            <v>0.3</v>
          </cell>
          <cell r="S116">
            <v>680.82524271844648</v>
          </cell>
          <cell r="T116">
            <v>28386.599999999991</v>
          </cell>
          <cell r="U116">
            <v>0.3</v>
          </cell>
          <cell r="V116">
            <v>680.8252427184467</v>
          </cell>
          <cell r="W116">
            <v>25665.750000000004</v>
          </cell>
          <cell r="X116">
            <v>0.3</v>
          </cell>
          <cell r="Y116">
            <v>680.82524271844648</v>
          </cell>
          <cell r="Z116">
            <v>23898.6</v>
          </cell>
          <cell r="AA116">
            <v>0.3</v>
          </cell>
          <cell r="AB116">
            <v>680.82524271844648</v>
          </cell>
          <cell r="AC116">
            <v>25469.399999999994</v>
          </cell>
          <cell r="AD116">
            <v>0.3</v>
          </cell>
          <cell r="AE116">
            <v>680.82524271844648</v>
          </cell>
          <cell r="AF116">
            <v>25160.85</v>
          </cell>
          <cell r="AG116">
            <v>0.3</v>
          </cell>
          <cell r="AH116">
            <v>680.82524271844659</v>
          </cell>
          <cell r="AI116">
            <v>24852.3</v>
          </cell>
          <cell r="AJ116">
            <v>0.3</v>
          </cell>
          <cell r="AK116">
            <v>680.8252427184467</v>
          </cell>
          <cell r="AL116">
            <v>24207.150000000009</v>
          </cell>
          <cell r="AM116">
            <v>0.3</v>
          </cell>
          <cell r="AN116">
            <v>680.82524271844659</v>
          </cell>
          <cell r="AO116">
            <v>17391</v>
          </cell>
        </row>
        <row r="117">
          <cell r="A117" t="str">
            <v>Véhicules usagésFrais de livraison</v>
          </cell>
          <cell r="B117" t="str">
            <v>Frais de livraison</v>
          </cell>
          <cell r="D117">
            <v>10.315533980582526</v>
          </cell>
          <cell r="E117">
            <v>4249.5750000000007</v>
          </cell>
          <cell r="G117">
            <v>10.315533980582524</v>
          </cell>
          <cell r="H117">
            <v>243.10000000000002</v>
          </cell>
          <cell r="J117">
            <v>10.315533980582526</v>
          </cell>
          <cell r="K117">
            <v>251.17500000000001</v>
          </cell>
          <cell r="M117">
            <v>10.315533980582524</v>
          </cell>
          <cell r="N117">
            <v>377.82500000000005</v>
          </cell>
          <cell r="P117">
            <v>10.315533980582526</v>
          </cell>
          <cell r="Q117">
            <v>422.45</v>
          </cell>
          <cell r="S117">
            <v>10.315533980582524</v>
          </cell>
          <cell r="T117">
            <v>430.09999999999991</v>
          </cell>
          <cell r="V117">
            <v>10.315533980582524</v>
          </cell>
          <cell r="W117">
            <v>388.875</v>
          </cell>
          <cell r="Y117">
            <v>10.315533980582524</v>
          </cell>
          <cell r="Z117">
            <v>362.1</v>
          </cell>
          <cell r="AB117">
            <v>10.315533980582524</v>
          </cell>
          <cell r="AC117">
            <v>385.9</v>
          </cell>
          <cell r="AE117">
            <v>10.315533980582524</v>
          </cell>
          <cell r="AF117">
            <v>381.22500000000002</v>
          </cell>
          <cell r="AH117">
            <v>10.315533980582524</v>
          </cell>
          <cell r="AI117">
            <v>376.55</v>
          </cell>
          <cell r="AK117">
            <v>10.315533980582526</v>
          </cell>
          <cell r="AL117">
            <v>366.77500000000009</v>
          </cell>
          <cell r="AN117">
            <v>10.315533980582524</v>
          </cell>
          <cell r="AO117">
            <v>263.5</v>
          </cell>
        </row>
        <row r="118">
          <cell r="A118" t="str">
            <v>Véhicules usagésService gratuit 1</v>
          </cell>
          <cell r="B118" t="str">
            <v>Service gratuit 1</v>
          </cell>
          <cell r="D118">
            <v>7.2208737864077674</v>
          </cell>
          <cell r="E118">
            <v>2974.7025000000003</v>
          </cell>
          <cell r="G118">
            <v>7.2208737864077674</v>
          </cell>
          <cell r="H118">
            <v>170.17000000000002</v>
          </cell>
          <cell r="J118">
            <v>7.2208737864077666</v>
          </cell>
          <cell r="K118">
            <v>175.82249999999999</v>
          </cell>
          <cell r="M118">
            <v>7.2208737864077666</v>
          </cell>
          <cell r="N118">
            <v>264.47750000000002</v>
          </cell>
          <cell r="P118">
            <v>7.2208737864077674</v>
          </cell>
          <cell r="Q118">
            <v>295.71499999999997</v>
          </cell>
          <cell r="S118">
            <v>7.2208737864077666</v>
          </cell>
          <cell r="T118">
            <v>301.06999999999994</v>
          </cell>
          <cell r="V118">
            <v>7.2208737864077674</v>
          </cell>
          <cell r="W118">
            <v>272.21250000000003</v>
          </cell>
          <cell r="Y118">
            <v>7.2208737864077666</v>
          </cell>
          <cell r="Z118">
            <v>253.47</v>
          </cell>
          <cell r="AB118">
            <v>7.2208737864077674</v>
          </cell>
          <cell r="AC118">
            <v>270.13</v>
          </cell>
          <cell r="AE118">
            <v>7.2208737864077666</v>
          </cell>
          <cell r="AF118">
            <v>266.85750000000002</v>
          </cell>
          <cell r="AH118">
            <v>7.2208737864077683</v>
          </cell>
          <cell r="AI118">
            <v>263.58500000000004</v>
          </cell>
          <cell r="AK118">
            <v>7.2208737864077674</v>
          </cell>
          <cell r="AL118">
            <v>256.74250000000006</v>
          </cell>
          <cell r="AN118">
            <v>7.2208737864077674</v>
          </cell>
          <cell r="AO118">
            <v>184.45000000000002</v>
          </cell>
        </row>
        <row r="119">
          <cell r="A119" t="str">
            <v>Véhicules usagésEntretien stock</v>
          </cell>
          <cell r="B119" t="str">
            <v>Entretien stock</v>
          </cell>
          <cell r="D119">
            <v>167.11165048543691</v>
          </cell>
          <cell r="E119">
            <v>68843.115000000005</v>
          </cell>
          <cell r="G119">
            <v>167.11165048543688</v>
          </cell>
          <cell r="H119">
            <v>3938.2200000000003</v>
          </cell>
          <cell r="J119">
            <v>167.11165048543688</v>
          </cell>
          <cell r="K119">
            <v>4069.0349999999999</v>
          </cell>
          <cell r="M119">
            <v>167.11165048543691</v>
          </cell>
          <cell r="N119">
            <v>6120.7650000000012</v>
          </cell>
          <cell r="P119">
            <v>167.11165048543691</v>
          </cell>
          <cell r="Q119">
            <v>6843.69</v>
          </cell>
          <cell r="S119">
            <v>167.11165048543688</v>
          </cell>
          <cell r="T119">
            <v>6967.619999999999</v>
          </cell>
          <cell r="V119">
            <v>167.11165048543691</v>
          </cell>
          <cell r="W119">
            <v>6299.7750000000005</v>
          </cell>
          <cell r="Y119">
            <v>167.11165048543688</v>
          </cell>
          <cell r="Z119">
            <v>5866.02</v>
          </cell>
          <cell r="AB119">
            <v>167.11165048543688</v>
          </cell>
          <cell r="AC119">
            <v>6251.579999999999</v>
          </cell>
          <cell r="AE119">
            <v>167.11165048543688</v>
          </cell>
          <cell r="AF119">
            <v>6175.8450000000003</v>
          </cell>
          <cell r="AH119">
            <v>167.11165048543691</v>
          </cell>
          <cell r="AI119">
            <v>6100.1100000000006</v>
          </cell>
          <cell r="AK119">
            <v>167.11165048543688</v>
          </cell>
          <cell r="AL119">
            <v>5941.755000000001</v>
          </cell>
          <cell r="AN119">
            <v>167.11165048543688</v>
          </cell>
          <cell r="AO119">
            <v>4268.7</v>
          </cell>
        </row>
        <row r="120">
          <cell r="A120" t="str">
            <v>Véhicules usagésPublicité 1</v>
          </cell>
          <cell r="B120" t="str">
            <v>Publicité 1</v>
          </cell>
          <cell r="D120">
            <v>338.20918499616954</v>
          </cell>
          <cell r="E120">
            <v>139328.25</v>
          </cell>
          <cell r="G120">
            <v>539.79394392015752</v>
          </cell>
          <cell r="H120">
            <v>12721</v>
          </cell>
          <cell r="J120">
            <v>519.12383158378918</v>
          </cell>
          <cell r="K120">
            <v>12640.25</v>
          </cell>
          <cell r="M120">
            <v>310.5308135026811</v>
          </cell>
          <cell r="N120">
            <v>11373.75</v>
          </cell>
          <cell r="P120">
            <v>266.83157195600791</v>
          </cell>
          <cell r="Q120">
            <v>10927.5</v>
          </cell>
          <cell r="S120">
            <v>260.25077708277377</v>
          </cell>
          <cell r="T120">
            <v>10851</v>
          </cell>
          <cell r="V120">
            <v>298.77579712451586</v>
          </cell>
          <cell r="W120">
            <v>11263.25</v>
          </cell>
          <cell r="Y120">
            <v>328.4960572496467</v>
          </cell>
          <cell r="Z120">
            <v>11531</v>
          </cell>
          <cell r="AB120">
            <v>301.87438518455156</v>
          </cell>
          <cell r="AC120">
            <v>11293</v>
          </cell>
          <cell r="AE120">
            <v>306.84130488900433</v>
          </cell>
          <cell r="AF120">
            <v>11339.75</v>
          </cell>
          <cell r="AH120">
            <v>311.93155668544131</v>
          </cell>
          <cell r="AI120">
            <v>11386.5</v>
          </cell>
          <cell r="AK120">
            <v>322.99412750734058</v>
          </cell>
          <cell r="AL120">
            <v>11484.25</v>
          </cell>
          <cell r="AN120">
            <v>490.01722518008143</v>
          </cell>
          <cell r="AO120">
            <v>12517</v>
          </cell>
        </row>
        <row r="121">
          <cell r="A121" t="str">
            <v>Véhicules usagésIntérêt de gros</v>
          </cell>
          <cell r="B121" t="str">
            <v>Intérêt de gros</v>
          </cell>
          <cell r="D121">
            <v>222.85584559114088</v>
          </cell>
          <cell r="E121">
            <v>91807.42672271168</v>
          </cell>
          <cell r="G121">
            <v>266.23544990963137</v>
          </cell>
          <cell r="H121">
            <v>6274.2111067503365</v>
          </cell>
          <cell r="J121">
            <v>327.21310523207296</v>
          </cell>
          <cell r="K121">
            <v>7967.377341916791</v>
          </cell>
          <cell r="M121">
            <v>233.81684341378229</v>
          </cell>
          <cell r="N121">
            <v>8563.9627603479221</v>
          </cell>
          <cell r="P121">
            <v>211.61518983719517</v>
          </cell>
          <cell r="Q121">
            <v>8666.2345463646852</v>
          </cell>
          <cell r="S121">
            <v>194.63293044274809</v>
          </cell>
          <cell r="T121">
            <v>8115.1032550521149</v>
          </cell>
          <cell r="V121">
            <v>205.77091633490997</v>
          </cell>
          <cell r="W121">
            <v>7757.1520039934358</v>
          </cell>
          <cell r="Y121">
            <v>230.05067727059608</v>
          </cell>
          <cell r="Z121">
            <v>8075.3308938233722</v>
          </cell>
          <cell r="AB121">
            <v>214.19185099641138</v>
          </cell>
          <cell r="AC121">
            <v>8012.8314690353509</v>
          </cell>
          <cell r="AE121">
            <v>215.12734044028448</v>
          </cell>
          <cell r="AF121">
            <v>7950.3320442473296</v>
          </cell>
          <cell r="AH121">
            <v>214.21824466845268</v>
          </cell>
          <cell r="AI121">
            <v>7819.6514287814616</v>
          </cell>
          <cell r="AK121">
            <v>181.09615131104871</v>
          </cell>
          <cell r="AL121">
            <v>6438.9823175551246</v>
          </cell>
          <cell r="AN121">
            <v>241.39749275147776</v>
          </cell>
          <cell r="AO121">
            <v>6166.257554843748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usagés[...]</v>
          </cell>
          <cell r="B124" t="str">
            <v>[...]</v>
          </cell>
          <cell r="D124">
            <v>0</v>
          </cell>
          <cell r="E124">
            <v>0</v>
          </cell>
          <cell r="G124">
            <v>0</v>
          </cell>
          <cell r="J124">
            <v>0</v>
          </cell>
          <cell r="M124">
            <v>0</v>
          </cell>
          <cell r="P124">
            <v>0</v>
          </cell>
          <cell r="S124">
            <v>0</v>
          </cell>
          <cell r="V124">
            <v>0</v>
          </cell>
          <cell r="Y124">
            <v>0</v>
          </cell>
          <cell r="AB124">
            <v>0</v>
          </cell>
          <cell r="AE124">
            <v>0</v>
          </cell>
          <cell r="AH124">
            <v>0</v>
          </cell>
          <cell r="AK124">
            <v>0</v>
          </cell>
          <cell r="AN124">
            <v>0</v>
          </cell>
        </row>
        <row r="125">
          <cell r="A125" t="str">
            <v>Véhicules usagésTOTAL VARIABLES</v>
          </cell>
          <cell r="B125" t="str">
            <v>TOTAL VARIABLES</v>
          </cell>
          <cell r="C125" t="str">
            <v>% brut</v>
          </cell>
          <cell r="D125">
            <v>0.44833713586017709</v>
          </cell>
          <cell r="E125">
            <v>840099.77422271168</v>
          </cell>
          <cell r="F125" t="str">
            <v>% brut</v>
          </cell>
          <cell r="G125">
            <v>0.50219269490814988</v>
          </cell>
          <cell r="H125">
            <v>53831.441106750332</v>
          </cell>
          <cell r="I125" t="str">
            <v>% brut</v>
          </cell>
          <cell r="J125">
            <v>0.51105433189334859</v>
          </cell>
          <cell r="K125">
            <v>56601.004841916794</v>
          </cell>
          <cell r="L125" t="str">
            <v>% brut</v>
          </cell>
          <cell r="M125">
            <v>0.44466181144588202</v>
          </cell>
          <cell r="N125">
            <v>74080.035260347926</v>
          </cell>
          <cell r="O125" t="str">
            <v>% brut</v>
          </cell>
          <cell r="P125">
            <v>0.4301734609705441</v>
          </cell>
          <cell r="Q125">
            <v>80130.819546364684</v>
          </cell>
          <cell r="R125" t="str">
            <v>% brut</v>
          </cell>
          <cell r="S125">
            <v>0.42499310965875936</v>
          </cell>
          <cell r="T125">
            <v>80599.433255052107</v>
          </cell>
          <cell r="U125" t="str">
            <v>% brut</v>
          </cell>
          <cell r="V125">
            <v>0.43591155066450565</v>
          </cell>
          <cell r="W125">
            <v>74746.189503993446</v>
          </cell>
          <cell r="X125" t="str">
            <v>% brut</v>
          </cell>
          <cell r="Y125">
            <v>0.44778348699164355</v>
          </cell>
          <cell r="Z125">
            <v>71495.260893823361</v>
          </cell>
          <cell r="AA125" t="str">
            <v>% brut</v>
          </cell>
          <cell r="AB125">
            <v>0.43844412449656178</v>
          </cell>
          <cell r="AC125">
            <v>74605.301469035359</v>
          </cell>
          <cell r="AD125" t="str">
            <v>% brut</v>
          </cell>
          <cell r="AE125">
            <v>0.4397417726124157</v>
          </cell>
          <cell r="AF125">
            <v>73919.62454424733</v>
          </cell>
          <cell r="AG125" t="str">
            <v>% brut</v>
          </cell>
          <cell r="AH125">
            <v>0.44066100221867888</v>
          </cell>
          <cell r="AI125">
            <v>73165.766428781455</v>
          </cell>
          <cell r="AJ125" t="str">
            <v>% brut</v>
          </cell>
          <cell r="AK125">
            <v>0.43581120324075584</v>
          </cell>
          <cell r="AL125">
            <v>70482.089817555141</v>
          </cell>
          <cell r="AM125" t="str">
            <v>% brut</v>
          </cell>
          <cell r="AN125">
            <v>0.48578861461462236</v>
          </cell>
          <cell r="AO125">
            <v>56442.807554843741</v>
          </cell>
        </row>
        <row r="126">
          <cell r="A126" t="str">
            <v>Véhicules usagésSalaires cadres</v>
          </cell>
          <cell r="B126" t="str">
            <v>Salaires cadres</v>
          </cell>
          <cell r="E126">
            <v>157964.1</v>
          </cell>
          <cell r="H126">
            <v>12590.7</v>
          </cell>
          <cell r="K126">
            <v>12590.7</v>
          </cell>
          <cell r="N126">
            <v>14309.625</v>
          </cell>
          <cell r="Q126">
            <v>12590.7</v>
          </cell>
          <cell r="T126">
            <v>14309.625</v>
          </cell>
          <cell r="W126">
            <v>12590.7</v>
          </cell>
          <cell r="Z126">
            <v>12590.7</v>
          </cell>
          <cell r="AC126">
            <v>14309.625</v>
          </cell>
          <cell r="AF126">
            <v>12590.7</v>
          </cell>
          <cell r="AI126">
            <v>12590.7</v>
          </cell>
          <cell r="AL126">
            <v>14309.625</v>
          </cell>
          <cell r="AO126">
            <v>12590.7</v>
          </cell>
        </row>
        <row r="127">
          <cell r="A127" t="str">
            <v>Véhicules usagésSalaires commis</v>
          </cell>
          <cell r="B127" t="str">
            <v>Salaires commis</v>
          </cell>
          <cell r="E127">
            <v>54315.031999999999</v>
          </cell>
          <cell r="H127">
            <v>4255.0024615384618</v>
          </cell>
          <cell r="K127">
            <v>4255.0024615384618</v>
          </cell>
          <cell r="N127">
            <v>5068.7530769230771</v>
          </cell>
          <cell r="Q127">
            <v>4255.0024615384618</v>
          </cell>
          <cell r="T127">
            <v>5068.7530769230771</v>
          </cell>
          <cell r="W127">
            <v>4255.0024615384618</v>
          </cell>
          <cell r="Z127">
            <v>4255.0024615384618</v>
          </cell>
          <cell r="AC127">
            <v>5068.7530769230771</v>
          </cell>
          <cell r="AF127">
            <v>4255.0024615384618</v>
          </cell>
          <cell r="AI127">
            <v>4255.0024615384618</v>
          </cell>
          <cell r="AL127">
            <v>5068.7530769230771</v>
          </cell>
          <cell r="AO127">
            <v>4255.0024615384618</v>
          </cell>
        </row>
        <row r="128">
          <cell r="A128" t="str">
            <v>Véhicules usagésSalaires autres</v>
          </cell>
          <cell r="B128" t="str">
            <v>Salaires autres</v>
          </cell>
          <cell r="E128">
            <v>74018</v>
          </cell>
          <cell r="H128">
            <v>5693.6923076923076</v>
          </cell>
          <cell r="K128">
            <v>5693.6923076923076</v>
          </cell>
          <cell r="N128">
            <v>7117.1153846153848</v>
          </cell>
          <cell r="Q128">
            <v>5693.6923076923076</v>
          </cell>
          <cell r="T128">
            <v>7117.1153846153848</v>
          </cell>
          <cell r="W128">
            <v>5693.6923076923076</v>
          </cell>
          <cell r="Z128">
            <v>5693.6923076923076</v>
          </cell>
          <cell r="AC128">
            <v>7117.1153846153848</v>
          </cell>
          <cell r="AF128">
            <v>5693.6923076923076</v>
          </cell>
          <cell r="AI128">
            <v>5693.6923076923076</v>
          </cell>
          <cell r="AL128">
            <v>7117.1153846153848</v>
          </cell>
          <cell r="AO128">
            <v>5693.6923076923076</v>
          </cell>
        </row>
        <row r="129">
          <cell r="A129" t="str">
            <v>Véhicules usagésSalaires spécialistes</v>
          </cell>
          <cell r="B129" t="str">
            <v>Salaires spécialistes</v>
          </cell>
          <cell r="E129">
            <v>0</v>
          </cell>
          <cell r="H129">
            <v>0</v>
          </cell>
          <cell r="K129">
            <v>0</v>
          </cell>
          <cell r="N129">
            <v>0</v>
          </cell>
          <cell r="Q129">
            <v>0</v>
          </cell>
          <cell r="T129">
            <v>0</v>
          </cell>
          <cell r="W129">
            <v>0</v>
          </cell>
          <cell r="Z129">
            <v>0</v>
          </cell>
          <cell r="AC129">
            <v>0</v>
          </cell>
          <cell r="AF129">
            <v>0</v>
          </cell>
          <cell r="AI129">
            <v>0</v>
          </cell>
          <cell r="AL129">
            <v>0</v>
          </cell>
          <cell r="AO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  <cell r="H130">
            <v>0</v>
          </cell>
          <cell r="K130">
            <v>0</v>
          </cell>
          <cell r="N130">
            <v>0</v>
          </cell>
          <cell r="Q130">
            <v>0</v>
          </cell>
          <cell r="T130">
            <v>0</v>
          </cell>
          <cell r="W130">
            <v>0</v>
          </cell>
          <cell r="Z130">
            <v>0</v>
          </cell>
          <cell r="AC130">
            <v>0</v>
          </cell>
          <cell r="AF130">
            <v>0</v>
          </cell>
          <cell r="AI130">
            <v>0</v>
          </cell>
          <cell r="AL130">
            <v>0</v>
          </cell>
          <cell r="AO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  <cell r="H131">
            <v>0</v>
          </cell>
          <cell r="K131">
            <v>0</v>
          </cell>
          <cell r="N131">
            <v>0</v>
          </cell>
          <cell r="Q131">
            <v>0</v>
          </cell>
          <cell r="T131">
            <v>0</v>
          </cell>
          <cell r="W131">
            <v>0</v>
          </cell>
          <cell r="Z131">
            <v>0</v>
          </cell>
          <cell r="AC131">
            <v>0</v>
          </cell>
          <cell r="AF131">
            <v>0</v>
          </cell>
          <cell r="AI131">
            <v>0</v>
          </cell>
          <cell r="AL131">
            <v>0</v>
          </cell>
          <cell r="AO131">
            <v>0</v>
          </cell>
        </row>
        <row r="132">
          <cell r="A132" t="str">
            <v>Véhicules usagés[...]</v>
          </cell>
          <cell r="B132" t="str">
            <v>[...]</v>
          </cell>
          <cell r="E132">
            <v>0</v>
          </cell>
          <cell r="H132">
            <v>0</v>
          </cell>
          <cell r="K132">
            <v>0</v>
          </cell>
          <cell r="N132">
            <v>0</v>
          </cell>
          <cell r="Q132">
            <v>0</v>
          </cell>
          <cell r="T132">
            <v>0</v>
          </cell>
          <cell r="W132">
            <v>0</v>
          </cell>
          <cell r="Z132">
            <v>0</v>
          </cell>
          <cell r="AC132">
            <v>0</v>
          </cell>
          <cell r="AF132">
            <v>0</v>
          </cell>
          <cell r="AI132">
            <v>0</v>
          </cell>
          <cell r="AL132">
            <v>0</v>
          </cell>
          <cell r="AO132">
            <v>0</v>
          </cell>
        </row>
        <row r="133">
          <cell r="A133" t="str">
            <v>Véhicules usagésSalaires en absences</v>
          </cell>
          <cell r="B133" t="str">
            <v>Salaires en absences</v>
          </cell>
          <cell r="E133">
            <v>98834.838881999996</v>
          </cell>
          <cell r="H133">
            <v>7350.1950896410262</v>
          </cell>
          <cell r="K133">
            <v>7335.4400896410261</v>
          </cell>
          <cell r="N133">
            <v>8450.1915412179496</v>
          </cell>
          <cell r="Q133">
            <v>9665.1978396410268</v>
          </cell>
          <cell r="T133">
            <v>9882.7885412179494</v>
          </cell>
          <cell r="W133">
            <v>8203.0908396410268</v>
          </cell>
          <cell r="Z133">
            <v>7730.4768396410263</v>
          </cell>
          <cell r="AC133">
            <v>8679.1210412179498</v>
          </cell>
          <cell r="AF133">
            <v>7959.4063396410265</v>
          </cell>
          <cell r="AI133">
            <v>8324.9330896410265</v>
          </cell>
          <cell r="AL133">
            <v>8557.2787912179483</v>
          </cell>
          <cell r="AO133">
            <v>6696.7188396410256</v>
          </cell>
        </row>
        <row r="134">
          <cell r="A134" t="str">
            <v>Véhicules usagésDéduction à la source</v>
          </cell>
          <cell r="B134" t="str">
            <v>Déduction à la source</v>
          </cell>
          <cell r="E134">
            <v>120169.231416</v>
          </cell>
          <cell r="H134">
            <v>8936.8010781538469</v>
          </cell>
          <cell r="K134">
            <v>8918.8610781538464</v>
          </cell>
          <cell r="N134">
            <v>10274.241697692309</v>
          </cell>
          <cell r="Q134">
            <v>11751.518078153847</v>
          </cell>
          <cell r="T134">
            <v>12016.077697692308</v>
          </cell>
          <cell r="W134">
            <v>9973.8020781538489</v>
          </cell>
          <cell r="Z134">
            <v>9399.1700781538475</v>
          </cell>
          <cell r="AC134">
            <v>10552.587697692308</v>
          </cell>
          <cell r="AF134">
            <v>9677.5160781538489</v>
          </cell>
          <cell r="AI134">
            <v>10121.945078153849</v>
          </cell>
          <cell r="AL134">
            <v>10404.444697692308</v>
          </cell>
          <cell r="AO134">
            <v>8142.266078153847</v>
          </cell>
        </row>
        <row r="135">
          <cell r="A135" t="str">
            <v>Véhicules usagésBénéfices marginaux</v>
          </cell>
          <cell r="B135" t="str">
            <v>Bénéfices marginaux</v>
          </cell>
          <cell r="E135">
            <v>61913.277925199996</v>
          </cell>
          <cell r="H135">
            <v>4604.3953380923076</v>
          </cell>
          <cell r="K135">
            <v>4595.1523380923072</v>
          </cell>
          <cell r="N135">
            <v>5293.4680051153846</v>
          </cell>
          <cell r="Q135">
            <v>6054.5864880923082</v>
          </cell>
          <cell r="T135">
            <v>6190.8922051153841</v>
          </cell>
          <cell r="W135">
            <v>5138.6762880923079</v>
          </cell>
          <cell r="Z135">
            <v>4842.6158880923076</v>
          </cell>
          <cell r="AC135">
            <v>5436.8767051153845</v>
          </cell>
          <cell r="AF135">
            <v>4986.0245880923076</v>
          </cell>
          <cell r="AI135">
            <v>5215.0021380923081</v>
          </cell>
          <cell r="AL135">
            <v>5360.5508551153844</v>
          </cell>
          <cell r="AO135">
            <v>4195.0370880923074</v>
          </cell>
        </row>
        <row r="136">
          <cell r="A136" t="str">
            <v>Véhicules usagésCsst</v>
          </cell>
          <cell r="B136" t="str">
            <v>Csst</v>
          </cell>
          <cell r="E136">
            <v>26994.537492000003</v>
          </cell>
          <cell r="H136">
            <v>2007.5422711794872</v>
          </cell>
          <cell r="K136">
            <v>2003.5122711794872</v>
          </cell>
          <cell r="N136">
            <v>2307.9818306410257</v>
          </cell>
          <cell r="Q136">
            <v>2639.8337711794875</v>
          </cell>
          <cell r="T136">
            <v>2699.2638306410258</v>
          </cell>
          <cell r="W136">
            <v>2240.4917711794874</v>
          </cell>
          <cell r="Z136">
            <v>2111.4077711794876</v>
          </cell>
          <cell r="AC136">
            <v>2370.5088306410257</v>
          </cell>
          <cell r="AF136">
            <v>2173.9347711794876</v>
          </cell>
          <cell r="AI136">
            <v>2273.7702711794873</v>
          </cell>
          <cell r="AL136">
            <v>2337.2303306410258</v>
          </cell>
          <cell r="AO136">
            <v>1829.0597711794871</v>
          </cell>
        </row>
        <row r="137">
          <cell r="A137" t="str">
            <v>Véhicules usagés[...]</v>
          </cell>
          <cell r="B137" t="str">
            <v>[...]</v>
          </cell>
          <cell r="E137">
            <v>0</v>
          </cell>
        </row>
        <row r="138">
          <cell r="A138" t="str">
            <v>Véhicules usagésTOTAL PERSONNEL</v>
          </cell>
          <cell r="B138" t="str">
            <v>TOTAL PERSONNEL</v>
          </cell>
          <cell r="C138" t="str">
            <v>% brut</v>
          </cell>
          <cell r="D138">
            <v>0.31711229699021126</v>
          </cell>
          <cell r="E138">
            <v>594209.01771519997</v>
          </cell>
          <cell r="F138" t="str">
            <v>% brut</v>
          </cell>
          <cell r="G138">
            <v>0.42389347555337148</v>
          </cell>
          <cell r="H138">
            <v>45438.328546297438</v>
          </cell>
          <cell r="I138" t="str">
            <v>% brut</v>
          </cell>
          <cell r="J138">
            <v>0.40985071831923398</v>
          </cell>
          <cell r="K138">
            <v>45392.360546297445</v>
          </cell>
          <cell r="L138" t="str">
            <v>% brut</v>
          </cell>
          <cell r="M138">
            <v>0.31705774560053401</v>
          </cell>
          <cell r="N138">
            <v>52821.376536205127</v>
          </cell>
          <cell r="O138" t="str">
            <v>% brut</v>
          </cell>
          <cell r="P138">
            <v>0.28264856452641918</v>
          </cell>
          <cell r="Q138">
            <v>52650.530946297447</v>
          </cell>
          <cell r="R138" t="str">
            <v>% brut</v>
          </cell>
          <cell r="S138">
            <v>0.30205577750138751</v>
          </cell>
          <cell r="T138">
            <v>57284.515736205132</v>
          </cell>
          <cell r="U138" t="str">
            <v>% brut</v>
          </cell>
          <cell r="V138">
            <v>0.28048740455410787</v>
          </cell>
          <cell r="W138">
            <v>48095.455746297434</v>
          </cell>
          <cell r="X138" t="str">
            <v>% brut</v>
          </cell>
          <cell r="Y138">
            <v>0.29200591079747978</v>
          </cell>
          <cell r="Z138">
            <v>46623.065346297444</v>
          </cell>
          <cell r="AA138" t="str">
            <v>% brut</v>
          </cell>
          <cell r="AB138">
            <v>0.31461471220013454</v>
          </cell>
          <cell r="AC138">
            <v>53534.587736205132</v>
          </cell>
          <cell r="AD138" t="str">
            <v>% brut</v>
          </cell>
          <cell r="AE138">
            <v>0.28159961966365682</v>
          </cell>
          <cell r="AF138">
            <v>47336.276546297449</v>
          </cell>
          <cell r="AG138" t="str">
            <v>% brut</v>
          </cell>
          <cell r="AH138">
            <v>0.29195432655910047</v>
          </cell>
          <cell r="AI138">
            <v>48475.045346297433</v>
          </cell>
          <cell r="AJ138" t="str">
            <v>% brut</v>
          </cell>
          <cell r="AK138">
            <v>0.32867277000390233</v>
          </cell>
          <cell r="AL138">
            <v>53154.998136205126</v>
          </cell>
          <cell r="AM138" t="str">
            <v>% brut</v>
          </cell>
          <cell r="AN138">
            <v>0.37355386568576315</v>
          </cell>
          <cell r="AO138">
            <v>43402.476546297446</v>
          </cell>
        </row>
        <row r="139">
          <cell r="A139" t="str">
            <v>Véhicules usagésPublicité 2</v>
          </cell>
          <cell r="B139" t="str">
            <v>Publicité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usagésService gratuit 2</v>
          </cell>
          <cell r="B140" t="str">
            <v>Service gratuit 2</v>
          </cell>
          <cell r="E140">
            <v>0</v>
          </cell>
          <cell r="H140">
            <v>0</v>
          </cell>
          <cell r="K140">
            <v>0</v>
          </cell>
          <cell r="N140">
            <v>0</v>
          </cell>
          <cell r="Q140">
            <v>0</v>
          </cell>
          <cell r="T140">
            <v>0</v>
          </cell>
          <cell r="W140">
            <v>0</v>
          </cell>
          <cell r="Z140">
            <v>0</v>
          </cell>
          <cell r="AC140">
            <v>0</v>
          </cell>
          <cell r="AF140">
            <v>0</v>
          </cell>
          <cell r="AI140">
            <v>0</v>
          </cell>
          <cell r="AL140">
            <v>0</v>
          </cell>
          <cell r="AO140">
            <v>0</v>
          </cell>
        </row>
        <row r="141">
          <cell r="A141" t="str">
            <v>Véhicules usagésFrais véhicules de cie</v>
          </cell>
          <cell r="B141" t="str">
            <v>Frais véhicules de cie</v>
          </cell>
          <cell r="E141">
            <v>29499.999999999996</v>
          </cell>
          <cell r="H141">
            <v>2458.3333333333335</v>
          </cell>
          <cell r="K141">
            <v>2458.3333333333335</v>
          </cell>
          <cell r="N141">
            <v>2458.3333333333335</v>
          </cell>
          <cell r="Q141">
            <v>2458.3333333333335</v>
          </cell>
          <cell r="T141">
            <v>2458.3333333333335</v>
          </cell>
          <cell r="W141">
            <v>2458.3333333333335</v>
          </cell>
          <cell r="Z141">
            <v>2458.3333333333335</v>
          </cell>
          <cell r="AC141">
            <v>2458.3333333333335</v>
          </cell>
          <cell r="AF141">
            <v>2458.3333333333335</v>
          </cell>
          <cell r="AI141">
            <v>2458.3333333333335</v>
          </cell>
          <cell r="AL141">
            <v>2458.3333333333335</v>
          </cell>
          <cell r="AO141">
            <v>2458.3333333333335</v>
          </cell>
        </row>
        <row r="142">
          <cell r="A142" t="str">
            <v>Véhicules usagésInformatique</v>
          </cell>
          <cell r="B142" t="str">
            <v>Informatique</v>
          </cell>
          <cell r="E142">
            <v>43524.498447999998</v>
          </cell>
          <cell r="H142">
            <v>3627.0415373333331</v>
          </cell>
          <cell r="K142">
            <v>3627.0415373333331</v>
          </cell>
          <cell r="N142">
            <v>3627.0415373333331</v>
          </cell>
          <cell r="Q142">
            <v>3627.0415373333331</v>
          </cell>
          <cell r="T142">
            <v>3627.0415373333331</v>
          </cell>
          <cell r="W142">
            <v>3627.0415373333331</v>
          </cell>
          <cell r="Z142">
            <v>3627.0415373333331</v>
          </cell>
          <cell r="AC142">
            <v>3627.0415373333331</v>
          </cell>
          <cell r="AF142">
            <v>3627.0415373333331</v>
          </cell>
          <cell r="AI142">
            <v>3627.0415373333331</v>
          </cell>
          <cell r="AL142">
            <v>3627.0415373333331</v>
          </cell>
          <cell r="AO142">
            <v>3627.0415373333331</v>
          </cell>
        </row>
        <row r="143">
          <cell r="A143" t="str">
            <v>Véhicules usagésFrais de déplacement</v>
          </cell>
          <cell r="B143" t="str">
            <v>Frais de déplacement</v>
          </cell>
          <cell r="E143">
            <v>6253.3109567311558</v>
          </cell>
          <cell r="H143">
            <v>521.10924639426287</v>
          </cell>
          <cell r="K143">
            <v>521.10924639426287</v>
          </cell>
          <cell r="N143">
            <v>521.10924639426287</v>
          </cell>
          <cell r="Q143">
            <v>521.10924639426287</v>
          </cell>
          <cell r="T143">
            <v>521.10924639426287</v>
          </cell>
          <cell r="W143">
            <v>521.10924639426287</v>
          </cell>
          <cell r="Z143">
            <v>521.10924639426287</v>
          </cell>
          <cell r="AC143">
            <v>521.10924639426287</v>
          </cell>
          <cell r="AF143">
            <v>521.10924639426287</v>
          </cell>
          <cell r="AI143">
            <v>521.10924639426287</v>
          </cell>
          <cell r="AL143">
            <v>521.10924639426287</v>
          </cell>
          <cell r="AO143">
            <v>521.10924639426287</v>
          </cell>
        </row>
        <row r="144">
          <cell r="A144" t="str">
            <v>Véhicules usagésServices extérieurs</v>
          </cell>
          <cell r="B144" t="str">
            <v>Services extérieurs</v>
          </cell>
          <cell r="E144">
            <v>17875.092639933337</v>
          </cell>
          <cell r="H144">
            <v>1489.5910533277777</v>
          </cell>
          <cell r="K144">
            <v>1489.5910533277777</v>
          </cell>
          <cell r="N144">
            <v>1489.5910533277777</v>
          </cell>
          <cell r="Q144">
            <v>1489.5910533277777</v>
          </cell>
          <cell r="T144">
            <v>1489.5910533277777</v>
          </cell>
          <cell r="W144">
            <v>1489.5910533277777</v>
          </cell>
          <cell r="Z144">
            <v>1489.5910533277777</v>
          </cell>
          <cell r="AC144">
            <v>1489.5910533277777</v>
          </cell>
          <cell r="AF144">
            <v>1489.5910533277777</v>
          </cell>
          <cell r="AI144">
            <v>1489.5910533277777</v>
          </cell>
          <cell r="AL144">
            <v>1489.5910533277777</v>
          </cell>
          <cell r="AO144">
            <v>1489.5910533277777</v>
          </cell>
        </row>
        <row r="145">
          <cell r="A145" t="str">
            <v>Véhicules usagésFournitures autres</v>
          </cell>
          <cell r="B145" t="str">
            <v>Fournitures autres</v>
          </cell>
          <cell r="E145">
            <v>1500</v>
          </cell>
          <cell r="H145">
            <v>125</v>
          </cell>
          <cell r="K145">
            <v>125</v>
          </cell>
          <cell r="N145">
            <v>125</v>
          </cell>
          <cell r="Q145">
            <v>125</v>
          </cell>
          <cell r="T145">
            <v>125</v>
          </cell>
          <cell r="W145">
            <v>125</v>
          </cell>
          <cell r="Z145">
            <v>125</v>
          </cell>
          <cell r="AC145">
            <v>125</v>
          </cell>
          <cell r="AF145">
            <v>125</v>
          </cell>
          <cell r="AI145">
            <v>125</v>
          </cell>
          <cell r="AL145">
            <v>125</v>
          </cell>
          <cell r="AO145">
            <v>125</v>
          </cell>
        </row>
        <row r="146">
          <cell r="A146" t="str">
            <v>Véhicules usagésUniformes</v>
          </cell>
          <cell r="B146" t="str">
            <v>Uniformes</v>
          </cell>
          <cell r="E146">
            <v>1000.0000000000001</v>
          </cell>
          <cell r="H146">
            <v>83.333333333333329</v>
          </cell>
          <cell r="K146">
            <v>83.333333333333329</v>
          </cell>
          <cell r="N146">
            <v>83.333333333333329</v>
          </cell>
          <cell r="Q146">
            <v>83.333333333333329</v>
          </cell>
          <cell r="T146">
            <v>83.333333333333329</v>
          </cell>
          <cell r="W146">
            <v>83.333333333333329</v>
          </cell>
          <cell r="Z146">
            <v>83.333333333333329</v>
          </cell>
          <cell r="AC146">
            <v>83.333333333333329</v>
          </cell>
          <cell r="AF146">
            <v>83.333333333333329</v>
          </cell>
          <cell r="AI146">
            <v>83.333333333333329</v>
          </cell>
          <cell r="AL146">
            <v>83.333333333333329</v>
          </cell>
          <cell r="AO146">
            <v>83.333333333333329</v>
          </cell>
        </row>
        <row r="147">
          <cell r="A147" t="str">
            <v>Véhicules usagésPapeterie</v>
          </cell>
          <cell r="B147" t="str">
            <v>Papeterie</v>
          </cell>
          <cell r="E147">
            <v>3681.4110838559995</v>
          </cell>
          <cell r="H147">
            <v>306.78425698799998</v>
          </cell>
          <cell r="K147">
            <v>306.78425698799998</v>
          </cell>
          <cell r="N147">
            <v>306.78425698799998</v>
          </cell>
          <cell r="Q147">
            <v>306.78425698799998</v>
          </cell>
          <cell r="T147">
            <v>306.78425698799998</v>
          </cell>
          <cell r="W147">
            <v>306.78425698799998</v>
          </cell>
          <cell r="Z147">
            <v>306.78425698799998</v>
          </cell>
          <cell r="AC147">
            <v>306.78425698799998</v>
          </cell>
          <cell r="AF147">
            <v>306.78425698799998</v>
          </cell>
          <cell r="AI147">
            <v>306.78425698799998</v>
          </cell>
          <cell r="AL147">
            <v>306.78425698799998</v>
          </cell>
          <cell r="AO147">
            <v>306.78425698799998</v>
          </cell>
        </row>
        <row r="148">
          <cell r="A148" t="str">
            <v>Véhicules usagésTéléphone</v>
          </cell>
          <cell r="B148" t="str">
            <v>Téléphone</v>
          </cell>
          <cell r="E148">
            <v>1013.8395827379996</v>
          </cell>
          <cell r="H148">
            <v>84.486631894833309</v>
          </cell>
          <cell r="K148">
            <v>84.486631894833309</v>
          </cell>
          <cell r="N148">
            <v>84.486631894833309</v>
          </cell>
          <cell r="Q148">
            <v>84.486631894833309</v>
          </cell>
          <cell r="T148">
            <v>84.486631894833309</v>
          </cell>
          <cell r="W148">
            <v>84.486631894833309</v>
          </cell>
          <cell r="Z148">
            <v>84.486631894833309</v>
          </cell>
          <cell r="AC148">
            <v>84.486631894833309</v>
          </cell>
          <cell r="AF148">
            <v>84.486631894833309</v>
          </cell>
          <cell r="AI148">
            <v>84.486631894833309</v>
          </cell>
          <cell r="AL148">
            <v>84.486631894833309</v>
          </cell>
          <cell r="AO148">
            <v>84.486631894833309</v>
          </cell>
        </row>
        <row r="149">
          <cell r="A149" t="str">
            <v>Véhicules usagésFrais postaux</v>
          </cell>
          <cell r="B149" t="str">
            <v>Frais postaux</v>
          </cell>
          <cell r="E149">
            <v>723.920969582</v>
          </cell>
          <cell r="H149">
            <v>60.326747465166655</v>
          </cell>
          <cell r="K149">
            <v>60.326747465166655</v>
          </cell>
          <cell r="N149">
            <v>60.326747465166655</v>
          </cell>
          <cell r="Q149">
            <v>60.326747465166655</v>
          </cell>
          <cell r="T149">
            <v>60.326747465166655</v>
          </cell>
          <cell r="W149">
            <v>60.326747465166655</v>
          </cell>
          <cell r="Z149">
            <v>60.326747465166655</v>
          </cell>
          <cell r="AC149">
            <v>60.326747465166655</v>
          </cell>
          <cell r="AF149">
            <v>60.326747465166655</v>
          </cell>
          <cell r="AI149">
            <v>60.326747465166655</v>
          </cell>
          <cell r="AL149">
            <v>60.326747465166655</v>
          </cell>
          <cell r="AO149">
            <v>60.326747465166655</v>
          </cell>
        </row>
        <row r="150">
          <cell r="A150" t="str">
            <v>Véhicules usagésDivers</v>
          </cell>
          <cell r="B150" t="str">
            <v>Divers</v>
          </cell>
          <cell r="E150">
            <v>2397.3606154580002</v>
          </cell>
          <cell r="H150">
            <v>199.78005128816665</v>
          </cell>
          <cell r="K150">
            <v>199.78005128816665</v>
          </cell>
          <cell r="N150">
            <v>199.78005128816665</v>
          </cell>
          <cell r="Q150">
            <v>199.78005128816665</v>
          </cell>
          <cell r="T150">
            <v>199.78005128816665</v>
          </cell>
          <cell r="W150">
            <v>199.78005128816665</v>
          </cell>
          <cell r="Z150">
            <v>199.78005128816665</v>
          </cell>
          <cell r="AC150">
            <v>199.78005128816665</v>
          </cell>
          <cell r="AF150">
            <v>199.78005128816665</v>
          </cell>
          <cell r="AI150">
            <v>199.78005128816665</v>
          </cell>
          <cell r="AL150">
            <v>199.78005128816665</v>
          </cell>
          <cell r="AO150">
            <v>199.78005128816665</v>
          </cell>
        </row>
        <row r="151">
          <cell r="A151" t="str">
            <v>Véhicules usagésFormation</v>
          </cell>
          <cell r="B151" t="str">
            <v>Formation</v>
          </cell>
          <cell r="E151">
            <v>6026.78723636417</v>
          </cell>
          <cell r="H151">
            <v>502.23226969701432</v>
          </cell>
          <cell r="K151">
            <v>502.23226969701432</v>
          </cell>
          <cell r="N151">
            <v>502.23226969701432</v>
          </cell>
          <cell r="Q151">
            <v>502.23226969701432</v>
          </cell>
          <cell r="T151">
            <v>502.23226969701432</v>
          </cell>
          <cell r="W151">
            <v>502.23226969701432</v>
          </cell>
          <cell r="Z151">
            <v>502.23226969701432</v>
          </cell>
          <cell r="AC151">
            <v>502.23226969701432</v>
          </cell>
          <cell r="AF151">
            <v>502.23226969701432</v>
          </cell>
          <cell r="AI151">
            <v>502.23226969701432</v>
          </cell>
          <cell r="AL151">
            <v>502.23226969701432</v>
          </cell>
          <cell r="AO151">
            <v>502.23226969701432</v>
          </cell>
        </row>
        <row r="152">
          <cell r="A152" t="str">
            <v>Véhicules usagésFrais bancaires</v>
          </cell>
          <cell r="B152" t="str">
            <v>Frais bancaires</v>
          </cell>
          <cell r="E152">
            <v>9386.0948526995053</v>
          </cell>
          <cell r="H152">
            <v>782.17457105829214</v>
          </cell>
          <cell r="K152">
            <v>782.17457105829214</v>
          </cell>
          <cell r="N152">
            <v>782.17457105829214</v>
          </cell>
          <cell r="Q152">
            <v>782.17457105829214</v>
          </cell>
          <cell r="T152">
            <v>782.17457105829214</v>
          </cell>
          <cell r="W152">
            <v>782.17457105829214</v>
          </cell>
          <cell r="Z152">
            <v>782.17457105829214</v>
          </cell>
          <cell r="AC152">
            <v>782.17457105829214</v>
          </cell>
          <cell r="AF152">
            <v>782.17457105829214</v>
          </cell>
          <cell r="AI152">
            <v>782.17457105829214</v>
          </cell>
          <cell r="AL152">
            <v>782.17457105829214</v>
          </cell>
          <cell r="AO152">
            <v>782.17457105829214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usagés[...]</v>
          </cell>
          <cell r="B155" t="str">
            <v>[...]</v>
          </cell>
          <cell r="E155">
            <v>0</v>
          </cell>
        </row>
        <row r="156">
          <cell r="A156" t="str">
            <v>Véhicules usagésTOTAL SEMI-FIXES</v>
          </cell>
          <cell r="B156" t="str">
            <v>TOTAL SEMI-FIXES</v>
          </cell>
          <cell r="C156" t="str">
            <v>% brut</v>
          </cell>
          <cell r="D156">
            <v>6.5578765125905422E-2</v>
          </cell>
          <cell r="E156">
            <v>122882.31638536218</v>
          </cell>
          <cell r="F156" t="str">
            <v>% brut</v>
          </cell>
          <cell r="G156">
            <v>9.5530604967064156E-2</v>
          </cell>
          <cell r="H156">
            <v>10240.193032113515</v>
          </cell>
          <cell r="I156" t="str">
            <v>% brut</v>
          </cell>
          <cell r="J156">
            <v>9.2459401084874285E-2</v>
          </cell>
          <cell r="K156">
            <v>10240.193032113515</v>
          </cell>
          <cell r="L156" t="str">
            <v>% brut</v>
          </cell>
          <cell r="M156">
            <v>6.1466261013679073E-2</v>
          </cell>
          <cell r="N156">
            <v>10240.193032113515</v>
          </cell>
          <cell r="O156" t="str">
            <v>% brut</v>
          </cell>
          <cell r="P156">
            <v>5.4973346117867902E-2</v>
          </cell>
          <cell r="Q156">
            <v>10240.193032113515</v>
          </cell>
          <cell r="R156" t="str">
            <v>% brut</v>
          </cell>
          <cell r="S156">
            <v>5.3995559329210192E-2</v>
          </cell>
          <cell r="T156">
            <v>10240.193032113515</v>
          </cell>
          <cell r="U156" t="str">
            <v>% brut</v>
          </cell>
          <cell r="V156">
            <v>5.971967873350896E-2</v>
          </cell>
          <cell r="W156">
            <v>10240.193032113515</v>
          </cell>
          <cell r="X156" t="str">
            <v>% brut</v>
          </cell>
          <cell r="Y156">
            <v>6.4135570470845893E-2</v>
          </cell>
          <cell r="Z156">
            <v>10240.193032113515</v>
          </cell>
          <cell r="AA156" t="str">
            <v>% brut</v>
          </cell>
          <cell r="AB156">
            <v>6.018007273255583E-2</v>
          </cell>
          <cell r="AC156">
            <v>10240.193032113515</v>
          </cell>
          <cell r="AD156" t="str">
            <v>% brut</v>
          </cell>
          <cell r="AE156">
            <v>6.0918066935519176E-2</v>
          </cell>
          <cell r="AF156">
            <v>10240.193032113515</v>
          </cell>
          <cell r="AG156" t="str">
            <v>% brut</v>
          </cell>
          <cell r="AH156">
            <v>6.1674386050971447E-2</v>
          </cell>
          <cell r="AI156">
            <v>10240.193032113515</v>
          </cell>
          <cell r="AJ156" t="str">
            <v>% brut</v>
          </cell>
          <cell r="AK156">
            <v>6.3318083477590603E-2</v>
          </cell>
          <cell r="AL156">
            <v>10240.193032113515</v>
          </cell>
          <cell r="AM156" t="str">
            <v>% brut</v>
          </cell>
          <cell r="AN156">
            <v>8.8134687163162417E-2</v>
          </cell>
          <cell r="AO156">
            <v>10240.193032113515</v>
          </cell>
        </row>
        <row r="157">
          <cell r="A157" t="str">
            <v>Véhicules usagés</v>
          </cell>
        </row>
        <row r="158">
          <cell r="A158" t="str">
            <v>Véhicules usagésTOTAL DES DÉPENSES</v>
          </cell>
          <cell r="B158" t="str">
            <v>TOTAL DES DÉPENSES</v>
          </cell>
          <cell r="C158" t="str">
            <v>% brut</v>
          </cell>
          <cell r="D158">
            <v>0.83102819797629368</v>
          </cell>
          <cell r="E158">
            <v>1557191.1083232737</v>
          </cell>
          <cell r="F158" t="str">
            <v>% brut</v>
          </cell>
          <cell r="G158">
            <v>1.0216167754285854</v>
          </cell>
          <cell r="H158">
            <v>109509.96268516128</v>
          </cell>
          <cell r="I158" t="str">
            <v>% brut</v>
          </cell>
          <cell r="J158">
            <v>1.0133644512974569</v>
          </cell>
          <cell r="K158">
            <v>112233.55842032775</v>
          </cell>
          <cell r="L158" t="str">
            <v>% brut</v>
          </cell>
          <cell r="M158">
            <v>0.82318581806009516</v>
          </cell>
          <cell r="N158">
            <v>137141.60482866658</v>
          </cell>
          <cell r="O158" t="str">
            <v>% brut</v>
          </cell>
          <cell r="P158">
            <v>0.76779537161483125</v>
          </cell>
          <cell r="Q158">
            <v>143021.54352477565</v>
          </cell>
          <cell r="R158" t="str">
            <v>% brut</v>
          </cell>
          <cell r="S158">
            <v>0.781044446489357</v>
          </cell>
          <cell r="T158">
            <v>148124.14202337075</v>
          </cell>
          <cell r="U158" t="str">
            <v>% brut</v>
          </cell>
          <cell r="V158">
            <v>0.77611863395212255</v>
          </cell>
          <cell r="W158">
            <v>133081.83828240441</v>
          </cell>
          <cell r="X158" t="str">
            <v>% brut</v>
          </cell>
          <cell r="Y158">
            <v>0.80392496825996917</v>
          </cell>
          <cell r="Z158">
            <v>128358.51927223432</v>
          </cell>
          <cell r="AA158" t="str">
            <v>% brut</v>
          </cell>
          <cell r="AB158">
            <v>0.81323890942925214</v>
          </cell>
          <cell r="AC158">
            <v>138380.08223735401</v>
          </cell>
          <cell r="AD158" t="str">
            <v>% brut</v>
          </cell>
          <cell r="AE158">
            <v>0.78225945921159179</v>
          </cell>
          <cell r="AF158">
            <v>131496.09412265831</v>
          </cell>
          <cell r="AG158" t="str">
            <v>% brut</v>
          </cell>
          <cell r="AH158">
            <v>0.79428971482875077</v>
          </cell>
          <cell r="AI158">
            <v>131881.0048071924</v>
          </cell>
          <cell r="AJ158" t="str">
            <v>% brut</v>
          </cell>
          <cell r="AK158">
            <v>0.82780205672224871</v>
          </cell>
          <cell r="AL158">
            <v>133877.28098587377</v>
          </cell>
          <cell r="AM158" t="str">
            <v>% brut</v>
          </cell>
          <cell r="AN158">
            <v>0.94747716746354782</v>
          </cell>
          <cell r="AO158">
            <v>110085.4771332547</v>
          </cell>
        </row>
        <row r="159">
          <cell r="A159" t="str">
            <v>Véhicules usagésProgramme used 1</v>
          </cell>
          <cell r="B159" t="str">
            <v>Programme used 1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2</v>
          </cell>
          <cell r="B160" t="str">
            <v>Programme used 2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usagésProgramme used 3</v>
          </cell>
          <cell r="B161" t="str">
            <v>Programme used 3</v>
          </cell>
          <cell r="E161">
            <v>0</v>
          </cell>
          <cell r="H161">
            <v>0</v>
          </cell>
          <cell r="K161">
            <v>0</v>
          </cell>
          <cell r="N161">
            <v>0</v>
          </cell>
          <cell r="Q161">
            <v>0</v>
          </cell>
          <cell r="T161">
            <v>0</v>
          </cell>
          <cell r="W161">
            <v>0</v>
          </cell>
          <cell r="Z161">
            <v>0</v>
          </cell>
          <cell r="AC161">
            <v>0</v>
          </cell>
          <cell r="AF161">
            <v>0</v>
          </cell>
          <cell r="AI161">
            <v>0</v>
          </cell>
          <cell r="AL161">
            <v>0</v>
          </cell>
          <cell r="AO161">
            <v>0</v>
          </cell>
        </row>
        <row r="162">
          <cell r="A162" t="str">
            <v>Véhicules usagés[...]</v>
          </cell>
          <cell r="B162" t="str">
            <v>[...]</v>
          </cell>
          <cell r="E162">
            <v>0</v>
          </cell>
          <cell r="H162">
            <v>0</v>
          </cell>
          <cell r="K162">
            <v>0</v>
          </cell>
          <cell r="N162">
            <v>0</v>
          </cell>
          <cell r="Q162">
            <v>0</v>
          </cell>
          <cell r="T162">
            <v>0</v>
          </cell>
          <cell r="W162">
            <v>0</v>
          </cell>
          <cell r="Z162">
            <v>0</v>
          </cell>
          <cell r="AC162">
            <v>0</v>
          </cell>
          <cell r="AF162">
            <v>0</v>
          </cell>
          <cell r="AI162">
            <v>0</v>
          </cell>
          <cell r="AL162">
            <v>0</v>
          </cell>
          <cell r="AO162">
            <v>0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  <cell r="H163">
            <v>0</v>
          </cell>
          <cell r="K163">
            <v>0</v>
          </cell>
          <cell r="N163">
            <v>0</v>
          </cell>
          <cell r="Q163">
            <v>0</v>
          </cell>
          <cell r="T163">
            <v>0</v>
          </cell>
          <cell r="W163">
            <v>0</v>
          </cell>
          <cell r="Z163">
            <v>0</v>
          </cell>
          <cell r="AC163">
            <v>0</v>
          </cell>
          <cell r="AF163">
            <v>0</v>
          </cell>
          <cell r="AI163">
            <v>0</v>
          </cell>
          <cell r="AL163">
            <v>0</v>
          </cell>
          <cell r="AO163">
            <v>0</v>
          </cell>
        </row>
        <row r="164">
          <cell r="A164" t="str">
            <v>Véhicules usagés[...]</v>
          </cell>
          <cell r="B164" t="str">
            <v>[...]</v>
          </cell>
          <cell r="E164">
            <v>0</v>
          </cell>
          <cell r="H164">
            <v>0</v>
          </cell>
          <cell r="K164">
            <v>0</v>
          </cell>
          <cell r="N164">
            <v>0</v>
          </cell>
          <cell r="Q164">
            <v>0</v>
          </cell>
          <cell r="T164">
            <v>0</v>
          </cell>
          <cell r="W164">
            <v>0</v>
          </cell>
          <cell r="Z164">
            <v>0</v>
          </cell>
          <cell r="AC164">
            <v>0</v>
          </cell>
          <cell r="AF164">
            <v>0</v>
          </cell>
          <cell r="AI164">
            <v>0</v>
          </cell>
          <cell r="AL164">
            <v>0</v>
          </cell>
          <cell r="AO164">
            <v>0</v>
          </cell>
        </row>
        <row r="165">
          <cell r="A165" t="str">
            <v>Véhicules usagésFrais administration</v>
          </cell>
          <cell r="B165" t="str">
            <v>Frais administration</v>
          </cell>
          <cell r="E165">
            <v>201451.10287500001</v>
          </cell>
          <cell r="H165">
            <v>11524.155500000001</v>
          </cell>
          <cell r="K165">
            <v>11906.950874999999</v>
          </cell>
          <cell r="N165">
            <v>17910.794125</v>
          </cell>
          <cell r="Q165">
            <v>20026.242249999996</v>
          </cell>
          <cell r="T165">
            <v>20388.890499999994</v>
          </cell>
          <cell r="W165">
            <v>18434.619375000002</v>
          </cell>
          <cell r="Z165">
            <v>17165.3505</v>
          </cell>
          <cell r="AC165">
            <v>18293.589499999998</v>
          </cell>
          <cell r="AF165">
            <v>18071.971125</v>
          </cell>
          <cell r="AI165">
            <v>17850.352750000002</v>
          </cell>
          <cell r="AL165">
            <v>17386.968875000006</v>
          </cell>
          <cell r="AO165">
            <v>12491.217500000001</v>
          </cell>
        </row>
        <row r="166">
          <cell r="A166" t="str">
            <v>Véhicules usagésAUTRES REVENUS</v>
          </cell>
          <cell r="B166" t="str">
            <v>AUTRES REVENUS</v>
          </cell>
          <cell r="E166">
            <v>201451.10287500001</v>
          </cell>
          <cell r="H166">
            <v>11524.155500000001</v>
          </cell>
          <cell r="K166">
            <v>11906.950874999999</v>
          </cell>
          <cell r="N166">
            <v>17910.794125</v>
          </cell>
          <cell r="Q166">
            <v>20026.242249999996</v>
          </cell>
          <cell r="T166">
            <v>20388.890499999994</v>
          </cell>
          <cell r="W166">
            <v>18434.619375000002</v>
          </cell>
          <cell r="Z166">
            <v>17165.3505</v>
          </cell>
          <cell r="AC166">
            <v>18293.589499999998</v>
          </cell>
          <cell r="AF166">
            <v>18071.971125</v>
          </cell>
          <cell r="AI166">
            <v>17850.352750000002</v>
          </cell>
          <cell r="AL166">
            <v>17386.968875000006</v>
          </cell>
          <cell r="AO166">
            <v>12491.217500000001</v>
          </cell>
        </row>
        <row r="167">
          <cell r="A167" t="str">
            <v>Véhicules usagés</v>
          </cell>
        </row>
        <row r="168">
          <cell r="A168" t="str">
            <v>Véhicules usagésPROFIT DÉPARTEMENTAL</v>
          </cell>
          <cell r="B168" t="str">
            <v>PROFIT DÉPARTEMENTAL</v>
          </cell>
          <cell r="E168">
            <v>518072.59455172636</v>
          </cell>
          <cell r="H168">
            <v>9206.9928148387189</v>
          </cell>
          <cell r="K168">
            <v>10426.792454672239</v>
          </cell>
          <cell r="N168">
            <v>47367.789296333431</v>
          </cell>
          <cell r="Q168">
            <v>63280.298725224347</v>
          </cell>
          <cell r="T168">
            <v>61913.548476629207</v>
          </cell>
          <cell r="W168">
            <v>56823.781092595593</v>
          </cell>
          <cell r="Z168">
            <v>48471.631227765669</v>
          </cell>
          <cell r="AC168">
            <v>50072.707262645999</v>
          </cell>
          <cell r="AF168">
            <v>54673.677002341676</v>
          </cell>
          <cell r="AI168">
            <v>52005.747942807604</v>
          </cell>
          <cell r="AL168">
            <v>45235.887889126272</v>
          </cell>
          <cell r="AO168">
            <v>18593.740366745304</v>
          </cell>
        </row>
        <row r="171">
          <cell r="B171" t="str">
            <v>Budget 2024</v>
          </cell>
          <cell r="C171" t="str">
            <v>Service</v>
          </cell>
        </row>
        <row r="173">
          <cell r="B173" t="str">
            <v>Mois</v>
          </cell>
          <cell r="C173">
            <v>2024</v>
          </cell>
          <cell r="F173" t="str">
            <v>Janvier</v>
          </cell>
          <cell r="I173" t="str">
            <v>Février</v>
          </cell>
          <cell r="L173" t="str">
            <v>Mars</v>
          </cell>
          <cell r="O173" t="str">
            <v>Avril</v>
          </cell>
          <cell r="R173" t="str">
            <v>Mai</v>
          </cell>
          <cell r="U173" t="str">
            <v>Juin</v>
          </cell>
          <cell r="X173" t="str">
            <v>Juillet</v>
          </cell>
          <cell r="AA173" t="str">
            <v>Août</v>
          </cell>
          <cell r="AD173" t="str">
            <v>Septembre</v>
          </cell>
          <cell r="AG173" t="str">
            <v>Octobre</v>
          </cell>
          <cell r="AJ173" t="str">
            <v>Novembre</v>
          </cell>
          <cell r="AM173" t="str">
            <v>Décembre</v>
          </cell>
        </row>
        <row r="174">
          <cell r="A174" t="str">
            <v>Service</v>
          </cell>
          <cell r="C174" t="str">
            <v>#</v>
          </cell>
          <cell r="D174" t="str">
            <v>$VENTES</v>
          </cell>
          <cell r="E174" t="str">
            <v>$PROFITS</v>
          </cell>
          <cell r="F174" t="str">
            <v>#</v>
          </cell>
          <cell r="G174" t="str">
            <v>$VENTES</v>
          </cell>
          <cell r="H174" t="str">
            <v>$PROFITS</v>
          </cell>
          <cell r="I174" t="str">
            <v>#</v>
          </cell>
          <cell r="J174" t="str">
            <v>$VENTES</v>
          </cell>
          <cell r="K174" t="str">
            <v>$PROFITS</v>
          </cell>
          <cell r="L174" t="str">
            <v>#</v>
          </cell>
          <cell r="M174" t="str">
            <v>$VENTES</v>
          </cell>
          <cell r="N174" t="str">
            <v>$PROFITS</v>
          </cell>
          <cell r="O174" t="str">
            <v>#</v>
          </cell>
          <cell r="P174" t="str">
            <v>$VENTES</v>
          </cell>
          <cell r="Q174" t="str">
            <v>$PROFITS</v>
          </cell>
          <cell r="R174" t="str">
            <v>#</v>
          </cell>
          <cell r="S174" t="str">
            <v>$VENTES</v>
          </cell>
          <cell r="T174" t="str">
            <v>$PROFITS</v>
          </cell>
          <cell r="U174" t="str">
            <v>#</v>
          </cell>
          <cell r="V174" t="str">
            <v>$VENTES</v>
          </cell>
          <cell r="W174" t="str">
            <v>$PROFITS</v>
          </cell>
          <cell r="X174" t="str">
            <v>#</v>
          </cell>
          <cell r="Y174" t="str">
            <v>$VENTES</v>
          </cell>
          <cell r="Z174" t="str">
            <v>$PROFITS</v>
          </cell>
          <cell r="AA174" t="str">
            <v>#</v>
          </cell>
          <cell r="AB174" t="str">
            <v>$VENTES</v>
          </cell>
          <cell r="AC174" t="str">
            <v>$PROFITS</v>
          </cell>
          <cell r="AD174" t="str">
            <v>#</v>
          </cell>
          <cell r="AE174" t="str">
            <v>$VENTES</v>
          </cell>
          <cell r="AF174" t="str">
            <v>$PROFITS</v>
          </cell>
          <cell r="AG174" t="str">
            <v>#</v>
          </cell>
          <cell r="AH174" t="str">
            <v>$VENTES</v>
          </cell>
          <cell r="AI174" t="str">
            <v>$PROFITS</v>
          </cell>
          <cell r="AJ174" t="str">
            <v>#</v>
          </cell>
          <cell r="AK174" t="str">
            <v>$VENTES</v>
          </cell>
          <cell r="AL174" t="str">
            <v>$PROFITS</v>
          </cell>
          <cell r="AM174" t="str">
            <v>#</v>
          </cell>
          <cell r="AN174" t="str">
            <v>$VENTES</v>
          </cell>
          <cell r="AO174" t="str">
            <v>$PROFITS</v>
          </cell>
        </row>
        <row r="175">
          <cell r="A175" t="str">
            <v>ServiceM/O Client</v>
          </cell>
          <cell r="B175" t="str">
            <v>M/O Client</v>
          </cell>
          <cell r="C175">
            <v>6293.9415928456292</v>
          </cell>
          <cell r="D175">
            <v>2077000.7256390578</v>
          </cell>
          <cell r="E175">
            <v>1578520.5514856838</v>
          </cell>
          <cell r="F175">
            <v>294.81793519148601</v>
          </cell>
          <cell r="G175">
            <v>97289.918613190384</v>
          </cell>
          <cell r="H175">
            <v>73940.338146024689</v>
          </cell>
          <cell r="I175">
            <v>297.2981282462469</v>
          </cell>
          <cell r="J175">
            <v>98108.382321261466</v>
          </cell>
          <cell r="K175">
            <v>74562.370564158715</v>
          </cell>
          <cell r="L175">
            <v>420.21079482837303</v>
          </cell>
          <cell r="M175">
            <v>138669.56229336309</v>
          </cell>
          <cell r="N175">
            <v>105388.86734295596</v>
          </cell>
          <cell r="O175">
            <v>779.19719999999995</v>
          </cell>
          <cell r="P175">
            <v>257135.07599999997</v>
          </cell>
          <cell r="Q175">
            <v>195422.65775999997</v>
          </cell>
          <cell r="R175">
            <v>842.13720000000001</v>
          </cell>
          <cell r="S175">
            <v>277905.27600000001</v>
          </cell>
          <cell r="T175">
            <v>211208.00976000002</v>
          </cell>
          <cell r="U175">
            <v>437.98206262740655</v>
          </cell>
          <cell r="V175">
            <v>144534.08066704418</v>
          </cell>
          <cell r="W175">
            <v>109845.90130695357</v>
          </cell>
          <cell r="X175">
            <v>463.23840000000001</v>
          </cell>
          <cell r="Y175">
            <v>152868.67199999999</v>
          </cell>
          <cell r="Z175">
            <v>116180.19072</v>
          </cell>
          <cell r="AA175">
            <v>396.08321081737733</v>
          </cell>
          <cell r="AB175">
            <v>130707.45956973452</v>
          </cell>
          <cell r="AC175">
            <v>99337.669272998231</v>
          </cell>
          <cell r="AD175">
            <v>330.91274867466632</v>
          </cell>
          <cell r="AE175">
            <v>109201.20706263988</v>
          </cell>
          <cell r="AF175">
            <v>82992.917367606307</v>
          </cell>
          <cell r="AG175">
            <v>720.66300000000001</v>
          </cell>
          <cell r="AH175">
            <v>237818.79</v>
          </cell>
          <cell r="AI175">
            <v>180742.28040000002</v>
          </cell>
          <cell r="AJ175">
            <v>905.70659999999998</v>
          </cell>
          <cell r="AK175">
            <v>298883.17800000001</v>
          </cell>
          <cell r="AL175">
            <v>227151.21528</v>
          </cell>
          <cell r="AM175">
            <v>405.69431246007315</v>
          </cell>
          <cell r="AN175">
            <v>133879.12311182416</v>
          </cell>
          <cell r="AO175">
            <v>101748.13356498636</v>
          </cell>
        </row>
        <row r="176">
          <cell r="A176" t="str">
            <v>Service% profit / ventes</v>
          </cell>
          <cell r="B176" t="str">
            <v>% profit / ventes</v>
          </cell>
          <cell r="E176">
            <v>0.7599999999999999</v>
          </cell>
          <cell r="H176">
            <v>0.76</v>
          </cell>
          <cell r="K176">
            <v>0.76</v>
          </cell>
          <cell r="N176">
            <v>0.76</v>
          </cell>
          <cell r="Q176">
            <v>0.76</v>
          </cell>
          <cell r="T176">
            <v>0.76</v>
          </cell>
          <cell r="W176">
            <v>0.76</v>
          </cell>
          <cell r="Z176">
            <v>0.76</v>
          </cell>
          <cell r="AC176">
            <v>0.76</v>
          </cell>
          <cell r="AF176">
            <v>0.76</v>
          </cell>
          <cell r="AI176">
            <v>0.76</v>
          </cell>
          <cell r="AL176">
            <v>0.76</v>
          </cell>
          <cell r="AO176">
            <v>0.76</v>
          </cell>
        </row>
        <row r="177">
          <cell r="A177" t="str">
            <v>Service</v>
          </cell>
          <cell r="D177">
            <v>330</v>
          </cell>
          <cell r="G177">
            <v>330</v>
          </cell>
          <cell r="J177">
            <v>329.99999999999994</v>
          </cell>
          <cell r="M177">
            <v>330</v>
          </cell>
          <cell r="P177">
            <v>330</v>
          </cell>
          <cell r="S177">
            <v>330</v>
          </cell>
          <cell r="V177">
            <v>330.00000000000006</v>
          </cell>
          <cell r="Y177">
            <v>330</v>
          </cell>
          <cell r="AB177">
            <v>330</v>
          </cell>
          <cell r="AE177">
            <v>330</v>
          </cell>
          <cell r="AH177">
            <v>330</v>
          </cell>
          <cell r="AK177">
            <v>330</v>
          </cell>
          <cell r="AN177">
            <v>330.00000000000006</v>
          </cell>
        </row>
        <row r="178">
          <cell r="A178" t="str">
            <v>ServiceM/O Garantie</v>
          </cell>
          <cell r="B178" t="str">
            <v>M/O Garantie</v>
          </cell>
          <cell r="C178">
            <v>1332.9876300068672</v>
          </cell>
          <cell r="D178">
            <v>359906.66010185424</v>
          </cell>
          <cell r="E178">
            <v>230340.26246518671</v>
          </cell>
          <cell r="F178">
            <v>62.439197268867318</v>
          </cell>
          <cell r="G178">
            <v>16858.583262594177</v>
          </cell>
          <cell r="H178">
            <v>10789.493288060274</v>
          </cell>
          <cell r="I178">
            <v>62.964474889139993</v>
          </cell>
          <cell r="J178">
            <v>17000.408220067799</v>
          </cell>
          <cell r="K178">
            <v>10880.261260843392</v>
          </cell>
          <cell r="L178">
            <v>88.996026295872454</v>
          </cell>
          <cell r="M178">
            <v>24028.927099885565</v>
          </cell>
          <cell r="N178">
            <v>15378.513343926761</v>
          </cell>
          <cell r="O178">
            <v>165.02539999999999</v>
          </cell>
          <cell r="P178">
            <v>44556.858</v>
          </cell>
          <cell r="Q178">
            <v>28516.38912</v>
          </cell>
          <cell r="R178">
            <v>178.3554</v>
          </cell>
          <cell r="S178">
            <v>48155.957999999999</v>
          </cell>
          <cell r="T178">
            <v>30819.813119999999</v>
          </cell>
          <cell r="U178">
            <v>92.759785427761827</v>
          </cell>
          <cell r="V178">
            <v>25045.142065495693</v>
          </cell>
          <cell r="W178">
            <v>16028.890921917244</v>
          </cell>
          <cell r="X178">
            <v>98.108800000000002</v>
          </cell>
          <cell r="Y178">
            <v>26489.376</v>
          </cell>
          <cell r="Z178">
            <v>16953.200639999999</v>
          </cell>
          <cell r="AA178">
            <v>83.886069275431197</v>
          </cell>
          <cell r="AB178">
            <v>22649.238704366424</v>
          </cell>
          <cell r="AC178">
            <v>14495.512770794512</v>
          </cell>
          <cell r="AD178">
            <v>70.083681916639691</v>
          </cell>
          <cell r="AE178">
            <v>18922.594117492714</v>
          </cell>
          <cell r="AF178">
            <v>12110.460235195336</v>
          </cell>
          <cell r="AG178">
            <v>152.6285</v>
          </cell>
          <cell r="AH178">
            <v>41209.695</v>
          </cell>
          <cell r="AI178">
            <v>26374.2048</v>
          </cell>
          <cell r="AJ178">
            <v>191.81870000000001</v>
          </cell>
          <cell r="AK178">
            <v>51791.048999999999</v>
          </cell>
          <cell r="AL178">
            <v>33146.271359999999</v>
          </cell>
          <cell r="AM178">
            <v>85.921594933154992</v>
          </cell>
          <cell r="AN178">
            <v>23198.830631951849</v>
          </cell>
          <cell r="AO178">
            <v>14847.251604449184</v>
          </cell>
        </row>
        <row r="179">
          <cell r="A179" t="str">
            <v>Service% profit / ventes</v>
          </cell>
          <cell r="B179" t="str">
            <v>% profit / ventes</v>
          </cell>
          <cell r="E179">
            <v>0.64</v>
          </cell>
          <cell r="H179">
            <v>0.64</v>
          </cell>
          <cell r="K179">
            <v>0.64</v>
          </cell>
          <cell r="N179">
            <v>0.64</v>
          </cell>
          <cell r="Q179">
            <v>0.64</v>
          </cell>
          <cell r="T179">
            <v>0.64</v>
          </cell>
          <cell r="W179">
            <v>0.64</v>
          </cell>
          <cell r="Z179">
            <v>0.64</v>
          </cell>
          <cell r="AC179">
            <v>0.64</v>
          </cell>
          <cell r="AF179">
            <v>0.64</v>
          </cell>
          <cell r="AI179">
            <v>0.64</v>
          </cell>
          <cell r="AL179">
            <v>0.64</v>
          </cell>
          <cell r="AO179">
            <v>0.64</v>
          </cell>
        </row>
        <row r="180">
          <cell r="A180" t="str">
            <v>Service</v>
          </cell>
          <cell r="D180">
            <v>270.00000000000006</v>
          </cell>
          <cell r="G180">
            <v>270</v>
          </cell>
          <cell r="J180">
            <v>270</v>
          </cell>
          <cell r="M180">
            <v>270</v>
          </cell>
          <cell r="P180">
            <v>270</v>
          </cell>
          <cell r="S180">
            <v>270</v>
          </cell>
          <cell r="V180">
            <v>270</v>
          </cell>
          <cell r="Y180">
            <v>270</v>
          </cell>
          <cell r="AB180">
            <v>270</v>
          </cell>
          <cell r="AE180">
            <v>269.99999999999994</v>
          </cell>
          <cell r="AH180">
            <v>270</v>
          </cell>
          <cell r="AK180">
            <v>270</v>
          </cell>
          <cell r="AN180">
            <v>270</v>
          </cell>
        </row>
        <row r="181">
          <cell r="A181" t="str">
            <v>ServiceM/O Interne</v>
          </cell>
          <cell r="B181" t="str">
            <v>M/O Interne</v>
          </cell>
          <cell r="C181">
            <v>2611.875</v>
          </cell>
          <cell r="D181">
            <v>767891.25</v>
          </cell>
          <cell r="E181">
            <v>568239.52499999991</v>
          </cell>
          <cell r="F181">
            <v>131.25</v>
          </cell>
          <cell r="G181">
            <v>38587.5</v>
          </cell>
          <cell r="H181">
            <v>28554.75</v>
          </cell>
          <cell r="I181">
            <v>131.25</v>
          </cell>
          <cell r="J181">
            <v>38587.5</v>
          </cell>
          <cell r="K181">
            <v>28554.75</v>
          </cell>
          <cell r="L181">
            <v>183.75000000000003</v>
          </cell>
          <cell r="M181">
            <v>54022.500000000007</v>
          </cell>
          <cell r="N181">
            <v>39976.65</v>
          </cell>
          <cell r="O181">
            <v>262.5</v>
          </cell>
          <cell r="P181">
            <v>77175</v>
          </cell>
          <cell r="Q181">
            <v>57109.5</v>
          </cell>
          <cell r="R181">
            <v>301.875</v>
          </cell>
          <cell r="S181">
            <v>88751.25</v>
          </cell>
          <cell r="T181">
            <v>65675.925000000003</v>
          </cell>
          <cell r="U181">
            <v>236.25</v>
          </cell>
          <cell r="V181">
            <v>69457.5</v>
          </cell>
          <cell r="W181">
            <v>51398.55</v>
          </cell>
          <cell r="X181">
            <v>210</v>
          </cell>
          <cell r="Y181">
            <v>61740</v>
          </cell>
          <cell r="Z181">
            <v>45687.6</v>
          </cell>
          <cell r="AA181">
            <v>236.25</v>
          </cell>
          <cell r="AB181">
            <v>69457.5</v>
          </cell>
          <cell r="AC181">
            <v>51398.55</v>
          </cell>
          <cell r="AD181">
            <v>210</v>
          </cell>
          <cell r="AE181">
            <v>61740</v>
          </cell>
          <cell r="AF181">
            <v>45687.6</v>
          </cell>
          <cell r="AG181">
            <v>315</v>
          </cell>
          <cell r="AH181">
            <v>92610</v>
          </cell>
          <cell r="AI181">
            <v>68531.399999999994</v>
          </cell>
          <cell r="AJ181">
            <v>262.5</v>
          </cell>
          <cell r="AK181">
            <v>77175</v>
          </cell>
          <cell r="AL181">
            <v>57109.5</v>
          </cell>
          <cell r="AM181">
            <v>131.25</v>
          </cell>
          <cell r="AN181">
            <v>38587.5</v>
          </cell>
          <cell r="AO181">
            <v>28554.75</v>
          </cell>
        </row>
        <row r="182">
          <cell r="A182" t="str">
            <v>Service% profit / ventes</v>
          </cell>
          <cell r="B182" t="str">
            <v>% profit / ventes</v>
          </cell>
          <cell r="E182">
            <v>0.73999999999999988</v>
          </cell>
          <cell r="H182">
            <v>0.74</v>
          </cell>
          <cell r="K182">
            <v>0.74</v>
          </cell>
          <cell r="N182">
            <v>0.73999999999999988</v>
          </cell>
          <cell r="Q182">
            <v>0.74</v>
          </cell>
          <cell r="T182">
            <v>0.74</v>
          </cell>
          <cell r="W182">
            <v>0.74</v>
          </cell>
          <cell r="Z182">
            <v>0.74</v>
          </cell>
          <cell r="AC182">
            <v>0.74</v>
          </cell>
          <cell r="AF182">
            <v>0.74</v>
          </cell>
          <cell r="AI182">
            <v>0.74</v>
          </cell>
          <cell r="AL182">
            <v>0.74</v>
          </cell>
          <cell r="AO182">
            <v>0.74</v>
          </cell>
        </row>
        <row r="183">
          <cell r="A183" t="str">
            <v>Service</v>
          </cell>
          <cell r="D183">
            <v>294</v>
          </cell>
          <cell r="G183">
            <v>294</v>
          </cell>
          <cell r="J183">
            <v>294</v>
          </cell>
          <cell r="M183">
            <v>294</v>
          </cell>
          <cell r="P183">
            <v>294</v>
          </cell>
          <cell r="S183">
            <v>294</v>
          </cell>
          <cell r="V183">
            <v>294</v>
          </cell>
          <cell r="Y183">
            <v>294</v>
          </cell>
          <cell r="AB183">
            <v>294</v>
          </cell>
          <cell r="AE183">
            <v>294</v>
          </cell>
          <cell r="AH183">
            <v>294</v>
          </cell>
          <cell r="AK183">
            <v>294</v>
          </cell>
          <cell r="AN183">
            <v>294</v>
          </cell>
        </row>
        <row r="184">
          <cell r="A184" t="str">
            <v>ServiceM/O Esthétique</v>
          </cell>
          <cell r="B184" t="str">
            <v>M/O Esthétique</v>
          </cell>
          <cell r="C184">
            <v>1680</v>
          </cell>
          <cell r="D184">
            <v>167999.99999999997</v>
          </cell>
          <cell r="E184">
            <v>127680.00000000001</v>
          </cell>
          <cell r="F184">
            <v>130.89082671091208</v>
          </cell>
          <cell r="G184">
            <v>13089.08267109121</v>
          </cell>
          <cell r="H184">
            <v>9947.7028300293186</v>
          </cell>
          <cell r="I184">
            <v>90.114229728258636</v>
          </cell>
          <cell r="J184">
            <v>9011.4229728258633</v>
          </cell>
          <cell r="K184">
            <v>6848.6814593476565</v>
          </cell>
          <cell r="L184">
            <v>136.98918515126147</v>
          </cell>
          <cell r="M184">
            <v>13698.918515126148</v>
          </cell>
          <cell r="N184">
            <v>10411.178071495873</v>
          </cell>
          <cell r="O184">
            <v>151.73371672679087</v>
          </cell>
          <cell r="P184">
            <v>15173.371672679088</v>
          </cell>
          <cell r="Q184">
            <v>11531.762471236107</v>
          </cell>
          <cell r="R184">
            <v>198.27442913289764</v>
          </cell>
          <cell r="S184">
            <v>19827.442913289764</v>
          </cell>
          <cell r="T184">
            <v>15068.856614100221</v>
          </cell>
          <cell r="U184">
            <v>139.69255948917578</v>
          </cell>
          <cell r="V184">
            <v>13969.255948917578</v>
          </cell>
          <cell r="W184">
            <v>10616.634521177361</v>
          </cell>
          <cell r="X184">
            <v>139.0787295461968</v>
          </cell>
          <cell r="Y184">
            <v>13907.872954619679</v>
          </cell>
          <cell r="Z184">
            <v>10569.983445510956</v>
          </cell>
          <cell r="AA184">
            <v>147.26663238148149</v>
          </cell>
          <cell r="AB184">
            <v>14726.66323814815</v>
          </cell>
          <cell r="AC184">
            <v>11192.264060992595</v>
          </cell>
          <cell r="AD184">
            <v>161.37421028330323</v>
          </cell>
          <cell r="AE184">
            <v>16137.421028330324</v>
          </cell>
          <cell r="AF184">
            <v>12264.439981531046</v>
          </cell>
          <cell r="AG184">
            <v>200.16216642329189</v>
          </cell>
          <cell r="AH184">
            <v>20016.216642329189</v>
          </cell>
          <cell r="AI184">
            <v>15212.324648170184</v>
          </cell>
          <cell r="AJ184">
            <v>116.32497850919506</v>
          </cell>
          <cell r="AK184">
            <v>11632.497850919506</v>
          </cell>
          <cell r="AL184">
            <v>8840.6983666988253</v>
          </cell>
          <cell r="AM184">
            <v>68.098335917235062</v>
          </cell>
          <cell r="AN184">
            <v>6809.8335917235054</v>
          </cell>
          <cell r="AO184">
            <v>5175.4735297098641</v>
          </cell>
        </row>
        <row r="185">
          <cell r="A185" t="str">
            <v>Service% profit / ventes</v>
          </cell>
          <cell r="B185" t="str">
            <v>% profit / ventes</v>
          </cell>
          <cell r="D185">
            <v>0</v>
          </cell>
          <cell r="E185">
            <v>0.76000000000000023</v>
          </cell>
          <cell r="G185">
            <v>0</v>
          </cell>
          <cell r="H185">
            <v>0.7599999999999999</v>
          </cell>
          <cell r="J185">
            <v>0</v>
          </cell>
          <cell r="K185">
            <v>0.76</v>
          </cell>
          <cell r="M185">
            <v>0</v>
          </cell>
          <cell r="N185">
            <v>0.76</v>
          </cell>
          <cell r="P185">
            <v>0</v>
          </cell>
          <cell r="Q185">
            <v>0.76</v>
          </cell>
          <cell r="S185">
            <v>0</v>
          </cell>
          <cell r="T185">
            <v>0.76</v>
          </cell>
          <cell r="V185">
            <v>0</v>
          </cell>
          <cell r="W185">
            <v>0.76000000000000012</v>
          </cell>
          <cell r="Y185">
            <v>0</v>
          </cell>
          <cell r="Z185">
            <v>0.76</v>
          </cell>
          <cell r="AB185">
            <v>0</v>
          </cell>
          <cell r="AC185">
            <v>0.76</v>
          </cell>
          <cell r="AE185">
            <v>0</v>
          </cell>
          <cell r="AF185">
            <v>0.76</v>
          </cell>
          <cell r="AH185">
            <v>0</v>
          </cell>
          <cell r="AI185">
            <v>0.76</v>
          </cell>
          <cell r="AK185">
            <v>0</v>
          </cell>
          <cell r="AL185">
            <v>0.76</v>
          </cell>
          <cell r="AN185">
            <v>0</v>
          </cell>
          <cell r="AO185">
            <v>0.76</v>
          </cell>
        </row>
        <row r="186">
          <cell r="A186" t="str">
            <v>Service</v>
          </cell>
          <cell r="D186">
            <v>99.999999999999986</v>
          </cell>
          <cell r="G186">
            <v>100.00000000000001</v>
          </cell>
          <cell r="J186">
            <v>100</v>
          </cell>
          <cell r="M186">
            <v>100.00000000000001</v>
          </cell>
          <cell r="P186">
            <v>100</v>
          </cell>
          <cell r="S186">
            <v>100</v>
          </cell>
          <cell r="V186">
            <v>100</v>
          </cell>
          <cell r="Y186">
            <v>100</v>
          </cell>
          <cell r="AB186">
            <v>100.00000000000001</v>
          </cell>
          <cell r="AE186">
            <v>100</v>
          </cell>
          <cell r="AH186">
            <v>100</v>
          </cell>
          <cell r="AK186">
            <v>100</v>
          </cell>
          <cell r="AN186">
            <v>99.999999999999986</v>
          </cell>
        </row>
        <row r="187">
          <cell r="A187" t="str">
            <v>ServiceAjustement M/O</v>
          </cell>
          <cell r="B187" t="str">
            <v>Ajustement M/O</v>
          </cell>
          <cell r="E187">
            <v>-38999.999999999978</v>
          </cell>
          <cell r="H187">
            <v>-1913.6914707565138</v>
          </cell>
          <cell r="K187">
            <v>-1880.8409511640809</v>
          </cell>
          <cell r="N187">
            <v>-2662.7586946003275</v>
          </cell>
          <cell r="Q187">
            <v>-4558.590378992194</v>
          </cell>
          <cell r="T187">
            <v>-5026.1907963026288</v>
          </cell>
          <cell r="W187">
            <v>-2925.6573101237609</v>
          </cell>
          <cell r="Z187">
            <v>-2948.0748381438912</v>
          </cell>
          <cell r="AC187">
            <v>-2745.9763920939877</v>
          </cell>
          <cell r="AF187">
            <v>-2378.8512154376144</v>
          </cell>
          <cell r="AI187">
            <v>-4528.6893081736907</v>
          </cell>
          <cell r="AL187">
            <v>-5087.5973124709253</v>
          </cell>
          <cell r="AO187">
            <v>-2343.0813317403599</v>
          </cell>
        </row>
        <row r="188">
          <cell r="A188" t="str">
            <v>ServiceSous-total M/O</v>
          </cell>
          <cell r="B188" t="str">
            <v>Sous-total M/O</v>
          </cell>
          <cell r="C188">
            <v>11918.804222852497</v>
          </cell>
          <cell r="D188">
            <v>3372798.6357409121</v>
          </cell>
          <cell r="E188">
            <v>2465780.3389508706</v>
          </cell>
          <cell r="F188">
            <v>619.39795917126537</v>
          </cell>
          <cell r="G188">
            <v>165825.08454687579</v>
          </cell>
          <cell r="H188">
            <v>121318.59279335776</v>
          </cell>
          <cell r="I188">
            <v>581.62683286364552</v>
          </cell>
          <cell r="J188">
            <v>162707.7135141551</v>
          </cell>
          <cell r="K188">
            <v>118965.22233318569</v>
          </cell>
          <cell r="L188">
            <v>829.94600627550699</v>
          </cell>
          <cell r="M188">
            <v>230419.90790837479</v>
          </cell>
          <cell r="N188">
            <v>168492.45006377829</v>
          </cell>
          <cell r="O188">
            <v>1358.4563167267909</v>
          </cell>
          <cell r="P188">
            <v>394040.30567267904</v>
          </cell>
          <cell r="Q188">
            <v>288021.71897224389</v>
          </cell>
          <cell r="R188">
            <v>1520.6420291328977</v>
          </cell>
          <cell r="S188">
            <v>434639.92691328976</v>
          </cell>
          <cell r="T188">
            <v>317746.41369779763</v>
          </cell>
          <cell r="U188">
            <v>906.68440754434414</v>
          </cell>
          <cell r="V188">
            <v>253005.97868145746</v>
          </cell>
          <cell r="W188">
            <v>184964.31943992444</v>
          </cell>
          <cell r="X188">
            <v>910.42592954619681</v>
          </cell>
          <cell r="Y188">
            <v>255005.92095461965</v>
          </cell>
          <cell r="Z188">
            <v>186442.89996736709</v>
          </cell>
          <cell r="AA188">
            <v>863.48591247428999</v>
          </cell>
          <cell r="AB188">
            <v>237540.8615122491</v>
          </cell>
          <cell r="AC188">
            <v>173678.01971269134</v>
          </cell>
          <cell r="AD188">
            <v>772.37064087460931</v>
          </cell>
          <cell r="AE188">
            <v>206001.22220846292</v>
          </cell>
          <cell r="AF188">
            <v>150676.56636889509</v>
          </cell>
          <cell r="AG188">
            <v>1388.4536664232919</v>
          </cell>
          <cell r="AH188">
            <v>391654.70164232916</v>
          </cell>
          <cell r="AI188">
            <v>286331.52053999656</v>
          </cell>
          <cell r="AJ188">
            <v>1476.350278509195</v>
          </cell>
          <cell r="AK188">
            <v>439481.72485091951</v>
          </cell>
          <cell r="AL188">
            <v>321160.08769422793</v>
          </cell>
          <cell r="AM188">
            <v>690.96424331046319</v>
          </cell>
          <cell r="AN188">
            <v>202475.28733549951</v>
          </cell>
          <cell r="AO188">
            <v>147982.52736740501</v>
          </cell>
        </row>
        <row r="189">
          <cell r="A189" t="str">
            <v>Service% protit / ventes</v>
          </cell>
          <cell r="B189" t="str">
            <v>% protit / ventes</v>
          </cell>
          <cell r="D189">
            <v>282.98129348194868</v>
          </cell>
          <cell r="E189">
            <v>0.73107843226140468</v>
          </cell>
          <cell r="G189">
            <v>267.71977868436062</v>
          </cell>
          <cell r="H189">
            <v>0.73160579489445798</v>
          </cell>
          <cell r="J189">
            <v>279.74588571346004</v>
          </cell>
          <cell r="K189">
            <v>0.73115908129847862</v>
          </cell>
          <cell r="M189">
            <v>277.63240760976095</v>
          </cell>
          <cell r="N189">
            <v>0.7312408532459721</v>
          </cell>
          <cell r="P189">
            <v>290.06476014048184</v>
          </cell>
          <cell r="Q189">
            <v>0.73094481662365129</v>
          </cell>
          <cell r="S189">
            <v>285.82659073360657</v>
          </cell>
          <cell r="T189">
            <v>0.73105666097994659</v>
          </cell>
          <cell r="V189">
            <v>279.04525166225875</v>
          </cell>
          <cell r="W189">
            <v>0.73106699060578473</v>
          </cell>
          <cell r="Y189">
            <v>280.09518696565215</v>
          </cell>
          <cell r="Z189">
            <v>0.73113165086290721</v>
          </cell>
          <cell r="AB189">
            <v>275.09523673823895</v>
          </cell>
          <cell r="AC189">
            <v>0.73115007922009834</v>
          </cell>
          <cell r="AE189">
            <v>266.71291127170929</v>
          </cell>
          <cell r="AF189">
            <v>0.73143530292464942</v>
          </cell>
          <cell r="AH189">
            <v>282.07977775106184</v>
          </cell>
          <cell r="AI189">
            <v>0.73108153518729646</v>
          </cell>
          <cell r="AK189">
            <v>297.68120157413057</v>
          </cell>
          <cell r="AL189">
            <v>0.73077006285795276</v>
          </cell>
          <cell r="AN189">
            <v>293.03294533075217</v>
          </cell>
          <cell r="AO189">
            <v>0.73086710637530528</v>
          </cell>
        </row>
        <row r="190">
          <cell r="A190" t="str">
            <v>Service</v>
          </cell>
        </row>
        <row r="191">
          <cell r="A191" t="str">
            <v>ServiceSous-traitement</v>
          </cell>
          <cell r="B191" t="str">
            <v>Sous-traitement</v>
          </cell>
          <cell r="C191">
            <v>0</v>
          </cell>
          <cell r="D191">
            <v>149998.60802777953</v>
          </cell>
          <cell r="E191">
            <v>32999.693766111493</v>
          </cell>
          <cell r="F191">
            <v>0</v>
          </cell>
          <cell r="G191">
            <v>7026.1662343061498</v>
          </cell>
          <cell r="H191">
            <v>1545.7565715473529</v>
          </cell>
          <cell r="I191">
            <v>0</v>
          </cell>
          <cell r="J191">
            <v>7085.2747437141779</v>
          </cell>
          <cell r="K191">
            <v>1558.7604436171191</v>
          </cell>
          <cell r="L191">
            <v>0</v>
          </cell>
          <cell r="M191">
            <v>10014.55659743501</v>
          </cell>
          <cell r="N191">
            <v>2203.2024514357022</v>
          </cell>
          <cell r="O191">
            <v>0</v>
          </cell>
          <cell r="P191">
            <v>18570</v>
          </cell>
          <cell r="Q191">
            <v>4085.4</v>
          </cell>
          <cell r="R191">
            <v>0</v>
          </cell>
          <cell r="S191">
            <v>20070</v>
          </cell>
          <cell r="T191">
            <v>4415.3999999999996</v>
          </cell>
          <cell r="U191">
            <v>0</v>
          </cell>
          <cell r="V191">
            <v>10438.085381968698</v>
          </cell>
          <cell r="W191">
            <v>2296.3787840331138</v>
          </cell>
          <cell r="X191">
            <v>0</v>
          </cell>
          <cell r="Y191">
            <v>11040</v>
          </cell>
          <cell r="Z191">
            <v>2428.8000000000002</v>
          </cell>
          <cell r="AA191">
            <v>0</v>
          </cell>
          <cell r="AB191">
            <v>9439.5426791557984</v>
          </cell>
          <cell r="AC191">
            <v>2076.6993894142756</v>
          </cell>
          <cell r="AD191">
            <v>0</v>
          </cell>
          <cell r="AE191">
            <v>7886.3858120749837</v>
          </cell>
          <cell r="AF191">
            <v>1735.0048786564964</v>
          </cell>
          <cell r="AG191">
            <v>0</v>
          </cell>
          <cell r="AH191">
            <v>17175</v>
          </cell>
          <cell r="AI191">
            <v>3778.5</v>
          </cell>
          <cell r="AJ191">
            <v>0</v>
          </cell>
          <cell r="AK191">
            <v>21585</v>
          </cell>
          <cell r="AL191">
            <v>4748.7</v>
          </cell>
          <cell r="AM191">
            <v>0</v>
          </cell>
          <cell r="AN191">
            <v>9668.5965791247181</v>
          </cell>
          <cell r="AO191">
            <v>2127.091247407438</v>
          </cell>
        </row>
        <row r="192">
          <cell r="A192" t="str">
            <v>Service% profit / ventes</v>
          </cell>
          <cell r="B192" t="str">
            <v>% profit / ventes</v>
          </cell>
          <cell r="E192">
            <v>0.21999999999999997</v>
          </cell>
          <cell r="H192">
            <v>0.22</v>
          </cell>
          <cell r="K192">
            <v>0.22</v>
          </cell>
          <cell r="N192">
            <v>0.22</v>
          </cell>
          <cell r="Q192">
            <v>0.22</v>
          </cell>
          <cell r="T192">
            <v>0.21999999999999997</v>
          </cell>
          <cell r="W192">
            <v>0.22000000000000003</v>
          </cell>
          <cell r="Z192">
            <v>0.22000000000000003</v>
          </cell>
          <cell r="AC192">
            <v>0.22</v>
          </cell>
          <cell r="AF192">
            <v>0.22</v>
          </cell>
          <cell r="AI192">
            <v>0.22</v>
          </cell>
          <cell r="AL192">
            <v>0.22</v>
          </cell>
          <cell r="AO192">
            <v>0.22</v>
          </cell>
        </row>
        <row r="193">
          <cell r="A193" t="str">
            <v>Service</v>
          </cell>
        </row>
        <row r="194">
          <cell r="A194" t="str">
            <v>ServiceM.O. Recond. MCPA</v>
          </cell>
          <cell r="B194" t="str">
            <v>M.O. Recond. MCPA</v>
          </cell>
          <cell r="C194">
            <v>0</v>
          </cell>
          <cell r="D194">
            <v>167999.99999999997</v>
          </cell>
          <cell r="E194">
            <v>117600</v>
          </cell>
          <cell r="F194">
            <v>0</v>
          </cell>
          <cell r="G194">
            <v>13089.08267109121</v>
          </cell>
          <cell r="H194">
            <v>9162.3578697638459</v>
          </cell>
          <cell r="I194">
            <v>0</v>
          </cell>
          <cell r="J194">
            <v>9011.4229728258633</v>
          </cell>
          <cell r="K194">
            <v>6307.9960809781041</v>
          </cell>
          <cell r="L194">
            <v>0</v>
          </cell>
          <cell r="M194">
            <v>13698.918515126148</v>
          </cell>
          <cell r="N194">
            <v>9589.2429605883026</v>
          </cell>
          <cell r="O194">
            <v>0</v>
          </cell>
          <cell r="P194">
            <v>15173.371672679088</v>
          </cell>
          <cell r="Q194">
            <v>10621.360170875361</v>
          </cell>
          <cell r="R194">
            <v>0</v>
          </cell>
          <cell r="S194">
            <v>19827.442913289764</v>
          </cell>
          <cell r="T194">
            <v>13879.210039302834</v>
          </cell>
          <cell r="U194">
            <v>0</v>
          </cell>
          <cell r="V194">
            <v>13969.255948917578</v>
          </cell>
          <cell r="W194">
            <v>9778.4791642423043</v>
          </cell>
          <cell r="X194">
            <v>0</v>
          </cell>
          <cell r="Y194">
            <v>13907.872954619679</v>
          </cell>
          <cell r="Z194">
            <v>9735.5110682337745</v>
          </cell>
          <cell r="AA194">
            <v>0</v>
          </cell>
          <cell r="AB194">
            <v>14726.66323814815</v>
          </cell>
          <cell r="AC194">
            <v>10308.664266703705</v>
          </cell>
          <cell r="AD194">
            <v>0</v>
          </cell>
          <cell r="AE194">
            <v>16137.421028330324</v>
          </cell>
          <cell r="AF194">
            <v>11296.194719831226</v>
          </cell>
          <cell r="AG194">
            <v>0</v>
          </cell>
          <cell r="AH194">
            <v>20016.216642329189</v>
          </cell>
          <cell r="AI194">
            <v>14011.351649630431</v>
          </cell>
          <cell r="AJ194">
            <v>0</v>
          </cell>
          <cell r="AK194">
            <v>11632.497850919506</v>
          </cell>
          <cell r="AL194">
            <v>8142.7484956436538</v>
          </cell>
          <cell r="AM194">
            <v>0</v>
          </cell>
          <cell r="AN194">
            <v>6809.8335917235054</v>
          </cell>
          <cell r="AO194">
            <v>4766.8835142064536</v>
          </cell>
        </row>
        <row r="195">
          <cell r="A195" t="str">
            <v>Service% profit / ventes</v>
          </cell>
          <cell r="B195" t="str">
            <v>% profit / ventes</v>
          </cell>
          <cell r="E195">
            <v>0.70000000000000007</v>
          </cell>
          <cell r="H195">
            <v>0.7</v>
          </cell>
          <cell r="K195">
            <v>0.7</v>
          </cell>
          <cell r="N195">
            <v>0.7</v>
          </cell>
          <cell r="Q195">
            <v>0.7</v>
          </cell>
          <cell r="T195">
            <v>0.7</v>
          </cell>
          <cell r="W195">
            <v>0.7</v>
          </cell>
          <cell r="Z195">
            <v>0.7</v>
          </cell>
          <cell r="AC195">
            <v>0.7</v>
          </cell>
          <cell r="AF195">
            <v>0.7</v>
          </cell>
          <cell r="AI195">
            <v>0.7</v>
          </cell>
          <cell r="AL195">
            <v>0.7</v>
          </cell>
          <cell r="AO195">
            <v>0.7</v>
          </cell>
        </row>
        <row r="196">
          <cell r="A196" t="str">
            <v>Service</v>
          </cell>
        </row>
        <row r="197">
          <cell r="A197" t="str">
            <v>ServiceTotal Mécanique</v>
          </cell>
          <cell r="B197" t="str">
            <v>Total Mécanique</v>
          </cell>
          <cell r="D197">
            <v>3690797.2437686916</v>
          </cell>
          <cell r="E197">
            <v>2616380.0327169821</v>
          </cell>
          <cell r="G197">
            <v>185940.33345227316</v>
          </cell>
          <cell r="H197">
            <v>132026.70723466895</v>
          </cell>
          <cell r="J197">
            <v>178804.41123069511</v>
          </cell>
          <cell r="K197">
            <v>126831.97885778092</v>
          </cell>
          <cell r="M197">
            <v>254133.38302093593</v>
          </cell>
          <cell r="N197">
            <v>180284.8954758023</v>
          </cell>
          <cell r="P197">
            <v>427783.67734535813</v>
          </cell>
          <cell r="Q197">
            <v>302728.4791431193</v>
          </cell>
          <cell r="S197">
            <v>474537.36982657952</v>
          </cell>
          <cell r="T197">
            <v>336041.02373710048</v>
          </cell>
          <cell r="V197">
            <v>277413.32001234376</v>
          </cell>
          <cell r="W197">
            <v>197039.17738819987</v>
          </cell>
          <cell r="Y197">
            <v>279953.79390923935</v>
          </cell>
          <cell r="Z197">
            <v>198607.21103560086</v>
          </cell>
          <cell r="AB197">
            <v>261707.06742955305</v>
          </cell>
          <cell r="AC197">
            <v>186063.38336880933</v>
          </cell>
          <cell r="AE197">
            <v>230025.02904886822</v>
          </cell>
          <cell r="AF197">
            <v>163707.76596738282</v>
          </cell>
          <cell r="AH197">
            <v>428845.91828465834</v>
          </cell>
          <cell r="AI197">
            <v>304121.37218962697</v>
          </cell>
          <cell r="AK197">
            <v>472699.222701839</v>
          </cell>
          <cell r="AL197">
            <v>334051.53618987161</v>
          </cell>
          <cell r="AN197">
            <v>218953.71750634772</v>
          </cell>
          <cell r="AO197">
            <v>154876.50212901889</v>
          </cell>
        </row>
        <row r="198">
          <cell r="A198" t="str">
            <v>Service</v>
          </cell>
          <cell r="E198">
            <v>0.70889291931013343</v>
          </cell>
          <cell r="H198">
            <v>0.7100487816891935</v>
          </cell>
          <cell r="K198">
            <v>0.70933361198869482</v>
          </cell>
          <cell r="N198">
            <v>0.70941052030519791</v>
          </cell>
          <cell r="Q198">
            <v>0.70766720465288036</v>
          </cell>
          <cell r="T198">
            <v>0.70814448999012913</v>
          </cell>
          <cell r="W198">
            <v>0.71027295077046926</v>
          </cell>
          <cell r="Z198">
            <v>0.7094285391252424</v>
          </cell>
          <cell r="AC198">
            <v>0.71096048416382307</v>
          </cell>
          <cell r="AF198">
            <v>0.71169544742282598</v>
          </cell>
          <cell r="AI198">
            <v>0.70916233365606618</v>
          </cell>
          <cell r="AL198">
            <v>0.70668941294320431</v>
          </cell>
          <cell r="AO198">
            <v>0.70734812769063327</v>
          </cell>
        </row>
        <row r="199">
          <cell r="A199" t="str">
            <v>Service</v>
          </cell>
        </row>
        <row r="200">
          <cell r="A200" t="str">
            <v>ServiceDEPENSES</v>
          </cell>
          <cell r="B200" t="str">
            <v>DEPENSES</v>
          </cell>
        </row>
        <row r="201">
          <cell r="A201" t="str">
            <v>ServiceSalaires cadres</v>
          </cell>
          <cell r="B201" t="str">
            <v>Salaires cadres</v>
          </cell>
          <cell r="E201">
            <v>200107.22499999998</v>
          </cell>
          <cell r="H201">
            <v>15728.762179487177</v>
          </cell>
          <cell r="K201">
            <v>15728.762179487177</v>
          </cell>
          <cell r="N201">
            <v>18569.281891025639</v>
          </cell>
          <cell r="Q201">
            <v>15728.762179487177</v>
          </cell>
          <cell r="T201">
            <v>18569.281891025639</v>
          </cell>
          <cell r="W201">
            <v>15728.762179487177</v>
          </cell>
          <cell r="Z201">
            <v>15728.762179487177</v>
          </cell>
          <cell r="AC201">
            <v>18569.281891025639</v>
          </cell>
          <cell r="AF201">
            <v>15728.762179487177</v>
          </cell>
          <cell r="AI201">
            <v>15728.762179487177</v>
          </cell>
          <cell r="AL201">
            <v>18569.281891025639</v>
          </cell>
          <cell r="AO201">
            <v>15728.762179487177</v>
          </cell>
        </row>
        <row r="202">
          <cell r="A202" t="str">
            <v>ServiceSalaires commis</v>
          </cell>
          <cell r="B202" t="str">
            <v>Salaires commis</v>
          </cell>
          <cell r="E202">
            <v>110532.42199999999</v>
          </cell>
          <cell r="H202">
            <v>8540.9555384615378</v>
          </cell>
          <cell r="K202">
            <v>8540.9555384615378</v>
          </cell>
          <cell r="N202">
            <v>10551.194423076922</v>
          </cell>
          <cell r="Q202">
            <v>8540.9555384615378</v>
          </cell>
          <cell r="T202">
            <v>10551.194423076922</v>
          </cell>
          <cell r="W202">
            <v>8540.9555384615378</v>
          </cell>
          <cell r="Z202">
            <v>8540.9555384615378</v>
          </cell>
          <cell r="AC202">
            <v>10551.194423076922</v>
          </cell>
          <cell r="AF202">
            <v>8540.9555384615378</v>
          </cell>
          <cell r="AI202">
            <v>8540.9555384615378</v>
          </cell>
          <cell r="AL202">
            <v>10551.194423076922</v>
          </cell>
          <cell r="AO202">
            <v>8540.9555384615378</v>
          </cell>
        </row>
        <row r="203">
          <cell r="A203" t="str">
            <v>ServiceSalaires autres</v>
          </cell>
          <cell r="B203" t="str">
            <v>Salaires autres</v>
          </cell>
          <cell r="E203">
            <v>225525.50000000003</v>
          </cell>
          <cell r="H203">
            <v>17386.576923076926</v>
          </cell>
          <cell r="K203">
            <v>17386.576923076926</v>
          </cell>
          <cell r="N203">
            <v>21608.221153846152</v>
          </cell>
          <cell r="Q203">
            <v>17386.576923076926</v>
          </cell>
          <cell r="T203">
            <v>21608.221153846152</v>
          </cell>
          <cell r="W203">
            <v>17386.576923076926</v>
          </cell>
          <cell r="Z203">
            <v>17386.576923076926</v>
          </cell>
          <cell r="AC203">
            <v>21608.221153846152</v>
          </cell>
          <cell r="AF203">
            <v>17386.576923076926</v>
          </cell>
          <cell r="AI203">
            <v>17386.576923076926</v>
          </cell>
          <cell r="AL203">
            <v>21608.221153846152</v>
          </cell>
          <cell r="AO203">
            <v>17386.576923076926</v>
          </cell>
        </row>
        <row r="204">
          <cell r="A204" t="str">
            <v>ServiceSalaires spécialistes</v>
          </cell>
          <cell r="B204" t="str">
            <v>Salaires spécialistes</v>
          </cell>
          <cell r="E204">
            <v>365799.26791981579</v>
          </cell>
          <cell r="H204">
            <v>22290.336382194619</v>
          </cell>
          <cell r="K204">
            <v>22366.944585270074</v>
          </cell>
          <cell r="N204">
            <v>29459.471030658788</v>
          </cell>
          <cell r="Q204">
            <v>37251.8431136</v>
          </cell>
          <cell r="T204">
            <v>42491.9338336</v>
          </cell>
          <cell r="W204">
            <v>26712.389950435332</v>
          </cell>
          <cell r="Z204">
            <v>27492.507699199999</v>
          </cell>
          <cell r="AC204">
            <v>28714.218215727149</v>
          </cell>
          <cell r="AF204">
            <v>23405.232981063091</v>
          </cell>
          <cell r="AI204">
            <v>35443.838744000001</v>
          </cell>
          <cell r="AL204">
            <v>44455.465460799998</v>
          </cell>
          <cell r="AO204">
            <v>25715.085923266739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  <cell r="H205">
            <v>0</v>
          </cell>
          <cell r="K205">
            <v>0</v>
          </cell>
          <cell r="N205">
            <v>0</v>
          </cell>
          <cell r="Q205">
            <v>0</v>
          </cell>
          <cell r="T205">
            <v>0</v>
          </cell>
          <cell r="W205">
            <v>0</v>
          </cell>
          <cell r="Z205">
            <v>0</v>
          </cell>
          <cell r="AC205">
            <v>0</v>
          </cell>
          <cell r="AF205">
            <v>0</v>
          </cell>
          <cell r="AI205">
            <v>0</v>
          </cell>
          <cell r="AL205">
            <v>0</v>
          </cell>
          <cell r="AO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  <cell r="H206">
            <v>0</v>
          </cell>
          <cell r="K206">
            <v>0</v>
          </cell>
          <cell r="N206">
            <v>0</v>
          </cell>
          <cell r="Q206">
            <v>0</v>
          </cell>
          <cell r="T206">
            <v>0</v>
          </cell>
          <cell r="W206">
            <v>0</v>
          </cell>
          <cell r="Z206">
            <v>0</v>
          </cell>
          <cell r="AC206">
            <v>0</v>
          </cell>
          <cell r="AF206">
            <v>0</v>
          </cell>
          <cell r="AI206">
            <v>0</v>
          </cell>
          <cell r="AL206">
            <v>0</v>
          </cell>
          <cell r="AO206">
            <v>0</v>
          </cell>
        </row>
        <row r="207">
          <cell r="A207" t="str">
            <v>Service[...]</v>
          </cell>
          <cell r="B207" t="str">
            <v>[...]</v>
          </cell>
          <cell r="E207">
            <v>0</v>
          </cell>
          <cell r="H207">
            <v>0</v>
          </cell>
          <cell r="K207">
            <v>0</v>
          </cell>
          <cell r="N207">
            <v>0</v>
          </cell>
          <cell r="Q207">
            <v>0</v>
          </cell>
          <cell r="T207">
            <v>0</v>
          </cell>
          <cell r="W207">
            <v>0</v>
          </cell>
          <cell r="Z207">
            <v>0</v>
          </cell>
          <cell r="AC207">
            <v>0</v>
          </cell>
          <cell r="AF207">
            <v>0</v>
          </cell>
          <cell r="AI207">
            <v>0</v>
          </cell>
          <cell r="AL207">
            <v>0</v>
          </cell>
          <cell r="AO207">
            <v>0</v>
          </cell>
        </row>
        <row r="208">
          <cell r="A208" t="str">
            <v>ServiceSalaires en absences</v>
          </cell>
          <cell r="B208" t="str">
            <v>Salaires en absences</v>
          </cell>
          <cell r="E208">
            <v>209744.26717906876</v>
          </cell>
          <cell r="H208">
            <v>12657.897135159797</v>
          </cell>
          <cell r="K208">
            <v>12579.878101224591</v>
          </cell>
          <cell r="N208">
            <v>16539.370539953656</v>
          </cell>
          <cell r="Q208">
            <v>21337.650925649403</v>
          </cell>
          <cell r="T208">
            <v>24257.202352684133</v>
          </cell>
          <cell r="W208">
            <v>15831.041725044821</v>
          </cell>
          <cell r="Z208">
            <v>15978.759647668778</v>
          </cell>
          <cell r="AC208">
            <v>16674.450424347018</v>
          </cell>
          <cell r="AF208">
            <v>14012.29952289802</v>
          </cell>
          <cell r="AI208">
            <v>21053.513894315158</v>
          </cell>
          <cell r="AL208">
            <v>24642.155259697473</v>
          </cell>
          <cell r="AO208">
            <v>14180.047650425911</v>
          </cell>
        </row>
        <row r="209">
          <cell r="A209" t="str">
            <v>ServiceDéduction à la source</v>
          </cell>
          <cell r="B209" t="str">
            <v>Déduction à la source</v>
          </cell>
          <cell r="E209">
            <v>255019.46141596028</v>
          </cell>
          <cell r="H209">
            <v>15390.218543189885</v>
          </cell>
          <cell r="K209">
            <v>15295.358396202588</v>
          </cell>
          <cell r="N209">
            <v>20109.543035362156</v>
          </cell>
          <cell r="Q209">
            <v>25943.575574798393</v>
          </cell>
          <cell r="T209">
            <v>29493.338543351638</v>
          </cell>
          <cell r="W209">
            <v>19248.315048953176</v>
          </cell>
          <cell r="Z209">
            <v>19427.919219191994</v>
          </cell>
          <cell r="AC209">
            <v>20273.781132686243</v>
          </cell>
          <cell r="AF209">
            <v>17036.980917708606</v>
          </cell>
          <cell r="AI209">
            <v>25598.104999255436</v>
          </cell>
          <cell r="AL209">
            <v>29961.387011790761</v>
          </cell>
          <cell r="AO209">
            <v>17240.93899346939</v>
          </cell>
        </row>
        <row r="210">
          <cell r="A210" t="str">
            <v>ServiceBénéfices marginaux</v>
          </cell>
          <cell r="B210" t="str">
            <v>Bénéfices marginaux</v>
          </cell>
          <cell r="E210">
            <v>131390.46164257085</v>
          </cell>
          <cell r="H210">
            <v>7929.3082494260925</v>
          </cell>
          <cell r="K210">
            <v>7880.4346519565488</v>
          </cell>
          <cell r="N210">
            <v>10360.786303001805</v>
          </cell>
          <cell r="Q210">
            <v>13366.581328754823</v>
          </cell>
          <cell r="T210">
            <v>15195.480945161602</v>
          </cell>
          <cell r="W210">
            <v>9917.0666665258741</v>
          </cell>
          <cell r="Z210">
            <v>10009.601858583701</v>
          </cell>
          <cell r="AC210">
            <v>10445.404627057909</v>
          </cell>
          <cell r="AF210">
            <v>8777.7488641237815</v>
          </cell>
          <cell r="AI210">
            <v>13188.588880051169</v>
          </cell>
          <cell r="AL210">
            <v>15436.627656074805</v>
          </cell>
          <cell r="AO210">
            <v>8882.8316118527073</v>
          </cell>
        </row>
        <row r="211">
          <cell r="A211" t="str">
            <v>ServiceCsst</v>
          </cell>
          <cell r="B211" t="str">
            <v>Csst</v>
          </cell>
          <cell r="E211">
            <v>57286.980463005551</v>
          </cell>
          <cell r="H211">
            <v>3457.223006078887</v>
          </cell>
          <cell r="K211">
            <v>3435.9138426252184</v>
          </cell>
          <cell r="N211">
            <v>4517.3611166393239</v>
          </cell>
          <cell r="Q211">
            <v>5827.9046581068851</v>
          </cell>
          <cell r="T211">
            <v>6625.3151800282658</v>
          </cell>
          <cell r="W211">
            <v>4323.8968588228145</v>
          </cell>
          <cell r="Z211">
            <v>4364.2427231518241</v>
          </cell>
          <cell r="AC211">
            <v>4554.255181980242</v>
          </cell>
          <cell r="AF211">
            <v>3827.1478873113533</v>
          </cell>
          <cell r="AI211">
            <v>5750.2989491081044</v>
          </cell>
          <cell r="AL211">
            <v>6730.4565026486489</v>
          </cell>
          <cell r="AO211">
            <v>3872.9645565039932</v>
          </cell>
        </row>
        <row r="212">
          <cell r="A212" t="str">
            <v>Service[...]</v>
          </cell>
          <cell r="B212" t="str">
            <v>[...]</v>
          </cell>
          <cell r="E212">
            <v>0</v>
          </cell>
        </row>
        <row r="213">
          <cell r="A213" t="str">
            <v>ServiceTOTAL PERSONNEL</v>
          </cell>
          <cell r="B213" t="str">
            <v>TOTAL PERSONNEL</v>
          </cell>
          <cell r="C213" t="str">
            <v>%brut</v>
          </cell>
          <cell r="D213">
            <v>0.59448763794654436</v>
          </cell>
          <cell r="E213">
            <v>1555405.5856204212</v>
          </cell>
          <cell r="F213" t="str">
            <v>%brut</v>
          </cell>
          <cell r="G213">
            <v>0.78303307052353699</v>
          </cell>
          <cell r="H213">
            <v>103381.27795707491</v>
          </cell>
          <cell r="I213" t="str">
            <v>%brut</v>
          </cell>
          <cell r="J213">
            <v>0.81379179878634056</v>
          </cell>
          <cell r="K213">
            <v>103214.82421830465</v>
          </cell>
          <cell r="L213" t="str">
            <v>%brut</v>
          </cell>
          <cell r="M213">
            <v>0.73059492391720182</v>
          </cell>
          <cell r="N213">
            <v>131715.22949356446</v>
          </cell>
          <cell r="O213" t="str">
            <v>%brut</v>
          </cell>
          <cell r="P213">
            <v>0.48024503889904196</v>
          </cell>
          <cell r="Q213">
            <v>145383.85024193514</v>
          </cell>
          <cell r="R213" t="str">
            <v>%brut</v>
          </cell>
          <cell r="S213">
            <v>0.50229572105704468</v>
          </cell>
          <cell r="T213">
            <v>168791.96832277434</v>
          </cell>
          <cell r="U213" t="str">
            <v>%brut</v>
          </cell>
          <cell r="V213">
            <v>0.5972873336704041</v>
          </cell>
          <cell r="W213">
            <v>117689.00489080767</v>
          </cell>
          <cell r="X213" t="str">
            <v>%brut</v>
          </cell>
          <cell r="Y213">
            <v>0.59881675578991711</v>
          </cell>
          <cell r="Z213">
            <v>118929.32578882194</v>
          </cell>
          <cell r="AA213" t="str">
            <v>%brut</v>
          </cell>
          <cell r="AB213">
            <v>0.70616154920341467</v>
          </cell>
          <cell r="AC213">
            <v>131390.80704974727</v>
          </cell>
          <cell r="AD213" t="str">
            <v>%brut</v>
          </cell>
          <cell r="AE213">
            <v>0.66408398020525816</v>
          </cell>
          <cell r="AF213">
            <v>108715.70481413048</v>
          </cell>
          <cell r="AG213" t="str">
            <v>%brut</v>
          </cell>
          <cell r="AH213">
            <v>0.46918978130476291</v>
          </cell>
          <cell r="AI213">
            <v>142690.64010775549</v>
          </cell>
          <cell r="AJ213" t="str">
            <v>%brut</v>
          </cell>
          <cell r="AK213">
            <v>0.51475527195666892</v>
          </cell>
          <cell r="AL213">
            <v>171954.78935896041</v>
          </cell>
          <cell r="AM213" t="str">
            <v>%brut</v>
          </cell>
          <cell r="AN213">
            <v>0.72023942846810873</v>
          </cell>
          <cell r="AO213">
            <v>111548.16337654438</v>
          </cell>
        </row>
        <row r="214">
          <cell r="A214" t="str">
            <v>ServicePublicité 2</v>
          </cell>
          <cell r="B214" t="str">
            <v>Publicité 2</v>
          </cell>
          <cell r="E214">
            <v>124643.90782958329</v>
          </cell>
          <cell r="H214">
            <v>10386.992319131941</v>
          </cell>
          <cell r="K214">
            <v>10386.992319131941</v>
          </cell>
          <cell r="N214">
            <v>10386.992319131941</v>
          </cell>
          <cell r="Q214">
            <v>10386.992319131941</v>
          </cell>
          <cell r="T214">
            <v>10386.992319131941</v>
          </cell>
          <cell r="W214">
            <v>10386.992319131941</v>
          </cell>
          <cell r="Z214">
            <v>10386.992319131941</v>
          </cell>
          <cell r="AC214">
            <v>10386.992319131941</v>
          </cell>
          <cell r="AF214">
            <v>10386.992319131941</v>
          </cell>
          <cell r="AI214">
            <v>10386.992319131941</v>
          </cell>
          <cell r="AL214">
            <v>10386.992319131941</v>
          </cell>
          <cell r="AO214">
            <v>10386.992319131941</v>
          </cell>
        </row>
        <row r="215">
          <cell r="A215" t="str">
            <v>ServiceService gratuit 2</v>
          </cell>
          <cell r="B215" t="str">
            <v>Service gratuit 2</v>
          </cell>
          <cell r="E215">
            <v>46324.71188201334</v>
          </cell>
          <cell r="H215">
            <v>3860.3926568344446</v>
          </cell>
          <cell r="K215">
            <v>3860.3926568344446</v>
          </cell>
          <cell r="N215">
            <v>3860.3926568344446</v>
          </cell>
          <cell r="Q215">
            <v>3860.3926568344446</v>
          </cell>
          <cell r="T215">
            <v>3860.3926568344446</v>
          </cell>
          <cell r="W215">
            <v>3860.3926568344446</v>
          </cell>
          <cell r="Z215">
            <v>3860.3926568344446</v>
          </cell>
          <cell r="AC215">
            <v>3860.3926568344446</v>
          </cell>
          <cell r="AF215">
            <v>3860.3926568344446</v>
          </cell>
          <cell r="AI215">
            <v>3860.3926568344446</v>
          </cell>
          <cell r="AL215">
            <v>3860.3926568344446</v>
          </cell>
          <cell r="AO215">
            <v>3860.3926568344446</v>
          </cell>
        </row>
        <row r="216">
          <cell r="A216" t="str">
            <v>ServiceFrais véhicules de cie</v>
          </cell>
          <cell r="B216" t="str">
            <v>Frais véhicules de cie</v>
          </cell>
          <cell r="E216">
            <v>160000</v>
          </cell>
          <cell r="H216">
            <v>13333.333333333334</v>
          </cell>
          <cell r="K216">
            <v>13333.333333333334</v>
          </cell>
          <cell r="N216">
            <v>13333.333333333334</v>
          </cell>
          <cell r="Q216">
            <v>13333.333333333334</v>
          </cell>
          <cell r="T216">
            <v>13333.333333333334</v>
          </cell>
          <cell r="W216">
            <v>13333.333333333334</v>
          </cell>
          <cell r="Z216">
            <v>13333.333333333334</v>
          </cell>
          <cell r="AC216">
            <v>13333.333333333334</v>
          </cell>
          <cell r="AF216">
            <v>13333.333333333334</v>
          </cell>
          <cell r="AI216">
            <v>13333.333333333334</v>
          </cell>
          <cell r="AL216">
            <v>13333.333333333334</v>
          </cell>
          <cell r="AO216">
            <v>13333.333333333334</v>
          </cell>
        </row>
        <row r="217">
          <cell r="A217" t="str">
            <v>ServiceInformatique</v>
          </cell>
          <cell r="B217" t="str">
            <v>Informatique</v>
          </cell>
          <cell r="E217">
            <v>52330.582495999988</v>
          </cell>
          <cell r="H217">
            <v>4360.8818746666657</v>
          </cell>
          <cell r="K217">
            <v>4360.8818746666657</v>
          </cell>
          <cell r="N217">
            <v>4360.8818746666657</v>
          </cell>
          <cell r="Q217">
            <v>4360.8818746666657</v>
          </cell>
          <cell r="T217">
            <v>4360.8818746666657</v>
          </cell>
          <cell r="W217">
            <v>4360.8818746666657</v>
          </cell>
          <cell r="Z217">
            <v>4360.8818746666657</v>
          </cell>
          <cell r="AC217">
            <v>4360.8818746666657</v>
          </cell>
          <cell r="AF217">
            <v>4360.8818746666657</v>
          </cell>
          <cell r="AI217">
            <v>4360.8818746666657</v>
          </cell>
          <cell r="AL217">
            <v>4360.8818746666657</v>
          </cell>
          <cell r="AO217">
            <v>4360.8818746666657</v>
          </cell>
        </row>
        <row r="218">
          <cell r="A218" t="str">
            <v>ServiceFrais de déplacement</v>
          </cell>
          <cell r="B218" t="str">
            <v>Frais de déplacement</v>
          </cell>
          <cell r="E218">
            <v>13192.582256247888</v>
          </cell>
          <cell r="H218">
            <v>1099.3818546873238</v>
          </cell>
          <cell r="K218">
            <v>1099.3818546873238</v>
          </cell>
          <cell r="N218">
            <v>1099.3818546873238</v>
          </cell>
          <cell r="Q218">
            <v>1099.3818546873238</v>
          </cell>
          <cell r="T218">
            <v>1099.3818546873238</v>
          </cell>
          <cell r="W218">
            <v>1099.3818546873238</v>
          </cell>
          <cell r="Z218">
            <v>1099.3818546873238</v>
          </cell>
          <cell r="AC218">
            <v>1099.3818546873238</v>
          </cell>
          <cell r="AF218">
            <v>1099.3818546873238</v>
          </cell>
          <cell r="AI218">
            <v>1099.3818546873238</v>
          </cell>
          <cell r="AL218">
            <v>1099.3818546873238</v>
          </cell>
          <cell r="AO218">
            <v>1099.3818546873238</v>
          </cell>
        </row>
        <row r="219">
          <cell r="A219" t="str">
            <v>ServiceServices extérieurs</v>
          </cell>
          <cell r="B219" t="str">
            <v>Services extérieurs</v>
          </cell>
          <cell r="E219">
            <v>79701.264029866681</v>
          </cell>
          <cell r="H219">
            <v>5641.7720024888895</v>
          </cell>
          <cell r="K219">
            <v>5641.7720024888895</v>
          </cell>
          <cell r="N219">
            <v>5141.7720024888895</v>
          </cell>
          <cell r="Q219">
            <v>5141.7720024888895</v>
          </cell>
          <cell r="T219">
            <v>10141.772002488889</v>
          </cell>
          <cell r="W219">
            <v>5641.7720024888895</v>
          </cell>
          <cell r="Z219">
            <v>5641.7720024888895</v>
          </cell>
          <cell r="AC219">
            <v>3641.772002488889</v>
          </cell>
          <cell r="AF219">
            <v>3641.772002488889</v>
          </cell>
          <cell r="AI219">
            <v>10141.772002488889</v>
          </cell>
          <cell r="AL219">
            <v>15141.772002488889</v>
          </cell>
          <cell r="AO219">
            <v>4141.7720024888895</v>
          </cell>
        </row>
        <row r="220">
          <cell r="A220" t="str">
            <v>ServiceFournitures d'atelier</v>
          </cell>
          <cell r="B220" t="str">
            <v>Fournitures d'atelier</v>
          </cell>
          <cell r="E220">
            <v>0</v>
          </cell>
          <cell r="H220">
            <v>0</v>
          </cell>
          <cell r="K220">
            <v>0</v>
          </cell>
          <cell r="N220">
            <v>0</v>
          </cell>
          <cell r="Q220">
            <v>0</v>
          </cell>
          <cell r="T220">
            <v>0</v>
          </cell>
          <cell r="W220">
            <v>0</v>
          </cell>
          <cell r="Z220">
            <v>0</v>
          </cell>
          <cell r="AC220">
            <v>0</v>
          </cell>
          <cell r="AF220">
            <v>0</v>
          </cell>
          <cell r="AI220">
            <v>0</v>
          </cell>
          <cell r="AL220">
            <v>0</v>
          </cell>
          <cell r="AO220">
            <v>0</v>
          </cell>
        </row>
        <row r="221">
          <cell r="A221" t="str">
            <v>ServiceFournitures autres</v>
          </cell>
          <cell r="B221" t="str">
            <v>Fournitures autres</v>
          </cell>
          <cell r="E221">
            <v>67000.000000000015</v>
          </cell>
          <cell r="H221">
            <v>5583.333333333333</v>
          </cell>
          <cell r="K221">
            <v>5583.333333333333</v>
          </cell>
          <cell r="N221">
            <v>5583.333333333333</v>
          </cell>
          <cell r="Q221">
            <v>5583.333333333333</v>
          </cell>
          <cell r="T221">
            <v>5583.333333333333</v>
          </cell>
          <cell r="W221">
            <v>5583.333333333333</v>
          </cell>
          <cell r="Z221">
            <v>5583.333333333333</v>
          </cell>
          <cell r="AC221">
            <v>5583.333333333333</v>
          </cell>
          <cell r="AF221">
            <v>5583.333333333333</v>
          </cell>
          <cell r="AI221">
            <v>5583.333333333333</v>
          </cell>
          <cell r="AL221">
            <v>5583.333333333333</v>
          </cell>
          <cell r="AO221">
            <v>5583.333333333333</v>
          </cell>
        </row>
        <row r="222">
          <cell r="A222" t="str">
            <v>ServiceUniformes</v>
          </cell>
          <cell r="B222" t="str">
            <v>Uniformes</v>
          </cell>
          <cell r="E222">
            <v>14663.299651285315</v>
          </cell>
          <cell r="H222">
            <v>1221.9416376071097</v>
          </cell>
          <cell r="K222">
            <v>1221.9416376071097</v>
          </cell>
          <cell r="N222">
            <v>1221.9416376071097</v>
          </cell>
          <cell r="Q222">
            <v>1221.9416376071097</v>
          </cell>
          <cell r="T222">
            <v>1221.9416376071097</v>
          </cell>
          <cell r="W222">
            <v>1221.9416376071097</v>
          </cell>
          <cell r="Z222">
            <v>1221.9416376071097</v>
          </cell>
          <cell r="AC222">
            <v>1221.9416376071097</v>
          </cell>
          <cell r="AF222">
            <v>1221.9416376071097</v>
          </cell>
          <cell r="AI222">
            <v>1221.9416376071097</v>
          </cell>
          <cell r="AL222">
            <v>1221.9416376071097</v>
          </cell>
          <cell r="AO222">
            <v>1221.9416376071097</v>
          </cell>
        </row>
        <row r="223">
          <cell r="A223" t="str">
            <v>ServicePapeterie</v>
          </cell>
          <cell r="B223" t="str">
            <v>Papeterie</v>
          </cell>
          <cell r="E223">
            <v>8978.4511677120008</v>
          </cell>
          <cell r="H223">
            <v>748.20426397599988</v>
          </cell>
          <cell r="K223">
            <v>748.20426397599988</v>
          </cell>
          <cell r="N223">
            <v>748.20426397599988</v>
          </cell>
          <cell r="Q223">
            <v>748.20426397599988</v>
          </cell>
          <cell r="T223">
            <v>748.20426397599988</v>
          </cell>
          <cell r="W223">
            <v>748.20426397599988</v>
          </cell>
          <cell r="Z223">
            <v>748.20426397599988</v>
          </cell>
          <cell r="AC223">
            <v>748.20426397599988</v>
          </cell>
          <cell r="AF223">
            <v>748.20426397599988</v>
          </cell>
          <cell r="AI223">
            <v>748.20426397599988</v>
          </cell>
          <cell r="AL223">
            <v>748.20426397599988</v>
          </cell>
          <cell r="AO223">
            <v>748.20426397599988</v>
          </cell>
        </row>
        <row r="224">
          <cell r="A224" t="str">
            <v>ServiceTéléphone</v>
          </cell>
          <cell r="B224" t="str">
            <v>Téléphone</v>
          </cell>
          <cell r="E224">
            <v>2593.0447654759992</v>
          </cell>
          <cell r="H224">
            <v>216.08706378966664</v>
          </cell>
          <cell r="K224">
            <v>216.08706378966664</v>
          </cell>
          <cell r="N224">
            <v>216.08706378966664</v>
          </cell>
          <cell r="Q224">
            <v>216.08706378966664</v>
          </cell>
          <cell r="T224">
            <v>216.08706378966664</v>
          </cell>
          <cell r="W224">
            <v>216.08706378966664</v>
          </cell>
          <cell r="Z224">
            <v>216.08706378966664</v>
          </cell>
          <cell r="AC224">
            <v>216.08706378966664</v>
          </cell>
          <cell r="AF224">
            <v>216.08706378966664</v>
          </cell>
          <cell r="AI224">
            <v>216.08706378966664</v>
          </cell>
          <cell r="AL224">
            <v>216.08706378966664</v>
          </cell>
          <cell r="AO224">
            <v>216.08706378966664</v>
          </cell>
        </row>
        <row r="225">
          <cell r="A225" t="str">
            <v>ServiceFrais postaux</v>
          </cell>
          <cell r="B225" t="str">
            <v>Frais postaux</v>
          </cell>
          <cell r="E225">
            <v>1245.3413391639999</v>
          </cell>
          <cell r="H225">
            <v>103.77844493033332</v>
          </cell>
          <cell r="K225">
            <v>103.77844493033332</v>
          </cell>
          <cell r="N225">
            <v>103.77844493033332</v>
          </cell>
          <cell r="Q225">
            <v>103.77844493033332</v>
          </cell>
          <cell r="T225">
            <v>103.77844493033332</v>
          </cell>
          <cell r="W225">
            <v>103.77844493033332</v>
          </cell>
          <cell r="Z225">
            <v>103.77844493033332</v>
          </cell>
          <cell r="AC225">
            <v>103.77844493033332</v>
          </cell>
          <cell r="AF225">
            <v>103.77844493033332</v>
          </cell>
          <cell r="AI225">
            <v>103.77844493033332</v>
          </cell>
          <cell r="AL225">
            <v>103.77844493033332</v>
          </cell>
          <cell r="AO225">
            <v>103.77844493033332</v>
          </cell>
        </row>
        <row r="226">
          <cell r="A226" t="str">
            <v>ServiceDivers</v>
          </cell>
          <cell r="B226" t="str">
            <v>Divers</v>
          </cell>
          <cell r="E226">
            <v>2597.6718309159996</v>
          </cell>
          <cell r="H226">
            <v>216.4726525763333</v>
          </cell>
          <cell r="K226">
            <v>216.4726525763333</v>
          </cell>
          <cell r="N226">
            <v>216.4726525763333</v>
          </cell>
          <cell r="Q226">
            <v>216.4726525763333</v>
          </cell>
          <cell r="T226">
            <v>216.4726525763333</v>
          </cell>
          <cell r="W226">
            <v>216.4726525763333</v>
          </cell>
          <cell r="Z226">
            <v>216.4726525763333</v>
          </cell>
          <cell r="AC226">
            <v>216.4726525763333</v>
          </cell>
          <cell r="AF226">
            <v>216.4726525763333</v>
          </cell>
          <cell r="AI226">
            <v>216.4726525763333</v>
          </cell>
          <cell r="AL226">
            <v>216.4726525763333</v>
          </cell>
          <cell r="AO226">
            <v>216.4726525763333</v>
          </cell>
        </row>
        <row r="227">
          <cell r="A227" t="str">
            <v>ServiceFormation</v>
          </cell>
          <cell r="B227" t="str">
            <v>Formation</v>
          </cell>
          <cell r="E227">
            <v>47837.454665381847</v>
          </cell>
          <cell r="H227">
            <v>3986.4545554484885</v>
          </cell>
          <cell r="K227">
            <v>3986.4545554484885</v>
          </cell>
          <cell r="N227">
            <v>3986.4545554484885</v>
          </cell>
          <cell r="Q227">
            <v>3986.4545554484885</v>
          </cell>
          <cell r="T227">
            <v>3986.4545554484885</v>
          </cell>
          <cell r="W227">
            <v>3986.4545554484885</v>
          </cell>
          <cell r="Z227">
            <v>3986.4545554484885</v>
          </cell>
          <cell r="AC227">
            <v>3986.4545554484885</v>
          </cell>
          <cell r="AF227">
            <v>3986.4545554484885</v>
          </cell>
          <cell r="AI227">
            <v>3986.4545554484885</v>
          </cell>
          <cell r="AL227">
            <v>3986.4545554484885</v>
          </cell>
          <cell r="AO227">
            <v>3986.4545554484885</v>
          </cell>
        </row>
        <row r="228">
          <cell r="A228" t="str">
            <v>ServiceFrais bancaires</v>
          </cell>
          <cell r="B228" t="str">
            <v>Frais bancaires</v>
          </cell>
          <cell r="E228">
            <v>23398.36077425268</v>
          </cell>
          <cell r="H228">
            <v>1949.8633978543896</v>
          </cell>
          <cell r="K228">
            <v>1949.8633978543896</v>
          </cell>
          <cell r="N228">
            <v>1949.8633978543896</v>
          </cell>
          <cell r="Q228">
            <v>1949.8633978543896</v>
          </cell>
          <cell r="T228">
            <v>1949.8633978543896</v>
          </cell>
          <cell r="W228">
            <v>1949.8633978543896</v>
          </cell>
          <cell r="Z228">
            <v>1949.8633978543896</v>
          </cell>
          <cell r="AC228">
            <v>1949.8633978543896</v>
          </cell>
          <cell r="AF228">
            <v>1949.8633978543896</v>
          </cell>
          <cell r="AI228">
            <v>1949.8633978543896</v>
          </cell>
          <cell r="AL228">
            <v>1949.8633978543896</v>
          </cell>
          <cell r="AO228">
            <v>1949.8633978543896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Service[...]</v>
          </cell>
          <cell r="B231" t="str">
            <v>[...]</v>
          </cell>
          <cell r="E231">
            <v>0</v>
          </cell>
        </row>
        <row r="232">
          <cell r="A232" t="str">
            <v>ServiceTOTAL SEMI-FIXES</v>
          </cell>
          <cell r="B232" t="str">
            <v>TOTAL SEMI-FIXES</v>
          </cell>
          <cell r="C232" t="str">
            <v>%brut</v>
          </cell>
          <cell r="D232">
            <v>0.246335266524187</v>
          </cell>
          <cell r="E232">
            <v>644506.67268789886</v>
          </cell>
          <cell r="F232" t="str">
            <v>%brut</v>
          </cell>
          <cell r="G232">
            <v>0.39922899309282633</v>
          </cell>
          <cell r="H232">
            <v>52708.889390658253</v>
          </cell>
          <cell r="I232" t="str">
            <v>%brut</v>
          </cell>
          <cell r="J232">
            <v>0.41558043850882215</v>
          </cell>
          <cell r="K232">
            <v>52708.889390658253</v>
          </cell>
          <cell r="L232" t="str">
            <v>%brut</v>
          </cell>
          <cell r="M232">
            <v>0.28959103452826801</v>
          </cell>
          <cell r="N232">
            <v>52208.889390658253</v>
          </cell>
          <cell r="O232" t="str">
            <v>%brut</v>
          </cell>
          <cell r="P232">
            <v>0.17246110950128263</v>
          </cell>
          <cell r="Q232">
            <v>52208.889390658253</v>
          </cell>
          <cell r="R232" t="str">
            <v>%brut</v>
          </cell>
          <cell r="S232">
            <v>0.17024376593798041</v>
          </cell>
          <cell r="T232">
            <v>57208.889390658253</v>
          </cell>
          <cell r="U232" t="str">
            <v>%brut</v>
          </cell>
          <cell r="V232">
            <v>0.26750461552533278</v>
          </cell>
          <cell r="W232">
            <v>52708.889390658253</v>
          </cell>
          <cell r="X232" t="str">
            <v>%brut</v>
          </cell>
          <cell r="Y232">
            <v>0.26539262656082535</v>
          </cell>
          <cell r="Z232">
            <v>52708.889390658253</v>
          </cell>
          <cell r="AA232" t="str">
            <v>%brut</v>
          </cell>
          <cell r="AB232">
            <v>0.27253556542151336</v>
          </cell>
          <cell r="AC232">
            <v>50708.889390658253</v>
          </cell>
          <cell r="AD232" t="str">
            <v>%brut</v>
          </cell>
          <cell r="AE232">
            <v>0.30975249763509388</v>
          </cell>
          <cell r="AF232">
            <v>50708.889390658253</v>
          </cell>
          <cell r="AG232" t="str">
            <v>%brut</v>
          </cell>
          <cell r="AH232">
            <v>0.18811203230724324</v>
          </cell>
          <cell r="AI232">
            <v>57208.889390658253</v>
          </cell>
          <cell r="AJ232" t="str">
            <v>%brut</v>
          </cell>
          <cell r="AK232">
            <v>0.18622542527479752</v>
          </cell>
          <cell r="AL232">
            <v>62208.889390658253</v>
          </cell>
          <cell r="AM232" t="str">
            <v>%brut</v>
          </cell>
          <cell r="AN232">
            <v>0.33064337511960989</v>
          </cell>
          <cell r="AO232">
            <v>51208.889390658253</v>
          </cell>
        </row>
        <row r="233">
          <cell r="A233" t="str">
            <v>Service</v>
          </cell>
        </row>
        <row r="234">
          <cell r="A234" t="str">
            <v>ServiceTOTAL DES DÉPENSES</v>
          </cell>
          <cell r="B234" t="str">
            <v>TOTAL DES DÉPENSES</v>
          </cell>
          <cell r="C234" t="str">
            <v>% brut</v>
          </cell>
          <cell r="D234">
            <v>0.84082290447073149</v>
          </cell>
          <cell r="E234">
            <v>2199912.2583083203</v>
          </cell>
          <cell r="F234" t="str">
            <v>% brut</v>
          </cell>
          <cell r="G234">
            <v>1.1822620636163634</v>
          </cell>
          <cell r="H234">
            <v>156090.16734773316</v>
          </cell>
          <cell r="I234" t="str">
            <v>% brut</v>
          </cell>
          <cell r="J234">
            <v>1.2293722372951625</v>
          </cell>
          <cell r="K234">
            <v>155923.71360896289</v>
          </cell>
          <cell r="L234" t="str">
            <v>% brut</v>
          </cell>
          <cell r="M234">
            <v>1.0201859584454698</v>
          </cell>
          <cell r="N234">
            <v>183924.1188842227</v>
          </cell>
          <cell r="O234" t="str">
            <v>% brut</v>
          </cell>
          <cell r="P234">
            <v>0.65270614840032459</v>
          </cell>
          <cell r="Q234">
            <v>197592.73963259341</v>
          </cell>
          <cell r="R234" t="str">
            <v>% brut</v>
          </cell>
          <cell r="S234">
            <v>0.67253948699502497</v>
          </cell>
          <cell r="T234">
            <v>226000.85771343258</v>
          </cell>
          <cell r="U234" t="str">
            <v>% brut</v>
          </cell>
          <cell r="V234">
            <v>0.86479194919573676</v>
          </cell>
          <cell r="W234">
            <v>170397.89428146591</v>
          </cell>
          <cell r="X234" t="str">
            <v>% brut</v>
          </cell>
          <cell r="Y234">
            <v>0.86420938235074252</v>
          </cell>
          <cell r="Z234">
            <v>171638.2151794802</v>
          </cell>
          <cell r="AA234" t="str">
            <v>% brut</v>
          </cell>
          <cell r="AB234">
            <v>0.97869711462492803</v>
          </cell>
          <cell r="AC234">
            <v>182099.6964404055</v>
          </cell>
          <cell r="AD234" t="str">
            <v>% brut</v>
          </cell>
          <cell r="AE234">
            <v>0.9738364778403521</v>
          </cell>
          <cell r="AF234">
            <v>159424.59420478874</v>
          </cell>
          <cell r="AG234" t="str">
            <v>% brut</v>
          </cell>
          <cell r="AH234">
            <v>0.65730181361200612</v>
          </cell>
          <cell r="AI234">
            <v>199899.52949841373</v>
          </cell>
          <cell r="AJ234" t="str">
            <v>% brut</v>
          </cell>
          <cell r="AK234">
            <v>0.70098069723146639</v>
          </cell>
          <cell r="AL234">
            <v>234163.67874961864</v>
          </cell>
          <cell r="AM234" t="str">
            <v>% brut</v>
          </cell>
          <cell r="AN234">
            <v>1.0508828035877187</v>
          </cell>
          <cell r="AO234">
            <v>162757.05276720264</v>
          </cell>
        </row>
        <row r="235">
          <cell r="A235" t="str">
            <v>Service</v>
          </cell>
        </row>
        <row r="236">
          <cell r="A236" t="str">
            <v>ServicePROFIT DÉPARTEMENTAL</v>
          </cell>
          <cell r="B236" t="str">
            <v>PROFIT DÉPARTEMENTAL</v>
          </cell>
          <cell r="E236">
            <v>416467.77440866176</v>
          </cell>
          <cell r="H236">
            <v>-24063.460113064211</v>
          </cell>
          <cell r="K236">
            <v>-29091.734751181968</v>
          </cell>
          <cell r="N236">
            <v>-3639.2234084203956</v>
          </cell>
          <cell r="Q236">
            <v>105135.73951052589</v>
          </cell>
          <cell r="T236">
            <v>110040.1660236679</v>
          </cell>
          <cell r="W236">
            <v>26641.283106733958</v>
          </cell>
          <cell r="Z236">
            <v>26968.995856120659</v>
          </cell>
          <cell r="AC236">
            <v>3963.6869284038257</v>
          </cell>
          <cell r="AF236">
            <v>4283.1717625940801</v>
          </cell>
          <cell r="AI236">
            <v>104221.84269121324</v>
          </cell>
          <cell r="AL236">
            <v>99887.857440252963</v>
          </cell>
          <cell r="AO236">
            <v>-7880.5506381837477</v>
          </cell>
        </row>
        <row r="239">
          <cell r="B239" t="str">
            <v>Budget 2024</v>
          </cell>
          <cell r="C239" t="str">
            <v>Carrosserie</v>
          </cell>
        </row>
        <row r="241">
          <cell r="B241" t="str">
            <v>Mois</v>
          </cell>
          <cell r="C241">
            <v>2024</v>
          </cell>
          <cell r="F241" t="str">
            <v>Janvier</v>
          </cell>
          <cell r="I241" t="str">
            <v>Février</v>
          </cell>
          <cell r="L241" t="str">
            <v>Mars</v>
          </cell>
          <cell r="O241" t="str">
            <v>Avril</v>
          </cell>
          <cell r="R241" t="str">
            <v>Mai</v>
          </cell>
          <cell r="U241" t="str">
            <v>Juin</v>
          </cell>
          <cell r="X241" t="str">
            <v>Juillet</v>
          </cell>
          <cell r="AA241" t="str">
            <v>Août</v>
          </cell>
          <cell r="AD241" t="str">
            <v>Septembre</v>
          </cell>
          <cell r="AG241" t="str">
            <v>Octobre</v>
          </cell>
          <cell r="AJ241" t="str">
            <v>Novembre</v>
          </cell>
          <cell r="AM241" t="str">
            <v>Décembre</v>
          </cell>
        </row>
        <row r="242">
          <cell r="A242" t="str">
            <v>Carrosserie</v>
          </cell>
          <cell r="C242" t="str">
            <v>#</v>
          </cell>
          <cell r="D242" t="str">
            <v>$VENTES</v>
          </cell>
          <cell r="E242" t="str">
            <v>$PROFITS</v>
          </cell>
          <cell r="F242" t="str">
            <v>#</v>
          </cell>
          <cell r="G242" t="str">
            <v>$VENTES</v>
          </cell>
          <cell r="H242" t="str">
            <v>$PROFITS</v>
          </cell>
          <cell r="I242" t="str">
            <v>#</v>
          </cell>
          <cell r="J242" t="str">
            <v>$VENTES</v>
          </cell>
          <cell r="K242" t="str">
            <v>$PROFITS</v>
          </cell>
          <cell r="L242" t="str">
            <v>#</v>
          </cell>
          <cell r="M242" t="str">
            <v>$VENTES</v>
          </cell>
          <cell r="N242" t="str">
            <v>$PROFITS</v>
          </cell>
          <cell r="O242" t="str">
            <v>#</v>
          </cell>
          <cell r="P242" t="str">
            <v>$VENTES</v>
          </cell>
          <cell r="Q242" t="str">
            <v>$PROFITS</v>
          </cell>
          <cell r="R242" t="str">
            <v>#</v>
          </cell>
          <cell r="S242" t="str">
            <v>$VENTES</v>
          </cell>
          <cell r="T242" t="str">
            <v>$PROFITS</v>
          </cell>
          <cell r="U242" t="str">
            <v>#</v>
          </cell>
          <cell r="V242" t="str">
            <v>$VENTES</v>
          </cell>
          <cell r="W242" t="str">
            <v>$PROFITS</v>
          </cell>
          <cell r="X242" t="str">
            <v>#</v>
          </cell>
          <cell r="Y242" t="str">
            <v>$VENTES</v>
          </cell>
          <cell r="Z242" t="str">
            <v>$PROFITS</v>
          </cell>
          <cell r="AA242" t="str">
            <v>#</v>
          </cell>
          <cell r="AB242" t="str">
            <v>$VENTES</v>
          </cell>
          <cell r="AC242" t="str">
            <v>$PROFITS</v>
          </cell>
          <cell r="AD242" t="str">
            <v>#</v>
          </cell>
          <cell r="AE242" t="str">
            <v>$VENTES</v>
          </cell>
          <cell r="AF242" t="str">
            <v>$PROFITS</v>
          </cell>
          <cell r="AG242" t="str">
            <v>#</v>
          </cell>
          <cell r="AH242" t="str">
            <v>$VENTES</v>
          </cell>
          <cell r="AI242" t="str">
            <v>$PROFITS</v>
          </cell>
          <cell r="AJ242" t="str">
            <v>#</v>
          </cell>
          <cell r="AK242" t="str">
            <v>$VENTES</v>
          </cell>
          <cell r="AL242" t="str">
            <v>$PROFITS</v>
          </cell>
          <cell r="AM242" t="str">
            <v>#</v>
          </cell>
          <cell r="AN242" t="str">
            <v>$VENTES</v>
          </cell>
          <cell r="AO242" t="str">
            <v>$PROFITS</v>
          </cell>
        </row>
        <row r="243">
          <cell r="A243" t="str">
            <v>Carrosserie</v>
          </cell>
        </row>
        <row r="244">
          <cell r="A244" t="str">
            <v>CarrosserieM/O Sous-traitement</v>
          </cell>
          <cell r="B244" t="str">
            <v>M/O Sous-traitement</v>
          </cell>
          <cell r="C244">
            <v>0</v>
          </cell>
          <cell r="D244">
            <v>1187551</v>
          </cell>
          <cell r="E244">
            <v>178132.64999999997</v>
          </cell>
          <cell r="F244">
            <v>0</v>
          </cell>
          <cell r="G244">
            <v>114273.79910049828</v>
          </cell>
          <cell r="H244">
            <v>17141.06986507474</v>
          </cell>
          <cell r="I244">
            <v>0</v>
          </cell>
          <cell r="J244">
            <v>87661.944450869094</v>
          </cell>
          <cell r="K244">
            <v>13149.291667630363</v>
          </cell>
          <cell r="L244">
            <v>0</v>
          </cell>
          <cell r="M244">
            <v>127718.26555916485</v>
          </cell>
          <cell r="N244">
            <v>19157.739833874726</v>
          </cell>
          <cell r="O244">
            <v>0</v>
          </cell>
          <cell r="P244">
            <v>111937.99023890575</v>
          </cell>
          <cell r="Q244">
            <v>16790.698535835862</v>
          </cell>
          <cell r="R244">
            <v>0</v>
          </cell>
          <cell r="S244">
            <v>93531.939296992714</v>
          </cell>
          <cell r="T244">
            <v>14029.790894548907</v>
          </cell>
          <cell r="U244">
            <v>0</v>
          </cell>
          <cell r="V244">
            <v>109434.21769626775</v>
          </cell>
          <cell r="W244">
            <v>16415.13265444016</v>
          </cell>
          <cell r="X244">
            <v>0</v>
          </cell>
          <cell r="Y244">
            <v>102279.60711969429</v>
          </cell>
          <cell r="Z244">
            <v>15341.941067954143</v>
          </cell>
          <cell r="AA244">
            <v>0</v>
          </cell>
          <cell r="AB244">
            <v>99362.912856790354</v>
          </cell>
          <cell r="AC244">
            <v>14904.436928518553</v>
          </cell>
          <cell r="AD244">
            <v>0</v>
          </cell>
          <cell r="AE244">
            <v>65414.584168287191</v>
          </cell>
          <cell r="AF244">
            <v>9812.1876252430775</v>
          </cell>
          <cell r="AG244">
            <v>0</v>
          </cell>
          <cell r="AH244">
            <v>105347.5803785967</v>
          </cell>
          <cell r="AI244">
            <v>15802.137056789505</v>
          </cell>
          <cell r="AJ244">
            <v>0</v>
          </cell>
          <cell r="AK244">
            <v>108565.13624085431</v>
          </cell>
          <cell r="AL244">
            <v>16284.770436128145</v>
          </cell>
          <cell r="AM244">
            <v>0</v>
          </cell>
          <cell r="AN244">
            <v>62023.022893078683</v>
          </cell>
          <cell r="AO244">
            <v>9303.4534339618021</v>
          </cell>
        </row>
        <row r="245">
          <cell r="A245" t="str">
            <v>Carrosserie% profit / ventes</v>
          </cell>
          <cell r="B245" t="str">
            <v>% profit / ventes</v>
          </cell>
          <cell r="E245">
            <v>0.14999999999999997</v>
          </cell>
          <cell r="H245">
            <v>0.15</v>
          </cell>
          <cell r="K245">
            <v>0.15</v>
          </cell>
          <cell r="N245">
            <v>0.15</v>
          </cell>
          <cell r="Q245">
            <v>0.15</v>
          </cell>
          <cell r="T245">
            <v>0.15</v>
          </cell>
          <cell r="W245">
            <v>0.14999999999999997</v>
          </cell>
          <cell r="Z245">
            <v>0.15</v>
          </cell>
          <cell r="AC245">
            <v>0.15</v>
          </cell>
          <cell r="AF245">
            <v>0.15</v>
          </cell>
          <cell r="AI245">
            <v>0.15</v>
          </cell>
          <cell r="AL245">
            <v>0.15</v>
          </cell>
          <cell r="AO245">
            <v>0.15</v>
          </cell>
        </row>
        <row r="246">
          <cell r="A246" t="str">
            <v>Carrosserie</v>
          </cell>
        </row>
        <row r="247">
          <cell r="A247" t="str">
            <v>CarrosserieM/O Carrosserie</v>
          </cell>
          <cell r="B247" t="str">
            <v>M/O Carrosserie</v>
          </cell>
          <cell r="C247">
            <v>0</v>
          </cell>
          <cell r="D247">
            <v>0</v>
          </cell>
          <cell r="E247">
            <v>0</v>
          </cell>
        </row>
        <row r="248">
          <cell r="A248" t="str">
            <v>Carrosserie% profit / ventes</v>
          </cell>
          <cell r="B248" t="str">
            <v>% profit / ventes</v>
          </cell>
          <cell r="E248">
            <v>0</v>
          </cell>
          <cell r="H248">
            <v>0</v>
          </cell>
          <cell r="K248">
            <v>0</v>
          </cell>
          <cell r="N248">
            <v>0</v>
          </cell>
          <cell r="Q248">
            <v>0</v>
          </cell>
          <cell r="T248">
            <v>0</v>
          </cell>
          <cell r="W248">
            <v>0</v>
          </cell>
          <cell r="Z248">
            <v>0</v>
          </cell>
          <cell r="AC248">
            <v>0</v>
          </cell>
          <cell r="AF248">
            <v>0</v>
          </cell>
          <cell r="AI248">
            <v>0</v>
          </cell>
          <cell r="AL248">
            <v>0</v>
          </cell>
          <cell r="AO248">
            <v>0</v>
          </cell>
        </row>
        <row r="249">
          <cell r="A249" t="str">
            <v>Carrosserie</v>
          </cell>
        </row>
        <row r="250">
          <cell r="A250" t="str">
            <v>CarrosserieM/O Esthétique Carr.</v>
          </cell>
          <cell r="B250" t="str">
            <v>M/O Esthétique Carr.</v>
          </cell>
          <cell r="C250">
            <v>0</v>
          </cell>
          <cell r="D250">
            <v>0</v>
          </cell>
          <cell r="E250">
            <v>0</v>
          </cell>
        </row>
        <row r="251">
          <cell r="A251" t="str">
            <v>Carrosserie% profit / ventes</v>
          </cell>
          <cell r="B251" t="str">
            <v>% profit / ventes</v>
          </cell>
          <cell r="E251">
            <v>0</v>
          </cell>
          <cell r="H251">
            <v>0</v>
          </cell>
          <cell r="K251">
            <v>0</v>
          </cell>
          <cell r="N251">
            <v>0</v>
          </cell>
          <cell r="Q251">
            <v>0</v>
          </cell>
          <cell r="T251">
            <v>0</v>
          </cell>
          <cell r="W251">
            <v>0</v>
          </cell>
          <cell r="Z251">
            <v>0</v>
          </cell>
          <cell r="AC251">
            <v>0</v>
          </cell>
          <cell r="AF251">
            <v>0</v>
          </cell>
          <cell r="AI251">
            <v>0</v>
          </cell>
          <cell r="AL251">
            <v>0</v>
          </cell>
          <cell r="AO251">
            <v>0</v>
          </cell>
        </row>
        <row r="252">
          <cell r="A252" t="str">
            <v>Carrosserie</v>
          </cell>
        </row>
        <row r="253">
          <cell r="A253" t="str">
            <v>CarrosserieTotal Mécanique</v>
          </cell>
          <cell r="B253" t="str">
            <v>Total Mécanique</v>
          </cell>
          <cell r="D253">
            <v>1187551</v>
          </cell>
          <cell r="E253">
            <v>178132.64999999997</v>
          </cell>
          <cell r="G253">
            <v>114273.79910049828</v>
          </cell>
          <cell r="H253">
            <v>17141.06986507474</v>
          </cell>
          <cell r="J253">
            <v>87661.944450869094</v>
          </cell>
          <cell r="K253">
            <v>13149.291667630363</v>
          </cell>
          <cell r="M253">
            <v>127718.26555916485</v>
          </cell>
          <cell r="N253">
            <v>19157.739833874726</v>
          </cell>
          <cell r="P253">
            <v>111937.99023890575</v>
          </cell>
          <cell r="Q253">
            <v>16790.698535835862</v>
          </cell>
          <cell r="S253">
            <v>93531.939296992714</v>
          </cell>
          <cell r="T253">
            <v>14029.790894548907</v>
          </cell>
          <cell r="V253">
            <v>109434.21769626775</v>
          </cell>
          <cell r="W253">
            <v>16415.13265444016</v>
          </cell>
          <cell r="Y253">
            <v>102279.60711969429</v>
          </cell>
          <cell r="Z253">
            <v>15341.941067954143</v>
          </cell>
          <cell r="AB253">
            <v>99362.912856790354</v>
          </cell>
          <cell r="AC253">
            <v>14904.436928518553</v>
          </cell>
          <cell r="AE253">
            <v>65414.584168287191</v>
          </cell>
          <cell r="AF253">
            <v>9812.1876252430775</v>
          </cell>
          <cell r="AH253">
            <v>105347.5803785967</v>
          </cell>
          <cell r="AI253">
            <v>15802.137056789505</v>
          </cell>
          <cell r="AK253">
            <v>108565.13624085431</v>
          </cell>
          <cell r="AL253">
            <v>16284.770436128145</v>
          </cell>
          <cell r="AN253">
            <v>62023.022893078683</v>
          </cell>
          <cell r="AO253">
            <v>9303.4534339618021</v>
          </cell>
        </row>
        <row r="254">
          <cell r="A254" t="str">
            <v>Carrosserie</v>
          </cell>
          <cell r="E254">
            <v>0.14999999999999997</v>
          </cell>
          <cell r="H254">
            <v>0.15</v>
          </cell>
          <cell r="K254">
            <v>0.15</v>
          </cell>
          <cell r="N254">
            <v>0.15</v>
          </cell>
          <cell r="Q254">
            <v>0.15</v>
          </cell>
          <cell r="T254">
            <v>0.15</v>
          </cell>
          <cell r="W254">
            <v>0.14999999999999997</v>
          </cell>
          <cell r="Z254">
            <v>0.15</v>
          </cell>
          <cell r="AC254">
            <v>0.15</v>
          </cell>
          <cell r="AF254">
            <v>0.15</v>
          </cell>
          <cell r="AI254">
            <v>0.15</v>
          </cell>
          <cell r="AL254">
            <v>0.15</v>
          </cell>
          <cell r="AO254">
            <v>0.15</v>
          </cell>
        </row>
        <row r="255">
          <cell r="A255" t="str">
            <v>Carrosserie</v>
          </cell>
        </row>
        <row r="256">
          <cell r="A256" t="str">
            <v>CarrosserieDEPENSES</v>
          </cell>
          <cell r="B256" t="str">
            <v>DEPENSES</v>
          </cell>
        </row>
        <row r="257">
          <cell r="A257" t="str">
            <v>CarrosserieSalaires cadres</v>
          </cell>
          <cell r="B257" t="str">
            <v>Salaires cadres</v>
          </cell>
          <cell r="E257">
            <v>3865.2249999999995</v>
          </cell>
          <cell r="H257">
            <v>297.32500000000005</v>
          </cell>
          <cell r="K257">
            <v>297.32500000000005</v>
          </cell>
          <cell r="N257">
            <v>371.65625000000006</v>
          </cell>
          <cell r="Q257">
            <v>297.32500000000005</v>
          </cell>
          <cell r="T257">
            <v>371.65625000000006</v>
          </cell>
          <cell r="W257">
            <v>297.32500000000005</v>
          </cell>
          <cell r="Z257">
            <v>297.32500000000005</v>
          </cell>
          <cell r="AC257">
            <v>371.65625000000006</v>
          </cell>
          <cell r="AF257">
            <v>297.32500000000005</v>
          </cell>
          <cell r="AI257">
            <v>297.32500000000005</v>
          </cell>
          <cell r="AL257">
            <v>371.65625000000006</v>
          </cell>
          <cell r="AO257">
            <v>297.32500000000005</v>
          </cell>
        </row>
        <row r="258">
          <cell r="A258" t="str">
            <v>CarrosserieSalaires commis</v>
          </cell>
          <cell r="B258" t="str">
            <v>Salaires commis</v>
          </cell>
          <cell r="E258">
            <v>60628.758000000016</v>
          </cell>
          <cell r="H258">
            <v>4703.7506153846152</v>
          </cell>
          <cell r="K258">
            <v>4703.7506153846152</v>
          </cell>
          <cell r="N258">
            <v>5749.688269230769</v>
          </cell>
          <cell r="Q258">
            <v>4703.7506153846152</v>
          </cell>
          <cell r="T258">
            <v>5749.688269230769</v>
          </cell>
          <cell r="W258">
            <v>4703.7506153846152</v>
          </cell>
          <cell r="Z258">
            <v>4703.7506153846152</v>
          </cell>
          <cell r="AC258">
            <v>5749.688269230769</v>
          </cell>
          <cell r="AF258">
            <v>4703.7506153846152</v>
          </cell>
          <cell r="AI258">
            <v>4703.7506153846152</v>
          </cell>
          <cell r="AL258">
            <v>5749.688269230769</v>
          </cell>
          <cell r="AO258">
            <v>4703.7506153846152</v>
          </cell>
        </row>
        <row r="259">
          <cell r="A259" t="str">
            <v>CarrosserieSalaires autres</v>
          </cell>
          <cell r="B259" t="str">
            <v>Salaires autres</v>
          </cell>
          <cell r="E259">
            <v>227.90000000000006</v>
          </cell>
          <cell r="H259">
            <v>17.530769230769231</v>
          </cell>
          <cell r="K259">
            <v>17.530769230769231</v>
          </cell>
          <cell r="N259">
            <v>21.91346153846154</v>
          </cell>
          <cell r="Q259">
            <v>17.530769230769231</v>
          </cell>
          <cell r="T259">
            <v>21.91346153846154</v>
          </cell>
          <cell r="W259">
            <v>17.530769230769231</v>
          </cell>
          <cell r="Z259">
            <v>17.530769230769231</v>
          </cell>
          <cell r="AC259">
            <v>21.91346153846154</v>
          </cell>
          <cell r="AF259">
            <v>17.530769230769231</v>
          </cell>
          <cell r="AI259">
            <v>17.530769230769231</v>
          </cell>
          <cell r="AL259">
            <v>21.91346153846154</v>
          </cell>
          <cell r="AO259">
            <v>17.530769230769231</v>
          </cell>
        </row>
        <row r="260">
          <cell r="A260" t="str">
            <v>CarrosserieSalaires spécialistes</v>
          </cell>
          <cell r="B260" t="str">
            <v>Salaires spécialistes</v>
          </cell>
          <cell r="E260">
            <v>0</v>
          </cell>
          <cell r="H260">
            <v>0</v>
          </cell>
          <cell r="K260">
            <v>0</v>
          </cell>
          <cell r="N260">
            <v>0</v>
          </cell>
          <cell r="Q260">
            <v>0</v>
          </cell>
          <cell r="T260">
            <v>0</v>
          </cell>
          <cell r="W260">
            <v>0</v>
          </cell>
          <cell r="Z260">
            <v>0</v>
          </cell>
          <cell r="AC260">
            <v>0</v>
          </cell>
          <cell r="AF260">
            <v>0</v>
          </cell>
          <cell r="AI260">
            <v>0</v>
          </cell>
          <cell r="AL260">
            <v>0</v>
          </cell>
          <cell r="AO260">
            <v>0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  <cell r="H261">
            <v>0</v>
          </cell>
          <cell r="K261">
            <v>0</v>
          </cell>
          <cell r="N261">
            <v>0</v>
          </cell>
          <cell r="Q261">
            <v>0</v>
          </cell>
          <cell r="T261">
            <v>0</v>
          </cell>
          <cell r="W261">
            <v>0</v>
          </cell>
          <cell r="Z261">
            <v>0</v>
          </cell>
          <cell r="AC261">
            <v>0</v>
          </cell>
          <cell r="AF261">
            <v>0</v>
          </cell>
          <cell r="AI261">
            <v>0</v>
          </cell>
          <cell r="AL261">
            <v>0</v>
          </cell>
          <cell r="AO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  <cell r="H262">
            <v>0</v>
          </cell>
          <cell r="K262">
            <v>0</v>
          </cell>
          <cell r="N262">
            <v>0</v>
          </cell>
          <cell r="Q262">
            <v>0</v>
          </cell>
          <cell r="T262">
            <v>0</v>
          </cell>
          <cell r="W262">
            <v>0</v>
          </cell>
          <cell r="Z262">
            <v>0</v>
          </cell>
          <cell r="AC262">
            <v>0</v>
          </cell>
          <cell r="AF262">
            <v>0</v>
          </cell>
          <cell r="AI262">
            <v>0</v>
          </cell>
          <cell r="AL262">
            <v>0</v>
          </cell>
          <cell r="AO262">
            <v>0</v>
          </cell>
        </row>
        <row r="263">
          <cell r="A263" t="str">
            <v>Carrosserie[...]</v>
          </cell>
          <cell r="B263" t="str">
            <v>[...]</v>
          </cell>
          <cell r="E263">
            <v>0</v>
          </cell>
          <cell r="H263">
            <v>0</v>
          </cell>
          <cell r="K263">
            <v>0</v>
          </cell>
          <cell r="N263">
            <v>0</v>
          </cell>
          <cell r="Q263">
            <v>0</v>
          </cell>
          <cell r="T263">
            <v>0</v>
          </cell>
          <cell r="W263">
            <v>0</v>
          </cell>
          <cell r="Z263">
            <v>0</v>
          </cell>
          <cell r="AC263">
            <v>0</v>
          </cell>
          <cell r="AF263">
            <v>0</v>
          </cell>
          <cell r="AI263">
            <v>0</v>
          </cell>
          <cell r="AL263">
            <v>0</v>
          </cell>
          <cell r="AO263">
            <v>0</v>
          </cell>
        </row>
        <row r="264">
          <cell r="A264" t="str">
            <v>CarrosserieSalaires en absences</v>
          </cell>
          <cell r="B264" t="str">
            <v>Salaires en absences</v>
          </cell>
          <cell r="E264">
            <v>7697.1027204999991</v>
          </cell>
          <cell r="H264">
            <v>596.62482465384608</v>
          </cell>
          <cell r="K264">
            <v>596.62482465384608</v>
          </cell>
          <cell r="N264">
            <v>731.02603081730774</v>
          </cell>
          <cell r="Q264">
            <v>596.62482465384608</v>
          </cell>
          <cell r="T264">
            <v>731.02603081730774</v>
          </cell>
          <cell r="W264">
            <v>596.62482465384608</v>
          </cell>
          <cell r="Z264">
            <v>596.62482465384608</v>
          </cell>
          <cell r="AC264">
            <v>731.02603081730774</v>
          </cell>
          <cell r="AF264">
            <v>596.62482465384608</v>
          </cell>
          <cell r="AI264">
            <v>596.62482465384608</v>
          </cell>
          <cell r="AL264">
            <v>731.02603081730774</v>
          </cell>
          <cell r="AO264">
            <v>596.62482465384608</v>
          </cell>
        </row>
        <row r="265">
          <cell r="A265" t="str">
            <v>CarrosserieDéduction à la source</v>
          </cell>
          <cell r="B265" t="str">
            <v>Déduction à la source</v>
          </cell>
          <cell r="E265">
            <v>9358.5918539999984</v>
          </cell>
          <cell r="H265">
            <v>725.41168107692306</v>
          </cell>
          <cell r="K265">
            <v>725.41168107692306</v>
          </cell>
          <cell r="N265">
            <v>888.82460134615394</v>
          </cell>
          <cell r="Q265">
            <v>725.41168107692306</v>
          </cell>
          <cell r="T265">
            <v>888.82460134615394</v>
          </cell>
          <cell r="W265">
            <v>725.41168107692306</v>
          </cell>
          <cell r="Z265">
            <v>725.41168107692306</v>
          </cell>
          <cell r="AC265">
            <v>888.82460134615394</v>
          </cell>
          <cell r="AF265">
            <v>725.41168107692306</v>
          </cell>
          <cell r="AI265">
            <v>725.41168107692306</v>
          </cell>
          <cell r="AL265">
            <v>888.82460134615394</v>
          </cell>
          <cell r="AO265">
            <v>725.41168107692306</v>
          </cell>
        </row>
        <row r="266">
          <cell r="A266" t="str">
            <v>CarrosserieBénéfices marginaux</v>
          </cell>
          <cell r="B266" t="str">
            <v>Bénéfices marginaux</v>
          </cell>
          <cell r="E266">
            <v>4821.709281299999</v>
          </cell>
          <cell r="H266">
            <v>373.74471394615375</v>
          </cell>
          <cell r="K266">
            <v>373.74471394615375</v>
          </cell>
          <cell r="N266">
            <v>457.93789243269231</v>
          </cell>
          <cell r="Q266">
            <v>373.74471394615375</v>
          </cell>
          <cell r="T266">
            <v>457.93789243269231</v>
          </cell>
          <cell r="W266">
            <v>373.74471394615375</v>
          </cell>
          <cell r="Z266">
            <v>373.74471394615375</v>
          </cell>
          <cell r="AC266">
            <v>457.93789243269231</v>
          </cell>
          <cell r="AF266">
            <v>373.74471394615375</v>
          </cell>
          <cell r="AI266">
            <v>373.74471394615375</v>
          </cell>
          <cell r="AL266">
            <v>457.93789243269231</v>
          </cell>
          <cell r="AO266">
            <v>373.74471394615375</v>
          </cell>
        </row>
        <row r="267">
          <cell r="A267" t="str">
            <v>CarrosserieCsst</v>
          </cell>
          <cell r="B267" t="str">
            <v>Csst</v>
          </cell>
          <cell r="E267">
            <v>2102.2923729999998</v>
          </cell>
          <cell r="H267">
            <v>162.95479792307691</v>
          </cell>
          <cell r="K267">
            <v>162.95479792307691</v>
          </cell>
          <cell r="N267">
            <v>199.66349740384615</v>
          </cell>
          <cell r="Q267">
            <v>162.95479792307691</v>
          </cell>
          <cell r="T267">
            <v>199.66349740384615</v>
          </cell>
          <cell r="W267">
            <v>162.95479792307691</v>
          </cell>
          <cell r="Z267">
            <v>162.95479792307691</v>
          </cell>
          <cell r="AC267">
            <v>199.66349740384615</v>
          </cell>
          <cell r="AF267">
            <v>162.95479792307691</v>
          </cell>
          <cell r="AI267">
            <v>162.95479792307691</v>
          </cell>
          <cell r="AL267">
            <v>199.66349740384615</v>
          </cell>
          <cell r="AO267">
            <v>162.95479792307691</v>
          </cell>
        </row>
        <row r="268">
          <cell r="A268" t="str">
            <v>Carrosserie[...]</v>
          </cell>
          <cell r="B268" t="str">
            <v>[...]</v>
          </cell>
          <cell r="E268">
            <v>0</v>
          </cell>
        </row>
        <row r="269">
          <cell r="A269" t="str">
            <v>CarrosserieTOTAL PERSONNEL</v>
          </cell>
          <cell r="B269" t="str">
            <v>TOTAL PERSONNEL</v>
          </cell>
          <cell r="C269" t="str">
            <v>% brut</v>
          </cell>
          <cell r="D269">
            <v>0</v>
          </cell>
          <cell r="E269">
            <v>88701.579228800023</v>
          </cell>
          <cell r="F269" t="str">
            <v>% brut</v>
          </cell>
          <cell r="G269">
            <v>0</v>
          </cell>
          <cell r="H269">
            <v>6877.3424022153831</v>
          </cell>
          <cell r="I269" t="str">
            <v>% brut</v>
          </cell>
          <cell r="J269">
            <v>0</v>
          </cell>
          <cell r="K269">
            <v>6877.3424022153831</v>
          </cell>
          <cell r="L269" t="str">
            <v>% brut</v>
          </cell>
          <cell r="M269">
            <v>0</v>
          </cell>
          <cell r="N269">
            <v>8420.7100027692304</v>
          </cell>
          <cell r="O269" t="str">
            <v>% brut</v>
          </cell>
          <cell r="P269">
            <v>0</v>
          </cell>
          <cell r="Q269">
            <v>6877.3424022153831</v>
          </cell>
          <cell r="R269" t="str">
            <v>% brut</v>
          </cell>
          <cell r="S269">
            <v>0</v>
          </cell>
          <cell r="T269">
            <v>8420.7100027692304</v>
          </cell>
          <cell r="U269" t="str">
            <v>% brut</v>
          </cell>
          <cell r="V269">
            <v>0</v>
          </cell>
          <cell r="W269">
            <v>6877.3424022153831</v>
          </cell>
          <cell r="X269" t="str">
            <v>% brut</v>
          </cell>
          <cell r="Y269">
            <v>0</v>
          </cell>
          <cell r="Z269">
            <v>6877.3424022153831</v>
          </cell>
          <cell r="AA269" t="str">
            <v>% brut</v>
          </cell>
          <cell r="AB269">
            <v>0</v>
          </cell>
          <cell r="AC269">
            <v>8420.7100027692304</v>
          </cell>
          <cell r="AD269" t="str">
            <v>% brut</v>
          </cell>
          <cell r="AE269">
            <v>0</v>
          </cell>
          <cell r="AF269">
            <v>6877.3424022153831</v>
          </cell>
          <cell r="AG269" t="str">
            <v>% brut</v>
          </cell>
          <cell r="AH269">
            <v>0</v>
          </cell>
          <cell r="AI269">
            <v>6877.3424022153831</v>
          </cell>
          <cell r="AJ269" t="str">
            <v>% brut</v>
          </cell>
          <cell r="AK269">
            <v>0</v>
          </cell>
          <cell r="AL269">
            <v>8420.7100027692304</v>
          </cell>
          <cell r="AM269" t="str">
            <v>% brut</v>
          </cell>
          <cell r="AN269">
            <v>0</v>
          </cell>
          <cell r="AO269">
            <v>6877.3424022153831</v>
          </cell>
        </row>
        <row r="270">
          <cell r="A270" t="str">
            <v>CarrosseriePublicité 2</v>
          </cell>
          <cell r="B270" t="str">
            <v>Publicité 2</v>
          </cell>
          <cell r="E270">
            <v>0</v>
          </cell>
          <cell r="H270">
            <v>0</v>
          </cell>
          <cell r="K270">
            <v>0</v>
          </cell>
          <cell r="N270">
            <v>0</v>
          </cell>
          <cell r="Q270">
            <v>0</v>
          </cell>
          <cell r="T270">
            <v>0</v>
          </cell>
          <cell r="W270">
            <v>0</v>
          </cell>
          <cell r="Z270">
            <v>0</v>
          </cell>
          <cell r="AC270">
            <v>0</v>
          </cell>
          <cell r="AF270">
            <v>0</v>
          </cell>
          <cell r="AI270">
            <v>0</v>
          </cell>
          <cell r="AL270">
            <v>0</v>
          </cell>
          <cell r="AO270">
            <v>0</v>
          </cell>
        </row>
        <row r="271">
          <cell r="A271" t="str">
            <v>CarrosserieService gratuit 2</v>
          </cell>
          <cell r="B271" t="str">
            <v>Service gratuit 2</v>
          </cell>
          <cell r="E271">
            <v>7126.8787510789762</v>
          </cell>
          <cell r="H271">
            <v>593.90656258991453</v>
          </cell>
          <cell r="K271">
            <v>593.90656258991453</v>
          </cell>
          <cell r="N271">
            <v>593.90656258991453</v>
          </cell>
          <cell r="Q271">
            <v>593.90656258991453</v>
          </cell>
          <cell r="T271">
            <v>593.90656258991453</v>
          </cell>
          <cell r="W271">
            <v>593.90656258991453</v>
          </cell>
          <cell r="Z271">
            <v>593.90656258991453</v>
          </cell>
          <cell r="AC271">
            <v>593.90656258991453</v>
          </cell>
          <cell r="AF271">
            <v>593.90656258991453</v>
          </cell>
          <cell r="AI271">
            <v>593.90656258991453</v>
          </cell>
          <cell r="AL271">
            <v>593.90656258991453</v>
          </cell>
          <cell r="AO271">
            <v>593.90656258991453</v>
          </cell>
        </row>
        <row r="272">
          <cell r="A272" t="str">
            <v>CarrosserieFrais véhicules de cie</v>
          </cell>
          <cell r="B272" t="str">
            <v>Frais véhicules de cie</v>
          </cell>
          <cell r="E272">
            <v>0</v>
          </cell>
          <cell r="H272">
            <v>0</v>
          </cell>
          <cell r="K272">
            <v>0</v>
          </cell>
          <cell r="N272">
            <v>0</v>
          </cell>
          <cell r="Q272">
            <v>0</v>
          </cell>
          <cell r="T272">
            <v>0</v>
          </cell>
          <cell r="W272">
            <v>0</v>
          </cell>
          <cell r="Z272">
            <v>0</v>
          </cell>
          <cell r="AC272">
            <v>0</v>
          </cell>
          <cell r="AF272">
            <v>0</v>
          </cell>
          <cell r="AI272">
            <v>0</v>
          </cell>
          <cell r="AL272">
            <v>0</v>
          </cell>
          <cell r="AO272">
            <v>0</v>
          </cell>
        </row>
        <row r="273">
          <cell r="A273" t="str">
            <v>CarrosserieInformatique</v>
          </cell>
          <cell r="B273" t="str">
            <v>Informatique</v>
          </cell>
          <cell r="E273">
            <v>17209.607161333337</v>
          </cell>
          <cell r="H273">
            <v>1434.1339301111113</v>
          </cell>
          <cell r="K273">
            <v>1434.1339301111113</v>
          </cell>
          <cell r="N273">
            <v>1434.1339301111113</v>
          </cell>
          <cell r="Q273">
            <v>1434.1339301111113</v>
          </cell>
          <cell r="T273">
            <v>1434.1339301111113</v>
          </cell>
          <cell r="W273">
            <v>1434.1339301111113</v>
          </cell>
          <cell r="Z273">
            <v>1434.1339301111113</v>
          </cell>
          <cell r="AC273">
            <v>1434.1339301111113</v>
          </cell>
          <cell r="AF273">
            <v>1434.1339301111113</v>
          </cell>
          <cell r="AI273">
            <v>1434.1339301111113</v>
          </cell>
          <cell r="AL273">
            <v>1434.1339301111113</v>
          </cell>
          <cell r="AO273">
            <v>1434.1339301111113</v>
          </cell>
        </row>
        <row r="274">
          <cell r="A274" t="str">
            <v>CarrosserieFrais de déplacement</v>
          </cell>
          <cell r="B274" t="str">
            <v>Frais de déplacement</v>
          </cell>
          <cell r="E274">
            <v>2141.1807663028917</v>
          </cell>
          <cell r="H274">
            <v>178.43173052524097</v>
          </cell>
          <cell r="K274">
            <v>178.43173052524097</v>
          </cell>
          <cell r="N274">
            <v>178.43173052524097</v>
          </cell>
          <cell r="Q274">
            <v>178.43173052524097</v>
          </cell>
          <cell r="T274">
            <v>178.43173052524097</v>
          </cell>
          <cell r="W274">
            <v>178.43173052524097</v>
          </cell>
          <cell r="Z274">
            <v>178.43173052524097</v>
          </cell>
          <cell r="AC274">
            <v>178.43173052524097</v>
          </cell>
          <cell r="AF274">
            <v>178.43173052524097</v>
          </cell>
          <cell r="AI274">
            <v>178.43173052524097</v>
          </cell>
          <cell r="AL274">
            <v>178.43173052524097</v>
          </cell>
          <cell r="AO274">
            <v>178.43173052524097</v>
          </cell>
        </row>
        <row r="275">
          <cell r="A275" t="str">
            <v>CarrosserieServices extérieurs</v>
          </cell>
          <cell r="B275" t="str">
            <v>Services extérieurs</v>
          </cell>
          <cell r="E275">
            <v>8118.614435794444</v>
          </cell>
          <cell r="H275">
            <v>676.55120298287022</v>
          </cell>
          <cell r="K275">
            <v>676.55120298287022</v>
          </cell>
          <cell r="N275">
            <v>676.55120298287022</v>
          </cell>
          <cell r="Q275">
            <v>676.55120298287022</v>
          </cell>
          <cell r="T275">
            <v>676.55120298287022</v>
          </cell>
          <cell r="W275">
            <v>676.55120298287022</v>
          </cell>
          <cell r="Z275">
            <v>676.55120298287022</v>
          </cell>
          <cell r="AC275">
            <v>676.55120298287022</v>
          </cell>
          <cell r="AF275">
            <v>676.55120298287022</v>
          </cell>
          <cell r="AI275">
            <v>676.55120298287022</v>
          </cell>
          <cell r="AL275">
            <v>676.55120298287022</v>
          </cell>
          <cell r="AO275">
            <v>676.55120298287022</v>
          </cell>
        </row>
        <row r="276">
          <cell r="A276" t="str">
            <v>CarrosserieFournitures d'atelier</v>
          </cell>
          <cell r="B276" t="str">
            <v>Fournitures d'atelier</v>
          </cell>
          <cell r="E276">
            <v>0</v>
          </cell>
          <cell r="H276">
            <v>0</v>
          </cell>
          <cell r="K276">
            <v>0</v>
          </cell>
          <cell r="N276">
            <v>0</v>
          </cell>
          <cell r="Q276">
            <v>0</v>
          </cell>
          <cell r="T276">
            <v>0</v>
          </cell>
          <cell r="W276">
            <v>0</v>
          </cell>
          <cell r="Z276">
            <v>0</v>
          </cell>
          <cell r="AC276">
            <v>0</v>
          </cell>
          <cell r="AF276">
            <v>0</v>
          </cell>
          <cell r="AI276">
            <v>0</v>
          </cell>
          <cell r="AL276">
            <v>0</v>
          </cell>
          <cell r="AO276">
            <v>0</v>
          </cell>
        </row>
        <row r="277">
          <cell r="A277" t="str">
            <v>CarrosserieFournitures autres</v>
          </cell>
          <cell r="B277" t="str">
            <v>Fournitures autres</v>
          </cell>
          <cell r="E277">
            <v>1500</v>
          </cell>
          <cell r="H277">
            <v>125</v>
          </cell>
          <cell r="K277">
            <v>125</v>
          </cell>
          <cell r="N277">
            <v>125</v>
          </cell>
          <cell r="Q277">
            <v>125</v>
          </cell>
          <cell r="T277">
            <v>125</v>
          </cell>
          <cell r="W277">
            <v>125</v>
          </cell>
          <cell r="Z277">
            <v>125</v>
          </cell>
          <cell r="AC277">
            <v>125</v>
          </cell>
          <cell r="AF277">
            <v>125</v>
          </cell>
          <cell r="AI277">
            <v>125</v>
          </cell>
          <cell r="AL277">
            <v>125</v>
          </cell>
          <cell r="AO277">
            <v>125</v>
          </cell>
        </row>
        <row r="278">
          <cell r="A278" t="str">
            <v>CarrosserieUniformes</v>
          </cell>
          <cell r="B278" t="str">
            <v>Uniformes</v>
          </cell>
          <cell r="E278">
            <v>1000.0000000000001</v>
          </cell>
          <cell r="H278">
            <v>83.333333333333329</v>
          </cell>
          <cell r="K278">
            <v>83.333333333333329</v>
          </cell>
          <cell r="N278">
            <v>83.333333333333329</v>
          </cell>
          <cell r="Q278">
            <v>83.333333333333329</v>
          </cell>
          <cell r="T278">
            <v>83.333333333333329</v>
          </cell>
          <cell r="W278">
            <v>83.333333333333329</v>
          </cell>
          <cell r="Z278">
            <v>83.333333333333329</v>
          </cell>
          <cell r="AC278">
            <v>83.333333333333329</v>
          </cell>
          <cell r="AF278">
            <v>83.333333333333329</v>
          </cell>
          <cell r="AI278">
            <v>83.333333333333329</v>
          </cell>
          <cell r="AL278">
            <v>83.333333333333329</v>
          </cell>
          <cell r="AO278">
            <v>83.333333333333329</v>
          </cell>
        </row>
        <row r="279">
          <cell r="A279" t="str">
            <v>CarrosseriePapeterie</v>
          </cell>
          <cell r="B279" t="str">
            <v>Papeterie</v>
          </cell>
          <cell r="E279">
            <v>1890.7022489159997</v>
          </cell>
          <cell r="H279">
            <v>157.558520743</v>
          </cell>
          <cell r="K279">
            <v>157.558520743</v>
          </cell>
          <cell r="N279">
            <v>157.558520743</v>
          </cell>
          <cell r="Q279">
            <v>157.558520743</v>
          </cell>
          <cell r="T279">
            <v>157.558520743</v>
          </cell>
          <cell r="W279">
            <v>157.558520743</v>
          </cell>
          <cell r="Z279">
            <v>157.558520743</v>
          </cell>
          <cell r="AC279">
            <v>157.558520743</v>
          </cell>
          <cell r="AF279">
            <v>157.558520743</v>
          </cell>
          <cell r="AI279">
            <v>157.558520743</v>
          </cell>
          <cell r="AL279">
            <v>157.558520743</v>
          </cell>
          <cell r="AO279">
            <v>157.558520743</v>
          </cell>
        </row>
        <row r="280">
          <cell r="A280" t="str">
            <v>CarrosserieTéléphone</v>
          </cell>
          <cell r="B280" t="str">
            <v>Téléphone</v>
          </cell>
          <cell r="E280">
            <v>441.36442326383332</v>
          </cell>
          <cell r="H280">
            <v>36.780368605319445</v>
          </cell>
          <cell r="K280">
            <v>36.780368605319445</v>
          </cell>
          <cell r="N280">
            <v>36.780368605319445</v>
          </cell>
          <cell r="Q280">
            <v>36.780368605319445</v>
          </cell>
          <cell r="T280">
            <v>36.780368605319445</v>
          </cell>
          <cell r="W280">
            <v>36.780368605319445</v>
          </cell>
          <cell r="Z280">
            <v>36.780368605319445</v>
          </cell>
          <cell r="AC280">
            <v>36.780368605319445</v>
          </cell>
          <cell r="AF280">
            <v>36.780368605319445</v>
          </cell>
          <cell r="AI280">
            <v>36.780368605319445</v>
          </cell>
          <cell r="AL280">
            <v>36.780368605319445</v>
          </cell>
          <cell r="AO280">
            <v>36.780368605319445</v>
          </cell>
        </row>
        <row r="281">
          <cell r="A281" t="str">
            <v>CarrosserieFrais postaux</v>
          </cell>
          <cell r="B281" t="str">
            <v>Frais postaux</v>
          </cell>
          <cell r="E281">
            <v>296.94878225616674</v>
          </cell>
          <cell r="H281">
            <v>24.745731854680557</v>
          </cell>
          <cell r="K281">
            <v>24.745731854680557</v>
          </cell>
          <cell r="N281">
            <v>24.745731854680557</v>
          </cell>
          <cell r="Q281">
            <v>24.745731854680557</v>
          </cell>
          <cell r="T281">
            <v>24.745731854680557</v>
          </cell>
          <cell r="W281">
            <v>24.745731854680557</v>
          </cell>
          <cell r="Z281">
            <v>24.745731854680557</v>
          </cell>
          <cell r="AC281">
            <v>24.745731854680557</v>
          </cell>
          <cell r="AF281">
            <v>24.745731854680557</v>
          </cell>
          <cell r="AI281">
            <v>24.745731854680557</v>
          </cell>
          <cell r="AL281">
            <v>24.745731854680557</v>
          </cell>
          <cell r="AO281">
            <v>24.745731854680557</v>
          </cell>
        </row>
        <row r="282">
          <cell r="A282" t="str">
            <v>CarrosserieDivers</v>
          </cell>
          <cell r="B282" t="str">
            <v>Divers</v>
          </cell>
          <cell r="E282">
            <v>2819.9935590171658</v>
          </cell>
          <cell r="H282">
            <v>234.99946325143051</v>
          </cell>
          <cell r="K282">
            <v>234.99946325143051</v>
          </cell>
          <cell r="N282">
            <v>234.99946325143051</v>
          </cell>
          <cell r="Q282">
            <v>234.99946325143051</v>
          </cell>
          <cell r="T282">
            <v>234.99946325143051</v>
          </cell>
          <cell r="W282">
            <v>234.99946325143051</v>
          </cell>
          <cell r="Z282">
            <v>234.99946325143051</v>
          </cell>
          <cell r="AC282">
            <v>234.99946325143051</v>
          </cell>
          <cell r="AF282">
            <v>234.99946325143051</v>
          </cell>
          <cell r="AI282">
            <v>234.99946325143051</v>
          </cell>
          <cell r="AL282">
            <v>234.99946325143051</v>
          </cell>
          <cell r="AO282">
            <v>234.99946325143051</v>
          </cell>
        </row>
        <row r="283">
          <cell r="A283" t="str">
            <v>CarrosserieFormation</v>
          </cell>
          <cell r="B283" t="str">
            <v>Formation</v>
          </cell>
          <cell r="E283">
            <v>5211.9018277758541</v>
          </cell>
          <cell r="H283">
            <v>434.32515231465453</v>
          </cell>
          <cell r="K283">
            <v>434.32515231465453</v>
          </cell>
          <cell r="N283">
            <v>434.32515231465453</v>
          </cell>
          <cell r="Q283">
            <v>434.32515231465453</v>
          </cell>
          <cell r="T283">
            <v>434.32515231465453</v>
          </cell>
          <cell r="W283">
            <v>434.32515231465453</v>
          </cell>
          <cell r="Z283">
            <v>434.32515231465453</v>
          </cell>
          <cell r="AC283">
            <v>434.32515231465453</v>
          </cell>
          <cell r="AF283">
            <v>434.32515231465453</v>
          </cell>
          <cell r="AI283">
            <v>434.32515231465453</v>
          </cell>
          <cell r="AL283">
            <v>434.32515231465453</v>
          </cell>
          <cell r="AO283">
            <v>434.32515231465453</v>
          </cell>
        </row>
        <row r="284">
          <cell r="A284" t="str">
            <v>CarrosserieFrais bancaires</v>
          </cell>
          <cell r="B284" t="str">
            <v>Frais bancaires</v>
          </cell>
          <cell r="E284">
            <v>2463.3784661654386</v>
          </cell>
          <cell r="H284">
            <v>205.2815388471198</v>
          </cell>
          <cell r="K284">
            <v>205.2815388471198</v>
          </cell>
          <cell r="N284">
            <v>205.2815388471198</v>
          </cell>
          <cell r="Q284">
            <v>205.2815388471198</v>
          </cell>
          <cell r="T284">
            <v>205.2815388471198</v>
          </cell>
          <cell r="W284">
            <v>205.2815388471198</v>
          </cell>
          <cell r="Z284">
            <v>205.2815388471198</v>
          </cell>
          <cell r="AC284">
            <v>205.2815388471198</v>
          </cell>
          <cell r="AF284">
            <v>205.2815388471198</v>
          </cell>
          <cell r="AI284">
            <v>205.2815388471198</v>
          </cell>
          <cell r="AL284">
            <v>205.2815388471198</v>
          </cell>
          <cell r="AO284">
            <v>205.2815388471198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Carrosserie[...]</v>
          </cell>
          <cell r="B287" t="str">
            <v>[...]</v>
          </cell>
          <cell r="E287">
            <v>0</v>
          </cell>
        </row>
        <row r="288">
          <cell r="A288" t="str">
            <v>CarrosserieTOTAL SEMI-FIXES</v>
          </cell>
          <cell r="B288" t="str">
            <v>TOTAL SEMI-FIXES</v>
          </cell>
          <cell r="C288" t="str">
            <v>% brut</v>
          </cell>
          <cell r="D288">
            <v>0</v>
          </cell>
          <cell r="E288">
            <v>50220.5704219041</v>
          </cell>
          <cell r="F288" t="str">
            <v>% brut</v>
          </cell>
          <cell r="G288">
            <v>0</v>
          </cell>
          <cell r="H288">
            <v>4185.0475351586747</v>
          </cell>
          <cell r="I288" t="str">
            <v>% brut</v>
          </cell>
          <cell r="J288">
            <v>0</v>
          </cell>
          <cell r="K288">
            <v>4185.0475351586747</v>
          </cell>
          <cell r="L288" t="str">
            <v>% brut</v>
          </cell>
          <cell r="M288">
            <v>0</v>
          </cell>
          <cell r="N288">
            <v>4185.0475351586747</v>
          </cell>
          <cell r="O288" t="str">
            <v>% brut</v>
          </cell>
          <cell r="P288">
            <v>0</v>
          </cell>
          <cell r="Q288">
            <v>4185.0475351586747</v>
          </cell>
          <cell r="R288" t="str">
            <v>% brut</v>
          </cell>
          <cell r="S288">
            <v>0</v>
          </cell>
          <cell r="T288">
            <v>4185.0475351586747</v>
          </cell>
          <cell r="U288" t="str">
            <v>% brut</v>
          </cell>
          <cell r="V288">
            <v>0</v>
          </cell>
          <cell r="W288">
            <v>4185.0475351586747</v>
          </cell>
          <cell r="X288" t="str">
            <v>% brut</v>
          </cell>
          <cell r="Y288">
            <v>0</v>
          </cell>
          <cell r="Z288">
            <v>4185.0475351586747</v>
          </cell>
          <cell r="AA288" t="str">
            <v>% brut</v>
          </cell>
          <cell r="AB288">
            <v>0</v>
          </cell>
          <cell r="AC288">
            <v>4185.0475351586747</v>
          </cell>
          <cell r="AD288" t="str">
            <v>% brut</v>
          </cell>
          <cell r="AE288">
            <v>0</v>
          </cell>
          <cell r="AF288">
            <v>4185.0475351586747</v>
          </cell>
          <cell r="AG288" t="str">
            <v>% brut</v>
          </cell>
          <cell r="AH288">
            <v>0</v>
          </cell>
          <cell r="AI288">
            <v>4185.0475351586747</v>
          </cell>
          <cell r="AJ288" t="str">
            <v>% brut</v>
          </cell>
          <cell r="AK288">
            <v>0</v>
          </cell>
          <cell r="AL288">
            <v>4185.0475351586747</v>
          </cell>
          <cell r="AM288" t="str">
            <v>% brut</v>
          </cell>
          <cell r="AN288">
            <v>0</v>
          </cell>
          <cell r="AO288">
            <v>4185.0475351586747</v>
          </cell>
        </row>
        <row r="289">
          <cell r="A289" t="str">
            <v>Carrosserie</v>
          </cell>
        </row>
        <row r="290">
          <cell r="A290" t="str">
            <v>CarrosserieTOTAL DES DÉPENSES</v>
          </cell>
          <cell r="B290" t="str">
            <v>TOTAL DES DÉPENSES</v>
          </cell>
          <cell r="C290" t="str">
            <v>% brut</v>
          </cell>
          <cell r="D290">
            <v>0</v>
          </cell>
          <cell r="E290">
            <v>138922.14965070412</v>
          </cell>
          <cell r="F290" t="str">
            <v>% brut</v>
          </cell>
          <cell r="G290">
            <v>0</v>
          </cell>
          <cell r="H290">
            <v>11062.389937374057</v>
          </cell>
          <cell r="I290" t="str">
            <v>% brut</v>
          </cell>
          <cell r="J290">
            <v>0</v>
          </cell>
          <cell r="K290">
            <v>11062.389937374057</v>
          </cell>
          <cell r="L290" t="str">
            <v>% brut</v>
          </cell>
          <cell r="M290">
            <v>0</v>
          </cell>
          <cell r="N290">
            <v>12605.757537927904</v>
          </cell>
          <cell r="O290" t="str">
            <v>% brut</v>
          </cell>
          <cell r="P290">
            <v>0</v>
          </cell>
          <cell r="Q290">
            <v>11062.389937374057</v>
          </cell>
          <cell r="R290" t="str">
            <v>% brut</v>
          </cell>
          <cell r="S290">
            <v>0</v>
          </cell>
          <cell r="T290">
            <v>12605.757537927904</v>
          </cell>
          <cell r="U290" t="str">
            <v>% brut</v>
          </cell>
          <cell r="V290">
            <v>0</v>
          </cell>
          <cell r="W290">
            <v>11062.389937374057</v>
          </cell>
          <cell r="X290" t="str">
            <v>% brut</v>
          </cell>
          <cell r="Y290">
            <v>0</v>
          </cell>
          <cell r="Z290">
            <v>11062.389937374057</v>
          </cell>
          <cell r="AA290" t="str">
            <v>% brut</v>
          </cell>
          <cell r="AB290">
            <v>0</v>
          </cell>
          <cell r="AC290">
            <v>12605.757537927904</v>
          </cell>
          <cell r="AD290" t="str">
            <v>% brut</v>
          </cell>
          <cell r="AE290">
            <v>0</v>
          </cell>
          <cell r="AF290">
            <v>11062.389937374057</v>
          </cell>
          <cell r="AG290" t="str">
            <v>% brut</v>
          </cell>
          <cell r="AH290">
            <v>0</v>
          </cell>
          <cell r="AI290">
            <v>11062.389937374057</v>
          </cell>
          <cell r="AJ290" t="str">
            <v>% brut</v>
          </cell>
          <cell r="AK290">
            <v>0</v>
          </cell>
          <cell r="AL290">
            <v>12605.757537927904</v>
          </cell>
          <cell r="AM290" t="str">
            <v>% brut</v>
          </cell>
          <cell r="AN290">
            <v>0</v>
          </cell>
          <cell r="AO290">
            <v>11062.389937374057</v>
          </cell>
        </row>
        <row r="291">
          <cell r="A291" t="str">
            <v>Carrosserie</v>
          </cell>
        </row>
        <row r="292">
          <cell r="A292" t="str">
            <v>CarrosseriePROFIT DÉPARTEMENTAL</v>
          </cell>
          <cell r="B292" t="str">
            <v>PROFIT DÉPARTEMENTAL</v>
          </cell>
          <cell r="E292">
            <v>39210.500349295849</v>
          </cell>
          <cell r="H292">
            <v>6078.679927700683</v>
          </cell>
          <cell r="K292">
            <v>2086.9017302563061</v>
          </cell>
          <cell r="N292">
            <v>6551.982295946822</v>
          </cell>
          <cell r="Q292">
            <v>5728.3085984618046</v>
          </cell>
          <cell r="T292">
            <v>1424.0333566210029</v>
          </cell>
          <cell r="W292">
            <v>5352.7427170661031</v>
          </cell>
          <cell r="Z292">
            <v>4279.5511305800865</v>
          </cell>
          <cell r="AC292">
            <v>2298.6793905906488</v>
          </cell>
          <cell r="AF292">
            <v>-1250.2023121309794</v>
          </cell>
          <cell r="AI292">
            <v>4739.7471194154477</v>
          </cell>
          <cell r="AL292">
            <v>3679.0128982002407</v>
          </cell>
          <cell r="AO292">
            <v>-1758.9365034122548</v>
          </cell>
        </row>
        <row r="294">
          <cell r="B294" t="str">
            <v>Budget 2024</v>
          </cell>
          <cell r="C294" t="str">
            <v>Pièces</v>
          </cell>
        </row>
        <row r="296">
          <cell r="B296" t="str">
            <v>Mois</v>
          </cell>
          <cell r="C296">
            <v>2024</v>
          </cell>
          <cell r="F296" t="str">
            <v>Janvier</v>
          </cell>
          <cell r="I296" t="str">
            <v>Février</v>
          </cell>
          <cell r="L296" t="str">
            <v>Mars</v>
          </cell>
          <cell r="O296" t="str">
            <v>Avril</v>
          </cell>
          <cell r="R296" t="str">
            <v>Mai</v>
          </cell>
          <cell r="U296" t="str">
            <v>Juin</v>
          </cell>
          <cell r="X296" t="str">
            <v>Juillet</v>
          </cell>
          <cell r="AA296" t="str">
            <v>Août</v>
          </cell>
          <cell r="AD296" t="str">
            <v>Septembre</v>
          </cell>
          <cell r="AG296" t="str">
            <v>Octobre</v>
          </cell>
          <cell r="AJ296" t="str">
            <v>Novembre</v>
          </cell>
          <cell r="AM296" t="str">
            <v>Décembre</v>
          </cell>
        </row>
        <row r="297">
          <cell r="A297" t="str">
            <v>Pièces</v>
          </cell>
          <cell r="C297" t="str">
            <v>$VENTES</v>
          </cell>
          <cell r="D297" t="str">
            <v>% P. BRUT</v>
          </cell>
          <cell r="E297" t="str">
            <v>$PROFITS</v>
          </cell>
          <cell r="F297" t="str">
            <v>$VENTES</v>
          </cell>
          <cell r="G297" t="str">
            <v>% P. BRUT</v>
          </cell>
          <cell r="H297" t="str">
            <v>$PROFITS</v>
          </cell>
          <cell r="I297" t="str">
            <v>$VENTES</v>
          </cell>
          <cell r="J297" t="str">
            <v>% P. BRUT</v>
          </cell>
          <cell r="K297" t="str">
            <v>$PROFITS</v>
          </cell>
          <cell r="L297" t="str">
            <v>$VENTES</v>
          </cell>
          <cell r="M297" t="str">
            <v>% P. BRUT</v>
          </cell>
          <cell r="N297" t="str">
            <v>$PROFITS</v>
          </cell>
          <cell r="O297" t="str">
            <v>$VENTES</v>
          </cell>
          <cell r="P297" t="str">
            <v>% P. BRUT</v>
          </cell>
          <cell r="Q297" t="str">
            <v>$PROFITS</v>
          </cell>
          <cell r="R297" t="str">
            <v>$VENTES</v>
          </cell>
          <cell r="S297" t="str">
            <v>% P. BRUT</v>
          </cell>
          <cell r="T297" t="str">
            <v>$PROFITS</v>
          </cell>
          <cell r="U297" t="str">
            <v>$VENTES</v>
          </cell>
          <cell r="V297" t="str">
            <v>% P. BRUT</v>
          </cell>
          <cell r="W297" t="str">
            <v>$PROFITS</v>
          </cell>
          <cell r="X297" t="str">
            <v>$VENTES</v>
          </cell>
          <cell r="Y297" t="str">
            <v>% P. BRUT</v>
          </cell>
          <cell r="Z297" t="str">
            <v>$PROFITS</v>
          </cell>
          <cell r="AA297" t="str">
            <v>$VENTES</v>
          </cell>
          <cell r="AB297" t="str">
            <v>% P. BRUT</v>
          </cell>
          <cell r="AC297" t="str">
            <v>$PROFITS</v>
          </cell>
          <cell r="AD297" t="str">
            <v>$VENTES</v>
          </cell>
          <cell r="AE297" t="str">
            <v>% P. BRUT</v>
          </cell>
          <cell r="AF297" t="str">
            <v>$PROFITS</v>
          </cell>
          <cell r="AG297" t="str">
            <v>$VENTES</v>
          </cell>
          <cell r="AH297" t="str">
            <v>% P. BRUT</v>
          </cell>
          <cell r="AI297" t="str">
            <v>$PROFITS</v>
          </cell>
          <cell r="AJ297" t="str">
            <v>$VENTES</v>
          </cell>
          <cell r="AK297" t="str">
            <v>% P. BRUT</v>
          </cell>
          <cell r="AL297" t="str">
            <v>$PROFITS</v>
          </cell>
          <cell r="AM297" t="str">
            <v>$VENTES</v>
          </cell>
          <cell r="AN297" t="str">
            <v>% P. BRUT</v>
          </cell>
          <cell r="AO297" t="str">
            <v>$PROFITS</v>
          </cell>
        </row>
        <row r="298">
          <cell r="A298" t="str">
            <v>PiècesPièces Ro Clients</v>
          </cell>
          <cell r="B298" t="str">
            <v>Pièces Ro Clients</v>
          </cell>
          <cell r="C298">
            <v>1453900.5079473404</v>
          </cell>
          <cell r="D298">
            <v>0.34199999999999997</v>
          </cell>
          <cell r="E298">
            <v>497233.97371799039</v>
          </cell>
          <cell r="F298">
            <v>68102.943029233269</v>
          </cell>
          <cell r="G298">
            <v>0.34200000000000003</v>
          </cell>
          <cell r="H298">
            <v>23291.206515997779</v>
          </cell>
          <cell r="I298">
            <v>68675.867624883031</v>
          </cell>
          <cell r="J298">
            <v>0.34200000000000003</v>
          </cell>
          <cell r="K298">
            <v>23487.146727709998</v>
          </cell>
          <cell r="L298">
            <v>97068.693605354172</v>
          </cell>
          <cell r="M298">
            <v>0.34200000000000003</v>
          </cell>
          <cell r="N298">
            <v>33197.493213031128</v>
          </cell>
          <cell r="O298">
            <v>179994.55319999999</v>
          </cell>
          <cell r="P298">
            <v>0.34200000000000003</v>
          </cell>
          <cell r="Q298">
            <v>61558.137194400006</v>
          </cell>
          <cell r="R298">
            <v>194533.69320000001</v>
          </cell>
          <cell r="S298">
            <v>0.34200000000000008</v>
          </cell>
          <cell r="T298">
            <v>66530.523074400015</v>
          </cell>
          <cell r="U298">
            <v>101173.85646693091</v>
          </cell>
          <cell r="V298">
            <v>0.34200000000000003</v>
          </cell>
          <cell r="W298">
            <v>34601.458911690373</v>
          </cell>
          <cell r="X298">
            <v>107008.0704</v>
          </cell>
          <cell r="Y298">
            <v>0.34200000000000008</v>
          </cell>
          <cell r="Z298">
            <v>36596.760076800005</v>
          </cell>
          <cell r="AA298">
            <v>91495.221698814159</v>
          </cell>
          <cell r="AB298">
            <v>0.34200000000000003</v>
          </cell>
          <cell r="AC298">
            <v>31291.365820994444</v>
          </cell>
          <cell r="AD298">
            <v>76440.844943847915</v>
          </cell>
          <cell r="AE298">
            <v>0.34200000000000003</v>
          </cell>
          <cell r="AF298">
            <v>26142.768970795987</v>
          </cell>
          <cell r="AG298">
            <v>166473.15300000002</v>
          </cell>
          <cell r="AH298">
            <v>0.34200000000000003</v>
          </cell>
          <cell r="AI298">
            <v>56933.818326000008</v>
          </cell>
          <cell r="AJ298">
            <v>209218.22459999999</v>
          </cell>
          <cell r="AK298">
            <v>0.34200000000000003</v>
          </cell>
          <cell r="AL298">
            <v>71552.632813200005</v>
          </cell>
          <cell r="AM298">
            <v>93715.386178276894</v>
          </cell>
          <cell r="AN298">
            <v>0.34200000000000003</v>
          </cell>
          <cell r="AO298">
            <v>32050.662072970699</v>
          </cell>
        </row>
        <row r="299">
          <cell r="A299" t="str">
            <v>PiècesPièces Ro Carrosserie</v>
          </cell>
          <cell r="B299" t="str">
            <v>Pièces Ro Carrosserie</v>
          </cell>
          <cell r="C299">
            <v>710095.99999999988</v>
          </cell>
          <cell r="D299">
            <v>0.24800000000000005</v>
          </cell>
          <cell r="E299">
            <v>176103.80800000002</v>
          </cell>
          <cell r="F299">
            <v>77311.478677311447</v>
          </cell>
          <cell r="G299">
            <v>0.248</v>
          </cell>
          <cell r="H299">
            <v>19173.246711973239</v>
          </cell>
          <cell r="I299">
            <v>62778.957931147255</v>
          </cell>
          <cell r="J299">
            <v>0.248</v>
          </cell>
          <cell r="K299">
            <v>15569.181566924519</v>
          </cell>
          <cell r="L299">
            <v>61315.684533504544</v>
          </cell>
          <cell r="M299">
            <v>0.248</v>
          </cell>
          <cell r="N299">
            <v>15206.289764309127</v>
          </cell>
          <cell r="O299">
            <v>67540.913915572368</v>
          </cell>
          <cell r="P299">
            <v>0.248</v>
          </cell>
          <cell r="Q299">
            <v>16750.146651061947</v>
          </cell>
          <cell r="R299">
            <v>51253.068428494706</v>
          </cell>
          <cell r="S299">
            <v>0.248</v>
          </cell>
          <cell r="T299">
            <v>12710.760970266687</v>
          </cell>
          <cell r="U299">
            <v>66130.940674823782</v>
          </cell>
          <cell r="V299">
            <v>0.248</v>
          </cell>
          <cell r="W299">
            <v>16400.473287356297</v>
          </cell>
          <cell r="X299">
            <v>55923.367985034376</v>
          </cell>
          <cell r="Y299">
            <v>0.24800000000000003</v>
          </cell>
          <cell r="Z299">
            <v>13868.995260288526</v>
          </cell>
          <cell r="AA299">
            <v>57292.53348045599</v>
          </cell>
          <cell r="AB299">
            <v>0.248</v>
          </cell>
          <cell r="AC299">
            <v>14208.548303153086</v>
          </cell>
          <cell r="AD299">
            <v>34326.636867241177</v>
          </cell>
          <cell r="AE299">
            <v>0.248</v>
          </cell>
          <cell r="AF299">
            <v>8513.005943075812</v>
          </cell>
          <cell r="AG299">
            <v>52480.08107250421</v>
          </cell>
          <cell r="AH299">
            <v>0.248</v>
          </cell>
          <cell r="AI299">
            <v>13015.060105981043</v>
          </cell>
          <cell r="AJ299">
            <v>74393.158025585159</v>
          </cell>
          <cell r="AK299">
            <v>0.248</v>
          </cell>
          <cell r="AL299">
            <v>18449.50319034512</v>
          </cell>
          <cell r="AM299">
            <v>49349.178408324966</v>
          </cell>
          <cell r="AN299">
            <v>0.248</v>
          </cell>
          <cell r="AO299">
            <v>12238.596245264591</v>
          </cell>
        </row>
        <row r="300">
          <cell r="A300" t="str">
            <v>PiècesP/A Garantie</v>
          </cell>
          <cell r="B300" t="str">
            <v>P/A Garantie</v>
          </cell>
          <cell r="C300">
            <v>539994.9889000064</v>
          </cell>
          <cell r="D300">
            <v>0.24299999999999999</v>
          </cell>
          <cell r="E300">
            <v>131218.78230270155</v>
          </cell>
          <cell r="F300">
            <v>25294.198443502137</v>
          </cell>
          <cell r="G300">
            <v>0.24299999999999997</v>
          </cell>
          <cell r="H300">
            <v>6146.4902217710187</v>
          </cell>
          <cell r="I300">
            <v>25506.989077371039</v>
          </cell>
          <cell r="J300">
            <v>0.24299999999999999</v>
          </cell>
          <cell r="K300">
            <v>6198.1983458011628</v>
          </cell>
          <cell r="L300">
            <v>36052.40375076604</v>
          </cell>
          <cell r="M300">
            <v>0.24300000000000002</v>
          </cell>
          <cell r="N300">
            <v>8760.7341114361479</v>
          </cell>
          <cell r="O300">
            <v>66852</v>
          </cell>
          <cell r="P300">
            <v>0.24299999999999999</v>
          </cell>
          <cell r="Q300">
            <v>16245.036</v>
          </cell>
          <cell r="R300">
            <v>72252</v>
          </cell>
          <cell r="S300">
            <v>0.24300000000000002</v>
          </cell>
          <cell r="T300">
            <v>17557.236000000001</v>
          </cell>
          <cell r="U300">
            <v>37577.107375087311</v>
          </cell>
          <cell r="V300">
            <v>0.24300000000000002</v>
          </cell>
          <cell r="W300">
            <v>9131.237092146217</v>
          </cell>
          <cell r="X300">
            <v>39744</v>
          </cell>
          <cell r="Y300">
            <v>0.24299999999999999</v>
          </cell>
          <cell r="Z300">
            <v>9657.7919999999995</v>
          </cell>
          <cell r="AA300">
            <v>33982.35364496088</v>
          </cell>
          <cell r="AB300">
            <v>0.24300000000000002</v>
          </cell>
          <cell r="AC300">
            <v>8257.7119357254942</v>
          </cell>
          <cell r="AD300">
            <v>28390.98892346994</v>
          </cell>
          <cell r="AE300">
            <v>0.24299999999999999</v>
          </cell>
          <cell r="AF300">
            <v>6899.0103084031953</v>
          </cell>
          <cell r="AG300">
            <v>61830</v>
          </cell>
          <cell r="AH300">
            <v>0.24300000000000002</v>
          </cell>
          <cell r="AI300">
            <v>15024.69</v>
          </cell>
          <cell r="AJ300">
            <v>77706</v>
          </cell>
          <cell r="AK300">
            <v>0.24300000000000002</v>
          </cell>
          <cell r="AL300">
            <v>18882.558000000001</v>
          </cell>
          <cell r="AM300">
            <v>34806.947684848987</v>
          </cell>
          <cell r="AN300">
            <v>0.24300000000000002</v>
          </cell>
          <cell r="AO300">
            <v>8458.0882874183044</v>
          </cell>
        </row>
        <row r="301">
          <cell r="A301" t="str">
            <v>PiècesVentes Internes</v>
          </cell>
          <cell r="B301" t="str">
            <v>Ventes Internes</v>
          </cell>
          <cell r="C301">
            <v>583538.00000000012</v>
          </cell>
          <cell r="D301">
            <v>0.31599999999999995</v>
          </cell>
          <cell r="E301">
            <v>184398.008</v>
          </cell>
          <cell r="F301">
            <v>25630.360314305966</v>
          </cell>
          <cell r="G301">
            <v>0.316</v>
          </cell>
          <cell r="H301">
            <v>8099.1938593206851</v>
          </cell>
          <cell r="I301">
            <v>32024.893327266007</v>
          </cell>
          <cell r="J301">
            <v>0.316</v>
          </cell>
          <cell r="K301">
            <v>10119.866291416058</v>
          </cell>
          <cell r="L301">
            <v>44126.52917235552</v>
          </cell>
          <cell r="M301">
            <v>0.316</v>
          </cell>
          <cell r="N301">
            <v>13943.983218464344</v>
          </cell>
          <cell r="O301">
            <v>46178.307044285575</v>
          </cell>
          <cell r="P301">
            <v>0.316</v>
          </cell>
          <cell r="Q301">
            <v>14592.345025994242</v>
          </cell>
          <cell r="R301">
            <v>50992.242773818311</v>
          </cell>
          <cell r="S301">
            <v>0.316</v>
          </cell>
          <cell r="T301">
            <v>16113.548716526586</v>
          </cell>
          <cell r="U301">
            <v>60882.99990752634</v>
          </cell>
          <cell r="V301">
            <v>0.316</v>
          </cell>
          <cell r="W301">
            <v>19239.027970778323</v>
          </cell>
          <cell r="X301">
            <v>53464.490283295439</v>
          </cell>
          <cell r="Y301">
            <v>0.316</v>
          </cell>
          <cell r="Z301">
            <v>16894.778929521359</v>
          </cell>
          <cell r="AA301">
            <v>52148.583638741169</v>
          </cell>
          <cell r="AB301">
            <v>0.31600000000000006</v>
          </cell>
          <cell r="AC301">
            <v>16478.952429842211</v>
          </cell>
          <cell r="AD301">
            <v>53843.813305220196</v>
          </cell>
          <cell r="AE301">
            <v>0.316</v>
          </cell>
          <cell r="AF301">
            <v>17014.645004449583</v>
          </cell>
          <cell r="AG301">
            <v>72697.863264700442</v>
          </cell>
          <cell r="AH301">
            <v>0.316</v>
          </cell>
          <cell r="AI301">
            <v>22972.524791645341</v>
          </cell>
          <cell r="AJ301">
            <v>56005.685384712364</v>
          </cell>
          <cell r="AK301">
            <v>0.316</v>
          </cell>
          <cell r="AL301">
            <v>17697.796581569106</v>
          </cell>
          <cell r="AM301">
            <v>35542.231583772656</v>
          </cell>
          <cell r="AN301">
            <v>0.316</v>
          </cell>
          <cell r="AO301">
            <v>11231.345180472159</v>
          </cell>
        </row>
        <row r="302">
          <cell r="A302" t="str">
            <v>PiècesVentes Détails</v>
          </cell>
          <cell r="B302" t="str">
            <v>Ventes Détails</v>
          </cell>
          <cell r="C302">
            <v>254357.82</v>
          </cell>
          <cell r="D302">
            <v>0.26500000000000007</v>
          </cell>
          <cell r="E302">
            <v>67404.822300000014</v>
          </cell>
          <cell r="F302">
            <v>12781.800000000001</v>
          </cell>
          <cell r="G302">
            <v>0.26500000000000001</v>
          </cell>
          <cell r="H302">
            <v>3387.1770000000006</v>
          </cell>
          <cell r="I302">
            <v>12781.800000000001</v>
          </cell>
          <cell r="J302">
            <v>0.26500000000000001</v>
          </cell>
          <cell r="K302">
            <v>3387.1770000000006</v>
          </cell>
          <cell r="L302">
            <v>17894.52</v>
          </cell>
          <cell r="M302">
            <v>0.26500000000000001</v>
          </cell>
          <cell r="N302">
            <v>4742.0478000000003</v>
          </cell>
          <cell r="O302">
            <v>25563.600000000002</v>
          </cell>
          <cell r="P302">
            <v>0.26500000000000001</v>
          </cell>
          <cell r="Q302">
            <v>6774.3540000000012</v>
          </cell>
          <cell r="R302">
            <v>29398.140000000003</v>
          </cell>
          <cell r="S302">
            <v>0.26500000000000001</v>
          </cell>
          <cell r="T302">
            <v>7790.5071000000016</v>
          </cell>
          <cell r="U302">
            <v>23007.239999999998</v>
          </cell>
          <cell r="V302">
            <v>0.26500000000000001</v>
          </cell>
          <cell r="W302">
            <v>6096.9186</v>
          </cell>
          <cell r="X302">
            <v>20450.88</v>
          </cell>
          <cell r="Y302">
            <v>0.26500000000000001</v>
          </cell>
          <cell r="Z302">
            <v>5419.4832000000006</v>
          </cell>
          <cell r="AA302">
            <v>23007.239999999998</v>
          </cell>
          <cell r="AB302">
            <v>0.26500000000000001</v>
          </cell>
          <cell r="AC302">
            <v>6096.9186</v>
          </cell>
          <cell r="AD302">
            <v>20450.88</v>
          </cell>
          <cell r="AE302">
            <v>0.26500000000000001</v>
          </cell>
          <cell r="AF302">
            <v>5419.4832000000006</v>
          </cell>
          <cell r="AG302">
            <v>30676.32</v>
          </cell>
          <cell r="AH302">
            <v>0.26500000000000001</v>
          </cell>
          <cell r="AI302">
            <v>8129.2248</v>
          </cell>
          <cell r="AJ302">
            <v>25563.600000000002</v>
          </cell>
          <cell r="AK302">
            <v>0.26500000000000001</v>
          </cell>
          <cell r="AL302">
            <v>6774.3540000000012</v>
          </cell>
          <cell r="AM302">
            <v>12781.800000000001</v>
          </cell>
          <cell r="AN302">
            <v>0.26500000000000001</v>
          </cell>
          <cell r="AO302">
            <v>3387.1770000000006</v>
          </cell>
        </row>
        <row r="303">
          <cell r="A303" t="str">
            <v>PiècesVentes de Gros</v>
          </cell>
          <cell r="B303" t="str">
            <v>Ventes de Gros</v>
          </cell>
          <cell r="C303">
            <v>1580494.9999999998</v>
          </cell>
          <cell r="D303">
            <v>0.14499999999999999</v>
          </cell>
          <cell r="E303">
            <v>229171.77499999994</v>
          </cell>
          <cell r="F303">
            <v>131369.88800037501</v>
          </cell>
          <cell r="G303">
            <v>0.14499999999999999</v>
          </cell>
          <cell r="H303">
            <v>19048.633760054374</v>
          </cell>
          <cell r="I303">
            <v>97822.4535252481</v>
          </cell>
          <cell r="J303">
            <v>0.14499999999999999</v>
          </cell>
          <cell r="K303">
            <v>14184.255761160974</v>
          </cell>
          <cell r="L303">
            <v>131294.05183072784</v>
          </cell>
          <cell r="M303">
            <v>0.14499999999999999</v>
          </cell>
          <cell r="N303">
            <v>19037.637515455535</v>
          </cell>
          <cell r="O303">
            <v>114574.82119492393</v>
          </cell>
          <cell r="P303">
            <v>0.14499999999999999</v>
          </cell>
          <cell r="Q303">
            <v>16613.349073263969</v>
          </cell>
          <cell r="R303">
            <v>117872.10027457221</v>
          </cell>
          <cell r="S303">
            <v>0.14499999999999999</v>
          </cell>
          <cell r="T303">
            <v>17091.45453981297</v>
          </cell>
          <cell r="U303">
            <v>134183.48159425892</v>
          </cell>
          <cell r="V303">
            <v>0.14499999999999999</v>
          </cell>
          <cell r="W303">
            <v>19456.60483116754</v>
          </cell>
          <cell r="X303">
            <v>143141.73013459198</v>
          </cell>
          <cell r="Y303">
            <v>0.14499999999999999</v>
          </cell>
          <cell r="Z303">
            <v>20755.550869515835</v>
          </cell>
          <cell r="AA303">
            <v>124847.8658281988</v>
          </cell>
          <cell r="AB303">
            <v>0.14499999999999999</v>
          </cell>
          <cell r="AC303">
            <v>18102.940545088826</v>
          </cell>
          <cell r="AD303">
            <v>149444.83181509384</v>
          </cell>
          <cell r="AE303">
            <v>0.14499999999999999</v>
          </cell>
          <cell r="AF303">
            <v>21669.500613188608</v>
          </cell>
          <cell r="AG303">
            <v>150310.40872804238</v>
          </cell>
          <cell r="AH303">
            <v>0.14499999999999999</v>
          </cell>
          <cell r="AI303">
            <v>21795.009265566143</v>
          </cell>
          <cell r="AJ303">
            <v>140837.08896621366</v>
          </cell>
          <cell r="AK303">
            <v>0.14499999999999999</v>
          </cell>
          <cell r="AL303">
            <v>20421.377900100979</v>
          </cell>
          <cell r="AM303">
            <v>144796.27810775323</v>
          </cell>
          <cell r="AN303">
            <v>0.14499999999999999</v>
          </cell>
          <cell r="AO303">
            <v>20995.460325624215</v>
          </cell>
        </row>
        <row r="304">
          <cell r="A304" t="str">
            <v>Pièces[...]</v>
          </cell>
          <cell r="B304" t="str">
            <v>[...]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A305" t="str">
            <v>PiècesEscomptes</v>
          </cell>
          <cell r="B305" t="str">
            <v>Escomptes</v>
          </cell>
          <cell r="C305">
            <v>0</v>
          </cell>
          <cell r="D305">
            <v>0</v>
          </cell>
          <cell r="E305">
            <v>93727</v>
          </cell>
          <cell r="F305">
            <v>0</v>
          </cell>
          <cell r="G305">
            <v>0</v>
          </cell>
          <cell r="H305">
            <v>6230.1419357614495</v>
          </cell>
          <cell r="I305">
            <v>0</v>
          </cell>
          <cell r="J305">
            <v>0</v>
          </cell>
          <cell r="K305">
            <v>5481.7778741030306</v>
          </cell>
          <cell r="L305">
            <v>0</v>
          </cell>
          <cell r="M305">
            <v>0</v>
          </cell>
          <cell r="N305">
            <v>7094.9059402213134</v>
          </cell>
          <cell r="O305">
            <v>0</v>
          </cell>
          <cell r="P305">
            <v>0</v>
          </cell>
          <cell r="Q305">
            <v>9161.6554983934057</v>
          </cell>
          <cell r="R305">
            <v>0</v>
          </cell>
          <cell r="S305">
            <v>0</v>
          </cell>
          <cell r="T305">
            <v>9447.0431464423928</v>
          </cell>
          <cell r="U305">
            <v>0</v>
          </cell>
          <cell r="V305">
            <v>0</v>
          </cell>
          <cell r="W305">
            <v>7739.0478702586215</v>
          </cell>
          <cell r="X305">
            <v>0</v>
          </cell>
          <cell r="Y305">
            <v>0</v>
          </cell>
          <cell r="Z305">
            <v>7680.0733000722348</v>
          </cell>
          <cell r="AA305">
            <v>0</v>
          </cell>
          <cell r="AB305">
            <v>0</v>
          </cell>
          <cell r="AC305">
            <v>7003.8192335704462</v>
          </cell>
          <cell r="AD305">
            <v>0</v>
          </cell>
          <cell r="AE305">
            <v>0</v>
          </cell>
          <cell r="AF305">
            <v>6640.1409253700067</v>
          </cell>
          <cell r="AG305">
            <v>0</v>
          </cell>
          <cell r="AH305">
            <v>0</v>
          </cell>
          <cell r="AI305">
            <v>9779.4469125937139</v>
          </cell>
          <cell r="AJ305">
            <v>0</v>
          </cell>
          <cell r="AK305">
            <v>0</v>
          </cell>
          <cell r="AL305">
            <v>10680.709323510635</v>
          </cell>
          <cell r="AM305">
            <v>0</v>
          </cell>
          <cell r="AN305">
            <v>0</v>
          </cell>
          <cell r="AO305">
            <v>6788.2380397027628</v>
          </cell>
        </row>
        <row r="306">
          <cell r="A306" t="str">
            <v>PiècesRectif. Inventaire</v>
          </cell>
          <cell r="B306" t="str">
            <v>Rectif. Inventaire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A307" t="str">
            <v>PiècesSous-total Pièces</v>
          </cell>
          <cell r="B307" t="str">
            <v>Sous-total Pièces</v>
          </cell>
          <cell r="C307">
            <v>5122382.3168473458</v>
          </cell>
          <cell r="D307">
            <v>0.26926107502447783</v>
          </cell>
          <cell r="E307">
            <v>1379258.1693206918</v>
          </cell>
          <cell r="F307">
            <v>340490.66846472782</v>
          </cell>
          <cell r="G307">
            <v>0.25074428732464032</v>
          </cell>
          <cell r="H307">
            <v>85376.090004878555</v>
          </cell>
          <cell r="I307">
            <v>299590.96148591547</v>
          </cell>
          <cell r="J307">
            <v>0.26178227533343934</v>
          </cell>
          <cell r="K307">
            <v>78427.603567115744</v>
          </cell>
          <cell r="L307">
            <v>387751.88289270806</v>
          </cell>
          <cell r="M307">
            <v>0.26301120913224957</v>
          </cell>
          <cell r="N307">
            <v>101983.09156291759</v>
          </cell>
          <cell r="O307">
            <v>500704.19535478187</v>
          </cell>
          <cell r="P307">
            <v>0.28299148430884091</v>
          </cell>
          <cell r="Q307">
            <v>141695.02344311358</v>
          </cell>
          <cell r="R307">
            <v>516301.24467688525</v>
          </cell>
          <cell r="S307">
            <v>0.28518442491765816</v>
          </cell>
          <cell r="T307">
            <v>147241.07354744864</v>
          </cell>
          <cell r="U307">
            <v>422955.62601862726</v>
          </cell>
          <cell r="V307">
            <v>0.26637491413445707</v>
          </cell>
          <cell r="W307">
            <v>112664.76856339737</v>
          </cell>
          <cell r="X307">
            <v>419732.53880292183</v>
          </cell>
          <cell r="Y307">
            <v>0.26415258143295073</v>
          </cell>
          <cell r="Z307">
            <v>110873.43363619797</v>
          </cell>
          <cell r="AA307">
            <v>382773.79829117097</v>
          </cell>
          <cell r="AB307">
            <v>0.2650135858860701</v>
          </cell>
          <cell r="AC307">
            <v>101440.25686837452</v>
          </cell>
          <cell r="AD307">
            <v>362897.99585487309</v>
          </cell>
          <cell r="AE307">
            <v>0.25433746126885309</v>
          </cell>
          <cell r="AF307">
            <v>92298.554965283198</v>
          </cell>
          <cell r="AG307">
            <v>534467.82606524706</v>
          </cell>
          <cell r="AH307">
            <v>0.27625568275790163</v>
          </cell>
          <cell r="AI307">
            <v>147649.77420178623</v>
          </cell>
          <cell r="AJ307">
            <v>583723.7569765111</v>
          </cell>
          <cell r="AK307">
            <v>0.28174102877115492</v>
          </cell>
          <cell r="AL307">
            <v>164458.93180872584</v>
          </cell>
          <cell r="AM307">
            <v>370991.82196297671</v>
          </cell>
          <cell r="AN307">
            <v>0.25647348949095761</v>
          </cell>
          <cell r="AO307">
            <v>95149.56715145272</v>
          </cell>
        </row>
        <row r="308">
          <cell r="A308" t="str">
            <v>Pièces</v>
          </cell>
        </row>
        <row r="309">
          <cell r="A309" t="str">
            <v>Pièces</v>
          </cell>
        </row>
        <row r="310">
          <cell r="A310" t="str">
            <v>PiècesVentes Pneus</v>
          </cell>
          <cell r="B310" t="str">
            <v>Ventes Pneus</v>
          </cell>
          <cell r="C310">
            <v>562303.35499999998</v>
          </cell>
          <cell r="D310">
            <v>0.18000000000000005</v>
          </cell>
          <cell r="E310">
            <v>101214.60390000002</v>
          </cell>
          <cell r="F310">
            <v>28256.45</v>
          </cell>
          <cell r="G310">
            <v>0.18</v>
          </cell>
          <cell r="H310">
            <v>5086.1610000000001</v>
          </cell>
          <cell r="I310">
            <v>28256.45</v>
          </cell>
          <cell r="J310">
            <v>0.18</v>
          </cell>
          <cell r="K310">
            <v>5086.1610000000001</v>
          </cell>
          <cell r="L310">
            <v>39559.030000000006</v>
          </cell>
          <cell r="M310">
            <v>0.18</v>
          </cell>
          <cell r="N310">
            <v>7120.6254000000008</v>
          </cell>
          <cell r="O310">
            <v>56512.9</v>
          </cell>
          <cell r="P310">
            <v>0.18</v>
          </cell>
          <cell r="Q310">
            <v>10172.322</v>
          </cell>
          <cell r="R310">
            <v>64989.835000000006</v>
          </cell>
          <cell r="S310">
            <v>0.18</v>
          </cell>
          <cell r="T310">
            <v>11698.170300000002</v>
          </cell>
          <cell r="U310">
            <v>50861.61</v>
          </cell>
          <cell r="V310">
            <v>0.18</v>
          </cell>
          <cell r="W310">
            <v>9155.0897999999997</v>
          </cell>
          <cell r="X310">
            <v>45210.32</v>
          </cell>
          <cell r="Y310">
            <v>0.18</v>
          </cell>
          <cell r="Z310">
            <v>8137.8575999999994</v>
          </cell>
          <cell r="AA310">
            <v>50861.61</v>
          </cell>
          <cell r="AB310">
            <v>0.18</v>
          </cell>
          <cell r="AC310">
            <v>9155.0897999999997</v>
          </cell>
          <cell r="AD310">
            <v>45210.32</v>
          </cell>
          <cell r="AE310">
            <v>0.18</v>
          </cell>
          <cell r="AF310">
            <v>8137.8575999999994</v>
          </cell>
          <cell r="AG310">
            <v>67815.48</v>
          </cell>
          <cell r="AH310">
            <v>0.18</v>
          </cell>
          <cell r="AI310">
            <v>12206.786399999999</v>
          </cell>
          <cell r="AJ310">
            <v>56512.9</v>
          </cell>
          <cell r="AK310">
            <v>0.18</v>
          </cell>
          <cell r="AL310">
            <v>10172.322</v>
          </cell>
          <cell r="AM310">
            <v>28256.45</v>
          </cell>
          <cell r="AN310">
            <v>0.18</v>
          </cell>
          <cell r="AO310">
            <v>5086.1610000000001</v>
          </cell>
        </row>
        <row r="311">
          <cell r="A311" t="str">
            <v>PiècesHuiles et Graisse</v>
          </cell>
          <cell r="B311" t="str">
            <v>Huiles et Graisse</v>
          </cell>
          <cell r="C311">
            <v>281372.3888921098</v>
          </cell>
          <cell r="D311">
            <v>0.26</v>
          </cell>
          <cell r="E311">
            <v>73156.82111194855</v>
          </cell>
          <cell r="F311">
            <v>13179.916827852619</v>
          </cell>
          <cell r="G311">
            <v>0.26</v>
          </cell>
          <cell r="H311">
            <v>3426.7783752416813</v>
          </cell>
          <cell r="I311">
            <v>13290.794540083845</v>
          </cell>
          <cell r="J311">
            <v>0.26</v>
          </cell>
          <cell r="K311">
            <v>3455.6065804217997</v>
          </cell>
          <cell r="L311">
            <v>18785.639084021841</v>
          </cell>
          <cell r="M311">
            <v>0.26</v>
          </cell>
          <cell r="N311">
            <v>4884.2661618456787</v>
          </cell>
          <cell r="O311">
            <v>34834.224999999999</v>
          </cell>
          <cell r="P311">
            <v>0.26</v>
          </cell>
          <cell r="Q311">
            <v>9056.8984999999993</v>
          </cell>
          <cell r="R311">
            <v>37647.974999999999</v>
          </cell>
          <cell r="S311">
            <v>0.26</v>
          </cell>
          <cell r="T311">
            <v>9788.4735000000001</v>
          </cell>
          <cell r="U311">
            <v>19580.108495676282</v>
          </cell>
          <cell r="V311">
            <v>0.26</v>
          </cell>
          <cell r="W311">
            <v>5090.8282088758333</v>
          </cell>
          <cell r="X311">
            <v>20709.2</v>
          </cell>
          <cell r="Y311">
            <v>0.26</v>
          </cell>
          <cell r="Z311">
            <v>5384.3920000000007</v>
          </cell>
          <cell r="AA311">
            <v>17707.008808983086</v>
          </cell>
          <cell r="AB311">
            <v>0.26</v>
          </cell>
          <cell r="AC311">
            <v>4603.8222903356027</v>
          </cell>
          <cell r="AD311">
            <v>14793.545385817324</v>
          </cell>
          <cell r="AE311">
            <v>0.26</v>
          </cell>
          <cell r="AF311">
            <v>3846.3218003125044</v>
          </cell>
          <cell r="AG311">
            <v>32217.4375</v>
          </cell>
          <cell r="AH311">
            <v>0.26</v>
          </cell>
          <cell r="AI311">
            <v>8376.5337500000005</v>
          </cell>
          <cell r="AJ311">
            <v>40489.862500000003</v>
          </cell>
          <cell r="AK311">
            <v>0.26</v>
          </cell>
          <cell r="AL311">
            <v>10527.364250000001</v>
          </cell>
          <cell r="AM311">
            <v>18136.675749674781</v>
          </cell>
          <cell r="AN311">
            <v>0.26</v>
          </cell>
          <cell r="AO311">
            <v>4715.5356949154429</v>
          </cell>
        </row>
        <row r="312">
          <cell r="A312" t="str">
            <v>PiècesSous-total Pièces et Acc.</v>
          </cell>
          <cell r="B312" t="str">
            <v>Sous-total Pièces et Acc.</v>
          </cell>
          <cell r="C312">
            <v>5966058.0607394548</v>
          </cell>
          <cell r="D312">
            <v>0.2604114104347281</v>
          </cell>
          <cell r="E312">
            <v>1553629.5943326403</v>
          </cell>
          <cell r="F312">
            <v>381927.03529258043</v>
          </cell>
          <cell r="G312">
            <v>0.24582975464985155</v>
          </cell>
          <cell r="H312">
            <v>93889.029380120235</v>
          </cell>
          <cell r="I312">
            <v>341138.20602599933</v>
          </cell>
          <cell r="J312">
            <v>0.25493881837705773</v>
          </cell>
          <cell r="K312">
            <v>86969.371147537546</v>
          </cell>
          <cell r="L312">
            <v>446096.55197672994</v>
          </cell>
          <cell r="M312">
            <v>0.25552312076760753</v>
          </cell>
          <cell r="N312">
            <v>113987.98312476327</v>
          </cell>
          <cell r="O312">
            <v>592051.32035478181</v>
          </cell>
          <cell r="P312">
            <v>0.27180793017517652</v>
          </cell>
          <cell r="Q312">
            <v>160924.2439431136</v>
          </cell>
          <cell r="R312">
            <v>618939.05467688525</v>
          </cell>
          <cell r="S312">
            <v>0.272607966927426</v>
          </cell>
          <cell r="T312">
            <v>168727.71734744863</v>
          </cell>
          <cell r="U312">
            <v>493397.34451430355</v>
          </cell>
          <cell r="V312">
            <v>0.2572180170470984</v>
          </cell>
          <cell r="W312">
            <v>126910.6865722732</v>
          </cell>
          <cell r="X312">
            <v>485652.05880292185</v>
          </cell>
          <cell r="Y312">
            <v>0.25614157498440232</v>
          </cell>
          <cell r="Z312">
            <v>124395.68323619798</v>
          </cell>
          <cell r="AA312">
            <v>451342.41710015404</v>
          </cell>
          <cell r="AB312">
            <v>0.25523674397557705</v>
          </cell>
          <cell r="AC312">
            <v>115199.16895871013</v>
          </cell>
          <cell r="AD312">
            <v>422901.8612406904</v>
          </cell>
          <cell r="AE312">
            <v>0.2465884970561627</v>
          </cell>
          <cell r="AF312">
            <v>104282.73436559571</v>
          </cell>
          <cell r="AG312">
            <v>634500.74356524704</v>
          </cell>
          <cell r="AH312">
            <v>0.26514246997803004</v>
          </cell>
          <cell r="AI312">
            <v>168233.09435178625</v>
          </cell>
          <cell r="AJ312">
            <v>680726.51947651117</v>
          </cell>
          <cell r="AK312">
            <v>0.27200147601288638</v>
          </cell>
          <cell r="AL312">
            <v>185158.61805872587</v>
          </cell>
          <cell r="AM312">
            <v>417384.94771265151</v>
          </cell>
          <cell r="AN312">
            <v>0.2514495657342723</v>
          </cell>
          <cell r="AO312">
            <v>104951.26384636817</v>
          </cell>
        </row>
        <row r="313">
          <cell r="A313" t="str">
            <v>Pièces</v>
          </cell>
        </row>
        <row r="314">
          <cell r="A314" t="str">
            <v>PiècesPièces recond. MCPA</v>
          </cell>
          <cell r="B314" t="str">
            <v>Pièces recond. MCPA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</row>
        <row r="315">
          <cell r="A315" t="str">
            <v>PiècesAutostock</v>
          </cell>
          <cell r="B315" t="str">
            <v>Autostock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A316" t="str">
            <v>Pièces</v>
          </cell>
        </row>
        <row r="317">
          <cell r="A317" t="str">
            <v>PiècesTotal Dépt. Pièces</v>
          </cell>
          <cell r="B317" t="str">
            <v>Total Dépt. Pièces</v>
          </cell>
          <cell r="C317">
            <v>5966058.0607394548</v>
          </cell>
          <cell r="D317">
            <v>0.2604114104347281</v>
          </cell>
          <cell r="E317">
            <v>1553629.5943326403</v>
          </cell>
          <cell r="F317">
            <v>381927.03529258043</v>
          </cell>
          <cell r="G317">
            <v>0.24582975464985155</v>
          </cell>
          <cell r="H317">
            <v>93889.029380120235</v>
          </cell>
          <cell r="I317">
            <v>341138.20602599933</v>
          </cell>
          <cell r="J317">
            <v>0.25493881837705773</v>
          </cell>
          <cell r="K317">
            <v>86969.371147537546</v>
          </cell>
          <cell r="L317">
            <v>446096.55197672994</v>
          </cell>
          <cell r="M317">
            <v>0.25552312076760753</v>
          </cell>
          <cell r="N317">
            <v>113987.98312476327</v>
          </cell>
          <cell r="O317">
            <v>592051.32035478181</v>
          </cell>
          <cell r="P317">
            <v>0.27180793017517652</v>
          </cell>
          <cell r="Q317">
            <v>160924.2439431136</v>
          </cell>
          <cell r="R317">
            <v>618939.05467688525</v>
          </cell>
          <cell r="S317">
            <v>0.272607966927426</v>
          </cell>
          <cell r="T317">
            <v>168727.71734744863</v>
          </cell>
          <cell r="U317">
            <v>493397.34451430355</v>
          </cell>
          <cell r="V317">
            <v>0.2572180170470984</v>
          </cell>
          <cell r="W317">
            <v>126910.6865722732</v>
          </cell>
          <cell r="X317">
            <v>485652.05880292185</v>
          </cell>
          <cell r="Y317">
            <v>0.25614157498440232</v>
          </cell>
          <cell r="Z317">
            <v>124395.68323619798</v>
          </cell>
          <cell r="AA317">
            <v>451342.41710015404</v>
          </cell>
          <cell r="AB317">
            <v>0.25523674397557705</v>
          </cell>
          <cell r="AC317">
            <v>115199.16895871013</v>
          </cell>
          <cell r="AD317">
            <v>422901.8612406904</v>
          </cell>
          <cell r="AE317">
            <v>0.2465884970561627</v>
          </cell>
          <cell r="AF317">
            <v>104282.73436559571</v>
          </cell>
          <cell r="AG317">
            <v>634500.74356524704</v>
          </cell>
          <cell r="AH317">
            <v>0.26514246997803004</v>
          </cell>
          <cell r="AI317">
            <v>168233.09435178625</v>
          </cell>
          <cell r="AJ317">
            <v>680726.51947651117</v>
          </cell>
          <cell r="AK317">
            <v>0.27200147601288638</v>
          </cell>
          <cell r="AL317">
            <v>185158.61805872587</v>
          </cell>
          <cell r="AM317">
            <v>417384.94771265151</v>
          </cell>
          <cell r="AN317">
            <v>0.2514495657342723</v>
          </cell>
          <cell r="AO317">
            <v>104951.26384636817</v>
          </cell>
        </row>
        <row r="318">
          <cell r="A318" t="str">
            <v>Pièces</v>
          </cell>
        </row>
        <row r="319">
          <cell r="A319" t="str">
            <v>Pièces</v>
          </cell>
        </row>
        <row r="320">
          <cell r="A320" t="str">
            <v>PiècesDEPENSES</v>
          </cell>
          <cell r="B320" t="str">
            <v>DEPENSES</v>
          </cell>
        </row>
        <row r="321">
          <cell r="A321" t="str">
            <v>PiècesSalaires cadres</v>
          </cell>
          <cell r="B321" t="str">
            <v>Salaires cadres</v>
          </cell>
          <cell r="E321">
            <v>83588.600000000006</v>
          </cell>
          <cell r="H321">
            <v>6564.9358974358984</v>
          </cell>
          <cell r="K321">
            <v>6564.9358974358984</v>
          </cell>
          <cell r="N321">
            <v>7767.2782051282065</v>
          </cell>
          <cell r="Q321">
            <v>6564.9358974358984</v>
          </cell>
          <cell r="T321">
            <v>7767.2782051282065</v>
          </cell>
          <cell r="W321">
            <v>6564.9358974358984</v>
          </cell>
          <cell r="Z321">
            <v>6564.9358974358984</v>
          </cell>
          <cell r="AC321">
            <v>7767.2782051282065</v>
          </cell>
          <cell r="AF321">
            <v>6564.9358974358984</v>
          </cell>
          <cell r="AI321">
            <v>6564.9358974358984</v>
          </cell>
          <cell r="AL321">
            <v>7767.2782051282065</v>
          </cell>
          <cell r="AO321">
            <v>6564.9358974358984</v>
          </cell>
        </row>
        <row r="322">
          <cell r="A322" t="str">
            <v>PiècesSalaires commis</v>
          </cell>
          <cell r="B322" t="str">
            <v>Salaires commis</v>
          </cell>
          <cell r="E322">
            <v>344059.10399999999</v>
          </cell>
          <cell r="H322">
            <v>26566.084923076924</v>
          </cell>
          <cell r="K322">
            <v>26566.084923076924</v>
          </cell>
          <cell r="N322">
            <v>32882.606153846158</v>
          </cell>
          <cell r="Q322">
            <v>26566.084923076924</v>
          </cell>
          <cell r="T322">
            <v>32882.606153846158</v>
          </cell>
          <cell r="W322">
            <v>26566.084923076924</v>
          </cell>
          <cell r="Z322">
            <v>26566.084923076924</v>
          </cell>
          <cell r="AC322">
            <v>32882.606153846158</v>
          </cell>
          <cell r="AF322">
            <v>26566.084923076924</v>
          </cell>
          <cell r="AI322">
            <v>26566.084923076924</v>
          </cell>
          <cell r="AL322">
            <v>32882.606153846158</v>
          </cell>
          <cell r="AO322">
            <v>26566.084923076924</v>
          </cell>
        </row>
        <row r="323">
          <cell r="A323" t="str">
            <v>PiècesSalaires autres</v>
          </cell>
          <cell r="B323" t="str">
            <v>Salaires autres</v>
          </cell>
          <cell r="E323">
            <v>1823.2000000000005</v>
          </cell>
          <cell r="H323">
            <v>140.24615384615385</v>
          </cell>
          <cell r="K323">
            <v>140.24615384615385</v>
          </cell>
          <cell r="N323">
            <v>175.30769230769232</v>
          </cell>
          <cell r="Q323">
            <v>140.24615384615385</v>
          </cell>
          <cell r="T323">
            <v>175.30769230769232</v>
          </cell>
          <cell r="W323">
            <v>140.24615384615385</v>
          </cell>
          <cell r="Z323">
            <v>140.24615384615385</v>
          </cell>
          <cell r="AC323">
            <v>175.30769230769232</v>
          </cell>
          <cell r="AF323">
            <v>140.24615384615385</v>
          </cell>
          <cell r="AI323">
            <v>140.24615384615385</v>
          </cell>
          <cell r="AL323">
            <v>175.30769230769232</v>
          </cell>
          <cell r="AO323">
            <v>140.24615384615385</v>
          </cell>
        </row>
        <row r="324">
          <cell r="A324" t="str">
            <v>PiècesSalaires spécialistes</v>
          </cell>
          <cell r="B324" t="str">
            <v>Salaires spécialistes</v>
          </cell>
          <cell r="E324">
            <v>0</v>
          </cell>
          <cell r="H324">
            <v>0</v>
          </cell>
          <cell r="K324">
            <v>0</v>
          </cell>
          <cell r="N324">
            <v>0</v>
          </cell>
          <cell r="Q324">
            <v>0</v>
          </cell>
          <cell r="T324">
            <v>0</v>
          </cell>
          <cell r="W324">
            <v>0</v>
          </cell>
          <cell r="Z324">
            <v>0</v>
          </cell>
          <cell r="AC324">
            <v>0</v>
          </cell>
          <cell r="AF324">
            <v>0</v>
          </cell>
          <cell r="AI324">
            <v>0</v>
          </cell>
          <cell r="AL324">
            <v>0</v>
          </cell>
          <cell r="AO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  <cell r="H325">
            <v>0</v>
          </cell>
          <cell r="K325">
            <v>0</v>
          </cell>
          <cell r="N325">
            <v>0</v>
          </cell>
          <cell r="Q325">
            <v>0</v>
          </cell>
          <cell r="T325">
            <v>0</v>
          </cell>
          <cell r="W325">
            <v>0</v>
          </cell>
          <cell r="Z325">
            <v>0</v>
          </cell>
          <cell r="AC325">
            <v>0</v>
          </cell>
          <cell r="AF325">
            <v>0</v>
          </cell>
          <cell r="AI325">
            <v>0</v>
          </cell>
          <cell r="AL325">
            <v>0</v>
          </cell>
          <cell r="AO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  <cell r="H326">
            <v>0</v>
          </cell>
          <cell r="K326">
            <v>0</v>
          </cell>
          <cell r="N326">
            <v>0</v>
          </cell>
          <cell r="Q326">
            <v>0</v>
          </cell>
          <cell r="T326">
            <v>0</v>
          </cell>
          <cell r="W326">
            <v>0</v>
          </cell>
          <cell r="Z326">
            <v>0</v>
          </cell>
          <cell r="AC326">
            <v>0</v>
          </cell>
          <cell r="AF326">
            <v>0</v>
          </cell>
          <cell r="AI326">
            <v>0</v>
          </cell>
          <cell r="AL326">
            <v>0</v>
          </cell>
          <cell r="AO326">
            <v>0</v>
          </cell>
        </row>
        <row r="327">
          <cell r="A327" t="str">
            <v>Pièces[...]</v>
          </cell>
          <cell r="B327" t="str">
            <v>[...]</v>
          </cell>
          <cell r="E327">
            <v>0</v>
          </cell>
          <cell r="H327">
            <v>0</v>
          </cell>
          <cell r="K327">
            <v>0</v>
          </cell>
          <cell r="N327">
            <v>0</v>
          </cell>
          <cell r="Q327">
            <v>0</v>
          </cell>
          <cell r="T327">
            <v>0</v>
          </cell>
          <cell r="W327">
            <v>0</v>
          </cell>
          <cell r="Z327">
            <v>0</v>
          </cell>
          <cell r="AC327">
            <v>0</v>
          </cell>
          <cell r="AF327">
            <v>0</v>
          </cell>
          <cell r="AI327">
            <v>0</v>
          </cell>
          <cell r="AL327">
            <v>0</v>
          </cell>
          <cell r="AO327">
            <v>0</v>
          </cell>
        </row>
        <row r="328">
          <cell r="A328" t="str">
            <v>PiècesSalaires en absences</v>
          </cell>
          <cell r="B328" t="str">
            <v>Salaires en absences</v>
          </cell>
          <cell r="E328">
            <v>52678.040404000007</v>
          </cell>
          <cell r="H328">
            <v>4086.0378682564101</v>
          </cell>
          <cell r="K328">
            <v>4086.0378682564101</v>
          </cell>
          <cell r="N328">
            <v>4997.4343644871806</v>
          </cell>
          <cell r="Q328">
            <v>4086.0378682564101</v>
          </cell>
          <cell r="T328">
            <v>4997.4343644871806</v>
          </cell>
          <cell r="W328">
            <v>4086.0378682564101</v>
          </cell>
          <cell r="Z328">
            <v>4086.0378682564101</v>
          </cell>
          <cell r="AC328">
            <v>4997.4343644871806</v>
          </cell>
          <cell r="AF328">
            <v>4086.0378682564101</v>
          </cell>
          <cell r="AI328">
            <v>4086.0378682564101</v>
          </cell>
          <cell r="AL328">
            <v>4997.4343644871806</v>
          </cell>
          <cell r="AO328">
            <v>4086.0378682564101</v>
          </cell>
        </row>
        <row r="329">
          <cell r="A329" t="str">
            <v>PiècesDéduction à la source</v>
          </cell>
          <cell r="B329" t="str">
            <v>Déduction à la source</v>
          </cell>
          <cell r="E329">
            <v>64049.071151999997</v>
          </cell>
          <cell r="H329">
            <v>4968.0460424615385</v>
          </cell>
          <cell r="K329">
            <v>4968.0460424615385</v>
          </cell>
          <cell r="N329">
            <v>6076.175703076924</v>
          </cell>
          <cell r="Q329">
            <v>4968.0460424615385</v>
          </cell>
          <cell r="T329">
            <v>6076.175703076924</v>
          </cell>
          <cell r="W329">
            <v>4968.0460424615385</v>
          </cell>
          <cell r="Z329">
            <v>4968.0460424615385</v>
          </cell>
          <cell r="AC329">
            <v>6076.175703076924</v>
          </cell>
          <cell r="AF329">
            <v>4968.0460424615385</v>
          </cell>
          <cell r="AI329">
            <v>4968.0460424615385</v>
          </cell>
          <cell r="AL329">
            <v>6076.175703076924</v>
          </cell>
          <cell r="AO329">
            <v>4968.0460424615385</v>
          </cell>
        </row>
        <row r="330">
          <cell r="A330" t="str">
            <v>PiècesBénéfices marginaux</v>
          </cell>
          <cell r="B330" t="str">
            <v>Bénéfices marginaux</v>
          </cell>
          <cell r="E330">
            <v>32999.195354399999</v>
          </cell>
          <cell r="H330">
            <v>2559.6237218769229</v>
          </cell>
          <cell r="K330">
            <v>2559.6237218769229</v>
          </cell>
          <cell r="N330">
            <v>3130.5513948461539</v>
          </cell>
          <cell r="Q330">
            <v>2559.6237218769229</v>
          </cell>
          <cell r="T330">
            <v>3130.5513948461539</v>
          </cell>
          <cell r="W330">
            <v>2559.6237218769229</v>
          </cell>
          <cell r="Z330">
            <v>2559.6237218769229</v>
          </cell>
          <cell r="AC330">
            <v>3130.5513948461539</v>
          </cell>
          <cell r="AF330">
            <v>2559.6237218769229</v>
          </cell>
          <cell r="AI330">
            <v>2559.6237218769229</v>
          </cell>
          <cell r="AL330">
            <v>3130.5513948461539</v>
          </cell>
          <cell r="AO330">
            <v>2559.6237218769229</v>
          </cell>
        </row>
        <row r="331">
          <cell r="A331" t="str">
            <v>PiècesCsst</v>
          </cell>
          <cell r="B331" t="str">
            <v>Csst</v>
          </cell>
          <cell r="E331">
            <v>14387.834824000001</v>
          </cell>
          <cell r="H331">
            <v>1116.0103428717948</v>
          </cell>
          <cell r="K331">
            <v>1116.0103428717948</v>
          </cell>
          <cell r="N331">
            <v>1364.9380202564105</v>
          </cell>
          <cell r="Q331">
            <v>1116.0103428717948</v>
          </cell>
          <cell r="T331">
            <v>1364.9380202564105</v>
          </cell>
          <cell r="W331">
            <v>1116.0103428717948</v>
          </cell>
          <cell r="Z331">
            <v>1116.0103428717948</v>
          </cell>
          <cell r="AC331">
            <v>1364.9380202564105</v>
          </cell>
          <cell r="AF331">
            <v>1116.0103428717948</v>
          </cell>
          <cell r="AI331">
            <v>1116.0103428717948</v>
          </cell>
          <cell r="AL331">
            <v>1364.9380202564105</v>
          </cell>
          <cell r="AO331">
            <v>1116.0103428717948</v>
          </cell>
        </row>
        <row r="332">
          <cell r="A332" t="str">
            <v>Pièces[...]</v>
          </cell>
          <cell r="B332" t="str">
            <v>[...]</v>
          </cell>
          <cell r="E332">
            <v>0</v>
          </cell>
          <cell r="H332">
            <v>0</v>
          </cell>
          <cell r="K332">
            <v>0</v>
          </cell>
          <cell r="N332">
            <v>0</v>
          </cell>
          <cell r="Q332">
            <v>0</v>
          </cell>
          <cell r="T332">
            <v>0</v>
          </cell>
          <cell r="W332">
            <v>0</v>
          </cell>
          <cell r="Z332">
            <v>0</v>
          </cell>
          <cell r="AC332">
            <v>0</v>
          </cell>
          <cell r="AF332">
            <v>0</v>
          </cell>
          <cell r="AI332">
            <v>0</v>
          </cell>
          <cell r="AL332">
            <v>0</v>
          </cell>
          <cell r="AO332">
            <v>0</v>
          </cell>
        </row>
        <row r="333">
          <cell r="A333" t="str">
            <v>PiècesTOTAL PERSONNEL</v>
          </cell>
          <cell r="B333" t="str">
            <v>TOTAL PERSONNEL</v>
          </cell>
          <cell r="C333" t="str">
            <v>% brut</v>
          </cell>
          <cell r="D333">
            <v>0.3820634261214455</v>
          </cell>
          <cell r="E333">
            <v>593585.04573440005</v>
          </cell>
          <cell r="F333" t="str">
            <v>% brut</v>
          </cell>
          <cell r="G333">
            <v>0.48995058585157492</v>
          </cell>
          <cell r="H333">
            <v>46000.984949825637</v>
          </cell>
          <cell r="I333" t="str">
            <v>% brut</v>
          </cell>
          <cell r="J333">
            <v>0.5289331674226796</v>
          </cell>
          <cell r="K333">
            <v>46000.984949825637</v>
          </cell>
          <cell r="L333" t="str">
            <v>% brut</v>
          </cell>
          <cell r="M333">
            <v>0.4947389188579947</v>
          </cell>
          <cell r="N333">
            <v>56394.291533948723</v>
          </cell>
          <cell r="O333" t="str">
            <v>% brut</v>
          </cell>
          <cell r="P333">
            <v>0.28585490801551872</v>
          </cell>
          <cell r="Q333">
            <v>46000.984949825637</v>
          </cell>
          <cell r="R333" t="str">
            <v>% brut</v>
          </cell>
          <cell r="S333">
            <v>0.33423252812589227</v>
          </cell>
          <cell r="T333">
            <v>56394.291533948723</v>
          </cell>
          <cell r="U333" t="str">
            <v>% brut</v>
          </cell>
          <cell r="V333">
            <v>0.36246738704410802</v>
          </cell>
          <cell r="W333">
            <v>46000.984949825637</v>
          </cell>
          <cell r="X333" t="str">
            <v>% brut</v>
          </cell>
          <cell r="Y333">
            <v>0.36979566937608799</v>
          </cell>
          <cell r="Z333">
            <v>46000.984949825637</v>
          </cell>
          <cell r="AA333" t="str">
            <v>% brut</v>
          </cell>
          <cell r="AB333">
            <v>0.48953731214989626</v>
          </cell>
          <cell r="AC333">
            <v>56394.291533948723</v>
          </cell>
          <cell r="AD333" t="str">
            <v>% brut</v>
          </cell>
          <cell r="AE333">
            <v>0.4411179398936243</v>
          </cell>
          <cell r="AF333">
            <v>46000.984949825637</v>
          </cell>
          <cell r="AG333" t="str">
            <v>% brut</v>
          </cell>
          <cell r="AH333">
            <v>0.27343600334447044</v>
          </cell>
          <cell r="AI333">
            <v>46000.984949825637</v>
          </cell>
          <cell r="AJ333" t="str">
            <v>% brut</v>
          </cell>
          <cell r="AK333">
            <v>0.30457286906333692</v>
          </cell>
          <cell r="AL333">
            <v>56394.291533948723</v>
          </cell>
          <cell r="AM333" t="str">
            <v>% brut</v>
          </cell>
          <cell r="AN333">
            <v>0.43830806094115943</v>
          </cell>
          <cell r="AO333">
            <v>46000.984949825637</v>
          </cell>
        </row>
        <row r="334">
          <cell r="A334" t="str">
            <v>PiècesPublicité 2</v>
          </cell>
          <cell r="B334" t="str">
            <v>Publicité 2</v>
          </cell>
          <cell r="E334">
            <v>53418.817641249982</v>
          </cell>
          <cell r="H334">
            <v>4451.5681367708321</v>
          </cell>
          <cell r="K334">
            <v>4451.5681367708321</v>
          </cell>
          <cell r="N334">
            <v>4451.5681367708321</v>
          </cell>
          <cell r="Q334">
            <v>4451.5681367708321</v>
          </cell>
          <cell r="T334">
            <v>4451.5681367708321</v>
          </cell>
          <cell r="W334">
            <v>4451.5681367708321</v>
          </cell>
          <cell r="Z334">
            <v>4451.5681367708321</v>
          </cell>
          <cell r="AC334">
            <v>4451.5681367708321</v>
          </cell>
          <cell r="AF334">
            <v>4451.5681367708321</v>
          </cell>
          <cell r="AI334">
            <v>4451.5681367708321</v>
          </cell>
          <cell r="AL334">
            <v>4451.5681367708321</v>
          </cell>
          <cell r="AO334">
            <v>4451.5681367708321</v>
          </cell>
        </row>
        <row r="335">
          <cell r="A335" t="str">
            <v>PiècesService gratuit 2</v>
          </cell>
          <cell r="B335" t="str">
            <v>Service gratuit 2</v>
          </cell>
          <cell r="E335">
            <v>17817.196877697435</v>
          </cell>
          <cell r="H335">
            <v>1484.7664064747862</v>
          </cell>
          <cell r="K335">
            <v>1484.7664064747862</v>
          </cell>
          <cell r="N335">
            <v>1484.7664064747862</v>
          </cell>
          <cell r="Q335">
            <v>1484.7664064747862</v>
          </cell>
          <cell r="T335">
            <v>1484.7664064747862</v>
          </cell>
          <cell r="W335">
            <v>1484.7664064747862</v>
          </cell>
          <cell r="Z335">
            <v>1484.7664064747862</v>
          </cell>
          <cell r="AC335">
            <v>1484.7664064747862</v>
          </cell>
          <cell r="AF335">
            <v>1484.7664064747862</v>
          </cell>
          <cell r="AI335">
            <v>1484.7664064747862</v>
          </cell>
          <cell r="AL335">
            <v>1484.7664064747862</v>
          </cell>
          <cell r="AO335">
            <v>1484.7664064747862</v>
          </cell>
        </row>
        <row r="336">
          <cell r="A336" t="str">
            <v>PiècesFrais véhicules de cie</v>
          </cell>
          <cell r="B336" t="str">
            <v>Frais véhicules de cie</v>
          </cell>
          <cell r="E336">
            <v>13000.000000000002</v>
          </cell>
          <cell r="H336">
            <v>1083.3333333333333</v>
          </cell>
          <cell r="K336">
            <v>1083.3333333333333</v>
          </cell>
          <cell r="N336">
            <v>1083.3333333333333</v>
          </cell>
          <cell r="Q336">
            <v>1083.3333333333333</v>
          </cell>
          <cell r="T336">
            <v>1083.3333333333333</v>
          </cell>
          <cell r="W336">
            <v>1083.3333333333333</v>
          </cell>
          <cell r="Z336">
            <v>1083.3333333333333</v>
          </cell>
          <cell r="AC336">
            <v>1083.3333333333333</v>
          </cell>
          <cell r="AF336">
            <v>1083.3333333333333</v>
          </cell>
          <cell r="AI336">
            <v>1083.3333333333333</v>
          </cell>
          <cell r="AL336">
            <v>1083.3333333333333</v>
          </cell>
          <cell r="AO336">
            <v>1083.3333333333333</v>
          </cell>
        </row>
        <row r="337">
          <cell r="A337" t="str">
            <v>PiècesInformatique</v>
          </cell>
          <cell r="B337" t="str">
            <v>Informatique</v>
          </cell>
          <cell r="E337">
            <v>45707.228433333337</v>
          </cell>
          <cell r="H337">
            <v>3808.9357027777774</v>
          </cell>
          <cell r="K337">
            <v>3808.9357027777774</v>
          </cell>
          <cell r="N337">
            <v>3808.9357027777774</v>
          </cell>
          <cell r="Q337">
            <v>3808.9357027777774</v>
          </cell>
          <cell r="T337">
            <v>3808.9357027777774</v>
          </cell>
          <cell r="W337">
            <v>3808.9357027777774</v>
          </cell>
          <cell r="Z337">
            <v>3808.9357027777774</v>
          </cell>
          <cell r="AC337">
            <v>3808.9357027777774</v>
          </cell>
          <cell r="AF337">
            <v>3808.9357027777774</v>
          </cell>
          <cell r="AI337">
            <v>3808.9357027777774</v>
          </cell>
          <cell r="AL337">
            <v>3808.9357027777774</v>
          </cell>
          <cell r="AO337">
            <v>3808.9357027777774</v>
          </cell>
        </row>
        <row r="338">
          <cell r="A338" t="str">
            <v>PiècesFrais de déplacement</v>
          </cell>
          <cell r="B338" t="str">
            <v>Frais de déplacement</v>
          </cell>
          <cell r="E338">
            <v>8227.4459603579617</v>
          </cell>
          <cell r="H338">
            <v>685.62049669649684</v>
          </cell>
          <cell r="K338">
            <v>685.62049669649684</v>
          </cell>
          <cell r="N338">
            <v>685.62049669649684</v>
          </cell>
          <cell r="Q338">
            <v>685.62049669649684</v>
          </cell>
          <cell r="T338">
            <v>685.62049669649684</v>
          </cell>
          <cell r="W338">
            <v>685.62049669649684</v>
          </cell>
          <cell r="Z338">
            <v>685.62049669649684</v>
          </cell>
          <cell r="AC338">
            <v>685.62049669649684</v>
          </cell>
          <cell r="AF338">
            <v>685.62049669649684</v>
          </cell>
          <cell r="AI338">
            <v>685.62049669649684</v>
          </cell>
          <cell r="AL338">
            <v>685.62049669649684</v>
          </cell>
          <cell r="AO338">
            <v>685.62049669649684</v>
          </cell>
        </row>
        <row r="339">
          <cell r="A339" t="str">
            <v>PiècesServices extérieurs</v>
          </cell>
          <cell r="B339" t="str">
            <v>Services extérieurs</v>
          </cell>
          <cell r="E339">
            <v>149001.93300638889</v>
          </cell>
          <cell r="H339">
            <v>12416.827750532408</v>
          </cell>
          <cell r="K339">
            <v>12416.827750532408</v>
          </cell>
          <cell r="N339">
            <v>12416.827750532408</v>
          </cell>
          <cell r="Q339">
            <v>12416.827750532408</v>
          </cell>
          <cell r="T339">
            <v>12416.827750532408</v>
          </cell>
          <cell r="W339">
            <v>12416.827750532408</v>
          </cell>
          <cell r="Z339">
            <v>12416.827750532408</v>
          </cell>
          <cell r="AC339">
            <v>12416.827750532408</v>
          </cell>
          <cell r="AF339">
            <v>12416.827750532408</v>
          </cell>
          <cell r="AI339">
            <v>12416.827750532408</v>
          </cell>
          <cell r="AL339">
            <v>12416.827750532408</v>
          </cell>
          <cell r="AO339">
            <v>12416.827750532408</v>
          </cell>
        </row>
        <row r="340">
          <cell r="A340" t="str">
            <v>PiècesFournitures d'atelier</v>
          </cell>
          <cell r="B340" t="str">
            <v>Fournitures d'atelier</v>
          </cell>
          <cell r="E340">
            <v>0</v>
          </cell>
          <cell r="H340">
            <v>0</v>
          </cell>
          <cell r="K340">
            <v>0</v>
          </cell>
          <cell r="N340">
            <v>0</v>
          </cell>
          <cell r="Q340">
            <v>0</v>
          </cell>
          <cell r="T340">
            <v>0</v>
          </cell>
          <cell r="W340">
            <v>0</v>
          </cell>
          <cell r="Z340">
            <v>0</v>
          </cell>
          <cell r="AC340">
            <v>0</v>
          </cell>
          <cell r="AF340">
            <v>0</v>
          </cell>
          <cell r="AI340">
            <v>0</v>
          </cell>
          <cell r="AL340">
            <v>0</v>
          </cell>
          <cell r="AO340">
            <v>0</v>
          </cell>
        </row>
        <row r="341">
          <cell r="A341" t="str">
            <v>PiècesFournitures autres</v>
          </cell>
          <cell r="B341" t="str">
            <v>Fournitures autres</v>
          </cell>
          <cell r="E341">
            <v>1500</v>
          </cell>
          <cell r="H341">
            <v>125</v>
          </cell>
          <cell r="K341">
            <v>125</v>
          </cell>
          <cell r="N341">
            <v>125</v>
          </cell>
          <cell r="Q341">
            <v>125</v>
          </cell>
          <cell r="T341">
            <v>125</v>
          </cell>
          <cell r="W341">
            <v>125</v>
          </cell>
          <cell r="Z341">
            <v>125</v>
          </cell>
          <cell r="AC341">
            <v>125</v>
          </cell>
          <cell r="AF341">
            <v>125</v>
          </cell>
          <cell r="AI341">
            <v>125</v>
          </cell>
          <cell r="AL341">
            <v>125</v>
          </cell>
          <cell r="AO341">
            <v>125</v>
          </cell>
        </row>
        <row r="342">
          <cell r="A342" t="str">
            <v>PiècesUniformes</v>
          </cell>
          <cell r="B342" t="str">
            <v>Uniformes</v>
          </cell>
          <cell r="E342">
            <v>1000.0000000000001</v>
          </cell>
          <cell r="H342">
            <v>83.333333333333329</v>
          </cell>
          <cell r="K342">
            <v>83.333333333333329</v>
          </cell>
          <cell r="N342">
            <v>83.333333333333329</v>
          </cell>
          <cell r="Q342">
            <v>83.333333333333329</v>
          </cell>
          <cell r="T342">
            <v>83.333333333333329</v>
          </cell>
          <cell r="W342">
            <v>83.333333333333329</v>
          </cell>
          <cell r="Z342">
            <v>83.333333333333329</v>
          </cell>
          <cell r="AC342">
            <v>83.333333333333329</v>
          </cell>
          <cell r="AF342">
            <v>83.333333333333329</v>
          </cell>
          <cell r="AI342">
            <v>83.333333333333329</v>
          </cell>
          <cell r="AL342">
            <v>83.333333333333329</v>
          </cell>
          <cell r="AO342">
            <v>83.333333333333329</v>
          </cell>
        </row>
        <row r="343">
          <cell r="A343" t="str">
            <v>PiècesPapeterie</v>
          </cell>
          <cell r="B343" t="str">
            <v>Papeterie</v>
          </cell>
          <cell r="E343">
            <v>7415.4351746999992</v>
          </cell>
          <cell r="H343">
            <v>617.95293122500004</v>
          </cell>
          <cell r="K343">
            <v>617.95293122500004</v>
          </cell>
          <cell r="N343">
            <v>617.95293122500004</v>
          </cell>
          <cell r="Q343">
            <v>617.95293122500004</v>
          </cell>
          <cell r="T343">
            <v>617.95293122500004</v>
          </cell>
          <cell r="W343">
            <v>617.95293122500004</v>
          </cell>
          <cell r="Z343">
            <v>617.95293122500004</v>
          </cell>
          <cell r="AC343">
            <v>617.95293122500004</v>
          </cell>
          <cell r="AF343">
            <v>617.95293122500004</v>
          </cell>
          <cell r="AI343">
            <v>617.95293122500004</v>
          </cell>
          <cell r="AL343">
            <v>617.95293122500004</v>
          </cell>
          <cell r="AO343">
            <v>617.95293122500004</v>
          </cell>
        </row>
        <row r="344">
          <cell r="A344" t="str">
            <v>PiècesTéléphone</v>
          </cell>
          <cell r="B344" t="str">
            <v>Téléphone</v>
          </cell>
          <cell r="E344">
            <v>1576.2985973708335</v>
          </cell>
          <cell r="H344">
            <v>131.35821644756945</v>
          </cell>
          <cell r="K344">
            <v>131.35821644756945</v>
          </cell>
          <cell r="N344">
            <v>131.35821644756945</v>
          </cell>
          <cell r="Q344">
            <v>131.35821644756945</v>
          </cell>
          <cell r="T344">
            <v>131.35821644756945</v>
          </cell>
          <cell r="W344">
            <v>131.35821644756945</v>
          </cell>
          <cell r="Z344">
            <v>131.35821644756945</v>
          </cell>
          <cell r="AC344">
            <v>131.35821644756945</v>
          </cell>
          <cell r="AF344">
            <v>131.35821644756945</v>
          </cell>
          <cell r="AI344">
            <v>131.35821644756945</v>
          </cell>
          <cell r="AL344">
            <v>131.35821644756945</v>
          </cell>
          <cell r="AO344">
            <v>131.35821644756945</v>
          </cell>
        </row>
        <row r="345">
          <cell r="A345" t="str">
            <v>PiècesFrais postaux</v>
          </cell>
          <cell r="B345" t="str">
            <v>Frais postaux</v>
          </cell>
          <cell r="E345">
            <v>1923.5577366291664</v>
          </cell>
          <cell r="H345">
            <v>160.29647805243053</v>
          </cell>
          <cell r="K345">
            <v>160.29647805243053</v>
          </cell>
          <cell r="N345">
            <v>160.29647805243053</v>
          </cell>
          <cell r="Q345">
            <v>160.29647805243053</v>
          </cell>
          <cell r="T345">
            <v>160.29647805243053</v>
          </cell>
          <cell r="W345">
            <v>160.29647805243053</v>
          </cell>
          <cell r="Z345">
            <v>160.29647805243053</v>
          </cell>
          <cell r="AC345">
            <v>160.29647805243053</v>
          </cell>
          <cell r="AF345">
            <v>160.29647805243053</v>
          </cell>
          <cell r="AI345">
            <v>160.29647805243053</v>
          </cell>
          <cell r="AL345">
            <v>160.29647805243053</v>
          </cell>
          <cell r="AO345">
            <v>160.29647805243053</v>
          </cell>
        </row>
        <row r="346">
          <cell r="A346" t="str">
            <v>PiècesDivers</v>
          </cell>
          <cell r="B346" t="str">
            <v>Divers</v>
          </cell>
          <cell r="E346">
            <v>2625.1738822041675</v>
          </cell>
          <cell r="H346">
            <v>218.76449018368055</v>
          </cell>
          <cell r="K346">
            <v>218.76449018368055</v>
          </cell>
          <cell r="N346">
            <v>218.76449018368055</v>
          </cell>
          <cell r="Q346">
            <v>218.76449018368055</v>
          </cell>
          <cell r="T346">
            <v>218.76449018368055</v>
          </cell>
          <cell r="W346">
            <v>218.76449018368055</v>
          </cell>
          <cell r="Z346">
            <v>218.76449018368055</v>
          </cell>
          <cell r="AC346">
            <v>218.76449018368055</v>
          </cell>
          <cell r="AF346">
            <v>218.76449018368055</v>
          </cell>
          <cell r="AI346">
            <v>218.76449018368055</v>
          </cell>
          <cell r="AL346">
            <v>218.76449018368055</v>
          </cell>
          <cell r="AO346">
            <v>218.76449018368055</v>
          </cell>
        </row>
        <row r="347">
          <cell r="A347" t="str">
            <v>PiècesFormation</v>
          </cell>
          <cell r="B347" t="str">
            <v>Formation</v>
          </cell>
          <cell r="E347">
            <v>9867.1083957992942</v>
          </cell>
          <cell r="H347">
            <v>822.25903298327421</v>
          </cell>
          <cell r="K347">
            <v>822.25903298327421</v>
          </cell>
          <cell r="N347">
            <v>822.25903298327421</v>
          </cell>
          <cell r="Q347">
            <v>822.25903298327421</v>
          </cell>
          <cell r="T347">
            <v>822.25903298327421</v>
          </cell>
          <cell r="W347">
            <v>822.25903298327421</v>
          </cell>
          <cell r="Z347">
            <v>822.25903298327421</v>
          </cell>
          <cell r="AC347">
            <v>822.25903298327421</v>
          </cell>
          <cell r="AF347">
            <v>822.25903298327421</v>
          </cell>
          <cell r="AI347">
            <v>822.25903298327421</v>
          </cell>
          <cell r="AL347">
            <v>822.25903298327421</v>
          </cell>
          <cell r="AO347">
            <v>822.25903298327421</v>
          </cell>
        </row>
        <row r="348">
          <cell r="A348" t="str">
            <v>PiècesFrais bancaires</v>
          </cell>
          <cell r="B348" t="str">
            <v>Frais bancaires</v>
          </cell>
          <cell r="E348">
            <v>17755.930187755745</v>
          </cell>
          <cell r="H348">
            <v>1479.6608489796454</v>
          </cell>
          <cell r="K348">
            <v>1479.6608489796454</v>
          </cell>
          <cell r="N348">
            <v>1479.6608489796454</v>
          </cell>
          <cell r="Q348">
            <v>1479.6608489796454</v>
          </cell>
          <cell r="T348">
            <v>1479.6608489796454</v>
          </cell>
          <cell r="W348">
            <v>1479.6608489796454</v>
          </cell>
          <cell r="Z348">
            <v>1479.6608489796454</v>
          </cell>
          <cell r="AC348">
            <v>1479.6608489796454</v>
          </cell>
          <cell r="AF348">
            <v>1479.6608489796454</v>
          </cell>
          <cell r="AI348">
            <v>1479.6608489796454</v>
          </cell>
          <cell r="AL348">
            <v>1479.6608489796454</v>
          </cell>
          <cell r="AO348">
            <v>1479.6608489796454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Pièces[...]</v>
          </cell>
          <cell r="B351" t="str">
            <v>[...]</v>
          </cell>
          <cell r="E351">
            <v>0</v>
          </cell>
        </row>
        <row r="352">
          <cell r="A352" t="str">
            <v>PiècesTOTAL SEMI-FIXES</v>
          </cell>
          <cell r="B352" t="str">
            <v>TOTAL SEMI-FIXES</v>
          </cell>
          <cell r="C352" t="str">
            <v>% brut</v>
          </cell>
          <cell r="D352">
            <v>0.21294401645045716</v>
          </cell>
          <cell r="E352">
            <v>330836.12589348684</v>
          </cell>
          <cell r="F352" t="str">
            <v>% brut</v>
          </cell>
          <cell r="G352">
            <v>0.29364109246642273</v>
          </cell>
          <cell r="H352">
            <v>27569.677157790564</v>
          </cell>
          <cell r="I352" t="str">
            <v>% brut</v>
          </cell>
          <cell r="J352">
            <v>0.31700444413954088</v>
          </cell>
          <cell r="K352">
            <v>27569.677157790564</v>
          </cell>
          <cell r="L352" t="str">
            <v>% brut</v>
          </cell>
          <cell r="M352">
            <v>0.24186476856612793</v>
          </cell>
          <cell r="N352">
            <v>27569.677157790564</v>
          </cell>
          <cell r="O352" t="str">
            <v>% brut</v>
          </cell>
          <cell r="P352">
            <v>0.17132084316354712</v>
          </cell>
          <cell r="Q352">
            <v>27569.677157790564</v>
          </cell>
          <cell r="R352" t="str">
            <v>% brut</v>
          </cell>
          <cell r="S352">
            <v>0.16339744051072738</v>
          </cell>
          <cell r="T352">
            <v>27569.677157790564</v>
          </cell>
          <cell r="U352" t="str">
            <v>% brut</v>
          </cell>
          <cell r="V352">
            <v>0.21723684507915858</v>
          </cell>
          <cell r="W352">
            <v>27569.677157790564</v>
          </cell>
          <cell r="X352" t="str">
            <v>% brut</v>
          </cell>
          <cell r="Y352">
            <v>0.22162888968938149</v>
          </cell>
          <cell r="Z352">
            <v>27569.677157790564</v>
          </cell>
          <cell r="AA352" t="str">
            <v>% brut</v>
          </cell>
          <cell r="AB352">
            <v>0.23932184066077883</v>
          </cell>
          <cell r="AC352">
            <v>27569.677157790564</v>
          </cell>
          <cell r="AD352" t="str">
            <v>% brut</v>
          </cell>
          <cell r="AE352">
            <v>0.26437432165075808</v>
          </cell>
          <cell r="AF352">
            <v>27569.677157790564</v>
          </cell>
          <cell r="AG352" t="str">
            <v>% brut</v>
          </cell>
          <cell r="AH352">
            <v>0.16387784617538206</v>
          </cell>
          <cell r="AI352">
            <v>27569.677157790564</v>
          </cell>
          <cell r="AJ352" t="str">
            <v>% brut</v>
          </cell>
          <cell r="AK352">
            <v>0.14889761787402422</v>
          </cell>
          <cell r="AL352">
            <v>27569.677157790564</v>
          </cell>
          <cell r="AM352" t="str">
            <v>% brut</v>
          </cell>
          <cell r="AN352">
            <v>0.26269028258819405</v>
          </cell>
          <cell r="AO352">
            <v>27569.677157790564</v>
          </cell>
        </row>
        <row r="353">
          <cell r="A353" t="str">
            <v>Pièces</v>
          </cell>
        </row>
        <row r="354">
          <cell r="A354" t="str">
            <v>PiècesTOTAL DES DÉPENSES</v>
          </cell>
          <cell r="B354" t="str">
            <v>TOTAL DES DÉPENSES</v>
          </cell>
          <cell r="C354" t="str">
            <v>% brut</v>
          </cell>
          <cell r="D354">
            <v>0.59500744257190263</v>
          </cell>
          <cell r="E354">
            <v>924421.17162788683</v>
          </cell>
          <cell r="F354" t="str">
            <v>% brut</v>
          </cell>
          <cell r="G354">
            <v>0.78359167831799759</v>
          </cell>
          <cell r="H354">
            <v>73570.662107616197</v>
          </cell>
          <cell r="I354" t="str">
            <v>% brut</v>
          </cell>
          <cell r="J354">
            <v>0.84593761156222047</v>
          </cell>
          <cell r="K354">
            <v>73570.662107616197</v>
          </cell>
          <cell r="L354" t="str">
            <v>% brut</v>
          </cell>
          <cell r="M354">
            <v>0.73660368742412263</v>
          </cell>
          <cell r="N354">
            <v>83963.968691739283</v>
          </cell>
          <cell r="O354" t="str">
            <v>% brut</v>
          </cell>
          <cell r="P354">
            <v>0.45717575117906584</v>
          </cell>
          <cell r="Q354">
            <v>73570.662107616197</v>
          </cell>
          <cell r="R354" t="str">
            <v>% brut</v>
          </cell>
          <cell r="S354">
            <v>0.49762996863661962</v>
          </cell>
          <cell r="T354">
            <v>83963.968691739283</v>
          </cell>
          <cell r="U354" t="str">
            <v>% brut</v>
          </cell>
          <cell r="V354">
            <v>0.57970423212326661</v>
          </cell>
          <cell r="W354">
            <v>73570.662107616197</v>
          </cell>
          <cell r="X354" t="str">
            <v>% brut</v>
          </cell>
          <cell r="Y354">
            <v>0.59142455906546942</v>
          </cell>
          <cell r="Z354">
            <v>73570.662107616197</v>
          </cell>
          <cell r="AA354" t="str">
            <v>% brut</v>
          </cell>
          <cell r="AB354">
            <v>0.72885915281067504</v>
          </cell>
          <cell r="AC354">
            <v>83963.968691739283</v>
          </cell>
          <cell r="AD354" t="str">
            <v>% brut</v>
          </cell>
          <cell r="AE354">
            <v>0.70549226154438238</v>
          </cell>
          <cell r="AF354">
            <v>73570.662107616197</v>
          </cell>
          <cell r="AG354" t="str">
            <v>% brut</v>
          </cell>
          <cell r="AH354">
            <v>0.43731384951985247</v>
          </cell>
          <cell r="AI354">
            <v>73570.662107616197</v>
          </cell>
          <cell r="AJ354" t="str">
            <v>% brut</v>
          </cell>
          <cell r="AK354">
            <v>0.45347048693736108</v>
          </cell>
          <cell r="AL354">
            <v>83963.968691739283</v>
          </cell>
          <cell r="AM354" t="str">
            <v>% brut</v>
          </cell>
          <cell r="AN354">
            <v>0.70099834352935342</v>
          </cell>
          <cell r="AO354">
            <v>73570.662107616197</v>
          </cell>
        </row>
        <row r="355">
          <cell r="A355" t="str">
            <v>Pièces</v>
          </cell>
        </row>
        <row r="356">
          <cell r="A356" t="str">
            <v>PiècesPROFIT DÉPARTEMENTAL</v>
          </cell>
          <cell r="B356" t="str">
            <v>PROFIT DÉPARTEMENTAL</v>
          </cell>
          <cell r="E356">
            <v>629208.42270475347</v>
          </cell>
          <cell r="H356">
            <v>20318.367272504038</v>
          </cell>
          <cell r="K356">
            <v>13398.709039921348</v>
          </cell>
          <cell r="N356">
            <v>30024.014433023985</v>
          </cell>
          <cell r="Q356">
            <v>87353.581835497404</v>
          </cell>
          <cell r="T356">
            <v>84763.748655709351</v>
          </cell>
          <cell r="W356">
            <v>53340.024464657006</v>
          </cell>
          <cell r="Z356">
            <v>50825.021128581779</v>
          </cell>
          <cell r="AC356">
            <v>31235.200266970845</v>
          </cell>
          <cell r="AF356">
            <v>30712.072257979511</v>
          </cell>
          <cell r="AI356">
            <v>94662.43224417005</v>
          </cell>
          <cell r="AL356">
            <v>101194.64936698659</v>
          </cell>
          <cell r="AO356">
            <v>31380.601738751968</v>
          </cell>
        </row>
        <row r="359">
          <cell r="B359" t="str">
            <v>Budget 2024</v>
          </cell>
          <cell r="C359" t="str">
            <v>Boutique</v>
          </cell>
        </row>
        <row r="361">
          <cell r="B361" t="str">
            <v>Mois</v>
          </cell>
          <cell r="C361">
            <v>2024</v>
          </cell>
          <cell r="F361" t="str">
            <v>Janvier</v>
          </cell>
          <cell r="I361" t="str">
            <v>Février</v>
          </cell>
          <cell r="L361" t="str">
            <v>Mars</v>
          </cell>
          <cell r="O361" t="str">
            <v>Avril</v>
          </cell>
          <cell r="R361" t="str">
            <v>Mai</v>
          </cell>
          <cell r="U361" t="str">
            <v>Juin</v>
          </cell>
          <cell r="X361" t="str">
            <v>Juillet</v>
          </cell>
          <cell r="AA361" t="str">
            <v>Août</v>
          </cell>
          <cell r="AD361" t="str">
            <v>Septembre</v>
          </cell>
          <cell r="AG361" t="str">
            <v>Octobre</v>
          </cell>
          <cell r="AJ361" t="str">
            <v>Novembre</v>
          </cell>
          <cell r="AM361" t="str">
            <v>Décembre</v>
          </cell>
        </row>
        <row r="362">
          <cell r="C362" t="str">
            <v>$VENTES</v>
          </cell>
          <cell r="D362" t="str">
            <v>% P. BRUT</v>
          </cell>
          <cell r="E362" t="str">
            <v>$PROFITS</v>
          </cell>
          <cell r="F362" t="str">
            <v>$VENTES</v>
          </cell>
          <cell r="G362" t="str">
            <v>% P. BRUT</v>
          </cell>
          <cell r="H362" t="str">
            <v>$PROFITS</v>
          </cell>
          <cell r="I362" t="str">
            <v>$VENTES</v>
          </cell>
          <cell r="J362" t="str">
            <v>% P. BRUT</v>
          </cell>
          <cell r="K362" t="str">
            <v>$PROFITS</v>
          </cell>
          <cell r="L362" t="str">
            <v>$VENTES</v>
          </cell>
          <cell r="M362" t="str">
            <v>% P. BRUT</v>
          </cell>
          <cell r="N362" t="str">
            <v>$PROFITS</v>
          </cell>
          <cell r="O362" t="str">
            <v>$VENTES</v>
          </cell>
          <cell r="P362" t="str">
            <v>% P. BRUT</v>
          </cell>
          <cell r="Q362" t="str">
            <v>$PROFITS</v>
          </cell>
          <cell r="R362" t="str">
            <v>$VENTES</v>
          </cell>
          <cell r="S362" t="str">
            <v>% P. BRUT</v>
          </cell>
          <cell r="T362" t="str">
            <v>$PROFITS</v>
          </cell>
          <cell r="U362" t="str">
            <v>$VENTES</v>
          </cell>
          <cell r="V362" t="str">
            <v>% P. BRUT</v>
          </cell>
          <cell r="W362" t="str">
            <v>$PROFITS</v>
          </cell>
          <cell r="X362" t="str">
            <v>$VENTES</v>
          </cell>
          <cell r="Y362" t="str">
            <v>% P. BRUT</v>
          </cell>
          <cell r="Z362" t="str">
            <v>$PROFITS</v>
          </cell>
          <cell r="AA362" t="str">
            <v>$VENTES</v>
          </cell>
          <cell r="AB362" t="str">
            <v>% P. BRUT</v>
          </cell>
          <cell r="AC362" t="str">
            <v>$PROFITS</v>
          </cell>
          <cell r="AD362" t="str">
            <v>$VENTES</v>
          </cell>
          <cell r="AE362" t="str">
            <v>% P. BRUT</v>
          </cell>
          <cell r="AF362" t="str">
            <v>$PROFITS</v>
          </cell>
          <cell r="AG362" t="str">
            <v>$VENTES</v>
          </cell>
          <cell r="AH362" t="str">
            <v>% P. BRUT</v>
          </cell>
          <cell r="AI362" t="str">
            <v>$PROFITS</v>
          </cell>
          <cell r="AJ362" t="str">
            <v>$VENTES</v>
          </cell>
          <cell r="AK362" t="str">
            <v>% P. BRUT</v>
          </cell>
          <cell r="AL362" t="str">
            <v>$PROFITS</v>
          </cell>
          <cell r="AM362" t="str">
            <v>$VENTES</v>
          </cell>
          <cell r="AN362" t="str">
            <v>% P. BRUT</v>
          </cell>
          <cell r="AO362" t="str">
            <v>$PROFITS</v>
          </cell>
        </row>
        <row r="363">
          <cell r="A363" t="str">
            <v>BoutiqueBoutique</v>
          </cell>
          <cell r="B363" t="str">
            <v>Boutique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A364" t="str">
            <v>Boutique</v>
          </cell>
        </row>
        <row r="365">
          <cell r="A365" t="str">
            <v>BoutiqueTotal Dépt. Boutique</v>
          </cell>
          <cell r="B365" t="str">
            <v>Total Dépt. Boutique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A366" t="str">
            <v>Boutique</v>
          </cell>
        </row>
        <row r="367">
          <cell r="A367" t="str">
            <v>BoutiqueDEPENSES</v>
          </cell>
          <cell r="B367" t="str">
            <v>DEPENSES</v>
          </cell>
        </row>
        <row r="368">
          <cell r="A368" t="str">
            <v>BoutiqueSalaires cadres</v>
          </cell>
          <cell r="B368" t="str">
            <v>Salaires cadres</v>
          </cell>
          <cell r="E368">
            <v>0</v>
          </cell>
          <cell r="H368">
            <v>0</v>
          </cell>
          <cell r="K368">
            <v>0</v>
          </cell>
          <cell r="N368">
            <v>0</v>
          </cell>
          <cell r="Q368">
            <v>0</v>
          </cell>
          <cell r="T368">
            <v>0</v>
          </cell>
          <cell r="W368">
            <v>0</v>
          </cell>
          <cell r="Z368">
            <v>0</v>
          </cell>
          <cell r="AC368">
            <v>0</v>
          </cell>
          <cell r="AF368">
            <v>0</v>
          </cell>
          <cell r="AI368">
            <v>0</v>
          </cell>
          <cell r="AL368">
            <v>0</v>
          </cell>
          <cell r="AO368">
            <v>0</v>
          </cell>
        </row>
        <row r="369">
          <cell r="A369" t="str">
            <v>BoutiqueSalaires commis</v>
          </cell>
          <cell r="B369" t="str">
            <v>Salaires commis</v>
          </cell>
          <cell r="E369">
            <v>0</v>
          </cell>
          <cell r="H369">
            <v>0</v>
          </cell>
          <cell r="K369">
            <v>0</v>
          </cell>
          <cell r="N369">
            <v>0</v>
          </cell>
          <cell r="Q369">
            <v>0</v>
          </cell>
          <cell r="T369">
            <v>0</v>
          </cell>
          <cell r="W369">
            <v>0</v>
          </cell>
          <cell r="Z369">
            <v>0</v>
          </cell>
          <cell r="AC369">
            <v>0</v>
          </cell>
          <cell r="AF369">
            <v>0</v>
          </cell>
          <cell r="AI369">
            <v>0</v>
          </cell>
          <cell r="AL369">
            <v>0</v>
          </cell>
          <cell r="AO369">
            <v>0</v>
          </cell>
        </row>
        <row r="370">
          <cell r="A370" t="str">
            <v>BoutiqueSalaires autres</v>
          </cell>
          <cell r="B370" t="str">
            <v>Salaires autres</v>
          </cell>
          <cell r="E370">
            <v>0</v>
          </cell>
          <cell r="H370">
            <v>0</v>
          </cell>
          <cell r="K370">
            <v>0</v>
          </cell>
          <cell r="N370">
            <v>0</v>
          </cell>
          <cell r="Q370">
            <v>0</v>
          </cell>
          <cell r="T370">
            <v>0</v>
          </cell>
          <cell r="W370">
            <v>0</v>
          </cell>
          <cell r="Z370">
            <v>0</v>
          </cell>
          <cell r="AC370">
            <v>0</v>
          </cell>
          <cell r="AF370">
            <v>0</v>
          </cell>
          <cell r="AI370">
            <v>0</v>
          </cell>
          <cell r="AL370">
            <v>0</v>
          </cell>
          <cell r="AO370">
            <v>0</v>
          </cell>
        </row>
        <row r="371">
          <cell r="A371" t="str">
            <v>BoutiqueSalaires spécialistes</v>
          </cell>
          <cell r="B371" t="str">
            <v>Salaires spécialistes</v>
          </cell>
          <cell r="E371">
            <v>0</v>
          </cell>
          <cell r="H371">
            <v>0</v>
          </cell>
          <cell r="K371">
            <v>0</v>
          </cell>
          <cell r="N371">
            <v>0</v>
          </cell>
          <cell r="Q371">
            <v>0</v>
          </cell>
          <cell r="T371">
            <v>0</v>
          </cell>
          <cell r="W371">
            <v>0</v>
          </cell>
          <cell r="Z371">
            <v>0</v>
          </cell>
          <cell r="AC371">
            <v>0</v>
          </cell>
          <cell r="AF371">
            <v>0</v>
          </cell>
          <cell r="AI371">
            <v>0</v>
          </cell>
          <cell r="AL371">
            <v>0</v>
          </cell>
          <cell r="AO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  <cell r="H372">
            <v>0</v>
          </cell>
          <cell r="K372">
            <v>0</v>
          </cell>
          <cell r="N372">
            <v>0</v>
          </cell>
          <cell r="Q372">
            <v>0</v>
          </cell>
          <cell r="T372">
            <v>0</v>
          </cell>
          <cell r="W372">
            <v>0</v>
          </cell>
          <cell r="Z372">
            <v>0</v>
          </cell>
          <cell r="AC372">
            <v>0</v>
          </cell>
          <cell r="AF372">
            <v>0</v>
          </cell>
          <cell r="AI372">
            <v>0</v>
          </cell>
          <cell r="AL372">
            <v>0</v>
          </cell>
          <cell r="AO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  <cell r="H373">
            <v>0</v>
          </cell>
          <cell r="K373">
            <v>0</v>
          </cell>
          <cell r="N373">
            <v>0</v>
          </cell>
          <cell r="Q373">
            <v>0</v>
          </cell>
          <cell r="T373">
            <v>0</v>
          </cell>
          <cell r="W373">
            <v>0</v>
          </cell>
          <cell r="Z373">
            <v>0</v>
          </cell>
          <cell r="AC373">
            <v>0</v>
          </cell>
          <cell r="AF373">
            <v>0</v>
          </cell>
          <cell r="AI373">
            <v>0</v>
          </cell>
          <cell r="AL373">
            <v>0</v>
          </cell>
          <cell r="AO373">
            <v>0</v>
          </cell>
        </row>
        <row r="374">
          <cell r="A374" t="str">
            <v>Boutique[...]</v>
          </cell>
          <cell r="B374" t="str">
            <v>[...]</v>
          </cell>
          <cell r="E374">
            <v>0</v>
          </cell>
          <cell r="H374">
            <v>0</v>
          </cell>
          <cell r="K374">
            <v>0</v>
          </cell>
          <cell r="N374">
            <v>0</v>
          </cell>
          <cell r="Q374">
            <v>0</v>
          </cell>
          <cell r="T374">
            <v>0</v>
          </cell>
          <cell r="W374">
            <v>0</v>
          </cell>
          <cell r="Z374">
            <v>0</v>
          </cell>
          <cell r="AC374">
            <v>0</v>
          </cell>
          <cell r="AF374">
            <v>0</v>
          </cell>
          <cell r="AI374">
            <v>0</v>
          </cell>
          <cell r="AL374">
            <v>0</v>
          </cell>
          <cell r="AO374">
            <v>0</v>
          </cell>
        </row>
        <row r="375">
          <cell r="A375" t="str">
            <v>BoutiqueSalaires en absences</v>
          </cell>
          <cell r="B375" t="str">
            <v>Salaires en absences</v>
          </cell>
          <cell r="E375">
            <v>0</v>
          </cell>
          <cell r="H375">
            <v>0</v>
          </cell>
          <cell r="K375">
            <v>0</v>
          </cell>
          <cell r="N375">
            <v>0</v>
          </cell>
          <cell r="Q375">
            <v>0</v>
          </cell>
          <cell r="T375">
            <v>0</v>
          </cell>
          <cell r="W375">
            <v>0</v>
          </cell>
          <cell r="Z375">
            <v>0</v>
          </cell>
          <cell r="AC375">
            <v>0</v>
          </cell>
          <cell r="AF375">
            <v>0</v>
          </cell>
          <cell r="AI375">
            <v>0</v>
          </cell>
          <cell r="AL375">
            <v>0</v>
          </cell>
          <cell r="AO375">
            <v>0</v>
          </cell>
        </row>
        <row r="376">
          <cell r="A376" t="str">
            <v>BoutiqueDéduction à la source</v>
          </cell>
          <cell r="B376" t="str">
            <v>Déduction à la source</v>
          </cell>
          <cell r="E376">
            <v>0</v>
          </cell>
          <cell r="H376">
            <v>0</v>
          </cell>
          <cell r="K376">
            <v>0</v>
          </cell>
          <cell r="N376">
            <v>0</v>
          </cell>
          <cell r="Q376">
            <v>0</v>
          </cell>
          <cell r="T376">
            <v>0</v>
          </cell>
          <cell r="W376">
            <v>0</v>
          </cell>
          <cell r="Z376">
            <v>0</v>
          </cell>
          <cell r="AC376">
            <v>0</v>
          </cell>
          <cell r="AF376">
            <v>0</v>
          </cell>
          <cell r="AI376">
            <v>0</v>
          </cell>
          <cell r="AL376">
            <v>0</v>
          </cell>
          <cell r="AO376">
            <v>0</v>
          </cell>
        </row>
        <row r="377">
          <cell r="A377" t="str">
            <v>BoutiqueBénéfices marginaux</v>
          </cell>
          <cell r="B377" t="str">
            <v>Bénéfices marginaux</v>
          </cell>
          <cell r="E377">
            <v>0</v>
          </cell>
          <cell r="H377">
            <v>0</v>
          </cell>
          <cell r="K377">
            <v>0</v>
          </cell>
          <cell r="N377">
            <v>0</v>
          </cell>
          <cell r="Q377">
            <v>0</v>
          </cell>
          <cell r="T377">
            <v>0</v>
          </cell>
          <cell r="W377">
            <v>0</v>
          </cell>
          <cell r="Z377">
            <v>0</v>
          </cell>
          <cell r="AC377">
            <v>0</v>
          </cell>
          <cell r="AF377">
            <v>0</v>
          </cell>
          <cell r="AI377">
            <v>0</v>
          </cell>
          <cell r="AL377">
            <v>0</v>
          </cell>
          <cell r="AO377">
            <v>0</v>
          </cell>
        </row>
        <row r="378">
          <cell r="A378" t="str">
            <v>BoutiqueCsst</v>
          </cell>
          <cell r="B378" t="str">
            <v>Csst</v>
          </cell>
          <cell r="E378">
            <v>0</v>
          </cell>
          <cell r="H378">
            <v>0</v>
          </cell>
          <cell r="K378">
            <v>0</v>
          </cell>
          <cell r="N378">
            <v>0</v>
          </cell>
          <cell r="Q378">
            <v>0</v>
          </cell>
          <cell r="T378">
            <v>0</v>
          </cell>
          <cell r="W378">
            <v>0</v>
          </cell>
          <cell r="Z378">
            <v>0</v>
          </cell>
          <cell r="AC378">
            <v>0</v>
          </cell>
          <cell r="AF378">
            <v>0</v>
          </cell>
          <cell r="AI378">
            <v>0</v>
          </cell>
          <cell r="AL378">
            <v>0</v>
          </cell>
          <cell r="AO378">
            <v>0</v>
          </cell>
        </row>
        <row r="379">
          <cell r="A379" t="str">
            <v>Boutique[...]</v>
          </cell>
          <cell r="B379" t="str">
            <v>[...]</v>
          </cell>
          <cell r="E379">
            <v>0</v>
          </cell>
          <cell r="H379">
            <v>0</v>
          </cell>
          <cell r="K379">
            <v>0</v>
          </cell>
          <cell r="N379">
            <v>0</v>
          </cell>
          <cell r="Q379">
            <v>0</v>
          </cell>
          <cell r="T379">
            <v>0</v>
          </cell>
          <cell r="W379">
            <v>0</v>
          </cell>
          <cell r="Z379">
            <v>0</v>
          </cell>
          <cell r="AC379">
            <v>0</v>
          </cell>
          <cell r="AF379">
            <v>0</v>
          </cell>
          <cell r="AI379">
            <v>0</v>
          </cell>
          <cell r="AL379">
            <v>0</v>
          </cell>
          <cell r="AO379">
            <v>0</v>
          </cell>
        </row>
        <row r="380">
          <cell r="A380" t="str">
            <v>BoutiqueTOTAL PERSONNEL</v>
          </cell>
          <cell r="B380" t="str">
            <v>TOTAL PERSONNEL</v>
          </cell>
          <cell r="C380" t="str">
            <v>% brut</v>
          </cell>
          <cell r="D380">
            <v>0</v>
          </cell>
          <cell r="E380">
            <v>0</v>
          </cell>
          <cell r="F380" t="str">
            <v>% brut</v>
          </cell>
          <cell r="G380">
            <v>0</v>
          </cell>
          <cell r="H380">
            <v>0</v>
          </cell>
          <cell r="I380" t="str">
            <v>% brut</v>
          </cell>
          <cell r="J380">
            <v>0</v>
          </cell>
          <cell r="K380">
            <v>0</v>
          </cell>
          <cell r="L380" t="str">
            <v>% brut</v>
          </cell>
          <cell r="M380">
            <v>0</v>
          </cell>
          <cell r="N380">
            <v>0</v>
          </cell>
          <cell r="O380" t="str">
            <v>% brut</v>
          </cell>
          <cell r="P380">
            <v>0</v>
          </cell>
          <cell r="Q380">
            <v>0</v>
          </cell>
          <cell r="R380" t="str">
            <v>% brut</v>
          </cell>
          <cell r="S380">
            <v>0</v>
          </cell>
          <cell r="T380">
            <v>0</v>
          </cell>
          <cell r="U380" t="str">
            <v>% brut</v>
          </cell>
          <cell r="V380">
            <v>0</v>
          </cell>
          <cell r="W380">
            <v>0</v>
          </cell>
          <cell r="X380" t="str">
            <v>% brut</v>
          </cell>
          <cell r="Y380">
            <v>0</v>
          </cell>
          <cell r="Z380">
            <v>0</v>
          </cell>
          <cell r="AA380" t="str">
            <v>% brut</v>
          </cell>
          <cell r="AB380">
            <v>0</v>
          </cell>
          <cell r="AC380">
            <v>0</v>
          </cell>
          <cell r="AD380" t="str">
            <v>% brut</v>
          </cell>
          <cell r="AE380">
            <v>0</v>
          </cell>
          <cell r="AF380">
            <v>0</v>
          </cell>
          <cell r="AG380" t="str">
            <v>% brut</v>
          </cell>
          <cell r="AH380">
            <v>0</v>
          </cell>
          <cell r="AI380">
            <v>0</v>
          </cell>
          <cell r="AJ380" t="str">
            <v>% brut</v>
          </cell>
          <cell r="AK380">
            <v>0</v>
          </cell>
          <cell r="AL380">
            <v>0</v>
          </cell>
          <cell r="AM380" t="str">
            <v>% brut</v>
          </cell>
          <cell r="AN380">
            <v>0</v>
          </cell>
          <cell r="AO380">
            <v>0</v>
          </cell>
        </row>
        <row r="381">
          <cell r="A381" t="str">
            <v>BoutiquePublicité 2</v>
          </cell>
          <cell r="B381" t="str">
            <v>Publicité 2</v>
          </cell>
          <cell r="E381">
            <v>0</v>
          </cell>
          <cell r="H381">
            <v>0</v>
          </cell>
          <cell r="K381">
            <v>0</v>
          </cell>
          <cell r="N381">
            <v>0</v>
          </cell>
          <cell r="Q381">
            <v>0</v>
          </cell>
          <cell r="T381">
            <v>0</v>
          </cell>
          <cell r="W381">
            <v>0</v>
          </cell>
          <cell r="Z381">
            <v>0</v>
          </cell>
          <cell r="AC381">
            <v>0</v>
          </cell>
          <cell r="AF381">
            <v>0</v>
          </cell>
          <cell r="AI381">
            <v>0</v>
          </cell>
          <cell r="AL381">
            <v>0</v>
          </cell>
          <cell r="AO381">
            <v>0</v>
          </cell>
        </row>
        <row r="382">
          <cell r="A382" t="str">
            <v>BoutiqueService gratuit 2</v>
          </cell>
          <cell r="B382" t="str">
            <v>Service gratuit 2</v>
          </cell>
          <cell r="E382">
            <v>0</v>
          </cell>
          <cell r="H382">
            <v>0</v>
          </cell>
          <cell r="K382">
            <v>0</v>
          </cell>
          <cell r="N382">
            <v>0</v>
          </cell>
          <cell r="Q382">
            <v>0</v>
          </cell>
          <cell r="T382">
            <v>0</v>
          </cell>
          <cell r="W382">
            <v>0</v>
          </cell>
          <cell r="Z382">
            <v>0</v>
          </cell>
          <cell r="AC382">
            <v>0</v>
          </cell>
          <cell r="AF382">
            <v>0</v>
          </cell>
          <cell r="AI382">
            <v>0</v>
          </cell>
          <cell r="AL382">
            <v>0</v>
          </cell>
          <cell r="AO382">
            <v>0</v>
          </cell>
        </row>
        <row r="383">
          <cell r="A383" t="str">
            <v>BoutiqueFrais véhicules de cie</v>
          </cell>
          <cell r="B383" t="str">
            <v>Frais véhicules de cie</v>
          </cell>
          <cell r="E383">
            <v>0</v>
          </cell>
          <cell r="H383">
            <v>0</v>
          </cell>
          <cell r="K383">
            <v>0</v>
          </cell>
          <cell r="N383">
            <v>0</v>
          </cell>
          <cell r="Q383">
            <v>0</v>
          </cell>
          <cell r="T383">
            <v>0</v>
          </cell>
          <cell r="W383">
            <v>0</v>
          </cell>
          <cell r="Z383">
            <v>0</v>
          </cell>
          <cell r="AC383">
            <v>0</v>
          </cell>
          <cell r="AF383">
            <v>0</v>
          </cell>
          <cell r="AI383">
            <v>0</v>
          </cell>
          <cell r="AL383">
            <v>0</v>
          </cell>
          <cell r="AO383">
            <v>0</v>
          </cell>
        </row>
        <row r="384">
          <cell r="A384" t="str">
            <v>BoutiqueInformatique</v>
          </cell>
          <cell r="B384" t="str">
            <v>Informatique</v>
          </cell>
          <cell r="E384">
            <v>0</v>
          </cell>
          <cell r="H384">
            <v>0</v>
          </cell>
          <cell r="K384">
            <v>0</v>
          </cell>
          <cell r="N384">
            <v>0</v>
          </cell>
          <cell r="Q384">
            <v>0</v>
          </cell>
          <cell r="T384">
            <v>0</v>
          </cell>
          <cell r="W384">
            <v>0</v>
          </cell>
          <cell r="Z384">
            <v>0</v>
          </cell>
          <cell r="AC384">
            <v>0</v>
          </cell>
          <cell r="AF384">
            <v>0</v>
          </cell>
          <cell r="AI384">
            <v>0</v>
          </cell>
          <cell r="AL384">
            <v>0</v>
          </cell>
          <cell r="AO384">
            <v>0</v>
          </cell>
        </row>
        <row r="385">
          <cell r="A385" t="str">
            <v>BoutiqueFrais de déplacement</v>
          </cell>
          <cell r="B385" t="str">
            <v>Frais de déplacement</v>
          </cell>
          <cell r="E385">
            <v>0</v>
          </cell>
          <cell r="H385">
            <v>0</v>
          </cell>
          <cell r="K385">
            <v>0</v>
          </cell>
          <cell r="N385">
            <v>0</v>
          </cell>
          <cell r="Q385">
            <v>0</v>
          </cell>
          <cell r="T385">
            <v>0</v>
          </cell>
          <cell r="W385">
            <v>0</v>
          </cell>
          <cell r="Z385">
            <v>0</v>
          </cell>
          <cell r="AC385">
            <v>0</v>
          </cell>
          <cell r="AF385">
            <v>0</v>
          </cell>
          <cell r="AI385">
            <v>0</v>
          </cell>
          <cell r="AL385">
            <v>0</v>
          </cell>
          <cell r="AO385">
            <v>0</v>
          </cell>
        </row>
        <row r="386">
          <cell r="A386" t="str">
            <v>BoutiqueServices extérieurs</v>
          </cell>
          <cell r="B386" t="str">
            <v>Services extérieurs</v>
          </cell>
          <cell r="E386">
            <v>0</v>
          </cell>
          <cell r="H386">
            <v>0</v>
          </cell>
          <cell r="K386">
            <v>0</v>
          </cell>
          <cell r="N386">
            <v>0</v>
          </cell>
          <cell r="Q386">
            <v>0</v>
          </cell>
          <cell r="T386">
            <v>0</v>
          </cell>
          <cell r="W386">
            <v>0</v>
          </cell>
          <cell r="Z386">
            <v>0</v>
          </cell>
          <cell r="AC386">
            <v>0</v>
          </cell>
          <cell r="AF386">
            <v>0</v>
          </cell>
          <cell r="AI386">
            <v>0</v>
          </cell>
          <cell r="AL386">
            <v>0</v>
          </cell>
          <cell r="AO386">
            <v>0</v>
          </cell>
        </row>
        <row r="387">
          <cell r="A387" t="str">
            <v>BoutiqueFournitures autres</v>
          </cell>
          <cell r="B387" t="str">
            <v>Fournitures autres</v>
          </cell>
          <cell r="E387">
            <v>0</v>
          </cell>
          <cell r="H387">
            <v>0</v>
          </cell>
          <cell r="K387">
            <v>0</v>
          </cell>
          <cell r="N387">
            <v>0</v>
          </cell>
          <cell r="Q387">
            <v>0</v>
          </cell>
          <cell r="T387">
            <v>0</v>
          </cell>
          <cell r="W387">
            <v>0</v>
          </cell>
          <cell r="Z387">
            <v>0</v>
          </cell>
          <cell r="AC387">
            <v>0</v>
          </cell>
          <cell r="AF387">
            <v>0</v>
          </cell>
          <cell r="AI387">
            <v>0</v>
          </cell>
          <cell r="AL387">
            <v>0</v>
          </cell>
          <cell r="AO387">
            <v>0</v>
          </cell>
        </row>
        <row r="388">
          <cell r="A388" t="str">
            <v>BoutiqueUniformes</v>
          </cell>
          <cell r="B388" t="str">
            <v>Uniformes</v>
          </cell>
          <cell r="E388">
            <v>0</v>
          </cell>
          <cell r="H388">
            <v>0</v>
          </cell>
          <cell r="K388">
            <v>0</v>
          </cell>
          <cell r="N388">
            <v>0</v>
          </cell>
          <cell r="Q388">
            <v>0</v>
          </cell>
          <cell r="T388">
            <v>0</v>
          </cell>
          <cell r="W388">
            <v>0</v>
          </cell>
          <cell r="Z388">
            <v>0</v>
          </cell>
          <cell r="AC388">
            <v>0</v>
          </cell>
          <cell r="AF388">
            <v>0</v>
          </cell>
          <cell r="AI388">
            <v>0</v>
          </cell>
          <cell r="AL388">
            <v>0</v>
          </cell>
          <cell r="AO388">
            <v>0</v>
          </cell>
        </row>
        <row r="389">
          <cell r="A389" t="str">
            <v>BoutiquePapeterie</v>
          </cell>
          <cell r="B389" t="str">
            <v>Papeterie</v>
          </cell>
          <cell r="E389">
            <v>0</v>
          </cell>
          <cell r="H389">
            <v>0</v>
          </cell>
          <cell r="K389">
            <v>0</v>
          </cell>
          <cell r="N389">
            <v>0</v>
          </cell>
          <cell r="Q389">
            <v>0</v>
          </cell>
          <cell r="T389">
            <v>0</v>
          </cell>
          <cell r="W389">
            <v>0</v>
          </cell>
          <cell r="Z389">
            <v>0</v>
          </cell>
          <cell r="AC389">
            <v>0</v>
          </cell>
          <cell r="AF389">
            <v>0</v>
          </cell>
          <cell r="AI389">
            <v>0</v>
          </cell>
          <cell r="AL389">
            <v>0</v>
          </cell>
          <cell r="AO389">
            <v>0</v>
          </cell>
        </row>
        <row r="390">
          <cell r="A390" t="str">
            <v>BoutiqueTéléphone</v>
          </cell>
          <cell r="B390" t="str">
            <v>Téléphone</v>
          </cell>
          <cell r="E390">
            <v>0</v>
          </cell>
          <cell r="H390">
            <v>0</v>
          </cell>
          <cell r="K390">
            <v>0</v>
          </cell>
          <cell r="N390">
            <v>0</v>
          </cell>
          <cell r="Q390">
            <v>0</v>
          </cell>
          <cell r="T390">
            <v>0</v>
          </cell>
          <cell r="W390">
            <v>0</v>
          </cell>
          <cell r="Z390">
            <v>0</v>
          </cell>
          <cell r="AC390">
            <v>0</v>
          </cell>
          <cell r="AF390">
            <v>0</v>
          </cell>
          <cell r="AI390">
            <v>0</v>
          </cell>
          <cell r="AL390">
            <v>0</v>
          </cell>
          <cell r="AO390">
            <v>0</v>
          </cell>
        </row>
        <row r="391">
          <cell r="A391" t="str">
            <v>BoutiqueFrais postaux</v>
          </cell>
          <cell r="B391" t="str">
            <v>Frais postaux</v>
          </cell>
          <cell r="E391">
            <v>0</v>
          </cell>
          <cell r="H391">
            <v>0</v>
          </cell>
          <cell r="K391">
            <v>0</v>
          </cell>
          <cell r="N391">
            <v>0</v>
          </cell>
          <cell r="Q391">
            <v>0</v>
          </cell>
          <cell r="T391">
            <v>0</v>
          </cell>
          <cell r="W391">
            <v>0</v>
          </cell>
          <cell r="Z391">
            <v>0</v>
          </cell>
          <cell r="AC391">
            <v>0</v>
          </cell>
          <cell r="AF391">
            <v>0</v>
          </cell>
          <cell r="AI391">
            <v>0</v>
          </cell>
          <cell r="AL391">
            <v>0</v>
          </cell>
          <cell r="AO391">
            <v>0</v>
          </cell>
        </row>
        <row r="392">
          <cell r="A392" t="str">
            <v>BoutiqueDivers</v>
          </cell>
          <cell r="B392" t="str">
            <v>Divers</v>
          </cell>
          <cell r="E392">
            <v>0</v>
          </cell>
          <cell r="H392">
            <v>0</v>
          </cell>
          <cell r="K392">
            <v>0</v>
          </cell>
          <cell r="N392">
            <v>0</v>
          </cell>
          <cell r="Q392">
            <v>0</v>
          </cell>
          <cell r="T392">
            <v>0</v>
          </cell>
          <cell r="W392">
            <v>0</v>
          </cell>
          <cell r="Z392">
            <v>0</v>
          </cell>
          <cell r="AC392">
            <v>0</v>
          </cell>
          <cell r="AF392">
            <v>0</v>
          </cell>
          <cell r="AI392">
            <v>0</v>
          </cell>
          <cell r="AL392">
            <v>0</v>
          </cell>
          <cell r="AO392">
            <v>0</v>
          </cell>
        </row>
        <row r="393">
          <cell r="A393" t="str">
            <v>BoutiqueFormation</v>
          </cell>
          <cell r="B393" t="str">
            <v>Formation</v>
          </cell>
          <cell r="E393">
            <v>0</v>
          </cell>
          <cell r="H393">
            <v>0</v>
          </cell>
          <cell r="K393">
            <v>0</v>
          </cell>
          <cell r="N393">
            <v>0</v>
          </cell>
          <cell r="Q393">
            <v>0</v>
          </cell>
          <cell r="T393">
            <v>0</v>
          </cell>
          <cell r="W393">
            <v>0</v>
          </cell>
          <cell r="Z393">
            <v>0</v>
          </cell>
          <cell r="AC393">
            <v>0</v>
          </cell>
          <cell r="AF393">
            <v>0</v>
          </cell>
          <cell r="AI393">
            <v>0</v>
          </cell>
          <cell r="AL393">
            <v>0</v>
          </cell>
          <cell r="AO393">
            <v>0</v>
          </cell>
        </row>
        <row r="394">
          <cell r="A394" t="str">
            <v>BoutiqueFrais bancaires</v>
          </cell>
          <cell r="B394" t="str">
            <v>Frais bancaires</v>
          </cell>
          <cell r="E394">
            <v>0</v>
          </cell>
          <cell r="H394">
            <v>0</v>
          </cell>
          <cell r="K394">
            <v>0</v>
          </cell>
          <cell r="N394">
            <v>0</v>
          </cell>
          <cell r="Q394">
            <v>0</v>
          </cell>
          <cell r="T394">
            <v>0</v>
          </cell>
          <cell r="W394">
            <v>0</v>
          </cell>
          <cell r="Z394">
            <v>0</v>
          </cell>
          <cell r="AC394">
            <v>0</v>
          </cell>
          <cell r="AF394">
            <v>0</v>
          </cell>
          <cell r="AI394">
            <v>0</v>
          </cell>
          <cell r="AL394">
            <v>0</v>
          </cell>
          <cell r="AO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Boutique[...]</v>
          </cell>
          <cell r="B397" t="str">
            <v>[...]</v>
          </cell>
          <cell r="E397">
            <v>0</v>
          </cell>
        </row>
        <row r="398">
          <cell r="A398" t="str">
            <v>BoutiqueTOTAL SEMI-FIXES</v>
          </cell>
          <cell r="B398" t="str">
            <v>TOTAL SEMI-FIXES</v>
          </cell>
          <cell r="C398" t="str">
            <v>% brut</v>
          </cell>
          <cell r="D398">
            <v>0</v>
          </cell>
          <cell r="E398">
            <v>0</v>
          </cell>
          <cell r="F398" t="str">
            <v>% brut</v>
          </cell>
          <cell r="G398">
            <v>0</v>
          </cell>
          <cell r="H398">
            <v>0</v>
          </cell>
          <cell r="I398" t="str">
            <v>% brut</v>
          </cell>
          <cell r="J398">
            <v>0</v>
          </cell>
          <cell r="K398">
            <v>0</v>
          </cell>
          <cell r="L398" t="str">
            <v>% brut</v>
          </cell>
          <cell r="M398">
            <v>0</v>
          </cell>
          <cell r="N398">
            <v>0</v>
          </cell>
          <cell r="O398" t="str">
            <v>% brut</v>
          </cell>
          <cell r="P398">
            <v>0</v>
          </cell>
          <cell r="Q398">
            <v>0</v>
          </cell>
          <cell r="R398" t="str">
            <v>% brut</v>
          </cell>
          <cell r="S398">
            <v>0</v>
          </cell>
          <cell r="T398">
            <v>0</v>
          </cell>
          <cell r="U398" t="str">
            <v>% brut</v>
          </cell>
          <cell r="V398">
            <v>0</v>
          </cell>
          <cell r="W398">
            <v>0</v>
          </cell>
          <cell r="X398" t="str">
            <v>% brut</v>
          </cell>
          <cell r="Y398">
            <v>0</v>
          </cell>
          <cell r="Z398">
            <v>0</v>
          </cell>
          <cell r="AA398" t="str">
            <v>% brut</v>
          </cell>
          <cell r="AB398">
            <v>0</v>
          </cell>
          <cell r="AC398">
            <v>0</v>
          </cell>
          <cell r="AD398" t="str">
            <v>% brut</v>
          </cell>
          <cell r="AE398">
            <v>0</v>
          </cell>
          <cell r="AF398">
            <v>0</v>
          </cell>
          <cell r="AG398" t="str">
            <v>% brut</v>
          </cell>
          <cell r="AH398">
            <v>0</v>
          </cell>
          <cell r="AI398">
            <v>0</v>
          </cell>
          <cell r="AJ398" t="str">
            <v>% brut</v>
          </cell>
          <cell r="AK398">
            <v>0</v>
          </cell>
          <cell r="AL398">
            <v>0</v>
          </cell>
          <cell r="AM398" t="str">
            <v>% brut</v>
          </cell>
          <cell r="AN398">
            <v>0</v>
          </cell>
          <cell r="AO398">
            <v>0</v>
          </cell>
        </row>
        <row r="399">
          <cell r="A399" t="str">
            <v>Boutique</v>
          </cell>
        </row>
        <row r="400">
          <cell r="A400" t="str">
            <v>BoutiqueTOTAL DES DÉPENSES</v>
          </cell>
          <cell r="B400" t="str">
            <v>TOTAL DES DÉPENSES</v>
          </cell>
          <cell r="C400" t="str">
            <v>% brut</v>
          </cell>
          <cell r="D400">
            <v>0</v>
          </cell>
          <cell r="E400">
            <v>0</v>
          </cell>
          <cell r="F400" t="str">
            <v>% brut</v>
          </cell>
          <cell r="G400">
            <v>0</v>
          </cell>
          <cell r="H400">
            <v>0</v>
          </cell>
          <cell r="I400" t="str">
            <v>% brut</v>
          </cell>
          <cell r="J400">
            <v>0</v>
          </cell>
          <cell r="K400">
            <v>0</v>
          </cell>
          <cell r="L400" t="str">
            <v>% brut</v>
          </cell>
          <cell r="M400">
            <v>0</v>
          </cell>
          <cell r="N400">
            <v>0</v>
          </cell>
          <cell r="O400" t="str">
            <v>% brut</v>
          </cell>
          <cell r="P400">
            <v>0</v>
          </cell>
          <cell r="Q400">
            <v>0</v>
          </cell>
          <cell r="R400" t="str">
            <v>% brut</v>
          </cell>
          <cell r="S400">
            <v>0</v>
          </cell>
          <cell r="T400">
            <v>0</v>
          </cell>
          <cell r="U400" t="str">
            <v>% brut</v>
          </cell>
          <cell r="V400">
            <v>0</v>
          </cell>
          <cell r="W400">
            <v>0</v>
          </cell>
          <cell r="X400" t="str">
            <v>% brut</v>
          </cell>
          <cell r="Y400">
            <v>0</v>
          </cell>
          <cell r="Z400">
            <v>0</v>
          </cell>
          <cell r="AA400" t="str">
            <v>% brut</v>
          </cell>
          <cell r="AB400">
            <v>0</v>
          </cell>
          <cell r="AC400">
            <v>0</v>
          </cell>
          <cell r="AD400" t="str">
            <v>% brut</v>
          </cell>
          <cell r="AE400">
            <v>0</v>
          </cell>
          <cell r="AF400">
            <v>0</v>
          </cell>
          <cell r="AG400" t="str">
            <v>% brut</v>
          </cell>
          <cell r="AH400">
            <v>0</v>
          </cell>
          <cell r="AI400">
            <v>0</v>
          </cell>
          <cell r="AJ400" t="str">
            <v>% brut</v>
          </cell>
          <cell r="AK400">
            <v>0</v>
          </cell>
          <cell r="AL400">
            <v>0</v>
          </cell>
          <cell r="AM400" t="str">
            <v>% brut</v>
          </cell>
          <cell r="AN400">
            <v>0</v>
          </cell>
          <cell r="AO400">
            <v>0</v>
          </cell>
        </row>
        <row r="401">
          <cell r="A401" t="str">
            <v>Boutique</v>
          </cell>
        </row>
        <row r="402">
          <cell r="A402" t="str">
            <v>BoutiquePROFIT DÉPARTEMENTAL</v>
          </cell>
          <cell r="B402" t="str">
            <v>PROFIT DÉPARTEMENTAL</v>
          </cell>
          <cell r="E402">
            <v>0</v>
          </cell>
          <cell r="H402">
            <v>0</v>
          </cell>
          <cell r="K402">
            <v>0</v>
          </cell>
          <cell r="N402">
            <v>0</v>
          </cell>
          <cell r="Q402">
            <v>0</v>
          </cell>
          <cell r="T402">
            <v>0</v>
          </cell>
          <cell r="W402">
            <v>0</v>
          </cell>
          <cell r="Z402">
            <v>0</v>
          </cell>
          <cell r="AC402">
            <v>0</v>
          </cell>
          <cell r="AF402">
            <v>0</v>
          </cell>
          <cell r="AI402">
            <v>0</v>
          </cell>
          <cell r="AL402">
            <v>0</v>
          </cell>
          <cell r="AO402">
            <v>0</v>
          </cell>
        </row>
        <row r="404">
          <cell r="E404">
            <v>0</v>
          </cell>
          <cell r="H404">
            <v>0</v>
          </cell>
          <cell r="K404">
            <v>0</v>
          </cell>
          <cell r="N404">
            <v>0</v>
          </cell>
          <cell r="Q404">
            <v>0</v>
          </cell>
          <cell r="T404">
            <v>0</v>
          </cell>
          <cell r="W404">
            <v>0</v>
          </cell>
          <cell r="Z404">
            <v>0</v>
          </cell>
          <cell r="AC404">
            <v>0</v>
          </cell>
          <cell r="AF404">
            <v>0</v>
          </cell>
          <cell r="AI404">
            <v>0</v>
          </cell>
          <cell r="AL404">
            <v>0</v>
          </cell>
          <cell r="AO404">
            <v>0</v>
          </cell>
        </row>
        <row r="405">
          <cell r="B405" t="str">
            <v>Budget 2024</v>
          </cell>
          <cell r="C405" t="str">
            <v>TOTAL  DES  REVENUS  ET  DÉPENSES</v>
          </cell>
        </row>
        <row r="406">
          <cell r="H406">
            <v>3512757.1735477895</v>
          </cell>
          <cell r="K406">
            <v>3478384.1040415713</v>
          </cell>
          <cell r="N406">
            <v>4977253.97332469</v>
          </cell>
          <cell r="Q406">
            <v>6476054.4469894199</v>
          </cell>
          <cell r="T406">
            <v>7055316.1389505528</v>
          </cell>
          <cell r="W406">
            <v>5732896.1504884632</v>
          </cell>
          <cell r="Z406">
            <v>5263274.4628970586</v>
          </cell>
          <cell r="AC406">
            <v>5650734.5732088359</v>
          </cell>
          <cell r="AF406">
            <v>5208958.6432293998</v>
          </cell>
          <cell r="AI406">
            <v>6932516.5700065428</v>
          </cell>
          <cell r="AL406">
            <v>6329043.3217466474</v>
          </cell>
          <cell r="AO406">
            <v>3630443.4705679556</v>
          </cell>
        </row>
        <row r="407">
          <cell r="B407" t="str">
            <v>Mois</v>
          </cell>
          <cell r="C407">
            <v>2024</v>
          </cell>
          <cell r="F407" t="str">
            <v>Janvier</v>
          </cell>
          <cell r="I407" t="str">
            <v>Février</v>
          </cell>
          <cell r="L407" t="str">
            <v>Mars</v>
          </cell>
          <cell r="O407" t="str">
            <v>Avril</v>
          </cell>
          <cell r="R407" t="str">
            <v>Mai</v>
          </cell>
          <cell r="U407" t="str">
            <v>Juin</v>
          </cell>
          <cell r="X407" t="str">
            <v>Juillet</v>
          </cell>
          <cell r="AA407" t="str">
            <v>Août</v>
          </cell>
          <cell r="AD407" t="str">
            <v>Septembre</v>
          </cell>
          <cell r="AG407" t="str">
            <v>Octobre</v>
          </cell>
          <cell r="AJ407" t="str">
            <v>Novembre</v>
          </cell>
          <cell r="AM407" t="str">
            <v>Décembre</v>
          </cell>
        </row>
        <row r="408">
          <cell r="C408" t="str">
            <v>%P.Brut</v>
          </cell>
          <cell r="D408" t="str">
            <v>$/Unite</v>
          </cell>
          <cell r="E408" t="str">
            <v>$TOTAL</v>
          </cell>
          <cell r="F408" t="str">
            <v>%P.Brut</v>
          </cell>
          <cell r="G408" t="str">
            <v>$/Unite</v>
          </cell>
          <cell r="H408" t="str">
            <v>$TOTAL</v>
          </cell>
          <cell r="I408" t="str">
            <v>%P.Brut</v>
          </cell>
          <cell r="J408" t="str">
            <v>$/Unite</v>
          </cell>
          <cell r="K408" t="str">
            <v>$TOTAL</v>
          </cell>
          <cell r="L408" t="str">
            <v>%P.Brut</v>
          </cell>
          <cell r="M408" t="str">
            <v>$/Unite</v>
          </cell>
          <cell r="N408" t="str">
            <v>$TOTAL</v>
          </cell>
          <cell r="O408" t="str">
            <v>%P.Brut</v>
          </cell>
          <cell r="P408" t="str">
            <v>$/Unite</v>
          </cell>
          <cell r="Q408" t="str">
            <v>$TOTAL</v>
          </cell>
          <cell r="R408" t="str">
            <v>%P.Brut</v>
          </cell>
          <cell r="S408" t="str">
            <v>$/Unite</v>
          </cell>
          <cell r="T408" t="str">
            <v>$TOTAL</v>
          </cell>
          <cell r="U408" t="str">
            <v>%P.Brut</v>
          </cell>
          <cell r="V408" t="str">
            <v>$/Unite</v>
          </cell>
          <cell r="W408" t="str">
            <v>$TOTAL</v>
          </cell>
          <cell r="X408" t="str">
            <v>%P.Brut</v>
          </cell>
          <cell r="Y408" t="str">
            <v>$/Unite</v>
          </cell>
          <cell r="Z408" t="str">
            <v>$TOTAL</v>
          </cell>
          <cell r="AA408" t="str">
            <v>%P.Brut</v>
          </cell>
          <cell r="AB408" t="str">
            <v>$/Unite</v>
          </cell>
          <cell r="AC408" t="str">
            <v>$TOTAL</v>
          </cell>
          <cell r="AD408" t="str">
            <v>%P.Brut</v>
          </cell>
          <cell r="AE408" t="str">
            <v>$/Unite</v>
          </cell>
          <cell r="AF408" t="str">
            <v>$TOTAL</v>
          </cell>
          <cell r="AG408" t="str">
            <v>%P.Brut</v>
          </cell>
          <cell r="AH408" t="str">
            <v>$/Unite</v>
          </cell>
          <cell r="AI408" t="str">
            <v>$TOTAL</v>
          </cell>
          <cell r="AJ408" t="str">
            <v>%P.Brut</v>
          </cell>
          <cell r="AK408" t="str">
            <v>$/Unite</v>
          </cell>
          <cell r="AL408" t="str">
            <v>$TOTAL</v>
          </cell>
          <cell r="AM408" t="str">
            <v>%P.Brut</v>
          </cell>
          <cell r="AN408" t="str">
            <v>$/Unite</v>
          </cell>
          <cell r="AO408" t="str">
            <v>$TOTAL</v>
          </cell>
        </row>
        <row r="409">
          <cell r="A409" t="str">
            <v>Ventes nettes</v>
          </cell>
          <cell r="B409" t="str">
            <v>Ventes nettes</v>
          </cell>
          <cell r="E409">
            <v>64247633.028998926</v>
          </cell>
          <cell r="H409">
            <v>3512757.1735477895</v>
          </cell>
          <cell r="K409">
            <v>3478384.1040415713</v>
          </cell>
          <cell r="N409">
            <v>4977253.97332469</v>
          </cell>
          <cell r="Q409">
            <v>6476054.4469894199</v>
          </cell>
          <cell r="T409">
            <v>7055316.1389505528</v>
          </cell>
          <cell r="W409">
            <v>5732896.1504884632</v>
          </cell>
          <cell r="Z409">
            <v>5263274.4628970586</v>
          </cell>
          <cell r="AC409">
            <v>5650734.5732088359</v>
          </cell>
          <cell r="AF409">
            <v>5208958.6432293998</v>
          </cell>
          <cell r="AI409">
            <v>6932516.5700065428</v>
          </cell>
          <cell r="AL409">
            <v>6329043.3217466474</v>
          </cell>
          <cell r="AO409">
            <v>3630443.4705679556</v>
          </cell>
        </row>
        <row r="410">
          <cell r="A410" t="str">
            <v>Profit brut</v>
          </cell>
          <cell r="B410" t="str">
            <v>Profit brut</v>
          </cell>
          <cell r="E410">
            <v>9094384.0683882013</v>
          </cell>
          <cell r="H410">
            <v>494635.89750190306</v>
          </cell>
          <cell r="K410">
            <v>482090.33269498794</v>
          </cell>
          <cell r="N410">
            <v>682170.02586529509</v>
          </cell>
          <cell r="Q410">
            <v>955621.60366614698</v>
          </cell>
          <cell r="T410">
            <v>1040197.8013297881</v>
          </cell>
          <cell r="W410">
            <v>771523.3204545835</v>
          </cell>
          <cell r="Z410">
            <v>729027.70097501553</v>
          </cell>
          <cell r="AC410">
            <v>746481.51309570845</v>
          </cell>
          <cell r="AF410">
            <v>677022.55359348422</v>
          </cell>
          <cell r="AI410">
            <v>1000096.1020510965</v>
          </cell>
          <cell r="AL410">
            <v>985811.70672880381</v>
          </cell>
          <cell r="AO410">
            <v>529705.51043138793</v>
          </cell>
        </row>
        <row r="411">
          <cell r="A411" t="str">
            <v>DÉPENSES</v>
          </cell>
          <cell r="B411" t="str">
            <v>DÉPENSES</v>
          </cell>
        </row>
        <row r="412">
          <cell r="A412" t="str">
            <v>Comm. vendeurs</v>
          </cell>
          <cell r="B412" t="str">
            <v>Comm. vendeurs</v>
          </cell>
          <cell r="C412">
            <v>0.32206599440179107</v>
          </cell>
          <cell r="D412">
            <v>763.00690810619631</v>
          </cell>
          <cell r="E412">
            <v>865804.92131807387</v>
          </cell>
          <cell r="G412">
            <v>818.35588384707296</v>
          </cell>
          <cell r="H412">
            <v>45263.263935581606</v>
          </cell>
          <cell r="J412">
            <v>815.12752591583023</v>
          </cell>
          <cell r="K412">
            <v>45742.918935581605</v>
          </cell>
          <cell r="M412">
            <v>807.99653262481763</v>
          </cell>
          <cell r="N412">
            <v>65595.178509814257</v>
          </cell>
          <cell r="P412">
            <v>832.07614630114836</v>
          </cell>
          <cell r="Q412">
            <v>86739.777871163213</v>
          </cell>
          <cell r="S412">
            <v>845.60390225197466</v>
          </cell>
          <cell r="T412">
            <v>96441.125051837691</v>
          </cell>
          <cell r="V412">
            <v>831.30092390094819</v>
          </cell>
          <cell r="W412">
            <v>78580.798084046881</v>
          </cell>
          <cell r="Y412">
            <v>825.37860735264621</v>
          </cell>
          <cell r="Z412">
            <v>70825.738296930576</v>
          </cell>
          <cell r="AB412">
            <v>828.88342408337962</v>
          </cell>
          <cell r="AC412">
            <v>78404.083084046884</v>
          </cell>
          <cell r="AE412">
            <v>820.33415938819087</v>
          </cell>
          <cell r="AF412">
            <v>71961.763296930571</v>
          </cell>
          <cell r="AH412">
            <v>863.47808599951463</v>
          </cell>
          <cell r="AI412">
            <v>96342.567445395835</v>
          </cell>
          <cell r="AK412">
            <v>847.22584215849508</v>
          </cell>
          <cell r="AL412">
            <v>83432.682871163212</v>
          </cell>
          <cell r="AN412">
            <v>810.37530837980125</v>
          </cell>
          <cell r="AO412">
            <v>46475.023935581601</v>
          </cell>
        </row>
        <row r="413">
          <cell r="A413" t="str">
            <v>Comm. F&amp;I</v>
          </cell>
          <cell r="B413" t="str">
            <v>Comm. F&amp;I</v>
          </cell>
          <cell r="C413">
            <v>0.3</v>
          </cell>
          <cell r="D413">
            <v>518.58024943381452</v>
          </cell>
          <cell r="E413">
            <v>539820</v>
          </cell>
          <cell r="G413">
            <v>525.94648345687938</v>
          </cell>
          <cell r="H413">
            <v>29090.1</v>
          </cell>
          <cell r="J413">
            <v>527.87543992515702</v>
          </cell>
          <cell r="K413">
            <v>29623.05</v>
          </cell>
          <cell r="M413">
            <v>532.13623625781429</v>
          </cell>
          <cell r="N413">
            <v>43200.150000000009</v>
          </cell>
          <cell r="P413">
            <v>518.12269173581467</v>
          </cell>
          <cell r="Q413">
            <v>54011.7</v>
          </cell>
          <cell r="S413">
            <v>511.09031126698818</v>
          </cell>
          <cell r="T413">
            <v>58289.849999999991</v>
          </cell>
          <cell r="V413">
            <v>519.26952474147731</v>
          </cell>
          <cell r="W413">
            <v>49085.25</v>
          </cell>
          <cell r="Y413">
            <v>521.75037874373606</v>
          </cell>
          <cell r="Z413">
            <v>44771.399999999994</v>
          </cell>
          <cell r="AB413">
            <v>518.33491912464308</v>
          </cell>
          <cell r="AC413">
            <v>49029.299999999988</v>
          </cell>
          <cell r="AE413">
            <v>525.12012311550632</v>
          </cell>
          <cell r="AF413">
            <v>46064.85</v>
          </cell>
          <cell r="AH413">
            <v>501.67421017252963</v>
          </cell>
          <cell r="AI413">
            <v>55974.299999999988</v>
          </cell>
          <cell r="AK413">
            <v>510.20334594196635</v>
          </cell>
          <cell r="AL413">
            <v>50243.55</v>
          </cell>
          <cell r="AN413">
            <v>530.71490845684389</v>
          </cell>
          <cell r="AO413">
            <v>30436.5</v>
          </cell>
        </row>
        <row r="414">
          <cell r="A414" t="str">
            <v>Frais de livraison</v>
          </cell>
          <cell r="B414" t="str">
            <v>Frais de livraison</v>
          </cell>
          <cell r="D414">
            <v>77.547834565772376</v>
          </cell>
          <cell r="E414">
            <v>80724</v>
          </cell>
          <cell r="G414">
            <v>73.944133068161278</v>
          </cell>
          <cell r="H414">
            <v>4089.8500000000004</v>
          </cell>
          <cell r="J414">
            <v>73.024012117432179</v>
          </cell>
          <cell r="K414">
            <v>4097.9250000000002</v>
          </cell>
          <cell r="M414">
            <v>70.991593015736157</v>
          </cell>
          <cell r="N414">
            <v>5763.2750000000005</v>
          </cell>
          <cell r="P414">
            <v>77.964890402417382</v>
          </cell>
          <cell r="Q414">
            <v>8127.45</v>
          </cell>
          <cell r="S414">
            <v>81.084831214379676</v>
          </cell>
          <cell r="T414">
            <v>9247.7250000000004</v>
          </cell>
          <cell r="V414">
            <v>77.169342254899362</v>
          </cell>
          <cell r="W414">
            <v>7294.625</v>
          </cell>
          <cell r="Y414">
            <v>75.945693975061189</v>
          </cell>
          <cell r="Z414">
            <v>6516.9000000000005</v>
          </cell>
          <cell r="AB414">
            <v>77.524579765302875</v>
          </cell>
          <cell r="AC414">
            <v>7333.0499999999993</v>
          </cell>
          <cell r="AE414">
            <v>74.61284163128046</v>
          </cell>
          <cell r="AF414">
            <v>6545.2250000000004</v>
          </cell>
          <cell r="AH414">
            <v>85.624467846739847</v>
          </cell>
          <cell r="AI414">
            <v>9553.5499999999975</v>
          </cell>
          <cell r="AK414">
            <v>81.685410372927819</v>
          </cell>
          <cell r="AL414">
            <v>8044.1750000000011</v>
          </cell>
          <cell r="AN414">
            <v>71.66957279860506</v>
          </cell>
          <cell r="AO414">
            <v>4110.25</v>
          </cell>
        </row>
        <row r="415">
          <cell r="A415" t="str">
            <v>Service gratuit 1</v>
          </cell>
          <cell r="B415" t="str">
            <v>Service gratuit 1</v>
          </cell>
          <cell r="D415">
            <v>4.7741502414844028</v>
          </cell>
          <cell r="E415">
            <v>4969.6875</v>
          </cell>
          <cell r="G415">
            <v>4.8909781233050085</v>
          </cell>
          <cell r="H415">
            <v>270.52000000000004</v>
          </cell>
          <cell r="J415">
            <v>4.9213257896378142</v>
          </cell>
          <cell r="K415">
            <v>276.17250000000001</v>
          </cell>
          <cell r="M415">
            <v>4.9883595602500543</v>
          </cell>
          <cell r="N415">
            <v>404.96750000000003</v>
          </cell>
          <cell r="P415">
            <v>4.7648808096311566</v>
          </cell>
          <cell r="Q415">
            <v>496.71499999999997</v>
          </cell>
          <cell r="S415">
            <v>4.6566856641823762</v>
          </cell>
          <cell r="T415">
            <v>531.09499999999991</v>
          </cell>
          <cell r="V415">
            <v>4.7855121525482005</v>
          </cell>
          <cell r="W415">
            <v>452.36250000000001</v>
          </cell>
          <cell r="Y415">
            <v>4.8249621256263833</v>
          </cell>
          <cell r="Z415">
            <v>414.03</v>
          </cell>
          <cell r="AB415">
            <v>4.7717517708002957</v>
          </cell>
          <cell r="AC415">
            <v>451.36</v>
          </cell>
          <cell r="AE415">
            <v>4.8751175582091255</v>
          </cell>
          <cell r="AF415">
            <v>427.65750000000003</v>
          </cell>
          <cell r="AH415">
            <v>4.5080439166479955</v>
          </cell>
          <cell r="AI415">
            <v>502.98500000000001</v>
          </cell>
          <cell r="AK415">
            <v>4.6408824350740012</v>
          </cell>
          <cell r="AL415">
            <v>457.02250000000009</v>
          </cell>
          <cell r="AN415">
            <v>4.9659982563208374</v>
          </cell>
          <cell r="AO415">
            <v>284.8</v>
          </cell>
        </row>
        <row r="416">
          <cell r="A416" t="str">
            <v>Entretien stock</v>
          </cell>
          <cell r="B416" t="str">
            <v>Entretien stock</v>
          </cell>
          <cell r="D416">
            <v>120.46691603643762</v>
          </cell>
          <cell r="E416">
            <v>125400.93975000002</v>
          </cell>
          <cell r="G416">
            <v>122.63862773458686</v>
          </cell>
          <cell r="H416">
            <v>6783.1424999999999</v>
          </cell>
          <cell r="J416">
            <v>123.2050162605248</v>
          </cell>
          <cell r="K416">
            <v>6913.9575000000004</v>
          </cell>
          <cell r="M416">
            <v>124.45608967449881</v>
          </cell>
          <cell r="N416">
            <v>10103.656500000001</v>
          </cell>
          <cell r="P416">
            <v>120.31310854237611</v>
          </cell>
          <cell r="Q416">
            <v>12542.039999999999</v>
          </cell>
          <cell r="S416">
            <v>118.27118588338449</v>
          </cell>
          <cell r="T416">
            <v>13488.828749999999</v>
          </cell>
          <cell r="V416">
            <v>120.67416889265029</v>
          </cell>
          <cell r="W416">
            <v>11407.0275</v>
          </cell>
          <cell r="Y416">
            <v>121.40654935322225</v>
          </cell>
          <cell r="Z416">
            <v>10417.896000000001</v>
          </cell>
          <cell r="AB416">
            <v>120.40861084681255</v>
          </cell>
          <cell r="AC416">
            <v>11389.450499999999</v>
          </cell>
          <cell r="AE416">
            <v>122.36911852717378</v>
          </cell>
          <cell r="AF416">
            <v>10734.525000000001</v>
          </cell>
          <cell r="AH416">
            <v>115.50168048397938</v>
          </cell>
          <cell r="AI416">
            <v>12887.099999999999</v>
          </cell>
          <cell r="AK416">
            <v>117.99337919829401</v>
          </cell>
          <cell r="AL416">
            <v>11619.693000000001</v>
          </cell>
          <cell r="AN416">
            <v>124.03875326939841</v>
          </cell>
          <cell r="AO416">
            <v>7113.6224999999995</v>
          </cell>
        </row>
        <row r="417">
          <cell r="A417" t="str">
            <v>Publicité 1</v>
          </cell>
          <cell r="B417" t="str">
            <v>Publicité 1</v>
          </cell>
          <cell r="D417">
            <v>208.13601900173637</v>
          </cell>
          <cell r="E417">
            <v>216660.75</v>
          </cell>
          <cell r="G417">
            <v>345.5433013921533</v>
          </cell>
          <cell r="H417">
            <v>19112</v>
          </cell>
          <cell r="J417">
            <v>339.13217801933445</v>
          </cell>
          <cell r="K417">
            <v>19031.25</v>
          </cell>
          <cell r="M417">
            <v>257.77415083299968</v>
          </cell>
          <cell r="N417">
            <v>20926.75</v>
          </cell>
          <cell r="P417">
            <v>177.11640846083745</v>
          </cell>
          <cell r="Q417">
            <v>18463.5</v>
          </cell>
          <cell r="S417">
            <v>113.27926348092943</v>
          </cell>
          <cell r="T417">
            <v>12919.5</v>
          </cell>
          <cell r="V417">
            <v>206.2283462484462</v>
          </cell>
          <cell r="W417">
            <v>19494.25</v>
          </cell>
          <cell r="Y417">
            <v>237.90933457638968</v>
          </cell>
          <cell r="Z417">
            <v>20415</v>
          </cell>
          <cell r="AB417">
            <v>158.45226768157309</v>
          </cell>
          <cell r="AC417">
            <v>14988</v>
          </cell>
          <cell r="AE417">
            <v>179.15301091510162</v>
          </cell>
          <cell r="AF417">
            <v>15715.75</v>
          </cell>
          <cell r="AH417">
            <v>158.12233923369934</v>
          </cell>
          <cell r="AI417">
            <v>17642.5</v>
          </cell>
          <cell r="AK417">
            <v>193.38681424690915</v>
          </cell>
          <cell r="AL417">
            <v>19044.25</v>
          </cell>
          <cell r="AN417">
            <v>329.69485614646902</v>
          </cell>
          <cell r="AO417">
            <v>18908</v>
          </cell>
        </row>
        <row r="418">
          <cell r="A418" t="str">
            <v>Intérêt de gros</v>
          </cell>
          <cell r="B418" t="str">
            <v>Intérêt de gros</v>
          </cell>
          <cell r="D418">
            <v>284.13795776004224</v>
          </cell>
          <cell r="E418">
            <v>295775.53816499916</v>
          </cell>
          <cell r="G418">
            <v>341.28766690924488</v>
          </cell>
          <cell r="H418">
            <v>18876.620856750334</v>
          </cell>
          <cell r="J418">
            <v>414.65181557209047</v>
          </cell>
          <cell r="K418">
            <v>23269.223260366787</v>
          </cell>
          <cell r="M418">
            <v>344.08729154802961</v>
          </cell>
          <cell r="N418">
            <v>27933.866546097917</v>
          </cell>
          <cell r="P418">
            <v>287.71319915393713</v>
          </cell>
          <cell r="Q418">
            <v>29992.662445802176</v>
          </cell>
          <cell r="S418">
            <v>228.72546741387214</v>
          </cell>
          <cell r="T418">
            <v>26086.139558552113</v>
          </cell>
          <cell r="V418">
            <v>258.21814822848836</v>
          </cell>
          <cell r="W418">
            <v>24408.716006668434</v>
          </cell>
          <cell r="Y418">
            <v>304.32840240034227</v>
          </cell>
          <cell r="Z418">
            <v>26114.42020997337</v>
          </cell>
          <cell r="AB418">
            <v>260.910438348772</v>
          </cell>
          <cell r="AC418">
            <v>24679.518363410345</v>
          </cell>
          <cell r="AE418">
            <v>340.96190867362793</v>
          </cell>
          <cell r="AF418">
            <v>29910.031033622323</v>
          </cell>
          <cell r="AH418">
            <v>243.28197660256748</v>
          </cell>
          <cell r="AI418">
            <v>27144.186539431463</v>
          </cell>
          <cell r="AK418">
            <v>193.35779307511993</v>
          </cell>
          <cell r="AL418">
            <v>19041.392067555127</v>
          </cell>
          <cell r="AN418">
            <v>319.42042330895822</v>
          </cell>
          <cell r="AO418">
            <v>18318.761276768753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[...]</v>
          </cell>
          <cell r="B421" t="str">
            <v>[...]</v>
          </cell>
          <cell r="E421">
            <v>0</v>
          </cell>
          <cell r="H421">
            <v>0</v>
          </cell>
          <cell r="K421">
            <v>0</v>
          </cell>
          <cell r="N421">
            <v>0</v>
          </cell>
          <cell r="Q421">
            <v>0</v>
          </cell>
          <cell r="T421">
            <v>0</v>
          </cell>
          <cell r="W421">
            <v>0</v>
          </cell>
          <cell r="Z421">
            <v>0</v>
          </cell>
          <cell r="AC421">
            <v>0</v>
          </cell>
          <cell r="AF421">
            <v>0</v>
          </cell>
          <cell r="AI421">
            <v>0</v>
          </cell>
          <cell r="AL421">
            <v>0</v>
          </cell>
          <cell r="AO421">
            <v>0</v>
          </cell>
        </row>
        <row r="422">
          <cell r="A422" t="str">
            <v>TOTAL VARIABLES</v>
          </cell>
          <cell r="B422" t="str">
            <v>TOTAL VARIABLES</v>
          </cell>
          <cell r="C422">
            <v>0.23411765114846569</v>
          </cell>
          <cell r="D422">
            <v>1976.6500351454838</v>
          </cell>
          <cell r="E422">
            <v>2129155.836733073</v>
          </cell>
          <cell r="F422">
            <v>0.24964928327276703</v>
          </cell>
          <cell r="H422">
            <v>123485.49729233196</v>
          </cell>
          <cell r="I422">
            <v>0.26749031965661957</v>
          </cell>
          <cell r="K422">
            <v>128954.49719594841</v>
          </cell>
          <cell r="L422">
            <v>0.25496260090773454</v>
          </cell>
          <cell r="N422">
            <v>173927.84405591217</v>
          </cell>
          <cell r="O422">
            <v>0.22014345899034424</v>
          </cell>
          <cell r="Q422">
            <v>210373.84531696542</v>
          </cell>
          <cell r="R422">
            <v>0.20861826768233091</v>
          </cell>
          <cell r="T422">
            <v>217004.2633603898</v>
          </cell>
          <cell r="U422">
            <v>0.24720319403740224</v>
          </cell>
          <cell r="W422">
            <v>190723.02909071528</v>
          </cell>
          <cell r="X422">
            <v>0.2461845884139521</v>
          </cell>
          <cell r="Z422">
            <v>179475.38450690394</v>
          </cell>
          <cell r="AA422">
            <v>0.24953700618112215</v>
          </cell>
          <cell r="AC422">
            <v>186274.76194745721</v>
          </cell>
          <cell r="AD422">
            <v>0.26787852320123701</v>
          </cell>
          <cell r="AF422">
            <v>181359.8018305529</v>
          </cell>
          <cell r="AG422">
            <v>0.22002604403070125</v>
          </cell>
          <cell r="AI422">
            <v>220047.18898482725</v>
          </cell>
          <cell r="AJ422">
            <v>0.19464443780591578</v>
          </cell>
          <cell r="AL422">
            <v>191882.76543871834</v>
          </cell>
          <cell r="AM422">
            <v>0.23720153035603589</v>
          </cell>
          <cell r="AO422">
            <v>125646.95771235035</v>
          </cell>
        </row>
        <row r="423">
          <cell r="A423" t="str">
            <v>Salaires propriétaire</v>
          </cell>
          <cell r="B423" t="str">
            <v>Salaires propriétaire</v>
          </cell>
          <cell r="E423">
            <v>172026.39999999997</v>
          </cell>
          <cell r="H423">
            <v>13542.199999999997</v>
          </cell>
          <cell r="K423">
            <v>13542.199999999997</v>
          </cell>
          <cell r="N423">
            <v>15922.199999999997</v>
          </cell>
          <cell r="Q423">
            <v>13542.199999999997</v>
          </cell>
          <cell r="T423">
            <v>15922.199999999997</v>
          </cell>
          <cell r="W423">
            <v>13542.199999999997</v>
          </cell>
          <cell r="Z423">
            <v>13542.199999999997</v>
          </cell>
          <cell r="AC423">
            <v>15922.199999999997</v>
          </cell>
          <cell r="AF423">
            <v>13542.199999999997</v>
          </cell>
          <cell r="AI423">
            <v>13542.199999999997</v>
          </cell>
          <cell r="AL423">
            <v>15922.199999999997</v>
          </cell>
          <cell r="AO423">
            <v>13542.199999999997</v>
          </cell>
        </row>
        <row r="424">
          <cell r="A424" t="str">
            <v>Salaires cadres</v>
          </cell>
          <cell r="B424" t="str">
            <v>Salaires cadres</v>
          </cell>
          <cell r="E424">
            <v>675636</v>
          </cell>
          <cell r="H424">
            <v>53378.839743589742</v>
          </cell>
          <cell r="K424">
            <v>53378.839743589742</v>
          </cell>
          <cell r="N424">
            <v>62151.320512820515</v>
          </cell>
          <cell r="Q424">
            <v>53378.839743589742</v>
          </cell>
          <cell r="T424">
            <v>62151.320512820515</v>
          </cell>
          <cell r="W424">
            <v>53378.839743589742</v>
          </cell>
          <cell r="Z424">
            <v>53378.839743589742</v>
          </cell>
          <cell r="AC424">
            <v>62151.320512820515</v>
          </cell>
          <cell r="AF424">
            <v>53378.839743589742</v>
          </cell>
          <cell r="AI424">
            <v>53378.839743589742</v>
          </cell>
          <cell r="AL424">
            <v>62151.320512820515</v>
          </cell>
          <cell r="AO424">
            <v>53378.839743589742</v>
          </cell>
        </row>
        <row r="425">
          <cell r="A425" t="str">
            <v>Salaires commis</v>
          </cell>
          <cell r="B425" t="str">
            <v>Salaires commis</v>
          </cell>
          <cell r="E425">
            <v>715492.96000000008</v>
          </cell>
          <cell r="H425">
            <v>55333.304615384615</v>
          </cell>
          <cell r="K425">
            <v>55333.304615384615</v>
          </cell>
          <cell r="N425">
            <v>68206.630769230775</v>
          </cell>
          <cell r="Q425">
            <v>55333.304615384615</v>
          </cell>
          <cell r="T425">
            <v>68206.630769230775</v>
          </cell>
          <cell r="W425">
            <v>55333.304615384615</v>
          </cell>
          <cell r="Z425">
            <v>55333.304615384615</v>
          </cell>
          <cell r="AC425">
            <v>68206.630769230775</v>
          </cell>
          <cell r="AF425">
            <v>55333.304615384615</v>
          </cell>
          <cell r="AI425">
            <v>55333.304615384615</v>
          </cell>
          <cell r="AL425">
            <v>68206.630769230775</v>
          </cell>
          <cell r="AO425">
            <v>55333.304615384615</v>
          </cell>
        </row>
        <row r="426">
          <cell r="A426" t="str">
            <v>Salaires autres</v>
          </cell>
          <cell r="B426" t="str">
            <v>Salaires autres</v>
          </cell>
          <cell r="E426">
            <v>336231.2</v>
          </cell>
          <cell r="H426">
            <v>25902.400000000001</v>
          </cell>
          <cell r="K426">
            <v>25902.400000000001</v>
          </cell>
          <cell r="N426">
            <v>32252.999999999996</v>
          </cell>
          <cell r="Q426">
            <v>25902.400000000001</v>
          </cell>
          <cell r="T426">
            <v>32252.999999999996</v>
          </cell>
          <cell r="W426">
            <v>25902.400000000001</v>
          </cell>
          <cell r="Z426">
            <v>25902.400000000001</v>
          </cell>
          <cell r="AC426">
            <v>32252.999999999996</v>
          </cell>
          <cell r="AF426">
            <v>25902.400000000001</v>
          </cell>
          <cell r="AI426">
            <v>25902.400000000001</v>
          </cell>
          <cell r="AL426">
            <v>32252.999999999996</v>
          </cell>
          <cell r="AO426">
            <v>25902.400000000001</v>
          </cell>
        </row>
        <row r="427">
          <cell r="A427" t="str">
            <v>Salaires spécialistes</v>
          </cell>
          <cell r="B427" t="str">
            <v>Salaires spécialistes</v>
          </cell>
          <cell r="E427">
            <v>365799.26791981579</v>
          </cell>
          <cell r="H427">
            <v>22290.336382194619</v>
          </cell>
          <cell r="K427">
            <v>22366.944585270074</v>
          </cell>
          <cell r="N427">
            <v>29459.471030658788</v>
          </cell>
          <cell r="Q427">
            <v>37251.8431136</v>
          </cell>
          <cell r="T427">
            <v>42491.9338336</v>
          </cell>
          <cell r="W427">
            <v>26712.389950435332</v>
          </cell>
          <cell r="Z427">
            <v>27492.507699199999</v>
          </cell>
          <cell r="AC427">
            <v>28714.218215727149</v>
          </cell>
          <cell r="AF427">
            <v>23405.232981063091</v>
          </cell>
          <cell r="AI427">
            <v>35443.838744000001</v>
          </cell>
          <cell r="AL427">
            <v>44455.465460799998</v>
          </cell>
          <cell r="AO427">
            <v>25715.085923266739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[...]</v>
          </cell>
          <cell r="B430" t="str">
            <v>[...]</v>
          </cell>
          <cell r="E430">
            <v>0</v>
          </cell>
          <cell r="H430">
            <v>0</v>
          </cell>
          <cell r="K430">
            <v>0</v>
          </cell>
          <cell r="N430">
            <v>0</v>
          </cell>
          <cell r="Q430">
            <v>0</v>
          </cell>
          <cell r="T430">
            <v>0</v>
          </cell>
          <cell r="W430">
            <v>0</v>
          </cell>
          <cell r="Z430">
            <v>0</v>
          </cell>
          <cell r="AC430">
            <v>0</v>
          </cell>
          <cell r="AF430">
            <v>0</v>
          </cell>
          <cell r="AI430">
            <v>0</v>
          </cell>
          <cell r="AL430">
            <v>0</v>
          </cell>
          <cell r="AO430">
            <v>0</v>
          </cell>
        </row>
        <row r="431">
          <cell r="A431" t="str">
            <v>Salaires en absences</v>
          </cell>
          <cell r="B431" t="str">
            <v>Salaires en absences</v>
          </cell>
          <cell r="D431">
            <v>0.10693290433687554</v>
          </cell>
          <cell r="E431">
            <v>507421.00753431476</v>
          </cell>
          <cell r="G431">
            <v>0.11711641376646761</v>
          </cell>
          <cell r="H431">
            <v>34984.320724729194</v>
          </cell>
          <cell r="J431">
            <v>0.11261216959113989</v>
          </cell>
          <cell r="K431">
            <v>33542.896222312993</v>
          </cell>
          <cell r="M431">
            <v>0.11116773991338116</v>
          </cell>
          <cell r="N431">
            <v>43426.169981145358</v>
          </cell>
          <cell r="P431">
            <v>0.10663128509549781</v>
          </cell>
          <cell r="Q431">
            <v>48113.663406611187</v>
          </cell>
          <cell r="S431">
            <v>0.10475550256431473</v>
          </cell>
          <cell r="T431">
            <v>53870.769262356829</v>
          </cell>
          <cell r="V431">
            <v>0.10327728596937698</v>
          </cell>
          <cell r="W431">
            <v>39545.835860183834</v>
          </cell>
          <cell r="Y431">
            <v>0.10573735022331973</v>
          </cell>
          <cell r="Z431">
            <v>39396.993701035637</v>
          </cell>
          <cell r="AB431">
            <v>0.10523452603547778</v>
          </cell>
          <cell r="AC431">
            <v>43180.297610855181</v>
          </cell>
          <cell r="AE431">
            <v>0.10703193137940083</v>
          </cell>
          <cell r="AF431">
            <v>38093.290912720571</v>
          </cell>
          <cell r="AH431">
            <v>0.10070209621393515</v>
          </cell>
          <cell r="AI431">
            <v>46387.614666163012</v>
          </cell>
          <cell r="AK431">
            <v>0.10583616161587948</v>
          </cell>
          <cell r="AL431">
            <v>52421.977623800558</v>
          </cell>
          <cell r="AN431">
            <v>0.10943630574862238</v>
          </cell>
          <cell r="AO431">
            <v>34457.177562400393</v>
          </cell>
        </row>
        <row r="432">
          <cell r="A432" t="str">
            <v>Déduction à la source</v>
          </cell>
          <cell r="B432" t="str">
            <v>Déduction à la source</v>
          </cell>
          <cell r="D432">
            <v>0.13001533743161964</v>
          </cell>
          <cell r="E432">
            <v>616952.4144470084</v>
          </cell>
          <cell r="G432">
            <v>0.14239704933720293</v>
          </cell>
          <cell r="H432">
            <v>42536.002290860168</v>
          </cell>
          <cell r="J432">
            <v>0.13692052337953572</v>
          </cell>
          <cell r="K432">
            <v>40783.433292327696</v>
          </cell>
          <cell r="M432">
            <v>0.13516430051142383</v>
          </cell>
          <cell r="N432">
            <v>52800.100946238417</v>
          </cell>
          <cell r="P432">
            <v>0.12964861095311628</v>
          </cell>
          <cell r="Q432">
            <v>58499.432159580123</v>
          </cell>
          <cell r="S432">
            <v>0.12736792382269105</v>
          </cell>
          <cell r="T432">
            <v>65499.26130577307</v>
          </cell>
          <cell r="V432">
            <v>0.12557062082620285</v>
          </cell>
          <cell r="W432">
            <v>48082.161662602375</v>
          </cell>
          <cell r="Y432">
            <v>0.12856171216579845</v>
          </cell>
          <cell r="Z432">
            <v>47901.19057923276</v>
          </cell>
          <cell r="AB432">
            <v>0.12795034883608755</v>
          </cell>
          <cell r="AC432">
            <v>52501.154804387807</v>
          </cell>
          <cell r="AE432">
            <v>0.13013574035557107</v>
          </cell>
          <cell r="AF432">
            <v>46316.071770532508</v>
          </cell>
          <cell r="AH432">
            <v>0.12243955310592998</v>
          </cell>
          <cell r="AI432">
            <v>56400.800210841378</v>
          </cell>
          <cell r="AK432">
            <v>0.12868185288979178</v>
          </cell>
          <cell r="AL432">
            <v>63737.734908233273</v>
          </cell>
          <cell r="AN432">
            <v>0.13305912064590211</v>
          </cell>
          <cell r="AO432">
            <v>41895.070516398715</v>
          </cell>
        </row>
        <row r="433">
          <cell r="A433" t="str">
            <v>Bénéfices marginaux</v>
          </cell>
          <cell r="B433" t="str">
            <v>Bénéfices marginaux</v>
          </cell>
          <cell r="D433">
            <v>6.6986162981073558E-2</v>
          </cell>
          <cell r="E433">
            <v>317864.61353030638</v>
          </cell>
          <cell r="G433">
            <v>7.3365436288950203E-2</v>
          </cell>
          <cell r="H433">
            <v>21915.288136812738</v>
          </cell>
          <cell r="J433">
            <v>7.0543834871630351E-2</v>
          </cell>
          <cell r="K433">
            <v>21012.334109307962</v>
          </cell>
          <cell r="M433">
            <v>6.9638998306972691E-2</v>
          </cell>
          <cell r="N433">
            <v>27203.530270127179</v>
          </cell>
          <cell r="P433">
            <v>6.6797219121496859E-2</v>
          </cell>
          <cell r="Q433">
            <v>30139.92483004454</v>
          </cell>
          <cell r="S433">
            <v>6.5622169447777781E-2</v>
          </cell>
          <cell r="T433">
            <v>33746.35854232221</v>
          </cell>
          <cell r="V433">
            <v>6.469616768654364E-2</v>
          </cell>
          <cell r="W433">
            <v>24772.765900079918</v>
          </cell>
          <cell r="Y433">
            <v>6.6237229963683114E-2</v>
          </cell>
          <cell r="Z433">
            <v>24679.526450604706</v>
          </cell>
          <cell r="AB433">
            <v>6.5922244943810299E-2</v>
          </cell>
          <cell r="AC433">
            <v>27049.508018782406</v>
          </cell>
          <cell r="AE433">
            <v>6.7048196661457268E-2</v>
          </cell>
          <cell r="AF433">
            <v>23862.845673078704</v>
          </cell>
          <cell r="AH433">
            <v>6.30829871437074E-2</v>
          </cell>
          <cell r="AI433">
            <v>29058.673152107407</v>
          </cell>
          <cell r="AK433">
            <v>6.6299128554088385E-2</v>
          </cell>
          <cell r="AL433">
            <v>32838.789507068017</v>
          </cell>
          <cell r="AN433">
            <v>6.8554373028432175E-2</v>
          </cell>
          <cell r="AO433">
            <v>21585.068939970643</v>
          </cell>
        </row>
        <row r="434">
          <cell r="A434" t="str">
            <v>Csst</v>
          </cell>
          <cell r="B434" t="str">
            <v>Csst</v>
          </cell>
          <cell r="D434">
            <v>2.9206343915798603E-2</v>
          </cell>
          <cell r="E434">
            <v>138590.75976708156</v>
          </cell>
          <cell r="G434">
            <v>3.1987742967052833E-2</v>
          </cell>
          <cell r="H434">
            <v>9555.1889204106192</v>
          </cell>
          <cell r="J434">
            <v>3.0757508875113092E-2</v>
          </cell>
          <cell r="K434">
            <v>9161.4958845083929</v>
          </cell>
          <cell r="M434">
            <v>3.0362995042421289E-2</v>
          </cell>
          <cell r="N434">
            <v>11860.892241546309</v>
          </cell>
          <cell r="P434">
            <v>2.912396333004786E-2</v>
          </cell>
          <cell r="Q434">
            <v>13141.176789470897</v>
          </cell>
          <cell r="S434">
            <v>2.8611635061619001E-2</v>
          </cell>
          <cell r="T434">
            <v>14713.602177383804</v>
          </cell>
          <cell r="V434">
            <v>2.820789308414702E-2</v>
          </cell>
          <cell r="W434">
            <v>10801.065301019375</v>
          </cell>
          <cell r="Y434">
            <v>2.8879804906809792E-2</v>
          </cell>
          <cell r="Z434">
            <v>10760.412376494314</v>
          </cell>
          <cell r="AB434">
            <v>2.8742469666077627E-2</v>
          </cell>
          <cell r="AC434">
            <v>11793.737673449432</v>
          </cell>
          <cell r="AE434">
            <v>2.9233390949439879E-2</v>
          </cell>
          <cell r="AF434">
            <v>10404.334962945708</v>
          </cell>
          <cell r="AH434">
            <v>2.7504537291911806E-2</v>
          </cell>
          <cell r="AI434">
            <v>12669.744974899149</v>
          </cell>
          <cell r="AK434">
            <v>2.8906793040460475E-2</v>
          </cell>
          <cell r="AL434">
            <v>14317.896972139359</v>
          </cell>
          <cell r="AN434">
            <v>2.9890092319006994E-2</v>
          </cell>
          <cell r="AO434">
            <v>9411.2114928142037</v>
          </cell>
        </row>
        <row r="435">
          <cell r="A435" t="str">
            <v>[...]</v>
          </cell>
          <cell r="B435" t="str">
            <v>[...]</v>
          </cell>
          <cell r="E435">
            <v>0</v>
          </cell>
          <cell r="H435">
            <v>0</v>
          </cell>
          <cell r="K435">
            <v>0</v>
          </cell>
          <cell r="N435">
            <v>0</v>
          </cell>
          <cell r="Q435">
            <v>0</v>
          </cell>
          <cell r="T435">
            <v>0</v>
          </cell>
          <cell r="W435">
            <v>0</v>
          </cell>
          <cell r="Z435">
            <v>0</v>
          </cell>
          <cell r="AC435">
            <v>0</v>
          </cell>
          <cell r="AF435">
            <v>0</v>
          </cell>
          <cell r="AI435">
            <v>0</v>
          </cell>
          <cell r="AL435">
            <v>0</v>
          </cell>
          <cell r="AO435">
            <v>0</v>
          </cell>
        </row>
        <row r="436">
          <cell r="A436" t="str">
            <v>TOTAL PERSONNEL</v>
          </cell>
          <cell r="B436" t="str">
            <v>TOTAL PERSONNEL</v>
          </cell>
          <cell r="C436">
            <v>0.42289995609127123</v>
          </cell>
          <cell r="E436">
            <v>3846014.6231985269</v>
          </cell>
          <cell r="F436">
            <v>0.56493651638558362</v>
          </cell>
          <cell r="H436">
            <v>279437.8808139817</v>
          </cell>
          <cell r="I436">
            <v>0.57048198190421995</v>
          </cell>
          <cell r="K436">
            <v>275023.84845270147</v>
          </cell>
          <cell r="L436">
            <v>0.50322251452829714</v>
          </cell>
          <cell r="N436">
            <v>343283.31575176731</v>
          </cell>
          <cell r="O436">
            <v>0.35087401056226164</v>
          </cell>
          <cell r="Q436">
            <v>335302.78465828107</v>
          </cell>
          <cell r="R436">
            <v>0.37382801223611045</v>
          </cell>
          <cell r="T436">
            <v>388855.07640348718</v>
          </cell>
          <cell r="U436">
            <v>0.3863408339461093</v>
          </cell>
          <cell r="W436">
            <v>298070.96303329512</v>
          </cell>
          <cell r="X436">
            <v>0.40929497571419138</v>
          </cell>
          <cell r="Z436">
            <v>298387.37516554177</v>
          </cell>
          <cell r="AA436">
            <v>0.45784398087489375</v>
          </cell>
          <cell r="AC436">
            <v>341772.06760525331</v>
          </cell>
          <cell r="AD436">
            <v>0.42869845194786171</v>
          </cell>
          <cell r="AF436">
            <v>290238.52065931493</v>
          </cell>
          <cell r="AG436">
            <v>0.32808588638036834</v>
          </cell>
          <cell r="AI436">
            <v>328117.4161069853</v>
          </cell>
          <cell r="AJ436">
            <v>0.39186491002014928</v>
          </cell>
          <cell r="AL436">
            <v>386305.01575409248</v>
          </cell>
          <cell r="AM436">
            <v>0.53089943988840393</v>
          </cell>
          <cell r="AO436">
            <v>281220.35879382497</v>
          </cell>
        </row>
        <row r="437">
          <cell r="A437" t="str">
            <v>Publicité 2</v>
          </cell>
          <cell r="B437" t="str">
            <v>Publicité 2</v>
          </cell>
          <cell r="E437">
            <v>178062.72547083328</v>
          </cell>
          <cell r="H437">
            <v>14838.560455902774</v>
          </cell>
          <cell r="K437">
            <v>14838.560455902774</v>
          </cell>
          <cell r="N437">
            <v>14838.560455902774</v>
          </cell>
          <cell r="Q437">
            <v>14838.560455902774</v>
          </cell>
          <cell r="T437">
            <v>14838.560455902774</v>
          </cell>
          <cell r="W437">
            <v>14838.560455902774</v>
          </cell>
          <cell r="Z437">
            <v>14838.560455902774</v>
          </cell>
          <cell r="AC437">
            <v>14838.560455902774</v>
          </cell>
          <cell r="AF437">
            <v>14838.560455902774</v>
          </cell>
          <cell r="AI437">
            <v>14838.560455902774</v>
          </cell>
          <cell r="AL437">
            <v>14838.560455902774</v>
          </cell>
          <cell r="AO437">
            <v>14838.560455902774</v>
          </cell>
        </row>
        <row r="438">
          <cell r="A438" t="str">
            <v>Service gratuit 2</v>
          </cell>
          <cell r="B438" t="str">
            <v>Service gratuit 2</v>
          </cell>
          <cell r="E438">
            <v>71268.787510789742</v>
          </cell>
          <cell r="H438">
            <v>5939.0656258991448</v>
          </cell>
          <cell r="K438">
            <v>5939.0656258991448</v>
          </cell>
          <cell r="N438">
            <v>5939.0656258991448</v>
          </cell>
          <cell r="Q438">
            <v>5939.0656258991448</v>
          </cell>
          <cell r="T438">
            <v>5939.0656258991448</v>
          </cell>
          <cell r="W438">
            <v>5939.0656258991448</v>
          </cell>
          <cell r="Z438">
            <v>5939.0656258991448</v>
          </cell>
          <cell r="AC438">
            <v>5939.0656258991448</v>
          </cell>
          <cell r="AF438">
            <v>5939.0656258991448</v>
          </cell>
          <cell r="AI438">
            <v>5939.0656258991448</v>
          </cell>
          <cell r="AL438">
            <v>5939.0656258991448</v>
          </cell>
          <cell r="AO438">
            <v>5939.0656258991448</v>
          </cell>
        </row>
        <row r="439">
          <cell r="A439" t="str">
            <v>Frais véhicules de cie</v>
          </cell>
          <cell r="B439" t="str">
            <v>Frais véhicules de cie</v>
          </cell>
          <cell r="E439">
            <v>312900</v>
          </cell>
          <cell r="H439">
            <v>26075</v>
          </cell>
          <cell r="K439">
            <v>26075</v>
          </cell>
          <cell r="N439">
            <v>26075</v>
          </cell>
          <cell r="Q439">
            <v>26075</v>
          </cell>
          <cell r="T439">
            <v>26075</v>
          </cell>
          <cell r="W439">
            <v>26075</v>
          </cell>
          <cell r="Z439">
            <v>26075</v>
          </cell>
          <cell r="AC439">
            <v>26075</v>
          </cell>
          <cell r="AF439">
            <v>26075</v>
          </cell>
          <cell r="AI439">
            <v>26075</v>
          </cell>
          <cell r="AL439">
            <v>26075</v>
          </cell>
          <cell r="AO439">
            <v>26075</v>
          </cell>
        </row>
        <row r="440">
          <cell r="A440" t="str">
            <v>Informatique</v>
          </cell>
          <cell r="B440" t="str">
            <v>Informatique</v>
          </cell>
          <cell r="E440">
            <v>267248.26213333331</v>
          </cell>
          <cell r="H440">
            <v>22270.688511111108</v>
          </cell>
          <cell r="K440">
            <v>22270.688511111108</v>
          </cell>
          <cell r="N440">
            <v>22270.688511111108</v>
          </cell>
          <cell r="Q440">
            <v>22270.688511111108</v>
          </cell>
          <cell r="T440">
            <v>22270.688511111108</v>
          </cell>
          <cell r="W440">
            <v>22270.688511111108</v>
          </cell>
          <cell r="Z440">
            <v>22270.688511111108</v>
          </cell>
          <cell r="AC440">
            <v>22270.688511111108</v>
          </cell>
          <cell r="AF440">
            <v>22270.688511111108</v>
          </cell>
          <cell r="AI440">
            <v>22270.688511111108</v>
          </cell>
          <cell r="AL440">
            <v>22270.688511111108</v>
          </cell>
          <cell r="AO440">
            <v>22270.688511111108</v>
          </cell>
        </row>
        <row r="441">
          <cell r="A441" t="str">
            <v>Frais de déplacement</v>
          </cell>
          <cell r="B441" t="str">
            <v>Frais de déplacement</v>
          </cell>
          <cell r="E441">
            <v>43077.230558333336</v>
          </cell>
          <cell r="H441">
            <v>3589.7692131944445</v>
          </cell>
          <cell r="K441">
            <v>3589.7692131944445</v>
          </cell>
          <cell r="N441">
            <v>3589.7692131944445</v>
          </cell>
          <cell r="Q441">
            <v>3589.7692131944445</v>
          </cell>
          <cell r="T441">
            <v>3589.7692131944445</v>
          </cell>
          <cell r="W441">
            <v>3589.7692131944445</v>
          </cell>
          <cell r="Z441">
            <v>3589.7692131944445</v>
          </cell>
          <cell r="AC441">
            <v>3589.7692131944445</v>
          </cell>
          <cell r="AF441">
            <v>3589.7692131944445</v>
          </cell>
          <cell r="AI441">
            <v>3589.7692131944445</v>
          </cell>
          <cell r="AL441">
            <v>3589.7692131944445</v>
          </cell>
          <cell r="AO441">
            <v>3589.7692131944445</v>
          </cell>
        </row>
        <row r="442">
          <cell r="A442" t="str">
            <v>Services extérieurs</v>
          </cell>
          <cell r="B442" t="str">
            <v>Services extérieurs</v>
          </cell>
          <cell r="E442">
            <v>335233.92781847215</v>
          </cell>
          <cell r="H442">
            <v>26936.160651539351</v>
          </cell>
          <cell r="K442">
            <v>26936.160651539351</v>
          </cell>
          <cell r="N442">
            <v>26436.160651539351</v>
          </cell>
          <cell r="Q442">
            <v>26436.160651539351</v>
          </cell>
          <cell r="T442">
            <v>31436.160651539354</v>
          </cell>
          <cell r="W442">
            <v>26936.160651539351</v>
          </cell>
          <cell r="Z442">
            <v>26936.160651539351</v>
          </cell>
          <cell r="AC442">
            <v>24936.160651539351</v>
          </cell>
          <cell r="AF442">
            <v>24936.160651539351</v>
          </cell>
          <cell r="AI442">
            <v>31436.160651539354</v>
          </cell>
          <cell r="AL442">
            <v>36436.160651539351</v>
          </cell>
          <cell r="AO442">
            <v>25436.160651539351</v>
          </cell>
        </row>
        <row r="443">
          <cell r="B443" t="str">
            <v>Fournitures d'atelier</v>
          </cell>
          <cell r="E443">
            <v>0</v>
          </cell>
          <cell r="H443">
            <v>0</v>
          </cell>
          <cell r="K443">
            <v>0</v>
          </cell>
          <cell r="N443">
            <v>0</v>
          </cell>
          <cell r="Q443">
            <v>0</v>
          </cell>
          <cell r="T443">
            <v>0</v>
          </cell>
          <cell r="W443">
            <v>0</v>
          </cell>
          <cell r="Z443">
            <v>0</v>
          </cell>
          <cell r="AC443">
            <v>0</v>
          </cell>
          <cell r="AF443">
            <v>0</v>
          </cell>
          <cell r="AI443">
            <v>0</v>
          </cell>
          <cell r="AL443">
            <v>0</v>
          </cell>
          <cell r="AO443">
            <v>0</v>
          </cell>
        </row>
        <row r="444">
          <cell r="A444" t="str">
            <v>Fournitures autres</v>
          </cell>
          <cell r="B444" t="str">
            <v>Fournitures autres</v>
          </cell>
          <cell r="E444">
            <v>73000</v>
          </cell>
          <cell r="H444">
            <v>6083.333333333333</v>
          </cell>
          <cell r="K444">
            <v>6083.333333333333</v>
          </cell>
          <cell r="N444">
            <v>6083.333333333333</v>
          </cell>
          <cell r="Q444">
            <v>6083.333333333333</v>
          </cell>
          <cell r="T444">
            <v>6083.333333333333</v>
          </cell>
          <cell r="W444">
            <v>6083.333333333333</v>
          </cell>
          <cell r="Z444">
            <v>6083.333333333333</v>
          </cell>
          <cell r="AC444">
            <v>6083.333333333333</v>
          </cell>
          <cell r="AF444">
            <v>6083.333333333333</v>
          </cell>
          <cell r="AI444">
            <v>6083.333333333333</v>
          </cell>
          <cell r="AL444">
            <v>6083.333333333333</v>
          </cell>
          <cell r="AO444">
            <v>6083.333333333333</v>
          </cell>
        </row>
        <row r="445">
          <cell r="A445" t="str">
            <v>Uniformes</v>
          </cell>
          <cell r="B445" t="str">
            <v>Uniformes</v>
          </cell>
          <cell r="E445">
            <v>18663.299651285317</v>
          </cell>
          <cell r="H445">
            <v>1555.2749709404429</v>
          </cell>
          <cell r="K445">
            <v>1555.2749709404429</v>
          </cell>
          <cell r="N445">
            <v>1555.2749709404429</v>
          </cell>
          <cell r="Q445">
            <v>1555.2749709404429</v>
          </cell>
          <cell r="T445">
            <v>1555.2749709404429</v>
          </cell>
          <cell r="W445">
            <v>1555.2749709404429</v>
          </cell>
          <cell r="Z445">
            <v>1555.2749709404429</v>
          </cell>
          <cell r="AC445">
            <v>1555.2749709404429</v>
          </cell>
          <cell r="AF445">
            <v>1555.2749709404429</v>
          </cell>
          <cell r="AI445">
            <v>1555.2749709404429</v>
          </cell>
          <cell r="AL445">
            <v>1555.2749709404429</v>
          </cell>
          <cell r="AO445">
            <v>1555.2749709404429</v>
          </cell>
        </row>
        <row r="446">
          <cell r="A446" t="str">
            <v>Papeterie</v>
          </cell>
          <cell r="B446" t="str">
            <v>Papeterie</v>
          </cell>
          <cell r="E446">
            <v>31049.358898800008</v>
          </cell>
          <cell r="H446">
            <v>2587.4465749000001</v>
          </cell>
          <cell r="K446">
            <v>2587.4465749000001</v>
          </cell>
          <cell r="N446">
            <v>2587.4465749000001</v>
          </cell>
          <cell r="Q446">
            <v>2587.4465749000001</v>
          </cell>
          <cell r="T446">
            <v>2587.4465749000001</v>
          </cell>
          <cell r="W446">
            <v>2587.4465749000001</v>
          </cell>
          <cell r="Z446">
            <v>2587.4465749000001</v>
          </cell>
          <cell r="AC446">
            <v>2587.4465749000001</v>
          </cell>
          <cell r="AF446">
            <v>2587.4465749000001</v>
          </cell>
          <cell r="AI446">
            <v>2587.4465749000001</v>
          </cell>
          <cell r="AL446">
            <v>2587.4465749000001</v>
          </cell>
          <cell r="AO446">
            <v>2587.4465749000001</v>
          </cell>
        </row>
        <row r="447">
          <cell r="A447" t="str">
            <v>Téléphone</v>
          </cell>
          <cell r="B447" t="str">
            <v>Téléphone</v>
          </cell>
          <cell r="E447">
            <v>9337.3891894833341</v>
          </cell>
          <cell r="H447">
            <v>778.11576579027781</v>
          </cell>
          <cell r="K447">
            <v>778.11576579027781</v>
          </cell>
          <cell r="N447">
            <v>778.11576579027781</v>
          </cell>
          <cell r="Q447">
            <v>778.11576579027781</v>
          </cell>
          <cell r="T447">
            <v>778.11576579027781</v>
          </cell>
          <cell r="W447">
            <v>778.11576579027781</v>
          </cell>
          <cell r="Z447">
            <v>778.11576579027781</v>
          </cell>
          <cell r="AC447">
            <v>778.11576579027781</v>
          </cell>
          <cell r="AF447">
            <v>778.11576579027781</v>
          </cell>
          <cell r="AI447">
            <v>778.11576579027781</v>
          </cell>
          <cell r="AL447">
            <v>778.11576579027781</v>
          </cell>
          <cell r="AO447">
            <v>778.11576579027781</v>
          </cell>
        </row>
        <row r="448">
          <cell r="A448" t="str">
            <v>Frais postaux</v>
          </cell>
          <cell r="B448" t="str">
            <v>Frais postaux</v>
          </cell>
          <cell r="E448">
            <v>5547.3145465166644</v>
          </cell>
          <cell r="H448">
            <v>462.27621220972219</v>
          </cell>
          <cell r="K448">
            <v>462.27621220972219</v>
          </cell>
          <cell r="N448">
            <v>462.27621220972219</v>
          </cell>
          <cell r="Q448">
            <v>462.27621220972219</v>
          </cell>
          <cell r="T448">
            <v>462.27621220972219</v>
          </cell>
          <cell r="W448">
            <v>462.27621220972219</v>
          </cell>
          <cell r="Z448">
            <v>462.27621220972219</v>
          </cell>
          <cell r="AC448">
            <v>462.27621220972219</v>
          </cell>
          <cell r="AF448">
            <v>462.27621220972219</v>
          </cell>
          <cell r="AI448">
            <v>462.27621220972219</v>
          </cell>
          <cell r="AL448">
            <v>462.27621220972219</v>
          </cell>
          <cell r="AO448">
            <v>462.27621220972219</v>
          </cell>
        </row>
        <row r="449">
          <cell r="A449" t="str">
            <v>Divers</v>
          </cell>
          <cell r="B449" t="str">
            <v>Divers</v>
          </cell>
          <cell r="E449">
            <v>13829.75112881667</v>
          </cell>
          <cell r="H449">
            <v>1152.4792607347222</v>
          </cell>
          <cell r="K449">
            <v>1152.4792607347222</v>
          </cell>
          <cell r="N449">
            <v>1152.4792607347222</v>
          </cell>
          <cell r="Q449">
            <v>1152.4792607347222</v>
          </cell>
          <cell r="T449">
            <v>1152.4792607347222</v>
          </cell>
          <cell r="W449">
            <v>1152.4792607347222</v>
          </cell>
          <cell r="Z449">
            <v>1152.4792607347222</v>
          </cell>
          <cell r="AC449">
            <v>1152.4792607347222</v>
          </cell>
          <cell r="AF449">
            <v>1152.4792607347222</v>
          </cell>
          <cell r="AI449">
            <v>1152.4792607347222</v>
          </cell>
          <cell r="AL449">
            <v>1152.4792607347222</v>
          </cell>
          <cell r="AO449">
            <v>1152.4792607347222</v>
          </cell>
        </row>
        <row r="450">
          <cell r="A450" t="str">
            <v>Formation</v>
          </cell>
          <cell r="B450" t="str">
            <v>Formation</v>
          </cell>
          <cell r="E450">
            <v>91732.542125321212</v>
          </cell>
          <cell r="H450">
            <v>7644.3785104434319</v>
          </cell>
          <cell r="K450">
            <v>7644.3785104434319</v>
          </cell>
          <cell r="N450">
            <v>7644.3785104434319</v>
          </cell>
          <cell r="Q450">
            <v>7644.3785104434319</v>
          </cell>
          <cell r="T450">
            <v>7644.3785104434319</v>
          </cell>
          <cell r="W450">
            <v>7644.3785104434319</v>
          </cell>
          <cell r="Z450">
            <v>7644.3785104434319</v>
          </cell>
          <cell r="AC450">
            <v>7644.3785104434319</v>
          </cell>
          <cell r="AF450">
            <v>7644.3785104434319</v>
          </cell>
          <cell r="AI450">
            <v>7644.3785104434319</v>
          </cell>
          <cell r="AL450">
            <v>7644.3785104434319</v>
          </cell>
          <cell r="AO450">
            <v>7644.3785104434319</v>
          </cell>
        </row>
        <row r="451">
          <cell r="A451" t="str">
            <v>Frais bancaires</v>
          </cell>
          <cell r="B451" t="str">
            <v>Frais bancaires</v>
          </cell>
          <cell r="E451">
            <v>93363.315428984744</v>
          </cell>
          <cell r="H451">
            <v>7780.2762857487296</v>
          </cell>
          <cell r="K451">
            <v>7780.2762857487296</v>
          </cell>
          <cell r="N451">
            <v>7780.2762857487296</v>
          </cell>
          <cell r="Q451">
            <v>7780.2762857487296</v>
          </cell>
          <cell r="T451">
            <v>7780.2762857487296</v>
          </cell>
          <cell r="W451">
            <v>7780.2762857487296</v>
          </cell>
          <cell r="Z451">
            <v>7780.2762857487296</v>
          </cell>
          <cell r="AC451">
            <v>7780.2762857487296</v>
          </cell>
          <cell r="AF451">
            <v>7780.2762857487296</v>
          </cell>
          <cell r="AI451">
            <v>7780.2762857487296</v>
          </cell>
          <cell r="AL451">
            <v>7780.2762857487296</v>
          </cell>
          <cell r="AO451">
            <v>7780.2762857487296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  <cell r="H452">
            <v>0</v>
          </cell>
          <cell r="K452">
            <v>0</v>
          </cell>
          <cell r="N452">
            <v>0</v>
          </cell>
          <cell r="Q452">
            <v>0</v>
          </cell>
          <cell r="T452">
            <v>0</v>
          </cell>
          <cell r="W452">
            <v>0</v>
          </cell>
          <cell r="Z452">
            <v>0</v>
          </cell>
          <cell r="AC452">
            <v>0</v>
          </cell>
          <cell r="AF452">
            <v>0</v>
          </cell>
          <cell r="AI452">
            <v>0</v>
          </cell>
          <cell r="AL452">
            <v>0</v>
          </cell>
          <cell r="AO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  <cell r="H453">
            <v>0</v>
          </cell>
          <cell r="K453">
            <v>0</v>
          </cell>
          <cell r="N453">
            <v>0</v>
          </cell>
          <cell r="Q453">
            <v>0</v>
          </cell>
          <cell r="T453">
            <v>0</v>
          </cell>
          <cell r="W453">
            <v>0</v>
          </cell>
          <cell r="Z453">
            <v>0</v>
          </cell>
          <cell r="AC453">
            <v>0</v>
          </cell>
          <cell r="AF453">
            <v>0</v>
          </cell>
          <cell r="AI453">
            <v>0</v>
          </cell>
          <cell r="AL453">
            <v>0</v>
          </cell>
          <cell r="AO453">
            <v>0</v>
          </cell>
        </row>
        <row r="454">
          <cell r="A454" t="str">
            <v>[...]</v>
          </cell>
          <cell r="B454" t="str">
            <v>[...]</v>
          </cell>
          <cell r="E454">
            <v>0</v>
          </cell>
          <cell r="H454">
            <v>0</v>
          </cell>
          <cell r="K454">
            <v>0</v>
          </cell>
          <cell r="N454">
            <v>0</v>
          </cell>
          <cell r="Q454">
            <v>0</v>
          </cell>
          <cell r="T454">
            <v>0</v>
          </cell>
          <cell r="W454">
            <v>0</v>
          </cell>
          <cell r="Z454">
            <v>0</v>
          </cell>
          <cell r="AC454">
            <v>0</v>
          </cell>
          <cell r="AF454">
            <v>0</v>
          </cell>
          <cell r="AI454">
            <v>0</v>
          </cell>
          <cell r="AL454">
            <v>0</v>
          </cell>
          <cell r="AO454">
            <v>0</v>
          </cell>
        </row>
        <row r="455">
          <cell r="A455" t="str">
            <v>TOTAL SEMI-FIXES</v>
          </cell>
          <cell r="B455" t="str">
            <v>TOTAL SEMI-FIXES</v>
          </cell>
          <cell r="C455">
            <v>0.16980962018406037</v>
          </cell>
          <cell r="E455">
            <v>1544313.9044609701</v>
          </cell>
          <cell r="F455">
            <v>0.25815519257022018</v>
          </cell>
          <cell r="H455">
            <v>127692.82537174747</v>
          </cell>
          <cell r="I455">
            <v>0.26487323373177241</v>
          </cell>
          <cell r="K455">
            <v>127692.82537174747</v>
          </cell>
          <cell r="L455">
            <v>0.18645326025635675</v>
          </cell>
          <cell r="N455">
            <v>127192.82537174747</v>
          </cell>
          <cell r="O455">
            <v>0.13309957088013172</v>
          </cell>
          <cell r="Q455">
            <v>127192.82537174747</v>
          </cell>
          <cell r="R455">
            <v>0.12708431531267639</v>
          </cell>
          <cell r="T455">
            <v>132192.82537174749</v>
          </cell>
          <cell r="U455">
            <v>0.16550740850776946</v>
          </cell>
          <cell r="W455">
            <v>127692.82537174747</v>
          </cell>
          <cell r="X455">
            <v>0.17515497038174085</v>
          </cell>
          <cell r="Z455">
            <v>127692.82537174747</v>
          </cell>
          <cell r="AA455">
            <v>0.16838035928109052</v>
          </cell>
          <cell r="AC455">
            <v>125692.82537174747</v>
          </cell>
          <cell r="AD455">
            <v>0.18565530011459452</v>
          </cell>
          <cell r="AF455">
            <v>125692.82537174747</v>
          </cell>
          <cell r="AG455">
            <v>0.13218012259085232</v>
          </cell>
          <cell r="AI455">
            <v>132192.82537174749</v>
          </cell>
          <cell r="AJ455">
            <v>0.139167372871835</v>
          </cell>
          <cell r="AL455">
            <v>137192.82537174749</v>
          </cell>
          <cell r="AM455">
            <v>0.23823204193019826</v>
          </cell>
          <cell r="AO455">
            <v>126192.82537174747</v>
          </cell>
        </row>
        <row r="456">
          <cell r="A456" t="str">
            <v>Loyer</v>
          </cell>
          <cell r="B456" t="str">
            <v>Loyer</v>
          </cell>
          <cell r="E456">
            <v>432000</v>
          </cell>
          <cell r="H456">
            <v>36000</v>
          </cell>
          <cell r="K456">
            <v>36000</v>
          </cell>
          <cell r="N456">
            <v>36000</v>
          </cell>
          <cell r="Q456">
            <v>36000</v>
          </cell>
          <cell r="T456">
            <v>36000</v>
          </cell>
          <cell r="W456">
            <v>36000</v>
          </cell>
          <cell r="Z456">
            <v>36000</v>
          </cell>
          <cell r="AC456">
            <v>36000</v>
          </cell>
          <cell r="AF456">
            <v>36000</v>
          </cell>
          <cell r="AI456">
            <v>36000</v>
          </cell>
          <cell r="AL456">
            <v>36000</v>
          </cell>
          <cell r="AO456">
            <v>36000</v>
          </cell>
        </row>
        <row r="457">
          <cell r="A457" t="str">
            <v>Taxes foncières</v>
          </cell>
          <cell r="B457" t="str">
            <v>Taxes foncières</v>
          </cell>
          <cell r="E457">
            <v>62123.039999999986</v>
          </cell>
          <cell r="H457">
            <v>5176.92</v>
          </cell>
          <cell r="K457">
            <v>5176.92</v>
          </cell>
          <cell r="N457">
            <v>5176.92</v>
          </cell>
          <cell r="Q457">
            <v>5176.92</v>
          </cell>
          <cell r="T457">
            <v>5176.92</v>
          </cell>
          <cell r="W457">
            <v>5176.92</v>
          </cell>
          <cell r="Z457">
            <v>5176.92</v>
          </cell>
          <cell r="AC457">
            <v>5176.92</v>
          </cell>
          <cell r="AF457">
            <v>5176.92</v>
          </cell>
          <cell r="AI457">
            <v>5176.92</v>
          </cell>
          <cell r="AL457">
            <v>5176.92</v>
          </cell>
          <cell r="AO457">
            <v>5176.92</v>
          </cell>
        </row>
        <row r="458">
          <cell r="A458" t="str">
            <v>Taxes d`affaires</v>
          </cell>
          <cell r="B458" t="str">
            <v>Taxes d`affaires</v>
          </cell>
          <cell r="E458">
            <v>41338.080000000016</v>
          </cell>
          <cell r="H458">
            <v>3444.8400000000006</v>
          </cell>
          <cell r="K458">
            <v>3444.8400000000006</v>
          </cell>
          <cell r="N458">
            <v>3444.8400000000006</v>
          </cell>
          <cell r="Q458">
            <v>3444.8400000000006</v>
          </cell>
          <cell r="T458">
            <v>3444.8400000000006</v>
          </cell>
          <cell r="W458">
            <v>3444.8400000000006</v>
          </cell>
          <cell r="Z458">
            <v>3444.8400000000006</v>
          </cell>
          <cell r="AC458">
            <v>3444.8400000000006</v>
          </cell>
          <cell r="AF458">
            <v>3444.8400000000006</v>
          </cell>
          <cell r="AI458">
            <v>3444.8400000000006</v>
          </cell>
          <cell r="AL458">
            <v>3444.8400000000006</v>
          </cell>
          <cell r="AO458">
            <v>3444.8400000000006</v>
          </cell>
        </row>
        <row r="459">
          <cell r="A459" t="str">
            <v>Taxe sur le capital</v>
          </cell>
          <cell r="B459" t="str">
            <v>Taxe sur le capital</v>
          </cell>
          <cell r="E459">
            <v>0</v>
          </cell>
          <cell r="H459">
            <v>0</v>
          </cell>
          <cell r="K459">
            <v>0</v>
          </cell>
          <cell r="N459">
            <v>0</v>
          </cell>
          <cell r="Q459">
            <v>0</v>
          </cell>
          <cell r="T459">
            <v>0</v>
          </cell>
          <cell r="W459">
            <v>0</v>
          </cell>
          <cell r="Z459">
            <v>0</v>
          </cell>
          <cell r="AC459">
            <v>0</v>
          </cell>
          <cell r="AF459">
            <v>0</v>
          </cell>
          <cell r="AI459">
            <v>0</v>
          </cell>
          <cell r="AL459">
            <v>0</v>
          </cell>
          <cell r="AO459">
            <v>0</v>
          </cell>
        </row>
        <row r="460">
          <cell r="A460" t="str">
            <v>Assurances</v>
          </cell>
          <cell r="B460" t="str">
            <v>Assurances</v>
          </cell>
          <cell r="E460">
            <v>46717</v>
          </cell>
          <cell r="H460">
            <v>3893.083333333333</v>
          </cell>
          <cell r="K460">
            <v>3893.083333333333</v>
          </cell>
          <cell r="N460">
            <v>3893.083333333333</v>
          </cell>
          <cell r="Q460">
            <v>3893.083333333333</v>
          </cell>
          <cell r="T460">
            <v>3893.083333333333</v>
          </cell>
          <cell r="W460">
            <v>3893.083333333333</v>
          </cell>
          <cell r="Z460">
            <v>3893.083333333333</v>
          </cell>
          <cell r="AC460">
            <v>3893.083333333333</v>
          </cell>
          <cell r="AF460">
            <v>3893.083333333333</v>
          </cell>
          <cell r="AI460">
            <v>3893.083333333333</v>
          </cell>
          <cell r="AL460">
            <v>3893.083333333333</v>
          </cell>
          <cell r="AO460">
            <v>3893.083333333333</v>
          </cell>
        </row>
        <row r="461">
          <cell r="A461" t="str">
            <v>Chauffage, éclairage</v>
          </cell>
          <cell r="B461" t="str">
            <v>Chauffage, éclairage</v>
          </cell>
          <cell r="E461">
            <v>41415.000000000007</v>
          </cell>
          <cell r="H461">
            <v>3451.2500000000005</v>
          </cell>
          <cell r="K461">
            <v>3451.2500000000005</v>
          </cell>
          <cell r="N461">
            <v>3451.2500000000005</v>
          </cell>
          <cell r="Q461">
            <v>3451.2500000000005</v>
          </cell>
          <cell r="T461">
            <v>3451.2500000000005</v>
          </cell>
          <cell r="W461">
            <v>3451.2500000000005</v>
          </cell>
          <cell r="Z461">
            <v>3451.2500000000005</v>
          </cell>
          <cell r="AC461">
            <v>3451.2500000000005</v>
          </cell>
          <cell r="AF461">
            <v>3451.2500000000005</v>
          </cell>
          <cell r="AI461">
            <v>3451.2500000000005</v>
          </cell>
          <cell r="AL461">
            <v>3451.2500000000005</v>
          </cell>
          <cell r="AO461">
            <v>3451.2500000000005</v>
          </cell>
        </row>
        <row r="462">
          <cell r="A462" t="str">
            <v>Honoraires</v>
          </cell>
          <cell r="B462" t="str">
            <v>Honoraires</v>
          </cell>
          <cell r="E462">
            <v>81408.60000000002</v>
          </cell>
          <cell r="H462">
            <v>6784.05</v>
          </cell>
          <cell r="K462">
            <v>6784.05</v>
          </cell>
          <cell r="N462">
            <v>6784.05</v>
          </cell>
          <cell r="Q462">
            <v>6784.05</v>
          </cell>
          <cell r="T462">
            <v>6784.05</v>
          </cell>
          <cell r="W462">
            <v>6784.05</v>
          </cell>
          <cell r="Z462">
            <v>6784.05</v>
          </cell>
          <cell r="AC462">
            <v>6784.05</v>
          </cell>
          <cell r="AF462">
            <v>6784.05</v>
          </cell>
          <cell r="AI462">
            <v>6784.05</v>
          </cell>
          <cell r="AL462">
            <v>6784.05</v>
          </cell>
          <cell r="AO462">
            <v>6784.05</v>
          </cell>
        </row>
        <row r="463">
          <cell r="A463" t="str">
            <v>Réparation équipement</v>
          </cell>
          <cell r="B463" t="str">
            <v>Réparation équipement</v>
          </cell>
          <cell r="E463">
            <v>23363.053879566665</v>
          </cell>
          <cell r="H463">
            <v>1946.9211566305551</v>
          </cell>
          <cell r="K463">
            <v>1946.9211566305551</v>
          </cell>
          <cell r="N463">
            <v>1946.9211566305551</v>
          </cell>
          <cell r="Q463">
            <v>1946.9211566305551</v>
          </cell>
          <cell r="T463">
            <v>1946.9211566305551</v>
          </cell>
          <cell r="W463">
            <v>1946.9211566305551</v>
          </cell>
          <cell r="Z463">
            <v>1946.9211566305551</v>
          </cell>
          <cell r="AC463">
            <v>1946.9211566305551</v>
          </cell>
          <cell r="AF463">
            <v>1946.9211566305551</v>
          </cell>
          <cell r="AI463">
            <v>1946.9211566305551</v>
          </cell>
          <cell r="AL463">
            <v>1946.9211566305551</v>
          </cell>
          <cell r="AO463">
            <v>1946.9211566305551</v>
          </cell>
        </row>
        <row r="464">
          <cell r="A464" t="str">
            <v>Location équipement</v>
          </cell>
          <cell r="B464" t="str">
            <v>Location équipement</v>
          </cell>
          <cell r="E464">
            <v>12000</v>
          </cell>
          <cell r="H464">
            <v>1000</v>
          </cell>
          <cell r="K464">
            <v>1000</v>
          </cell>
          <cell r="N464">
            <v>1000</v>
          </cell>
          <cell r="Q464">
            <v>1000</v>
          </cell>
          <cell r="T464">
            <v>1000</v>
          </cell>
          <cell r="W464">
            <v>1000</v>
          </cell>
          <cell r="Z464">
            <v>1000</v>
          </cell>
          <cell r="AC464">
            <v>1000</v>
          </cell>
          <cell r="AF464">
            <v>1000</v>
          </cell>
          <cell r="AI464">
            <v>1000</v>
          </cell>
          <cell r="AL464">
            <v>1000</v>
          </cell>
          <cell r="AO464">
            <v>1000</v>
          </cell>
        </row>
        <row r="465">
          <cell r="A465" t="str">
            <v>Dons</v>
          </cell>
          <cell r="B465" t="str">
            <v>Dons</v>
          </cell>
          <cell r="E465">
            <v>0</v>
          </cell>
          <cell r="H465">
            <v>0</v>
          </cell>
          <cell r="K465">
            <v>0</v>
          </cell>
          <cell r="N465">
            <v>0</v>
          </cell>
          <cell r="Q465">
            <v>0</v>
          </cell>
          <cell r="T465">
            <v>0</v>
          </cell>
          <cell r="W465">
            <v>0</v>
          </cell>
          <cell r="Z465">
            <v>0</v>
          </cell>
          <cell r="AC465">
            <v>0</v>
          </cell>
          <cell r="AF465">
            <v>0</v>
          </cell>
          <cell r="AI465">
            <v>0</v>
          </cell>
          <cell r="AL465">
            <v>0</v>
          </cell>
          <cell r="AO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[...]</v>
          </cell>
          <cell r="B468" t="str">
            <v>[...]</v>
          </cell>
          <cell r="E468">
            <v>0</v>
          </cell>
        </row>
        <row r="469">
          <cell r="A469" t="str">
            <v>TOTAL DÉPENSES FIXES</v>
          </cell>
          <cell r="B469" t="str">
            <v>TOTAL DÉPENSES FIXES</v>
          </cell>
          <cell r="C469">
            <v>8.1409006735602016E-2</v>
          </cell>
          <cell r="E469">
            <v>740364.7738795667</v>
          </cell>
          <cell r="F469">
            <v>0.12473228247597319</v>
          </cell>
          <cell r="H469">
            <v>61697.064489963894</v>
          </cell>
          <cell r="I469">
            <v>0.12797822380105431</v>
          </cell>
          <cell r="K469">
            <v>61697.064489963894</v>
          </cell>
          <cell r="L469">
            <v>9.0442356231798027E-2</v>
          </cell>
          <cell r="N469">
            <v>61697.064489963894</v>
          </cell>
          <cell r="O469">
            <v>6.4562232847467302E-2</v>
          </cell>
          <cell r="Q469">
            <v>61697.064489963894</v>
          </cell>
          <cell r="R469">
            <v>5.9312819553252676E-2</v>
          </cell>
          <cell r="T469">
            <v>61697.064489963894</v>
          </cell>
          <cell r="U469">
            <v>7.9967854313997694E-2</v>
          </cell>
          <cell r="W469">
            <v>61697.064489963894</v>
          </cell>
          <cell r="X469">
            <v>8.4629245785104001E-2</v>
          </cell>
          <cell r="Z469">
            <v>61697.064489963894</v>
          </cell>
          <cell r="AA469">
            <v>8.2650492219294311E-2</v>
          </cell>
          <cell r="AC469">
            <v>61697.064489963894</v>
          </cell>
          <cell r="AD469">
            <v>9.1129998790276154E-2</v>
          </cell>
          <cell r="AF469">
            <v>61697.064489963894</v>
          </cell>
          <cell r="AG469">
            <v>6.1691135845274692E-2</v>
          </cell>
          <cell r="AI469">
            <v>61697.064489963894</v>
          </cell>
          <cell r="AJ469">
            <v>6.2585039383120974E-2</v>
          </cell>
          <cell r="AL469">
            <v>61697.064489963894</v>
          </cell>
          <cell r="AM469">
            <v>0.11647427348776927</v>
          </cell>
          <cell r="AO469">
            <v>61697.064489963894</v>
          </cell>
        </row>
        <row r="470">
          <cell r="A470">
            <v>0</v>
          </cell>
          <cell r="E470">
            <v>379600.20152754127</v>
          </cell>
          <cell r="H470">
            <v>31633.350127295103</v>
          </cell>
          <cell r="K470">
            <v>31633.350127295103</v>
          </cell>
          <cell r="N470">
            <v>31633.350127295103</v>
          </cell>
          <cell r="Q470">
            <v>31633.350127295103</v>
          </cell>
          <cell r="T470">
            <v>31633.350127295103</v>
          </cell>
          <cell r="W470">
            <v>31633.350127295103</v>
          </cell>
          <cell r="Z470">
            <v>31633.350127295103</v>
          </cell>
          <cell r="AC470">
            <v>31633.350127295103</v>
          </cell>
          <cell r="AF470">
            <v>31633.350127295103</v>
          </cell>
          <cell r="AI470">
            <v>31633.350127295103</v>
          </cell>
          <cell r="AL470">
            <v>31633.350127295103</v>
          </cell>
          <cell r="AO470">
            <v>31633.350127295103</v>
          </cell>
        </row>
        <row r="471">
          <cell r="A471" t="str">
            <v>TOTAL DES DÉPENSES</v>
          </cell>
          <cell r="B471" t="str">
            <v>TOTAL DES DÉPENSES</v>
          </cell>
          <cell r="C471">
            <v>0.90823623415939925</v>
          </cell>
          <cell r="E471">
            <v>8259849.1382721364</v>
          </cell>
          <cell r="F471">
            <v>1.197473274704544</v>
          </cell>
          <cell r="H471">
            <v>592313.26796802506</v>
          </cell>
          <cell r="I471">
            <v>1.2308237590936664</v>
          </cell>
          <cell r="K471">
            <v>593368.23551036126</v>
          </cell>
          <cell r="L471">
            <v>1.0350807319241866</v>
          </cell>
          <cell r="N471">
            <v>706101.04966939089</v>
          </cell>
          <cell r="O471">
            <v>0.76867927328020491</v>
          </cell>
          <cell r="Q471">
            <v>734566.51983695792</v>
          </cell>
          <cell r="R471">
            <v>0.76884341478437046</v>
          </cell>
          <cell r="T471">
            <v>799749.2296255884</v>
          </cell>
          <cell r="U471">
            <v>0.87901929080527874</v>
          </cell>
          <cell r="W471">
            <v>678183.88198572176</v>
          </cell>
          <cell r="X471">
            <v>0.91526378029498845</v>
          </cell>
          <cell r="Z471">
            <v>667252.64953415713</v>
          </cell>
          <cell r="AA471">
            <v>0.95841183855640089</v>
          </cell>
          <cell r="AC471">
            <v>715436.71941442194</v>
          </cell>
          <cell r="AD471">
            <v>0.97336227405396947</v>
          </cell>
          <cell r="AF471">
            <v>658988.21235157922</v>
          </cell>
          <cell r="AG471">
            <v>0.74198318884719661</v>
          </cell>
          <cell r="AI471">
            <v>742054.49495352397</v>
          </cell>
          <cell r="AJ471">
            <v>0.78826176008102111</v>
          </cell>
          <cell r="AL471">
            <v>777077.67105452227</v>
          </cell>
          <cell r="AM471">
            <v>1.1228072856624074</v>
          </cell>
          <cell r="AO471">
            <v>594757.20636788674</v>
          </cell>
        </row>
        <row r="472">
          <cell r="A472" t="str">
            <v>Revenus autres</v>
          </cell>
          <cell r="B472" t="str">
            <v>Revenus autres</v>
          </cell>
          <cell r="E472">
            <v>88391.43</v>
          </cell>
          <cell r="H472">
            <v>0</v>
          </cell>
          <cell r="K472">
            <v>0</v>
          </cell>
          <cell r="N472">
            <v>22097.857499999998</v>
          </cell>
          <cell r="Q472">
            <v>0</v>
          </cell>
          <cell r="T472">
            <v>0</v>
          </cell>
          <cell r="W472">
            <v>22097.857499999998</v>
          </cell>
          <cell r="Z472">
            <v>0</v>
          </cell>
          <cell r="AC472">
            <v>0</v>
          </cell>
          <cell r="AF472">
            <v>22097.857499999998</v>
          </cell>
          <cell r="AI472">
            <v>0</v>
          </cell>
          <cell r="AL472">
            <v>0</v>
          </cell>
          <cell r="AO472">
            <v>22097.857499999998</v>
          </cell>
        </row>
        <row r="473">
          <cell r="A473" t="str">
            <v>Holdbacks</v>
          </cell>
          <cell r="B473" t="str">
            <v>Holdbacks</v>
          </cell>
          <cell r="E473">
            <v>911504.31324615923</v>
          </cell>
          <cell r="H473">
            <v>43066.288712401452</v>
          </cell>
          <cell r="K473">
            <v>43066.288712401452</v>
          </cell>
          <cell r="N473">
            <v>63098.425611850726</v>
          </cell>
          <cell r="Q473">
            <v>93286.91203174906</v>
          </cell>
          <cell r="T473">
            <v>107806.00285172804</v>
          </cell>
          <cell r="W473">
            <v>82906.112798140894</v>
          </cell>
          <cell r="Z473">
            <v>73114.494061575373</v>
          </cell>
          <cell r="AC473">
            <v>83411.12465274884</v>
          </cell>
          <cell r="AF473">
            <v>73226.718918154904</v>
          </cell>
          <cell r="AI473">
            <v>112505.4187209966</v>
          </cell>
          <cell r="AL473">
            <v>92950.237462010438</v>
          </cell>
          <cell r="AO473">
            <v>43066.288712401452</v>
          </cell>
        </row>
        <row r="474">
          <cell r="A474" t="str">
            <v>RIMS</v>
          </cell>
          <cell r="B474" t="str">
            <v>RIMS</v>
          </cell>
          <cell r="E474">
            <v>80000</v>
          </cell>
          <cell r="H474">
            <v>0</v>
          </cell>
          <cell r="K474">
            <v>0</v>
          </cell>
          <cell r="N474">
            <v>20000</v>
          </cell>
          <cell r="Q474">
            <v>0</v>
          </cell>
          <cell r="T474">
            <v>0</v>
          </cell>
          <cell r="W474">
            <v>20000</v>
          </cell>
          <cell r="Z474">
            <v>0</v>
          </cell>
          <cell r="AC474">
            <v>0</v>
          </cell>
          <cell r="AF474">
            <v>20000</v>
          </cell>
          <cell r="AI474">
            <v>0</v>
          </cell>
          <cell r="AL474">
            <v>0</v>
          </cell>
          <cell r="AO474">
            <v>20000</v>
          </cell>
        </row>
        <row r="475">
          <cell r="A475" t="str">
            <v>Subsidies</v>
          </cell>
          <cell r="B475" t="str">
            <v>Subsidies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neuf 3</v>
          </cell>
          <cell r="B476" t="str">
            <v>Programme neuf 3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Garantie Nationale</v>
          </cell>
          <cell r="B477" t="str">
            <v>Garantie Nationale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2</v>
          </cell>
          <cell r="B478" t="str">
            <v>Programme used 2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Programme used 3</v>
          </cell>
          <cell r="B479" t="str">
            <v>Programme used 3</v>
          </cell>
          <cell r="E479">
            <v>0</v>
          </cell>
          <cell r="H479">
            <v>0</v>
          </cell>
          <cell r="K479">
            <v>0</v>
          </cell>
          <cell r="N479">
            <v>0</v>
          </cell>
          <cell r="Q479">
            <v>0</v>
          </cell>
          <cell r="T479">
            <v>0</v>
          </cell>
          <cell r="W479">
            <v>0</v>
          </cell>
          <cell r="Z479">
            <v>0</v>
          </cell>
          <cell r="AC479">
            <v>0</v>
          </cell>
          <cell r="AF479">
            <v>0</v>
          </cell>
          <cell r="AI479">
            <v>0</v>
          </cell>
          <cell r="AL479">
            <v>0</v>
          </cell>
          <cell r="AO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  <cell r="H480">
            <v>0</v>
          </cell>
          <cell r="K480">
            <v>0</v>
          </cell>
          <cell r="N480">
            <v>0</v>
          </cell>
          <cell r="Q480">
            <v>0</v>
          </cell>
          <cell r="T480">
            <v>0</v>
          </cell>
          <cell r="W480">
            <v>0</v>
          </cell>
          <cell r="Z480">
            <v>0</v>
          </cell>
          <cell r="AC480">
            <v>0</v>
          </cell>
          <cell r="AF480">
            <v>0</v>
          </cell>
          <cell r="AI480">
            <v>0</v>
          </cell>
          <cell r="AL480">
            <v>0</v>
          </cell>
          <cell r="AO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  <cell r="H481">
            <v>0</v>
          </cell>
          <cell r="K481">
            <v>0</v>
          </cell>
          <cell r="N481">
            <v>0</v>
          </cell>
          <cell r="Q481">
            <v>0</v>
          </cell>
          <cell r="T481">
            <v>0</v>
          </cell>
          <cell r="W481">
            <v>0</v>
          </cell>
          <cell r="Z481">
            <v>0</v>
          </cell>
          <cell r="AC481">
            <v>0</v>
          </cell>
          <cell r="AF481">
            <v>0</v>
          </cell>
          <cell r="AI481">
            <v>0</v>
          </cell>
          <cell r="AL481">
            <v>0</v>
          </cell>
          <cell r="AO481">
            <v>0</v>
          </cell>
        </row>
        <row r="482">
          <cell r="A482" t="str">
            <v>[...]</v>
          </cell>
          <cell r="B482" t="str">
            <v>[...]</v>
          </cell>
          <cell r="E482">
            <v>0</v>
          </cell>
          <cell r="H482">
            <v>0</v>
          </cell>
          <cell r="K482">
            <v>0</v>
          </cell>
          <cell r="N482">
            <v>0</v>
          </cell>
          <cell r="Q482">
            <v>0</v>
          </cell>
          <cell r="T482">
            <v>0</v>
          </cell>
          <cell r="W482">
            <v>0</v>
          </cell>
          <cell r="Z482">
            <v>0</v>
          </cell>
          <cell r="AC482">
            <v>0</v>
          </cell>
          <cell r="AF482">
            <v>0</v>
          </cell>
          <cell r="AI482">
            <v>0</v>
          </cell>
          <cell r="AL482">
            <v>0</v>
          </cell>
          <cell r="AO482">
            <v>0</v>
          </cell>
        </row>
        <row r="483">
          <cell r="A483" t="str">
            <v>Frais administration</v>
          </cell>
          <cell r="B483" t="str">
            <v>Frais administration</v>
          </cell>
          <cell r="E483">
            <v>516691.982625</v>
          </cell>
          <cell r="H483">
            <v>27381.128000000001</v>
          </cell>
          <cell r="K483">
            <v>27763.923374999998</v>
          </cell>
          <cell r="N483">
            <v>40110.555625000001</v>
          </cell>
          <cell r="Q483">
            <v>51787.592249999994</v>
          </cell>
          <cell r="T483">
            <v>56736.674249999989</v>
          </cell>
          <cell r="W483">
            <v>46901.321874999994</v>
          </cell>
          <cell r="Z483">
            <v>42536.506500000003</v>
          </cell>
          <cell r="AC483">
            <v>46930.95</v>
          </cell>
          <cell r="AF483">
            <v>43481.051124999998</v>
          </cell>
          <cell r="AI483">
            <v>55679.542749999993</v>
          </cell>
          <cell r="AL483">
            <v>49034.546875</v>
          </cell>
          <cell r="AO483">
            <v>28348.190000000002</v>
          </cell>
        </row>
        <row r="484">
          <cell r="A484" t="str">
            <v>TOTAL AUTRES REVENUS</v>
          </cell>
          <cell r="B484" t="str">
            <v>TOTAL AUTRES REVENUS</v>
          </cell>
          <cell r="C484">
            <v>0.17555754340976745</v>
          </cell>
          <cell r="E484">
            <v>1596587.7258711592</v>
          </cell>
          <cell r="F484">
            <v>0.14242277414192409</v>
          </cell>
          <cell r="H484">
            <v>70447.416712401449</v>
          </cell>
          <cell r="I484">
            <v>0.14692311229608243</v>
          </cell>
          <cell r="K484">
            <v>70830.212087401451</v>
          </cell>
          <cell r="L484">
            <v>0.21300677723641848</v>
          </cell>
          <cell r="N484">
            <v>145306.83873685074</v>
          </cell>
          <cell r="O484">
            <v>0.15181166240401553</v>
          </cell>
          <cell r="Q484">
            <v>145074.50428174905</v>
          </cell>
          <cell r="R484">
            <v>0.15818402701041745</v>
          </cell>
          <cell r="T484">
            <v>164542.67710172804</v>
          </cell>
          <cell r="U484">
            <v>0.22281282705991809</v>
          </cell>
          <cell r="W484">
            <v>171905.29217314089</v>
          </cell>
          <cell r="X484">
            <v>0.158637319825984</v>
          </cell>
          <cell r="Z484">
            <v>115651.00056157538</v>
          </cell>
          <cell r="AA484">
            <v>0.17460857685840281</v>
          </cell>
          <cell r="AC484">
            <v>130342.07465274884</v>
          </cell>
          <cell r="AD484">
            <v>0.23456475223794268</v>
          </cell>
          <cell r="AF484">
            <v>158805.6275431549</v>
          </cell>
          <cell r="AG484">
            <v>0.16816880010437615</v>
          </cell>
          <cell r="AI484">
            <v>168184.96147099661</v>
          </cell>
          <cell r="AJ484">
            <v>0.14402830009815493</v>
          </cell>
          <cell r="AL484">
            <v>141984.78433701044</v>
          </cell>
          <cell r="AM484">
            <v>0.21429328934101122</v>
          </cell>
          <cell r="AO484">
            <v>113512.33621240145</v>
          </cell>
        </row>
        <row r="485">
          <cell r="A485">
            <v>0</v>
          </cell>
          <cell r="E485">
            <v>226956.17387956666</v>
          </cell>
          <cell r="H485">
            <v>18913.014489963891</v>
          </cell>
          <cell r="K485">
            <v>18913.014489963891</v>
          </cell>
          <cell r="N485">
            <v>18913.014489963891</v>
          </cell>
          <cell r="Q485">
            <v>18913.014489963891</v>
          </cell>
          <cell r="T485">
            <v>18913.014489963891</v>
          </cell>
          <cell r="W485">
            <v>18913.014489963891</v>
          </cell>
          <cell r="Z485">
            <v>18913.014489963891</v>
          </cell>
          <cell r="AC485">
            <v>18913.014489963891</v>
          </cell>
          <cell r="AF485">
            <v>18913.014489963891</v>
          </cell>
          <cell r="AI485">
            <v>18913.014489963891</v>
          </cell>
          <cell r="AL485">
            <v>18913.014489963891</v>
          </cell>
          <cell r="AO485">
            <v>18913.014489963891</v>
          </cell>
        </row>
        <row r="486">
          <cell r="A486" t="str">
            <v>BAIIA OPÉRATIONNEL</v>
          </cell>
          <cell r="B486" t="str">
            <v>BAIIA OPÉRATIONNEL</v>
          </cell>
          <cell r="C486" t="str">
            <v>%vte</v>
          </cell>
          <cell r="D486">
            <v>3.7839878939818813E-2</v>
          </cell>
          <cell r="E486">
            <v>2431122.6559872241</v>
          </cell>
          <cell r="F486" t="str">
            <v>%vte</v>
          </cell>
          <cell r="G486">
            <v>-7.7517324450352004E-3</v>
          </cell>
          <cell r="H486">
            <v>-27229.953753720547</v>
          </cell>
          <cell r="I486" t="str">
            <v>%vte</v>
          </cell>
          <cell r="J486">
            <v>-1.1628299094678841E-2</v>
          </cell>
          <cell r="K486">
            <v>-40447.690727971873</v>
          </cell>
          <cell r="L486" t="str">
            <v>%vte</v>
          </cell>
          <cell r="M486">
            <v>2.4386100364430209E-2</v>
          </cell>
          <cell r="N486">
            <v>121375.81493275493</v>
          </cell>
          <cell r="O486" t="str">
            <v>%vte</v>
          </cell>
          <cell r="P486">
            <v>5.6535903320137151E-2</v>
          </cell>
          <cell r="Q486">
            <v>366129.58811093809</v>
          </cell>
          <cell r="R486" t="str">
            <v>%vte</v>
          </cell>
          <cell r="S486">
            <v>5.7402282311642572E-2</v>
          </cell>
          <cell r="T486">
            <v>404991.24880592769</v>
          </cell>
          <cell r="U486" t="str">
            <v>%vte</v>
          </cell>
          <cell r="V486">
            <v>4.626714380992282E-2</v>
          </cell>
          <cell r="W486">
            <v>265244.73064200266</v>
          </cell>
          <cell r="X486" t="str">
            <v>%vte</v>
          </cell>
          <cell r="Y486">
            <v>3.3710203268551064E-2</v>
          </cell>
          <cell r="Z486">
            <v>177426.05200243377</v>
          </cell>
          <cell r="AA486" t="str">
            <v>%vte</v>
          </cell>
          <cell r="AB486">
            <v>2.8560334279228036E-2</v>
          </cell>
          <cell r="AC486">
            <v>161386.86833403533</v>
          </cell>
          <cell r="AD486" t="str">
            <v>%vte</v>
          </cell>
          <cell r="AE486">
            <v>3.3949198082982739E-2</v>
          </cell>
          <cell r="AF486">
            <v>176839.9687850599</v>
          </cell>
          <cell r="AG486" t="str">
            <v>%vte</v>
          </cell>
          <cell r="AH486">
            <v>6.1482228605501461E-2</v>
          </cell>
          <cell r="AI486">
            <v>426226.56856856914</v>
          </cell>
          <cell r="AJ486" t="str">
            <v>%vte</v>
          </cell>
          <cell r="AK486">
            <v>5.5414191716182302E-2</v>
          </cell>
          <cell r="AL486">
            <v>350718.820011292</v>
          </cell>
          <cell r="AM486" t="str">
            <v>%vte</v>
          </cell>
          <cell r="AN486">
            <v>1.3348407892527062E-2</v>
          </cell>
          <cell r="AO486">
            <v>48460.640275902639</v>
          </cell>
        </row>
        <row r="488">
          <cell r="B488" t="str">
            <v>Budget 2024</v>
          </cell>
          <cell r="C488" t="str">
            <v>CALCUL DU PROFIT NET</v>
          </cell>
        </row>
        <row r="492">
          <cell r="B492" t="str">
            <v>BAIIA OPÉRATIONNEL</v>
          </cell>
          <cell r="C492" t="str">
            <v>%vte</v>
          </cell>
          <cell r="D492">
            <v>3.7839878939818813E-2</v>
          </cell>
          <cell r="E492">
            <v>2431122.6559872241</v>
          </cell>
          <cell r="F492" t="str">
            <v>%vte</v>
          </cell>
          <cell r="G492">
            <v>-7.7517324450352004E-3</v>
          </cell>
          <cell r="H492">
            <v>-27229.953753720547</v>
          </cell>
          <cell r="I492" t="str">
            <v>%vte</v>
          </cell>
          <cell r="J492">
            <v>-1.1628299094678841E-2</v>
          </cell>
          <cell r="K492">
            <v>-40447.690727971873</v>
          </cell>
          <cell r="L492" t="str">
            <v>%vte</v>
          </cell>
          <cell r="M492">
            <v>2.4386100364430209E-2</v>
          </cell>
          <cell r="N492">
            <v>121375.81493275493</v>
          </cell>
          <cell r="O492" t="str">
            <v>%vte</v>
          </cell>
          <cell r="P492">
            <v>5.6535903320137151E-2</v>
          </cell>
          <cell r="Q492">
            <v>366129.58811093809</v>
          </cell>
          <cell r="R492" t="str">
            <v>%vte</v>
          </cell>
          <cell r="S492">
            <v>5.7402282311642572E-2</v>
          </cell>
          <cell r="T492">
            <v>404991.24880592769</v>
          </cell>
          <cell r="U492" t="str">
            <v>%vte</v>
          </cell>
          <cell r="V492">
            <v>4.626714380992282E-2</v>
          </cell>
          <cell r="W492">
            <v>265244.73064200266</v>
          </cell>
          <cell r="X492" t="str">
            <v>%vte</v>
          </cell>
          <cell r="Y492">
            <v>3.3710203268551064E-2</v>
          </cell>
          <cell r="Z492">
            <v>177426.05200243377</v>
          </cell>
          <cell r="AA492" t="str">
            <v>%vte</v>
          </cell>
          <cell r="AB492">
            <v>2.8560334279228036E-2</v>
          </cell>
          <cell r="AC492">
            <v>161386.86833403533</v>
          </cell>
          <cell r="AD492" t="str">
            <v>%vte</v>
          </cell>
          <cell r="AE492">
            <v>3.3949198082982739E-2</v>
          </cell>
          <cell r="AF492">
            <v>176839.9687850599</v>
          </cell>
          <cell r="AG492" t="str">
            <v>%vte</v>
          </cell>
          <cell r="AH492">
            <v>6.1482228605501461E-2</v>
          </cell>
          <cell r="AI492">
            <v>426226.56856856914</v>
          </cell>
          <cell r="AJ492" t="str">
            <v>%vte</v>
          </cell>
          <cell r="AK492">
            <v>5.5414191716182302E-2</v>
          </cell>
          <cell r="AL492">
            <v>350718.820011292</v>
          </cell>
          <cell r="AM492" t="str">
            <v>%vte</v>
          </cell>
          <cell r="AN492">
            <v>1.3348407892527062E-2</v>
          </cell>
          <cell r="AO492">
            <v>48460.640275902639</v>
          </cell>
        </row>
        <row r="494">
          <cell r="A494" t="str">
            <v>Amortissement</v>
          </cell>
          <cell r="B494" t="str">
            <v>Amortissement</v>
          </cell>
          <cell r="E494">
            <v>245779.99999999994</v>
          </cell>
          <cell r="H494">
            <v>6315</v>
          </cell>
          <cell r="K494">
            <v>6315</v>
          </cell>
          <cell r="N494">
            <v>6315</v>
          </cell>
          <cell r="Q494">
            <v>6315</v>
          </cell>
          <cell r="T494">
            <v>6315</v>
          </cell>
          <cell r="W494">
            <v>6315</v>
          </cell>
          <cell r="Z494">
            <v>34648.333333333328</v>
          </cell>
          <cell r="AC494">
            <v>34648.333333333328</v>
          </cell>
          <cell r="AF494">
            <v>34648.333333333328</v>
          </cell>
          <cell r="AI494">
            <v>34648.333333333328</v>
          </cell>
          <cell r="AL494">
            <v>34648.333333333328</v>
          </cell>
          <cell r="AO494">
            <v>34648.333333333328</v>
          </cell>
        </row>
        <row r="495">
          <cell r="A495" t="str">
            <v>Intérêts sur marge</v>
          </cell>
          <cell r="B495" t="str">
            <v>Intérêts sur marge</v>
          </cell>
          <cell r="E495">
            <v>0</v>
          </cell>
          <cell r="H495">
            <v>0</v>
          </cell>
          <cell r="K495">
            <v>0</v>
          </cell>
          <cell r="N495">
            <v>0</v>
          </cell>
          <cell r="Q495">
            <v>0</v>
          </cell>
          <cell r="T495">
            <v>0</v>
          </cell>
          <cell r="W495">
            <v>0</v>
          </cell>
          <cell r="Z495">
            <v>0</v>
          </cell>
          <cell r="AC495">
            <v>0</v>
          </cell>
          <cell r="AF495">
            <v>0</v>
          </cell>
          <cell r="AI495">
            <v>0</v>
          </cell>
          <cell r="AL495">
            <v>0</v>
          </cell>
          <cell r="AO495">
            <v>0</v>
          </cell>
        </row>
        <row r="496">
          <cell r="A496" t="str">
            <v>Intérêts sur prêt</v>
          </cell>
          <cell r="B496" t="str">
            <v>Intérêts sur prêt</v>
          </cell>
          <cell r="E496">
            <v>0</v>
          </cell>
          <cell r="H496">
            <v>0</v>
          </cell>
          <cell r="K496">
            <v>0</v>
          </cell>
          <cell r="N496">
            <v>0</v>
          </cell>
          <cell r="Q496">
            <v>0</v>
          </cell>
          <cell r="T496">
            <v>0</v>
          </cell>
          <cell r="W496">
            <v>0</v>
          </cell>
          <cell r="Z496">
            <v>0</v>
          </cell>
          <cell r="AC496">
            <v>0</v>
          </cell>
          <cell r="AF496">
            <v>0</v>
          </cell>
          <cell r="AI496">
            <v>0</v>
          </cell>
          <cell r="AL496">
            <v>0</v>
          </cell>
          <cell r="AO496">
            <v>0</v>
          </cell>
        </row>
        <row r="497">
          <cell r="A497" t="str">
            <v>Intérêts sur avance</v>
          </cell>
          <cell r="B497" t="str">
            <v>Intérêts sur avance</v>
          </cell>
          <cell r="E497">
            <v>0</v>
          </cell>
          <cell r="H497">
            <v>0</v>
          </cell>
          <cell r="K497">
            <v>0</v>
          </cell>
          <cell r="N497">
            <v>0</v>
          </cell>
          <cell r="Q497">
            <v>0</v>
          </cell>
          <cell r="T497">
            <v>0</v>
          </cell>
          <cell r="W497">
            <v>0</v>
          </cell>
          <cell r="Z497">
            <v>0</v>
          </cell>
          <cell r="AC497">
            <v>0</v>
          </cell>
          <cell r="AF497">
            <v>0</v>
          </cell>
          <cell r="AI497">
            <v>0</v>
          </cell>
          <cell r="AL497">
            <v>0</v>
          </cell>
          <cell r="AO497">
            <v>0</v>
          </cell>
        </row>
        <row r="498">
          <cell r="A498" t="str">
            <v>[...]</v>
          </cell>
          <cell r="B498" t="str">
            <v>[...]</v>
          </cell>
          <cell r="E498">
            <v>0</v>
          </cell>
          <cell r="H498">
            <v>0</v>
          </cell>
          <cell r="K498">
            <v>0</v>
          </cell>
          <cell r="N498">
            <v>0</v>
          </cell>
          <cell r="Q498">
            <v>0</v>
          </cell>
          <cell r="T498">
            <v>0</v>
          </cell>
          <cell r="W498">
            <v>0</v>
          </cell>
          <cell r="Z498">
            <v>0</v>
          </cell>
          <cell r="AC498">
            <v>0</v>
          </cell>
          <cell r="AF498">
            <v>0</v>
          </cell>
          <cell r="AI498">
            <v>0</v>
          </cell>
          <cell r="AL498">
            <v>0</v>
          </cell>
          <cell r="AO498">
            <v>0</v>
          </cell>
        </row>
        <row r="499">
          <cell r="A499" t="str">
            <v>Revenus d'intérêts floor plan</v>
          </cell>
          <cell r="B499" t="str">
            <v>Revenus d'intérêts floor plan</v>
          </cell>
          <cell r="E499">
            <v>-55999.999999999993</v>
          </cell>
          <cell r="H499">
            <v>-4666.666666666667</v>
          </cell>
          <cell r="K499">
            <v>-4666.666666666667</v>
          </cell>
          <cell r="N499">
            <v>-4666.666666666667</v>
          </cell>
          <cell r="Q499">
            <v>-4666.666666666667</v>
          </cell>
          <cell r="T499">
            <v>-4666.666666666667</v>
          </cell>
          <cell r="W499">
            <v>-4666.666666666667</v>
          </cell>
          <cell r="Z499">
            <v>-4666.666666666667</v>
          </cell>
          <cell r="AC499">
            <v>-4666.666666666667</v>
          </cell>
          <cell r="AF499">
            <v>-4666.666666666667</v>
          </cell>
          <cell r="AI499">
            <v>-4666.666666666667</v>
          </cell>
          <cell r="AL499">
            <v>-4666.666666666667</v>
          </cell>
          <cell r="AO499">
            <v>-4666.666666666667</v>
          </cell>
        </row>
        <row r="500">
          <cell r="A500" t="str">
            <v>[...]</v>
          </cell>
          <cell r="B500" t="str">
            <v>[...]</v>
          </cell>
        </row>
        <row r="501">
          <cell r="B501" t="str">
            <v>Profit Net</v>
          </cell>
          <cell r="C501" t="str">
            <v>%vte</v>
          </cell>
          <cell r="D501">
            <v>3.4885995799651758E-2</v>
          </cell>
          <cell r="E501">
            <v>2241342.6559872241</v>
          </cell>
          <cell r="F501" t="str">
            <v>%vte</v>
          </cell>
          <cell r="G501">
            <v>-8.2209744825280911E-3</v>
          </cell>
          <cell r="H501">
            <v>-28878.287087053879</v>
          </cell>
          <cell r="I501" t="str">
            <v>%vte</v>
          </cell>
          <cell r="J501">
            <v>-1.2102178138519375E-2</v>
          </cell>
          <cell r="K501">
            <v>-42096.024061305208</v>
          </cell>
          <cell r="L501" t="str">
            <v>%vte</v>
          </cell>
          <cell r="M501">
            <v>2.4054927122685369E-2</v>
          </cell>
          <cell r="N501">
            <v>119727.4815994216</v>
          </cell>
          <cell r="O501" t="str">
            <v>%vte</v>
          </cell>
          <cell r="P501">
            <v>5.6281375915090456E-2</v>
          </cell>
          <cell r="Q501">
            <v>364481.25477760477</v>
          </cell>
          <cell r="R501" t="str">
            <v>%vte</v>
          </cell>
          <cell r="S501">
            <v>5.7168652336618025E-2</v>
          </cell>
          <cell r="T501">
            <v>403342.91547259438</v>
          </cell>
          <cell r="U501" t="str">
            <v>%vte</v>
          </cell>
          <cell r="V501">
            <v>4.5979621885564766E-2</v>
          </cell>
          <cell r="W501">
            <v>263596.39730866934</v>
          </cell>
          <cell r="X501" t="str">
            <v>%vte</v>
          </cell>
          <cell r="Y501">
            <v>2.8013812765258956E-2</v>
          </cell>
          <cell r="Z501">
            <v>147444.38533576709</v>
          </cell>
          <cell r="AA501" t="str">
            <v>%vte</v>
          </cell>
          <cell r="AB501">
            <v>2.3254534426441605E-2</v>
          </cell>
          <cell r="AC501">
            <v>131405.20166736867</v>
          </cell>
          <cell r="AD501" t="str">
            <v>%vte</v>
          </cell>
          <cell r="AE501">
            <v>2.8193409120127976E-2</v>
          </cell>
          <cell r="AF501">
            <v>146858.30211839321</v>
          </cell>
          <cell r="AG501" t="str">
            <v>%vte</v>
          </cell>
          <cell r="AH501">
            <v>5.7157440288891879E-2</v>
          </cell>
          <cell r="AI501">
            <v>396244.90190190251</v>
          </cell>
          <cell r="AJ501" t="str">
            <v>%vte</v>
          </cell>
          <cell r="AK501">
            <v>5.0677035539094785E-2</v>
          </cell>
          <cell r="AL501">
            <v>320737.15334462537</v>
          </cell>
          <cell r="AM501" t="str">
            <v>%vte</v>
          </cell>
          <cell r="AN501">
            <v>5.0900045019417646E-3</v>
          </cell>
          <cell r="AO501">
            <v>18478.973609235978</v>
          </cell>
        </row>
      </sheetData>
      <sheetData sheetId="3">
        <row r="2">
          <cell r="B2" t="str">
            <v>Mois</v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  <cell r="N2" t="str">
            <v/>
          </cell>
          <cell r="O2" t="str">
            <v/>
          </cell>
          <cell r="P2" t="str">
            <v/>
          </cell>
          <cell r="Q2" t="str">
            <v/>
          </cell>
          <cell r="R2" t="str">
            <v/>
          </cell>
          <cell r="S2" t="str">
            <v/>
          </cell>
          <cell r="T2" t="str">
            <v/>
          </cell>
          <cell r="U2" t="str">
            <v/>
          </cell>
          <cell r="V2" t="str">
            <v/>
          </cell>
          <cell r="W2" t="str">
            <v/>
          </cell>
          <cell r="X2" t="str">
            <v/>
          </cell>
          <cell r="Y2" t="str">
            <v/>
          </cell>
          <cell r="Z2" t="str">
            <v/>
          </cell>
          <cell r="AA2" t="str">
            <v/>
          </cell>
          <cell r="AB2" t="str">
            <v/>
          </cell>
          <cell r="AC2" t="str">
            <v/>
          </cell>
          <cell r="AD2" t="str">
            <v/>
          </cell>
          <cell r="AE2" t="str">
            <v/>
          </cell>
          <cell r="AF2" t="str">
            <v/>
          </cell>
          <cell r="AG2" t="str">
            <v/>
          </cell>
          <cell r="AH2" t="str">
            <v/>
          </cell>
          <cell r="AI2" t="str">
            <v/>
          </cell>
          <cell r="AJ2" t="str">
            <v>X</v>
          </cell>
          <cell r="AK2" t="str">
            <v>O</v>
          </cell>
          <cell r="AL2" t="str">
            <v>U</v>
          </cell>
          <cell r="AM2" t="str">
            <v/>
          </cell>
          <cell r="AN2" t="str">
            <v/>
          </cell>
          <cell r="AO2" t="str">
            <v/>
          </cell>
        </row>
        <row r="3">
          <cell r="B3" t="str">
            <v>YTD</v>
          </cell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>X</v>
          </cell>
          <cell r="P3" t="str">
            <v>O</v>
          </cell>
          <cell r="Q3" t="str">
            <v>U</v>
          </cell>
          <cell r="R3" t="str">
            <v>X</v>
          </cell>
          <cell r="S3" t="str">
            <v>O</v>
          </cell>
          <cell r="T3" t="str">
            <v>U</v>
          </cell>
          <cell r="U3" t="str">
            <v>X</v>
          </cell>
          <cell r="V3" t="str">
            <v>O</v>
          </cell>
          <cell r="W3" t="str">
            <v>U</v>
          </cell>
          <cell r="X3" t="str">
            <v>X</v>
          </cell>
          <cell r="Y3" t="str">
            <v>O</v>
          </cell>
          <cell r="Z3" t="str">
            <v>U</v>
          </cell>
          <cell r="AA3" t="str">
            <v>X</v>
          </cell>
          <cell r="AB3" t="str">
            <v>O</v>
          </cell>
          <cell r="AC3" t="str">
            <v>U</v>
          </cell>
          <cell r="AD3" t="str">
            <v>X</v>
          </cell>
          <cell r="AE3" t="str">
            <v>O</v>
          </cell>
          <cell r="AF3" t="str">
            <v>U</v>
          </cell>
          <cell r="AG3" t="str">
            <v>X</v>
          </cell>
          <cell r="AH3" t="str">
            <v>O</v>
          </cell>
          <cell r="AI3" t="str">
            <v>U</v>
          </cell>
          <cell r="AJ3" t="str">
            <v>X</v>
          </cell>
          <cell r="AK3" t="str">
            <v>O</v>
          </cell>
          <cell r="AL3" t="str">
            <v>U</v>
          </cell>
          <cell r="AM3" t="str">
            <v/>
          </cell>
          <cell r="AN3" t="str">
            <v/>
          </cell>
          <cell r="AO3" t="str">
            <v/>
          </cell>
        </row>
        <row r="4">
          <cell r="B4" t="str">
            <v>Réel 2023</v>
          </cell>
          <cell r="C4" t="str">
            <v>Véhicules neufs</v>
          </cell>
        </row>
        <row r="6">
          <cell r="B6" t="str">
            <v>Mois</v>
          </cell>
          <cell r="C6">
            <v>2023</v>
          </cell>
          <cell r="F6" t="str">
            <v>Janvier</v>
          </cell>
          <cell r="I6" t="str">
            <v>Février</v>
          </cell>
          <cell r="L6" t="str">
            <v>Mars</v>
          </cell>
          <cell r="O6" t="str">
            <v>Avril</v>
          </cell>
          <cell r="R6" t="str">
            <v>Mai</v>
          </cell>
          <cell r="U6" t="str">
            <v>Juin</v>
          </cell>
          <cell r="X6" t="str">
            <v>Juillet</v>
          </cell>
          <cell r="AA6" t="str">
            <v>Août</v>
          </cell>
          <cell r="AD6" t="str">
            <v>Septembre</v>
          </cell>
          <cell r="AG6" t="str">
            <v>Octobre</v>
          </cell>
          <cell r="AJ6" t="str">
            <v>Novembre</v>
          </cell>
          <cell r="AM6" t="str">
            <v>Décembre</v>
          </cell>
        </row>
        <row r="7">
          <cell r="C7" t="str">
            <v>UNITE</v>
          </cell>
          <cell r="D7" t="str">
            <v>$P/UNITE</v>
          </cell>
          <cell r="E7" t="str">
            <v>$PROFITS</v>
          </cell>
          <cell r="F7" t="str">
            <v>UNITE</v>
          </cell>
          <cell r="G7" t="str">
            <v>$P/UNITE</v>
          </cell>
          <cell r="H7" t="str">
            <v>$PROFITS</v>
          </cell>
          <cell r="I7" t="str">
            <v>UNITE</v>
          </cell>
          <cell r="J7" t="str">
            <v>$P/UNITE</v>
          </cell>
          <cell r="K7" t="str">
            <v>$PROFITS</v>
          </cell>
          <cell r="L7" t="str">
            <v>UNITE</v>
          </cell>
          <cell r="M7" t="str">
            <v>$P/UNITE</v>
          </cell>
          <cell r="N7" t="str">
            <v>$PROFITS</v>
          </cell>
          <cell r="O7" t="str">
            <v>UNITE</v>
          </cell>
          <cell r="P7" t="str">
            <v>$P/UNITE</v>
          </cell>
          <cell r="Q7" t="str">
            <v>$PROFITS</v>
          </cell>
          <cell r="R7" t="str">
            <v>UNITE</v>
          </cell>
          <cell r="S7" t="str">
            <v>$P/UNITE</v>
          </cell>
          <cell r="T7" t="str">
            <v>$PROFITS</v>
          </cell>
          <cell r="U7" t="str">
            <v>UNITE</v>
          </cell>
          <cell r="V7" t="str">
            <v>$P/UNITE</v>
          </cell>
          <cell r="W7" t="str">
            <v>$PROFITS</v>
          </cell>
          <cell r="X7" t="str">
            <v>UNITE</v>
          </cell>
          <cell r="Y7" t="str">
            <v>$P/UNITE</v>
          </cell>
          <cell r="Z7" t="str">
            <v>$PROFITS</v>
          </cell>
          <cell r="AA7" t="str">
            <v>UNITE</v>
          </cell>
          <cell r="AB7" t="str">
            <v>$P/UNITE</v>
          </cell>
          <cell r="AC7" t="str">
            <v>$PROFITS</v>
          </cell>
          <cell r="AD7" t="str">
            <v>UNITE</v>
          </cell>
          <cell r="AE7" t="str">
            <v>$P/UNITE</v>
          </cell>
          <cell r="AF7" t="str">
            <v>$PROFITS</v>
          </cell>
          <cell r="AG7" t="str">
            <v>UNITE</v>
          </cell>
          <cell r="AH7" t="str">
            <v>$P/UNITE</v>
          </cell>
          <cell r="AI7" t="str">
            <v>$PROFITS</v>
          </cell>
          <cell r="AJ7" t="str">
            <v>UNITE</v>
          </cell>
          <cell r="AK7" t="str">
            <v>$P/UNITE</v>
          </cell>
          <cell r="AL7" t="str">
            <v>$PROFITS</v>
          </cell>
          <cell r="AM7" t="str">
            <v>UNITE</v>
          </cell>
          <cell r="AN7" t="str">
            <v>$P/UNITE</v>
          </cell>
          <cell r="AO7" t="str">
            <v>$PROFITS</v>
          </cell>
        </row>
        <row r="8">
          <cell r="A8" t="str">
            <v>Véhicules neufsVentes nettes</v>
          </cell>
          <cell r="B8" t="str">
            <v>Ventes nettes</v>
          </cell>
          <cell r="E8">
            <v>46883613.60999997</v>
          </cell>
          <cell r="H8">
            <v>2000310.4399999899</v>
          </cell>
          <cell r="K8">
            <v>1303139.55999999</v>
          </cell>
          <cell r="N8">
            <v>2316528.27999999</v>
          </cell>
          <cell r="Q8">
            <v>1765866.96</v>
          </cell>
          <cell r="T8">
            <v>2808157.66</v>
          </cell>
          <cell r="W8">
            <v>2851329.31</v>
          </cell>
          <cell r="Z8">
            <v>2122186.91</v>
          </cell>
          <cell r="AC8">
            <v>2567524.5099999998</v>
          </cell>
          <cell r="AF8">
            <v>2612584.64</v>
          </cell>
          <cell r="AI8">
            <v>8285274.8799999999</v>
          </cell>
          <cell r="AL8">
            <v>10151414.289999999</v>
          </cell>
          <cell r="AO8">
            <v>8099296.1699999999</v>
          </cell>
        </row>
        <row r="9">
          <cell r="A9" t="str">
            <v>Véhicules neufsAutos détail</v>
          </cell>
          <cell r="B9" t="str">
            <v>Autos détail</v>
          </cell>
          <cell r="C9">
            <v>160</v>
          </cell>
          <cell r="D9">
            <v>2077.4208749999957</v>
          </cell>
          <cell r="E9">
            <v>332387.33999999933</v>
          </cell>
          <cell r="F9">
            <v>14</v>
          </cell>
          <cell r="G9">
            <v>1585.0142857142785</v>
          </cell>
          <cell r="H9">
            <v>22190.199999999899</v>
          </cell>
          <cell r="I9">
            <v>3</v>
          </cell>
          <cell r="J9">
            <v>908.03333333333001</v>
          </cell>
          <cell r="K9">
            <v>2724.0999999999899</v>
          </cell>
          <cell r="L9">
            <v>9</v>
          </cell>
          <cell r="M9">
            <v>2223.0811111111002</v>
          </cell>
          <cell r="N9">
            <v>20007.729999999901</v>
          </cell>
          <cell r="O9">
            <v>12</v>
          </cell>
          <cell r="P9">
            <v>2975.6024999999918</v>
          </cell>
          <cell r="Q9">
            <v>35707.229999999901</v>
          </cell>
          <cell r="R9">
            <v>12</v>
          </cell>
          <cell r="S9">
            <v>2048.0299999999916</v>
          </cell>
          <cell r="T9">
            <v>24576.359999999899</v>
          </cell>
          <cell r="U9">
            <v>16</v>
          </cell>
          <cell r="V9">
            <v>2103.44875</v>
          </cell>
          <cell r="W9">
            <v>33655.18</v>
          </cell>
          <cell r="X9">
            <v>12</v>
          </cell>
          <cell r="Y9">
            <v>1882.1941666666669</v>
          </cell>
          <cell r="Z9">
            <v>22586.33</v>
          </cell>
          <cell r="AA9">
            <v>21</v>
          </cell>
          <cell r="AB9">
            <v>2336.3823809523715</v>
          </cell>
          <cell r="AC9">
            <v>49064.029999999802</v>
          </cell>
          <cell r="AD9">
            <v>17</v>
          </cell>
          <cell r="AE9">
            <v>1804.1035294117589</v>
          </cell>
          <cell r="AF9">
            <v>30669.7599999999</v>
          </cell>
          <cell r="AG9">
            <v>14</v>
          </cell>
          <cell r="AH9">
            <v>2125.1657142857143</v>
          </cell>
          <cell r="AI9">
            <v>29752.32</v>
          </cell>
          <cell r="AJ9">
            <v>18</v>
          </cell>
          <cell r="AK9">
            <v>2139.7994444444444</v>
          </cell>
          <cell r="AL9">
            <v>38516.39</v>
          </cell>
          <cell r="AM9">
            <v>12</v>
          </cell>
          <cell r="AN9">
            <v>1911.4758333333332</v>
          </cell>
          <cell r="AO9">
            <v>22937.71</v>
          </cell>
        </row>
        <row r="10">
          <cell r="A10" t="str">
            <v>Véhicules neufsCamions détail</v>
          </cell>
          <cell r="B10" t="str">
            <v>Camions détail</v>
          </cell>
          <cell r="C10">
            <v>402</v>
          </cell>
          <cell r="D10">
            <v>2485.1099751243746</v>
          </cell>
          <cell r="E10">
            <v>999014.20999999857</v>
          </cell>
          <cell r="F10">
            <v>28</v>
          </cell>
          <cell r="G10">
            <v>2112.1560714285747</v>
          </cell>
          <cell r="H10">
            <v>59140.370000000097</v>
          </cell>
          <cell r="I10">
            <v>19</v>
          </cell>
          <cell r="J10">
            <v>2501.8715789473681</v>
          </cell>
          <cell r="K10">
            <v>47535.56</v>
          </cell>
          <cell r="L10">
            <v>29</v>
          </cell>
          <cell r="M10">
            <v>2831.0634482758551</v>
          </cell>
          <cell r="N10">
            <v>82100.839999999793</v>
          </cell>
          <cell r="O10">
            <v>16</v>
          </cell>
          <cell r="P10">
            <v>2481.2724999999937</v>
          </cell>
          <cell r="Q10">
            <v>39700.359999999899</v>
          </cell>
          <cell r="R10">
            <v>34</v>
          </cell>
          <cell r="S10">
            <v>2504.176764705885</v>
          </cell>
          <cell r="T10">
            <v>85142.010000000097</v>
          </cell>
          <cell r="U10">
            <v>39</v>
          </cell>
          <cell r="V10">
            <v>2445.2556410256461</v>
          </cell>
          <cell r="W10">
            <v>95364.970000000205</v>
          </cell>
          <cell r="X10">
            <v>24</v>
          </cell>
          <cell r="Y10">
            <v>2577.0195833333291</v>
          </cell>
          <cell r="Z10">
            <v>61848.469999999899</v>
          </cell>
          <cell r="AA10">
            <v>22</v>
          </cell>
          <cell r="AB10">
            <v>2712.29</v>
          </cell>
          <cell r="AC10">
            <v>59670.38</v>
          </cell>
          <cell r="AD10">
            <v>36</v>
          </cell>
          <cell r="AE10">
            <v>2493.9233333333304</v>
          </cell>
          <cell r="AF10">
            <v>89781.239999999903</v>
          </cell>
          <cell r="AG10">
            <v>45</v>
          </cell>
          <cell r="AH10">
            <v>2647.1666666666442</v>
          </cell>
          <cell r="AI10">
            <v>119122.499999999</v>
          </cell>
          <cell r="AJ10">
            <v>71</v>
          </cell>
          <cell r="AK10">
            <v>2320.1190140845074</v>
          </cell>
          <cell r="AL10">
            <v>164728.45000000001</v>
          </cell>
          <cell r="AM10">
            <v>39</v>
          </cell>
          <cell r="AN10">
            <v>2432.7964102564051</v>
          </cell>
          <cell r="AO10">
            <v>94879.059999999794</v>
          </cell>
        </row>
        <row r="11">
          <cell r="A11" t="str">
            <v>Véhicules neufsSprinter</v>
          </cell>
          <cell r="B11" t="str">
            <v>Sprinter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 t="str">
            <v>Véhicules neufsMoto détail</v>
          </cell>
          <cell r="B12" t="str">
            <v>Moto détail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13" t="str">
            <v>Véhicules neufs[...]</v>
          </cell>
          <cell r="B13" t="str">
            <v>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B14" t="str">
            <v>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B15" t="str">
            <v>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B16" t="str">
            <v>Total Neufs</v>
          </cell>
          <cell r="C16">
            <v>562</v>
          </cell>
          <cell r="D16">
            <v>2369.0419039145872</v>
          </cell>
          <cell r="E16">
            <v>1331401.549999998</v>
          </cell>
          <cell r="F16">
            <v>42</v>
          </cell>
          <cell r="G16">
            <v>1936.4421428571427</v>
          </cell>
          <cell r="H16">
            <v>81330.569999999992</v>
          </cell>
          <cell r="I16">
            <v>22</v>
          </cell>
          <cell r="J16">
            <v>2284.5299999999993</v>
          </cell>
          <cell r="K16">
            <v>50259.659999999989</v>
          </cell>
          <cell r="L16">
            <v>38</v>
          </cell>
          <cell r="M16">
            <v>2687.0676315789392</v>
          </cell>
          <cell r="N16">
            <v>102108.56999999969</v>
          </cell>
          <cell r="O16">
            <v>28</v>
          </cell>
          <cell r="P16">
            <v>2693.1282142857067</v>
          </cell>
          <cell r="Q16">
            <v>75407.589999999793</v>
          </cell>
          <cell r="R16">
            <v>46</v>
          </cell>
          <cell r="S16">
            <v>2385.1819565217388</v>
          </cell>
          <cell r="T16">
            <v>109718.37</v>
          </cell>
          <cell r="U16">
            <v>55</v>
          </cell>
          <cell r="V16">
            <v>2345.8209090909127</v>
          </cell>
          <cell r="W16">
            <v>129020.1500000002</v>
          </cell>
          <cell r="X16">
            <v>36</v>
          </cell>
          <cell r="Y16">
            <v>2345.4111111111083</v>
          </cell>
          <cell r="Z16">
            <v>84434.799999999901</v>
          </cell>
          <cell r="AA16">
            <v>43</v>
          </cell>
          <cell r="AB16">
            <v>2528.7072093023207</v>
          </cell>
          <cell r="AC16">
            <v>108734.4099999998</v>
          </cell>
          <cell r="AD16">
            <v>53</v>
          </cell>
          <cell r="AE16">
            <v>2272.6603773584866</v>
          </cell>
          <cell r="AF16">
            <v>120450.9999999998</v>
          </cell>
          <cell r="AG16">
            <v>59</v>
          </cell>
          <cell r="AH16">
            <v>2523.3020338982878</v>
          </cell>
          <cell r="AI16">
            <v>148874.81999999899</v>
          </cell>
          <cell r="AJ16">
            <v>89</v>
          </cell>
          <cell r="AK16">
            <v>2283.6498876404498</v>
          </cell>
          <cell r="AL16">
            <v>203244.84000000003</v>
          </cell>
          <cell r="AM16">
            <v>51</v>
          </cell>
          <cell r="AN16">
            <v>2310.1327450980352</v>
          </cell>
          <cell r="AO16">
            <v>117816.76999999979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B18" t="str">
            <v>Ex-Démos et courtoisies</v>
          </cell>
          <cell r="C18">
            <v>42</v>
          </cell>
          <cell r="D18">
            <v>2481.1169047619005</v>
          </cell>
          <cell r="E18">
            <v>104206.90999999983</v>
          </cell>
          <cell r="F18">
            <v>3</v>
          </cell>
          <cell r="G18">
            <v>6274.7466666666669</v>
          </cell>
          <cell r="H18">
            <v>18824.240000000002</v>
          </cell>
          <cell r="I18">
            <v>2</v>
          </cell>
          <cell r="J18">
            <v>5044.2700000000004</v>
          </cell>
          <cell r="K18">
            <v>10088.540000000001</v>
          </cell>
          <cell r="L18">
            <v>8</v>
          </cell>
          <cell r="M18">
            <v>3142.5462499999876</v>
          </cell>
          <cell r="N18">
            <v>25140.369999999901</v>
          </cell>
          <cell r="O18">
            <v>6</v>
          </cell>
          <cell r="P18">
            <v>1717.8083333333334</v>
          </cell>
          <cell r="Q18">
            <v>10306.85</v>
          </cell>
          <cell r="R18">
            <v>7</v>
          </cell>
          <cell r="S18">
            <v>2567.5442857142712</v>
          </cell>
          <cell r="T18">
            <v>17972.809999999899</v>
          </cell>
          <cell r="U18">
            <v>2</v>
          </cell>
          <cell r="V18">
            <v>1486.73</v>
          </cell>
          <cell r="W18">
            <v>2973.46</v>
          </cell>
          <cell r="X18">
            <v>3</v>
          </cell>
          <cell r="Y18">
            <v>851.18</v>
          </cell>
          <cell r="Z18">
            <v>2553.54</v>
          </cell>
          <cell r="AA18">
            <v>8</v>
          </cell>
          <cell r="AB18">
            <v>1186.9175000000025</v>
          </cell>
          <cell r="AC18">
            <v>9495.3400000000202</v>
          </cell>
          <cell r="AD18">
            <v>1</v>
          </cell>
          <cell r="AE18">
            <v>975.83000000000095</v>
          </cell>
          <cell r="AF18">
            <v>975.83000000000095</v>
          </cell>
          <cell r="AG18">
            <v>0</v>
          </cell>
          <cell r="AH18">
            <v>0</v>
          </cell>
          <cell r="AI18">
            <v>3550</v>
          </cell>
          <cell r="AJ18">
            <v>1</v>
          </cell>
          <cell r="AK18">
            <v>1154.9399999999901</v>
          </cell>
          <cell r="AL18">
            <v>1154.9399999999901</v>
          </cell>
          <cell r="AM18">
            <v>1</v>
          </cell>
          <cell r="AN18">
            <v>1170.99</v>
          </cell>
          <cell r="AO18">
            <v>1170.99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B20" t="str">
            <v>Flottes</v>
          </cell>
          <cell r="C20">
            <v>26</v>
          </cell>
          <cell r="D20">
            <v>2968.8999999999965</v>
          </cell>
          <cell r="E20">
            <v>77191.399999999907</v>
          </cell>
          <cell r="F20">
            <v>1</v>
          </cell>
          <cell r="G20">
            <v>2144.83</v>
          </cell>
          <cell r="H20">
            <v>2144.83</v>
          </cell>
          <cell r="I20">
            <v>1</v>
          </cell>
          <cell r="J20">
            <v>2919.37</v>
          </cell>
          <cell r="K20">
            <v>2919.37</v>
          </cell>
          <cell r="L20">
            <v>0</v>
          </cell>
          <cell r="M20">
            <v>0</v>
          </cell>
          <cell r="N20">
            <v>0</v>
          </cell>
          <cell r="O20">
            <v>3</v>
          </cell>
          <cell r="P20">
            <v>3228.9066666666663</v>
          </cell>
          <cell r="Q20">
            <v>9686.7199999999993</v>
          </cell>
          <cell r="R20">
            <v>3</v>
          </cell>
          <cell r="S20">
            <v>1222.9133333333332</v>
          </cell>
          <cell r="T20">
            <v>3668.74</v>
          </cell>
          <cell r="U20">
            <v>2</v>
          </cell>
          <cell r="V20">
            <v>2962.9449999999952</v>
          </cell>
          <cell r="W20">
            <v>5925.8899999999903</v>
          </cell>
          <cell r="X20">
            <v>1</v>
          </cell>
          <cell r="Y20">
            <v>4279.05</v>
          </cell>
          <cell r="Z20">
            <v>4279.05</v>
          </cell>
          <cell r="AA20">
            <v>4</v>
          </cell>
          <cell r="AB20">
            <v>3473.772499999975</v>
          </cell>
          <cell r="AC20">
            <v>13895.0899999999</v>
          </cell>
          <cell r="AD20">
            <v>1</v>
          </cell>
          <cell r="AE20">
            <v>3198</v>
          </cell>
          <cell r="AF20">
            <v>3198</v>
          </cell>
          <cell r="AG20">
            <v>8</v>
          </cell>
          <cell r="AH20">
            <v>3193.38</v>
          </cell>
          <cell r="AI20">
            <v>25547.040000000001</v>
          </cell>
          <cell r="AJ20">
            <v>2</v>
          </cell>
          <cell r="AK20">
            <v>3324.41</v>
          </cell>
          <cell r="AL20">
            <v>6648.82</v>
          </cell>
          <cell r="AM20">
            <v>0</v>
          </cell>
          <cell r="AN20">
            <v>0</v>
          </cell>
          <cell r="AO20">
            <v>-722.15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B22" t="str">
            <v>Rachat bail</v>
          </cell>
          <cell r="E22">
            <v>99141.099999999802</v>
          </cell>
          <cell r="H22">
            <v>5000.3999999999896</v>
          </cell>
          <cell r="K22">
            <v>6807.1699999999801</v>
          </cell>
          <cell r="N22">
            <v>11489.369999999901</v>
          </cell>
          <cell r="Q22">
            <v>7229.2700000000104</v>
          </cell>
          <cell r="T22">
            <v>12671.609999999901</v>
          </cell>
          <cell r="W22">
            <v>12900.75</v>
          </cell>
          <cell r="Z22">
            <v>9971</v>
          </cell>
          <cell r="AC22">
            <v>7757.94</v>
          </cell>
          <cell r="AF22">
            <v>7932.0800000000099</v>
          </cell>
          <cell r="AI22">
            <v>8229.7100000000191</v>
          </cell>
          <cell r="AL22">
            <v>3732.16</v>
          </cell>
          <cell r="AO22">
            <v>5419.6399999999803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B24" t="str">
            <v>Rev. Finances</v>
          </cell>
          <cell r="D24">
            <v>138.28978476821189</v>
          </cell>
          <cell r="E24">
            <v>83527.029999999984</v>
          </cell>
          <cell r="G24">
            <v>214.11533333333335</v>
          </cell>
          <cell r="H24">
            <v>9635.19</v>
          </cell>
          <cell r="J24">
            <v>516.52875000000006</v>
          </cell>
          <cell r="K24">
            <v>12396.69</v>
          </cell>
          <cell r="M24">
            <v>256.81543478260869</v>
          </cell>
          <cell r="N24">
            <v>11813.51</v>
          </cell>
          <cell r="P24">
            <v>71.606764705882355</v>
          </cell>
          <cell r="Q24">
            <v>2434.63</v>
          </cell>
          <cell r="S24">
            <v>136.53245283018867</v>
          </cell>
          <cell r="T24">
            <v>7236.22</v>
          </cell>
          <cell r="V24">
            <v>89.401578947368421</v>
          </cell>
          <cell r="W24">
            <v>5095.8900000000003</v>
          </cell>
          <cell r="Y24">
            <v>247.88589743589742</v>
          </cell>
          <cell r="Z24">
            <v>9667.5499999999993</v>
          </cell>
          <cell r="AB24">
            <v>175.29411764705881</v>
          </cell>
          <cell r="AC24">
            <v>8940</v>
          </cell>
          <cell r="AE24">
            <v>92.308148148148149</v>
          </cell>
          <cell r="AF24">
            <v>4984.6400000000003</v>
          </cell>
          <cell r="AH24">
            <v>59.01033898305085</v>
          </cell>
          <cell r="AI24">
            <v>3481.61</v>
          </cell>
          <cell r="AK24">
            <v>48.026888888888891</v>
          </cell>
          <cell r="AL24">
            <v>4322.42</v>
          </cell>
          <cell r="AN24">
            <v>67.666923076923069</v>
          </cell>
          <cell r="AO24">
            <v>3518.68</v>
          </cell>
        </row>
        <row r="25">
          <cell r="A25" t="str">
            <v>Véhicules neufsRev. Protections</v>
          </cell>
          <cell r="B25" t="str">
            <v>Rev. Protections</v>
          </cell>
          <cell r="D25">
            <v>972.14963576158937</v>
          </cell>
          <cell r="E25">
            <v>587178.38</v>
          </cell>
          <cell r="G25">
            <v>653.30888888888887</v>
          </cell>
          <cell r="H25">
            <v>29398.9</v>
          </cell>
          <cell r="J25">
            <v>943.50874999999996</v>
          </cell>
          <cell r="K25">
            <v>22644.21</v>
          </cell>
          <cell r="M25">
            <v>1021.8823913043477</v>
          </cell>
          <cell r="N25">
            <v>47006.59</v>
          </cell>
          <cell r="P25">
            <v>913.24941176470588</v>
          </cell>
          <cell r="Q25">
            <v>31050.48</v>
          </cell>
          <cell r="S25">
            <v>1002.9296226415094</v>
          </cell>
          <cell r="T25">
            <v>53155.27</v>
          </cell>
          <cell r="V25">
            <v>868.40771929824552</v>
          </cell>
          <cell r="W25">
            <v>49499.24</v>
          </cell>
          <cell r="Y25">
            <v>1110.4235897435897</v>
          </cell>
          <cell r="Z25">
            <v>43306.52</v>
          </cell>
          <cell r="AB25">
            <v>1030.0339215686274</v>
          </cell>
          <cell r="AC25">
            <v>52531.73</v>
          </cell>
          <cell r="AE25">
            <v>1111.5049999999999</v>
          </cell>
          <cell r="AF25">
            <v>60021.27</v>
          </cell>
          <cell r="AH25">
            <v>942.08305084745768</v>
          </cell>
          <cell r="AI25">
            <v>55582.9</v>
          </cell>
          <cell r="AK25">
            <v>993.18355555555559</v>
          </cell>
          <cell r="AL25">
            <v>89386.52</v>
          </cell>
          <cell r="AN25">
            <v>1030.6682692307693</v>
          </cell>
          <cell r="AO25">
            <v>53594.75</v>
          </cell>
        </row>
        <row r="26">
          <cell r="A26" t="str">
            <v>Véhicules neufsRev. Autres</v>
          </cell>
          <cell r="B26" t="str">
            <v>Rev. Autres</v>
          </cell>
          <cell r="D26">
            <v>12.821324503311258</v>
          </cell>
          <cell r="E26">
            <v>7744.08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M26">
            <v>13.392826086956523</v>
          </cell>
          <cell r="N26">
            <v>616.07000000000005</v>
          </cell>
          <cell r="P26">
            <v>0</v>
          </cell>
          <cell r="Q26">
            <v>0</v>
          </cell>
          <cell r="S26">
            <v>32.927735849056603</v>
          </cell>
          <cell r="T26">
            <v>1745.17</v>
          </cell>
          <cell r="V26">
            <v>0</v>
          </cell>
          <cell r="W26">
            <v>0</v>
          </cell>
          <cell r="Y26">
            <v>0</v>
          </cell>
          <cell r="Z26">
            <v>0</v>
          </cell>
          <cell r="AB26">
            <v>12.943529411764706</v>
          </cell>
          <cell r="AC26">
            <v>660.12</v>
          </cell>
          <cell r="AE26">
            <v>9.5077777777777772</v>
          </cell>
          <cell r="AF26">
            <v>513.41999999999996</v>
          </cell>
          <cell r="AH26">
            <v>6.7493220338983049</v>
          </cell>
          <cell r="AI26">
            <v>398.21</v>
          </cell>
          <cell r="AK26">
            <v>15.009333333333332</v>
          </cell>
          <cell r="AL26">
            <v>1350.84</v>
          </cell>
          <cell r="AN26">
            <v>47.3125</v>
          </cell>
          <cell r="AO26">
            <v>2460.25</v>
          </cell>
        </row>
        <row r="27">
          <cell r="A27" t="str">
            <v>Véhicules neufsTotal F&amp;I</v>
          </cell>
          <cell r="B27" t="str">
            <v>Total F&amp;I</v>
          </cell>
          <cell r="C27">
            <v>604</v>
          </cell>
          <cell r="D27">
            <v>1123.2607450331125</v>
          </cell>
          <cell r="E27">
            <v>678449.49</v>
          </cell>
          <cell r="F27">
            <v>45</v>
          </cell>
          <cell r="G27">
            <v>867.42422222222228</v>
          </cell>
          <cell r="H27">
            <v>39034.090000000004</v>
          </cell>
          <cell r="I27">
            <v>24</v>
          </cell>
          <cell r="J27">
            <v>1460.0375000000001</v>
          </cell>
          <cell r="K27">
            <v>35040.9</v>
          </cell>
          <cell r="L27">
            <v>46</v>
          </cell>
          <cell r="M27">
            <v>1292.090652173913</v>
          </cell>
          <cell r="N27">
            <v>59436.17</v>
          </cell>
          <cell r="O27">
            <v>34</v>
          </cell>
          <cell r="P27">
            <v>984.85617647058825</v>
          </cell>
          <cell r="Q27">
            <v>33485.11</v>
          </cell>
          <cell r="R27">
            <v>53</v>
          </cell>
          <cell r="S27">
            <v>1172.3898113207547</v>
          </cell>
          <cell r="T27">
            <v>62136.659999999996</v>
          </cell>
          <cell r="U27">
            <v>57</v>
          </cell>
          <cell r="V27">
            <v>957.80929824561395</v>
          </cell>
          <cell r="W27">
            <v>54595.13</v>
          </cell>
          <cell r="X27">
            <v>39</v>
          </cell>
          <cell r="Y27">
            <v>1358.309487179487</v>
          </cell>
          <cell r="Z27">
            <v>52974.069999999992</v>
          </cell>
          <cell r="AA27">
            <v>51</v>
          </cell>
          <cell r="AB27">
            <v>1218.2715686274512</v>
          </cell>
          <cell r="AC27">
            <v>62131.850000000006</v>
          </cell>
          <cell r="AD27">
            <v>54</v>
          </cell>
          <cell r="AE27">
            <v>1213.3209259259258</v>
          </cell>
          <cell r="AF27">
            <v>65519.329999999994</v>
          </cell>
          <cell r="AG27">
            <v>59</v>
          </cell>
          <cell r="AH27">
            <v>1007.8427118644069</v>
          </cell>
          <cell r="AI27">
            <v>59462.720000000001</v>
          </cell>
          <cell r="AJ27">
            <v>90</v>
          </cell>
          <cell r="AK27">
            <v>1056.2197777777778</v>
          </cell>
          <cell r="AL27">
            <v>95059.78</v>
          </cell>
          <cell r="AM27">
            <v>52</v>
          </cell>
          <cell r="AN27">
            <v>1145.6476923076923</v>
          </cell>
          <cell r="AO27">
            <v>59573.68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B30" t="str">
            <v>Total Dépt. Neufs</v>
          </cell>
          <cell r="C30">
            <v>630</v>
          </cell>
          <cell r="D30">
            <v>3635.5403968253927</v>
          </cell>
          <cell r="E30">
            <v>2290390.4499999974</v>
          </cell>
          <cell r="F30">
            <v>46</v>
          </cell>
          <cell r="G30">
            <v>3181.1767391304343</v>
          </cell>
          <cell r="H30">
            <v>146334.12999999998</v>
          </cell>
          <cell r="I30">
            <v>25</v>
          </cell>
          <cell r="J30">
            <v>4204.6255999999994</v>
          </cell>
          <cell r="K30">
            <v>105115.63999999998</v>
          </cell>
          <cell r="L30">
            <v>46</v>
          </cell>
          <cell r="M30">
            <v>4308.1408695652071</v>
          </cell>
          <cell r="N30">
            <v>198174.47999999952</v>
          </cell>
          <cell r="O30">
            <v>37</v>
          </cell>
          <cell r="P30">
            <v>3678.7983783783729</v>
          </cell>
          <cell r="Q30">
            <v>136115.5399999998</v>
          </cell>
          <cell r="R30">
            <v>56</v>
          </cell>
          <cell r="S30">
            <v>3681.5748214285677</v>
          </cell>
          <cell r="T30">
            <v>206168.1899999998</v>
          </cell>
          <cell r="U30">
            <v>59</v>
          </cell>
          <cell r="V30">
            <v>3481.6166101694944</v>
          </cell>
          <cell r="W30">
            <v>205415.38000000018</v>
          </cell>
          <cell r="X30">
            <v>40</v>
          </cell>
          <cell r="Y30">
            <v>3855.3114999999975</v>
          </cell>
          <cell r="Z30">
            <v>154212.4599999999</v>
          </cell>
          <cell r="AA30">
            <v>55</v>
          </cell>
          <cell r="AB30">
            <v>3672.9932727272676</v>
          </cell>
          <cell r="AC30">
            <v>202014.62999999971</v>
          </cell>
          <cell r="AD30">
            <v>55</v>
          </cell>
          <cell r="AE30">
            <v>3601.3861818181781</v>
          </cell>
          <cell r="AF30">
            <v>198076.23999999979</v>
          </cell>
          <cell r="AG30">
            <v>67</v>
          </cell>
          <cell r="AH30">
            <v>3666.631194029836</v>
          </cell>
          <cell r="AI30">
            <v>245664.28999999902</v>
          </cell>
          <cell r="AJ30">
            <v>92</v>
          </cell>
          <cell r="AK30">
            <v>3367.8319565217394</v>
          </cell>
          <cell r="AL30">
            <v>309840.54000000004</v>
          </cell>
          <cell r="AM30">
            <v>52</v>
          </cell>
          <cell r="AN30">
            <v>3524.2101923076875</v>
          </cell>
          <cell r="AO30">
            <v>183258.92999999976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  <cell r="B33" t="str">
            <v>DEPENSES</v>
          </cell>
        </row>
        <row r="34">
          <cell r="A34" t="str">
            <v>Véhicules neufsComm. vendeurs</v>
          </cell>
          <cell r="B34" t="str">
            <v>Comm. vendeurs</v>
          </cell>
          <cell r="C34">
            <v>0.29849571936905456</v>
          </cell>
          <cell r="D34">
            <v>709.4751324503311</v>
          </cell>
          <cell r="E34">
            <v>428522.98</v>
          </cell>
          <cell r="F34">
            <v>0.20080094006468588</v>
          </cell>
          <cell r="G34">
            <v>446.91511111111112</v>
          </cell>
          <cell r="H34">
            <v>20111.18</v>
          </cell>
          <cell r="I34">
            <v>0.3748038881027107</v>
          </cell>
          <cell r="J34">
            <v>942.4475000000001</v>
          </cell>
          <cell r="K34">
            <v>22618.74</v>
          </cell>
          <cell r="L34">
            <v>0.34224819475903012</v>
          </cell>
          <cell r="M34">
            <v>946.75478260869568</v>
          </cell>
          <cell r="N34">
            <v>43550.720000000001</v>
          </cell>
          <cell r="O34">
            <v>0.4327795876634099</v>
          </cell>
          <cell r="P34">
            <v>1091.0429411764705</v>
          </cell>
          <cell r="Q34">
            <v>37095.46</v>
          </cell>
          <cell r="R34">
            <v>0.32730600500363483</v>
          </cell>
          <cell r="S34">
            <v>788.56773584905659</v>
          </cell>
          <cell r="T34">
            <v>41794.089999999997</v>
          </cell>
          <cell r="U34">
            <v>0.33310604960346141</v>
          </cell>
          <cell r="V34">
            <v>771.36614035087723</v>
          </cell>
          <cell r="W34">
            <v>43967.87</v>
          </cell>
          <cell r="X34">
            <v>0.37701685076413732</v>
          </cell>
          <cell r="Y34">
            <v>840.92487179487182</v>
          </cell>
          <cell r="Z34">
            <v>32796.07</v>
          </cell>
          <cell r="AA34">
            <v>0.35356676301861473</v>
          </cell>
          <cell r="AB34">
            <v>819.64921568627449</v>
          </cell>
          <cell r="AC34">
            <v>41802.11</v>
          </cell>
          <cell r="AD34">
            <v>0.19647832361266485</v>
          </cell>
          <cell r="AE34">
            <v>441.81</v>
          </cell>
          <cell r="AF34">
            <v>23857.74</v>
          </cell>
          <cell r="AG34">
            <v>0.2749352106828814</v>
          </cell>
          <cell r="AH34">
            <v>710.28728813559314</v>
          </cell>
          <cell r="AI34">
            <v>41906.949999999997</v>
          </cell>
          <cell r="AJ34">
            <v>0.22021936618522778</v>
          </cell>
          <cell r="AK34">
            <v>500.14211111111115</v>
          </cell>
          <cell r="AL34">
            <v>45012.79</v>
          </cell>
          <cell r="AM34">
            <v>0.28582149962315506</v>
          </cell>
          <cell r="AN34">
            <v>654.02423076923083</v>
          </cell>
          <cell r="AO34">
            <v>34009.26</v>
          </cell>
        </row>
        <row r="35">
          <cell r="A35" t="str">
            <v>Véhicules neufsComm. F&amp;I</v>
          </cell>
          <cell r="B35" t="str">
            <v>Comm. F&amp;I</v>
          </cell>
          <cell r="C35">
            <v>0.30598638964265418</v>
          </cell>
          <cell r="D35">
            <v>343.70249999999999</v>
          </cell>
          <cell r="E35">
            <v>207596.31</v>
          </cell>
          <cell r="F35">
            <v>0.42056545957648811</v>
          </cell>
          <cell r="G35">
            <v>364.80866666666668</v>
          </cell>
          <cell r="H35">
            <v>16416.39</v>
          </cell>
          <cell r="I35">
            <v>0.2864355652965534</v>
          </cell>
          <cell r="J35">
            <v>418.20666666666665</v>
          </cell>
          <cell r="K35">
            <v>10036.959999999999</v>
          </cell>
          <cell r="L35">
            <v>0.29836781205787655</v>
          </cell>
          <cell r="M35">
            <v>385.51826086956521</v>
          </cell>
          <cell r="N35">
            <v>17733.84</v>
          </cell>
          <cell r="O35">
            <v>0.29978160442059171</v>
          </cell>
          <cell r="P35">
            <v>295.24176470588236</v>
          </cell>
          <cell r="Q35">
            <v>10038.219999999999</v>
          </cell>
          <cell r="R35">
            <v>0.29997186845897417</v>
          </cell>
          <cell r="S35">
            <v>351.68396226415092</v>
          </cell>
          <cell r="T35">
            <v>18639.25</v>
          </cell>
          <cell r="U35">
            <v>0.30010863606332655</v>
          </cell>
          <cell r="V35">
            <v>287.44684210526316</v>
          </cell>
          <cell r="W35">
            <v>16384.47</v>
          </cell>
          <cell r="X35">
            <v>0.30073845562555424</v>
          </cell>
          <cell r="Y35">
            <v>408.49589743589746</v>
          </cell>
          <cell r="Z35">
            <v>15931.34</v>
          </cell>
          <cell r="AA35">
            <v>0.29989739561915507</v>
          </cell>
          <cell r="AB35">
            <v>365.35647058823531</v>
          </cell>
          <cell r="AC35">
            <v>18633.18</v>
          </cell>
          <cell r="AD35">
            <v>0.30030542131612159</v>
          </cell>
          <cell r="AE35">
            <v>364.36685185185189</v>
          </cell>
          <cell r="AF35">
            <v>19675.810000000001</v>
          </cell>
          <cell r="AG35">
            <v>0.29873305492920604</v>
          </cell>
          <cell r="AH35">
            <v>301.07593220338981</v>
          </cell>
          <cell r="AI35">
            <v>17763.48</v>
          </cell>
          <cell r="AJ35">
            <v>0.29960999278559242</v>
          </cell>
          <cell r="AK35">
            <v>316.45400000000001</v>
          </cell>
          <cell r="AL35">
            <v>28480.86</v>
          </cell>
          <cell r="AM35">
            <v>0.29983895572675717</v>
          </cell>
          <cell r="AN35">
            <v>343.50980769230767</v>
          </cell>
          <cell r="AO35">
            <v>17862.509999999998</v>
          </cell>
        </row>
        <row r="36">
          <cell r="A36" t="str">
            <v>Véhicules neufsFrais de livraison</v>
          </cell>
          <cell r="B36" t="str">
            <v>Frais de livraison</v>
          </cell>
          <cell r="D36">
            <v>122.55435430463577</v>
          </cell>
          <cell r="E36">
            <v>74022.83</v>
          </cell>
          <cell r="G36">
            <v>58.516222222222225</v>
          </cell>
          <cell r="H36">
            <v>2633.23</v>
          </cell>
          <cell r="J36">
            <v>245.49916666666664</v>
          </cell>
          <cell r="K36">
            <v>5891.98</v>
          </cell>
          <cell r="M36">
            <v>64.906086956521733</v>
          </cell>
          <cell r="N36">
            <v>2985.68</v>
          </cell>
          <cell r="P36">
            <v>99.448823529411769</v>
          </cell>
          <cell r="Q36">
            <v>3381.26</v>
          </cell>
          <cell r="S36">
            <v>112.82150943396226</v>
          </cell>
          <cell r="T36">
            <v>5979.54</v>
          </cell>
          <cell r="V36">
            <v>98.259649122807019</v>
          </cell>
          <cell r="W36">
            <v>5600.8</v>
          </cell>
          <cell r="Y36">
            <v>168.41974358974358</v>
          </cell>
          <cell r="Z36">
            <v>6568.37</v>
          </cell>
          <cell r="AB36">
            <v>121.67235294117647</v>
          </cell>
          <cell r="AC36">
            <v>6205.29</v>
          </cell>
          <cell r="AE36">
            <v>85.562222222222218</v>
          </cell>
          <cell r="AF36">
            <v>4620.3599999999997</v>
          </cell>
          <cell r="AH36">
            <v>131.92101694915254</v>
          </cell>
          <cell r="AI36">
            <v>7783.34</v>
          </cell>
          <cell r="AK36">
            <v>138.78766666666667</v>
          </cell>
          <cell r="AL36">
            <v>12490.89</v>
          </cell>
          <cell r="AN36">
            <v>190.04019230769231</v>
          </cell>
          <cell r="AO36">
            <v>9882.09</v>
          </cell>
        </row>
        <row r="37">
          <cell r="A37" t="str">
            <v>Véhicules neufsService gratuit 1</v>
          </cell>
          <cell r="B37" t="str">
            <v>Service gratuit 1</v>
          </cell>
          <cell r="D37">
            <v>13.843327814569538</v>
          </cell>
          <cell r="E37">
            <v>8361.3700000000008</v>
          </cell>
          <cell r="G37">
            <v>0</v>
          </cell>
          <cell r="H37">
            <v>0</v>
          </cell>
          <cell r="J37">
            <v>0</v>
          </cell>
          <cell r="K37">
            <v>0</v>
          </cell>
          <cell r="M37">
            <v>4.5619565217391305</v>
          </cell>
          <cell r="N37">
            <v>209.85</v>
          </cell>
          <cell r="P37">
            <v>2.3529411764705883</v>
          </cell>
          <cell r="Q37">
            <v>80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Y37">
            <v>1.0256410256410255</v>
          </cell>
          <cell r="Z37">
            <v>40</v>
          </cell>
          <cell r="AB37">
            <v>1.803921568627451</v>
          </cell>
          <cell r="AC37">
            <v>92</v>
          </cell>
          <cell r="AE37">
            <v>3.9803703703703701</v>
          </cell>
          <cell r="AF37">
            <v>214.94</v>
          </cell>
          <cell r="AH37">
            <v>9.4247457627118632</v>
          </cell>
          <cell r="AI37">
            <v>556.05999999999995</v>
          </cell>
          <cell r="AK37">
            <v>63.11022222222222</v>
          </cell>
          <cell r="AL37">
            <v>5679.92</v>
          </cell>
          <cell r="AN37">
            <v>28.626923076923074</v>
          </cell>
          <cell r="AO37">
            <v>1488.6</v>
          </cell>
        </row>
        <row r="38">
          <cell r="A38" t="str">
            <v>Véhicules neufsEntretien stock</v>
          </cell>
          <cell r="B38" t="str">
            <v>Entretien stock</v>
          </cell>
          <cell r="D38">
            <v>79.811440397350992</v>
          </cell>
          <cell r="E38">
            <v>48206.11</v>
          </cell>
          <cell r="G38">
            <v>59.264222222222216</v>
          </cell>
          <cell r="H38">
            <v>2666.89</v>
          </cell>
          <cell r="J38">
            <v>125.22541666666666</v>
          </cell>
          <cell r="K38">
            <v>3005.41</v>
          </cell>
          <cell r="M38">
            <v>48.714347826086957</v>
          </cell>
          <cell r="N38">
            <v>2240.86</v>
          </cell>
          <cell r="P38">
            <v>88.820000000000007</v>
          </cell>
          <cell r="Q38">
            <v>3019.88</v>
          </cell>
          <cell r="S38">
            <v>66.649056603773587</v>
          </cell>
          <cell r="T38">
            <v>3532.4</v>
          </cell>
          <cell r="V38">
            <v>70.21052631578948</v>
          </cell>
          <cell r="W38">
            <v>4002</v>
          </cell>
          <cell r="Y38">
            <v>118.0776923076923</v>
          </cell>
          <cell r="Z38">
            <v>4605.03</v>
          </cell>
          <cell r="AB38">
            <v>78.708235294117642</v>
          </cell>
          <cell r="AC38">
            <v>4014.12</v>
          </cell>
          <cell r="AE38">
            <v>80.21648148148148</v>
          </cell>
          <cell r="AF38">
            <v>4331.6899999999996</v>
          </cell>
          <cell r="AH38">
            <v>92.110169491525426</v>
          </cell>
          <cell r="AI38">
            <v>5434.5</v>
          </cell>
          <cell r="AK38">
            <v>83.834222222222223</v>
          </cell>
          <cell r="AL38">
            <v>7545.08</v>
          </cell>
          <cell r="AN38">
            <v>73.23557692307692</v>
          </cell>
          <cell r="AO38">
            <v>3808.25</v>
          </cell>
        </row>
        <row r="39">
          <cell r="A39" t="str">
            <v>Véhicules neufsPublicité 1</v>
          </cell>
          <cell r="B39" t="str">
            <v>Publicité 1</v>
          </cell>
          <cell r="D39">
            <v>100.76802980132439</v>
          </cell>
          <cell r="E39">
            <v>60863.889999999927</v>
          </cell>
          <cell r="G39">
            <v>7.4604444444444447</v>
          </cell>
          <cell r="H39">
            <v>335.72</v>
          </cell>
          <cell r="J39">
            <v>300.07</v>
          </cell>
          <cell r="K39">
            <v>7201.68</v>
          </cell>
          <cell r="M39">
            <v>87.100652173912835</v>
          </cell>
          <cell r="N39">
            <v>4006.6299999999901</v>
          </cell>
          <cell r="P39">
            <v>159.71529411764706</v>
          </cell>
          <cell r="Q39">
            <v>5430.32</v>
          </cell>
          <cell r="S39">
            <v>56.458679245282831</v>
          </cell>
          <cell r="T39">
            <v>2992.3099999999899</v>
          </cell>
          <cell r="V39">
            <v>122.48649122807016</v>
          </cell>
          <cell r="W39">
            <v>6981.73</v>
          </cell>
          <cell r="Y39">
            <v>154.58692307692283</v>
          </cell>
          <cell r="Z39">
            <v>6028.8899999999903</v>
          </cell>
          <cell r="AB39">
            <v>40.121960784313529</v>
          </cell>
          <cell r="AC39">
            <v>2046.21999999999</v>
          </cell>
          <cell r="AE39">
            <v>102.55351851851835</v>
          </cell>
          <cell r="AF39">
            <v>5537.8899999999903</v>
          </cell>
          <cell r="AH39">
            <v>155.86983050847456</v>
          </cell>
          <cell r="AI39">
            <v>9196.32</v>
          </cell>
          <cell r="AK39">
            <v>38.481888888888776</v>
          </cell>
          <cell r="AL39">
            <v>3463.3699999999899</v>
          </cell>
          <cell r="AN39">
            <v>146.97711538461519</v>
          </cell>
          <cell r="AO39">
            <v>7642.8099999999904</v>
          </cell>
        </row>
        <row r="40">
          <cell r="A40" t="str">
            <v>Véhicules neufsIntérêt de gros</v>
          </cell>
          <cell r="B40" t="str">
            <v>Intérêt de gros</v>
          </cell>
          <cell r="D40">
            <v>121.38026490066224</v>
          </cell>
          <cell r="E40">
            <v>73313.679999999993</v>
          </cell>
          <cell r="G40">
            <v>153.29866666666666</v>
          </cell>
          <cell r="H40">
            <v>6898.44</v>
          </cell>
          <cell r="J40">
            <v>187.08333333333334</v>
          </cell>
          <cell r="K40">
            <v>4490</v>
          </cell>
          <cell r="M40">
            <v>86.143043478260864</v>
          </cell>
          <cell r="N40">
            <v>3962.58</v>
          </cell>
          <cell r="P40">
            <v>54.914411764705882</v>
          </cell>
          <cell r="Q40">
            <v>1867.09</v>
          </cell>
          <cell r="S40">
            <v>110.78396226415094</v>
          </cell>
          <cell r="T40">
            <v>5871.55</v>
          </cell>
          <cell r="V40">
            <v>83.07263157894738</v>
          </cell>
          <cell r="W40">
            <v>4735.1400000000003</v>
          </cell>
          <cell r="Y40">
            <v>90.482564102564112</v>
          </cell>
          <cell r="Z40">
            <v>3528.82</v>
          </cell>
          <cell r="AB40">
            <v>0</v>
          </cell>
          <cell r="AC40">
            <v>0</v>
          </cell>
          <cell r="AE40">
            <v>95.057592592592584</v>
          </cell>
          <cell r="AF40">
            <v>5133.1099999999997</v>
          </cell>
          <cell r="AH40">
            <v>0</v>
          </cell>
          <cell r="AI40">
            <v>0</v>
          </cell>
          <cell r="AK40">
            <v>217.76155555555556</v>
          </cell>
          <cell r="AL40">
            <v>19598.54</v>
          </cell>
          <cell r="AN40">
            <v>331.31557692307695</v>
          </cell>
          <cell r="AO40">
            <v>17228.41</v>
          </cell>
        </row>
        <row r="41">
          <cell r="A41" t="str">
            <v>Véhicules neufs[...]</v>
          </cell>
          <cell r="B41" t="str">
            <v>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B42" t="str">
            <v>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B43" t="str">
            <v>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B44" t="str">
            <v>TOTAL VARIABLES</v>
          </cell>
          <cell r="C44" t="str">
            <v>% brut</v>
          </cell>
          <cell r="D44">
            <v>0.39333344670556103</v>
          </cell>
          <cell r="E44">
            <v>900887.16999999993</v>
          </cell>
          <cell r="F44" t="str">
            <v>% brut</v>
          </cell>
          <cell r="G44">
            <v>0.33527277607759731</v>
          </cell>
          <cell r="H44">
            <v>49061.850000000006</v>
          </cell>
          <cell r="I44" t="str">
            <v>% brut</v>
          </cell>
          <cell r="J44">
            <v>0.50653518353691229</v>
          </cell>
          <cell r="K44">
            <v>53244.77</v>
          </cell>
          <cell r="L44" t="str">
            <v>% brut</v>
          </cell>
          <cell r="M44">
            <v>0.37689090946523573</v>
          </cell>
          <cell r="N44">
            <v>74690.159999999989</v>
          </cell>
          <cell r="O44" t="str">
            <v>% brut</v>
          </cell>
          <cell r="P44">
            <v>0.44750386326204988</v>
          </cell>
          <cell r="Q44">
            <v>60912.229999999996</v>
          </cell>
          <cell r="R44" t="str">
            <v>% brut</v>
          </cell>
          <cell r="S44">
            <v>0.3822565450082287</v>
          </cell>
          <cell r="T44">
            <v>78809.13999999997</v>
          </cell>
          <cell r="U44" t="str">
            <v>% brut</v>
          </cell>
          <cell r="V44">
            <v>0.39759442550017393</v>
          </cell>
          <cell r="W44">
            <v>81672.009999999995</v>
          </cell>
          <cell r="X44" t="str">
            <v>% brut</v>
          </cell>
          <cell r="Y44">
            <v>0.4506673455569028</v>
          </cell>
          <cell r="Z44">
            <v>69498.52</v>
          </cell>
          <cell r="AA44" t="str">
            <v>% brut</v>
          </cell>
          <cell r="AB44">
            <v>0.36033489257684004</v>
          </cell>
          <cell r="AC44">
            <v>72792.919999999984</v>
          </cell>
          <cell r="AD44" t="str">
            <v>% brut</v>
          </cell>
          <cell r="AE44">
            <v>0.31993509165965622</v>
          </cell>
          <cell r="AF44">
            <v>63371.54</v>
          </cell>
          <cell r="AG44" t="str">
            <v>% brut</v>
          </cell>
          <cell r="AH44">
            <v>0.33639667368830989</v>
          </cell>
          <cell r="AI44">
            <v>82640.649999999994</v>
          </cell>
          <cell r="AJ44" t="str">
            <v>% brut</v>
          </cell>
          <cell r="AK44">
            <v>0.39462702330689187</v>
          </cell>
          <cell r="AL44">
            <v>122271.44999999998</v>
          </cell>
          <cell r="AM44" t="str">
            <v>% brut</v>
          </cell>
          <cell r="AN44">
            <v>0.50159591131520909</v>
          </cell>
          <cell r="AO44">
            <v>91921.93</v>
          </cell>
        </row>
        <row r="45">
          <cell r="A45" t="str">
            <v>Véhicules neufsSalaires cadres</v>
          </cell>
          <cell r="B45" t="str">
            <v>Salaires cadres</v>
          </cell>
          <cell r="E45">
            <v>161101.4</v>
          </cell>
          <cell r="H45">
            <v>13320.96</v>
          </cell>
          <cell r="K45">
            <v>9312.9599999999991</v>
          </cell>
          <cell r="N45">
            <v>13684.73</v>
          </cell>
          <cell r="Q45">
            <v>13295.96</v>
          </cell>
          <cell r="T45">
            <v>13546.32</v>
          </cell>
          <cell r="W45">
            <v>13776.33</v>
          </cell>
          <cell r="Z45">
            <v>17842.099999999999</v>
          </cell>
          <cell r="AC45">
            <v>14353.64</v>
          </cell>
          <cell r="AF45">
            <v>14161.33</v>
          </cell>
          <cell r="AI45">
            <v>11603.64</v>
          </cell>
          <cell r="AL45">
            <v>14903.64</v>
          </cell>
          <cell r="AO45">
            <v>11299.79</v>
          </cell>
        </row>
        <row r="46">
          <cell r="A46" t="str">
            <v>Véhicules neufsSalaires commis</v>
          </cell>
          <cell r="B46" t="str">
            <v>Salaires commis</v>
          </cell>
          <cell r="E46">
            <v>144740.67000000001</v>
          </cell>
          <cell r="H46">
            <v>11974.81</v>
          </cell>
          <cell r="K46">
            <v>12588.32</v>
          </cell>
          <cell r="N46">
            <v>13439.44</v>
          </cell>
          <cell r="Q46">
            <v>10544.06</v>
          </cell>
          <cell r="T46">
            <v>12202.83</v>
          </cell>
          <cell r="W46">
            <v>14509.06</v>
          </cell>
          <cell r="Z46">
            <v>9643.58</v>
          </cell>
          <cell r="AC46">
            <v>12006.55</v>
          </cell>
          <cell r="AF46">
            <v>16026.9</v>
          </cell>
          <cell r="AI46">
            <v>11332.89</v>
          </cell>
          <cell r="AL46">
            <v>8776.4699999999993</v>
          </cell>
          <cell r="AO46">
            <v>11695.76</v>
          </cell>
        </row>
        <row r="47">
          <cell r="A47" t="str">
            <v>Véhicules neufsSalaires autres</v>
          </cell>
          <cell r="B47" t="str">
            <v>Salaires autres</v>
          </cell>
          <cell r="E47">
            <v>115434.12000000002</v>
          </cell>
          <cell r="H47">
            <v>11519.26</v>
          </cell>
          <cell r="K47">
            <v>10464.68</v>
          </cell>
          <cell r="N47">
            <v>11841.01</v>
          </cell>
          <cell r="Q47">
            <v>12250.19</v>
          </cell>
          <cell r="T47">
            <v>14212.21</v>
          </cell>
          <cell r="W47">
            <v>13387.76</v>
          </cell>
          <cell r="Z47">
            <v>12343.13</v>
          </cell>
          <cell r="AC47">
            <v>11151.24</v>
          </cell>
          <cell r="AF47">
            <v>6488.86</v>
          </cell>
          <cell r="AI47">
            <v>3994.82</v>
          </cell>
          <cell r="AL47">
            <v>2988</v>
          </cell>
          <cell r="AO47">
            <v>4792.96</v>
          </cell>
        </row>
        <row r="48">
          <cell r="A48" t="str">
            <v>Véhicules neufsSalaires spécialistes</v>
          </cell>
          <cell r="B48" t="str">
            <v>Salaires spécialistes</v>
          </cell>
          <cell r="E48">
            <v>0</v>
          </cell>
          <cell r="H48">
            <v>0</v>
          </cell>
          <cell r="K48">
            <v>0</v>
          </cell>
          <cell r="N48">
            <v>0</v>
          </cell>
          <cell r="Q48">
            <v>0</v>
          </cell>
          <cell r="T48">
            <v>0</v>
          </cell>
          <cell r="W48">
            <v>0</v>
          </cell>
          <cell r="Z48">
            <v>0</v>
          </cell>
          <cell r="AC48">
            <v>0</v>
          </cell>
          <cell r="AF48">
            <v>0</v>
          </cell>
          <cell r="AI48">
            <v>0</v>
          </cell>
          <cell r="AL48">
            <v>0</v>
          </cell>
          <cell r="AO48">
            <v>0</v>
          </cell>
        </row>
        <row r="49">
          <cell r="A49" t="str">
            <v>Véhicules neufs[...]</v>
          </cell>
          <cell r="B49" t="str">
            <v>[...]</v>
          </cell>
          <cell r="E49">
            <v>0</v>
          </cell>
          <cell r="H49">
            <v>0</v>
          </cell>
          <cell r="K49">
            <v>0</v>
          </cell>
          <cell r="N49">
            <v>0</v>
          </cell>
          <cell r="Q49">
            <v>0</v>
          </cell>
          <cell r="T49">
            <v>0</v>
          </cell>
          <cell r="W49">
            <v>0</v>
          </cell>
          <cell r="Z49">
            <v>0</v>
          </cell>
          <cell r="AC49">
            <v>0</v>
          </cell>
          <cell r="AF49">
            <v>0</v>
          </cell>
          <cell r="AI49">
            <v>0</v>
          </cell>
          <cell r="AL49">
            <v>0</v>
          </cell>
          <cell r="AO49">
            <v>0</v>
          </cell>
        </row>
        <row r="50">
          <cell r="A50" t="str">
            <v>Véhicules neufs[...]</v>
          </cell>
          <cell r="B50" t="str">
            <v>[...]</v>
          </cell>
          <cell r="E50">
            <v>0</v>
          </cell>
          <cell r="H50">
            <v>0</v>
          </cell>
          <cell r="K50">
            <v>0</v>
          </cell>
          <cell r="N50">
            <v>0</v>
          </cell>
          <cell r="Q50">
            <v>0</v>
          </cell>
          <cell r="T50">
            <v>0</v>
          </cell>
          <cell r="W50">
            <v>0</v>
          </cell>
          <cell r="Z50">
            <v>0</v>
          </cell>
          <cell r="AC50">
            <v>0</v>
          </cell>
          <cell r="AF50">
            <v>0</v>
          </cell>
          <cell r="AI50">
            <v>0</v>
          </cell>
          <cell r="AL50">
            <v>0</v>
          </cell>
          <cell r="AO50">
            <v>0</v>
          </cell>
        </row>
        <row r="51">
          <cell r="A51" t="str">
            <v>Véhicules neufs[...]</v>
          </cell>
          <cell r="B51" t="str">
            <v>[...]</v>
          </cell>
          <cell r="E51">
            <v>0</v>
          </cell>
          <cell r="H51">
            <v>0</v>
          </cell>
          <cell r="K51">
            <v>0</v>
          </cell>
          <cell r="N51">
            <v>0</v>
          </cell>
          <cell r="Q51">
            <v>0</v>
          </cell>
          <cell r="T51">
            <v>0</v>
          </cell>
          <cell r="W51">
            <v>0</v>
          </cell>
          <cell r="Z51">
            <v>0</v>
          </cell>
          <cell r="AC51">
            <v>0</v>
          </cell>
          <cell r="AF51">
            <v>0</v>
          </cell>
          <cell r="AI51">
            <v>0</v>
          </cell>
          <cell r="AL51">
            <v>0</v>
          </cell>
          <cell r="AO51">
            <v>0</v>
          </cell>
        </row>
        <row r="52">
          <cell r="A52" t="str">
            <v>Véhicules neufsSalaires en absences</v>
          </cell>
          <cell r="B52" t="str">
            <v>Salaires en absences</v>
          </cell>
          <cell r="E52">
            <v>126459.04000000001</v>
          </cell>
          <cell r="H52">
            <v>18179.34</v>
          </cell>
          <cell r="K52">
            <v>9804.34</v>
          </cell>
          <cell r="N52">
            <v>6896.42</v>
          </cell>
          <cell r="Q52">
            <v>11060.27</v>
          </cell>
          <cell r="T52">
            <v>12615.57</v>
          </cell>
          <cell r="W52">
            <v>12929.12</v>
          </cell>
          <cell r="Z52">
            <v>10139.23</v>
          </cell>
          <cell r="AC52">
            <v>6780.38</v>
          </cell>
          <cell r="AF52">
            <v>10273.68</v>
          </cell>
          <cell r="AI52">
            <v>9419.91</v>
          </cell>
          <cell r="AL52">
            <v>8803.83</v>
          </cell>
          <cell r="AO52">
            <v>9556.9500000000007</v>
          </cell>
        </row>
        <row r="53">
          <cell r="A53" t="str">
            <v>Véhicules neufsDéduction à la source</v>
          </cell>
          <cell r="B53" t="str">
            <v>Déduction à la source</v>
          </cell>
          <cell r="E53">
            <v>156049.84999999998</v>
          </cell>
          <cell r="H53">
            <v>16049.06</v>
          </cell>
          <cell r="K53">
            <v>16298.39</v>
          </cell>
          <cell r="N53">
            <v>15375.15</v>
          </cell>
          <cell r="Q53">
            <v>16153.21</v>
          </cell>
          <cell r="T53">
            <v>12626.31</v>
          </cell>
          <cell r="W53">
            <v>12404.94</v>
          </cell>
          <cell r="Z53">
            <v>14378.55</v>
          </cell>
          <cell r="AC53">
            <v>10620.12</v>
          </cell>
          <cell r="AF53">
            <v>10461.01</v>
          </cell>
          <cell r="AI53">
            <v>8905.2099999999991</v>
          </cell>
          <cell r="AL53">
            <v>11365.4</v>
          </cell>
          <cell r="AO53">
            <v>11412.5</v>
          </cell>
        </row>
        <row r="54">
          <cell r="A54" t="str">
            <v>Véhicules neufsBénéfices marginaux</v>
          </cell>
          <cell r="B54" t="str">
            <v>Bénéfices marginaux</v>
          </cell>
          <cell r="E54">
            <v>74708.680000000008</v>
          </cell>
          <cell r="H54">
            <v>6493.21</v>
          </cell>
          <cell r="K54">
            <v>5878.89</v>
          </cell>
          <cell r="N54">
            <v>5879.65</v>
          </cell>
          <cell r="Q54">
            <v>9403.86</v>
          </cell>
          <cell r="T54">
            <v>6414.78</v>
          </cell>
          <cell r="W54">
            <v>5591.61</v>
          </cell>
          <cell r="Z54">
            <v>7088.75</v>
          </cell>
          <cell r="AC54">
            <v>5958.04</v>
          </cell>
          <cell r="AF54">
            <v>6088.21</v>
          </cell>
          <cell r="AI54">
            <v>5383.41</v>
          </cell>
          <cell r="AL54">
            <v>6383.8099999999904</v>
          </cell>
          <cell r="AO54">
            <v>4144.46</v>
          </cell>
        </row>
        <row r="55">
          <cell r="A55" t="str">
            <v>Véhicules neufsCsst</v>
          </cell>
          <cell r="B55" t="str">
            <v>Csst</v>
          </cell>
          <cell r="E55">
            <v>24570.019999999997</v>
          </cell>
          <cell r="H55">
            <v>2475.7399999999998</v>
          </cell>
          <cell r="K55">
            <v>2534.25</v>
          </cell>
          <cell r="N55">
            <v>2462.5300000000002</v>
          </cell>
          <cell r="Q55">
            <v>2775.98</v>
          </cell>
          <cell r="T55">
            <v>2337.2399999999998</v>
          </cell>
          <cell r="W55">
            <v>3273.76</v>
          </cell>
          <cell r="Z55">
            <v>2311.3000000000002</v>
          </cell>
          <cell r="AC55">
            <v>1830.69</v>
          </cell>
          <cell r="AF55">
            <v>1526.89</v>
          </cell>
          <cell r="AI55">
            <v>686.07</v>
          </cell>
          <cell r="AL55">
            <v>1164.96</v>
          </cell>
          <cell r="AO55">
            <v>1190.6099999999999</v>
          </cell>
        </row>
        <row r="56">
          <cell r="A56" t="str">
            <v>Véhicules neufs[...]</v>
          </cell>
          <cell r="B56" t="str">
            <v>[...]</v>
          </cell>
          <cell r="E56">
            <v>0</v>
          </cell>
        </row>
        <row r="57">
          <cell r="A57" t="str">
            <v>Véhicules neufsTOTAL PERSONNEL</v>
          </cell>
          <cell r="B57" t="str">
            <v>TOTAL PERSONNEL</v>
          </cell>
          <cell r="C57" t="str">
            <v>% brut</v>
          </cell>
          <cell r="D57">
            <v>0.35062309135981645</v>
          </cell>
          <cell r="E57">
            <v>803063.78000000014</v>
          </cell>
          <cell r="F57" t="str">
            <v>% brut</v>
          </cell>
          <cell r="G57">
            <v>0.54677866332345038</v>
          </cell>
          <cell r="H57">
            <v>80012.38</v>
          </cell>
          <cell r="I57" t="str">
            <v>% brut</v>
          </cell>
          <cell r="J57">
            <v>0.63626906519334336</v>
          </cell>
          <cell r="K57">
            <v>66881.83</v>
          </cell>
          <cell r="L57" t="str">
            <v>% brut</v>
          </cell>
          <cell r="M57">
            <v>0.35109934437572465</v>
          </cell>
          <cell r="N57">
            <v>69578.929999999993</v>
          </cell>
          <cell r="O57" t="str">
            <v>% brut</v>
          </cell>
          <cell r="P57">
            <v>0.55455482893430164</v>
          </cell>
          <cell r="Q57">
            <v>75483.529999999984</v>
          </cell>
          <cell r="R57" t="str">
            <v>% brut</v>
          </cell>
          <cell r="S57">
            <v>0.35871324281403488</v>
          </cell>
          <cell r="T57">
            <v>73955.260000000009</v>
          </cell>
          <cell r="U57" t="str">
            <v>% brut</v>
          </cell>
          <cell r="V57">
            <v>0.3693617293894933</v>
          </cell>
          <cell r="W57">
            <v>75872.58</v>
          </cell>
          <cell r="X57" t="str">
            <v>% brut</v>
          </cell>
          <cell r="Y57">
            <v>0.47821453597199631</v>
          </cell>
          <cell r="Z57">
            <v>73746.64</v>
          </cell>
          <cell r="AA57" t="str">
            <v>% brut</v>
          </cell>
          <cell r="AB57">
            <v>0.31037682765847252</v>
          </cell>
          <cell r="AC57">
            <v>62700.66</v>
          </cell>
          <cell r="AD57" t="str">
            <v>% brut</v>
          </cell>
          <cell r="AE57">
            <v>0.32829217679010902</v>
          </cell>
          <cell r="AF57">
            <v>65026.879999999997</v>
          </cell>
          <cell r="AG57" t="str">
            <v>% brut</v>
          </cell>
          <cell r="AH57">
            <v>0.20892719084243053</v>
          </cell>
          <cell r="AI57">
            <v>51325.94999999999</v>
          </cell>
          <cell r="AJ57" t="str">
            <v>% brut</v>
          </cell>
          <cell r="AK57">
            <v>0.17552935455121524</v>
          </cell>
          <cell r="AL57">
            <v>54386.109999999993</v>
          </cell>
          <cell r="AM57" t="str">
            <v>% brut</v>
          </cell>
          <cell r="AN57">
            <v>0.29517268271729008</v>
          </cell>
          <cell r="AO57">
            <v>54093.030000000006</v>
          </cell>
        </row>
        <row r="58">
          <cell r="A58" t="str">
            <v>Véhicules neufsPublicité 2</v>
          </cell>
          <cell r="B58" t="str">
            <v>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B59" t="str">
            <v>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B60" t="str">
            <v>Frais véhicules de cie</v>
          </cell>
          <cell r="E60">
            <v>81122.09</v>
          </cell>
          <cell r="H60">
            <v>9342.8700000000008</v>
          </cell>
          <cell r="K60">
            <v>7178.73</v>
          </cell>
          <cell r="N60">
            <v>5765.85</v>
          </cell>
          <cell r="Q60">
            <v>6050.54</v>
          </cell>
          <cell r="T60">
            <v>7607.19</v>
          </cell>
          <cell r="W60">
            <v>5916.23</v>
          </cell>
          <cell r="Z60">
            <v>7279.84</v>
          </cell>
          <cell r="AC60">
            <v>2665.34</v>
          </cell>
          <cell r="AF60">
            <v>5210.8500000000004</v>
          </cell>
          <cell r="AI60">
            <v>10080.58</v>
          </cell>
          <cell r="AL60">
            <v>7119.66</v>
          </cell>
          <cell r="AO60">
            <v>6904.41</v>
          </cell>
        </row>
        <row r="61">
          <cell r="A61" t="str">
            <v>Véhicules neufsInformatique</v>
          </cell>
          <cell r="B61" t="str">
            <v>Informatique</v>
          </cell>
          <cell r="E61">
            <v>84970.739999999991</v>
          </cell>
          <cell r="H61">
            <v>5818.91</v>
          </cell>
          <cell r="K61">
            <v>8139.24</v>
          </cell>
          <cell r="N61">
            <v>7063.11</v>
          </cell>
          <cell r="Q61">
            <v>6422.17</v>
          </cell>
          <cell r="T61">
            <v>9434.75</v>
          </cell>
          <cell r="W61">
            <v>7019.75</v>
          </cell>
          <cell r="Z61">
            <v>7196.92</v>
          </cell>
          <cell r="AC61">
            <v>6738.03</v>
          </cell>
          <cell r="AF61">
            <v>7114.48</v>
          </cell>
          <cell r="AI61">
            <v>6701.59</v>
          </cell>
          <cell r="AL61">
            <v>6760.11</v>
          </cell>
          <cell r="AO61">
            <v>6561.68</v>
          </cell>
        </row>
        <row r="62">
          <cell r="A62" t="str">
            <v>Véhicules neufsFrais de déplacement</v>
          </cell>
          <cell r="B62" t="str">
            <v>Frais de déplacement</v>
          </cell>
          <cell r="E62">
            <v>17989.309999999998</v>
          </cell>
          <cell r="H62">
            <v>738.56</v>
          </cell>
          <cell r="K62">
            <v>2412.6</v>
          </cell>
          <cell r="N62">
            <v>2012.95</v>
          </cell>
          <cell r="Q62">
            <v>925.52</v>
          </cell>
          <cell r="T62">
            <v>3463.39</v>
          </cell>
          <cell r="W62">
            <v>504.08</v>
          </cell>
          <cell r="Z62">
            <v>818.1</v>
          </cell>
          <cell r="AC62">
            <v>1465.98</v>
          </cell>
          <cell r="AF62">
            <v>1420.02</v>
          </cell>
          <cell r="AI62">
            <v>1507.17</v>
          </cell>
          <cell r="AL62">
            <v>1646.26</v>
          </cell>
          <cell r="AO62">
            <v>1074.68</v>
          </cell>
        </row>
        <row r="63">
          <cell r="A63" t="str">
            <v>Véhicules neufsServices extérieurs</v>
          </cell>
          <cell r="B63" t="str">
            <v>Services extérieurs</v>
          </cell>
          <cell r="E63">
            <v>81747.97</v>
          </cell>
          <cell r="H63">
            <v>7190.38</v>
          </cell>
          <cell r="K63">
            <v>8043.06</v>
          </cell>
          <cell r="N63">
            <v>5970.74</v>
          </cell>
          <cell r="Q63">
            <v>5703.27</v>
          </cell>
          <cell r="T63">
            <v>6186.31</v>
          </cell>
          <cell r="W63">
            <v>6175.67</v>
          </cell>
          <cell r="Z63">
            <v>5967.65</v>
          </cell>
          <cell r="AC63">
            <v>6269.32</v>
          </cell>
          <cell r="AF63">
            <v>6350.63</v>
          </cell>
          <cell r="AI63">
            <v>8041.2</v>
          </cell>
          <cell r="AL63">
            <v>8387.93</v>
          </cell>
          <cell r="AO63">
            <v>7461.81</v>
          </cell>
        </row>
        <row r="64">
          <cell r="A64" t="str">
            <v>Véhicules neufsFournitures autres</v>
          </cell>
          <cell r="B64" t="str">
            <v>Fournitures autres</v>
          </cell>
          <cell r="E64">
            <v>471.47999999999996</v>
          </cell>
          <cell r="H64">
            <v>0</v>
          </cell>
          <cell r="K64">
            <v>0</v>
          </cell>
          <cell r="N64">
            <v>8.23</v>
          </cell>
          <cell r="Q64">
            <v>0</v>
          </cell>
          <cell r="T64">
            <v>0</v>
          </cell>
          <cell r="W64">
            <v>0</v>
          </cell>
          <cell r="Z64">
            <v>0</v>
          </cell>
          <cell r="AC64">
            <v>0</v>
          </cell>
          <cell r="AF64">
            <v>141.18</v>
          </cell>
          <cell r="AI64">
            <v>0</v>
          </cell>
          <cell r="AL64">
            <v>250.25</v>
          </cell>
          <cell r="AO64">
            <v>71.819999999999993</v>
          </cell>
        </row>
        <row r="65">
          <cell r="A65" t="str">
            <v>Véhicules neufsUniformes</v>
          </cell>
          <cell r="B65" t="str">
            <v>Uniformes</v>
          </cell>
          <cell r="E65">
            <v>0</v>
          </cell>
          <cell r="H65">
            <v>0</v>
          </cell>
          <cell r="K65">
            <v>0</v>
          </cell>
          <cell r="N65">
            <v>0</v>
          </cell>
          <cell r="Q65">
            <v>0</v>
          </cell>
          <cell r="T65">
            <v>0</v>
          </cell>
          <cell r="W65">
            <v>0</v>
          </cell>
          <cell r="Z65">
            <v>0</v>
          </cell>
          <cell r="AC65">
            <v>0</v>
          </cell>
          <cell r="AF65">
            <v>0</v>
          </cell>
          <cell r="AI65">
            <v>0</v>
          </cell>
          <cell r="AL65">
            <v>0</v>
          </cell>
          <cell r="AO65">
            <v>0</v>
          </cell>
        </row>
        <row r="66">
          <cell r="A66" t="str">
            <v>Véhicules neufsPapeterie</v>
          </cell>
          <cell r="B66" t="str">
            <v>Papeterie</v>
          </cell>
          <cell r="E66">
            <v>10026.720000000001</v>
          </cell>
          <cell r="H66">
            <v>387.75</v>
          </cell>
          <cell r="K66">
            <v>522.87</v>
          </cell>
          <cell r="N66">
            <v>1420.85</v>
          </cell>
          <cell r="Q66">
            <v>783.41</v>
          </cell>
          <cell r="T66">
            <v>536.74</v>
          </cell>
          <cell r="W66">
            <v>605.80999999999995</v>
          </cell>
          <cell r="Z66">
            <v>479.83</v>
          </cell>
          <cell r="AC66">
            <v>1114.19</v>
          </cell>
          <cell r="AF66">
            <v>751.79</v>
          </cell>
          <cell r="AI66">
            <v>281.8</v>
          </cell>
          <cell r="AL66">
            <v>2065.7600000000002</v>
          </cell>
          <cell r="AO66">
            <v>1075.92</v>
          </cell>
        </row>
        <row r="67">
          <cell r="A67" t="str">
            <v>Véhicules neufsTéléphone</v>
          </cell>
          <cell r="B67" t="str">
            <v>Téléphone</v>
          </cell>
          <cell r="E67">
            <v>3799.73</v>
          </cell>
          <cell r="H67">
            <v>346.5</v>
          </cell>
          <cell r="K67">
            <v>354.25</v>
          </cell>
          <cell r="N67">
            <v>268.57</v>
          </cell>
          <cell r="Q67">
            <v>233.07</v>
          </cell>
          <cell r="T67">
            <v>338.47</v>
          </cell>
          <cell r="W67">
            <v>232.9</v>
          </cell>
          <cell r="Z67">
            <v>233.9</v>
          </cell>
          <cell r="AC67">
            <v>597.5</v>
          </cell>
          <cell r="AF67">
            <v>294.13</v>
          </cell>
          <cell r="AI67">
            <v>303.89</v>
          </cell>
          <cell r="AL67">
            <v>280.55</v>
          </cell>
          <cell r="AO67">
            <v>316</v>
          </cell>
        </row>
        <row r="68">
          <cell r="A68" t="str">
            <v>Véhicules neufsFrais postaux</v>
          </cell>
          <cell r="B68" t="str">
            <v>Frais postaux</v>
          </cell>
          <cell r="E68">
            <v>1622.4400000000003</v>
          </cell>
          <cell r="H68">
            <v>102.26</v>
          </cell>
          <cell r="K68">
            <v>88.51</v>
          </cell>
          <cell r="N68">
            <v>84.98</v>
          </cell>
          <cell r="Q68">
            <v>129.09</v>
          </cell>
          <cell r="T68">
            <v>115.6</v>
          </cell>
          <cell r="W68">
            <v>81.84</v>
          </cell>
          <cell r="Z68">
            <v>130.12</v>
          </cell>
          <cell r="AC68">
            <v>103.55</v>
          </cell>
          <cell r="AF68">
            <v>133.46</v>
          </cell>
          <cell r="AI68">
            <v>252.96</v>
          </cell>
          <cell r="AL68">
            <v>169.87</v>
          </cell>
          <cell r="AO68">
            <v>230.2</v>
          </cell>
        </row>
        <row r="69">
          <cell r="A69" t="str">
            <v>Véhicules neufsDivers</v>
          </cell>
          <cell r="B69" t="str">
            <v>Divers</v>
          </cell>
          <cell r="E69">
            <v>1959.2599999999998</v>
          </cell>
          <cell r="H69">
            <v>567.02</v>
          </cell>
          <cell r="K69">
            <v>283.39</v>
          </cell>
          <cell r="N69">
            <v>66.3</v>
          </cell>
          <cell r="Q69">
            <v>116.88</v>
          </cell>
          <cell r="T69">
            <v>78.52</v>
          </cell>
          <cell r="W69">
            <v>111.34</v>
          </cell>
          <cell r="Z69">
            <v>106.21</v>
          </cell>
          <cell r="AC69">
            <v>112.7</v>
          </cell>
          <cell r="AF69">
            <v>199.88</v>
          </cell>
          <cell r="AI69">
            <v>120</v>
          </cell>
          <cell r="AL69">
            <v>102.8</v>
          </cell>
          <cell r="AO69">
            <v>94.22</v>
          </cell>
        </row>
        <row r="70">
          <cell r="A70" t="str">
            <v>Véhicules neufsFormation</v>
          </cell>
          <cell r="B70" t="str">
            <v>Formation</v>
          </cell>
          <cell r="E70">
            <v>21671.25</v>
          </cell>
          <cell r="H70">
            <v>700.25</v>
          </cell>
          <cell r="K70">
            <v>2862.04</v>
          </cell>
          <cell r="N70">
            <v>6662.96</v>
          </cell>
          <cell r="Q70">
            <v>2687.5</v>
          </cell>
          <cell r="T70">
            <v>783.47</v>
          </cell>
          <cell r="W70">
            <v>487.93</v>
          </cell>
          <cell r="Z70">
            <v>177.08</v>
          </cell>
          <cell r="AC70">
            <v>832.06</v>
          </cell>
          <cell r="AF70">
            <v>1644.02</v>
          </cell>
          <cell r="AI70">
            <v>2106.41</v>
          </cell>
          <cell r="AL70">
            <v>2190.54</v>
          </cell>
          <cell r="AO70">
            <v>536.99</v>
          </cell>
        </row>
        <row r="71">
          <cell r="A71" t="str">
            <v>Véhicules neufsFrais bancaires</v>
          </cell>
          <cell r="B71" t="str">
            <v>Frais bancaires</v>
          </cell>
          <cell r="E71">
            <v>42299.27</v>
          </cell>
          <cell r="H71">
            <v>3141.73</v>
          </cell>
          <cell r="K71">
            <v>2483.42</v>
          </cell>
          <cell r="N71">
            <v>357.08</v>
          </cell>
          <cell r="Q71">
            <v>3025.62</v>
          </cell>
          <cell r="T71">
            <v>7746.73</v>
          </cell>
          <cell r="W71">
            <v>3537.15</v>
          </cell>
          <cell r="Z71">
            <v>3406.43</v>
          </cell>
          <cell r="AC71">
            <v>2659.84</v>
          </cell>
          <cell r="AF71">
            <v>3603.56</v>
          </cell>
          <cell r="AI71">
            <v>4006.58</v>
          </cell>
          <cell r="AL71">
            <v>5124.82</v>
          </cell>
          <cell r="AO71">
            <v>3206.31</v>
          </cell>
        </row>
        <row r="72">
          <cell r="A72" t="str">
            <v>Véhicules neufs[...]</v>
          </cell>
          <cell r="B72" t="str">
            <v>[...]</v>
          </cell>
          <cell r="E72">
            <v>0</v>
          </cell>
        </row>
        <row r="73">
          <cell r="A73" t="str">
            <v>Véhicules neufs[...]</v>
          </cell>
          <cell r="B73" t="str">
            <v>[...]</v>
          </cell>
          <cell r="E73">
            <v>0</v>
          </cell>
        </row>
        <row r="74">
          <cell r="A74" t="str">
            <v>Véhicules neufs[...]</v>
          </cell>
          <cell r="B74" t="str">
            <v>[...]</v>
          </cell>
          <cell r="E74">
            <v>0</v>
          </cell>
        </row>
        <row r="75">
          <cell r="A75" t="str">
            <v>Véhicules neufsTOTAL SEMI-FIXES</v>
          </cell>
          <cell r="B75" t="str">
            <v>TOTAL SEMI-FIXES</v>
          </cell>
          <cell r="C75" t="str">
            <v>% brut</v>
          </cell>
          <cell r="D75">
            <v>0.15179955889180394</v>
          </cell>
          <cell r="E75">
            <v>347680.25999999995</v>
          </cell>
          <cell r="F75" t="str">
            <v>% brut</v>
          </cell>
          <cell r="G75">
            <v>0.193640608653634</v>
          </cell>
          <cell r="H75">
            <v>28336.23</v>
          </cell>
          <cell r="I75" t="str">
            <v>% brut</v>
          </cell>
          <cell r="J75">
            <v>0.30792858227377018</v>
          </cell>
          <cell r="K75">
            <v>32368.11</v>
          </cell>
          <cell r="L75" t="str">
            <v>% brut</v>
          </cell>
          <cell r="M75">
            <v>0.14977518800604434</v>
          </cell>
          <cell r="N75">
            <v>29681.62</v>
          </cell>
          <cell r="O75" t="str">
            <v>% brut</v>
          </cell>
          <cell r="P75">
            <v>0.19158040294297063</v>
          </cell>
          <cell r="Q75">
            <v>26077.07</v>
          </cell>
          <cell r="R75" t="str">
            <v>% brut</v>
          </cell>
          <cell r="S75">
            <v>0.17602700979234495</v>
          </cell>
          <cell r="T75">
            <v>36291.17</v>
          </cell>
          <cell r="U75" t="str">
            <v>% brut</v>
          </cell>
          <cell r="V75">
            <v>0.12011125943928826</v>
          </cell>
          <cell r="W75">
            <v>24672.700000000004</v>
          </cell>
          <cell r="X75" t="str">
            <v>% brut</v>
          </cell>
          <cell r="Y75">
            <v>0.16727623695257843</v>
          </cell>
          <cell r="Z75">
            <v>25796.080000000005</v>
          </cell>
          <cell r="AA75" t="str">
            <v>% brut</v>
          </cell>
          <cell r="AB75">
            <v>0.11166770446279078</v>
          </cell>
          <cell r="AC75">
            <v>22558.51</v>
          </cell>
          <cell r="AD75" t="str">
            <v>% brut</v>
          </cell>
          <cell r="AE75">
            <v>0.13562454537707316</v>
          </cell>
          <cell r="AF75">
            <v>26864.000000000004</v>
          </cell>
          <cell r="AG75" t="str">
            <v>% brut</v>
          </cell>
          <cell r="AH75">
            <v>0.13596676993632298</v>
          </cell>
          <cell r="AI75">
            <v>33402.179999999993</v>
          </cell>
          <cell r="AJ75" t="str">
            <v>% brut</v>
          </cell>
          <cell r="AK75">
            <v>0.11005193187437641</v>
          </cell>
          <cell r="AL75">
            <v>34098.550000000003</v>
          </cell>
          <cell r="AM75" t="str">
            <v>% brut</v>
          </cell>
          <cell r="AN75">
            <v>0.15024664828065973</v>
          </cell>
          <cell r="AO75">
            <v>27534.040000000005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B77" t="str">
            <v>TOTAL DES DÉPENSES</v>
          </cell>
          <cell r="C77" t="str">
            <v>% brut</v>
          </cell>
          <cell r="D77">
            <v>0.8957560969571815</v>
          </cell>
          <cell r="E77">
            <v>2051631.2100000002</v>
          </cell>
          <cell r="F77" t="str">
            <v>% brut</v>
          </cell>
          <cell r="G77">
            <v>1.0756920480546817</v>
          </cell>
          <cell r="H77">
            <v>157410.46000000002</v>
          </cell>
          <cell r="I77" t="str">
            <v>% brut</v>
          </cell>
          <cell r="J77">
            <v>1.4507328310040262</v>
          </cell>
          <cell r="K77">
            <v>152494.71000000002</v>
          </cell>
          <cell r="L77" t="str">
            <v>% brut</v>
          </cell>
          <cell r="M77">
            <v>0.87776544184700467</v>
          </cell>
          <cell r="N77">
            <v>173950.70999999996</v>
          </cell>
          <cell r="O77" t="str">
            <v>% brut</v>
          </cell>
          <cell r="P77">
            <v>1.1936390951393223</v>
          </cell>
          <cell r="Q77">
            <v>162472.82999999999</v>
          </cell>
          <cell r="R77" t="str">
            <v>% brut</v>
          </cell>
          <cell r="S77">
            <v>0.91699679761460839</v>
          </cell>
          <cell r="T77">
            <v>189055.56999999995</v>
          </cell>
          <cell r="U77" t="str">
            <v>% brut</v>
          </cell>
          <cell r="V77">
            <v>0.88706741432895553</v>
          </cell>
          <cell r="W77">
            <v>182217.29</v>
          </cell>
          <cell r="X77" t="str">
            <v>% brut</v>
          </cell>
          <cell r="Y77">
            <v>1.0961581184814777</v>
          </cell>
          <cell r="Z77">
            <v>169041.24000000002</v>
          </cell>
          <cell r="AA77" t="str">
            <v>% brut</v>
          </cell>
          <cell r="AB77">
            <v>0.7823794246981034</v>
          </cell>
          <cell r="AC77">
            <v>158052.09</v>
          </cell>
          <cell r="AD77" t="str">
            <v>% brut</v>
          </cell>
          <cell r="AE77">
            <v>0.78385181382683844</v>
          </cell>
          <cell r="AF77">
            <v>155262.42000000001</v>
          </cell>
          <cell r="AG77" t="str">
            <v>% brut</v>
          </cell>
          <cell r="AH77">
            <v>0.68129063446706328</v>
          </cell>
          <cell r="AI77">
            <v>167368.77999999997</v>
          </cell>
          <cell r="AJ77" t="str">
            <v>% brut</v>
          </cell>
          <cell r="AK77">
            <v>0.68020830973248358</v>
          </cell>
          <cell r="AL77">
            <v>210756.11</v>
          </cell>
          <cell r="AM77" t="str">
            <v>% brut</v>
          </cell>
          <cell r="AN77">
            <v>0.94701524231315892</v>
          </cell>
          <cell r="AO77">
            <v>173549</v>
          </cell>
        </row>
        <row r="78">
          <cell r="A78" t="str">
            <v>Véhicules neufsProgramme neuf 1</v>
          </cell>
          <cell r="B78" t="str">
            <v>Programme neuf 1</v>
          </cell>
          <cell r="E78">
            <v>31556</v>
          </cell>
          <cell r="H78">
            <v>0</v>
          </cell>
          <cell r="K78">
            <v>0</v>
          </cell>
          <cell r="N78">
            <v>0</v>
          </cell>
          <cell r="Q78">
            <v>0</v>
          </cell>
          <cell r="T78">
            <v>0</v>
          </cell>
          <cell r="W78">
            <v>0</v>
          </cell>
          <cell r="Z78">
            <v>0</v>
          </cell>
          <cell r="AC78">
            <v>0</v>
          </cell>
          <cell r="AF78">
            <v>0</v>
          </cell>
          <cell r="AI78">
            <v>0</v>
          </cell>
          <cell r="AL78">
            <v>0</v>
          </cell>
          <cell r="AO78">
            <v>31556</v>
          </cell>
        </row>
        <row r="79">
          <cell r="A79" t="str">
            <v>Véhicules neufsProgramme neuf 2</v>
          </cell>
          <cell r="B79" t="str">
            <v>Programme neuf 2</v>
          </cell>
          <cell r="E79">
            <v>0</v>
          </cell>
          <cell r="H79">
            <v>0</v>
          </cell>
          <cell r="K79">
            <v>0</v>
          </cell>
          <cell r="N79">
            <v>0</v>
          </cell>
          <cell r="Q79">
            <v>0</v>
          </cell>
          <cell r="T79">
            <v>0</v>
          </cell>
          <cell r="W79">
            <v>0</v>
          </cell>
          <cell r="Z79">
            <v>0</v>
          </cell>
          <cell r="AC79">
            <v>0</v>
          </cell>
          <cell r="AF79">
            <v>0</v>
          </cell>
          <cell r="AI79">
            <v>0</v>
          </cell>
          <cell r="AL79">
            <v>0</v>
          </cell>
          <cell r="AO79">
            <v>0</v>
          </cell>
        </row>
        <row r="80">
          <cell r="A80" t="str">
            <v>Véhicules neufsProgramme neuf 3</v>
          </cell>
          <cell r="B80" t="str">
            <v>Programme neuf 3</v>
          </cell>
          <cell r="E80">
            <v>0</v>
          </cell>
          <cell r="H80">
            <v>0</v>
          </cell>
          <cell r="K80">
            <v>0</v>
          </cell>
          <cell r="N80">
            <v>0</v>
          </cell>
          <cell r="Q80">
            <v>0</v>
          </cell>
          <cell r="T80">
            <v>0</v>
          </cell>
          <cell r="W80">
            <v>0</v>
          </cell>
          <cell r="Z80">
            <v>0</v>
          </cell>
          <cell r="AC80">
            <v>0</v>
          </cell>
          <cell r="AF80">
            <v>0</v>
          </cell>
          <cell r="AI80">
            <v>0</v>
          </cell>
          <cell r="AL80">
            <v>0</v>
          </cell>
          <cell r="AO80">
            <v>0</v>
          </cell>
        </row>
        <row r="81">
          <cell r="A81" t="str">
            <v>Véhicules neufsHoldbacks</v>
          </cell>
          <cell r="B81" t="str">
            <v>Holdbacks</v>
          </cell>
          <cell r="E81">
            <v>679516.07</v>
          </cell>
          <cell r="H81">
            <v>49875</v>
          </cell>
          <cell r="K81">
            <v>15765</v>
          </cell>
          <cell r="N81">
            <v>49529.35</v>
          </cell>
          <cell r="Q81">
            <v>39086.080000000002</v>
          </cell>
          <cell r="T81">
            <v>67424.75</v>
          </cell>
          <cell r="W81">
            <v>63469.55</v>
          </cell>
          <cell r="Z81">
            <v>42698.55</v>
          </cell>
          <cell r="AC81">
            <v>59882.85</v>
          </cell>
          <cell r="AF81">
            <v>58938</v>
          </cell>
          <cell r="AI81">
            <v>77258.09</v>
          </cell>
          <cell r="AL81">
            <v>100428</v>
          </cell>
          <cell r="AO81">
            <v>55160.85</v>
          </cell>
        </row>
        <row r="82">
          <cell r="A82" t="str">
            <v>Véhicules neufs[...]</v>
          </cell>
          <cell r="B82" t="str">
            <v>[...]</v>
          </cell>
          <cell r="E82">
            <v>0</v>
          </cell>
          <cell r="H82">
            <v>0</v>
          </cell>
          <cell r="K82">
            <v>0</v>
          </cell>
          <cell r="N82">
            <v>0</v>
          </cell>
          <cell r="Q82">
            <v>0</v>
          </cell>
          <cell r="T82">
            <v>0</v>
          </cell>
          <cell r="W82">
            <v>0</v>
          </cell>
          <cell r="Z82">
            <v>0</v>
          </cell>
          <cell r="AC82">
            <v>0</v>
          </cell>
          <cell r="AF82">
            <v>0</v>
          </cell>
          <cell r="AI82">
            <v>0</v>
          </cell>
          <cell r="AL82">
            <v>0</v>
          </cell>
          <cell r="AO82">
            <v>0</v>
          </cell>
        </row>
        <row r="83">
          <cell r="A83" t="str">
            <v>Véhicules neufs[...]</v>
          </cell>
          <cell r="B83" t="str">
            <v>[...]</v>
          </cell>
          <cell r="E83">
            <v>0</v>
          </cell>
          <cell r="H83">
            <v>0</v>
          </cell>
          <cell r="K83">
            <v>0</v>
          </cell>
          <cell r="N83">
            <v>0</v>
          </cell>
          <cell r="Q83">
            <v>0</v>
          </cell>
          <cell r="T83">
            <v>0</v>
          </cell>
          <cell r="W83">
            <v>0</v>
          </cell>
          <cell r="Z83">
            <v>0</v>
          </cell>
          <cell r="AC83">
            <v>0</v>
          </cell>
          <cell r="AF83">
            <v>0</v>
          </cell>
          <cell r="AI83">
            <v>0</v>
          </cell>
          <cell r="AL83">
            <v>0</v>
          </cell>
          <cell r="AO83">
            <v>0</v>
          </cell>
        </row>
        <row r="84">
          <cell r="A84" t="str">
            <v>Véhicules neufs[...]</v>
          </cell>
          <cell r="B84" t="str">
            <v>[...]</v>
          </cell>
          <cell r="E84">
            <v>0</v>
          </cell>
          <cell r="H84">
            <v>0</v>
          </cell>
          <cell r="K84">
            <v>0</v>
          </cell>
          <cell r="N84">
            <v>0</v>
          </cell>
          <cell r="Q84">
            <v>0</v>
          </cell>
          <cell r="T84">
            <v>0</v>
          </cell>
          <cell r="W84">
            <v>0</v>
          </cell>
          <cell r="Z84">
            <v>0</v>
          </cell>
          <cell r="AC84">
            <v>0</v>
          </cell>
          <cell r="AF84">
            <v>0</v>
          </cell>
          <cell r="AI84">
            <v>0</v>
          </cell>
          <cell r="AL84">
            <v>0</v>
          </cell>
          <cell r="AO84">
            <v>0</v>
          </cell>
        </row>
        <row r="85">
          <cell r="A85" t="str">
            <v>Véhicules neufsFrais administration</v>
          </cell>
          <cell r="B85" t="str">
            <v>Frais administration</v>
          </cell>
          <cell r="E85">
            <v>271044.90000000002</v>
          </cell>
          <cell r="H85">
            <v>17432</v>
          </cell>
          <cell r="K85">
            <v>9307</v>
          </cell>
          <cell r="N85">
            <v>16474</v>
          </cell>
          <cell r="Q85">
            <v>12599</v>
          </cell>
          <cell r="T85">
            <v>23301</v>
          </cell>
          <cell r="W85">
            <v>26386</v>
          </cell>
          <cell r="Z85">
            <v>19446</v>
          </cell>
          <cell r="AC85">
            <v>26922</v>
          </cell>
          <cell r="AF85">
            <v>25665</v>
          </cell>
          <cell r="AI85">
            <v>29179</v>
          </cell>
          <cell r="AL85">
            <v>41872.9</v>
          </cell>
          <cell r="AO85">
            <v>22461</v>
          </cell>
        </row>
        <row r="86">
          <cell r="A86" t="str">
            <v>Véhicules neufsAUTRES REVENUS</v>
          </cell>
          <cell r="B86" t="str">
            <v>AUTRES REVENUS</v>
          </cell>
          <cell r="E86">
            <v>982116.97</v>
          </cell>
          <cell r="H86">
            <v>67307</v>
          </cell>
          <cell r="K86">
            <v>25072</v>
          </cell>
          <cell r="N86">
            <v>66003.350000000006</v>
          </cell>
          <cell r="Q86">
            <v>51685.08</v>
          </cell>
          <cell r="T86">
            <v>90725.75</v>
          </cell>
          <cell r="W86">
            <v>89855.55</v>
          </cell>
          <cell r="Z86">
            <v>62144.55</v>
          </cell>
          <cell r="AC86">
            <v>86804.85</v>
          </cell>
          <cell r="AF86">
            <v>84603</v>
          </cell>
          <cell r="AI86">
            <v>106437.09</v>
          </cell>
          <cell r="AL86">
            <v>142300.9</v>
          </cell>
          <cell r="AO86">
            <v>109177.85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B88" t="str">
            <v>PROFIT DÉPARTEMENTAL</v>
          </cell>
          <cell r="E88">
            <v>1220876.2099999972</v>
          </cell>
          <cell r="H88">
            <v>56230.669999999955</v>
          </cell>
          <cell r="K88">
            <v>-22307.070000000036</v>
          </cell>
          <cell r="N88">
            <v>90227.119999999559</v>
          </cell>
          <cell r="Q88">
            <v>25327.789999999819</v>
          </cell>
          <cell r="T88">
            <v>107838.36999999985</v>
          </cell>
          <cell r="W88">
            <v>113053.64000000017</v>
          </cell>
          <cell r="Z88">
            <v>47315.769999999888</v>
          </cell>
          <cell r="AC88">
            <v>130767.38999999972</v>
          </cell>
          <cell r="AF88">
            <v>127416.81999999977</v>
          </cell>
          <cell r="AI88">
            <v>184732.59999999905</v>
          </cell>
          <cell r="AL88">
            <v>241385.33000000005</v>
          </cell>
          <cell r="AO88">
            <v>118887.77999999977</v>
          </cell>
        </row>
        <row r="92">
          <cell r="B92" t="str">
            <v>Réel 2023</v>
          </cell>
          <cell r="C92" t="str">
            <v>Véhicules usagés</v>
          </cell>
        </row>
        <row r="94">
          <cell r="B94" t="str">
            <v>Mois</v>
          </cell>
          <cell r="C94">
            <v>2023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B96" t="str">
            <v>Ventes nettes</v>
          </cell>
          <cell r="E96">
            <v>16855455.29999996</v>
          </cell>
          <cell r="H96">
            <v>1296133.08</v>
          </cell>
          <cell r="K96">
            <v>1497630.22</v>
          </cell>
          <cell r="N96">
            <v>1620696.5999999901</v>
          </cell>
          <cell r="Q96">
            <v>738971.179999999</v>
          </cell>
          <cell r="T96">
            <v>1554686.55</v>
          </cell>
          <cell r="W96">
            <v>1977586.1099999901</v>
          </cell>
          <cell r="Z96">
            <v>1727866.74999999</v>
          </cell>
          <cell r="AC96">
            <v>1894182.16</v>
          </cell>
          <cell r="AF96">
            <v>1244144.26</v>
          </cell>
          <cell r="AI96">
            <v>1412113.8299999901</v>
          </cell>
          <cell r="AL96">
            <v>1111062.75</v>
          </cell>
          <cell r="AO96">
            <v>780381.81</v>
          </cell>
        </row>
        <row r="97">
          <cell r="A97" t="str">
            <v>Véhicules usagésCertifié</v>
          </cell>
          <cell r="B97" t="str">
            <v>Certifié</v>
          </cell>
          <cell r="C97">
            <v>277</v>
          </cell>
          <cell r="D97">
            <v>1593.4981227436801</v>
          </cell>
          <cell r="E97">
            <v>441398.9799999994</v>
          </cell>
          <cell r="F97">
            <v>24</v>
          </cell>
          <cell r="G97">
            <v>1385.6670833333292</v>
          </cell>
          <cell r="H97">
            <v>33256.0099999999</v>
          </cell>
          <cell r="I97">
            <v>25</v>
          </cell>
          <cell r="J97">
            <v>1372.090399999996</v>
          </cell>
          <cell r="K97">
            <v>34302.2599999999</v>
          </cell>
          <cell r="L97">
            <v>34</v>
          </cell>
          <cell r="M97">
            <v>1614.0461764705851</v>
          </cell>
          <cell r="N97">
            <v>54877.569999999898</v>
          </cell>
          <cell r="O97">
            <v>15</v>
          </cell>
          <cell r="P97">
            <v>1983.7439999999935</v>
          </cell>
          <cell r="Q97">
            <v>29756.159999999902</v>
          </cell>
          <cell r="R97">
            <v>15</v>
          </cell>
          <cell r="S97">
            <v>1755.5306666666665</v>
          </cell>
          <cell r="T97">
            <v>26332.959999999999</v>
          </cell>
          <cell r="U97">
            <v>18</v>
          </cell>
          <cell r="V97">
            <v>2437.2944444444447</v>
          </cell>
          <cell r="W97">
            <v>43871.3</v>
          </cell>
          <cell r="X97">
            <v>32</v>
          </cell>
          <cell r="Y97">
            <v>1795.72</v>
          </cell>
          <cell r="Z97">
            <v>57463.040000000001</v>
          </cell>
          <cell r="AA97">
            <v>35</v>
          </cell>
          <cell r="AB97">
            <v>878.82857142856858</v>
          </cell>
          <cell r="AC97">
            <v>30758.999999999902</v>
          </cell>
          <cell r="AD97">
            <v>29</v>
          </cell>
          <cell r="AE97">
            <v>1929.9779310344827</v>
          </cell>
          <cell r="AF97">
            <v>55969.36</v>
          </cell>
          <cell r="AG97">
            <v>21</v>
          </cell>
          <cell r="AH97">
            <v>1924.4195238095238</v>
          </cell>
          <cell r="AI97">
            <v>40412.81</v>
          </cell>
          <cell r="AJ97">
            <v>16</v>
          </cell>
          <cell r="AK97">
            <v>1359.5374999999999</v>
          </cell>
          <cell r="AL97">
            <v>21752.6</v>
          </cell>
          <cell r="AM97">
            <v>13</v>
          </cell>
          <cell r="AN97">
            <v>972.76230769230767</v>
          </cell>
          <cell r="AO97">
            <v>12645.91</v>
          </cell>
        </row>
        <row r="98">
          <cell r="A98" t="str">
            <v>Véhicules usagésNon Certifié</v>
          </cell>
          <cell r="B98" t="str">
            <v>Non Certifié</v>
          </cell>
          <cell r="C98">
            <v>49</v>
          </cell>
          <cell r="D98">
            <v>1832.4291836734628</v>
          </cell>
          <cell r="E98">
            <v>89789.029999999679</v>
          </cell>
          <cell r="F98">
            <v>2</v>
          </cell>
          <cell r="G98">
            <v>-934.86499999999501</v>
          </cell>
          <cell r="H98">
            <v>-1869.72999999999</v>
          </cell>
          <cell r="I98">
            <v>1</v>
          </cell>
          <cell r="J98">
            <v>-2595.5</v>
          </cell>
          <cell r="K98">
            <v>-2595.5</v>
          </cell>
          <cell r="L98">
            <v>1</v>
          </cell>
          <cell r="M98">
            <v>951</v>
          </cell>
          <cell r="N98">
            <v>951</v>
          </cell>
          <cell r="O98">
            <v>5</v>
          </cell>
          <cell r="P98">
            <v>2587.1639999999798</v>
          </cell>
          <cell r="Q98">
            <v>12935.8199999999</v>
          </cell>
          <cell r="R98">
            <v>10</v>
          </cell>
          <cell r="S98">
            <v>2407.5810000000001</v>
          </cell>
          <cell r="T98">
            <v>24075.81</v>
          </cell>
          <cell r="U98">
            <v>7</v>
          </cell>
          <cell r="V98">
            <v>1925.8071428571286</v>
          </cell>
          <cell r="W98">
            <v>13480.6499999999</v>
          </cell>
          <cell r="X98">
            <v>4</v>
          </cell>
          <cell r="Y98">
            <v>1612.4724999999976</v>
          </cell>
          <cell r="Z98">
            <v>6449.8899999999903</v>
          </cell>
          <cell r="AA98">
            <v>1</v>
          </cell>
          <cell r="AB98">
            <v>3601.1</v>
          </cell>
          <cell r="AC98">
            <v>3601.1</v>
          </cell>
          <cell r="AD98">
            <v>4</v>
          </cell>
          <cell r="AE98">
            <v>2172.4674999999975</v>
          </cell>
          <cell r="AF98">
            <v>8689.8699999999899</v>
          </cell>
          <cell r="AG98">
            <v>5</v>
          </cell>
          <cell r="AH98">
            <v>2390.0219999999799</v>
          </cell>
          <cell r="AI98">
            <v>11950.109999999901</v>
          </cell>
          <cell r="AJ98">
            <v>4</v>
          </cell>
          <cell r="AK98">
            <v>817.01750000000004</v>
          </cell>
          <cell r="AL98">
            <v>3268.07</v>
          </cell>
          <cell r="AM98">
            <v>5</v>
          </cell>
          <cell r="AN98">
            <v>1770.3879999999979</v>
          </cell>
          <cell r="AO98">
            <v>8851.9399999999896</v>
          </cell>
        </row>
        <row r="99">
          <cell r="A99" t="str">
            <v>Véhicules usagésAutres Marques</v>
          </cell>
          <cell r="B99" t="str">
            <v>Autres Marques</v>
          </cell>
        </row>
        <row r="100">
          <cell r="A100" t="str">
            <v>Véhicules usagésTotal Usagés</v>
          </cell>
          <cell r="B100" t="str">
            <v>Total Usagés</v>
          </cell>
          <cell r="C100">
            <v>326</v>
          </cell>
          <cell r="D100">
            <v>1629.4110736196292</v>
          </cell>
          <cell r="E100">
            <v>531188.00999999908</v>
          </cell>
          <cell r="F100">
            <v>26</v>
          </cell>
          <cell r="G100">
            <v>1207.164615384612</v>
          </cell>
          <cell r="H100">
            <v>31386.279999999912</v>
          </cell>
          <cell r="I100">
            <v>26</v>
          </cell>
          <cell r="J100">
            <v>1219.4907692307654</v>
          </cell>
          <cell r="K100">
            <v>31706.7599999999</v>
          </cell>
          <cell r="L100">
            <v>35</v>
          </cell>
          <cell r="M100">
            <v>1595.1019999999971</v>
          </cell>
          <cell r="N100">
            <v>55828.569999999898</v>
          </cell>
          <cell r="O100">
            <v>20</v>
          </cell>
          <cell r="P100">
            <v>2134.5989999999902</v>
          </cell>
          <cell r="Q100">
            <v>42691.979999999799</v>
          </cell>
          <cell r="R100">
            <v>25</v>
          </cell>
          <cell r="S100">
            <v>2016.3508000000002</v>
          </cell>
          <cell r="T100">
            <v>50408.770000000004</v>
          </cell>
          <cell r="U100">
            <v>25</v>
          </cell>
          <cell r="V100">
            <v>2294.0779999999959</v>
          </cell>
          <cell r="W100">
            <v>57351.949999999903</v>
          </cell>
          <cell r="X100">
            <v>36</v>
          </cell>
          <cell r="Y100">
            <v>1775.3591666666664</v>
          </cell>
          <cell r="Z100">
            <v>63912.929999999993</v>
          </cell>
          <cell r="AA100">
            <v>36</v>
          </cell>
          <cell r="AB100">
            <v>954.44722222221958</v>
          </cell>
          <cell r="AC100">
            <v>34360.099999999904</v>
          </cell>
          <cell r="AD100">
            <v>33</v>
          </cell>
          <cell r="AE100">
            <v>1959.3706060606057</v>
          </cell>
          <cell r="AF100">
            <v>64659.229999999989</v>
          </cell>
          <cell r="AG100">
            <v>26</v>
          </cell>
          <cell r="AH100">
            <v>2013.9584615384576</v>
          </cell>
          <cell r="AI100">
            <v>52362.919999999896</v>
          </cell>
          <cell r="AJ100">
            <v>20</v>
          </cell>
          <cell r="AK100">
            <v>1251.0335</v>
          </cell>
          <cell r="AL100">
            <v>25020.67</v>
          </cell>
          <cell r="AM100">
            <v>18</v>
          </cell>
          <cell r="AN100">
            <v>1194.3249999999996</v>
          </cell>
          <cell r="AO100">
            <v>21497.849999999991</v>
          </cell>
        </row>
        <row r="101">
          <cell r="A101" t="str">
            <v>Véhicules usagés</v>
          </cell>
        </row>
        <row r="102">
          <cell r="A102" t="str">
            <v>Véhicules usagés</v>
          </cell>
          <cell r="F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  <cell r="Z102">
            <v>0</v>
          </cell>
          <cell r="AA102">
            <v>0</v>
          </cell>
          <cell r="AC102">
            <v>0</v>
          </cell>
          <cell r="AD102">
            <v>0</v>
          </cell>
          <cell r="AF102">
            <v>0</v>
          </cell>
          <cell r="AG102">
            <v>0</v>
          </cell>
          <cell r="AI102">
            <v>0</v>
          </cell>
          <cell r="AJ102">
            <v>0</v>
          </cell>
          <cell r="AL102">
            <v>0</v>
          </cell>
          <cell r="AM102">
            <v>0</v>
          </cell>
          <cell r="AO102">
            <v>0</v>
          </cell>
        </row>
        <row r="103">
          <cell r="A103" t="str">
            <v>Véhicules usagésVentes au Gros</v>
          </cell>
          <cell r="B103" t="str">
            <v>Ventes au Gros</v>
          </cell>
          <cell r="C103">
            <v>388</v>
          </cell>
          <cell r="D103">
            <v>407.72474226804064</v>
          </cell>
          <cell r="E103">
            <v>158197.19999999978</v>
          </cell>
          <cell r="F103">
            <v>34</v>
          </cell>
          <cell r="G103">
            <v>996.86470588235295</v>
          </cell>
          <cell r="H103">
            <v>33893.4</v>
          </cell>
          <cell r="I103">
            <v>30</v>
          </cell>
          <cell r="J103">
            <v>494.24499999999665</v>
          </cell>
          <cell r="K103">
            <v>14827.3499999999</v>
          </cell>
          <cell r="L103">
            <v>32</v>
          </cell>
          <cell r="M103">
            <v>198.24874999999875</v>
          </cell>
          <cell r="N103">
            <v>6343.95999999996</v>
          </cell>
          <cell r="O103">
            <v>10</v>
          </cell>
          <cell r="P103">
            <v>1818</v>
          </cell>
          <cell r="Q103">
            <v>18180</v>
          </cell>
          <cell r="R103">
            <v>43</v>
          </cell>
          <cell r="S103">
            <v>409.93325581395351</v>
          </cell>
          <cell r="T103">
            <v>17627.13</v>
          </cell>
          <cell r="U103">
            <v>57</v>
          </cell>
          <cell r="V103">
            <v>568.81631578947372</v>
          </cell>
          <cell r="W103">
            <v>32422.53</v>
          </cell>
          <cell r="X103">
            <v>28</v>
          </cell>
          <cell r="Y103">
            <v>616.26178571428579</v>
          </cell>
          <cell r="Z103">
            <v>17255.330000000002</v>
          </cell>
          <cell r="AA103">
            <v>38</v>
          </cell>
          <cell r="AB103">
            <v>-4.677894736842342</v>
          </cell>
          <cell r="AC103">
            <v>-177.760000000009</v>
          </cell>
          <cell r="AD103">
            <v>26</v>
          </cell>
          <cell r="AE103">
            <v>442.14423076923077</v>
          </cell>
          <cell r="AF103">
            <v>11495.75</v>
          </cell>
          <cell r="AG103">
            <v>38</v>
          </cell>
          <cell r="AH103">
            <v>362.24263157894472</v>
          </cell>
          <cell r="AI103">
            <v>13765.219999999899</v>
          </cell>
          <cell r="AJ103">
            <v>31</v>
          </cell>
          <cell r="AK103">
            <v>15.867741935484613</v>
          </cell>
          <cell r="AL103">
            <v>491.900000000023</v>
          </cell>
          <cell r="AM103">
            <v>21</v>
          </cell>
          <cell r="AN103">
            <v>-377.50523809523713</v>
          </cell>
          <cell r="AO103">
            <v>-7927.6099999999797</v>
          </cell>
        </row>
        <row r="104">
          <cell r="A104" t="str">
            <v>Véhicules usagés</v>
          </cell>
        </row>
        <row r="105">
          <cell r="A105" t="str">
            <v>Véhicules usagésRev. Finances</v>
          </cell>
          <cell r="B105" t="str">
            <v>Rev. Finances</v>
          </cell>
          <cell r="D105">
            <v>652.20840490797548</v>
          </cell>
          <cell r="E105">
            <v>212619.94</v>
          </cell>
          <cell r="G105">
            <v>952.25192307692305</v>
          </cell>
          <cell r="H105">
            <v>24758.55</v>
          </cell>
          <cell r="J105">
            <v>654.84538461538455</v>
          </cell>
          <cell r="K105">
            <v>17025.98</v>
          </cell>
          <cell r="M105">
            <v>617.24285714285713</v>
          </cell>
          <cell r="N105">
            <v>21603.5</v>
          </cell>
          <cell r="P105">
            <v>948.60249999999996</v>
          </cell>
          <cell r="Q105">
            <v>18972.05</v>
          </cell>
          <cell r="S105">
            <v>829.99440000000004</v>
          </cell>
          <cell r="T105">
            <v>20749.86</v>
          </cell>
          <cell r="V105">
            <v>734.96679999999992</v>
          </cell>
          <cell r="W105">
            <v>18374.169999999998</v>
          </cell>
          <cell r="Y105">
            <v>517.39305555555563</v>
          </cell>
          <cell r="Z105">
            <v>18626.150000000001</v>
          </cell>
          <cell r="AB105">
            <v>707.17361111111109</v>
          </cell>
          <cell r="AC105">
            <v>25458.25</v>
          </cell>
          <cell r="AE105">
            <v>444.8366666666667</v>
          </cell>
          <cell r="AF105">
            <v>14679.61</v>
          </cell>
          <cell r="AH105">
            <v>756.81269230769237</v>
          </cell>
          <cell r="AI105">
            <v>19677.13</v>
          </cell>
          <cell r="AK105">
            <v>370.49099999999999</v>
          </cell>
          <cell r="AL105">
            <v>7409.82</v>
          </cell>
          <cell r="AN105">
            <v>293.60388888888889</v>
          </cell>
          <cell r="AO105">
            <v>5284.87</v>
          </cell>
        </row>
        <row r="106">
          <cell r="A106" t="str">
            <v>Véhicules usagésRev. Protections</v>
          </cell>
          <cell r="B106" t="str">
            <v>Rev. Protections</v>
          </cell>
          <cell r="D106">
            <v>1332.3468098159501</v>
          </cell>
          <cell r="E106">
            <v>434345.05999999976</v>
          </cell>
          <cell r="G106">
            <v>1098.0211538461538</v>
          </cell>
          <cell r="H106">
            <v>28548.55</v>
          </cell>
          <cell r="J106">
            <v>905.16</v>
          </cell>
          <cell r="K106">
            <v>23534.16</v>
          </cell>
          <cell r="M106">
            <v>1357.6008571428572</v>
          </cell>
          <cell r="N106">
            <v>47516.03</v>
          </cell>
          <cell r="P106">
            <v>2016.6610000000001</v>
          </cell>
          <cell r="Q106">
            <v>40333.22</v>
          </cell>
          <cell r="S106">
            <v>1483.5695999999998</v>
          </cell>
          <cell r="T106">
            <v>37089.24</v>
          </cell>
          <cell r="V106">
            <v>1754.646</v>
          </cell>
          <cell r="W106">
            <v>43866.15</v>
          </cell>
          <cell r="Y106">
            <v>997.11055555555276</v>
          </cell>
          <cell r="Z106">
            <v>35895.979999999901</v>
          </cell>
          <cell r="AB106">
            <v>1507.8911111111111</v>
          </cell>
          <cell r="AC106">
            <v>54284.08</v>
          </cell>
          <cell r="AE106">
            <v>1292.9415151515152</v>
          </cell>
          <cell r="AF106">
            <v>42667.07</v>
          </cell>
          <cell r="AH106">
            <v>1666.1407692307694</v>
          </cell>
          <cell r="AI106">
            <v>43319.66</v>
          </cell>
          <cell r="AK106">
            <v>937.14650000000006</v>
          </cell>
          <cell r="AL106">
            <v>18742.93</v>
          </cell>
          <cell r="AN106">
            <v>1030.4438888888833</v>
          </cell>
          <cell r="AO106">
            <v>18547.9899999999</v>
          </cell>
        </row>
        <row r="107">
          <cell r="A107" t="str">
            <v>Véhicules usagésRev. Autres</v>
          </cell>
          <cell r="B107" t="str">
            <v>Rev. Autres</v>
          </cell>
          <cell r="D107">
            <v>29.861165644171784</v>
          </cell>
          <cell r="E107">
            <v>9734.7400000000016</v>
          </cell>
          <cell r="G107">
            <v>0</v>
          </cell>
          <cell r="H107">
            <v>0</v>
          </cell>
          <cell r="J107">
            <v>45.006538461538462</v>
          </cell>
          <cell r="K107">
            <v>1170.17</v>
          </cell>
          <cell r="M107">
            <v>26.397714285714283</v>
          </cell>
          <cell r="N107">
            <v>923.92</v>
          </cell>
          <cell r="P107">
            <v>0</v>
          </cell>
          <cell r="Q107">
            <v>0</v>
          </cell>
          <cell r="S107">
            <v>35.728000000000002</v>
          </cell>
          <cell r="T107">
            <v>893.2</v>
          </cell>
          <cell r="V107">
            <v>59.932400000000001</v>
          </cell>
          <cell r="W107">
            <v>1498.31</v>
          </cell>
          <cell r="Y107">
            <v>25.253888888888888</v>
          </cell>
          <cell r="Z107">
            <v>909.14</v>
          </cell>
          <cell r="AB107">
            <v>29.091666666666665</v>
          </cell>
          <cell r="AC107">
            <v>1047.3</v>
          </cell>
          <cell r="AE107">
            <v>40.802424242424244</v>
          </cell>
          <cell r="AF107">
            <v>1346.48</v>
          </cell>
          <cell r="AH107">
            <v>59.70269230769231</v>
          </cell>
          <cell r="AI107">
            <v>1552.27</v>
          </cell>
          <cell r="AK107">
            <v>19.697499999999998</v>
          </cell>
          <cell r="AL107">
            <v>393.95</v>
          </cell>
          <cell r="AN107">
            <v>0</v>
          </cell>
          <cell r="AO107">
            <v>0</v>
          </cell>
        </row>
        <row r="108">
          <cell r="A108" t="str">
            <v>Véhicules usagésTotal F&amp;I</v>
          </cell>
          <cell r="B108" t="str">
            <v>Total F&amp;I</v>
          </cell>
          <cell r="C108">
            <v>326</v>
          </cell>
          <cell r="D108">
            <v>2014.4163803680974</v>
          </cell>
          <cell r="E108">
            <v>656699.73999999976</v>
          </cell>
          <cell r="F108">
            <v>26</v>
          </cell>
          <cell r="G108">
            <v>2050.273076923077</v>
          </cell>
          <cell r="H108">
            <v>53307.1</v>
          </cell>
          <cell r="I108">
            <v>26</v>
          </cell>
          <cell r="J108">
            <v>1605.011923076923</v>
          </cell>
          <cell r="K108">
            <v>41730.31</v>
          </cell>
          <cell r="L108">
            <v>35</v>
          </cell>
          <cell r="M108">
            <v>2001.2414285714285</v>
          </cell>
          <cell r="N108">
            <v>70043.45</v>
          </cell>
          <cell r="O108">
            <v>20</v>
          </cell>
          <cell r="P108">
            <v>2965.2635</v>
          </cell>
          <cell r="Q108">
            <v>59305.270000000004</v>
          </cell>
          <cell r="R108">
            <v>25</v>
          </cell>
          <cell r="S108">
            <v>2349.2919999999999</v>
          </cell>
          <cell r="T108">
            <v>58732.299999999996</v>
          </cell>
          <cell r="U108">
            <v>25</v>
          </cell>
          <cell r="V108">
            <v>2549.5452</v>
          </cell>
          <cell r="W108">
            <v>63738.63</v>
          </cell>
          <cell r="X108">
            <v>36</v>
          </cell>
          <cell r="Y108">
            <v>1539.7574999999972</v>
          </cell>
          <cell r="Z108">
            <v>55431.269999999902</v>
          </cell>
          <cell r="AA108">
            <v>36</v>
          </cell>
          <cell r="AB108">
            <v>2244.1563888888891</v>
          </cell>
          <cell r="AC108">
            <v>80789.63</v>
          </cell>
          <cell r="AD108">
            <v>33</v>
          </cell>
          <cell r="AE108">
            <v>1778.5806060606062</v>
          </cell>
          <cell r="AF108">
            <v>58693.16</v>
          </cell>
          <cell r="AG108">
            <v>26</v>
          </cell>
          <cell r="AH108">
            <v>2482.6561538461542</v>
          </cell>
          <cell r="AI108">
            <v>64549.060000000005</v>
          </cell>
          <cell r="AJ108">
            <v>20</v>
          </cell>
          <cell r="AK108">
            <v>1327.335</v>
          </cell>
          <cell r="AL108">
            <v>26546.7</v>
          </cell>
          <cell r="AM108">
            <v>18</v>
          </cell>
          <cell r="AN108">
            <v>1324.0477777777721</v>
          </cell>
          <cell r="AO108">
            <v>23832.859999999899</v>
          </cell>
        </row>
        <row r="109">
          <cell r="A109" t="str">
            <v>Véhicules usagés</v>
          </cell>
        </row>
        <row r="110">
          <cell r="A110" t="str">
            <v>Véhicules usagés</v>
          </cell>
        </row>
        <row r="111">
          <cell r="A111" t="str">
            <v>Véhicules usagésTotal Dépt. Usagés</v>
          </cell>
          <cell r="B111" t="str">
            <v>Total Dépt. Usagés</v>
          </cell>
          <cell r="C111">
            <v>714</v>
          </cell>
          <cell r="D111">
            <v>1885.2730392156843</v>
          </cell>
          <cell r="E111">
            <v>1346084.9499999986</v>
          </cell>
          <cell r="F111">
            <v>60</v>
          </cell>
          <cell r="G111">
            <v>1976.4463333333319</v>
          </cell>
          <cell r="H111">
            <v>118586.77999999991</v>
          </cell>
          <cell r="I111">
            <v>56</v>
          </cell>
          <cell r="J111">
            <v>1576.1503571428534</v>
          </cell>
          <cell r="K111">
            <v>88264.419999999795</v>
          </cell>
          <cell r="L111">
            <v>67</v>
          </cell>
          <cell r="M111">
            <v>1973.3728358208934</v>
          </cell>
          <cell r="N111">
            <v>132215.97999999986</v>
          </cell>
          <cell r="O111">
            <v>30</v>
          </cell>
          <cell r="P111">
            <v>4005.9083333333265</v>
          </cell>
          <cell r="Q111">
            <v>120177.2499999998</v>
          </cell>
          <cell r="R111">
            <v>68</v>
          </cell>
          <cell r="S111">
            <v>1864.2382352941179</v>
          </cell>
          <cell r="T111">
            <v>126768.20000000001</v>
          </cell>
          <cell r="U111">
            <v>82</v>
          </cell>
          <cell r="V111">
            <v>1872.1110975609745</v>
          </cell>
          <cell r="W111">
            <v>153513.1099999999</v>
          </cell>
          <cell r="X111">
            <v>64</v>
          </cell>
          <cell r="Y111">
            <v>2134.3676562499986</v>
          </cell>
          <cell r="Z111">
            <v>136599.52999999991</v>
          </cell>
          <cell r="AA111">
            <v>74</v>
          </cell>
          <cell r="AB111">
            <v>1553.6752702702688</v>
          </cell>
          <cell r="AC111">
            <v>114971.9699999999</v>
          </cell>
          <cell r="AD111">
            <v>59</v>
          </cell>
          <cell r="AE111">
            <v>2285.5616949152541</v>
          </cell>
          <cell r="AF111">
            <v>134848.13999999998</v>
          </cell>
          <cell r="AG111">
            <v>64</v>
          </cell>
          <cell r="AH111">
            <v>2041.8312499999968</v>
          </cell>
          <cell r="AI111">
            <v>130677.19999999979</v>
          </cell>
          <cell r="AJ111">
            <v>51</v>
          </cell>
          <cell r="AK111">
            <v>1020.7700000000003</v>
          </cell>
          <cell r="AL111">
            <v>52059.270000000019</v>
          </cell>
          <cell r="AM111">
            <v>39</v>
          </cell>
          <cell r="AN111">
            <v>959.05384615384389</v>
          </cell>
          <cell r="AO111">
            <v>37403.099999999911</v>
          </cell>
        </row>
        <row r="112">
          <cell r="A112" t="str">
            <v>Véhicules usagés</v>
          </cell>
        </row>
        <row r="113">
          <cell r="A113" t="str">
            <v>Véhicules usagés</v>
          </cell>
        </row>
        <row r="114">
          <cell r="A114" t="str">
            <v>Véhicules usagésDEPENSES</v>
          </cell>
          <cell r="B114" t="str">
            <v>DEPENSES</v>
          </cell>
        </row>
        <row r="115">
          <cell r="A115" t="str">
            <v>Véhicules usagésComm. vendeurs</v>
          </cell>
          <cell r="B115" t="str">
            <v>Comm. vendeurs</v>
          </cell>
          <cell r="C115">
            <v>0.48212844638567881</v>
          </cell>
          <cell r="D115">
            <v>785.58542944785268</v>
          </cell>
          <cell r="E115">
            <v>256100.84999999998</v>
          </cell>
          <cell r="F115">
            <v>0.42351403224593798</v>
          </cell>
          <cell r="G115">
            <v>511.2511538461539</v>
          </cell>
          <cell r="H115">
            <v>13292.53</v>
          </cell>
          <cell r="I115">
            <v>0.44295916706721356</v>
          </cell>
          <cell r="J115">
            <v>540.18461538461531</v>
          </cell>
          <cell r="K115">
            <v>14044.8</v>
          </cell>
          <cell r="L115">
            <v>0.54418517257382837</v>
          </cell>
          <cell r="M115">
            <v>868.03085714285714</v>
          </cell>
          <cell r="N115">
            <v>30381.08</v>
          </cell>
          <cell r="O115">
            <v>0.43717508534390037</v>
          </cell>
          <cell r="P115">
            <v>933.19349999999997</v>
          </cell>
          <cell r="Q115">
            <v>18663.87</v>
          </cell>
          <cell r="R115">
            <v>0.54239014361985027</v>
          </cell>
          <cell r="S115">
            <v>1093.6487999999999</v>
          </cell>
          <cell r="T115">
            <v>27341.22</v>
          </cell>
          <cell r="U115">
            <v>0.42385620715599104</v>
          </cell>
          <cell r="V115">
            <v>972.35919999999999</v>
          </cell>
          <cell r="W115">
            <v>24308.98</v>
          </cell>
          <cell r="X115">
            <v>0.53527729052634576</v>
          </cell>
          <cell r="Y115">
            <v>950.30944444444447</v>
          </cell>
          <cell r="Z115">
            <v>34211.14</v>
          </cell>
          <cell r="AA115">
            <v>0.62041204769485703</v>
          </cell>
          <cell r="AB115">
            <v>592.15055555555546</v>
          </cell>
          <cell r="AC115">
            <v>21317.42</v>
          </cell>
          <cell r="AD115">
            <v>0.41499891044171117</v>
          </cell>
          <cell r="AE115">
            <v>813.13666666666666</v>
          </cell>
          <cell r="AF115">
            <v>26833.51</v>
          </cell>
          <cell r="AG115">
            <v>0.50307011144527569</v>
          </cell>
          <cell r="AH115">
            <v>1013.1623076923078</v>
          </cell>
          <cell r="AI115">
            <v>26342.22</v>
          </cell>
          <cell r="AJ115">
            <v>0.32932491416097176</v>
          </cell>
          <cell r="AK115">
            <v>411.99650000000003</v>
          </cell>
          <cell r="AL115">
            <v>8239.93</v>
          </cell>
          <cell r="AM115">
            <v>0.51745407098849439</v>
          </cell>
          <cell r="AN115">
            <v>618.00833333333333</v>
          </cell>
          <cell r="AO115">
            <v>11124.15</v>
          </cell>
        </row>
        <row r="116">
          <cell r="A116" t="str">
            <v>Véhicules usagésComm. F&amp;I</v>
          </cell>
          <cell r="B116" t="str">
            <v>Comm. F&amp;I</v>
          </cell>
          <cell r="C116">
            <v>0.29783623791293123</v>
          </cell>
          <cell r="D116">
            <v>599.96619631901842</v>
          </cell>
          <cell r="E116">
            <v>195588.98</v>
          </cell>
          <cell r="F116">
            <v>0.18338045025897112</v>
          </cell>
          <cell r="G116">
            <v>375.97999999999996</v>
          </cell>
          <cell r="H116">
            <v>9775.48</v>
          </cell>
          <cell r="I116">
            <v>0.33317868954244528</v>
          </cell>
          <cell r="J116">
            <v>534.75576923076926</v>
          </cell>
          <cell r="K116">
            <v>13903.65</v>
          </cell>
          <cell r="L116">
            <v>0.31930066266010598</v>
          </cell>
          <cell r="M116">
            <v>638.99771428571421</v>
          </cell>
          <cell r="N116">
            <v>22364.92</v>
          </cell>
          <cell r="O116">
            <v>0.29925822781010858</v>
          </cell>
          <cell r="P116">
            <v>887.37950000000001</v>
          </cell>
          <cell r="Q116">
            <v>17747.59</v>
          </cell>
          <cell r="R116">
            <v>0.35189852942929195</v>
          </cell>
          <cell r="S116">
            <v>826.7124</v>
          </cell>
          <cell r="T116">
            <v>20667.810000000001</v>
          </cell>
          <cell r="U116">
            <v>0.30015392549227998</v>
          </cell>
          <cell r="V116">
            <v>765.25600000000009</v>
          </cell>
          <cell r="W116">
            <v>19131.400000000001</v>
          </cell>
          <cell r="X116">
            <v>0.28294588956738725</v>
          </cell>
          <cell r="Y116">
            <v>435.66805555555555</v>
          </cell>
          <cell r="Z116">
            <v>15684.05</v>
          </cell>
          <cell r="AA116">
            <v>0.29984021464140881</v>
          </cell>
          <cell r="AB116">
            <v>672.88833333333332</v>
          </cell>
          <cell r="AC116">
            <v>24223.98</v>
          </cell>
          <cell r="AD116">
            <v>0.30044489000081098</v>
          </cell>
          <cell r="AE116">
            <v>534.36545454545455</v>
          </cell>
          <cell r="AF116">
            <v>17634.060000000001</v>
          </cell>
          <cell r="AG116">
            <v>0.29975959371058231</v>
          </cell>
          <cell r="AH116">
            <v>744.2</v>
          </cell>
          <cell r="AI116">
            <v>19349.2</v>
          </cell>
          <cell r="AJ116">
            <v>0.30119751230849784</v>
          </cell>
          <cell r="AK116">
            <v>399.79</v>
          </cell>
          <cell r="AL116">
            <v>7995.8</v>
          </cell>
          <cell r="AM116">
            <v>0.29837124037988016</v>
          </cell>
          <cell r="AN116">
            <v>395.0577777777778</v>
          </cell>
          <cell r="AO116">
            <v>7111.04</v>
          </cell>
        </row>
        <row r="117">
          <cell r="A117" t="str">
            <v>Véhicules usagésFrais de livraison</v>
          </cell>
          <cell r="B117" t="str">
            <v>Frais de livraison</v>
          </cell>
          <cell r="D117">
            <v>-17.275674846625765</v>
          </cell>
          <cell r="E117">
            <v>-5631.87</v>
          </cell>
          <cell r="G117">
            <v>29.692692307692308</v>
          </cell>
          <cell r="H117">
            <v>772.01</v>
          </cell>
          <cell r="J117">
            <v>26.889615384615386</v>
          </cell>
          <cell r="K117">
            <v>699.13</v>
          </cell>
          <cell r="M117">
            <v>1.712</v>
          </cell>
          <cell r="N117">
            <v>59.92</v>
          </cell>
          <cell r="P117">
            <v>-57.813499999999998</v>
          </cell>
          <cell r="Q117">
            <v>-1156.27</v>
          </cell>
          <cell r="S117">
            <v>-49.627200000000002</v>
          </cell>
          <cell r="T117">
            <v>-1240.68</v>
          </cell>
          <cell r="V117">
            <v>-2.5384000000000002</v>
          </cell>
          <cell r="W117">
            <v>-63.46</v>
          </cell>
          <cell r="Y117">
            <v>-47.69638888888889</v>
          </cell>
          <cell r="Z117">
            <v>-1717.07</v>
          </cell>
          <cell r="AB117">
            <v>2.4216666666666669</v>
          </cell>
          <cell r="AC117">
            <v>87.18</v>
          </cell>
          <cell r="AE117">
            <v>-31.004848484848484</v>
          </cell>
          <cell r="AF117">
            <v>-1023.16</v>
          </cell>
          <cell r="AH117">
            <v>5.3234615384615385</v>
          </cell>
          <cell r="AI117">
            <v>138.41</v>
          </cell>
          <cell r="AK117">
            <v>-11.343500000000001</v>
          </cell>
          <cell r="AL117">
            <v>-226.87</v>
          </cell>
          <cell r="AN117">
            <v>-108.94499999999999</v>
          </cell>
          <cell r="AO117">
            <v>-1961.01</v>
          </cell>
        </row>
        <row r="118">
          <cell r="A118" t="str">
            <v>Véhicules usagésService gratuit 1</v>
          </cell>
          <cell r="B118" t="str">
            <v>Service gratuit 1</v>
          </cell>
          <cell r="D118">
            <v>13.774478527607361</v>
          </cell>
          <cell r="E118">
            <v>4490.4799999999996</v>
          </cell>
          <cell r="G118">
            <v>2.1153846153846154</v>
          </cell>
          <cell r="H118">
            <v>55</v>
          </cell>
          <cell r="J118">
            <v>0</v>
          </cell>
          <cell r="K118">
            <v>0</v>
          </cell>
          <cell r="M118">
            <v>-48.536000000000001</v>
          </cell>
          <cell r="N118">
            <v>-1698.76</v>
          </cell>
          <cell r="P118">
            <v>6.5</v>
          </cell>
          <cell r="Q118">
            <v>130</v>
          </cell>
          <cell r="S118">
            <v>18.0124</v>
          </cell>
          <cell r="T118">
            <v>450.31</v>
          </cell>
          <cell r="V118">
            <v>0</v>
          </cell>
          <cell r="W118">
            <v>0</v>
          </cell>
          <cell r="Y118">
            <v>17.229722222222222</v>
          </cell>
          <cell r="Z118">
            <v>620.27</v>
          </cell>
          <cell r="AB118">
            <v>4.4291666666666663</v>
          </cell>
          <cell r="AC118">
            <v>159.44999999999999</v>
          </cell>
          <cell r="AE118">
            <v>17.09212121212121</v>
          </cell>
          <cell r="AF118">
            <v>564.04</v>
          </cell>
          <cell r="AH118">
            <v>67.09346153846154</v>
          </cell>
          <cell r="AI118">
            <v>1744.43</v>
          </cell>
          <cell r="AK118">
            <v>69.605499999999992</v>
          </cell>
          <cell r="AL118">
            <v>1392.11</v>
          </cell>
          <cell r="AN118">
            <v>59.646111111111118</v>
          </cell>
          <cell r="AO118">
            <v>1073.6300000000001</v>
          </cell>
        </row>
        <row r="119">
          <cell r="A119" t="str">
            <v>Véhicules usagésEntretien stock</v>
          </cell>
          <cell r="B119" t="str">
            <v>Entretien stock</v>
          </cell>
          <cell r="D119">
            <v>154.21174846625766</v>
          </cell>
          <cell r="E119">
            <v>50273.03</v>
          </cell>
          <cell r="G119">
            <v>147.15846153846152</v>
          </cell>
          <cell r="H119">
            <v>3826.12</v>
          </cell>
          <cell r="J119">
            <v>192.49038461538461</v>
          </cell>
          <cell r="K119">
            <v>5004.75</v>
          </cell>
          <cell r="M119">
            <v>97.121428571428567</v>
          </cell>
          <cell r="N119">
            <v>3399.25</v>
          </cell>
          <cell r="P119">
            <v>237.09800000000001</v>
          </cell>
          <cell r="Q119">
            <v>4741.96</v>
          </cell>
          <cell r="S119">
            <v>184.31759999999997</v>
          </cell>
          <cell r="T119">
            <v>4607.9399999999996</v>
          </cell>
          <cell r="V119">
            <v>166.30360000000002</v>
          </cell>
          <cell r="W119">
            <v>4157.59</v>
          </cell>
          <cell r="Y119">
            <v>118.6263888888889</v>
          </cell>
          <cell r="Z119">
            <v>4270.55</v>
          </cell>
          <cell r="AB119">
            <v>126.47638888888888</v>
          </cell>
          <cell r="AC119">
            <v>4553.1499999999996</v>
          </cell>
          <cell r="AE119">
            <v>127.50151515151515</v>
          </cell>
          <cell r="AF119">
            <v>4207.55</v>
          </cell>
          <cell r="AH119">
            <v>155.28461538461539</v>
          </cell>
          <cell r="AI119">
            <v>4037.4</v>
          </cell>
          <cell r="AK119">
            <v>194.48750000000001</v>
          </cell>
          <cell r="AL119">
            <v>3889.75</v>
          </cell>
          <cell r="AN119">
            <v>198.72333333333333</v>
          </cell>
          <cell r="AO119">
            <v>3577.02</v>
          </cell>
        </row>
        <row r="120">
          <cell r="A120" t="str">
            <v>Véhicules usagésPublicité 1</v>
          </cell>
          <cell r="B120" t="str">
            <v>Publicité 1</v>
          </cell>
          <cell r="D120">
            <v>458.57052147239273</v>
          </cell>
          <cell r="E120">
            <v>149493.99000000002</v>
          </cell>
          <cell r="G120">
            <v>279.03230769230771</v>
          </cell>
          <cell r="H120">
            <v>7254.84</v>
          </cell>
          <cell r="J120">
            <v>304.13230769230768</v>
          </cell>
          <cell r="K120">
            <v>7907.44</v>
          </cell>
          <cell r="M120">
            <v>254.21257142857144</v>
          </cell>
          <cell r="N120">
            <v>8897.44</v>
          </cell>
          <cell r="P120">
            <v>612.85599999999999</v>
          </cell>
          <cell r="Q120">
            <v>12257.12</v>
          </cell>
          <cell r="S120">
            <v>703.154</v>
          </cell>
          <cell r="T120">
            <v>17578.849999999999</v>
          </cell>
          <cell r="V120">
            <v>557.51400000000001</v>
          </cell>
          <cell r="W120">
            <v>13937.85</v>
          </cell>
          <cell r="Y120">
            <v>356.96111111111111</v>
          </cell>
          <cell r="Z120">
            <v>12850.6</v>
          </cell>
          <cell r="AB120">
            <v>301.05361111111114</v>
          </cell>
          <cell r="AC120">
            <v>10837.93</v>
          </cell>
          <cell r="AE120">
            <v>270.76727272727271</v>
          </cell>
          <cell r="AF120">
            <v>8935.32</v>
          </cell>
          <cell r="AH120">
            <v>601.99384615384611</v>
          </cell>
          <cell r="AI120">
            <v>15651.84</v>
          </cell>
          <cell r="AK120">
            <v>716.18000000000006</v>
          </cell>
          <cell r="AL120">
            <v>14323.6</v>
          </cell>
          <cell r="AN120">
            <v>1058.9533333333334</v>
          </cell>
          <cell r="AO120">
            <v>19061.16</v>
          </cell>
        </row>
        <row r="121">
          <cell r="A121" t="str">
            <v>Véhicules usagésIntérêt de gros</v>
          </cell>
          <cell r="B121" t="str">
            <v>Intérêt de gros</v>
          </cell>
          <cell r="D121">
            <v>89.829355828220855</v>
          </cell>
          <cell r="E121">
            <v>29284.37</v>
          </cell>
          <cell r="G121">
            <v>206.4346153846154</v>
          </cell>
          <cell r="H121">
            <v>5367.3</v>
          </cell>
          <cell r="J121">
            <v>162.9046153846154</v>
          </cell>
          <cell r="K121">
            <v>4235.5200000000004</v>
          </cell>
          <cell r="M121">
            <v>86.214857142857142</v>
          </cell>
          <cell r="N121">
            <v>3017.52</v>
          </cell>
          <cell r="P121">
            <v>101.116</v>
          </cell>
          <cell r="Q121">
            <v>2022.32</v>
          </cell>
          <cell r="S121">
            <v>86.6</v>
          </cell>
          <cell r="T121">
            <v>2165</v>
          </cell>
          <cell r="V121">
            <v>62.494</v>
          </cell>
          <cell r="W121">
            <v>1562.35</v>
          </cell>
          <cell r="Y121">
            <v>64.885000000000005</v>
          </cell>
          <cell r="Z121">
            <v>2335.86</v>
          </cell>
          <cell r="AB121">
            <v>201.38499999999999</v>
          </cell>
          <cell r="AC121">
            <v>7249.86</v>
          </cell>
          <cell r="AE121">
            <v>15.888181818181817</v>
          </cell>
          <cell r="AF121">
            <v>524.30999999999995</v>
          </cell>
          <cell r="AH121">
            <v>0</v>
          </cell>
          <cell r="AI121">
            <v>0</v>
          </cell>
          <cell r="AK121">
            <v>22.137999999999998</v>
          </cell>
          <cell r="AL121">
            <v>442.76</v>
          </cell>
          <cell r="AN121">
            <v>20.087222222222223</v>
          </cell>
          <cell r="AO121">
            <v>361.57</v>
          </cell>
        </row>
        <row r="122">
          <cell r="A122" t="str">
            <v>Véhicules usagés[...]</v>
          </cell>
          <cell r="B122" t="str">
            <v>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B123" t="str">
            <v>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usagés[...]</v>
          </cell>
          <cell r="B124" t="str">
            <v>[...]</v>
          </cell>
          <cell r="D124">
            <v>0</v>
          </cell>
          <cell r="E124">
            <v>0</v>
          </cell>
          <cell r="G124">
            <v>0</v>
          </cell>
          <cell r="J124">
            <v>0</v>
          </cell>
          <cell r="M124">
            <v>0</v>
          </cell>
          <cell r="P124">
            <v>0</v>
          </cell>
          <cell r="S124">
            <v>0</v>
          </cell>
          <cell r="V124">
            <v>0</v>
          </cell>
          <cell r="Y124">
            <v>0</v>
          </cell>
          <cell r="AB124">
            <v>0</v>
          </cell>
          <cell r="AE124">
            <v>0</v>
          </cell>
          <cell r="AH124">
            <v>0</v>
          </cell>
          <cell r="AK124">
            <v>0</v>
          </cell>
          <cell r="AN124">
            <v>0</v>
          </cell>
        </row>
        <row r="125">
          <cell r="A125" t="str">
            <v>Véhicules usagésTOTAL VARIABLES</v>
          </cell>
          <cell r="B125" t="str">
            <v>TOTAL VARIABLES</v>
          </cell>
          <cell r="C125" t="str">
            <v>% brut</v>
          </cell>
          <cell r="D125">
            <v>0.50487142731965073</v>
          </cell>
          <cell r="E125">
            <v>679599.83</v>
          </cell>
          <cell r="F125" t="str">
            <v>% brut</v>
          </cell>
          <cell r="G125">
            <v>0.34020048440475431</v>
          </cell>
          <cell r="H125">
            <v>40343.279999999999</v>
          </cell>
          <cell r="I125" t="str">
            <v>% brut</v>
          </cell>
          <cell r="J125">
            <v>0.51884202037468907</v>
          </cell>
          <cell r="K125">
            <v>45795.290000000008</v>
          </cell>
          <cell r="L125" t="str">
            <v>% brut</v>
          </cell>
          <cell r="M125">
            <v>0.5023702127382792</v>
          </cell>
          <cell r="N125">
            <v>66421.37</v>
          </cell>
          <cell r="O125" t="str">
            <v>% brut</v>
          </cell>
          <cell r="P125">
            <v>0.45271954550466165</v>
          </cell>
          <cell r="Q125">
            <v>54406.590000000004</v>
          </cell>
          <cell r="R125" t="str">
            <v>% brut</v>
          </cell>
          <cell r="S125">
            <v>0.56457731513108167</v>
          </cell>
          <cell r="T125">
            <v>71570.45</v>
          </cell>
          <cell r="U125" t="str">
            <v>% brut</v>
          </cell>
          <cell r="V125">
            <v>0.41061450712580866</v>
          </cell>
          <cell r="W125">
            <v>63034.710000000006</v>
          </cell>
          <cell r="X125" t="str">
            <v>% brut</v>
          </cell>
          <cell r="Y125">
            <v>0.49967521850185026</v>
          </cell>
          <cell r="Z125">
            <v>68255.400000000009</v>
          </cell>
          <cell r="AA125" t="str">
            <v>% brut</v>
          </cell>
          <cell r="AB125">
            <v>0.59517959029492185</v>
          </cell>
          <cell r="AC125">
            <v>68428.969999999987</v>
          </cell>
          <cell r="AD125" t="str">
            <v>% brut</v>
          </cell>
          <cell r="AE125">
            <v>0.42770801288026666</v>
          </cell>
          <cell r="AF125">
            <v>57675.63</v>
          </cell>
          <cell r="AG125" t="str">
            <v>% brut</v>
          </cell>
          <cell r="AH125">
            <v>0.51473019011732812</v>
          </cell>
          <cell r="AI125">
            <v>67263.5</v>
          </cell>
          <cell r="AJ125" t="str">
            <v>% brut</v>
          </cell>
          <cell r="AK125">
            <v>0.69261593564412238</v>
          </cell>
          <cell r="AL125">
            <v>36057.08</v>
          </cell>
          <cell r="AM125" t="str">
            <v>% brut</v>
          </cell>
          <cell r="AN125">
            <v>1.0787223518906213</v>
          </cell>
          <cell r="AO125">
            <v>40347.56</v>
          </cell>
        </row>
        <row r="126">
          <cell r="A126" t="str">
            <v>Véhicules usagésSalaires cadres</v>
          </cell>
          <cell r="B126" t="str">
            <v>Salaires cadres</v>
          </cell>
          <cell r="E126">
            <v>106199.94999999998</v>
          </cell>
          <cell r="H126">
            <v>7150.06</v>
          </cell>
          <cell r="K126">
            <v>6477</v>
          </cell>
          <cell r="N126">
            <v>7084.23</v>
          </cell>
          <cell r="Q126">
            <v>6562.1</v>
          </cell>
          <cell r="T126">
            <v>8961.51</v>
          </cell>
          <cell r="W126">
            <v>5868.57</v>
          </cell>
          <cell r="Z126">
            <v>4280.84</v>
          </cell>
          <cell r="AC126">
            <v>13011.74</v>
          </cell>
          <cell r="AF126">
            <v>11464.55</v>
          </cell>
          <cell r="AI126">
            <v>9570.15</v>
          </cell>
          <cell r="AL126">
            <v>15556.27</v>
          </cell>
          <cell r="AO126">
            <v>10212.93</v>
          </cell>
        </row>
        <row r="127">
          <cell r="A127" t="str">
            <v>Véhicules usagésSalaires commis</v>
          </cell>
          <cell r="B127" t="str">
            <v>Salaires commis</v>
          </cell>
          <cell r="E127">
            <v>63216.83</v>
          </cell>
          <cell r="H127">
            <v>4042.4</v>
          </cell>
          <cell r="K127">
            <v>3902.4</v>
          </cell>
          <cell r="N127">
            <v>4222.3999999999996</v>
          </cell>
          <cell r="Q127">
            <v>3582.4</v>
          </cell>
          <cell r="T127">
            <v>5269.9</v>
          </cell>
          <cell r="W127">
            <v>7695.5</v>
          </cell>
          <cell r="Z127">
            <v>3874.42</v>
          </cell>
          <cell r="AC127">
            <v>6264</v>
          </cell>
          <cell r="AF127">
            <v>6049.73</v>
          </cell>
          <cell r="AI127">
            <v>5660.15</v>
          </cell>
          <cell r="AL127">
            <v>6131.09</v>
          </cell>
          <cell r="AO127">
            <v>6522.44</v>
          </cell>
        </row>
        <row r="128">
          <cell r="A128" t="str">
            <v>Véhicules usagésSalaires autres</v>
          </cell>
          <cell r="B128" t="str">
            <v>Salaires autres</v>
          </cell>
          <cell r="E128">
            <v>120523.42</v>
          </cell>
          <cell r="H128">
            <v>11941.25</v>
          </cell>
          <cell r="K128">
            <v>11309.64</v>
          </cell>
          <cell r="N128">
            <v>12046.99</v>
          </cell>
          <cell r="Q128">
            <v>13048.16</v>
          </cell>
          <cell r="T128">
            <v>14110.2</v>
          </cell>
          <cell r="W128">
            <v>10820.29</v>
          </cell>
          <cell r="Z128">
            <v>13291.11</v>
          </cell>
          <cell r="AC128">
            <v>12249.22</v>
          </cell>
          <cell r="AF128">
            <v>6286.83</v>
          </cell>
          <cell r="AI128">
            <v>5342.79</v>
          </cell>
          <cell r="AL128">
            <v>4186</v>
          </cell>
          <cell r="AO128">
            <v>5890.94</v>
          </cell>
        </row>
        <row r="129">
          <cell r="A129" t="str">
            <v>Véhicules usagésSalaires spécialistes</v>
          </cell>
          <cell r="B129" t="str">
            <v>Salaires spécialistes</v>
          </cell>
          <cell r="E129">
            <v>0</v>
          </cell>
          <cell r="H129">
            <v>0</v>
          </cell>
          <cell r="K129">
            <v>0</v>
          </cell>
          <cell r="N129">
            <v>0</v>
          </cell>
          <cell r="Q129">
            <v>0</v>
          </cell>
          <cell r="T129">
            <v>0</v>
          </cell>
          <cell r="W129">
            <v>0</v>
          </cell>
          <cell r="Z129">
            <v>0</v>
          </cell>
          <cell r="AC129">
            <v>0</v>
          </cell>
          <cell r="AF129">
            <v>0</v>
          </cell>
          <cell r="AI129">
            <v>0</v>
          </cell>
          <cell r="AL129">
            <v>0</v>
          </cell>
          <cell r="AO129">
            <v>0</v>
          </cell>
        </row>
        <row r="130">
          <cell r="A130" t="str">
            <v>Véhicules usagés[...]</v>
          </cell>
          <cell r="B130" t="str">
            <v>[...]</v>
          </cell>
          <cell r="E130">
            <v>0</v>
          </cell>
          <cell r="H130">
            <v>0</v>
          </cell>
          <cell r="K130">
            <v>0</v>
          </cell>
          <cell r="N130">
            <v>0</v>
          </cell>
          <cell r="Q130">
            <v>0</v>
          </cell>
          <cell r="T130">
            <v>0</v>
          </cell>
          <cell r="W130">
            <v>0</v>
          </cell>
          <cell r="Z130">
            <v>0</v>
          </cell>
          <cell r="AC130">
            <v>0</v>
          </cell>
          <cell r="AF130">
            <v>0</v>
          </cell>
          <cell r="AI130">
            <v>0</v>
          </cell>
          <cell r="AL130">
            <v>0</v>
          </cell>
          <cell r="AO130">
            <v>0</v>
          </cell>
        </row>
        <row r="131">
          <cell r="A131" t="str">
            <v>Véhicules usagés[...]</v>
          </cell>
          <cell r="B131" t="str">
            <v>[...]</v>
          </cell>
          <cell r="E131">
            <v>0</v>
          </cell>
          <cell r="H131">
            <v>0</v>
          </cell>
          <cell r="K131">
            <v>0</v>
          </cell>
          <cell r="N131">
            <v>0</v>
          </cell>
          <cell r="Q131">
            <v>0</v>
          </cell>
          <cell r="T131">
            <v>0</v>
          </cell>
          <cell r="W131">
            <v>0</v>
          </cell>
          <cell r="Z131">
            <v>0</v>
          </cell>
          <cell r="AC131">
            <v>0</v>
          </cell>
          <cell r="AF131">
            <v>0</v>
          </cell>
          <cell r="AI131">
            <v>0</v>
          </cell>
          <cell r="AL131">
            <v>0</v>
          </cell>
          <cell r="AO131">
            <v>0</v>
          </cell>
        </row>
        <row r="132">
          <cell r="A132" t="str">
            <v>Véhicules usagés[...]</v>
          </cell>
          <cell r="B132" t="str">
            <v>[...]</v>
          </cell>
          <cell r="E132">
            <v>0</v>
          </cell>
          <cell r="H132">
            <v>0</v>
          </cell>
          <cell r="K132">
            <v>0</v>
          </cell>
          <cell r="N132">
            <v>0</v>
          </cell>
          <cell r="Q132">
            <v>0</v>
          </cell>
          <cell r="T132">
            <v>0</v>
          </cell>
          <cell r="W132">
            <v>0</v>
          </cell>
          <cell r="Z132">
            <v>0</v>
          </cell>
          <cell r="AC132">
            <v>0</v>
          </cell>
          <cell r="AF132">
            <v>0</v>
          </cell>
          <cell r="AI132">
            <v>0</v>
          </cell>
          <cell r="AL132">
            <v>0</v>
          </cell>
          <cell r="AO132">
            <v>0</v>
          </cell>
        </row>
        <row r="133">
          <cell r="A133" t="str">
            <v>Véhicules usagésSalaires en absences</v>
          </cell>
          <cell r="B133" t="str">
            <v>Salaires en absences</v>
          </cell>
          <cell r="E133">
            <v>51285.100000000006</v>
          </cell>
          <cell r="H133">
            <v>4595.8</v>
          </cell>
          <cell r="K133">
            <v>1510.22</v>
          </cell>
          <cell r="N133">
            <v>3172.69</v>
          </cell>
          <cell r="Q133">
            <v>4042.86</v>
          </cell>
          <cell r="T133">
            <v>4797.91</v>
          </cell>
          <cell r="W133">
            <v>9064.58</v>
          </cell>
          <cell r="Z133">
            <v>3725.02</v>
          </cell>
          <cell r="AC133">
            <v>3209.54</v>
          </cell>
          <cell r="AF133">
            <v>3616.31</v>
          </cell>
          <cell r="AI133">
            <v>4412.51</v>
          </cell>
          <cell r="AL133">
            <v>2437.8000000000002</v>
          </cell>
          <cell r="AO133">
            <v>6699.86</v>
          </cell>
        </row>
        <row r="134">
          <cell r="A134" t="str">
            <v>Véhicules usagésDéduction à la source</v>
          </cell>
          <cell r="B134" t="str">
            <v>Déduction à la source</v>
          </cell>
          <cell r="E134">
            <v>82978.789999999994</v>
          </cell>
          <cell r="H134">
            <v>5903.83</v>
          </cell>
          <cell r="K134">
            <v>5245.25</v>
          </cell>
          <cell r="N134">
            <v>6451</v>
          </cell>
          <cell r="Q134">
            <v>8576.25</v>
          </cell>
          <cell r="T134">
            <v>7606.16</v>
          </cell>
          <cell r="W134">
            <v>8664.81</v>
          </cell>
          <cell r="Z134">
            <v>5997.26</v>
          </cell>
          <cell r="AC134">
            <v>7828.03</v>
          </cell>
          <cell r="AF134">
            <v>7425.03</v>
          </cell>
          <cell r="AI134">
            <v>6323.94</v>
          </cell>
          <cell r="AL134">
            <v>5730.84</v>
          </cell>
          <cell r="AO134">
            <v>7226.39</v>
          </cell>
        </row>
        <row r="135">
          <cell r="A135" t="str">
            <v>Véhicules usagésBénéfices marginaux</v>
          </cell>
          <cell r="B135" t="str">
            <v>Bénéfices marginaux</v>
          </cell>
          <cell r="E135">
            <v>24794.709999999977</v>
          </cell>
          <cell r="H135">
            <v>1552.12</v>
          </cell>
          <cell r="K135">
            <v>1106.6099999999999</v>
          </cell>
          <cell r="N135">
            <v>1995.98999999999</v>
          </cell>
          <cell r="Q135">
            <v>2346.83</v>
          </cell>
          <cell r="T135">
            <v>-381.92999999999898</v>
          </cell>
          <cell r="W135">
            <v>3509.34</v>
          </cell>
          <cell r="Z135">
            <v>2237.7599999999902</v>
          </cell>
          <cell r="AC135">
            <v>3804.14</v>
          </cell>
          <cell r="AF135">
            <v>2608.88</v>
          </cell>
          <cell r="AI135">
            <v>2622.87</v>
          </cell>
          <cell r="AL135">
            <v>1906.19</v>
          </cell>
          <cell r="AO135">
            <v>1485.91</v>
          </cell>
        </row>
        <row r="136">
          <cell r="A136" t="str">
            <v>Véhicules usagésCsst</v>
          </cell>
          <cell r="B136" t="str">
            <v>Csst</v>
          </cell>
          <cell r="E136">
            <v>15014.8</v>
          </cell>
          <cell r="H136">
            <v>914.94</v>
          </cell>
          <cell r="K136">
            <v>795.88</v>
          </cell>
          <cell r="N136">
            <v>1066.6600000000001</v>
          </cell>
          <cell r="Q136">
            <v>1442.59</v>
          </cell>
          <cell r="T136">
            <v>1262.03</v>
          </cell>
          <cell r="W136">
            <v>1964.95</v>
          </cell>
          <cell r="Z136">
            <v>1223.1400000000001</v>
          </cell>
          <cell r="AC136">
            <v>1534.35</v>
          </cell>
          <cell r="AF136">
            <v>1265.72</v>
          </cell>
          <cell r="AI136">
            <v>1281.49</v>
          </cell>
          <cell r="AL136">
            <v>1041.1500000000001</v>
          </cell>
          <cell r="AO136">
            <v>1221.9000000000001</v>
          </cell>
        </row>
        <row r="137">
          <cell r="A137" t="str">
            <v>Véhicules usagés[...]</v>
          </cell>
          <cell r="B137" t="str">
            <v>[...]</v>
          </cell>
          <cell r="E137">
            <v>0</v>
          </cell>
        </row>
        <row r="138">
          <cell r="A138" t="str">
            <v>Véhicules usagésTOTAL PERSONNEL</v>
          </cell>
          <cell r="B138" t="str">
            <v>TOTAL PERSONNEL</v>
          </cell>
          <cell r="C138" t="str">
            <v>% brut</v>
          </cell>
          <cell r="D138">
            <v>0.3447134595777186</v>
          </cell>
          <cell r="E138">
            <v>464013.59999999986</v>
          </cell>
          <cell r="F138" t="str">
            <v>% brut</v>
          </cell>
          <cell r="G138">
            <v>0.30442179136662645</v>
          </cell>
          <cell r="H138">
            <v>36100.400000000001</v>
          </cell>
          <cell r="I138" t="str">
            <v>% brut</v>
          </cell>
          <cell r="J138">
            <v>0.34381917424937564</v>
          </cell>
          <cell r="K138">
            <v>30347.000000000004</v>
          </cell>
          <cell r="L138" t="str">
            <v>% brut</v>
          </cell>
          <cell r="M138">
            <v>0.27258399476371942</v>
          </cell>
          <cell r="N138">
            <v>36039.959999999992</v>
          </cell>
          <cell r="O138" t="str">
            <v>% brut</v>
          </cell>
          <cell r="P138">
            <v>0.329523183464425</v>
          </cell>
          <cell r="Q138">
            <v>39601.19</v>
          </cell>
          <cell r="R138" t="str">
            <v>% brut</v>
          </cell>
          <cell r="S138">
            <v>0.32836137138493726</v>
          </cell>
          <cell r="T138">
            <v>41625.780000000006</v>
          </cell>
          <cell r="U138" t="str">
            <v>% brut</v>
          </cell>
          <cell r="V138">
            <v>0.30999332890852138</v>
          </cell>
          <cell r="W138">
            <v>47588.039999999994</v>
          </cell>
          <cell r="X138" t="str">
            <v>% brut</v>
          </cell>
          <cell r="Y138">
            <v>0.25351148719179351</v>
          </cell>
          <cell r="Z138">
            <v>34629.549999999988</v>
          </cell>
          <cell r="AA138" t="str">
            <v>% brut</v>
          </cell>
          <cell r="AB138">
            <v>0.41663215825561689</v>
          </cell>
          <cell r="AC138">
            <v>47901.02</v>
          </cell>
          <cell r="AD138" t="str">
            <v>% brut</v>
          </cell>
          <cell r="AE138">
            <v>0.28711593648974326</v>
          </cell>
          <cell r="AF138">
            <v>38717.050000000003</v>
          </cell>
          <cell r="AG138" t="str">
            <v>% brut</v>
          </cell>
          <cell r="AH138">
            <v>0.26947240987716337</v>
          </cell>
          <cell r="AI138">
            <v>35213.899999999994</v>
          </cell>
          <cell r="AJ138" t="str">
            <v>% brut</v>
          </cell>
          <cell r="AK138">
            <v>0.71052360127216518</v>
          </cell>
          <cell r="AL138">
            <v>36989.340000000004</v>
          </cell>
          <cell r="AM138" t="str">
            <v>% brut</v>
          </cell>
          <cell r="AN138">
            <v>1.0496555098374225</v>
          </cell>
          <cell r="AO138">
            <v>39260.370000000003</v>
          </cell>
        </row>
        <row r="139">
          <cell r="A139" t="str">
            <v>Véhicules usagésPublicité 2</v>
          </cell>
          <cell r="B139" t="str">
            <v>Publicité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usagésService gratuit 2</v>
          </cell>
          <cell r="B140" t="str">
            <v>Service gratuit 2</v>
          </cell>
          <cell r="E140">
            <v>0</v>
          </cell>
          <cell r="H140">
            <v>0</v>
          </cell>
          <cell r="K140">
            <v>0</v>
          </cell>
          <cell r="N140">
            <v>0</v>
          </cell>
          <cell r="Q140">
            <v>0</v>
          </cell>
          <cell r="T140">
            <v>0</v>
          </cell>
          <cell r="W140">
            <v>0</v>
          </cell>
          <cell r="Z140">
            <v>0</v>
          </cell>
          <cell r="AC140">
            <v>0</v>
          </cell>
          <cell r="AF140">
            <v>0</v>
          </cell>
          <cell r="AI140">
            <v>0</v>
          </cell>
          <cell r="AL140">
            <v>0</v>
          </cell>
          <cell r="AO140">
            <v>0</v>
          </cell>
        </row>
        <row r="141">
          <cell r="A141" t="str">
            <v>Véhicules usagésFrais véhicules de cie</v>
          </cell>
          <cell r="B141" t="str">
            <v>Frais véhicules de cie</v>
          </cell>
          <cell r="E141">
            <v>12205.75</v>
          </cell>
          <cell r="H141">
            <v>-176.64</v>
          </cell>
          <cell r="K141">
            <v>-108.84</v>
          </cell>
          <cell r="N141">
            <v>988.66</v>
          </cell>
          <cell r="Q141">
            <v>1353.95</v>
          </cell>
          <cell r="T141">
            <v>1878.99</v>
          </cell>
          <cell r="W141">
            <v>1622</v>
          </cell>
          <cell r="Z141">
            <v>1692.94</v>
          </cell>
          <cell r="AC141">
            <v>1347.45</v>
          </cell>
          <cell r="AF141">
            <v>1464.28</v>
          </cell>
          <cell r="AI141">
            <v>1470.58</v>
          </cell>
          <cell r="AL141">
            <v>561.08000000000004</v>
          </cell>
          <cell r="AO141">
            <v>111.3</v>
          </cell>
        </row>
        <row r="142">
          <cell r="A142" t="str">
            <v>Véhicules usagésInformatique</v>
          </cell>
          <cell r="B142" t="str">
            <v>Informatique</v>
          </cell>
          <cell r="E142">
            <v>42756.7</v>
          </cell>
          <cell r="H142">
            <v>2317.2800000000002</v>
          </cell>
          <cell r="K142">
            <v>4653.93</v>
          </cell>
          <cell r="N142">
            <v>3530.19</v>
          </cell>
          <cell r="Q142">
            <v>2787.21</v>
          </cell>
          <cell r="T142">
            <v>4765.4399999999996</v>
          </cell>
          <cell r="W142">
            <v>3390.32</v>
          </cell>
          <cell r="Z142">
            <v>3593.59</v>
          </cell>
          <cell r="AC142">
            <v>3469.08</v>
          </cell>
          <cell r="AF142">
            <v>3651.6</v>
          </cell>
          <cell r="AI142">
            <v>3537.97</v>
          </cell>
          <cell r="AL142">
            <v>3471.27</v>
          </cell>
          <cell r="AO142">
            <v>3588.82</v>
          </cell>
        </row>
        <row r="143">
          <cell r="A143" t="str">
            <v>Véhicules usagésFrais de déplacement</v>
          </cell>
          <cell r="B143" t="str">
            <v>Frais de déplacement</v>
          </cell>
          <cell r="E143">
            <v>8244.9599999999991</v>
          </cell>
          <cell r="H143">
            <v>453.42</v>
          </cell>
          <cell r="K143">
            <v>882.36</v>
          </cell>
          <cell r="N143">
            <v>1166.95</v>
          </cell>
          <cell r="Q143">
            <v>347.09</v>
          </cell>
          <cell r="T143">
            <v>2206.02</v>
          </cell>
          <cell r="W143">
            <v>-6.81</v>
          </cell>
          <cell r="Z143">
            <v>430.47</v>
          </cell>
          <cell r="AC143">
            <v>725.33</v>
          </cell>
          <cell r="AF143">
            <v>580.28</v>
          </cell>
          <cell r="AI143">
            <v>565.19000000000005</v>
          </cell>
          <cell r="AL143">
            <v>491.66</v>
          </cell>
          <cell r="AO143">
            <v>403</v>
          </cell>
        </row>
        <row r="144">
          <cell r="A144" t="str">
            <v>Véhicules usagésServices extérieurs</v>
          </cell>
          <cell r="B144" t="str">
            <v>Services extérieurs</v>
          </cell>
          <cell r="E144">
            <v>17065.52</v>
          </cell>
          <cell r="H144">
            <v>1224.83</v>
          </cell>
          <cell r="K144">
            <v>1544.58</v>
          </cell>
          <cell r="N144">
            <v>767.46</v>
          </cell>
          <cell r="Q144">
            <v>2040.21</v>
          </cell>
          <cell r="T144">
            <v>2489.19</v>
          </cell>
          <cell r="W144">
            <v>1114.8</v>
          </cell>
          <cell r="Z144">
            <v>1241.24</v>
          </cell>
          <cell r="AC144">
            <v>879.44</v>
          </cell>
          <cell r="AF144">
            <v>909.96</v>
          </cell>
          <cell r="AI144">
            <v>1543.92</v>
          </cell>
          <cell r="AL144">
            <v>1983.25</v>
          </cell>
          <cell r="AO144">
            <v>1326.64</v>
          </cell>
        </row>
        <row r="145">
          <cell r="A145" t="str">
            <v>Véhicules usagésFournitures autres</v>
          </cell>
          <cell r="B145" t="str">
            <v>Fournitures autres</v>
          </cell>
          <cell r="E145">
            <v>243.2</v>
          </cell>
          <cell r="H145">
            <v>0</v>
          </cell>
          <cell r="K145">
            <v>0</v>
          </cell>
          <cell r="N145">
            <v>3.09</v>
          </cell>
          <cell r="Q145">
            <v>0</v>
          </cell>
          <cell r="T145">
            <v>0</v>
          </cell>
          <cell r="W145">
            <v>0</v>
          </cell>
          <cell r="Z145">
            <v>0</v>
          </cell>
          <cell r="AC145">
            <v>0</v>
          </cell>
          <cell r="AF145">
            <v>52.94</v>
          </cell>
          <cell r="AI145">
            <v>0</v>
          </cell>
          <cell r="AL145">
            <v>115.35</v>
          </cell>
          <cell r="AO145">
            <v>71.819999999999993</v>
          </cell>
        </row>
        <row r="146">
          <cell r="A146" t="str">
            <v>Véhicules usagésUniformes</v>
          </cell>
          <cell r="B146" t="str">
            <v>Uniformes</v>
          </cell>
          <cell r="E146">
            <v>210</v>
          </cell>
          <cell r="H146">
            <v>210</v>
          </cell>
          <cell r="K146">
            <v>0</v>
          </cell>
          <cell r="N146">
            <v>0</v>
          </cell>
          <cell r="Q146">
            <v>0</v>
          </cell>
          <cell r="T146">
            <v>0</v>
          </cell>
          <cell r="W146">
            <v>0</v>
          </cell>
          <cell r="Z146">
            <v>0</v>
          </cell>
          <cell r="AC146">
            <v>0</v>
          </cell>
          <cell r="AF146">
            <v>0</v>
          </cell>
          <cell r="AI146">
            <v>0</v>
          </cell>
          <cell r="AL146">
            <v>0</v>
          </cell>
          <cell r="AO146">
            <v>0</v>
          </cell>
        </row>
        <row r="147">
          <cell r="A147" t="str">
            <v>Véhicules usagésPapeterie</v>
          </cell>
          <cell r="B147" t="str">
            <v>Papeterie</v>
          </cell>
          <cell r="E147">
            <v>4051.17</v>
          </cell>
          <cell r="H147">
            <v>145.4</v>
          </cell>
          <cell r="K147">
            <v>196.08</v>
          </cell>
          <cell r="N147">
            <v>802.61</v>
          </cell>
          <cell r="Q147">
            <v>293.77</v>
          </cell>
          <cell r="T147">
            <v>201.28</v>
          </cell>
          <cell r="W147">
            <v>227.16</v>
          </cell>
          <cell r="Z147">
            <v>179.94</v>
          </cell>
          <cell r="AC147">
            <v>417.81</v>
          </cell>
          <cell r="AF147">
            <v>323.17</v>
          </cell>
          <cell r="AI147">
            <v>85.82</v>
          </cell>
          <cell r="AL147">
            <v>774.66</v>
          </cell>
          <cell r="AO147">
            <v>403.47</v>
          </cell>
        </row>
        <row r="148">
          <cell r="A148" t="str">
            <v>Véhicules usagésTéléphone</v>
          </cell>
          <cell r="B148" t="str">
            <v>Téléphone</v>
          </cell>
          <cell r="E148">
            <v>1068.07</v>
          </cell>
          <cell r="H148">
            <v>74.17</v>
          </cell>
          <cell r="K148">
            <v>77.069999999999993</v>
          </cell>
          <cell r="N148">
            <v>36.14</v>
          </cell>
          <cell r="Q148">
            <v>36.03</v>
          </cell>
          <cell r="T148">
            <v>141.53</v>
          </cell>
          <cell r="W148">
            <v>35.96</v>
          </cell>
          <cell r="Z148">
            <v>36.340000000000003</v>
          </cell>
          <cell r="AC148">
            <v>168.64</v>
          </cell>
          <cell r="AF148">
            <v>134.41999999999999</v>
          </cell>
          <cell r="AI148">
            <v>122.59</v>
          </cell>
          <cell r="AL148">
            <v>113.83</v>
          </cell>
          <cell r="AO148">
            <v>91.35</v>
          </cell>
        </row>
        <row r="149">
          <cell r="A149" t="str">
            <v>Véhicules usagésFrais postaux</v>
          </cell>
          <cell r="B149" t="str">
            <v>Frais postaux</v>
          </cell>
          <cell r="E149">
            <v>948.14999999999986</v>
          </cell>
          <cell r="H149">
            <v>92.23</v>
          </cell>
          <cell r="K149">
            <v>33.19</v>
          </cell>
          <cell r="N149">
            <v>57.93</v>
          </cell>
          <cell r="Q149">
            <v>48.41</v>
          </cell>
          <cell r="T149">
            <v>113</v>
          </cell>
          <cell r="W149">
            <v>30.69</v>
          </cell>
          <cell r="Z149">
            <v>92.28</v>
          </cell>
          <cell r="AC149">
            <v>56.38</v>
          </cell>
          <cell r="AF149">
            <v>119.77</v>
          </cell>
          <cell r="AI149">
            <v>133.26</v>
          </cell>
          <cell r="AL149">
            <v>84.69</v>
          </cell>
          <cell r="AO149">
            <v>86.32</v>
          </cell>
        </row>
        <row r="150">
          <cell r="A150" t="str">
            <v>Véhicules usagésDivers</v>
          </cell>
          <cell r="B150" t="str">
            <v>Divers</v>
          </cell>
          <cell r="E150">
            <v>1838.9399999999996</v>
          </cell>
          <cell r="H150">
            <v>1327.62</v>
          </cell>
          <cell r="K150">
            <v>106.27</v>
          </cell>
          <cell r="N150">
            <v>24.86</v>
          </cell>
          <cell r="Q150">
            <v>43.83</v>
          </cell>
          <cell r="T150">
            <v>29.45</v>
          </cell>
          <cell r="W150">
            <v>41.75</v>
          </cell>
          <cell r="Z150">
            <v>29.04</v>
          </cell>
          <cell r="AC150">
            <v>42.26</v>
          </cell>
          <cell r="AF150">
            <v>74.959999999999994</v>
          </cell>
          <cell r="AI150">
            <v>45.01</v>
          </cell>
          <cell r="AL150">
            <v>38.549999999999997</v>
          </cell>
          <cell r="AO150">
            <v>35.340000000000003</v>
          </cell>
        </row>
        <row r="151">
          <cell r="A151" t="str">
            <v>Véhicules usagésFormation</v>
          </cell>
          <cell r="B151" t="str">
            <v>Formation</v>
          </cell>
          <cell r="E151">
            <v>6730.5099999999993</v>
          </cell>
          <cell r="H151">
            <v>1012.59</v>
          </cell>
          <cell r="K151">
            <v>886.55</v>
          </cell>
          <cell r="N151">
            <v>884.54</v>
          </cell>
          <cell r="Q151">
            <v>1259.51</v>
          </cell>
          <cell r="T151">
            <v>293.8</v>
          </cell>
          <cell r="W151">
            <v>182.97</v>
          </cell>
          <cell r="Z151">
            <v>113.28</v>
          </cell>
          <cell r="AC151">
            <v>151.21</v>
          </cell>
          <cell r="AF151">
            <v>272.86</v>
          </cell>
          <cell r="AI151">
            <v>1082.42</v>
          </cell>
          <cell r="AL151">
            <v>558.28</v>
          </cell>
          <cell r="AO151">
            <v>32.5</v>
          </cell>
        </row>
        <row r="152">
          <cell r="A152" t="str">
            <v>Véhicules usagésFrais bancaires</v>
          </cell>
          <cell r="B152" t="str">
            <v>Frais bancaires</v>
          </cell>
          <cell r="E152">
            <v>9411.4299999999985</v>
          </cell>
          <cell r="H152">
            <v>698.17</v>
          </cell>
          <cell r="K152">
            <v>551.88</v>
          </cell>
          <cell r="N152">
            <v>79.349999999999994</v>
          </cell>
          <cell r="Q152">
            <v>672.36</v>
          </cell>
          <cell r="T152">
            <v>1718.22</v>
          </cell>
          <cell r="W152">
            <v>786.04</v>
          </cell>
          <cell r="Z152">
            <v>756.99</v>
          </cell>
          <cell r="AC152">
            <v>591.07000000000005</v>
          </cell>
          <cell r="AF152">
            <v>800.81</v>
          </cell>
          <cell r="AI152">
            <v>905.16</v>
          </cell>
          <cell r="AL152">
            <v>1138.8699999999999</v>
          </cell>
          <cell r="AO152">
            <v>712.51</v>
          </cell>
        </row>
        <row r="153">
          <cell r="A153" t="str">
            <v>Véhicules usagés[...]</v>
          </cell>
          <cell r="B153" t="str">
            <v>[...]</v>
          </cell>
          <cell r="E153">
            <v>0</v>
          </cell>
        </row>
        <row r="154">
          <cell r="A154" t="str">
            <v>Véhicules usagés[...]</v>
          </cell>
          <cell r="B154" t="str">
            <v>[...]</v>
          </cell>
          <cell r="E154">
            <v>0</v>
          </cell>
        </row>
        <row r="155">
          <cell r="A155" t="str">
            <v>Véhicules usagés[...]</v>
          </cell>
          <cell r="B155" t="str">
            <v>[...]</v>
          </cell>
          <cell r="E155">
            <v>0</v>
          </cell>
        </row>
        <row r="156">
          <cell r="A156" t="str">
            <v>Véhicules usagésTOTAL SEMI-FIXES</v>
          </cell>
          <cell r="B156" t="str">
            <v>TOTAL SEMI-FIXES</v>
          </cell>
          <cell r="C156" t="str">
            <v>% brut</v>
          </cell>
          <cell r="D156">
            <v>7.7836395095272473E-2</v>
          </cell>
          <cell r="E156">
            <v>104774.39999999998</v>
          </cell>
          <cell r="F156" t="str">
            <v>% brut</v>
          </cell>
          <cell r="G156">
            <v>6.2225064210361433E-2</v>
          </cell>
          <cell r="H156">
            <v>7379.07</v>
          </cell>
          <cell r="I156" t="str">
            <v>% brut</v>
          </cell>
          <cell r="J156">
            <v>9.9961796610684328E-2</v>
          </cell>
          <cell r="K156">
            <v>8823.0699999999979</v>
          </cell>
          <cell r="L156" t="str">
            <v>% brut</v>
          </cell>
          <cell r="M156">
            <v>6.3092071018949522E-2</v>
          </cell>
          <cell r="N156">
            <v>8341.7800000000007</v>
          </cell>
          <cell r="O156" t="str">
            <v>% brut</v>
          </cell>
          <cell r="P156">
            <v>7.3910577917201584E-2</v>
          </cell>
          <cell r="Q156">
            <v>8882.369999999999</v>
          </cell>
          <cell r="R156" t="str">
            <v>% brut</v>
          </cell>
          <cell r="S156">
            <v>0.10915134868208272</v>
          </cell>
          <cell r="T156">
            <v>13836.92</v>
          </cell>
          <cell r="U156" t="str">
            <v>% brut</v>
          </cell>
          <cell r="V156">
            <v>4.8366422906812354E-2</v>
          </cell>
          <cell r="W156">
            <v>7424.8799999999992</v>
          </cell>
          <cell r="X156" t="str">
            <v>% brut</v>
          </cell>
          <cell r="Y156">
            <v>5.9781391634363641E-2</v>
          </cell>
          <cell r="Z156">
            <v>8166.11</v>
          </cell>
          <cell r="AA156" t="str">
            <v>% brut</v>
          </cell>
          <cell r="AB156">
            <v>6.8265943429515974E-2</v>
          </cell>
          <cell r="AC156">
            <v>7848.67</v>
          </cell>
          <cell r="AD156" t="str">
            <v>% brut</v>
          </cell>
          <cell r="AE156">
            <v>6.218142867969851E-2</v>
          </cell>
          <cell r="AF156">
            <v>8385.0499999999993</v>
          </cell>
          <cell r="AG156" t="str">
            <v>% brut</v>
          </cell>
          <cell r="AH156">
            <v>7.2636389515539163E-2</v>
          </cell>
          <cell r="AI156">
            <v>9491.92</v>
          </cell>
          <cell r="AJ156" t="str">
            <v>% brut</v>
          </cell>
          <cell r="AK156">
            <v>0.17924742317746672</v>
          </cell>
          <cell r="AL156">
            <v>9331.4900000000016</v>
          </cell>
          <cell r="AM156" t="str">
            <v>% brut</v>
          </cell>
          <cell r="AN156">
            <v>0.18348933644537532</v>
          </cell>
          <cell r="AO156">
            <v>6863.0700000000015</v>
          </cell>
        </row>
        <row r="157">
          <cell r="A157" t="str">
            <v>Véhicules usagés</v>
          </cell>
        </row>
        <row r="158">
          <cell r="A158" t="str">
            <v>Véhicules usagésTOTAL DES DÉPENSES</v>
          </cell>
          <cell r="B158" t="str">
            <v>TOTAL DES DÉPENSES</v>
          </cell>
          <cell r="C158" t="str">
            <v>% brut</v>
          </cell>
          <cell r="D158">
            <v>0.92742128199264162</v>
          </cell>
          <cell r="E158">
            <v>1248387.8299999996</v>
          </cell>
          <cell r="F158" t="str">
            <v>% brut</v>
          </cell>
          <cell r="G158">
            <v>0.70684733998174221</v>
          </cell>
          <cell r="H158">
            <v>83822.75</v>
          </cell>
          <cell r="I158" t="str">
            <v>% brut</v>
          </cell>
          <cell r="J158">
            <v>0.96262299123474893</v>
          </cell>
          <cell r="K158">
            <v>84965.36</v>
          </cell>
          <cell r="L158" t="str">
            <v>% brut</v>
          </cell>
          <cell r="M158">
            <v>0.83804627852094804</v>
          </cell>
          <cell r="N158">
            <v>110803.10999999999</v>
          </cell>
          <cell r="O158" t="str">
            <v>% brut</v>
          </cell>
          <cell r="P158">
            <v>0.8561533068862881</v>
          </cell>
          <cell r="Q158">
            <v>102890.15</v>
          </cell>
          <cell r="R158" t="str">
            <v>% brut</v>
          </cell>
          <cell r="S158">
            <v>1.0020900351981017</v>
          </cell>
          <cell r="T158">
            <v>127033.15000000001</v>
          </cell>
          <cell r="U158" t="str">
            <v>% brut</v>
          </cell>
          <cell r="V158">
            <v>0.76897425894114246</v>
          </cell>
          <cell r="W158">
            <v>118047.63</v>
          </cell>
          <cell r="X158" t="str">
            <v>% brut</v>
          </cell>
          <cell r="Y158">
            <v>0.81296809732800746</v>
          </cell>
          <cell r="Z158">
            <v>111051.06</v>
          </cell>
          <cell r="AA158" t="str">
            <v>% brut</v>
          </cell>
          <cell r="AB158">
            <v>1.0800776919800548</v>
          </cell>
          <cell r="AC158">
            <v>124178.65999999999</v>
          </cell>
          <cell r="AD158" t="str">
            <v>% brut</v>
          </cell>
          <cell r="AE158">
            <v>0.77700537804970837</v>
          </cell>
          <cell r="AF158">
            <v>104777.73</v>
          </cell>
          <cell r="AG158" t="str">
            <v>% brut</v>
          </cell>
          <cell r="AH158">
            <v>0.85683898951003057</v>
          </cell>
          <cell r="AI158">
            <v>111969.31999999999</v>
          </cell>
          <cell r="AJ158" t="str">
            <v>% brut</v>
          </cell>
          <cell r="AK158">
            <v>1.5823869600937543</v>
          </cell>
          <cell r="AL158">
            <v>82377.910000000018</v>
          </cell>
          <cell r="AM158" t="str">
            <v>% brut</v>
          </cell>
          <cell r="AN158">
            <v>2.3118671981734189</v>
          </cell>
          <cell r="AO158">
            <v>86471</v>
          </cell>
        </row>
        <row r="159">
          <cell r="A159" t="str">
            <v>Véhicules usagésProgramme used 1</v>
          </cell>
          <cell r="B159" t="str">
            <v>Programme used 1</v>
          </cell>
          <cell r="E159">
            <v>0</v>
          </cell>
          <cell r="H159">
            <v>0</v>
          </cell>
          <cell r="K159">
            <v>0</v>
          </cell>
          <cell r="N159">
            <v>0</v>
          </cell>
          <cell r="Q159">
            <v>0</v>
          </cell>
          <cell r="T159">
            <v>0</v>
          </cell>
          <cell r="W159">
            <v>0</v>
          </cell>
          <cell r="Z159">
            <v>0</v>
          </cell>
          <cell r="AC159">
            <v>0</v>
          </cell>
          <cell r="AF159">
            <v>0</v>
          </cell>
          <cell r="AI159">
            <v>0</v>
          </cell>
          <cell r="AL159">
            <v>0</v>
          </cell>
          <cell r="AO159">
            <v>0</v>
          </cell>
        </row>
        <row r="160">
          <cell r="A160" t="str">
            <v>Véhicules usagésProgramme used 2</v>
          </cell>
          <cell r="B160" t="str">
            <v>Programme used 2</v>
          </cell>
          <cell r="E160">
            <v>0</v>
          </cell>
          <cell r="H160">
            <v>0</v>
          </cell>
          <cell r="K160">
            <v>0</v>
          </cell>
          <cell r="N160">
            <v>0</v>
          </cell>
          <cell r="Q160">
            <v>0</v>
          </cell>
          <cell r="T160">
            <v>0</v>
          </cell>
          <cell r="W160">
            <v>0</v>
          </cell>
          <cell r="Z160">
            <v>0</v>
          </cell>
          <cell r="AC160">
            <v>0</v>
          </cell>
          <cell r="AF160">
            <v>0</v>
          </cell>
          <cell r="AI160">
            <v>0</v>
          </cell>
          <cell r="AL160">
            <v>0</v>
          </cell>
          <cell r="AO160">
            <v>0</v>
          </cell>
        </row>
        <row r="161">
          <cell r="A161" t="str">
            <v>Véhicules usagésProgramme used 3</v>
          </cell>
          <cell r="B161" t="str">
            <v>Programme used 3</v>
          </cell>
          <cell r="E161">
            <v>0</v>
          </cell>
          <cell r="H161">
            <v>0</v>
          </cell>
          <cell r="K161">
            <v>0</v>
          </cell>
          <cell r="N161">
            <v>0</v>
          </cell>
          <cell r="Q161">
            <v>0</v>
          </cell>
          <cell r="T161">
            <v>0</v>
          </cell>
          <cell r="W161">
            <v>0</v>
          </cell>
          <cell r="Z161">
            <v>0</v>
          </cell>
          <cell r="AC161">
            <v>0</v>
          </cell>
          <cell r="AF161">
            <v>0</v>
          </cell>
          <cell r="AI161">
            <v>0</v>
          </cell>
          <cell r="AL161">
            <v>0</v>
          </cell>
          <cell r="AO161">
            <v>0</v>
          </cell>
        </row>
        <row r="162">
          <cell r="A162" t="str">
            <v>Véhicules usagés</v>
          </cell>
        </row>
        <row r="163">
          <cell r="A163" t="str">
            <v>Véhicules usagés[...]</v>
          </cell>
          <cell r="B163" t="str">
            <v>[...]</v>
          </cell>
          <cell r="E163">
            <v>0</v>
          </cell>
        </row>
        <row r="164">
          <cell r="A164" t="str">
            <v>Véhicules usagés[...]</v>
          </cell>
          <cell r="B164" t="str">
            <v>[...]</v>
          </cell>
          <cell r="E164">
            <v>0</v>
          </cell>
        </row>
        <row r="165">
          <cell r="A165" t="str">
            <v>Véhicules usagésFrais administration</v>
          </cell>
          <cell r="B165" t="str">
            <v>Frais administration</v>
          </cell>
          <cell r="E165">
            <v>128814</v>
          </cell>
          <cell r="H165">
            <v>9874</v>
          </cell>
          <cell r="K165">
            <v>8812</v>
          </cell>
          <cell r="N165">
            <v>13046</v>
          </cell>
          <cell r="Q165">
            <v>7645</v>
          </cell>
          <cell r="T165">
            <v>8919</v>
          </cell>
          <cell r="W165">
            <v>8552</v>
          </cell>
          <cell r="Z165">
            <v>14460</v>
          </cell>
          <cell r="AC165">
            <v>16835</v>
          </cell>
          <cell r="AF165">
            <v>15069</v>
          </cell>
          <cell r="AI165">
            <v>10119</v>
          </cell>
          <cell r="AL165">
            <v>7749</v>
          </cell>
          <cell r="AO165">
            <v>7734</v>
          </cell>
        </row>
        <row r="166">
          <cell r="A166" t="str">
            <v>Véhicules usagésAUTRES REVENUS</v>
          </cell>
          <cell r="B166" t="str">
            <v>AUTRES REVENUS</v>
          </cell>
          <cell r="E166">
            <v>128814</v>
          </cell>
          <cell r="H166">
            <v>9874</v>
          </cell>
          <cell r="K166">
            <v>8812</v>
          </cell>
          <cell r="N166">
            <v>13046</v>
          </cell>
          <cell r="Q166">
            <v>7645</v>
          </cell>
          <cell r="T166">
            <v>8919</v>
          </cell>
          <cell r="W166">
            <v>8552</v>
          </cell>
          <cell r="Z166">
            <v>14460</v>
          </cell>
          <cell r="AC166">
            <v>16835</v>
          </cell>
          <cell r="AF166">
            <v>15069</v>
          </cell>
          <cell r="AI166">
            <v>10119</v>
          </cell>
          <cell r="AL166">
            <v>7749</v>
          </cell>
          <cell r="AO166">
            <v>7734</v>
          </cell>
        </row>
        <row r="167">
          <cell r="A167" t="str">
            <v>Véhicules usagés</v>
          </cell>
        </row>
        <row r="168">
          <cell r="A168" t="str">
            <v>Véhicules usagésPROFIT DÉPARTEMENTAL</v>
          </cell>
          <cell r="B168" t="str">
            <v>PROFIT DÉPARTEMENTAL</v>
          </cell>
          <cell r="E168">
            <v>226511.11999999895</v>
          </cell>
          <cell r="H168">
            <v>44638.029999999912</v>
          </cell>
          <cell r="K168">
            <v>12111.059999999794</v>
          </cell>
          <cell r="N168">
            <v>34458.869999999879</v>
          </cell>
          <cell r="Q168">
            <v>24932.099999999802</v>
          </cell>
          <cell r="T168">
            <v>8654.0500000000029</v>
          </cell>
          <cell r="W168">
            <v>44017.479999999894</v>
          </cell>
          <cell r="Z168">
            <v>40008.469999999914</v>
          </cell>
          <cell r="AC168">
            <v>7628.3099999999104</v>
          </cell>
          <cell r="AF168">
            <v>45139.409999999989</v>
          </cell>
          <cell r="AI168">
            <v>28826.879999999801</v>
          </cell>
          <cell r="AL168">
            <v>-22569.64</v>
          </cell>
          <cell r="AO168">
            <v>-41333.900000000089</v>
          </cell>
        </row>
        <row r="171">
          <cell r="B171" t="str">
            <v>Réel 2023</v>
          </cell>
          <cell r="C171" t="str">
            <v>Service</v>
          </cell>
        </row>
        <row r="173">
          <cell r="B173" t="str">
            <v>Mois</v>
          </cell>
          <cell r="C173">
            <v>2023</v>
          </cell>
          <cell r="F173" t="str">
            <v>Janvier</v>
          </cell>
          <cell r="I173" t="str">
            <v>Février</v>
          </cell>
          <cell r="L173" t="str">
            <v>Mars</v>
          </cell>
          <cell r="O173" t="str">
            <v>Avril</v>
          </cell>
          <cell r="R173" t="str">
            <v>Mai</v>
          </cell>
          <cell r="U173" t="str">
            <v>Juin</v>
          </cell>
          <cell r="X173" t="str">
            <v>Juillet</v>
          </cell>
          <cell r="AA173" t="str">
            <v>Août</v>
          </cell>
          <cell r="AD173" t="str">
            <v>Septembre</v>
          </cell>
          <cell r="AG173" t="str">
            <v>Octobre</v>
          </cell>
          <cell r="AJ173" t="str">
            <v>Novembre</v>
          </cell>
          <cell r="AM173" t="str">
            <v>Décembre</v>
          </cell>
        </row>
        <row r="174">
          <cell r="A174" t="str">
            <v>Service</v>
          </cell>
          <cell r="C174" t="str">
            <v>#</v>
          </cell>
          <cell r="D174" t="str">
            <v>$VENTES</v>
          </cell>
          <cell r="E174" t="str">
            <v>$PROFITS</v>
          </cell>
          <cell r="F174" t="str">
            <v>#</v>
          </cell>
          <cell r="G174" t="str">
            <v>$VENTES</v>
          </cell>
          <cell r="H174" t="str">
            <v>$PROFITS</v>
          </cell>
          <cell r="I174" t="str">
            <v>#</v>
          </cell>
          <cell r="J174" t="str">
            <v>$VENTES</v>
          </cell>
          <cell r="K174" t="str">
            <v>$PROFITS</v>
          </cell>
          <cell r="L174" t="str">
            <v>#</v>
          </cell>
          <cell r="M174" t="str">
            <v>$VENTES</v>
          </cell>
          <cell r="N174" t="str">
            <v>$PROFITS</v>
          </cell>
          <cell r="O174" t="str">
            <v>#</v>
          </cell>
          <cell r="P174" t="str">
            <v>$VENTES</v>
          </cell>
          <cell r="Q174" t="str">
            <v>$PROFITS</v>
          </cell>
          <cell r="R174" t="str">
            <v>#</v>
          </cell>
          <cell r="S174" t="str">
            <v>$VENTES</v>
          </cell>
          <cell r="T174" t="str">
            <v>$PROFITS</v>
          </cell>
          <cell r="U174" t="str">
            <v>#</v>
          </cell>
          <cell r="V174" t="str">
            <v>$VENTES</v>
          </cell>
          <cell r="W174" t="str">
            <v>$PROFITS</v>
          </cell>
          <cell r="X174" t="str">
            <v>#</v>
          </cell>
          <cell r="Y174" t="str">
            <v>$VENTES</v>
          </cell>
          <cell r="Z174" t="str">
            <v>$PROFITS</v>
          </cell>
          <cell r="AA174" t="str">
            <v>#</v>
          </cell>
          <cell r="AB174" t="str">
            <v>$VENTES</v>
          </cell>
          <cell r="AC174" t="str">
            <v>$PROFITS</v>
          </cell>
          <cell r="AD174" t="str">
            <v>#</v>
          </cell>
          <cell r="AE174" t="str">
            <v>$VENTES</v>
          </cell>
          <cell r="AF174" t="str">
            <v>$PROFITS</v>
          </cell>
          <cell r="AG174" t="str">
            <v>#</v>
          </cell>
          <cell r="AH174" t="str">
            <v>$VENTES</v>
          </cell>
          <cell r="AI174" t="str">
            <v>$PROFITS</v>
          </cell>
          <cell r="AJ174" t="str">
            <v>#</v>
          </cell>
          <cell r="AK174" t="str">
            <v>$VENTES</v>
          </cell>
          <cell r="AL174" t="str">
            <v>$PROFITS</v>
          </cell>
          <cell r="AM174" t="str">
            <v>#</v>
          </cell>
          <cell r="AN174" t="str">
            <v>$VENTES</v>
          </cell>
          <cell r="AO174" t="str">
            <v>$PROFITS</v>
          </cell>
        </row>
        <row r="175">
          <cell r="A175" t="str">
            <v>ServiceM/O Client</v>
          </cell>
          <cell r="B175" t="str">
            <v>M/O Client</v>
          </cell>
          <cell r="C175">
            <v>5672</v>
          </cell>
          <cell r="D175">
            <v>1794757.1899999969</v>
          </cell>
          <cell r="E175">
            <v>1365745.6399999978</v>
          </cell>
          <cell r="F175">
            <v>306</v>
          </cell>
          <cell r="G175">
            <v>99375.66</v>
          </cell>
          <cell r="H175">
            <v>73499.429999999993</v>
          </cell>
          <cell r="I175">
            <v>260</v>
          </cell>
          <cell r="J175">
            <v>88638.59</v>
          </cell>
          <cell r="K175">
            <v>67573.42</v>
          </cell>
          <cell r="L175">
            <v>324</v>
          </cell>
          <cell r="M175">
            <v>116309.069999999</v>
          </cell>
          <cell r="N175">
            <v>89120.03</v>
          </cell>
          <cell r="O175">
            <v>649</v>
          </cell>
          <cell r="P175">
            <v>206618.41</v>
          </cell>
          <cell r="Q175">
            <v>159399.99</v>
          </cell>
          <cell r="R175">
            <v>630</v>
          </cell>
          <cell r="S175">
            <v>205419.62999999899</v>
          </cell>
          <cell r="T175">
            <v>160181.58999999901</v>
          </cell>
          <cell r="U175">
            <v>424</v>
          </cell>
          <cell r="V175">
            <v>163560.49</v>
          </cell>
          <cell r="W175">
            <v>130305.849999999</v>
          </cell>
          <cell r="X175">
            <v>376</v>
          </cell>
          <cell r="Y175">
            <v>134675.75999999899</v>
          </cell>
          <cell r="Z175">
            <v>98157.879999999903</v>
          </cell>
          <cell r="AA175">
            <v>346</v>
          </cell>
          <cell r="AB175">
            <v>124231.09</v>
          </cell>
          <cell r="AC175">
            <v>94401.34</v>
          </cell>
          <cell r="AD175">
            <v>351</v>
          </cell>
          <cell r="AE175">
            <v>121290.73</v>
          </cell>
          <cell r="AF175">
            <v>89262.04</v>
          </cell>
          <cell r="AG175">
            <v>584</v>
          </cell>
          <cell r="AH175">
            <v>160196.75</v>
          </cell>
          <cell r="AI175">
            <v>122881.74</v>
          </cell>
          <cell r="AJ175">
            <v>1003</v>
          </cell>
          <cell r="AK175">
            <v>245740.65</v>
          </cell>
          <cell r="AL175">
            <v>184881.37</v>
          </cell>
          <cell r="AM175">
            <v>419</v>
          </cell>
          <cell r="AN175">
            <v>128700.36</v>
          </cell>
          <cell r="AO175">
            <v>96080.960000000006</v>
          </cell>
        </row>
        <row r="176">
          <cell r="A176" t="str">
            <v>Service% profit / ventes</v>
          </cell>
          <cell r="B176" t="str">
            <v>% profit / ventes</v>
          </cell>
          <cell r="E176">
            <v>0.76096401653083789</v>
          </cell>
          <cell r="H176">
            <v>0.73961199352034479</v>
          </cell>
          <cell r="K176">
            <v>0.76234764113463449</v>
          </cell>
          <cell r="N176">
            <v>0.76623456794900657</v>
          </cell>
          <cell r="Q176">
            <v>0.77147041253487525</v>
          </cell>
          <cell r="T176">
            <v>0.77977742438733721</v>
          </cell>
          <cell r="W176">
            <v>0.79668292752118197</v>
          </cell>
          <cell r="Z176">
            <v>0.72884593337361259</v>
          </cell>
          <cell r="AC176">
            <v>0.75988498531245274</v>
          </cell>
          <cell r="AF176">
            <v>0.7359345598793906</v>
          </cell>
          <cell r="AI176">
            <v>0.76706762153414476</v>
          </cell>
          <cell r="AL176">
            <v>0.75234345640413991</v>
          </cell>
          <cell r="AO176">
            <v>0.74654771750444215</v>
          </cell>
        </row>
        <row r="177">
          <cell r="A177" t="str">
            <v>Service</v>
          </cell>
          <cell r="D177">
            <v>316.42404619181895</v>
          </cell>
          <cell r="G177">
            <v>324.75705882352941</v>
          </cell>
          <cell r="J177">
            <v>340.91765384615383</v>
          </cell>
          <cell r="M177">
            <v>358.97861111110802</v>
          </cell>
          <cell r="P177">
            <v>318.36426810477656</v>
          </cell>
          <cell r="S177">
            <v>326.06290476190316</v>
          </cell>
          <cell r="V177">
            <v>385.75587264150943</v>
          </cell>
          <cell r="Y177">
            <v>358.18021276595476</v>
          </cell>
          <cell r="AB177">
            <v>359.04939306358381</v>
          </cell>
          <cell r="AE177">
            <v>345.5576353276353</v>
          </cell>
          <cell r="AH177">
            <v>274.30950342465752</v>
          </cell>
          <cell r="AK177">
            <v>245.00563310069791</v>
          </cell>
          <cell r="AN177">
            <v>307.16076372315035</v>
          </cell>
        </row>
        <row r="178">
          <cell r="A178" t="str">
            <v>ServiceM/O Garantie</v>
          </cell>
          <cell r="B178" t="str">
            <v>M/O Garantie</v>
          </cell>
          <cell r="C178">
            <v>1295</v>
          </cell>
          <cell r="D178">
            <v>340943.76</v>
          </cell>
          <cell r="E178">
            <v>205916.44999999969</v>
          </cell>
          <cell r="F178">
            <v>116</v>
          </cell>
          <cell r="G178">
            <v>26426.29</v>
          </cell>
          <cell r="H178">
            <v>15576.71</v>
          </cell>
          <cell r="I178">
            <v>104</v>
          </cell>
          <cell r="J178">
            <v>26193.41</v>
          </cell>
          <cell r="K178">
            <v>14568.82</v>
          </cell>
          <cell r="L178">
            <v>104</v>
          </cell>
          <cell r="M178">
            <v>24148.27</v>
          </cell>
          <cell r="N178">
            <v>14611.85</v>
          </cell>
          <cell r="O178">
            <v>76</v>
          </cell>
          <cell r="P178">
            <v>19537.28</v>
          </cell>
          <cell r="Q178">
            <v>11548.07</v>
          </cell>
          <cell r="R178">
            <v>84</v>
          </cell>
          <cell r="S178">
            <v>18769.009999999998</v>
          </cell>
          <cell r="T178">
            <v>12245.8999999999</v>
          </cell>
          <cell r="U178">
            <v>93</v>
          </cell>
          <cell r="V178">
            <v>23312.13</v>
          </cell>
          <cell r="W178">
            <v>14886.99</v>
          </cell>
          <cell r="X178">
            <v>127</v>
          </cell>
          <cell r="Y178">
            <v>31627.03</v>
          </cell>
          <cell r="Z178">
            <v>20159.589999999898</v>
          </cell>
          <cell r="AA178">
            <v>112</v>
          </cell>
          <cell r="AB178">
            <v>47082.720000000001</v>
          </cell>
          <cell r="AC178">
            <v>28555.8</v>
          </cell>
          <cell r="AD178">
            <v>118</v>
          </cell>
          <cell r="AE178">
            <v>34071.730000000003</v>
          </cell>
          <cell r="AF178">
            <v>20940.57</v>
          </cell>
          <cell r="AG178">
            <v>98</v>
          </cell>
          <cell r="AH178">
            <v>29283.51</v>
          </cell>
          <cell r="AI178">
            <v>17174.5</v>
          </cell>
          <cell r="AJ178">
            <v>116</v>
          </cell>
          <cell r="AK178">
            <v>22849.53</v>
          </cell>
          <cell r="AL178">
            <v>12512.06</v>
          </cell>
          <cell r="AM178">
            <v>147</v>
          </cell>
          <cell r="AN178">
            <v>37642.85</v>
          </cell>
          <cell r="AO178">
            <v>23135.589999999898</v>
          </cell>
        </row>
        <row r="179">
          <cell r="A179" t="str">
            <v>Service% profit / ventes</v>
          </cell>
          <cell r="B179" t="str">
            <v>% profit / ventes</v>
          </cell>
          <cell r="E179">
            <v>0.60396016633359029</v>
          </cell>
          <cell r="H179">
            <v>0.58943991002898999</v>
          </cell>
          <cell r="K179">
            <v>0.55620173165693199</v>
          </cell>
          <cell r="N179">
            <v>0.60508889456677439</v>
          </cell>
          <cell r="Q179">
            <v>0.59107869672748714</v>
          </cell>
          <cell r="T179">
            <v>0.65245316614994087</v>
          </cell>
          <cell r="W179">
            <v>0.63859415677589304</v>
          </cell>
          <cell r="Z179">
            <v>0.63741647571712867</v>
          </cell>
          <cell r="AC179">
            <v>0.60650276789446311</v>
          </cell>
          <cell r="AF179">
            <v>0.61460248716457888</v>
          </cell>
          <cell r="AI179">
            <v>0.58649048560094064</v>
          </cell>
          <cell r="AL179">
            <v>0.54758500503073804</v>
          </cell>
          <cell r="AO179">
            <v>0.6146078206086919</v>
          </cell>
        </row>
        <row r="180">
          <cell r="A180" t="str">
            <v>Service</v>
          </cell>
          <cell r="D180">
            <v>263.27703474903478</v>
          </cell>
          <cell r="G180">
            <v>227.81284482758622</v>
          </cell>
          <cell r="J180">
            <v>251.85971153846154</v>
          </cell>
          <cell r="M180">
            <v>232.19490384615386</v>
          </cell>
          <cell r="P180">
            <v>257.06947368421049</v>
          </cell>
          <cell r="S180">
            <v>223.44059523809523</v>
          </cell>
          <cell r="V180">
            <v>250.66806451612905</v>
          </cell>
          <cell r="Y180">
            <v>249.03173228346455</v>
          </cell>
          <cell r="AB180">
            <v>420.38142857142856</v>
          </cell>
          <cell r="AE180">
            <v>288.74347457627124</v>
          </cell>
          <cell r="AH180">
            <v>298.81132653061223</v>
          </cell>
          <cell r="AK180">
            <v>196.97870689655173</v>
          </cell>
          <cell r="AN180">
            <v>256.07380952380953</v>
          </cell>
        </row>
        <row r="181">
          <cell r="A181" t="str">
            <v>ServiceM/O Interne</v>
          </cell>
          <cell r="B181" t="str">
            <v>M/O Interne</v>
          </cell>
          <cell r="C181">
            <v>2616</v>
          </cell>
          <cell r="D181">
            <v>774983.94999999984</v>
          </cell>
          <cell r="E181">
            <v>522451.40999999957</v>
          </cell>
          <cell r="F181">
            <v>147</v>
          </cell>
          <cell r="G181">
            <v>41247.18</v>
          </cell>
          <cell r="H181">
            <v>27655.16</v>
          </cell>
          <cell r="I181">
            <v>153</v>
          </cell>
          <cell r="J181">
            <v>44287.68</v>
          </cell>
          <cell r="K181">
            <v>24875.26</v>
          </cell>
          <cell r="L181">
            <v>209</v>
          </cell>
          <cell r="M181">
            <v>44954.73</v>
          </cell>
          <cell r="N181">
            <v>29428.93</v>
          </cell>
          <cell r="O181">
            <v>141</v>
          </cell>
          <cell r="P181">
            <v>39589.24</v>
          </cell>
          <cell r="Q181">
            <v>28469.120000000003</v>
          </cell>
          <cell r="R181">
            <v>218</v>
          </cell>
          <cell r="S181">
            <v>70537.03</v>
          </cell>
          <cell r="T181">
            <v>51061.659999999902</v>
          </cell>
          <cell r="U181">
            <v>207</v>
          </cell>
          <cell r="V181">
            <v>61936.79</v>
          </cell>
          <cell r="W181">
            <v>45575.42</v>
          </cell>
          <cell r="X181">
            <v>205</v>
          </cell>
          <cell r="Y181">
            <v>71469.95</v>
          </cell>
          <cell r="Z181">
            <v>47106.679999999898</v>
          </cell>
          <cell r="AA181">
            <v>207</v>
          </cell>
          <cell r="AB181">
            <v>64628.659999999902</v>
          </cell>
          <cell r="AC181">
            <v>40631.67</v>
          </cell>
          <cell r="AD181">
            <v>246</v>
          </cell>
          <cell r="AE181">
            <v>70784.98</v>
          </cell>
          <cell r="AF181">
            <v>49450.3299999999</v>
          </cell>
          <cell r="AG181">
            <v>319</v>
          </cell>
          <cell r="AH181">
            <v>100162.52</v>
          </cell>
          <cell r="AI181">
            <v>59641.43</v>
          </cell>
          <cell r="AJ181">
            <v>339</v>
          </cell>
          <cell r="AK181">
            <v>94484.31</v>
          </cell>
          <cell r="AL181">
            <v>69294.319999999905</v>
          </cell>
          <cell r="AM181">
            <v>225</v>
          </cell>
          <cell r="AN181">
            <v>70900.88</v>
          </cell>
          <cell r="AO181">
            <v>49261.43</v>
          </cell>
        </row>
        <row r="182">
          <cell r="A182" t="str">
            <v>Service% profit / ventes</v>
          </cell>
          <cell r="B182" t="str">
            <v>% profit / ventes</v>
          </cell>
          <cell r="E182">
            <v>0.67414481293451256</v>
          </cell>
          <cell r="H182">
            <v>0.67047395724992598</v>
          </cell>
          <cell r="K182">
            <v>0.5616744882549729</v>
          </cell>
          <cell r="N182">
            <v>0.65463478481574677</v>
          </cell>
          <cell r="Q182">
            <v>0.7191125669500098</v>
          </cell>
          <cell r="T182">
            <v>0.72389863877171889</v>
          </cell>
          <cell r="W182">
            <v>0.73583761767440636</v>
          </cell>
          <cell r="Z182">
            <v>0.65911169659416158</v>
          </cell>
          <cell r="AC182">
            <v>0.6286942975453933</v>
          </cell>
          <cell r="AF182">
            <v>0.6985991943488562</v>
          </cell>
          <cell r="AI182">
            <v>0.59544658021782992</v>
          </cell>
          <cell r="AL182">
            <v>0.73339499436467182</v>
          </cell>
          <cell r="AO182">
            <v>0.69479292781697488</v>
          </cell>
        </row>
        <row r="183">
          <cell r="A183" t="str">
            <v>Service</v>
          </cell>
          <cell r="D183">
            <v>296.24768730886842</v>
          </cell>
          <cell r="G183">
            <v>280.59306122448982</v>
          </cell>
          <cell r="J183">
            <v>289.4619607843137</v>
          </cell>
          <cell r="M183">
            <v>215.0944019138756</v>
          </cell>
          <cell r="P183">
            <v>280.77475177304962</v>
          </cell>
          <cell r="S183">
            <v>323.56435779816513</v>
          </cell>
          <cell r="V183">
            <v>299.2115458937198</v>
          </cell>
          <cell r="Y183">
            <v>348.63390243902438</v>
          </cell>
          <cell r="AB183">
            <v>312.21574879227006</v>
          </cell>
          <cell r="AE183">
            <v>287.74382113821139</v>
          </cell>
          <cell r="AH183">
            <v>313.98909090909092</v>
          </cell>
          <cell r="AK183">
            <v>278.71477876106195</v>
          </cell>
          <cell r="AN183">
            <v>315.11502222222225</v>
          </cell>
        </row>
        <row r="184">
          <cell r="A184" t="str">
            <v>ServiceM/O Esthétique</v>
          </cell>
          <cell r="B184" t="str">
            <v>M/O Esthétique</v>
          </cell>
          <cell r="C184">
            <v>0</v>
          </cell>
          <cell r="D184">
            <v>115951.84999999998</v>
          </cell>
          <cell r="E184">
            <v>91317.869999999937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119.9</v>
          </cell>
          <cell r="K184">
            <v>76.7</v>
          </cell>
          <cell r="L184">
            <v>0</v>
          </cell>
          <cell r="M184">
            <v>2307.7399999999998</v>
          </cell>
          <cell r="N184">
            <v>2088.8599999999901</v>
          </cell>
          <cell r="O184">
            <v>0</v>
          </cell>
          <cell r="P184">
            <v>4257.78</v>
          </cell>
          <cell r="Q184">
            <v>3429.3799999999901</v>
          </cell>
          <cell r="R184">
            <v>0</v>
          </cell>
          <cell r="S184">
            <v>18455.04</v>
          </cell>
          <cell r="T184">
            <v>14338.96</v>
          </cell>
          <cell r="U184">
            <v>0</v>
          </cell>
          <cell r="V184">
            <v>12535.35</v>
          </cell>
          <cell r="W184">
            <v>9643.2099999999991</v>
          </cell>
          <cell r="X184">
            <v>0</v>
          </cell>
          <cell r="Y184">
            <v>12357.23</v>
          </cell>
          <cell r="Z184">
            <v>9196.53999999999</v>
          </cell>
          <cell r="AA184">
            <v>0</v>
          </cell>
          <cell r="AB184">
            <v>16369.69</v>
          </cell>
          <cell r="AC184">
            <v>14346.63</v>
          </cell>
          <cell r="AD184">
            <v>0</v>
          </cell>
          <cell r="AE184">
            <v>11861.54</v>
          </cell>
          <cell r="AF184">
            <v>9783.99</v>
          </cell>
          <cell r="AG184">
            <v>0</v>
          </cell>
          <cell r="AH184">
            <v>14474.65</v>
          </cell>
          <cell r="AI184">
            <v>11844.48</v>
          </cell>
          <cell r="AJ184">
            <v>0</v>
          </cell>
          <cell r="AK184">
            <v>17546.61</v>
          </cell>
          <cell r="AL184">
            <v>12159.81</v>
          </cell>
          <cell r="AM184">
            <v>0</v>
          </cell>
          <cell r="AN184">
            <v>5666.32</v>
          </cell>
          <cell r="AO184">
            <v>4409.3099999999904</v>
          </cell>
        </row>
        <row r="185">
          <cell r="A185" t="str">
            <v>Service% profit / ventes</v>
          </cell>
          <cell r="B185" t="str">
            <v>% profit / ventes</v>
          </cell>
          <cell r="D185">
            <v>0</v>
          </cell>
          <cell r="E185">
            <v>0.78754991834972843</v>
          </cell>
          <cell r="G185">
            <v>0</v>
          </cell>
          <cell r="H185">
            <v>0</v>
          </cell>
          <cell r="J185">
            <v>0</v>
          </cell>
          <cell r="K185">
            <v>0.63969974979149291</v>
          </cell>
          <cell r="M185">
            <v>0</v>
          </cell>
          <cell r="N185">
            <v>0.90515396015148597</v>
          </cell>
          <cell r="P185">
            <v>0</v>
          </cell>
          <cell r="Q185">
            <v>0.80543851490682705</v>
          </cell>
          <cell r="S185">
            <v>0</v>
          </cell>
          <cell r="T185">
            <v>0.77696715910667213</v>
          </cell>
          <cell r="V185">
            <v>0</v>
          </cell>
          <cell r="W185">
            <v>0.76928127256119683</v>
          </cell>
          <cell r="Y185">
            <v>0</v>
          </cell>
          <cell r="Z185">
            <v>0.74422342223944926</v>
          </cell>
          <cell r="AB185">
            <v>0</v>
          </cell>
          <cell r="AC185">
            <v>0.87641427540778105</v>
          </cell>
          <cell r="AE185">
            <v>0</v>
          </cell>
          <cell r="AF185">
            <v>0.82484989301557798</v>
          </cell>
          <cell r="AH185">
            <v>0</v>
          </cell>
          <cell r="AI185">
            <v>0.81829128856310862</v>
          </cell>
          <cell r="AK185">
            <v>0</v>
          </cell>
          <cell r="AL185">
            <v>0.69300052830717718</v>
          </cell>
          <cell r="AN185">
            <v>0</v>
          </cell>
          <cell r="AO185">
            <v>0.77816113456352454</v>
          </cell>
        </row>
        <row r="186">
          <cell r="A186" t="str">
            <v>Service</v>
          </cell>
          <cell r="D186">
            <v>0</v>
          </cell>
          <cell r="G186">
            <v>0</v>
          </cell>
          <cell r="J186">
            <v>0</v>
          </cell>
          <cell r="M186">
            <v>0</v>
          </cell>
          <cell r="P186">
            <v>0</v>
          </cell>
          <cell r="S186">
            <v>0</v>
          </cell>
          <cell r="V186">
            <v>0</v>
          </cell>
          <cell r="Y186">
            <v>0</v>
          </cell>
          <cell r="AB186">
            <v>0</v>
          </cell>
          <cell r="AE186">
            <v>0</v>
          </cell>
          <cell r="AH186">
            <v>0</v>
          </cell>
          <cell r="AK186">
            <v>0</v>
          </cell>
          <cell r="AN186">
            <v>0</v>
          </cell>
        </row>
        <row r="187">
          <cell r="A187" t="str">
            <v>ServiceAjustement M/O</v>
          </cell>
          <cell r="B187" t="str">
            <v>Ajustement M/O</v>
          </cell>
          <cell r="E187">
            <v>-32056.45</v>
          </cell>
          <cell r="H187">
            <v>-2262.14</v>
          </cell>
          <cell r="K187">
            <v>-2759.96</v>
          </cell>
          <cell r="N187">
            <v>-1643.12</v>
          </cell>
          <cell r="Q187">
            <v>-3057.78</v>
          </cell>
          <cell r="T187">
            <v>-211.89</v>
          </cell>
          <cell r="W187">
            <v>-2801.5</v>
          </cell>
          <cell r="Z187">
            <v>-1305.82</v>
          </cell>
          <cell r="AC187">
            <v>-1755.16</v>
          </cell>
          <cell r="AF187">
            <v>-6099.74</v>
          </cell>
          <cell r="AI187">
            <v>-3152.12</v>
          </cell>
          <cell r="AL187">
            <v>-1433.5</v>
          </cell>
          <cell r="AO187">
            <v>-5573.72</v>
          </cell>
        </row>
        <row r="188">
          <cell r="A188" t="str">
            <v>ServiceSous-total M/O</v>
          </cell>
          <cell r="B188" t="str">
            <v>Sous-total M/O</v>
          </cell>
          <cell r="C188">
            <v>9583</v>
          </cell>
          <cell r="D188">
            <v>3026636.7499999967</v>
          </cell>
          <cell r="E188">
            <v>2153374.9199999971</v>
          </cell>
          <cell r="F188">
            <v>569</v>
          </cell>
          <cell r="G188">
            <v>167049.13</v>
          </cell>
          <cell r="H188">
            <v>114469.15999999999</v>
          </cell>
          <cell r="I188">
            <v>517</v>
          </cell>
          <cell r="J188">
            <v>159239.57999999999</v>
          </cell>
          <cell r="K188">
            <v>104334.23999999998</v>
          </cell>
          <cell r="L188">
            <v>637</v>
          </cell>
          <cell r="M188">
            <v>187719.80999999901</v>
          </cell>
          <cell r="N188">
            <v>133606.54999999999</v>
          </cell>
          <cell r="O188">
            <v>866</v>
          </cell>
          <cell r="P188">
            <v>270002.71000000002</v>
          </cell>
          <cell r="Q188">
            <v>199788.78</v>
          </cell>
          <cell r="R188">
            <v>932</v>
          </cell>
          <cell r="S188">
            <v>313180.70999999897</v>
          </cell>
          <cell r="T188">
            <v>237616.21999999878</v>
          </cell>
          <cell r="U188">
            <v>724</v>
          </cell>
          <cell r="V188">
            <v>261344.76</v>
          </cell>
          <cell r="W188">
            <v>197609.96999999901</v>
          </cell>
          <cell r="X188">
            <v>708</v>
          </cell>
          <cell r="Y188">
            <v>250129.96999999901</v>
          </cell>
          <cell r="Z188">
            <v>173314.86999999968</v>
          </cell>
          <cell r="AA188">
            <v>665</v>
          </cell>
          <cell r="AB188">
            <v>252312.15999999992</v>
          </cell>
          <cell r="AC188">
            <v>176180.28</v>
          </cell>
          <cell r="AD188">
            <v>715</v>
          </cell>
          <cell r="AE188">
            <v>238008.98</v>
          </cell>
          <cell r="AF188">
            <v>163337.18999999989</v>
          </cell>
          <cell r="AG188">
            <v>1001</v>
          </cell>
          <cell r="AH188">
            <v>304117.43000000005</v>
          </cell>
          <cell r="AI188">
            <v>208390.03</v>
          </cell>
          <cell r="AJ188">
            <v>1458</v>
          </cell>
          <cell r="AK188">
            <v>380621.1</v>
          </cell>
          <cell r="AL188">
            <v>277414.05999999988</v>
          </cell>
          <cell r="AM188">
            <v>791</v>
          </cell>
          <cell r="AN188">
            <v>242910.41</v>
          </cell>
          <cell r="AO188">
            <v>167313.56999999989</v>
          </cell>
        </row>
        <row r="189">
          <cell r="A189" t="str">
            <v>Service% protit / ventes</v>
          </cell>
          <cell r="B189" t="str">
            <v>% protit / ventes</v>
          </cell>
          <cell r="D189">
            <v>315.83395074611258</v>
          </cell>
          <cell r="E189">
            <v>0.71147451705263254</v>
          </cell>
          <cell r="G189">
            <v>293.58370826010548</v>
          </cell>
          <cell r="H189">
            <v>0.68524247926343573</v>
          </cell>
          <cell r="J189">
            <v>308.00692456479686</v>
          </cell>
          <cell r="K189">
            <v>0.65520293384345762</v>
          </cell>
          <cell r="M189">
            <v>294.69357927786342</v>
          </cell>
          <cell r="N189">
            <v>0.71173388679650107</v>
          </cell>
          <cell r="P189">
            <v>311.78142032332568</v>
          </cell>
          <cell r="Q189">
            <v>0.73995101752867587</v>
          </cell>
          <cell r="S189">
            <v>336.03080472102891</v>
          </cell>
          <cell r="T189">
            <v>0.75871920719510333</v>
          </cell>
          <cell r="V189">
            <v>360.97342541436467</v>
          </cell>
          <cell r="W189">
            <v>0.75612753819896372</v>
          </cell>
          <cell r="Y189">
            <v>353.29091807909464</v>
          </cell>
          <cell r="Z189">
            <v>0.69289925553503384</v>
          </cell>
          <cell r="AB189">
            <v>379.41678195488709</v>
          </cell>
          <cell r="AC189">
            <v>0.69826313563325704</v>
          </cell>
          <cell r="AE189">
            <v>332.87969230769232</v>
          </cell>
          <cell r="AF189">
            <v>0.68626482076432527</v>
          </cell>
          <cell r="AH189">
            <v>303.81361638361642</v>
          </cell>
          <cell r="AI189">
            <v>0.68522882756177428</v>
          </cell>
          <cell r="AK189">
            <v>261.05699588477364</v>
          </cell>
          <cell r="AL189">
            <v>0.7288457208494219</v>
          </cell>
          <cell r="AN189">
            <v>307.09280657395703</v>
          </cell>
          <cell r="AO189">
            <v>0.68878715407873992</v>
          </cell>
        </row>
        <row r="190">
          <cell r="A190" t="str">
            <v>Service</v>
          </cell>
        </row>
        <row r="191">
          <cell r="A191" t="str">
            <v>ServiceSous-traitement</v>
          </cell>
          <cell r="B191" t="str">
            <v>Sous-traitement</v>
          </cell>
          <cell r="C191">
            <v>0</v>
          </cell>
          <cell r="D191">
            <v>153688.8599999999</v>
          </cell>
          <cell r="E191">
            <v>29772.999999999953</v>
          </cell>
          <cell r="F191">
            <v>0</v>
          </cell>
          <cell r="G191">
            <v>13993.6899999999</v>
          </cell>
          <cell r="H191">
            <v>2908.0899999999901</v>
          </cell>
          <cell r="I191">
            <v>0</v>
          </cell>
          <cell r="J191">
            <v>15319.49</v>
          </cell>
          <cell r="K191">
            <v>3499.79</v>
          </cell>
          <cell r="L191">
            <v>0</v>
          </cell>
          <cell r="M191">
            <v>13379.64</v>
          </cell>
          <cell r="N191">
            <v>2737.98</v>
          </cell>
          <cell r="O191">
            <v>0</v>
          </cell>
          <cell r="P191">
            <v>10677.2</v>
          </cell>
          <cell r="Q191">
            <v>345.05000000000098</v>
          </cell>
          <cell r="R191">
            <v>0</v>
          </cell>
          <cell r="S191">
            <v>11573.04</v>
          </cell>
          <cell r="T191">
            <v>1454.89</v>
          </cell>
          <cell r="U191">
            <v>0</v>
          </cell>
          <cell r="V191">
            <v>11169.3</v>
          </cell>
          <cell r="W191">
            <v>2446.3999999999901</v>
          </cell>
          <cell r="X191">
            <v>0</v>
          </cell>
          <cell r="Y191">
            <v>13313.75</v>
          </cell>
          <cell r="Z191">
            <v>2687.7799999999902</v>
          </cell>
          <cell r="AA191">
            <v>0</v>
          </cell>
          <cell r="AB191">
            <v>14003.68</v>
          </cell>
          <cell r="AC191">
            <v>2238.2399999999998</v>
          </cell>
          <cell r="AD191">
            <v>0</v>
          </cell>
          <cell r="AE191">
            <v>12633.65</v>
          </cell>
          <cell r="AF191">
            <v>2733.9</v>
          </cell>
          <cell r="AG191">
            <v>0</v>
          </cell>
          <cell r="AH191">
            <v>12600.7</v>
          </cell>
          <cell r="AI191">
            <v>2662.37</v>
          </cell>
          <cell r="AJ191">
            <v>0</v>
          </cell>
          <cell r="AK191">
            <v>15124.4</v>
          </cell>
          <cell r="AL191">
            <v>3157.1899999999901</v>
          </cell>
          <cell r="AM191">
            <v>0</v>
          </cell>
          <cell r="AN191">
            <v>9900.32</v>
          </cell>
          <cell r="AO191">
            <v>2901.3199999999902</v>
          </cell>
        </row>
        <row r="192">
          <cell r="A192" t="str">
            <v>Service% profit / ventes</v>
          </cell>
          <cell r="B192" t="str">
            <v>% profit / ventes</v>
          </cell>
          <cell r="E192">
            <v>0.19372256388654305</v>
          </cell>
          <cell r="H192">
            <v>0.20781437919519519</v>
          </cell>
          <cell r="K192">
            <v>0.22845342762715992</v>
          </cell>
          <cell r="N192">
            <v>0.20463779294510168</v>
          </cell>
          <cell r="Q192">
            <v>3.2316524931630106E-2</v>
          </cell>
          <cell r="T192">
            <v>0.12571372776729364</v>
          </cell>
          <cell r="W192">
            <v>0.21902894541287191</v>
          </cell>
          <cell r="Z192">
            <v>0.201880011266547</v>
          </cell>
          <cell r="AC192">
            <v>0.159832272659758</v>
          </cell>
          <cell r="AF192">
            <v>0.21639826970036372</v>
          </cell>
          <cell r="AI192">
            <v>0.21128746815653096</v>
          </cell>
          <cell r="AL192">
            <v>0.20874811562772672</v>
          </cell>
          <cell r="AO192">
            <v>0.29305315383745073</v>
          </cell>
        </row>
        <row r="193">
          <cell r="A193" t="str">
            <v>Service</v>
          </cell>
        </row>
        <row r="194">
          <cell r="A194" t="str">
            <v>ServiceM.O. Recond. MCPA</v>
          </cell>
          <cell r="B194" t="str">
            <v>M.O. Recond. MCPA</v>
          </cell>
          <cell r="C194">
            <v>361</v>
          </cell>
          <cell r="D194">
            <v>67720.11</v>
          </cell>
          <cell r="E194">
            <v>48459.05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37</v>
          </cell>
          <cell r="Y194">
            <v>6269.36</v>
          </cell>
          <cell r="Z194">
            <v>4401.66</v>
          </cell>
          <cell r="AA194">
            <v>67</v>
          </cell>
          <cell r="AB194">
            <v>10767.44</v>
          </cell>
          <cell r="AC194">
            <v>7120.63</v>
          </cell>
          <cell r="AD194">
            <v>72</v>
          </cell>
          <cell r="AE194">
            <v>12594.24</v>
          </cell>
          <cell r="AF194">
            <v>8569.1299999999992</v>
          </cell>
          <cell r="AG194">
            <v>63</v>
          </cell>
          <cell r="AH194">
            <v>12649.56</v>
          </cell>
          <cell r="AI194">
            <v>9369.09</v>
          </cell>
          <cell r="AJ194">
            <v>58</v>
          </cell>
          <cell r="AK194">
            <v>12814.91</v>
          </cell>
          <cell r="AL194">
            <v>9705.07</v>
          </cell>
          <cell r="AM194">
            <v>64</v>
          </cell>
          <cell r="AN194">
            <v>12624.6</v>
          </cell>
          <cell r="AO194">
            <v>9293.4699999999993</v>
          </cell>
        </row>
        <row r="195">
          <cell r="A195" t="str">
            <v>Service% profit / ventes</v>
          </cell>
          <cell r="B195" t="str">
            <v>% profit / ventes</v>
          </cell>
          <cell r="E195">
            <v>0.71557843010001021</v>
          </cell>
          <cell r="H195">
            <v>0</v>
          </cell>
          <cell r="K195">
            <v>0</v>
          </cell>
          <cell r="N195">
            <v>0</v>
          </cell>
          <cell r="Q195">
            <v>0</v>
          </cell>
          <cell r="T195">
            <v>0</v>
          </cell>
          <cell r="W195">
            <v>0</v>
          </cell>
          <cell r="Z195">
            <v>0.70209080352699482</v>
          </cell>
          <cell r="AC195">
            <v>0.66131132376869528</v>
          </cell>
          <cell r="AF195">
            <v>0.68040072287013742</v>
          </cell>
          <cell r="AI195">
            <v>0.74066528796258535</v>
          </cell>
          <cell r="AL195">
            <v>0.75732642679503792</v>
          </cell>
          <cell r="AO195">
            <v>0.73613975888344974</v>
          </cell>
        </row>
        <row r="196">
          <cell r="A196" t="str">
            <v>Service</v>
          </cell>
        </row>
        <row r="197">
          <cell r="A197" t="str">
            <v>ServiceTotal Mécanique</v>
          </cell>
          <cell r="B197" t="str">
            <v>Total Mécanique</v>
          </cell>
          <cell r="D197">
            <v>3248045.7199999965</v>
          </cell>
          <cell r="E197">
            <v>2231606.9699999969</v>
          </cell>
          <cell r="G197">
            <v>181042.81999999989</v>
          </cell>
          <cell r="H197">
            <v>117377.24999999999</v>
          </cell>
          <cell r="J197">
            <v>174559.06999999998</v>
          </cell>
          <cell r="K197">
            <v>107834.02999999997</v>
          </cell>
          <cell r="M197">
            <v>201099.44999999902</v>
          </cell>
          <cell r="N197">
            <v>136344.53</v>
          </cell>
          <cell r="P197">
            <v>280679.91000000003</v>
          </cell>
          <cell r="Q197">
            <v>200133.83</v>
          </cell>
          <cell r="S197">
            <v>324753.74999999895</v>
          </cell>
          <cell r="T197">
            <v>239071.10999999879</v>
          </cell>
          <cell r="V197">
            <v>272514.06</v>
          </cell>
          <cell r="W197">
            <v>200056.36999999901</v>
          </cell>
          <cell r="Y197">
            <v>269713.07999999903</v>
          </cell>
          <cell r="Z197">
            <v>180404.30999999968</v>
          </cell>
          <cell r="AB197">
            <v>277083.27999999991</v>
          </cell>
          <cell r="AC197">
            <v>185539.15</v>
          </cell>
          <cell r="AE197">
            <v>263236.87</v>
          </cell>
          <cell r="AF197">
            <v>174640.21999999988</v>
          </cell>
          <cell r="AH197">
            <v>329367.69000000006</v>
          </cell>
          <cell r="AI197">
            <v>220421.49</v>
          </cell>
          <cell r="AK197">
            <v>408560.41</v>
          </cell>
          <cell r="AL197">
            <v>290276.31999999989</v>
          </cell>
          <cell r="AN197">
            <v>265435.33</v>
          </cell>
          <cell r="AO197">
            <v>179508.35999999987</v>
          </cell>
        </row>
        <row r="198">
          <cell r="A198" t="str">
            <v>Service</v>
          </cell>
          <cell r="E198">
            <v>0.68706144013268367</v>
          </cell>
          <cell r="H198">
            <v>0.64833971322364536</v>
          </cell>
          <cell r="K198">
            <v>0.61775094241737183</v>
          </cell>
          <cell r="N198">
            <v>0.6779955390231085</v>
          </cell>
          <cell r="Q198">
            <v>0.71303225799096193</v>
          </cell>
          <cell r="T198">
            <v>0.7361611990623651</v>
          </cell>
          <cell r="W198">
            <v>0.73411393892850518</v>
          </cell>
          <cell r="Z198">
            <v>0.66887490217382239</v>
          </cell>
          <cell r="AC198">
            <v>0.66961510633193044</v>
          </cell>
          <cell r="AF198">
            <v>0.66343373555535701</v>
          </cell>
          <cell r="AI198">
            <v>0.66922620734292415</v>
          </cell>
          <cell r="AL198">
            <v>0.71048567823788877</v>
          </cell>
          <cell r="AO198">
            <v>0.67627907709196011</v>
          </cell>
        </row>
        <row r="199">
          <cell r="A199" t="str">
            <v>Service</v>
          </cell>
        </row>
        <row r="200">
          <cell r="A200" t="str">
            <v>ServiceDEPENSES</v>
          </cell>
          <cell r="B200" t="str">
            <v>DEPENSES</v>
          </cell>
        </row>
        <row r="201">
          <cell r="A201" t="str">
            <v>ServiceSalaires cadres</v>
          </cell>
          <cell r="B201" t="str">
            <v>Salaires cadres</v>
          </cell>
          <cell r="E201">
            <v>138678.93999999997</v>
          </cell>
          <cell r="H201">
            <v>9975.99</v>
          </cell>
          <cell r="K201">
            <v>4892.75</v>
          </cell>
          <cell r="N201">
            <v>6801.06</v>
          </cell>
          <cell r="Q201">
            <v>6865.75</v>
          </cell>
          <cell r="T201">
            <v>16331.68</v>
          </cell>
          <cell r="W201">
            <v>10048.370000000001</v>
          </cell>
          <cell r="Z201">
            <v>15471.14</v>
          </cell>
          <cell r="AC201">
            <v>8860.06</v>
          </cell>
          <cell r="AF201">
            <v>11257.65</v>
          </cell>
          <cell r="AI201">
            <v>8835.52</v>
          </cell>
          <cell r="AL201">
            <v>20516.509999999998</v>
          </cell>
          <cell r="AO201">
            <v>18822.46</v>
          </cell>
        </row>
        <row r="202">
          <cell r="A202" t="str">
            <v>ServiceSalaires commis</v>
          </cell>
          <cell r="B202" t="str">
            <v>Salaires commis</v>
          </cell>
          <cell r="E202">
            <v>87087.040000000008</v>
          </cell>
          <cell r="H202">
            <v>6224.23</v>
          </cell>
          <cell r="K202">
            <v>6776.61</v>
          </cell>
          <cell r="N202">
            <v>6148.97</v>
          </cell>
          <cell r="Q202">
            <v>6119.29</v>
          </cell>
          <cell r="T202">
            <v>7247.63</v>
          </cell>
          <cell r="W202">
            <v>4392.7299999999996</v>
          </cell>
          <cell r="Z202">
            <v>7065.61</v>
          </cell>
          <cell r="AC202">
            <v>8762.59</v>
          </cell>
          <cell r="AF202">
            <v>9437.7800000000007</v>
          </cell>
          <cell r="AI202">
            <v>8026.69</v>
          </cell>
          <cell r="AL202">
            <v>8125.49</v>
          </cell>
          <cell r="AO202">
            <v>8759.42</v>
          </cell>
        </row>
        <row r="203">
          <cell r="A203" t="str">
            <v>ServiceSalaires autres</v>
          </cell>
          <cell r="B203" t="str">
            <v>Salaires autres</v>
          </cell>
          <cell r="E203">
            <v>170123.82</v>
          </cell>
          <cell r="H203">
            <v>4806.96</v>
          </cell>
          <cell r="K203">
            <v>11006.09</v>
          </cell>
          <cell r="N203">
            <v>6650.9</v>
          </cell>
          <cell r="Q203">
            <v>10219.44</v>
          </cell>
          <cell r="T203">
            <v>11269.4</v>
          </cell>
          <cell r="W203">
            <v>4935.46</v>
          </cell>
          <cell r="Z203">
            <v>5232</v>
          </cell>
          <cell r="AC203">
            <v>3894</v>
          </cell>
          <cell r="AF203">
            <v>22744.12</v>
          </cell>
          <cell r="AI203">
            <v>18675.060000000001</v>
          </cell>
          <cell r="AL203">
            <v>49361.41</v>
          </cell>
          <cell r="AO203">
            <v>21328.98</v>
          </cell>
        </row>
        <row r="204">
          <cell r="A204" t="str">
            <v>ServiceSalaires spécialistes</v>
          </cell>
          <cell r="B204" t="str">
            <v>Salaires spécialistes</v>
          </cell>
          <cell r="E204">
            <v>338254.12</v>
          </cell>
          <cell r="H204">
            <v>27507.4</v>
          </cell>
          <cell r="K204">
            <v>19052.349999999999</v>
          </cell>
          <cell r="N204">
            <v>29586.65</v>
          </cell>
          <cell r="Q204">
            <v>30326</v>
          </cell>
          <cell r="T204">
            <v>30365.98</v>
          </cell>
          <cell r="W204">
            <v>33595.35</v>
          </cell>
          <cell r="Z204">
            <v>23983.360000000001</v>
          </cell>
          <cell r="AC204">
            <v>23569.11</v>
          </cell>
          <cell r="AF204">
            <v>28337.21</v>
          </cell>
          <cell r="AI204">
            <v>34817.24</v>
          </cell>
          <cell r="AL204">
            <v>20706.29</v>
          </cell>
          <cell r="AO204">
            <v>36407.18</v>
          </cell>
        </row>
        <row r="205">
          <cell r="A205" t="str">
            <v>Service[...]</v>
          </cell>
          <cell r="B205" t="str">
            <v>[...]</v>
          </cell>
          <cell r="E205">
            <v>0</v>
          </cell>
          <cell r="H205">
            <v>0</v>
          </cell>
          <cell r="K205">
            <v>0</v>
          </cell>
          <cell r="N205">
            <v>0</v>
          </cell>
          <cell r="Q205">
            <v>0</v>
          </cell>
          <cell r="T205">
            <v>0</v>
          </cell>
          <cell r="W205">
            <v>0</v>
          </cell>
          <cell r="Z205">
            <v>0</v>
          </cell>
          <cell r="AC205">
            <v>0</v>
          </cell>
          <cell r="AF205">
            <v>0</v>
          </cell>
          <cell r="AI205">
            <v>0</v>
          </cell>
          <cell r="AL205">
            <v>0</v>
          </cell>
          <cell r="AO205">
            <v>0</v>
          </cell>
        </row>
        <row r="206">
          <cell r="A206" t="str">
            <v>Service[...]</v>
          </cell>
          <cell r="B206" t="str">
            <v>[...]</v>
          </cell>
          <cell r="E206">
            <v>0</v>
          </cell>
          <cell r="H206">
            <v>0</v>
          </cell>
          <cell r="K206">
            <v>0</v>
          </cell>
          <cell r="N206">
            <v>0</v>
          </cell>
          <cell r="Q206">
            <v>0</v>
          </cell>
          <cell r="T206">
            <v>0</v>
          </cell>
          <cell r="W206">
            <v>0</v>
          </cell>
          <cell r="Z206">
            <v>0</v>
          </cell>
          <cell r="AC206">
            <v>0</v>
          </cell>
          <cell r="AF206">
            <v>0</v>
          </cell>
          <cell r="AI206">
            <v>0</v>
          </cell>
          <cell r="AL206">
            <v>0</v>
          </cell>
          <cell r="AO206">
            <v>0</v>
          </cell>
        </row>
        <row r="207">
          <cell r="A207" t="str">
            <v>Service[...]</v>
          </cell>
          <cell r="B207" t="str">
            <v>[...]</v>
          </cell>
          <cell r="E207">
            <v>0</v>
          </cell>
          <cell r="H207">
            <v>0</v>
          </cell>
          <cell r="K207">
            <v>0</v>
          </cell>
          <cell r="N207">
            <v>0</v>
          </cell>
          <cell r="Q207">
            <v>0</v>
          </cell>
          <cell r="T207">
            <v>0</v>
          </cell>
          <cell r="W207">
            <v>0</v>
          </cell>
          <cell r="Z207">
            <v>0</v>
          </cell>
          <cell r="AC207">
            <v>0</v>
          </cell>
          <cell r="AF207">
            <v>0</v>
          </cell>
          <cell r="AI207">
            <v>0</v>
          </cell>
          <cell r="AL207">
            <v>0</v>
          </cell>
          <cell r="AO207">
            <v>0</v>
          </cell>
        </row>
        <row r="208">
          <cell r="A208" t="str">
            <v>ServiceSalaires en absences</v>
          </cell>
          <cell r="B208" t="str">
            <v>Salaires en absences</v>
          </cell>
          <cell r="E208">
            <v>197825.93999999997</v>
          </cell>
          <cell r="H208">
            <v>20436.990000000002</v>
          </cell>
          <cell r="K208">
            <v>11116.91</v>
          </cell>
          <cell r="N208">
            <v>17570.07</v>
          </cell>
          <cell r="Q208">
            <v>15596.8</v>
          </cell>
          <cell r="T208">
            <v>20039.23</v>
          </cell>
          <cell r="W208">
            <v>17366.91</v>
          </cell>
          <cell r="Z208">
            <v>16870.189999999999</v>
          </cell>
          <cell r="AC208">
            <v>14383.58</v>
          </cell>
          <cell r="AF208">
            <v>17917.86</v>
          </cell>
          <cell r="AI208">
            <v>20926.18</v>
          </cell>
          <cell r="AL208">
            <v>11221.96</v>
          </cell>
          <cell r="AO208">
            <v>14379.26</v>
          </cell>
        </row>
        <row r="209">
          <cell r="A209" t="str">
            <v>ServiceDéduction à la source</v>
          </cell>
          <cell r="B209" t="str">
            <v>Déduction à la source</v>
          </cell>
          <cell r="E209">
            <v>238785.46</v>
          </cell>
          <cell r="H209">
            <v>19677.78</v>
          </cell>
          <cell r="K209">
            <v>17388.43</v>
          </cell>
          <cell r="N209">
            <v>18915.009999999998</v>
          </cell>
          <cell r="Q209">
            <v>19500.03</v>
          </cell>
          <cell r="T209">
            <v>20335.98</v>
          </cell>
          <cell r="W209">
            <v>16373.82</v>
          </cell>
          <cell r="Z209">
            <v>20788.66</v>
          </cell>
          <cell r="AC209">
            <v>18817.25</v>
          </cell>
          <cell r="AF209">
            <v>17844.88</v>
          </cell>
          <cell r="AI209">
            <v>21642.75</v>
          </cell>
          <cell r="AL209">
            <v>22418.080000000002</v>
          </cell>
          <cell r="AO209">
            <v>25082.79</v>
          </cell>
        </row>
        <row r="210">
          <cell r="A210" t="str">
            <v>ServiceBénéfices marginaux</v>
          </cell>
          <cell r="B210" t="str">
            <v>Bénéfices marginaux</v>
          </cell>
          <cell r="E210">
            <v>133124.79</v>
          </cell>
          <cell r="H210">
            <v>10850.44</v>
          </cell>
          <cell r="K210">
            <v>10001.790000000001</v>
          </cell>
          <cell r="N210">
            <v>11491.31</v>
          </cell>
          <cell r="Q210">
            <v>10358.59</v>
          </cell>
          <cell r="T210">
            <v>11033.41</v>
          </cell>
          <cell r="W210">
            <v>11498.83</v>
          </cell>
          <cell r="Z210">
            <v>10049.94</v>
          </cell>
          <cell r="AC210">
            <v>8987.86</v>
          </cell>
          <cell r="AF210">
            <v>11268.55</v>
          </cell>
          <cell r="AI210">
            <v>12794.84</v>
          </cell>
          <cell r="AL210">
            <v>10662.57</v>
          </cell>
          <cell r="AO210">
            <v>14126.66</v>
          </cell>
        </row>
        <row r="211">
          <cell r="A211" t="str">
            <v>ServiceCsst</v>
          </cell>
          <cell r="B211" t="str">
            <v>Csst</v>
          </cell>
          <cell r="E211">
            <v>52334.76</v>
          </cell>
          <cell r="H211">
            <v>3284.48</v>
          </cell>
          <cell r="K211">
            <v>2876.05</v>
          </cell>
          <cell r="N211">
            <v>3268.14</v>
          </cell>
          <cell r="Q211">
            <v>3311.66</v>
          </cell>
          <cell r="T211">
            <v>3472.88</v>
          </cell>
          <cell r="W211">
            <v>5572.29</v>
          </cell>
          <cell r="Z211">
            <v>3934.27</v>
          </cell>
          <cell r="AC211">
            <v>6530.55</v>
          </cell>
          <cell r="AF211">
            <v>5954.05</v>
          </cell>
          <cell r="AI211">
            <v>4122.1000000000004</v>
          </cell>
          <cell r="AL211">
            <v>4648.37</v>
          </cell>
          <cell r="AO211">
            <v>5359.92</v>
          </cell>
        </row>
        <row r="212">
          <cell r="A212" t="str">
            <v>Service[...]</v>
          </cell>
          <cell r="B212" t="str">
            <v>[...]</v>
          </cell>
          <cell r="E212">
            <v>0</v>
          </cell>
        </row>
        <row r="213">
          <cell r="A213" t="str">
            <v>ServiceTOTAL PERSONNEL</v>
          </cell>
          <cell r="B213" t="str">
            <v>TOTAL PERSONNEL</v>
          </cell>
          <cell r="C213" t="str">
            <v>%brut</v>
          </cell>
          <cell r="D213">
            <v>0.60773016406199953</v>
          </cell>
          <cell r="E213">
            <v>1356214.8699999999</v>
          </cell>
          <cell r="F213" t="str">
            <v>%brut</v>
          </cell>
          <cell r="G213">
            <v>0.87550415433995954</v>
          </cell>
          <cell r="H213">
            <v>102764.27</v>
          </cell>
          <cell r="I213" t="str">
            <v>%brut</v>
          </cell>
          <cell r="J213">
            <v>0.77073053840239536</v>
          </cell>
          <cell r="K213">
            <v>83110.980000000025</v>
          </cell>
          <cell r="L213" t="str">
            <v>%brut</v>
          </cell>
          <cell r="M213">
            <v>0.73660534823069168</v>
          </cell>
          <cell r="N213">
            <v>100432.10999999999</v>
          </cell>
          <cell r="O213" t="str">
            <v>%brut</v>
          </cell>
          <cell r="P213">
            <v>0.51114576681013901</v>
          </cell>
          <cell r="Q213">
            <v>102297.56</v>
          </cell>
          <cell r="R213" t="str">
            <v>%brut</v>
          </cell>
          <cell r="S213">
            <v>0.50234505541050367</v>
          </cell>
          <cell r="T213">
            <v>120096.19</v>
          </cell>
          <cell r="U213" t="str">
            <v>%brut</v>
          </cell>
          <cell r="V213">
            <v>0.51877258394721715</v>
          </cell>
          <cell r="W213">
            <v>103783.76000000001</v>
          </cell>
          <cell r="X213" t="str">
            <v>%brut</v>
          </cell>
          <cell r="Y213">
            <v>0.57313026501417952</v>
          </cell>
          <cell r="Z213">
            <v>103395.17000000001</v>
          </cell>
          <cell r="AA213" t="str">
            <v>%brut</v>
          </cell>
          <cell r="AB213">
            <v>0.505580628131583</v>
          </cell>
          <cell r="AC213">
            <v>93805</v>
          </cell>
          <cell r="AD213" t="str">
            <v>%brut</v>
          </cell>
          <cell r="AE213">
            <v>0.71439500018953306</v>
          </cell>
          <cell r="AF213">
            <v>124762.10000000002</v>
          </cell>
          <cell r="AG213" t="str">
            <v>%brut</v>
          </cell>
          <cell r="AH213">
            <v>0.58905499640711079</v>
          </cell>
          <cell r="AI213">
            <v>129840.38</v>
          </cell>
          <cell r="AJ213" t="str">
            <v>%brut</v>
          </cell>
          <cell r="AK213">
            <v>0.50869006469421985</v>
          </cell>
          <cell r="AL213">
            <v>147660.68</v>
          </cell>
          <cell r="AM213" t="str">
            <v>%brut</v>
          </cell>
          <cell r="AN213">
            <v>0.80367660871059221</v>
          </cell>
          <cell r="AO213">
            <v>144266.67000000001</v>
          </cell>
        </row>
        <row r="214">
          <cell r="A214" t="str">
            <v>ServicePublicité 2</v>
          </cell>
          <cell r="B214" t="str">
            <v>Publicité 2</v>
          </cell>
          <cell r="E214">
            <v>130898.63999999998</v>
          </cell>
          <cell r="H214">
            <v>10730.64</v>
          </cell>
          <cell r="K214">
            <v>11330.17</v>
          </cell>
          <cell r="N214">
            <v>10144.01</v>
          </cell>
          <cell r="Q214">
            <v>11679.54</v>
          </cell>
          <cell r="T214">
            <v>9272.43</v>
          </cell>
          <cell r="W214">
            <v>11043.03</v>
          </cell>
          <cell r="Z214">
            <v>12593.62</v>
          </cell>
          <cell r="AC214">
            <v>11909.29</v>
          </cell>
          <cell r="AF214">
            <v>10155.48</v>
          </cell>
          <cell r="AI214">
            <v>9632.07</v>
          </cell>
          <cell r="AL214">
            <v>11066.65</v>
          </cell>
          <cell r="AO214">
            <v>11341.71</v>
          </cell>
        </row>
        <row r="215">
          <cell r="A215" t="str">
            <v>ServiceService gratuit 2</v>
          </cell>
          <cell r="B215" t="str">
            <v>Service gratuit 2</v>
          </cell>
          <cell r="E215">
            <v>53458.459999999977</v>
          </cell>
          <cell r="H215">
            <v>-1490.82</v>
          </cell>
          <cell r="K215">
            <v>2508.5299999999902</v>
          </cell>
          <cell r="N215">
            <v>2340</v>
          </cell>
          <cell r="Q215">
            <v>4362.38</v>
          </cell>
          <cell r="T215">
            <v>3846.09</v>
          </cell>
          <cell r="W215">
            <v>4858.63</v>
          </cell>
          <cell r="Z215">
            <v>4847.43</v>
          </cell>
          <cell r="AC215">
            <v>6855.65</v>
          </cell>
          <cell r="AF215">
            <v>5835.12</v>
          </cell>
          <cell r="AI215">
            <v>7925.8499999999904</v>
          </cell>
          <cell r="AL215">
            <v>9363.8799999999901</v>
          </cell>
          <cell r="AO215">
            <v>2205.7199999999998</v>
          </cell>
        </row>
        <row r="216">
          <cell r="A216" t="str">
            <v>ServiceFrais véhicules de cie</v>
          </cell>
          <cell r="B216" t="str">
            <v>Frais véhicules de cie</v>
          </cell>
          <cell r="E216">
            <v>154655.71</v>
          </cell>
          <cell r="H216">
            <v>11086.63</v>
          </cell>
          <cell r="K216">
            <v>8832.82</v>
          </cell>
          <cell r="N216">
            <v>12925.28</v>
          </cell>
          <cell r="Q216">
            <v>12465.7</v>
          </cell>
          <cell r="T216">
            <v>15091.41</v>
          </cell>
          <cell r="W216">
            <v>14198.73</v>
          </cell>
          <cell r="Z216">
            <v>14517.16</v>
          </cell>
          <cell r="AC216">
            <v>9564.31</v>
          </cell>
          <cell r="AF216">
            <v>8344.8799999999992</v>
          </cell>
          <cell r="AI216">
            <v>11694.57</v>
          </cell>
          <cell r="AL216">
            <v>16921.98</v>
          </cell>
          <cell r="AO216">
            <v>19012.240000000002</v>
          </cell>
        </row>
        <row r="217">
          <cell r="A217" t="str">
            <v>ServiceInformatique</v>
          </cell>
          <cell r="B217" t="str">
            <v>Informatique</v>
          </cell>
          <cell r="E217">
            <v>62213.120000000003</v>
          </cell>
          <cell r="H217">
            <v>4061.38</v>
          </cell>
          <cell r="K217">
            <v>4080.5</v>
          </cell>
          <cell r="N217">
            <v>4201</v>
          </cell>
          <cell r="Q217">
            <v>4576.83</v>
          </cell>
          <cell r="T217">
            <v>4404.96</v>
          </cell>
          <cell r="W217">
            <v>3979.91</v>
          </cell>
          <cell r="Z217">
            <v>4994.3100000000004</v>
          </cell>
          <cell r="AC217">
            <v>4019.67</v>
          </cell>
          <cell r="AF217">
            <v>5085.4399999999996</v>
          </cell>
          <cell r="AI217">
            <v>10021.040000000001</v>
          </cell>
          <cell r="AL217">
            <v>5124.75</v>
          </cell>
          <cell r="AO217">
            <v>7663.33</v>
          </cell>
        </row>
        <row r="218">
          <cell r="A218" t="str">
            <v>ServiceFrais de déplacement</v>
          </cell>
          <cell r="B218" t="str">
            <v>Frais de déplacement</v>
          </cell>
          <cell r="E218">
            <v>19208.180000000004</v>
          </cell>
          <cell r="H218">
            <v>848.87</v>
          </cell>
          <cell r="K218">
            <v>1229.74</v>
          </cell>
          <cell r="N218">
            <v>1981.24</v>
          </cell>
          <cell r="Q218">
            <v>1653.06</v>
          </cell>
          <cell r="T218">
            <v>2432.6799999999998</v>
          </cell>
          <cell r="W218">
            <v>2116.58</v>
          </cell>
          <cell r="Z218">
            <v>1758.01</v>
          </cell>
          <cell r="AC218">
            <v>1234.68</v>
          </cell>
          <cell r="AF218">
            <v>1896.44</v>
          </cell>
          <cell r="AI218">
            <v>1980.16</v>
          </cell>
          <cell r="AL218">
            <v>1212.22</v>
          </cell>
          <cell r="AO218">
            <v>864.5</v>
          </cell>
        </row>
        <row r="219">
          <cell r="A219" t="str">
            <v>ServiceServices extérieurs</v>
          </cell>
          <cell r="B219" t="str">
            <v>Services extérieurs</v>
          </cell>
          <cell r="E219">
            <v>58171.479999999996</v>
          </cell>
          <cell r="H219">
            <v>2604.36</v>
          </cell>
          <cell r="K219">
            <v>3394.18</v>
          </cell>
          <cell r="N219">
            <v>2923.97</v>
          </cell>
          <cell r="Q219">
            <v>4098.16</v>
          </cell>
          <cell r="T219">
            <v>3220.42</v>
          </cell>
          <cell r="W219">
            <v>4130.46</v>
          </cell>
          <cell r="Z219">
            <v>2838</v>
          </cell>
          <cell r="AC219">
            <v>1928.3</v>
          </cell>
          <cell r="AF219">
            <v>3260.09</v>
          </cell>
          <cell r="AI219">
            <v>8980.36</v>
          </cell>
          <cell r="AL219">
            <v>11810.48</v>
          </cell>
          <cell r="AO219">
            <v>8982.7000000000007</v>
          </cell>
        </row>
        <row r="220">
          <cell r="A220" t="str">
            <v>ServiceFournitures d'atelier</v>
          </cell>
          <cell r="B220" t="str">
            <v>Fournitures d'atelier</v>
          </cell>
          <cell r="E220">
            <v>0</v>
          </cell>
          <cell r="H220">
            <v>0</v>
          </cell>
          <cell r="K220">
            <v>0</v>
          </cell>
          <cell r="N220">
            <v>0</v>
          </cell>
          <cell r="Q220">
            <v>0</v>
          </cell>
          <cell r="T220">
            <v>0</v>
          </cell>
          <cell r="W220">
            <v>0</v>
          </cell>
          <cell r="Z220">
            <v>0</v>
          </cell>
          <cell r="AC220">
            <v>0</v>
          </cell>
          <cell r="AF220">
            <v>0</v>
          </cell>
          <cell r="AI220">
            <v>0</v>
          </cell>
          <cell r="AL220">
            <v>0</v>
          </cell>
          <cell r="AO220">
            <v>0</v>
          </cell>
        </row>
        <row r="221">
          <cell r="A221" t="str">
            <v>ServiceFournitures autres</v>
          </cell>
          <cell r="B221" t="str">
            <v>Fournitures autres</v>
          </cell>
          <cell r="E221">
            <v>80118.310000000012</v>
          </cell>
          <cell r="H221">
            <v>3871.25</v>
          </cell>
          <cell r="K221">
            <v>2302.6799999999998</v>
          </cell>
          <cell r="N221">
            <v>1992.75</v>
          </cell>
          <cell r="Q221">
            <v>8832.08</v>
          </cell>
          <cell r="T221">
            <v>5864</v>
          </cell>
          <cell r="W221">
            <v>4394.93</v>
          </cell>
          <cell r="Z221">
            <v>8929.44</v>
          </cell>
          <cell r="AC221">
            <v>5618.51</v>
          </cell>
          <cell r="AF221">
            <v>10685.23</v>
          </cell>
          <cell r="AI221">
            <v>13015.97</v>
          </cell>
          <cell r="AL221">
            <v>10655.23</v>
          </cell>
          <cell r="AO221">
            <v>3956.24</v>
          </cell>
        </row>
        <row r="222">
          <cell r="A222" t="str">
            <v>ServiceUniformes</v>
          </cell>
          <cell r="B222" t="str">
            <v>Uniformes</v>
          </cell>
          <cell r="E222">
            <v>15312.959999999997</v>
          </cell>
          <cell r="H222">
            <v>5487.43</v>
          </cell>
          <cell r="K222">
            <v>860.45</v>
          </cell>
          <cell r="N222">
            <v>725.99</v>
          </cell>
          <cell r="Q222">
            <v>619.66999999999996</v>
          </cell>
          <cell r="T222">
            <v>822.42</v>
          </cell>
          <cell r="W222">
            <v>788.71</v>
          </cell>
          <cell r="Z222">
            <v>1535.27</v>
          </cell>
          <cell r="AC222">
            <v>460.85</v>
          </cell>
          <cell r="AF222">
            <v>608.80999999999995</v>
          </cell>
          <cell r="AI222">
            <v>679.32</v>
          </cell>
          <cell r="AL222">
            <v>1903.87</v>
          </cell>
          <cell r="AO222">
            <v>820.17</v>
          </cell>
        </row>
        <row r="223">
          <cell r="A223" t="str">
            <v>ServicePapeterie</v>
          </cell>
          <cell r="B223" t="str">
            <v>Papeterie</v>
          </cell>
          <cell r="E223">
            <v>11275.07</v>
          </cell>
          <cell r="H223">
            <v>290.82</v>
          </cell>
          <cell r="K223">
            <v>1711.96</v>
          </cell>
          <cell r="N223">
            <v>748.1</v>
          </cell>
          <cell r="Q223">
            <v>587.58000000000004</v>
          </cell>
          <cell r="T223">
            <v>660.28</v>
          </cell>
          <cell r="W223">
            <v>1170.8699999999999</v>
          </cell>
          <cell r="Z223">
            <v>359.87</v>
          </cell>
          <cell r="AC223">
            <v>982.57</v>
          </cell>
          <cell r="AF223">
            <v>904.35</v>
          </cell>
          <cell r="AI223">
            <v>1502.42</v>
          </cell>
          <cell r="AL223">
            <v>1549.31</v>
          </cell>
          <cell r="AO223">
            <v>806.94</v>
          </cell>
        </row>
        <row r="224">
          <cell r="A224" t="str">
            <v>ServiceTéléphone</v>
          </cell>
          <cell r="B224" t="str">
            <v>Téléphone</v>
          </cell>
          <cell r="E224">
            <v>2320.3100000000004</v>
          </cell>
          <cell r="H224">
            <v>218.72</v>
          </cell>
          <cell r="K224">
            <v>118.95</v>
          </cell>
          <cell r="N224">
            <v>177.86</v>
          </cell>
          <cell r="Q224">
            <v>353.57</v>
          </cell>
          <cell r="T224">
            <v>247.88</v>
          </cell>
          <cell r="W224">
            <v>177.5</v>
          </cell>
          <cell r="Z224">
            <v>248.63</v>
          </cell>
          <cell r="AC224">
            <v>222.93</v>
          </cell>
          <cell r="AF224">
            <v>129.49</v>
          </cell>
          <cell r="AI224">
            <v>115.96</v>
          </cell>
          <cell r="AL224">
            <v>153.81</v>
          </cell>
          <cell r="AO224">
            <v>155.01</v>
          </cell>
        </row>
        <row r="225">
          <cell r="A225" t="str">
            <v>ServiceFrais postaux</v>
          </cell>
          <cell r="B225" t="str">
            <v>Frais postaux</v>
          </cell>
          <cell r="E225">
            <v>1475.2500000000002</v>
          </cell>
          <cell r="H225">
            <v>76.69</v>
          </cell>
          <cell r="K225">
            <v>91.11</v>
          </cell>
          <cell r="N225">
            <v>63.74</v>
          </cell>
          <cell r="Q225">
            <v>371.82</v>
          </cell>
          <cell r="T225">
            <v>86.7</v>
          </cell>
          <cell r="W225">
            <v>-15.61</v>
          </cell>
          <cell r="Z225">
            <v>97.59</v>
          </cell>
          <cell r="AC225">
            <v>77.650000000000006</v>
          </cell>
          <cell r="AF225">
            <v>100.09</v>
          </cell>
          <cell r="AI225">
            <v>203.61</v>
          </cell>
          <cell r="AL225">
            <v>127.41</v>
          </cell>
          <cell r="AO225">
            <v>194.45</v>
          </cell>
        </row>
        <row r="226">
          <cell r="A226" t="str">
            <v>ServiceDivers</v>
          </cell>
          <cell r="B226" t="str">
            <v>Divers</v>
          </cell>
          <cell r="E226">
            <v>1398.8899999999999</v>
          </cell>
          <cell r="H226">
            <v>425.28</v>
          </cell>
          <cell r="K226">
            <v>212.54</v>
          </cell>
          <cell r="N226">
            <v>49.72</v>
          </cell>
          <cell r="Q226">
            <v>163.63</v>
          </cell>
          <cell r="T226">
            <v>58.9</v>
          </cell>
          <cell r="W226">
            <v>83.51</v>
          </cell>
          <cell r="Z226">
            <v>58.08</v>
          </cell>
          <cell r="AC226">
            <v>84.53</v>
          </cell>
          <cell r="AF226">
            <v>274.92</v>
          </cell>
          <cell r="AI226">
            <v>90</v>
          </cell>
          <cell r="AL226">
            <v>-172.89</v>
          </cell>
          <cell r="AO226">
            <v>70.67</v>
          </cell>
        </row>
        <row r="227">
          <cell r="A227" t="str">
            <v>ServiceFormation</v>
          </cell>
          <cell r="B227" t="str">
            <v>Formation</v>
          </cell>
          <cell r="E227">
            <v>58713.009999999995</v>
          </cell>
          <cell r="H227">
            <v>4107.62</v>
          </cell>
          <cell r="K227">
            <v>6175.92</v>
          </cell>
          <cell r="N227">
            <v>7145.58</v>
          </cell>
          <cell r="Q227">
            <v>5330.26</v>
          </cell>
          <cell r="T227">
            <v>4373.49</v>
          </cell>
          <cell r="W227">
            <v>3115.28</v>
          </cell>
          <cell r="Z227">
            <v>5450.1</v>
          </cell>
          <cell r="AC227">
            <v>4247.2700000000004</v>
          </cell>
          <cell r="AF227">
            <v>4354.53</v>
          </cell>
          <cell r="AI227">
            <v>2578.59</v>
          </cell>
          <cell r="AL227">
            <v>8573.24</v>
          </cell>
          <cell r="AO227">
            <v>3261.13</v>
          </cell>
        </row>
        <row r="228">
          <cell r="A228" t="str">
            <v>ServiceFrais bancaires</v>
          </cell>
          <cell r="B228" t="str">
            <v>Frais bancaires</v>
          </cell>
          <cell r="E228">
            <v>21142.239999999998</v>
          </cell>
          <cell r="H228">
            <v>1570.87</v>
          </cell>
          <cell r="K228">
            <v>1241.71</v>
          </cell>
          <cell r="N228">
            <v>178.54</v>
          </cell>
          <cell r="Q228">
            <v>1512.81</v>
          </cell>
          <cell r="T228">
            <v>3865.97</v>
          </cell>
          <cell r="W228">
            <v>1768.57</v>
          </cell>
          <cell r="Z228">
            <v>1703.22</v>
          </cell>
          <cell r="AC228">
            <v>1329.91</v>
          </cell>
          <cell r="AF228">
            <v>1801.79</v>
          </cell>
          <cell r="AI228">
            <v>2003.28</v>
          </cell>
          <cell r="AL228">
            <v>2562.4</v>
          </cell>
          <cell r="AO228">
            <v>1603.17</v>
          </cell>
        </row>
        <row r="229">
          <cell r="A229" t="str">
            <v>Service[...]</v>
          </cell>
          <cell r="B229" t="str">
            <v>[...]</v>
          </cell>
          <cell r="E229">
            <v>0</v>
          </cell>
        </row>
        <row r="230">
          <cell r="A230" t="str">
            <v>Service[...]</v>
          </cell>
          <cell r="B230" t="str">
            <v>[...]</v>
          </cell>
          <cell r="E230">
            <v>0</v>
          </cell>
        </row>
        <row r="231">
          <cell r="A231" t="str">
            <v>Service[...]</v>
          </cell>
          <cell r="B231" t="str">
            <v>[...]</v>
          </cell>
          <cell r="E231">
            <v>0</v>
          </cell>
        </row>
        <row r="232">
          <cell r="A232" t="str">
            <v>ServiceTOTAL SEMI-FIXES</v>
          </cell>
          <cell r="B232" t="str">
            <v>TOTAL SEMI-FIXES</v>
          </cell>
          <cell r="C232" t="str">
            <v>%brut</v>
          </cell>
          <cell r="D232">
            <v>0.30039412809326405</v>
          </cell>
          <cell r="E232">
            <v>670361.62999999989</v>
          </cell>
          <cell r="F232" t="str">
            <v>%brut</v>
          </cell>
          <cell r="G232">
            <v>0.37392032953574916</v>
          </cell>
          <cell r="H232">
            <v>43889.740000000005</v>
          </cell>
          <cell r="I232" t="str">
            <v>%brut</v>
          </cell>
          <cell r="J232">
            <v>0.40888075869927137</v>
          </cell>
          <cell r="K232">
            <v>44091.25999999998</v>
          </cell>
          <cell r="L232" t="str">
            <v>%brut</v>
          </cell>
          <cell r="M232">
            <v>0.33443057818307781</v>
          </cell>
          <cell r="N232">
            <v>45597.78</v>
          </cell>
          <cell r="O232" t="str">
            <v>%brut</v>
          </cell>
          <cell r="P232">
            <v>0.28284618347632684</v>
          </cell>
          <cell r="Q232">
            <v>56607.09</v>
          </cell>
          <cell r="R232" t="str">
            <v>%brut</v>
          </cell>
          <cell r="S232">
            <v>0.22691001852963441</v>
          </cell>
          <cell r="T232">
            <v>54247.62999999999</v>
          </cell>
          <cell r="U232" t="str">
            <v>%brut</v>
          </cell>
          <cell r="V232">
            <v>0.258982505780747</v>
          </cell>
          <cell r="W232">
            <v>51811.100000000006</v>
          </cell>
          <cell r="X232" t="str">
            <v>%brut</v>
          </cell>
          <cell r="Y232">
            <v>0.33220231822621149</v>
          </cell>
          <cell r="Z232">
            <v>59930.73</v>
          </cell>
          <cell r="AA232" t="str">
            <v>%brut</v>
          </cell>
          <cell r="AB232">
            <v>0.26159503263866418</v>
          </cell>
          <cell r="AC232">
            <v>48536.12000000001</v>
          </cell>
          <cell r="AD232" t="str">
            <v>%brut</v>
          </cell>
          <cell r="AE232">
            <v>0.30598140565787202</v>
          </cell>
          <cell r="AF232">
            <v>53436.659999999982</v>
          </cell>
          <cell r="AG232" t="str">
            <v>%brut</v>
          </cell>
          <cell r="AH232">
            <v>0.31949334885632069</v>
          </cell>
          <cell r="AI232">
            <v>70423.199999999997</v>
          </cell>
          <cell r="AJ232" t="str">
            <v>%brut</v>
          </cell>
          <cell r="AK232">
            <v>0.27853577584282457</v>
          </cell>
          <cell r="AL232">
            <v>80852.339999999982</v>
          </cell>
          <cell r="AM232" t="str">
            <v>%brut</v>
          </cell>
          <cell r="AN232">
            <v>0.33947154327519918</v>
          </cell>
          <cell r="AO232">
            <v>60937.979999999989</v>
          </cell>
        </row>
        <row r="233">
          <cell r="A233" t="str">
            <v>Service</v>
          </cell>
        </row>
        <row r="234">
          <cell r="A234" t="str">
            <v>ServiceTOTAL DES DÉPENSES</v>
          </cell>
          <cell r="B234" t="str">
            <v>TOTAL DES DÉPENSES</v>
          </cell>
          <cell r="C234" t="str">
            <v>% brut</v>
          </cell>
          <cell r="D234">
            <v>0.90812429215526358</v>
          </cell>
          <cell r="E234">
            <v>2026576.4999999998</v>
          </cell>
          <cell r="F234" t="str">
            <v>% brut</v>
          </cell>
          <cell r="G234">
            <v>1.2494244838757087</v>
          </cell>
          <cell r="H234">
            <v>146654.01</v>
          </cell>
          <cell r="I234" t="str">
            <v>% brut</v>
          </cell>
          <cell r="J234">
            <v>1.1796112971016668</v>
          </cell>
          <cell r="K234">
            <v>127202.24000000001</v>
          </cell>
          <cell r="L234" t="str">
            <v>% brut</v>
          </cell>
          <cell r="M234">
            <v>1.0710359264137694</v>
          </cell>
          <cell r="N234">
            <v>146029.88999999998</v>
          </cell>
          <cell r="O234" t="str">
            <v>% brut</v>
          </cell>
          <cell r="P234">
            <v>0.79399195028646585</v>
          </cell>
          <cell r="Q234">
            <v>158904.65</v>
          </cell>
          <cell r="R234" t="str">
            <v>% brut</v>
          </cell>
          <cell r="S234">
            <v>0.72925507394013811</v>
          </cell>
          <cell r="T234">
            <v>174343.82</v>
          </cell>
          <cell r="U234" t="str">
            <v>% brut</v>
          </cell>
          <cell r="V234">
            <v>0.77775508972796414</v>
          </cell>
          <cell r="W234">
            <v>155594.86000000002</v>
          </cell>
          <cell r="X234" t="str">
            <v>% brut</v>
          </cell>
          <cell r="Y234">
            <v>0.90533258324039112</v>
          </cell>
          <cell r="Z234">
            <v>163325.90000000002</v>
          </cell>
          <cell r="AA234" t="str">
            <v>% brut</v>
          </cell>
          <cell r="AB234">
            <v>0.76717566077024713</v>
          </cell>
          <cell r="AC234">
            <v>142341.12</v>
          </cell>
          <cell r="AD234" t="str">
            <v>% brut</v>
          </cell>
          <cell r="AE234">
            <v>1.0203764058474052</v>
          </cell>
          <cell r="AF234">
            <v>178198.76</v>
          </cell>
          <cell r="AG234" t="str">
            <v>% brut</v>
          </cell>
          <cell r="AH234">
            <v>0.90854834526343153</v>
          </cell>
          <cell r="AI234">
            <v>200263.58000000002</v>
          </cell>
          <cell r="AJ234" t="str">
            <v>% brut</v>
          </cell>
          <cell r="AK234">
            <v>0.78722584053704436</v>
          </cell>
          <cell r="AL234">
            <v>228513.01999999996</v>
          </cell>
          <cell r="AM234" t="str">
            <v>% brut</v>
          </cell>
          <cell r="AN234">
            <v>1.1431481519857913</v>
          </cell>
          <cell r="AO234">
            <v>205204.65</v>
          </cell>
        </row>
        <row r="235">
          <cell r="A235" t="str">
            <v>Service</v>
          </cell>
        </row>
        <row r="236">
          <cell r="A236" t="str">
            <v>ServicePROFIT DÉPARTEMENTAL</v>
          </cell>
          <cell r="B236" t="str">
            <v>PROFIT DÉPARTEMENTAL</v>
          </cell>
          <cell r="E236">
            <v>205030.46999999718</v>
          </cell>
          <cell r="H236">
            <v>-29276.760000000024</v>
          </cell>
          <cell r="K236">
            <v>-19368.210000000036</v>
          </cell>
          <cell r="N236">
            <v>-9685.359999999986</v>
          </cell>
          <cell r="Q236">
            <v>41229.179999999993</v>
          </cell>
          <cell r="T236">
            <v>64727.289999998786</v>
          </cell>
          <cell r="W236">
            <v>44461.509999998991</v>
          </cell>
          <cell r="Z236">
            <v>17078.409999999654</v>
          </cell>
          <cell r="AC236">
            <v>43198.03</v>
          </cell>
          <cell r="AF236">
            <v>-3558.5400000001246</v>
          </cell>
          <cell r="AI236">
            <v>20157.909999999974</v>
          </cell>
          <cell r="AL236">
            <v>61763.29999999993</v>
          </cell>
          <cell r="AO236">
            <v>-25696.290000000125</v>
          </cell>
        </row>
        <row r="239">
          <cell r="B239" t="str">
            <v>Réel 2023</v>
          </cell>
          <cell r="C239" t="str">
            <v>Carrosserie</v>
          </cell>
        </row>
        <row r="241">
          <cell r="B241" t="str">
            <v>Mois</v>
          </cell>
          <cell r="C241">
            <v>2023</v>
          </cell>
          <cell r="F241" t="str">
            <v>Janvier</v>
          </cell>
          <cell r="I241" t="str">
            <v>Février</v>
          </cell>
          <cell r="L241" t="str">
            <v>Mars</v>
          </cell>
          <cell r="O241" t="str">
            <v>Avril</v>
          </cell>
          <cell r="R241" t="str">
            <v>Mai</v>
          </cell>
          <cell r="U241" t="str">
            <v>Juin</v>
          </cell>
          <cell r="X241" t="str">
            <v>Juillet</v>
          </cell>
          <cell r="AA241" t="str">
            <v>Août</v>
          </cell>
          <cell r="AD241" t="str">
            <v>Septembre</v>
          </cell>
          <cell r="AG241" t="str">
            <v>Octobre</v>
          </cell>
          <cell r="AJ241" t="str">
            <v>Novembre</v>
          </cell>
          <cell r="AM241" t="str">
            <v>Décembre</v>
          </cell>
        </row>
        <row r="242">
          <cell r="A242" t="str">
            <v>Carrosserie</v>
          </cell>
          <cell r="C242" t="str">
            <v>#</v>
          </cell>
          <cell r="D242" t="str">
            <v>$VENTES</v>
          </cell>
          <cell r="E242" t="str">
            <v>$PROFITS</v>
          </cell>
          <cell r="F242" t="str">
            <v>#</v>
          </cell>
          <cell r="G242" t="str">
            <v>$VENTES</v>
          </cell>
          <cell r="H242" t="str">
            <v>$PROFITS</v>
          </cell>
          <cell r="I242" t="str">
            <v>#</v>
          </cell>
          <cell r="J242" t="str">
            <v>$VENTES</v>
          </cell>
          <cell r="K242" t="str">
            <v>$PROFITS</v>
          </cell>
          <cell r="L242" t="str">
            <v>#</v>
          </cell>
          <cell r="M242" t="str">
            <v>$VENTES</v>
          </cell>
          <cell r="N242" t="str">
            <v>$PROFITS</v>
          </cell>
          <cell r="O242" t="str">
            <v>#</v>
          </cell>
          <cell r="P242" t="str">
            <v>$VENTES</v>
          </cell>
          <cell r="Q242" t="str">
            <v>$PROFITS</v>
          </cell>
          <cell r="R242" t="str">
            <v>#</v>
          </cell>
          <cell r="S242" t="str">
            <v>$VENTES</v>
          </cell>
          <cell r="T242" t="str">
            <v>$PROFITS</v>
          </cell>
          <cell r="U242" t="str">
            <v>#</v>
          </cell>
          <cell r="V242" t="str">
            <v>$VENTES</v>
          </cell>
          <cell r="W242" t="str">
            <v>$PROFITS</v>
          </cell>
          <cell r="X242" t="str">
            <v>#</v>
          </cell>
          <cell r="Y242" t="str">
            <v>$VENTES</v>
          </cell>
          <cell r="Z242" t="str">
            <v>$PROFITS</v>
          </cell>
          <cell r="AA242" t="str">
            <v>#</v>
          </cell>
          <cell r="AB242" t="str">
            <v>$VENTES</v>
          </cell>
          <cell r="AC242" t="str">
            <v>$PROFITS</v>
          </cell>
          <cell r="AD242" t="str">
            <v>#</v>
          </cell>
          <cell r="AE242" t="str">
            <v>$VENTES</v>
          </cell>
          <cell r="AF242" t="str">
            <v>$PROFITS</v>
          </cell>
          <cell r="AG242" t="str">
            <v>#</v>
          </cell>
          <cell r="AH242" t="str">
            <v>$VENTES</v>
          </cell>
          <cell r="AI242" t="str">
            <v>$PROFITS</v>
          </cell>
          <cell r="AJ242" t="str">
            <v>#</v>
          </cell>
          <cell r="AK242" t="str">
            <v>$VENTES</v>
          </cell>
          <cell r="AL242" t="str">
            <v>$PROFITS</v>
          </cell>
          <cell r="AM242" t="str">
            <v>#</v>
          </cell>
          <cell r="AN242" t="str">
            <v>$VENTES</v>
          </cell>
          <cell r="AO242" t="str">
            <v>$PROFITS</v>
          </cell>
        </row>
        <row r="243">
          <cell r="A243" t="str">
            <v>Carrosserie</v>
          </cell>
        </row>
        <row r="244">
          <cell r="A244" t="str">
            <v>CarrosserieM/O Sous-traitement</v>
          </cell>
          <cell r="B244" t="str">
            <v>M/O Sous-traitement</v>
          </cell>
          <cell r="C244">
            <v>506</v>
          </cell>
          <cell r="D244">
            <v>911810.67999999772</v>
          </cell>
          <cell r="E244">
            <v>186467.59999999951</v>
          </cell>
          <cell r="F244">
            <v>62</v>
          </cell>
          <cell r="G244">
            <v>125402.079999999</v>
          </cell>
          <cell r="H244">
            <v>28396.889999999901</v>
          </cell>
          <cell r="I244">
            <v>54</v>
          </cell>
          <cell r="J244">
            <v>80938.570000000007</v>
          </cell>
          <cell r="K244">
            <v>12421.9</v>
          </cell>
          <cell r="L244">
            <v>43</v>
          </cell>
          <cell r="M244">
            <v>100057.5</v>
          </cell>
          <cell r="N244">
            <v>13104.05</v>
          </cell>
          <cell r="O244">
            <v>21</v>
          </cell>
          <cell r="P244">
            <v>20068.84</v>
          </cell>
          <cell r="Q244">
            <v>6932.34</v>
          </cell>
          <cell r="R244">
            <v>53</v>
          </cell>
          <cell r="S244">
            <v>81827.360000000001</v>
          </cell>
          <cell r="T244">
            <v>22554.99</v>
          </cell>
          <cell r="U244">
            <v>35</v>
          </cell>
          <cell r="V244">
            <v>61602.33</v>
          </cell>
          <cell r="W244">
            <v>12667</v>
          </cell>
          <cell r="X244">
            <v>43</v>
          </cell>
          <cell r="Y244">
            <v>93198.95</v>
          </cell>
          <cell r="Z244">
            <v>23146.659999999902</v>
          </cell>
          <cell r="AA244">
            <v>61</v>
          </cell>
          <cell r="AB244">
            <v>123808.129999999</v>
          </cell>
          <cell r="AC244">
            <v>26996.3299999999</v>
          </cell>
          <cell r="AD244">
            <v>32</v>
          </cell>
          <cell r="AE244">
            <v>43872.799999999901</v>
          </cell>
          <cell r="AF244">
            <v>7855.5599999999904</v>
          </cell>
          <cell r="AG244">
            <v>44</v>
          </cell>
          <cell r="AH244">
            <v>82403.109999999899</v>
          </cell>
          <cell r="AI244">
            <v>16545.369999999901</v>
          </cell>
          <cell r="AJ244">
            <v>42</v>
          </cell>
          <cell r="AK244">
            <v>66881.5</v>
          </cell>
          <cell r="AL244">
            <v>11630.529999999901</v>
          </cell>
          <cell r="AM244">
            <v>16</v>
          </cell>
          <cell r="AN244">
            <v>31749.51</v>
          </cell>
          <cell r="AO244">
            <v>4215.9799999999996</v>
          </cell>
        </row>
        <row r="245">
          <cell r="A245" t="str">
            <v>Carrosserie% profit / ventes</v>
          </cell>
          <cell r="B245" t="str">
            <v>% profit / ventes</v>
          </cell>
          <cell r="E245">
            <v>0.20450253993515405</v>
          </cell>
          <cell r="H245">
            <v>0.22644672241481265</v>
          </cell>
          <cell r="K245">
            <v>0.15347318342787622</v>
          </cell>
          <cell r="N245">
            <v>0.1309651950128676</v>
          </cell>
          <cell r="Q245">
            <v>0.34542803669768657</v>
          </cell>
          <cell r="T245">
            <v>0.27564117918505499</v>
          </cell>
          <cell r="W245">
            <v>0.2056253391714242</v>
          </cell>
          <cell r="Z245">
            <v>0.24835751904930153</v>
          </cell>
          <cell r="AC245">
            <v>0.21804973550606183</v>
          </cell>
          <cell r="AF245">
            <v>0.17905308072427581</v>
          </cell>
          <cell r="AI245">
            <v>0.20078574704279875</v>
          </cell>
          <cell r="AL245">
            <v>0.17389756509647511</v>
          </cell>
          <cell r="AO245">
            <v>0.13278882099282791</v>
          </cell>
        </row>
        <row r="246">
          <cell r="A246" t="str">
            <v>Carrosserie</v>
          </cell>
        </row>
        <row r="247">
          <cell r="A247" t="str">
            <v>CarrosserieM/O Carrosserie</v>
          </cell>
          <cell r="B247" t="str">
            <v>M/O Carrosserie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</row>
        <row r="248">
          <cell r="A248" t="str">
            <v>Carrosserie% profit / ventes</v>
          </cell>
          <cell r="B248" t="str">
            <v>% profit / ventes</v>
          </cell>
          <cell r="E248">
            <v>0</v>
          </cell>
          <cell r="H248">
            <v>0</v>
          </cell>
          <cell r="K248">
            <v>0</v>
          </cell>
          <cell r="N248">
            <v>0</v>
          </cell>
          <cell r="Q248">
            <v>0</v>
          </cell>
          <cell r="T248">
            <v>0</v>
          </cell>
          <cell r="W248">
            <v>0</v>
          </cell>
          <cell r="Z248">
            <v>0</v>
          </cell>
          <cell r="AC248">
            <v>0</v>
          </cell>
          <cell r="AF248">
            <v>0</v>
          </cell>
          <cell r="AI248">
            <v>0</v>
          </cell>
          <cell r="AL248">
            <v>0</v>
          </cell>
          <cell r="AO248">
            <v>0</v>
          </cell>
        </row>
        <row r="249">
          <cell r="A249" t="str">
            <v>Carrosserie</v>
          </cell>
        </row>
        <row r="250">
          <cell r="A250" t="str">
            <v>CarrosserieM/O Esthétique Carr.</v>
          </cell>
          <cell r="B250" t="str">
            <v>M/O Esthétique Carr.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</row>
        <row r="251">
          <cell r="A251" t="str">
            <v>Carrosserie% profit / ventes</v>
          </cell>
          <cell r="B251" t="str">
            <v>% profit / ventes</v>
          </cell>
          <cell r="E251">
            <v>0</v>
          </cell>
          <cell r="H251">
            <v>0</v>
          </cell>
          <cell r="K251">
            <v>0</v>
          </cell>
          <cell r="N251">
            <v>0</v>
          </cell>
          <cell r="Q251">
            <v>0</v>
          </cell>
          <cell r="T251">
            <v>0</v>
          </cell>
          <cell r="W251">
            <v>0</v>
          </cell>
          <cell r="Z251">
            <v>0</v>
          </cell>
          <cell r="AC251">
            <v>0</v>
          </cell>
          <cell r="AF251">
            <v>0</v>
          </cell>
          <cell r="AI251">
            <v>0</v>
          </cell>
          <cell r="AL251">
            <v>0</v>
          </cell>
          <cell r="AO251">
            <v>0</v>
          </cell>
        </row>
        <row r="252">
          <cell r="A252" t="str">
            <v>Carrosserie</v>
          </cell>
        </row>
        <row r="253">
          <cell r="A253" t="str">
            <v>CarrosserieTotal Mécanique</v>
          </cell>
          <cell r="B253" t="str">
            <v>Total Mécanique</v>
          </cell>
          <cell r="D253">
            <v>911810.67999999772</v>
          </cell>
          <cell r="E253">
            <v>186467.59999999951</v>
          </cell>
          <cell r="G253">
            <v>125402.079999999</v>
          </cell>
          <cell r="H253">
            <v>28396.889999999901</v>
          </cell>
          <cell r="J253">
            <v>80938.570000000007</v>
          </cell>
          <cell r="K253">
            <v>12421.9</v>
          </cell>
          <cell r="M253">
            <v>100057.5</v>
          </cell>
          <cell r="N253">
            <v>13104.05</v>
          </cell>
          <cell r="P253">
            <v>20068.84</v>
          </cell>
          <cell r="Q253">
            <v>6932.34</v>
          </cell>
          <cell r="S253">
            <v>81827.360000000001</v>
          </cell>
          <cell r="T253">
            <v>22554.99</v>
          </cell>
          <cell r="V253">
            <v>61602.33</v>
          </cell>
          <cell r="W253">
            <v>12667</v>
          </cell>
          <cell r="Y253">
            <v>93198.95</v>
          </cell>
          <cell r="Z253">
            <v>23146.659999999902</v>
          </cell>
          <cell r="AB253">
            <v>123808.129999999</v>
          </cell>
          <cell r="AC253">
            <v>26996.3299999999</v>
          </cell>
          <cell r="AE253">
            <v>43872.799999999901</v>
          </cell>
          <cell r="AF253">
            <v>7855.5599999999904</v>
          </cell>
          <cell r="AH253">
            <v>82403.109999999899</v>
          </cell>
          <cell r="AI253">
            <v>16545.369999999901</v>
          </cell>
          <cell r="AK253">
            <v>66881.5</v>
          </cell>
          <cell r="AL253">
            <v>11630.529999999901</v>
          </cell>
          <cell r="AN253">
            <v>31749.51</v>
          </cell>
          <cell r="AO253">
            <v>4215.9799999999996</v>
          </cell>
        </row>
        <row r="254">
          <cell r="A254" t="str">
            <v>Carrosserie</v>
          </cell>
          <cell r="E254">
            <v>0.20450253993515405</v>
          </cell>
          <cell r="H254">
            <v>0.22644672241481265</v>
          </cell>
          <cell r="K254">
            <v>0.15347318342787622</v>
          </cell>
          <cell r="N254">
            <v>0.1309651950128676</v>
          </cell>
          <cell r="Q254">
            <v>0.34542803669768657</v>
          </cell>
          <cell r="T254">
            <v>0.27564117918505499</v>
          </cell>
          <cell r="W254">
            <v>0.2056253391714242</v>
          </cell>
          <cell r="Z254">
            <v>0.24835751904930153</v>
          </cell>
          <cell r="AC254">
            <v>0.21804973550606183</v>
          </cell>
          <cell r="AF254">
            <v>0.17905308072427581</v>
          </cell>
          <cell r="AI254">
            <v>0.20078574704279875</v>
          </cell>
          <cell r="AL254">
            <v>0.17389756509647511</v>
          </cell>
          <cell r="AO254">
            <v>0.13278882099282791</v>
          </cell>
        </row>
        <row r="255">
          <cell r="A255" t="str">
            <v>Carrosserie</v>
          </cell>
        </row>
        <row r="256">
          <cell r="A256" t="str">
            <v>CarrosserieDEPENSES</v>
          </cell>
          <cell r="B256" t="str">
            <v>DEPENSES</v>
          </cell>
        </row>
        <row r="257">
          <cell r="A257" t="str">
            <v>CarrosserieSalaires cadres</v>
          </cell>
          <cell r="B257" t="str">
            <v>Salaires cadres</v>
          </cell>
          <cell r="E257">
            <v>10822.56</v>
          </cell>
          <cell r="H257">
            <v>1901.88</v>
          </cell>
          <cell r="K257">
            <v>-98.12</v>
          </cell>
          <cell r="N257">
            <v>901.88</v>
          </cell>
          <cell r="Q257">
            <v>901.88</v>
          </cell>
          <cell r="T257">
            <v>1785.72</v>
          </cell>
          <cell r="W257">
            <v>768.04</v>
          </cell>
          <cell r="Z257">
            <v>651.88</v>
          </cell>
          <cell r="AC257">
            <v>1401.88</v>
          </cell>
          <cell r="AF257">
            <v>-98.12</v>
          </cell>
          <cell r="AI257">
            <v>901.88</v>
          </cell>
          <cell r="AL257">
            <v>901.88</v>
          </cell>
          <cell r="AO257">
            <v>901.88</v>
          </cell>
        </row>
        <row r="258">
          <cell r="A258" t="str">
            <v>CarrosserieSalaires commis</v>
          </cell>
          <cell r="B258" t="str">
            <v>Salaires commis</v>
          </cell>
          <cell r="E258">
            <v>0</v>
          </cell>
          <cell r="H258">
            <v>0</v>
          </cell>
          <cell r="K258">
            <v>0</v>
          </cell>
          <cell r="N258">
            <v>0</v>
          </cell>
          <cell r="Q258">
            <v>0</v>
          </cell>
          <cell r="T258">
            <v>0</v>
          </cell>
          <cell r="W258">
            <v>0</v>
          </cell>
          <cell r="Z258">
            <v>0</v>
          </cell>
          <cell r="AC258">
            <v>0</v>
          </cell>
          <cell r="AF258">
            <v>0</v>
          </cell>
          <cell r="AI258">
            <v>0</v>
          </cell>
          <cell r="AL258">
            <v>0</v>
          </cell>
          <cell r="AO258">
            <v>0</v>
          </cell>
        </row>
        <row r="259">
          <cell r="A259" t="str">
            <v>CarrosserieSalaires autres</v>
          </cell>
          <cell r="B259" t="str">
            <v>Salaires autres</v>
          </cell>
          <cell r="E259">
            <v>0.98999999999999977</v>
          </cell>
          <cell r="H259">
            <v>0.08</v>
          </cell>
          <cell r="K259">
            <v>0.08</v>
          </cell>
          <cell r="N259">
            <v>0.08</v>
          </cell>
          <cell r="Q259">
            <v>0.08</v>
          </cell>
          <cell r="T259">
            <v>0.08</v>
          </cell>
          <cell r="W259">
            <v>0.21</v>
          </cell>
          <cell r="Z259">
            <v>-0.02</v>
          </cell>
          <cell r="AC259">
            <v>0.08</v>
          </cell>
          <cell r="AF259">
            <v>0.08</v>
          </cell>
          <cell r="AI259">
            <v>0.08</v>
          </cell>
          <cell r="AL259">
            <v>0.08</v>
          </cell>
          <cell r="AO259">
            <v>0.08</v>
          </cell>
        </row>
        <row r="260">
          <cell r="A260" t="str">
            <v>CarrosserieSalaires spécialistes</v>
          </cell>
          <cell r="B260" t="str">
            <v>Salaires spécialistes</v>
          </cell>
          <cell r="E260">
            <v>52208.659999999996</v>
          </cell>
          <cell r="H260">
            <v>3922.4</v>
          </cell>
          <cell r="K260">
            <v>6212.1</v>
          </cell>
          <cell r="N260">
            <v>4474.6000000000004</v>
          </cell>
          <cell r="Q260">
            <v>1862.6</v>
          </cell>
          <cell r="T260">
            <v>3887.6</v>
          </cell>
          <cell r="W260">
            <v>5032.4399999999996</v>
          </cell>
          <cell r="Z260">
            <v>4550.6000000000004</v>
          </cell>
          <cell r="AC260">
            <v>4343.3599999999997</v>
          </cell>
          <cell r="AF260">
            <v>3832.35</v>
          </cell>
          <cell r="AI260">
            <v>4192.29</v>
          </cell>
          <cell r="AL260">
            <v>4680.32</v>
          </cell>
          <cell r="AO260">
            <v>5218</v>
          </cell>
        </row>
        <row r="261">
          <cell r="A261" t="str">
            <v>Carrosserie[...]</v>
          </cell>
          <cell r="B261" t="str">
            <v>[...]</v>
          </cell>
          <cell r="E261">
            <v>0</v>
          </cell>
          <cell r="H261">
            <v>0</v>
          </cell>
          <cell r="K261">
            <v>0</v>
          </cell>
          <cell r="N261">
            <v>0</v>
          </cell>
          <cell r="Q261">
            <v>0</v>
          </cell>
          <cell r="T261">
            <v>0</v>
          </cell>
          <cell r="W261">
            <v>0</v>
          </cell>
          <cell r="Z261">
            <v>0</v>
          </cell>
          <cell r="AC261">
            <v>0</v>
          </cell>
          <cell r="AF261">
            <v>0</v>
          </cell>
          <cell r="AI261">
            <v>0</v>
          </cell>
          <cell r="AL261">
            <v>0</v>
          </cell>
          <cell r="AO261">
            <v>0</v>
          </cell>
        </row>
        <row r="262">
          <cell r="A262" t="str">
            <v>Carrosserie[...]</v>
          </cell>
          <cell r="B262" t="str">
            <v>[...]</v>
          </cell>
          <cell r="E262">
            <v>0</v>
          </cell>
          <cell r="H262">
            <v>0</v>
          </cell>
          <cell r="K262">
            <v>0</v>
          </cell>
          <cell r="N262">
            <v>0</v>
          </cell>
          <cell r="Q262">
            <v>0</v>
          </cell>
          <cell r="T262">
            <v>0</v>
          </cell>
          <cell r="W262">
            <v>0</v>
          </cell>
          <cell r="Z262">
            <v>0</v>
          </cell>
          <cell r="AC262">
            <v>0</v>
          </cell>
          <cell r="AF262">
            <v>0</v>
          </cell>
          <cell r="AI262">
            <v>0</v>
          </cell>
          <cell r="AL262">
            <v>0</v>
          </cell>
          <cell r="AO262">
            <v>0</v>
          </cell>
        </row>
        <row r="263">
          <cell r="A263" t="str">
            <v>Carrosserie[...]</v>
          </cell>
          <cell r="B263" t="str">
            <v>[...]</v>
          </cell>
          <cell r="E263">
            <v>0</v>
          </cell>
          <cell r="H263">
            <v>0</v>
          </cell>
          <cell r="K263">
            <v>0</v>
          </cell>
          <cell r="N263">
            <v>0</v>
          </cell>
          <cell r="Q263">
            <v>0</v>
          </cell>
          <cell r="T263">
            <v>0</v>
          </cell>
          <cell r="W263">
            <v>0</v>
          </cell>
          <cell r="Z263">
            <v>0</v>
          </cell>
          <cell r="AC263">
            <v>0</v>
          </cell>
          <cell r="AF263">
            <v>0</v>
          </cell>
          <cell r="AI263">
            <v>0</v>
          </cell>
          <cell r="AL263">
            <v>0</v>
          </cell>
          <cell r="AO263">
            <v>0</v>
          </cell>
        </row>
        <row r="264">
          <cell r="A264" t="str">
            <v>CarrosserieSalaires en absences</v>
          </cell>
          <cell r="B264" t="str">
            <v>Salaires en absences</v>
          </cell>
          <cell r="E264">
            <v>5022.6899999999996</v>
          </cell>
          <cell r="H264">
            <v>618.65</v>
          </cell>
          <cell r="K264">
            <v>312.42</v>
          </cell>
          <cell r="N264">
            <v>350.09</v>
          </cell>
          <cell r="Q264">
            <v>331.33</v>
          </cell>
          <cell r="T264">
            <v>303.48</v>
          </cell>
          <cell r="W264">
            <v>352.77</v>
          </cell>
          <cell r="Z264">
            <v>382.81</v>
          </cell>
          <cell r="AC264">
            <v>240.79</v>
          </cell>
          <cell r="AF264">
            <v>384.29</v>
          </cell>
          <cell r="AI264">
            <v>506.89</v>
          </cell>
          <cell r="AL264">
            <v>259.37</v>
          </cell>
          <cell r="AO264">
            <v>979.8</v>
          </cell>
        </row>
        <row r="265">
          <cell r="A265" t="str">
            <v>CarrosserieDéduction à la source</v>
          </cell>
          <cell r="B265" t="str">
            <v>Déduction à la source</v>
          </cell>
          <cell r="E265">
            <v>15798.319999999998</v>
          </cell>
          <cell r="H265">
            <v>1359.12</v>
          </cell>
          <cell r="K265">
            <v>1627.6</v>
          </cell>
          <cell r="N265">
            <v>1266.97</v>
          </cell>
          <cell r="Q265">
            <v>946.77</v>
          </cell>
          <cell r="T265">
            <v>1200.4100000000001</v>
          </cell>
          <cell r="W265">
            <v>1340.49</v>
          </cell>
          <cell r="Z265">
            <v>1298.79</v>
          </cell>
          <cell r="AC265">
            <v>1254.0999999999999</v>
          </cell>
          <cell r="AF265">
            <v>1454.76</v>
          </cell>
          <cell r="AI265">
            <v>1262.6099999999999</v>
          </cell>
          <cell r="AL265">
            <v>1309.81</v>
          </cell>
          <cell r="AO265">
            <v>1476.89</v>
          </cell>
        </row>
        <row r="266">
          <cell r="A266" t="str">
            <v>CarrosserieBénéfices marginaux</v>
          </cell>
          <cell r="B266" t="str">
            <v>Bénéfices marginaux</v>
          </cell>
          <cell r="E266">
            <v>3471.46</v>
          </cell>
          <cell r="H266">
            <v>351.75</v>
          </cell>
          <cell r="K266">
            <v>258.60000000000002</v>
          </cell>
          <cell r="N266">
            <v>56.92</v>
          </cell>
          <cell r="Q266">
            <v>34.520000000000003</v>
          </cell>
          <cell r="T266">
            <v>300.10000000000002</v>
          </cell>
          <cell r="W266">
            <v>122.31</v>
          </cell>
          <cell r="Z266">
            <v>46.81</v>
          </cell>
          <cell r="AC266">
            <v>896.14</v>
          </cell>
          <cell r="AF266">
            <v>453.78</v>
          </cell>
          <cell r="AI266">
            <v>174.49</v>
          </cell>
          <cell r="AL266">
            <v>345.19</v>
          </cell>
          <cell r="AO266">
            <v>430.85</v>
          </cell>
        </row>
        <row r="267">
          <cell r="A267" t="str">
            <v>CarrosserieCsst</v>
          </cell>
          <cell r="B267" t="str">
            <v>Csst</v>
          </cell>
          <cell r="E267">
            <v>1919.8799999999999</v>
          </cell>
          <cell r="H267">
            <v>133</v>
          </cell>
          <cell r="K267">
            <v>175.67</v>
          </cell>
          <cell r="N267">
            <v>128.44</v>
          </cell>
          <cell r="Q267">
            <v>49.08</v>
          </cell>
          <cell r="T267">
            <v>98.15</v>
          </cell>
          <cell r="W267">
            <v>419.85</v>
          </cell>
          <cell r="Z267">
            <v>170.57</v>
          </cell>
          <cell r="AC267">
            <v>117.7</v>
          </cell>
          <cell r="AF267">
            <v>172.1</v>
          </cell>
          <cell r="AI267">
            <v>119.83</v>
          </cell>
          <cell r="AL267">
            <v>120.56</v>
          </cell>
          <cell r="AO267">
            <v>214.93</v>
          </cell>
        </row>
        <row r="268">
          <cell r="A268" t="str">
            <v>Carrosserie[...]</v>
          </cell>
          <cell r="B268" t="str">
            <v>[...]</v>
          </cell>
          <cell r="E268">
            <v>0</v>
          </cell>
        </row>
        <row r="269">
          <cell r="A269" t="str">
            <v>CarrosserieTOTAL PERSONNEL</v>
          </cell>
          <cell r="B269" t="str">
            <v>TOTAL PERSONNEL</v>
          </cell>
          <cell r="C269" t="str">
            <v>% brut</v>
          </cell>
          <cell r="D269">
            <v>0</v>
          </cell>
          <cell r="E269">
            <v>89244.56</v>
          </cell>
          <cell r="F269" t="str">
            <v>% brut</v>
          </cell>
          <cell r="G269">
            <v>0</v>
          </cell>
          <cell r="H269">
            <v>8286.880000000001</v>
          </cell>
          <cell r="I269" t="str">
            <v>% brut</v>
          </cell>
          <cell r="J269">
            <v>0</v>
          </cell>
          <cell r="K269">
            <v>8488.35</v>
          </cell>
          <cell r="L269" t="str">
            <v>% brut</v>
          </cell>
          <cell r="M269">
            <v>0</v>
          </cell>
          <cell r="N269">
            <v>7178.9800000000005</v>
          </cell>
          <cell r="O269" t="str">
            <v>% brut</v>
          </cell>
          <cell r="P269">
            <v>0</v>
          </cell>
          <cell r="Q269">
            <v>4126.26</v>
          </cell>
          <cell r="R269" t="str">
            <v>% brut</v>
          </cell>
          <cell r="S269">
            <v>0</v>
          </cell>
          <cell r="T269">
            <v>7575.5399999999991</v>
          </cell>
          <cell r="U269" t="str">
            <v>% brut</v>
          </cell>
          <cell r="V269">
            <v>0</v>
          </cell>
          <cell r="W269">
            <v>8036.11</v>
          </cell>
          <cell r="X269" t="str">
            <v>% brut</v>
          </cell>
          <cell r="Y269">
            <v>0</v>
          </cell>
          <cell r="Z269">
            <v>7101.4400000000005</v>
          </cell>
          <cell r="AA269" t="str">
            <v>% brut</v>
          </cell>
          <cell r="AB269">
            <v>0</v>
          </cell>
          <cell r="AC269">
            <v>8254.0499999999993</v>
          </cell>
          <cell r="AD269" t="str">
            <v>% brut</v>
          </cell>
          <cell r="AE269">
            <v>0</v>
          </cell>
          <cell r="AF269">
            <v>6199.2400000000007</v>
          </cell>
          <cell r="AG269" t="str">
            <v>% brut</v>
          </cell>
          <cell r="AH269">
            <v>0</v>
          </cell>
          <cell r="AI269">
            <v>7158.07</v>
          </cell>
          <cell r="AJ269" t="str">
            <v>% brut</v>
          </cell>
          <cell r="AK269">
            <v>0</v>
          </cell>
          <cell r="AL269">
            <v>7617.2099999999991</v>
          </cell>
          <cell r="AM269" t="str">
            <v>% brut</v>
          </cell>
          <cell r="AN269">
            <v>0</v>
          </cell>
          <cell r="AO269">
            <v>9222.43</v>
          </cell>
        </row>
        <row r="270">
          <cell r="A270" t="str">
            <v>CarrosseriePublicité 2</v>
          </cell>
          <cell r="B270" t="str">
            <v>Publicité 2</v>
          </cell>
          <cell r="E270">
            <v>887.27</v>
          </cell>
          <cell r="H270">
            <v>70.069999999999993</v>
          </cell>
          <cell r="K270">
            <v>0.05</v>
          </cell>
          <cell r="N270">
            <v>173.45</v>
          </cell>
          <cell r="Q270">
            <v>24.52</v>
          </cell>
          <cell r="T270">
            <v>10.5</v>
          </cell>
          <cell r="W270">
            <v>168.82</v>
          </cell>
          <cell r="Z270">
            <v>24.55</v>
          </cell>
          <cell r="AC270">
            <v>117.3</v>
          </cell>
          <cell r="AF270">
            <v>119.6</v>
          </cell>
          <cell r="AI270">
            <v>140.03</v>
          </cell>
          <cell r="AL270">
            <v>35.03</v>
          </cell>
          <cell r="AO270">
            <v>3.35</v>
          </cell>
        </row>
        <row r="271">
          <cell r="A271" t="str">
            <v>CarrosserieService gratuit 2</v>
          </cell>
          <cell r="B271" t="str">
            <v>Service gratuit 2</v>
          </cell>
          <cell r="E271">
            <v>17814.03</v>
          </cell>
          <cell r="H271">
            <v>-126.43</v>
          </cell>
          <cell r="K271">
            <v>264.18</v>
          </cell>
          <cell r="N271">
            <v>-1123.1199999999999</v>
          </cell>
          <cell r="Q271">
            <v>453.76</v>
          </cell>
          <cell r="T271">
            <v>2419.17</v>
          </cell>
          <cell r="W271">
            <v>3855.54</v>
          </cell>
          <cell r="Z271">
            <v>1009.17</v>
          </cell>
          <cell r="AC271">
            <v>1948.41</v>
          </cell>
          <cell r="AF271">
            <v>2934.37</v>
          </cell>
          <cell r="AI271">
            <v>3817.34</v>
          </cell>
          <cell r="AL271">
            <v>3488.78</v>
          </cell>
          <cell r="AO271">
            <v>-1127.1400000000001</v>
          </cell>
        </row>
        <row r="272">
          <cell r="A272" t="str">
            <v>CarrosserieFrais véhicules de cie</v>
          </cell>
          <cell r="B272" t="str">
            <v>Frais véhicules de cie</v>
          </cell>
          <cell r="E272">
            <v>9128.5499999999993</v>
          </cell>
          <cell r="H272">
            <v>409.64</v>
          </cell>
          <cell r="K272">
            <v>1230.29</v>
          </cell>
          <cell r="N272">
            <v>302.11</v>
          </cell>
          <cell r="Q272">
            <v>1298.76</v>
          </cell>
          <cell r="T272">
            <v>306.87</v>
          </cell>
          <cell r="W272">
            <v>165.8</v>
          </cell>
          <cell r="Z272">
            <v>149.79</v>
          </cell>
          <cell r="AC272">
            <v>609.21</v>
          </cell>
          <cell r="AF272">
            <v>295.38</v>
          </cell>
          <cell r="AI272">
            <v>1816.75</v>
          </cell>
          <cell r="AL272">
            <v>1070.53</v>
          </cell>
          <cell r="AO272">
            <v>1473.42</v>
          </cell>
        </row>
        <row r="273">
          <cell r="A273" t="str">
            <v>CarrosserieInformatique</v>
          </cell>
          <cell r="B273" t="str">
            <v>Informatique</v>
          </cell>
          <cell r="E273">
            <v>18258.95</v>
          </cell>
          <cell r="H273">
            <v>1408.01</v>
          </cell>
          <cell r="K273">
            <v>1439.98</v>
          </cell>
          <cell r="N273">
            <v>1499.64</v>
          </cell>
          <cell r="Q273">
            <v>1645.4</v>
          </cell>
          <cell r="T273">
            <v>2012.5</v>
          </cell>
          <cell r="W273">
            <v>1422.13</v>
          </cell>
          <cell r="Z273">
            <v>1466.11</v>
          </cell>
          <cell r="AC273">
            <v>1015.93</v>
          </cell>
          <cell r="AF273">
            <v>2094.9299999999998</v>
          </cell>
          <cell r="AI273">
            <v>1460.27</v>
          </cell>
          <cell r="AL273">
            <v>1443.09</v>
          </cell>
          <cell r="AO273">
            <v>1350.96</v>
          </cell>
        </row>
        <row r="274">
          <cell r="A274" t="str">
            <v>CarrosserieFrais de déplacement</v>
          </cell>
          <cell r="B274" t="str">
            <v>Frais de déplacement</v>
          </cell>
          <cell r="E274">
            <v>2857.98</v>
          </cell>
          <cell r="H274">
            <v>144.15</v>
          </cell>
          <cell r="K274">
            <v>319.45</v>
          </cell>
          <cell r="N274">
            <v>225.94</v>
          </cell>
          <cell r="Q274">
            <v>202.46</v>
          </cell>
          <cell r="T274">
            <v>335.94</v>
          </cell>
          <cell r="W274">
            <v>147.46</v>
          </cell>
          <cell r="Z274">
            <v>169.45</v>
          </cell>
          <cell r="AC274">
            <v>218.31</v>
          </cell>
          <cell r="AF274">
            <v>265.83999999999997</v>
          </cell>
          <cell r="AI274">
            <v>329.67</v>
          </cell>
          <cell r="AL274">
            <v>264.20999999999998</v>
          </cell>
          <cell r="AO274">
            <v>235.1</v>
          </cell>
        </row>
        <row r="275">
          <cell r="A275" t="str">
            <v>CarrosserieServices extérieurs</v>
          </cell>
          <cell r="B275" t="str">
            <v>Services extérieurs</v>
          </cell>
          <cell r="E275">
            <v>7538.869999999999</v>
          </cell>
          <cell r="H275">
            <v>709.55</v>
          </cell>
          <cell r="K275">
            <v>896.07</v>
          </cell>
          <cell r="N275">
            <v>437.81</v>
          </cell>
          <cell r="Q275">
            <v>369.39</v>
          </cell>
          <cell r="T275">
            <v>494.87</v>
          </cell>
          <cell r="W275">
            <v>492.53</v>
          </cell>
          <cell r="Z275">
            <v>447.02</v>
          </cell>
          <cell r="AC275">
            <v>493.23</v>
          </cell>
          <cell r="AF275">
            <v>530.83000000000004</v>
          </cell>
          <cell r="AI275">
            <v>900.65</v>
          </cell>
          <cell r="AL275">
            <v>976.45</v>
          </cell>
          <cell r="AO275">
            <v>790.47</v>
          </cell>
        </row>
        <row r="276">
          <cell r="A276" t="str">
            <v>CarrosserieFournitures d'atelier</v>
          </cell>
          <cell r="B276" t="str">
            <v>Fournitures d'atelier</v>
          </cell>
          <cell r="E276">
            <v>0</v>
          </cell>
          <cell r="H276">
            <v>0</v>
          </cell>
          <cell r="K276">
            <v>0</v>
          </cell>
          <cell r="N276">
            <v>0</v>
          </cell>
          <cell r="Q276">
            <v>0</v>
          </cell>
          <cell r="T276">
            <v>0</v>
          </cell>
          <cell r="W276">
            <v>0</v>
          </cell>
          <cell r="Z276">
            <v>0</v>
          </cell>
          <cell r="AC276">
            <v>0</v>
          </cell>
          <cell r="AF276">
            <v>0</v>
          </cell>
          <cell r="AI276">
            <v>0</v>
          </cell>
          <cell r="AL276">
            <v>0</v>
          </cell>
          <cell r="AO276">
            <v>0</v>
          </cell>
        </row>
        <row r="277">
          <cell r="A277" t="str">
            <v>CarrosserieFournitures autres</v>
          </cell>
          <cell r="B277" t="str">
            <v>Fournitures autres</v>
          </cell>
          <cell r="E277">
            <v>235.89000000000001</v>
          </cell>
          <cell r="H277">
            <v>0</v>
          </cell>
          <cell r="K277">
            <v>0</v>
          </cell>
          <cell r="N277">
            <v>1.8</v>
          </cell>
          <cell r="Q277">
            <v>0</v>
          </cell>
          <cell r="T277">
            <v>0</v>
          </cell>
          <cell r="W277">
            <v>0</v>
          </cell>
          <cell r="Z277">
            <v>0</v>
          </cell>
          <cell r="AC277">
            <v>0</v>
          </cell>
          <cell r="AF277">
            <v>30.88</v>
          </cell>
          <cell r="AI277">
            <v>155.99</v>
          </cell>
          <cell r="AL277">
            <v>47.22</v>
          </cell>
          <cell r="AO277">
            <v>0</v>
          </cell>
        </row>
        <row r="278">
          <cell r="A278" t="str">
            <v>CarrosserieUniformes</v>
          </cell>
          <cell r="B278" t="str">
            <v>Uniformes</v>
          </cell>
          <cell r="E278">
            <v>0</v>
          </cell>
          <cell r="H278">
            <v>0</v>
          </cell>
          <cell r="K278">
            <v>0</v>
          </cell>
          <cell r="N278">
            <v>0</v>
          </cell>
          <cell r="Q278">
            <v>0</v>
          </cell>
          <cell r="T278">
            <v>0</v>
          </cell>
          <cell r="W278">
            <v>0</v>
          </cell>
          <cell r="Z278">
            <v>0</v>
          </cell>
          <cell r="AC278">
            <v>0</v>
          </cell>
          <cell r="AF278">
            <v>0</v>
          </cell>
          <cell r="AI278">
            <v>0</v>
          </cell>
          <cell r="AL278">
            <v>0</v>
          </cell>
          <cell r="AO278">
            <v>0</v>
          </cell>
        </row>
        <row r="279">
          <cell r="A279" t="str">
            <v>CarrosseriePapeterie</v>
          </cell>
          <cell r="B279" t="str">
            <v>Papeterie</v>
          </cell>
          <cell r="E279">
            <v>2072.9499999999998</v>
          </cell>
          <cell r="H279">
            <v>84.82</v>
          </cell>
          <cell r="K279">
            <v>114.38</v>
          </cell>
          <cell r="N279">
            <v>216.39</v>
          </cell>
          <cell r="Q279">
            <v>171.37</v>
          </cell>
          <cell r="T279">
            <v>117.42</v>
          </cell>
          <cell r="W279">
            <v>132.52000000000001</v>
          </cell>
          <cell r="Z279">
            <v>104.97</v>
          </cell>
          <cell r="AC279">
            <v>243.74</v>
          </cell>
          <cell r="AF279">
            <v>150.02000000000001</v>
          </cell>
          <cell r="AI279">
            <v>50.07</v>
          </cell>
          <cell r="AL279">
            <v>451.88</v>
          </cell>
          <cell r="AO279">
            <v>235.37</v>
          </cell>
        </row>
        <row r="280">
          <cell r="A280" t="str">
            <v>CarrosserieTéléphone</v>
          </cell>
          <cell r="B280" t="str">
            <v>Téléphone</v>
          </cell>
          <cell r="E280">
            <v>303.3</v>
          </cell>
          <cell r="H280">
            <v>22.74</v>
          </cell>
          <cell r="K280">
            <v>24.43</v>
          </cell>
          <cell r="N280">
            <v>21.08</v>
          </cell>
          <cell r="Q280">
            <v>21.02</v>
          </cell>
          <cell r="T280">
            <v>20.98</v>
          </cell>
          <cell r="W280">
            <v>20.98</v>
          </cell>
          <cell r="Z280">
            <v>21.2</v>
          </cell>
          <cell r="AC280">
            <v>53.9</v>
          </cell>
          <cell r="AF280">
            <v>24.23</v>
          </cell>
          <cell r="AI280">
            <v>28.44</v>
          </cell>
          <cell r="AL280">
            <v>23.32</v>
          </cell>
          <cell r="AO280">
            <v>20.98</v>
          </cell>
        </row>
        <row r="281">
          <cell r="A281" t="str">
            <v>CarrosserieFrais postaux</v>
          </cell>
          <cell r="B281" t="str">
            <v>Frais postaux</v>
          </cell>
          <cell r="E281">
            <v>354.88</v>
          </cell>
          <cell r="H281">
            <v>22.36</v>
          </cell>
          <cell r="K281">
            <v>19.350000000000001</v>
          </cell>
          <cell r="N281">
            <v>18.59</v>
          </cell>
          <cell r="Q281">
            <v>28.24</v>
          </cell>
          <cell r="T281">
            <v>25.29</v>
          </cell>
          <cell r="W281">
            <v>17.91</v>
          </cell>
          <cell r="Z281">
            <v>28.46</v>
          </cell>
          <cell r="AC281">
            <v>22.65</v>
          </cell>
          <cell r="AF281">
            <v>29.2</v>
          </cell>
          <cell r="AI281">
            <v>55.33</v>
          </cell>
          <cell r="AL281">
            <v>37.15</v>
          </cell>
          <cell r="AO281">
            <v>50.35</v>
          </cell>
        </row>
        <row r="282">
          <cell r="A282" t="str">
            <v>CarrosserieDivers</v>
          </cell>
          <cell r="B282" t="str">
            <v>Divers</v>
          </cell>
          <cell r="E282">
            <v>2466.3700000000003</v>
          </cell>
          <cell r="H282">
            <v>796.64</v>
          </cell>
          <cell r="K282">
            <v>1433.45</v>
          </cell>
          <cell r="N282">
            <v>14.5</v>
          </cell>
          <cell r="Q282">
            <v>25.57</v>
          </cell>
          <cell r="T282">
            <v>17.18</v>
          </cell>
          <cell r="W282">
            <v>24.36</v>
          </cell>
          <cell r="Z282">
            <v>16.940000000000001</v>
          </cell>
          <cell r="AC282">
            <v>24.65</v>
          </cell>
          <cell r="AF282">
            <v>43.73</v>
          </cell>
          <cell r="AI282">
            <v>26.25</v>
          </cell>
          <cell r="AL282">
            <v>22.49</v>
          </cell>
          <cell r="AO282">
            <v>20.61</v>
          </cell>
        </row>
        <row r="283">
          <cell r="A283" t="str">
            <v>CarrosserieFormation</v>
          </cell>
          <cell r="B283" t="str">
            <v>Formation</v>
          </cell>
          <cell r="E283">
            <v>6840.78</v>
          </cell>
          <cell r="H283">
            <v>153.18</v>
          </cell>
          <cell r="K283">
            <v>105.68</v>
          </cell>
          <cell r="N283">
            <v>515.98</v>
          </cell>
          <cell r="Q283">
            <v>122.21</v>
          </cell>
          <cell r="T283">
            <v>1039.3800000000001</v>
          </cell>
          <cell r="W283">
            <v>272.94</v>
          </cell>
          <cell r="Z283">
            <v>22.33</v>
          </cell>
          <cell r="AC283">
            <v>2627.11</v>
          </cell>
          <cell r="AF283">
            <v>1851.77</v>
          </cell>
          <cell r="AI283">
            <v>18.91</v>
          </cell>
          <cell r="AL283">
            <v>92.33</v>
          </cell>
          <cell r="AO283">
            <v>18.96</v>
          </cell>
        </row>
        <row r="284">
          <cell r="A284" t="str">
            <v>CarrosserieFrais bancaires</v>
          </cell>
          <cell r="B284" t="str">
            <v>Frais bancaires</v>
          </cell>
          <cell r="E284">
            <v>2349.1699999999996</v>
          </cell>
          <cell r="H284">
            <v>174.54</v>
          </cell>
          <cell r="K284">
            <v>137.97</v>
          </cell>
          <cell r="N284">
            <v>19.84</v>
          </cell>
          <cell r="Q284">
            <v>168.09</v>
          </cell>
          <cell r="T284">
            <v>429.56</v>
          </cell>
          <cell r="W284">
            <v>196.51</v>
          </cell>
          <cell r="Z284">
            <v>189.25</v>
          </cell>
          <cell r="AC284">
            <v>147.77000000000001</v>
          </cell>
          <cell r="AF284">
            <v>200.2</v>
          </cell>
          <cell r="AI284">
            <v>222.59</v>
          </cell>
          <cell r="AL284">
            <v>284.70999999999998</v>
          </cell>
          <cell r="AO284">
            <v>178.14</v>
          </cell>
        </row>
        <row r="285">
          <cell r="A285" t="str">
            <v>Carrosserie[...]</v>
          </cell>
          <cell r="B285" t="str">
            <v>[...]</v>
          </cell>
          <cell r="E285">
            <v>0</v>
          </cell>
        </row>
        <row r="286">
          <cell r="A286" t="str">
            <v>Carrosserie[...]</v>
          </cell>
          <cell r="B286" t="str">
            <v>[...]</v>
          </cell>
          <cell r="E286">
            <v>0</v>
          </cell>
        </row>
        <row r="287">
          <cell r="A287" t="str">
            <v>Carrosserie[...]</v>
          </cell>
          <cell r="B287" t="str">
            <v>[...]</v>
          </cell>
          <cell r="E287">
            <v>0</v>
          </cell>
        </row>
        <row r="288">
          <cell r="A288" t="str">
            <v>CarrosserieTOTAL SEMI-FIXES</v>
          </cell>
          <cell r="B288" t="str">
            <v>TOTAL SEMI-FIXES</v>
          </cell>
          <cell r="C288" t="str">
            <v>% brut</v>
          </cell>
          <cell r="D288">
            <v>0</v>
          </cell>
          <cell r="E288">
            <v>71108.990000000005</v>
          </cell>
          <cell r="F288" t="str">
            <v>% brut</v>
          </cell>
          <cell r="G288">
            <v>0</v>
          </cell>
          <cell r="H288">
            <v>3869.2699999999995</v>
          </cell>
          <cell r="I288" t="str">
            <v>% brut</v>
          </cell>
          <cell r="J288">
            <v>0</v>
          </cell>
          <cell r="K288">
            <v>5985.2800000000007</v>
          </cell>
          <cell r="L288" t="str">
            <v>% brut</v>
          </cell>
          <cell r="M288">
            <v>0</v>
          </cell>
          <cell r="N288">
            <v>2324.0100000000002</v>
          </cell>
          <cell r="O288" t="str">
            <v>% brut</v>
          </cell>
          <cell r="P288">
            <v>0</v>
          </cell>
          <cell r="Q288">
            <v>4530.79</v>
          </cell>
          <cell r="R288" t="str">
            <v>% brut</v>
          </cell>
          <cell r="S288">
            <v>0</v>
          </cell>
          <cell r="T288">
            <v>7229.66</v>
          </cell>
          <cell r="U288" t="str">
            <v>% brut</v>
          </cell>
          <cell r="V288">
            <v>0</v>
          </cell>
          <cell r="W288">
            <v>6917.4999999999991</v>
          </cell>
          <cell r="X288" t="str">
            <v>% brut</v>
          </cell>
          <cell r="Y288">
            <v>0</v>
          </cell>
          <cell r="Z288">
            <v>3649.2399999999993</v>
          </cell>
          <cell r="AA288" t="str">
            <v>% brut</v>
          </cell>
          <cell r="AB288">
            <v>0</v>
          </cell>
          <cell r="AC288">
            <v>7522.2099999999991</v>
          </cell>
          <cell r="AD288" t="str">
            <v>% brut</v>
          </cell>
          <cell r="AE288">
            <v>0</v>
          </cell>
          <cell r="AF288">
            <v>8570.98</v>
          </cell>
          <cell r="AG288" t="str">
            <v>% brut</v>
          </cell>
          <cell r="AH288">
            <v>0</v>
          </cell>
          <cell r="AI288">
            <v>9022.2900000000009</v>
          </cell>
          <cell r="AJ288" t="str">
            <v>% brut</v>
          </cell>
          <cell r="AK288">
            <v>0</v>
          </cell>
          <cell r="AL288">
            <v>8237.1899999999987</v>
          </cell>
          <cell r="AM288" t="str">
            <v>% brut</v>
          </cell>
          <cell r="AN288">
            <v>0</v>
          </cell>
          <cell r="AO288">
            <v>3250.5699999999997</v>
          </cell>
        </row>
        <row r="289">
          <cell r="A289" t="str">
            <v>Carrosserie</v>
          </cell>
        </row>
        <row r="290">
          <cell r="A290" t="str">
            <v>CarrosserieTOTAL DES DÉPENSES</v>
          </cell>
          <cell r="B290" t="str">
            <v>TOTAL DES DÉPENSES</v>
          </cell>
          <cell r="C290" t="str">
            <v>% brut</v>
          </cell>
          <cell r="D290">
            <v>0</v>
          </cell>
          <cell r="E290">
            <v>160353.54999999999</v>
          </cell>
          <cell r="F290" t="str">
            <v>% brut</v>
          </cell>
          <cell r="G290">
            <v>0</v>
          </cell>
          <cell r="H290">
            <v>12156.150000000001</v>
          </cell>
          <cell r="I290" t="str">
            <v>% brut</v>
          </cell>
          <cell r="J290">
            <v>0</v>
          </cell>
          <cell r="K290">
            <v>14473.630000000001</v>
          </cell>
          <cell r="L290" t="str">
            <v>% brut</v>
          </cell>
          <cell r="M290">
            <v>0</v>
          </cell>
          <cell r="N290">
            <v>9502.9900000000016</v>
          </cell>
          <cell r="O290" t="str">
            <v>% brut</v>
          </cell>
          <cell r="P290">
            <v>0</v>
          </cell>
          <cell r="Q290">
            <v>8657.0499999999993</v>
          </cell>
          <cell r="R290" t="str">
            <v>% brut</v>
          </cell>
          <cell r="S290">
            <v>0</v>
          </cell>
          <cell r="T290">
            <v>14805.199999999999</v>
          </cell>
          <cell r="U290" t="str">
            <v>% brut</v>
          </cell>
          <cell r="V290">
            <v>0</v>
          </cell>
          <cell r="W290">
            <v>14953.609999999999</v>
          </cell>
          <cell r="X290" t="str">
            <v>% brut</v>
          </cell>
          <cell r="Y290">
            <v>0</v>
          </cell>
          <cell r="Z290">
            <v>10750.68</v>
          </cell>
          <cell r="AA290" t="str">
            <v>% brut</v>
          </cell>
          <cell r="AB290">
            <v>0</v>
          </cell>
          <cell r="AC290">
            <v>15776.259999999998</v>
          </cell>
          <cell r="AD290" t="str">
            <v>% brut</v>
          </cell>
          <cell r="AE290">
            <v>0</v>
          </cell>
          <cell r="AF290">
            <v>14770.220000000001</v>
          </cell>
          <cell r="AG290" t="str">
            <v>% brut</v>
          </cell>
          <cell r="AH290">
            <v>0</v>
          </cell>
          <cell r="AI290">
            <v>16180.36</v>
          </cell>
          <cell r="AJ290" t="str">
            <v>% brut</v>
          </cell>
          <cell r="AK290">
            <v>0</v>
          </cell>
          <cell r="AL290">
            <v>15854.399999999998</v>
          </cell>
          <cell r="AM290" t="str">
            <v>% brut</v>
          </cell>
          <cell r="AN290">
            <v>0</v>
          </cell>
          <cell r="AO290">
            <v>12473</v>
          </cell>
        </row>
        <row r="291">
          <cell r="A291" t="str">
            <v>Carrosserie</v>
          </cell>
        </row>
        <row r="292">
          <cell r="A292" t="str">
            <v>CarrosseriePROFIT DÉPARTEMENTAL</v>
          </cell>
          <cell r="B292" t="str">
            <v>PROFIT DÉPARTEMENTAL</v>
          </cell>
          <cell r="E292">
            <v>26114.049999999523</v>
          </cell>
          <cell r="H292">
            <v>16240.7399999999</v>
          </cell>
          <cell r="K292">
            <v>-2051.7300000000014</v>
          </cell>
          <cell r="N292">
            <v>3601.0599999999977</v>
          </cell>
          <cell r="Q292">
            <v>-1724.7099999999991</v>
          </cell>
          <cell r="T292">
            <v>7749.7900000000027</v>
          </cell>
          <cell r="W292">
            <v>-2286.6099999999988</v>
          </cell>
          <cell r="Z292">
            <v>12395.979999999901</v>
          </cell>
          <cell r="AC292">
            <v>11220.069999999901</v>
          </cell>
          <cell r="AF292">
            <v>-6914.6600000000108</v>
          </cell>
          <cell r="AI292">
            <v>365.00999999990017</v>
          </cell>
          <cell r="AL292">
            <v>-4223.8700000000972</v>
          </cell>
          <cell r="AO292">
            <v>-8257.02</v>
          </cell>
        </row>
        <row r="294">
          <cell r="B294" t="str">
            <v>Réel 2023</v>
          </cell>
          <cell r="C294" t="str">
            <v>Pièces</v>
          </cell>
        </row>
        <row r="296">
          <cell r="B296" t="str">
            <v>Mois</v>
          </cell>
          <cell r="C296">
            <v>2023</v>
          </cell>
          <cell r="F296" t="str">
            <v>Janvier</v>
          </cell>
          <cell r="I296" t="str">
            <v>Février</v>
          </cell>
          <cell r="L296" t="str">
            <v>Mars</v>
          </cell>
          <cell r="O296" t="str">
            <v>Avril</v>
          </cell>
          <cell r="R296" t="str">
            <v>Mai</v>
          </cell>
          <cell r="U296" t="str">
            <v>Juin</v>
          </cell>
          <cell r="X296" t="str">
            <v>Juillet</v>
          </cell>
          <cell r="AA296" t="str">
            <v>Août</v>
          </cell>
          <cell r="AD296" t="str">
            <v>Septembre</v>
          </cell>
          <cell r="AG296" t="str">
            <v>Octobre</v>
          </cell>
          <cell r="AJ296" t="str">
            <v>Novembre</v>
          </cell>
          <cell r="AM296" t="str">
            <v>Décembre</v>
          </cell>
        </row>
        <row r="297">
          <cell r="A297" t="str">
            <v>Pièces</v>
          </cell>
          <cell r="C297" t="str">
            <v>$VENTES</v>
          </cell>
          <cell r="D297" t="str">
            <v>% P. BRUT</v>
          </cell>
          <cell r="E297" t="str">
            <v>$PROFITS</v>
          </cell>
          <cell r="F297" t="str">
            <v>$VENTES</v>
          </cell>
          <cell r="G297" t="str">
            <v>% P. BRUT</v>
          </cell>
          <cell r="H297" t="str">
            <v>$PROFITS</v>
          </cell>
          <cell r="I297" t="str">
            <v>$VENTES</v>
          </cell>
          <cell r="J297" t="str">
            <v>% P. BRUT</v>
          </cell>
          <cell r="K297" t="str">
            <v>$PROFITS</v>
          </cell>
          <cell r="L297" t="str">
            <v>$VENTES</v>
          </cell>
          <cell r="M297" t="str">
            <v>% P. BRUT</v>
          </cell>
          <cell r="N297" t="str">
            <v>$PROFITS</v>
          </cell>
          <cell r="O297" t="str">
            <v>$VENTES</v>
          </cell>
          <cell r="P297" t="str">
            <v>% P. BRUT</v>
          </cell>
          <cell r="Q297" t="str">
            <v>$PROFITS</v>
          </cell>
          <cell r="R297" t="str">
            <v>$VENTES</v>
          </cell>
          <cell r="S297" t="str">
            <v>% P. BRUT</v>
          </cell>
          <cell r="T297" t="str">
            <v>$PROFITS</v>
          </cell>
          <cell r="U297" t="str">
            <v>$VENTES</v>
          </cell>
          <cell r="V297" t="str">
            <v>% P. BRUT</v>
          </cell>
          <cell r="W297" t="str">
            <v>$PROFITS</v>
          </cell>
          <cell r="X297" t="str">
            <v>$VENTES</v>
          </cell>
          <cell r="Y297" t="str">
            <v>% P. BRUT</v>
          </cell>
          <cell r="Z297" t="str">
            <v>$PROFITS</v>
          </cell>
          <cell r="AA297" t="str">
            <v>$VENTES</v>
          </cell>
          <cell r="AB297" t="str">
            <v>% P. BRUT</v>
          </cell>
          <cell r="AC297" t="str">
            <v>$PROFITS</v>
          </cell>
          <cell r="AD297" t="str">
            <v>$VENTES</v>
          </cell>
          <cell r="AE297" t="str">
            <v>% P. BRUT</v>
          </cell>
          <cell r="AF297" t="str">
            <v>$PROFITS</v>
          </cell>
          <cell r="AG297" t="str">
            <v>$VENTES</v>
          </cell>
          <cell r="AH297" t="str">
            <v>% P. BRUT</v>
          </cell>
          <cell r="AI297" t="str">
            <v>$PROFITS</v>
          </cell>
          <cell r="AJ297" t="str">
            <v>$VENTES</v>
          </cell>
          <cell r="AK297" t="str">
            <v>% P. BRUT</v>
          </cell>
          <cell r="AL297" t="str">
            <v>$PROFITS</v>
          </cell>
          <cell r="AM297" t="str">
            <v>$VENTES</v>
          </cell>
          <cell r="AN297" t="str">
            <v>% P. BRUT</v>
          </cell>
          <cell r="AO297" t="str">
            <v>$PROFITS</v>
          </cell>
        </row>
        <row r="298">
          <cell r="A298" t="str">
            <v>PiècesPièces Ro Clients</v>
          </cell>
          <cell r="B298" t="str">
            <v>Pièces Ro Clients</v>
          </cell>
          <cell r="C298">
            <v>1192011.8199999998</v>
          </cell>
          <cell r="D298">
            <v>0.34520734869894132</v>
          </cell>
          <cell r="E298">
            <v>411491.23999999964</v>
          </cell>
          <cell r="F298">
            <v>82311.17</v>
          </cell>
          <cell r="G298">
            <v>0.34057018020761826</v>
          </cell>
          <cell r="H298">
            <v>28032.729999999901</v>
          </cell>
          <cell r="I298">
            <v>64598.619999999901</v>
          </cell>
          <cell r="J298">
            <v>0.36178280588656592</v>
          </cell>
          <cell r="K298">
            <v>23370.67</v>
          </cell>
          <cell r="L298">
            <v>73697.440000000002</v>
          </cell>
          <cell r="M298">
            <v>0.34372700055795696</v>
          </cell>
          <cell r="N298">
            <v>25331.8</v>
          </cell>
          <cell r="O298">
            <v>103800.09</v>
          </cell>
          <cell r="P298">
            <v>0.31221562524656771</v>
          </cell>
          <cell r="Q298">
            <v>32408.01</v>
          </cell>
          <cell r="R298">
            <v>117803.88</v>
          </cell>
          <cell r="S298">
            <v>0.34810296570876947</v>
          </cell>
          <cell r="T298">
            <v>41007.879999999997</v>
          </cell>
          <cell r="U298">
            <v>105150.77</v>
          </cell>
          <cell r="V298">
            <v>0.35954544127446714</v>
          </cell>
          <cell r="W298">
            <v>37806.480000000003</v>
          </cell>
          <cell r="X298">
            <v>99369.709999999905</v>
          </cell>
          <cell r="Y298">
            <v>0.32475731286727044</v>
          </cell>
          <cell r="Z298">
            <v>32271.039999999899</v>
          </cell>
          <cell r="AA298">
            <v>111273.11</v>
          </cell>
          <cell r="AB298">
            <v>0.33089953179164222</v>
          </cell>
          <cell r="AC298">
            <v>36820.219999999899</v>
          </cell>
          <cell r="AD298">
            <v>89538.52</v>
          </cell>
          <cell r="AE298">
            <v>0.36544048304573268</v>
          </cell>
          <cell r="AF298">
            <v>32721</v>
          </cell>
          <cell r="AG298">
            <v>107277.3</v>
          </cell>
          <cell r="AH298">
            <v>0.33880280357540687</v>
          </cell>
          <cell r="AI298">
            <v>36345.85</v>
          </cell>
          <cell r="AJ298">
            <v>133780.1</v>
          </cell>
          <cell r="AK298">
            <v>0.36223406919265272</v>
          </cell>
          <cell r="AL298">
            <v>48459.71</v>
          </cell>
          <cell r="AM298">
            <v>103411.11</v>
          </cell>
          <cell r="AN298">
            <v>0.35698146939917769</v>
          </cell>
          <cell r="AO298">
            <v>36915.85</v>
          </cell>
        </row>
        <row r="299">
          <cell r="A299" t="str">
            <v>PiècesPièces Ro Carrosserie</v>
          </cell>
          <cell r="B299" t="str">
            <v>Pièces Ro Carrosserie</v>
          </cell>
          <cell r="C299">
            <v>491488.82999999978</v>
          </cell>
          <cell r="D299">
            <v>0.26848209347911273</v>
          </cell>
          <cell r="E299">
            <v>131955.94999999969</v>
          </cell>
          <cell r="F299">
            <v>59143.06</v>
          </cell>
          <cell r="G299">
            <v>0.26266733577870172</v>
          </cell>
          <cell r="H299">
            <v>15534.949999999901</v>
          </cell>
          <cell r="I299">
            <v>50449.97</v>
          </cell>
          <cell r="J299">
            <v>0.25000589693115777</v>
          </cell>
          <cell r="K299">
            <v>12612.79</v>
          </cell>
          <cell r="L299">
            <v>57480.79</v>
          </cell>
          <cell r="M299">
            <v>0.23446041712370341</v>
          </cell>
          <cell r="N299">
            <v>13476.97</v>
          </cell>
          <cell r="O299">
            <v>10030.48</v>
          </cell>
          <cell r="P299">
            <v>0.32753666823521804</v>
          </cell>
          <cell r="Q299">
            <v>3285.3499999999899</v>
          </cell>
          <cell r="R299">
            <v>41761.039999999899</v>
          </cell>
          <cell r="S299">
            <v>0.29395244946006927</v>
          </cell>
          <cell r="T299">
            <v>12275.7599999999</v>
          </cell>
          <cell r="U299">
            <v>37089.9399999999</v>
          </cell>
          <cell r="V299">
            <v>0.27931913613232934</v>
          </cell>
          <cell r="W299">
            <v>10359.9299999999</v>
          </cell>
          <cell r="X299">
            <v>50553.47</v>
          </cell>
          <cell r="Y299">
            <v>0.28681235927029342</v>
          </cell>
          <cell r="Z299">
            <v>14499.36</v>
          </cell>
          <cell r="AA299">
            <v>60727.46</v>
          </cell>
          <cell r="AB299">
            <v>0.27616501661686493</v>
          </cell>
          <cell r="AC299">
            <v>16770.8</v>
          </cell>
          <cell r="AD299">
            <v>23887.27</v>
          </cell>
          <cell r="AE299">
            <v>0.30739469181702217</v>
          </cell>
          <cell r="AF299">
            <v>7342.82</v>
          </cell>
          <cell r="AG299">
            <v>40000.519999999997</v>
          </cell>
          <cell r="AH299">
            <v>0.26120960427514445</v>
          </cell>
          <cell r="AI299">
            <v>10448.52</v>
          </cell>
          <cell r="AJ299">
            <v>36556.910000000003</v>
          </cell>
          <cell r="AK299">
            <v>0.24894773655650873</v>
          </cell>
          <cell r="AL299">
            <v>9100.76</v>
          </cell>
          <cell r="AM299">
            <v>23807.919999999998</v>
          </cell>
          <cell r="AN299">
            <v>0.26243115736275996</v>
          </cell>
          <cell r="AO299">
            <v>6247.94</v>
          </cell>
        </row>
        <row r="300">
          <cell r="A300" t="str">
            <v>PiècesP/A Garantie</v>
          </cell>
          <cell r="B300" t="str">
            <v>P/A Garantie</v>
          </cell>
          <cell r="C300">
            <v>511332.57000000007</v>
          </cell>
          <cell r="D300">
            <v>0.23452922234153767</v>
          </cell>
          <cell r="E300">
            <v>119922.42999999989</v>
          </cell>
          <cell r="F300">
            <v>33190.080000000002</v>
          </cell>
          <cell r="G300">
            <v>0.25104157627821322</v>
          </cell>
          <cell r="H300">
            <v>8332.09</v>
          </cell>
          <cell r="I300">
            <v>39666.25</v>
          </cell>
          <cell r="J300">
            <v>0.23944638073929322</v>
          </cell>
          <cell r="K300">
            <v>9497.9399999999896</v>
          </cell>
          <cell r="L300">
            <v>26875.99</v>
          </cell>
          <cell r="M300">
            <v>0.25785617571668989</v>
          </cell>
          <cell r="N300">
            <v>6930.14</v>
          </cell>
          <cell r="O300">
            <v>50247.839999999997</v>
          </cell>
          <cell r="P300">
            <v>0.24430383475189979</v>
          </cell>
          <cell r="Q300">
            <v>12275.7399999999</v>
          </cell>
          <cell r="R300">
            <v>17870.95</v>
          </cell>
          <cell r="S300">
            <v>0.23867169904230048</v>
          </cell>
          <cell r="T300">
            <v>4265.29</v>
          </cell>
          <cell r="U300">
            <v>21374.01</v>
          </cell>
          <cell r="V300">
            <v>0.24063102805697154</v>
          </cell>
          <cell r="W300">
            <v>5143.24999999999</v>
          </cell>
          <cell r="X300">
            <v>47223.46</v>
          </cell>
          <cell r="Y300">
            <v>0.2315844709388088</v>
          </cell>
          <cell r="Z300">
            <v>10936.22</v>
          </cell>
          <cell r="AA300">
            <v>81262.460000000006</v>
          </cell>
          <cell r="AB300">
            <v>0.23106524217947622</v>
          </cell>
          <cell r="AC300">
            <v>18776.93</v>
          </cell>
          <cell r="AD300">
            <v>58707.55</v>
          </cell>
          <cell r="AE300">
            <v>0.2316078596364522</v>
          </cell>
          <cell r="AF300">
            <v>13597.13</v>
          </cell>
          <cell r="AG300">
            <v>40743.97</v>
          </cell>
          <cell r="AH300">
            <v>0.25411318533760946</v>
          </cell>
          <cell r="AI300">
            <v>10353.58</v>
          </cell>
          <cell r="AJ300">
            <v>27809.93</v>
          </cell>
          <cell r="AK300">
            <v>0.1430377566574238</v>
          </cell>
          <cell r="AL300">
            <v>3977.8699999999899</v>
          </cell>
          <cell r="AM300">
            <v>66360.08</v>
          </cell>
          <cell r="AN300">
            <v>0.23864121321131621</v>
          </cell>
          <cell r="AO300">
            <v>15836.25</v>
          </cell>
        </row>
        <row r="301">
          <cell r="A301" t="str">
            <v>PiècesVentes Internes</v>
          </cell>
          <cell r="B301" t="str">
            <v>Ventes Internes</v>
          </cell>
          <cell r="C301">
            <v>481751.80000000005</v>
          </cell>
          <cell r="D301">
            <v>0.30924150153668339</v>
          </cell>
          <cell r="E301">
            <v>148977.65</v>
          </cell>
          <cell r="F301">
            <v>28194.25</v>
          </cell>
          <cell r="G301">
            <v>0.32791934525656791</v>
          </cell>
          <cell r="H301">
            <v>9245.4399999999896</v>
          </cell>
          <cell r="I301">
            <v>28846.63</v>
          </cell>
          <cell r="J301">
            <v>0.30991592432114257</v>
          </cell>
          <cell r="K301">
            <v>8940.0300000000007</v>
          </cell>
          <cell r="L301">
            <v>32999.22</v>
          </cell>
          <cell r="M301">
            <v>0.29415968013789418</v>
          </cell>
          <cell r="N301">
            <v>9707.0400000000009</v>
          </cell>
          <cell r="O301">
            <v>24960.95</v>
          </cell>
          <cell r="P301">
            <v>0.31938207480083891</v>
          </cell>
          <cell r="Q301">
            <v>7972.08</v>
          </cell>
          <cell r="R301">
            <v>35439.96</v>
          </cell>
          <cell r="S301">
            <v>0.34078368034275436</v>
          </cell>
          <cell r="T301">
            <v>12077.36</v>
          </cell>
          <cell r="U301">
            <v>33715.69</v>
          </cell>
          <cell r="V301">
            <v>0.30651308040855751</v>
          </cell>
          <cell r="W301">
            <v>10334.299999999999</v>
          </cell>
          <cell r="X301">
            <v>49052.26</v>
          </cell>
          <cell r="Y301">
            <v>0.31003097512734373</v>
          </cell>
          <cell r="Z301">
            <v>15207.72</v>
          </cell>
          <cell r="AA301">
            <v>35747.19</v>
          </cell>
          <cell r="AB301">
            <v>0.33819749188677489</v>
          </cell>
          <cell r="AC301">
            <v>12089.61</v>
          </cell>
          <cell r="AD301">
            <v>47172.79</v>
          </cell>
          <cell r="AE301">
            <v>0.32062678505977704</v>
          </cell>
          <cell r="AF301">
            <v>15124.86</v>
          </cell>
          <cell r="AG301">
            <v>56008.65</v>
          </cell>
          <cell r="AH301">
            <v>0.29652598304011968</v>
          </cell>
          <cell r="AI301">
            <v>16608.02</v>
          </cell>
          <cell r="AJ301">
            <v>67622.210000000006</v>
          </cell>
          <cell r="AK301">
            <v>0.28324288721116919</v>
          </cell>
          <cell r="AL301">
            <v>19153.509999999998</v>
          </cell>
          <cell r="AM301">
            <v>41992</v>
          </cell>
          <cell r="AN301">
            <v>0.29809678033911224</v>
          </cell>
          <cell r="AO301">
            <v>12517.68</v>
          </cell>
        </row>
        <row r="302">
          <cell r="A302" t="str">
            <v>PiècesVentes Détails</v>
          </cell>
          <cell r="B302" t="str">
            <v>Ventes Détails</v>
          </cell>
          <cell r="C302">
            <v>207516.24000000002</v>
          </cell>
          <cell r="D302">
            <v>0.25799672353354103</v>
          </cell>
          <cell r="E302">
            <v>53538.509999999958</v>
          </cell>
          <cell r="F302">
            <v>17577.66</v>
          </cell>
          <cell r="G302">
            <v>0.30386240261786834</v>
          </cell>
          <cell r="H302">
            <v>5341.19</v>
          </cell>
          <cell r="I302">
            <v>16153.13</v>
          </cell>
          <cell r="J302">
            <v>0.26057859993697818</v>
          </cell>
          <cell r="K302">
            <v>4209.16</v>
          </cell>
          <cell r="L302">
            <v>21105.759999999998</v>
          </cell>
          <cell r="M302">
            <v>0.24661135159311914</v>
          </cell>
          <cell r="N302">
            <v>5204.9199999999901</v>
          </cell>
          <cell r="O302">
            <v>19409.09</v>
          </cell>
          <cell r="P302">
            <v>0.26700582046865673</v>
          </cell>
          <cell r="Q302">
            <v>5182.34</v>
          </cell>
          <cell r="R302">
            <v>18968.09</v>
          </cell>
          <cell r="S302">
            <v>0.26662357675443338</v>
          </cell>
          <cell r="T302">
            <v>5057.34</v>
          </cell>
          <cell r="U302">
            <v>14407.53</v>
          </cell>
          <cell r="V302">
            <v>0.28317553390484002</v>
          </cell>
          <cell r="W302">
            <v>4079.86</v>
          </cell>
          <cell r="X302">
            <v>18843.27</v>
          </cell>
          <cell r="Y302">
            <v>0.21975909701447782</v>
          </cell>
          <cell r="Z302">
            <v>4140.9799999999996</v>
          </cell>
          <cell r="AA302">
            <v>13071.21</v>
          </cell>
          <cell r="AB302">
            <v>0.2633015612173617</v>
          </cell>
          <cell r="AC302">
            <v>3441.6699999999901</v>
          </cell>
          <cell r="AD302">
            <v>14154.98</v>
          </cell>
          <cell r="AE302">
            <v>0.26499154361221211</v>
          </cell>
          <cell r="AF302">
            <v>3750.9499999999898</v>
          </cell>
          <cell r="AG302">
            <v>16941.57</v>
          </cell>
          <cell r="AH302">
            <v>0.22296929977564003</v>
          </cell>
          <cell r="AI302">
            <v>3777.4499999999898</v>
          </cell>
          <cell r="AJ302">
            <v>22817.25</v>
          </cell>
          <cell r="AK302">
            <v>0.23199027051901522</v>
          </cell>
          <cell r="AL302">
            <v>5293.38</v>
          </cell>
          <cell r="AM302">
            <v>14066.7</v>
          </cell>
          <cell r="AN302">
            <v>0.28857301286015907</v>
          </cell>
          <cell r="AO302">
            <v>4059.27</v>
          </cell>
        </row>
        <row r="303">
          <cell r="A303" t="str">
            <v>PiècesVentes de Gros</v>
          </cell>
          <cell r="B303" t="str">
            <v>Ventes de Gros</v>
          </cell>
          <cell r="C303">
            <v>1486540.9599999997</v>
          </cell>
          <cell r="D303">
            <v>0.17803058046917147</v>
          </cell>
          <cell r="E303">
            <v>264649.74999999936</v>
          </cell>
          <cell r="F303">
            <v>126239.13</v>
          </cell>
          <cell r="G303">
            <v>0.18811694915831564</v>
          </cell>
          <cell r="H303">
            <v>23747.72</v>
          </cell>
          <cell r="I303">
            <v>124967.5</v>
          </cell>
          <cell r="J303">
            <v>0.19190637565767019</v>
          </cell>
          <cell r="K303">
            <v>23982.059999999899</v>
          </cell>
          <cell r="L303">
            <v>145372.95000000001</v>
          </cell>
          <cell r="M303">
            <v>0.1869029279518645</v>
          </cell>
          <cell r="N303">
            <v>27170.63</v>
          </cell>
          <cell r="O303">
            <v>110639.22</v>
          </cell>
          <cell r="P303">
            <v>0.1786696435495469</v>
          </cell>
          <cell r="Q303">
            <v>19767.869999999901</v>
          </cell>
          <cell r="R303">
            <v>131455.94</v>
          </cell>
          <cell r="S303">
            <v>0.18220355808950134</v>
          </cell>
          <cell r="T303">
            <v>23951.74</v>
          </cell>
          <cell r="U303">
            <v>105345.60000000001</v>
          </cell>
          <cell r="V303">
            <v>0.18486533846691269</v>
          </cell>
          <cell r="W303">
            <v>19474.75</v>
          </cell>
          <cell r="X303">
            <v>133684.29999999999</v>
          </cell>
          <cell r="Y303">
            <v>0.18301662947705827</v>
          </cell>
          <cell r="Z303">
            <v>24466.449999999899</v>
          </cell>
          <cell r="AA303">
            <v>114010.97</v>
          </cell>
          <cell r="AB303">
            <v>0.18489790938538633</v>
          </cell>
          <cell r="AC303">
            <v>21080.39</v>
          </cell>
          <cell r="AD303">
            <v>124254.39</v>
          </cell>
          <cell r="AE303">
            <v>0.17551951283169875</v>
          </cell>
          <cell r="AF303">
            <v>21809.069999999901</v>
          </cell>
          <cell r="AG303">
            <v>137780.70000000001</v>
          </cell>
          <cell r="AH303">
            <v>0.16951067892672919</v>
          </cell>
          <cell r="AI303">
            <v>23355.3</v>
          </cell>
          <cell r="AJ303">
            <v>123520.37</v>
          </cell>
          <cell r="AK303">
            <v>0.17072520103364247</v>
          </cell>
          <cell r="AL303">
            <v>21088.039999999899</v>
          </cell>
          <cell r="AM303">
            <v>109269.89</v>
          </cell>
          <cell r="AN303">
            <v>0.13503930497230207</v>
          </cell>
          <cell r="AO303">
            <v>14755.7299999999</v>
          </cell>
        </row>
        <row r="304">
          <cell r="A304" t="str">
            <v>Pièces[...]</v>
          </cell>
          <cell r="B304" t="str">
            <v>[...]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</row>
        <row r="305">
          <cell r="A305" t="str">
            <v>PiècesEscomptes</v>
          </cell>
          <cell r="B305" t="str">
            <v>Escomptes</v>
          </cell>
          <cell r="C305">
            <v>0</v>
          </cell>
          <cell r="D305">
            <v>0</v>
          </cell>
          <cell r="E305">
            <v>107117.11999999988</v>
          </cell>
          <cell r="F305">
            <v>0</v>
          </cell>
          <cell r="G305">
            <v>0</v>
          </cell>
          <cell r="H305">
            <v>5742.52</v>
          </cell>
          <cell r="I305">
            <v>0</v>
          </cell>
          <cell r="J305">
            <v>0</v>
          </cell>
          <cell r="K305">
            <v>7516.7999999999902</v>
          </cell>
          <cell r="L305">
            <v>0</v>
          </cell>
          <cell r="M305">
            <v>0</v>
          </cell>
          <cell r="N305">
            <v>9182.9</v>
          </cell>
          <cell r="O305">
            <v>0</v>
          </cell>
          <cell r="P305">
            <v>0</v>
          </cell>
          <cell r="Q305">
            <v>13912.76</v>
          </cell>
          <cell r="R305">
            <v>0</v>
          </cell>
          <cell r="S305">
            <v>0</v>
          </cell>
          <cell r="T305">
            <v>8490.4599999999991</v>
          </cell>
          <cell r="U305">
            <v>0</v>
          </cell>
          <cell r="V305">
            <v>0</v>
          </cell>
          <cell r="W305">
            <v>7973.19</v>
          </cell>
          <cell r="X305">
            <v>0</v>
          </cell>
          <cell r="Y305">
            <v>0</v>
          </cell>
          <cell r="Z305">
            <v>7131.57</v>
          </cell>
          <cell r="AA305">
            <v>0</v>
          </cell>
          <cell r="AB305">
            <v>0</v>
          </cell>
          <cell r="AC305">
            <v>4366.2299999999996</v>
          </cell>
          <cell r="AD305">
            <v>0</v>
          </cell>
          <cell r="AE305">
            <v>0</v>
          </cell>
          <cell r="AF305">
            <v>8499.4599999999991</v>
          </cell>
          <cell r="AG305">
            <v>0</v>
          </cell>
          <cell r="AH305">
            <v>0</v>
          </cell>
          <cell r="AI305">
            <v>5777.25</v>
          </cell>
          <cell r="AJ305">
            <v>0</v>
          </cell>
          <cell r="AK305">
            <v>0</v>
          </cell>
          <cell r="AL305">
            <v>18021.03</v>
          </cell>
          <cell r="AM305">
            <v>0</v>
          </cell>
          <cell r="AN305">
            <v>0</v>
          </cell>
          <cell r="AO305">
            <v>10502.949999999901</v>
          </cell>
        </row>
        <row r="306">
          <cell r="A306" t="str">
            <v>PiècesRectif. Inventaire</v>
          </cell>
          <cell r="B306" t="str">
            <v>Rectif. Inventaire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</row>
        <row r="307">
          <cell r="A307" t="str">
            <v>PiècesSous-total Pièces</v>
          </cell>
          <cell r="B307" t="str">
            <v>Sous-total Pièces</v>
          </cell>
          <cell r="C307">
            <v>4370642.22</v>
          </cell>
          <cell r="D307">
            <v>0.28317409380628705</v>
          </cell>
          <cell r="E307">
            <v>1237652.6499999985</v>
          </cell>
          <cell r="F307">
            <v>346655.35</v>
          </cell>
          <cell r="G307">
            <v>0.27686473034384096</v>
          </cell>
          <cell r="H307">
            <v>95976.639999999796</v>
          </cell>
          <cell r="I307">
            <v>324682.09999999992</v>
          </cell>
          <cell r="J307">
            <v>0.2775929131910872</v>
          </cell>
          <cell r="K307">
            <v>90129.449999999866</v>
          </cell>
          <cell r="L307">
            <v>357532.15</v>
          </cell>
          <cell r="M307">
            <v>0.27131657950201116</v>
          </cell>
          <cell r="N307">
            <v>97004.39999999998</v>
          </cell>
          <cell r="O307">
            <v>319087.67</v>
          </cell>
          <cell r="P307">
            <v>0.29711003875517905</v>
          </cell>
          <cell r="Q307">
            <v>94804.149999999776</v>
          </cell>
          <cell r="R307">
            <v>363299.85999999987</v>
          </cell>
          <cell r="S307">
            <v>0.29486889975680125</v>
          </cell>
          <cell r="T307">
            <v>107125.8299999999</v>
          </cell>
          <cell r="U307">
            <v>317083.53999999992</v>
          </cell>
          <cell r="V307">
            <v>0.30014727349139575</v>
          </cell>
          <cell r="W307">
            <v>95171.759999999893</v>
          </cell>
          <cell r="X307">
            <v>398726.46999999991</v>
          </cell>
          <cell r="Y307">
            <v>0.27250094532224012</v>
          </cell>
          <cell r="Z307">
            <v>108653.33999999979</v>
          </cell>
          <cell r="AA307">
            <v>416092.4</v>
          </cell>
          <cell r="AB307">
            <v>0.27240548012893256</v>
          </cell>
          <cell r="AC307">
            <v>113345.84999999987</v>
          </cell>
          <cell r="AD307">
            <v>357715.50000000006</v>
          </cell>
          <cell r="AE307">
            <v>0.28750582515993822</v>
          </cell>
          <cell r="AF307">
            <v>102845.28999999989</v>
          </cell>
          <cell r="AG307">
            <v>398752.71</v>
          </cell>
          <cell r="AH307">
            <v>0.26749904721650664</v>
          </cell>
          <cell r="AI307">
            <v>106665.96999999999</v>
          </cell>
          <cell r="AJ307">
            <v>412106.77</v>
          </cell>
          <cell r="AK307">
            <v>0.30354827706421783</v>
          </cell>
          <cell r="AL307">
            <v>125094.2999999999</v>
          </cell>
          <cell r="AM307">
            <v>358907.7</v>
          </cell>
          <cell r="AN307">
            <v>0.28095153712221776</v>
          </cell>
          <cell r="AO307">
            <v>100835.66999999979</v>
          </cell>
        </row>
        <row r="308">
          <cell r="A308" t="str">
            <v>Pièces</v>
          </cell>
        </row>
        <row r="309">
          <cell r="A309" t="str">
            <v>Pièces</v>
          </cell>
        </row>
        <row r="310">
          <cell r="A310" t="str">
            <v>PiècesVentes Pneus</v>
          </cell>
          <cell r="B310" t="str">
            <v>Ventes Pneus</v>
          </cell>
          <cell r="C310">
            <v>553066.79999999993</v>
          </cell>
          <cell r="D310">
            <v>0.17961251696901703</v>
          </cell>
          <cell r="E310">
            <v>99337.719999999943</v>
          </cell>
          <cell r="F310">
            <v>30592.2399999999</v>
          </cell>
          <cell r="G310">
            <v>0.19904818999850976</v>
          </cell>
          <cell r="H310">
            <v>6089.3299999999899</v>
          </cell>
          <cell r="I310">
            <v>41997.53</v>
          </cell>
          <cell r="J310">
            <v>0.18267050467015536</v>
          </cell>
          <cell r="K310">
            <v>7671.70999999999</v>
          </cell>
          <cell r="L310">
            <v>41663.86</v>
          </cell>
          <cell r="M310">
            <v>0.16266375703067357</v>
          </cell>
          <cell r="N310">
            <v>6777.2</v>
          </cell>
          <cell r="O310">
            <v>30345.22</v>
          </cell>
          <cell r="P310">
            <v>0.16760069625463253</v>
          </cell>
          <cell r="Q310">
            <v>5085.88</v>
          </cell>
          <cell r="R310">
            <v>35494.959999999999</v>
          </cell>
          <cell r="S310">
            <v>0.19044309389276648</v>
          </cell>
          <cell r="T310">
            <v>6759.7699999999904</v>
          </cell>
          <cell r="U310">
            <v>19732.46</v>
          </cell>
          <cell r="V310">
            <v>0.19391348063039227</v>
          </cell>
          <cell r="W310">
            <v>3826.3899999999899</v>
          </cell>
          <cell r="X310">
            <v>17144.36</v>
          </cell>
          <cell r="Y310">
            <v>0.20076806599954736</v>
          </cell>
          <cell r="Z310">
            <v>3442.04</v>
          </cell>
          <cell r="AA310">
            <v>17683.11</v>
          </cell>
          <cell r="AB310">
            <v>0.18873094155948811</v>
          </cell>
          <cell r="AC310">
            <v>3337.35</v>
          </cell>
          <cell r="AD310">
            <v>31339.7</v>
          </cell>
          <cell r="AE310">
            <v>0.18025252315752832</v>
          </cell>
          <cell r="AF310">
            <v>5649.0599999999904</v>
          </cell>
          <cell r="AG310">
            <v>77932.36</v>
          </cell>
          <cell r="AH310">
            <v>0.1819295604547328</v>
          </cell>
          <cell r="AI310">
            <v>14178.2</v>
          </cell>
          <cell r="AJ310">
            <v>150650.59</v>
          </cell>
          <cell r="AK310">
            <v>0.17327439607106748</v>
          </cell>
          <cell r="AL310">
            <v>26103.89</v>
          </cell>
          <cell r="AM310">
            <v>58490.41</v>
          </cell>
          <cell r="AN310">
            <v>0.17809586221057433</v>
          </cell>
          <cell r="AO310">
            <v>10416.9</v>
          </cell>
        </row>
        <row r="311">
          <cell r="A311" t="str">
            <v>PiècesHuiles et Graisse</v>
          </cell>
          <cell r="B311" t="str">
            <v>Huiles et Graisse</v>
          </cell>
          <cell r="C311">
            <v>268549.64999999997</v>
          </cell>
          <cell r="D311">
            <v>0.24732212460526376</v>
          </cell>
          <cell r="E311">
            <v>66418.26999999996</v>
          </cell>
          <cell r="F311">
            <v>19043.990000000002</v>
          </cell>
          <cell r="G311">
            <v>0.26548270609257829</v>
          </cell>
          <cell r="H311">
            <v>5055.8500000000004</v>
          </cell>
          <cell r="I311">
            <v>16201.81</v>
          </cell>
          <cell r="J311">
            <v>0.28618839500031112</v>
          </cell>
          <cell r="K311">
            <v>4636.7699999999904</v>
          </cell>
          <cell r="L311">
            <v>18457.419999999998</v>
          </cell>
          <cell r="M311">
            <v>0.27123400778656986</v>
          </cell>
          <cell r="N311">
            <v>5006.2799999999897</v>
          </cell>
          <cell r="O311">
            <v>23693.71</v>
          </cell>
          <cell r="P311">
            <v>0.25796593273066948</v>
          </cell>
          <cell r="Q311">
            <v>6112.1699999999901</v>
          </cell>
          <cell r="R311">
            <v>26037.82</v>
          </cell>
          <cell r="S311">
            <v>0.26885891368785869</v>
          </cell>
          <cell r="T311">
            <v>7000.5</v>
          </cell>
          <cell r="U311">
            <v>21141.68</v>
          </cell>
          <cell r="V311">
            <v>0.24924603910379872</v>
          </cell>
          <cell r="W311">
            <v>5269.48</v>
          </cell>
          <cell r="X311">
            <v>23063.49</v>
          </cell>
          <cell r="Y311">
            <v>0.25688479930834401</v>
          </cell>
          <cell r="Z311">
            <v>5924.66</v>
          </cell>
          <cell r="AA311">
            <v>19868.830000000002</v>
          </cell>
          <cell r="AB311">
            <v>0.22414757184997808</v>
          </cell>
          <cell r="AC311">
            <v>4453.55</v>
          </cell>
          <cell r="AD311">
            <v>19956.650000000001</v>
          </cell>
          <cell r="AE311">
            <v>0.21938401485219211</v>
          </cell>
          <cell r="AF311">
            <v>4378.17</v>
          </cell>
          <cell r="AG311">
            <v>26618.27</v>
          </cell>
          <cell r="AH311">
            <v>0.21983885504204442</v>
          </cell>
          <cell r="AI311">
            <v>5851.73</v>
          </cell>
          <cell r="AJ311">
            <v>34386.25</v>
          </cell>
          <cell r="AK311">
            <v>0.23183917990475844</v>
          </cell>
          <cell r="AL311">
            <v>7972.08</v>
          </cell>
          <cell r="AM311">
            <v>20079.73</v>
          </cell>
          <cell r="AN311">
            <v>0.2369070699655817</v>
          </cell>
          <cell r="AO311">
            <v>4757.0299999999897</v>
          </cell>
        </row>
        <row r="312">
          <cell r="A312" t="str">
            <v>PiècesSous-total Pièces et Acc.</v>
          </cell>
          <cell r="B312" t="str">
            <v>Sous-total Pièces et Acc.</v>
          </cell>
          <cell r="C312">
            <v>5192258.67</v>
          </cell>
          <cell r="D312">
            <v>0.27028866032978255</v>
          </cell>
          <cell r="E312">
            <v>1403408.6399999985</v>
          </cell>
          <cell r="F312">
            <v>396291.57999999984</v>
          </cell>
          <cell r="G312">
            <v>0.27031061321060579</v>
          </cell>
          <cell r="H312">
            <v>107121.81999999979</v>
          </cell>
          <cell r="I312">
            <v>382881.43999999989</v>
          </cell>
          <cell r="J312">
            <v>0.26754477835227497</v>
          </cell>
          <cell r="K312">
            <v>102437.92999999985</v>
          </cell>
          <cell r="L312">
            <v>417653.43</v>
          </cell>
          <cell r="M312">
            <v>0.2604740490219366</v>
          </cell>
          <cell r="N312">
            <v>108787.87999999996</v>
          </cell>
          <cell r="O312">
            <v>373126.60000000003</v>
          </cell>
          <cell r="P312">
            <v>0.28409178010894898</v>
          </cell>
          <cell r="Q312">
            <v>106002.19999999976</v>
          </cell>
          <cell r="R312">
            <v>424832.6399999999</v>
          </cell>
          <cell r="S312">
            <v>0.28454993476960694</v>
          </cell>
          <cell r="T312">
            <v>120886.09999999989</v>
          </cell>
          <cell r="U312">
            <v>357957.67999999993</v>
          </cell>
          <cell r="V312">
            <v>0.29128479657148265</v>
          </cell>
          <cell r="W312">
            <v>104267.62999999987</v>
          </cell>
          <cell r="X312">
            <v>438934.31999999989</v>
          </cell>
          <cell r="Y312">
            <v>0.26887858757547101</v>
          </cell>
          <cell r="Z312">
            <v>118020.03999999979</v>
          </cell>
          <cell r="AA312">
            <v>453644.34</v>
          </cell>
          <cell r="AB312">
            <v>0.26703022460282405</v>
          </cell>
          <cell r="AC312">
            <v>121136.74999999988</v>
          </cell>
          <cell r="AD312">
            <v>409011.85000000009</v>
          </cell>
          <cell r="AE312">
            <v>0.27596393600821068</v>
          </cell>
          <cell r="AF312">
            <v>112872.51999999989</v>
          </cell>
          <cell r="AG312">
            <v>503303.34</v>
          </cell>
          <cell r="AH312">
            <v>0.2517287089730022</v>
          </cell>
          <cell r="AI312">
            <v>126695.89999999998</v>
          </cell>
          <cell r="AJ312">
            <v>597143.61</v>
          </cell>
          <cell r="AK312">
            <v>0.26655274767153564</v>
          </cell>
          <cell r="AL312">
            <v>159170.26999999987</v>
          </cell>
          <cell r="AM312">
            <v>437477.83999999997</v>
          </cell>
          <cell r="AN312">
            <v>0.26517823165625892</v>
          </cell>
          <cell r="AO312">
            <v>116009.59999999977</v>
          </cell>
        </row>
        <row r="313">
          <cell r="A313" t="str">
            <v>Pièces</v>
          </cell>
        </row>
        <row r="314">
          <cell r="A314" t="str">
            <v>PiècesPièces recond. MCPA</v>
          </cell>
          <cell r="B314" t="str">
            <v>Pièces recond. MCPA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</row>
        <row r="315">
          <cell r="A315" t="str">
            <v>PiècesAutostock</v>
          </cell>
          <cell r="B315" t="str">
            <v>Autostock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</row>
        <row r="316">
          <cell r="A316" t="str">
            <v>Pièces</v>
          </cell>
        </row>
        <row r="317">
          <cell r="A317" t="str">
            <v>PiècesTotal Dépt. Pièces</v>
          </cell>
          <cell r="B317" t="str">
            <v>Total Dépt. Pièces</v>
          </cell>
          <cell r="C317">
            <v>5192258.67</v>
          </cell>
          <cell r="D317">
            <v>0.27028866032978255</v>
          </cell>
          <cell r="E317">
            <v>1403408.6399999985</v>
          </cell>
          <cell r="F317">
            <v>396291.57999999984</v>
          </cell>
          <cell r="G317">
            <v>0.27031061321060579</v>
          </cell>
          <cell r="H317">
            <v>107121.81999999979</v>
          </cell>
          <cell r="I317">
            <v>382881.43999999989</v>
          </cell>
          <cell r="J317">
            <v>0.26754477835227497</v>
          </cell>
          <cell r="K317">
            <v>102437.92999999985</v>
          </cell>
          <cell r="L317">
            <v>417653.43</v>
          </cell>
          <cell r="M317">
            <v>0.2604740490219366</v>
          </cell>
          <cell r="N317">
            <v>108787.87999999996</v>
          </cell>
          <cell r="O317">
            <v>373126.60000000003</v>
          </cell>
          <cell r="P317">
            <v>0.28409178010894898</v>
          </cell>
          <cell r="Q317">
            <v>106002.19999999976</v>
          </cell>
          <cell r="R317">
            <v>424832.6399999999</v>
          </cell>
          <cell r="S317">
            <v>0.28454993476960694</v>
          </cell>
          <cell r="T317">
            <v>120886.09999999989</v>
          </cell>
          <cell r="U317">
            <v>357957.67999999993</v>
          </cell>
          <cell r="V317">
            <v>0.29128479657148265</v>
          </cell>
          <cell r="W317">
            <v>104267.62999999987</v>
          </cell>
          <cell r="X317">
            <v>438934.31999999989</v>
          </cell>
          <cell r="Y317">
            <v>0.26887858757547101</v>
          </cell>
          <cell r="Z317">
            <v>118020.03999999979</v>
          </cell>
          <cell r="AA317">
            <v>453644.34</v>
          </cell>
          <cell r="AB317">
            <v>0.26703022460282405</v>
          </cell>
          <cell r="AC317">
            <v>121136.74999999988</v>
          </cell>
          <cell r="AD317">
            <v>409011.85000000009</v>
          </cell>
          <cell r="AE317">
            <v>0.27596393600821068</v>
          </cell>
          <cell r="AF317">
            <v>112872.51999999989</v>
          </cell>
          <cell r="AG317">
            <v>503303.34</v>
          </cell>
          <cell r="AH317">
            <v>0.2517287089730022</v>
          </cell>
          <cell r="AI317">
            <v>126695.89999999998</v>
          </cell>
          <cell r="AJ317">
            <v>597143.61</v>
          </cell>
          <cell r="AK317">
            <v>0.26655274767153564</v>
          </cell>
          <cell r="AL317">
            <v>159170.26999999987</v>
          </cell>
          <cell r="AM317">
            <v>437477.83999999997</v>
          </cell>
          <cell r="AN317">
            <v>0.26517823165625892</v>
          </cell>
          <cell r="AO317">
            <v>116009.59999999977</v>
          </cell>
        </row>
        <row r="318">
          <cell r="A318" t="str">
            <v>Pièces</v>
          </cell>
        </row>
        <row r="319">
          <cell r="A319" t="str">
            <v>Pièces</v>
          </cell>
        </row>
        <row r="320">
          <cell r="A320" t="str">
            <v>PiècesDEPENSES</v>
          </cell>
          <cell r="B320" t="str">
            <v>DEPENSES</v>
          </cell>
        </row>
        <row r="321">
          <cell r="A321" t="str">
            <v>PiècesSalaires cadres</v>
          </cell>
          <cell r="B321" t="str">
            <v>Salaires cadres</v>
          </cell>
          <cell r="E321">
            <v>84682.14</v>
          </cell>
          <cell r="H321">
            <v>5210.5200000000004</v>
          </cell>
          <cell r="K321">
            <v>7237.23</v>
          </cell>
          <cell r="N321">
            <v>7222.04</v>
          </cell>
          <cell r="Q321">
            <v>6557.1</v>
          </cell>
          <cell r="T321">
            <v>6312.13</v>
          </cell>
          <cell r="W321">
            <v>7430.53</v>
          </cell>
          <cell r="Z321">
            <v>7410.88</v>
          </cell>
          <cell r="AC321">
            <v>8034.1</v>
          </cell>
          <cell r="AF321">
            <v>3331.7</v>
          </cell>
          <cell r="AI321">
            <v>3701.53</v>
          </cell>
          <cell r="AL321">
            <v>10881.83</v>
          </cell>
          <cell r="AO321">
            <v>11352.55</v>
          </cell>
        </row>
        <row r="322">
          <cell r="A322" t="str">
            <v>PiècesSalaires commis</v>
          </cell>
          <cell r="B322" t="str">
            <v>Salaires commis</v>
          </cell>
          <cell r="E322">
            <v>294172.55</v>
          </cell>
          <cell r="H322">
            <v>24614.9</v>
          </cell>
          <cell r="K322">
            <v>23775.67</v>
          </cell>
          <cell r="N322">
            <v>25892.82</v>
          </cell>
          <cell r="Q322">
            <v>23228.23</v>
          </cell>
          <cell r="T322">
            <v>26693.7</v>
          </cell>
          <cell r="W322">
            <v>24203.71</v>
          </cell>
          <cell r="Z322">
            <v>21961.89</v>
          </cell>
          <cell r="AC322">
            <v>19684.650000000001</v>
          </cell>
          <cell r="AF322">
            <v>30206.06</v>
          </cell>
          <cell r="AI322">
            <v>22126.37</v>
          </cell>
          <cell r="AL322">
            <v>26228.09</v>
          </cell>
          <cell r="AO322">
            <v>25556.46</v>
          </cell>
        </row>
        <row r="323">
          <cell r="A323" t="str">
            <v>PiècesSalaires autres</v>
          </cell>
          <cell r="B323" t="str">
            <v>Salaires autres</v>
          </cell>
          <cell r="E323">
            <v>15780.18</v>
          </cell>
          <cell r="H323">
            <v>1040.52</v>
          </cell>
          <cell r="K323">
            <v>113.92</v>
          </cell>
          <cell r="N323">
            <v>113.92</v>
          </cell>
          <cell r="Q323">
            <v>2573.29</v>
          </cell>
          <cell r="T323">
            <v>113.92</v>
          </cell>
          <cell r="W323">
            <v>1521.99</v>
          </cell>
          <cell r="Z323">
            <v>248.16</v>
          </cell>
          <cell r="AC323">
            <v>113.92</v>
          </cell>
          <cell r="AF323">
            <v>2264.56</v>
          </cell>
          <cell r="AI323">
            <v>3676.64</v>
          </cell>
          <cell r="AL323">
            <v>113.92</v>
          </cell>
          <cell r="AO323">
            <v>3885.42</v>
          </cell>
        </row>
        <row r="324">
          <cell r="A324" t="str">
            <v>PiècesSalaires spécialistes</v>
          </cell>
          <cell r="B324" t="str">
            <v>Salaires spécialistes</v>
          </cell>
          <cell r="E324">
            <v>0</v>
          </cell>
          <cell r="H324">
            <v>0</v>
          </cell>
          <cell r="K324">
            <v>0</v>
          </cell>
          <cell r="N324">
            <v>0</v>
          </cell>
          <cell r="Q324">
            <v>0</v>
          </cell>
          <cell r="T324">
            <v>0</v>
          </cell>
          <cell r="W324">
            <v>0</v>
          </cell>
          <cell r="Z324">
            <v>0</v>
          </cell>
          <cell r="AC324">
            <v>0</v>
          </cell>
          <cell r="AF324">
            <v>0</v>
          </cell>
          <cell r="AI324">
            <v>0</v>
          </cell>
          <cell r="AL324">
            <v>0</v>
          </cell>
          <cell r="AO324">
            <v>0</v>
          </cell>
        </row>
        <row r="325">
          <cell r="A325" t="str">
            <v>Pièces[...]</v>
          </cell>
          <cell r="B325" t="str">
            <v>[...]</v>
          </cell>
          <cell r="E325">
            <v>0</v>
          </cell>
          <cell r="H325">
            <v>0</v>
          </cell>
          <cell r="K325">
            <v>0</v>
          </cell>
          <cell r="N325">
            <v>0</v>
          </cell>
          <cell r="Q325">
            <v>0</v>
          </cell>
          <cell r="T325">
            <v>0</v>
          </cell>
          <cell r="W325">
            <v>0</v>
          </cell>
          <cell r="Z325">
            <v>0</v>
          </cell>
          <cell r="AC325">
            <v>0</v>
          </cell>
          <cell r="AF325">
            <v>0</v>
          </cell>
          <cell r="AI325">
            <v>0</v>
          </cell>
          <cell r="AL325">
            <v>0</v>
          </cell>
          <cell r="AO325">
            <v>0</v>
          </cell>
        </row>
        <row r="326">
          <cell r="A326" t="str">
            <v>Pièces[...]</v>
          </cell>
          <cell r="B326" t="str">
            <v>[...]</v>
          </cell>
          <cell r="E326">
            <v>0</v>
          </cell>
          <cell r="H326">
            <v>0</v>
          </cell>
          <cell r="K326">
            <v>0</v>
          </cell>
          <cell r="N326">
            <v>0</v>
          </cell>
          <cell r="Q326">
            <v>0</v>
          </cell>
          <cell r="T326">
            <v>0</v>
          </cell>
          <cell r="W326">
            <v>0</v>
          </cell>
          <cell r="Z326">
            <v>0</v>
          </cell>
          <cell r="AC326">
            <v>0</v>
          </cell>
          <cell r="AF326">
            <v>0</v>
          </cell>
          <cell r="AI326">
            <v>0</v>
          </cell>
          <cell r="AL326">
            <v>0</v>
          </cell>
          <cell r="AO326">
            <v>0</v>
          </cell>
        </row>
        <row r="327">
          <cell r="A327" t="str">
            <v>Pièces[...]</v>
          </cell>
          <cell r="B327" t="str">
            <v>[...]</v>
          </cell>
          <cell r="E327">
            <v>0</v>
          </cell>
          <cell r="H327">
            <v>0</v>
          </cell>
          <cell r="K327">
            <v>0</v>
          </cell>
          <cell r="N327">
            <v>0</v>
          </cell>
          <cell r="Q327">
            <v>0</v>
          </cell>
          <cell r="T327">
            <v>0</v>
          </cell>
          <cell r="W327">
            <v>0</v>
          </cell>
          <cell r="Z327">
            <v>0</v>
          </cell>
          <cell r="AC327">
            <v>0</v>
          </cell>
          <cell r="AF327">
            <v>0</v>
          </cell>
          <cell r="AI327">
            <v>0</v>
          </cell>
          <cell r="AL327">
            <v>0</v>
          </cell>
          <cell r="AO327">
            <v>0</v>
          </cell>
        </row>
        <row r="328">
          <cell r="A328" t="str">
            <v>PiècesSalaires en absences</v>
          </cell>
          <cell r="B328" t="str">
            <v>Salaires en absences</v>
          </cell>
          <cell r="E328">
            <v>39233.490000000005</v>
          </cell>
          <cell r="H328">
            <v>4232.28</v>
          </cell>
          <cell r="K328">
            <v>2361.19</v>
          </cell>
          <cell r="N328">
            <v>4182.25</v>
          </cell>
          <cell r="Q328">
            <v>2892.89</v>
          </cell>
          <cell r="T328">
            <v>3530.61</v>
          </cell>
          <cell r="W328">
            <v>4167.74</v>
          </cell>
          <cell r="Z328">
            <v>2525.11</v>
          </cell>
          <cell r="AC328">
            <v>2438.31</v>
          </cell>
          <cell r="AF328">
            <v>3310.7</v>
          </cell>
          <cell r="AI328">
            <v>3147.76</v>
          </cell>
          <cell r="AL328">
            <v>2051.38</v>
          </cell>
          <cell r="AO328">
            <v>4393.2700000000004</v>
          </cell>
        </row>
        <row r="329">
          <cell r="A329" t="str">
            <v>PiècesDéduction à la source</v>
          </cell>
          <cell r="B329" t="str">
            <v>Déduction à la source</v>
          </cell>
          <cell r="E329">
            <v>87918.87</v>
          </cell>
          <cell r="H329">
            <v>1008.33</v>
          </cell>
          <cell r="K329">
            <v>927.2</v>
          </cell>
          <cell r="N329">
            <v>1070.1199999999999</v>
          </cell>
          <cell r="Q329">
            <v>28085.94</v>
          </cell>
          <cell r="T329">
            <v>7594.6799999999903</v>
          </cell>
          <cell r="W329">
            <v>7410.92</v>
          </cell>
          <cell r="Z329">
            <v>7136</v>
          </cell>
          <cell r="AC329">
            <v>7371.69</v>
          </cell>
          <cell r="AF329">
            <v>7548.5</v>
          </cell>
          <cell r="AI329">
            <v>6074.83</v>
          </cell>
          <cell r="AL329">
            <v>6537.46</v>
          </cell>
          <cell r="AO329">
            <v>7153.2</v>
          </cell>
        </row>
        <row r="330">
          <cell r="A330" t="str">
            <v>PiècesBénéfices marginaux</v>
          </cell>
          <cell r="B330" t="str">
            <v>Bénéfices marginaux</v>
          </cell>
          <cell r="E330">
            <v>14057.14</v>
          </cell>
          <cell r="H330">
            <v>1389.91</v>
          </cell>
          <cell r="K330">
            <v>1374.04</v>
          </cell>
          <cell r="N330">
            <v>1522.52</v>
          </cell>
          <cell r="Q330">
            <v>1272.5999999999999</v>
          </cell>
          <cell r="T330">
            <v>1440.48</v>
          </cell>
          <cell r="W330">
            <v>949.05</v>
          </cell>
          <cell r="Z330">
            <v>1124.96</v>
          </cell>
          <cell r="AC330">
            <v>1277.6300000000001</v>
          </cell>
          <cell r="AF330">
            <v>628.41</v>
          </cell>
          <cell r="AI330">
            <v>958.41</v>
          </cell>
          <cell r="AL330">
            <v>999.12</v>
          </cell>
          <cell r="AO330">
            <v>1120.01</v>
          </cell>
        </row>
        <row r="331">
          <cell r="A331" t="str">
            <v>PiècesCsst</v>
          </cell>
          <cell r="B331" t="str">
            <v>Csst</v>
          </cell>
          <cell r="E331">
            <v>11559.459999999992</v>
          </cell>
          <cell r="H331">
            <v>7467.57</v>
          </cell>
          <cell r="K331">
            <v>7543.31</v>
          </cell>
          <cell r="N331">
            <v>7500.0599999999904</v>
          </cell>
          <cell r="Q331">
            <v>-19275.34</v>
          </cell>
          <cell r="T331">
            <v>793.09</v>
          </cell>
          <cell r="W331">
            <v>1818.31</v>
          </cell>
          <cell r="Z331">
            <v>916.61</v>
          </cell>
          <cell r="AC331">
            <v>812.13</v>
          </cell>
          <cell r="AF331">
            <v>1075.77</v>
          </cell>
          <cell r="AI331">
            <v>642.45000000000005</v>
          </cell>
          <cell r="AL331">
            <v>797.39</v>
          </cell>
          <cell r="AO331">
            <v>1468.11</v>
          </cell>
        </row>
        <row r="332">
          <cell r="A332" t="str">
            <v>Pièces[...]</v>
          </cell>
          <cell r="B332" t="str">
            <v>[...]</v>
          </cell>
          <cell r="E332">
            <v>0</v>
          </cell>
        </row>
        <row r="333">
          <cell r="A333" t="str">
            <v>PiècesTOTAL PERSONNEL</v>
          </cell>
          <cell r="B333" t="str">
            <v>TOTAL PERSONNEL</v>
          </cell>
          <cell r="C333" t="str">
            <v>% brut</v>
          </cell>
          <cell r="D333">
            <v>0.39005305682028618</v>
          </cell>
          <cell r="E333">
            <v>547403.82999999996</v>
          </cell>
          <cell r="F333" t="str">
            <v>% brut</v>
          </cell>
          <cell r="G333">
            <v>0.41974669586457825</v>
          </cell>
          <cell r="H333">
            <v>44964.030000000006</v>
          </cell>
          <cell r="I333" t="str">
            <v>% brut</v>
          </cell>
          <cell r="J333">
            <v>0.42301284299673036</v>
          </cell>
          <cell r="K333">
            <v>43332.55999999999</v>
          </cell>
          <cell r="L333" t="str">
            <v>% brut</v>
          </cell>
          <cell r="M333">
            <v>0.4366638085051387</v>
          </cell>
          <cell r="N333">
            <v>47503.729999999989</v>
          </cell>
          <cell r="O333" t="str">
            <v>% brut</v>
          </cell>
          <cell r="P333">
            <v>0.42767706707974074</v>
          </cell>
          <cell r="Q333">
            <v>45334.709999999992</v>
          </cell>
          <cell r="R333" t="str">
            <v>% brut</v>
          </cell>
          <cell r="S333">
            <v>0.38448266591444374</v>
          </cell>
          <cell r="T333">
            <v>46478.609999999993</v>
          </cell>
          <cell r="U333" t="str">
            <v>% brut</v>
          </cell>
          <cell r="V333">
            <v>0.45558002996711494</v>
          </cell>
          <cell r="W333">
            <v>47502.249999999993</v>
          </cell>
          <cell r="X333" t="str">
            <v>% brut</v>
          </cell>
          <cell r="Y333">
            <v>0.35014062018619951</v>
          </cell>
          <cell r="Z333">
            <v>41323.61</v>
          </cell>
          <cell r="AA333" t="str">
            <v>% brut</v>
          </cell>
          <cell r="AB333">
            <v>0.32799649982354678</v>
          </cell>
          <cell r="AC333">
            <v>39732.429999999993</v>
          </cell>
          <cell r="AD333" t="str">
            <v>% brut</v>
          </cell>
          <cell r="AE333">
            <v>0.42849845117305829</v>
          </cell>
          <cell r="AF333">
            <v>48365.7</v>
          </cell>
          <cell r="AG333" t="str">
            <v>% brut</v>
          </cell>
          <cell r="AH333">
            <v>0.31830540688372716</v>
          </cell>
          <cell r="AI333">
            <v>40327.99</v>
          </cell>
          <cell r="AJ333" t="str">
            <v>% brut</v>
          </cell>
          <cell r="AK333">
            <v>0.29910855840101314</v>
          </cell>
          <cell r="AL333">
            <v>47609.189999999995</v>
          </cell>
          <cell r="AM333" t="str">
            <v>% brut</v>
          </cell>
          <cell r="AN333">
            <v>0.47348684936419144</v>
          </cell>
          <cell r="AO333">
            <v>54929.02</v>
          </cell>
        </row>
        <row r="334">
          <cell r="A334" t="str">
            <v>PiècesPublicité 2</v>
          </cell>
          <cell r="B334" t="str">
            <v>Publicité 2</v>
          </cell>
          <cell r="E334">
            <v>46937.58</v>
          </cell>
          <cell r="H334">
            <v>3998.35</v>
          </cell>
          <cell r="K334">
            <v>4496.84</v>
          </cell>
          <cell r="N334">
            <v>2542.2600000000002</v>
          </cell>
          <cell r="Q334">
            <v>3416.28</v>
          </cell>
          <cell r="T334">
            <v>2512.11</v>
          </cell>
          <cell r="W334">
            <v>4220.76</v>
          </cell>
          <cell r="Z334">
            <v>5963.31</v>
          </cell>
          <cell r="AC334">
            <v>5403.41</v>
          </cell>
          <cell r="AF334">
            <v>3460.63</v>
          </cell>
          <cell r="AI334">
            <v>2622.08</v>
          </cell>
          <cell r="AL334">
            <v>3984.93</v>
          </cell>
          <cell r="AO334">
            <v>4316.62</v>
          </cell>
        </row>
        <row r="335">
          <cell r="A335" t="str">
            <v>PiècesService gratuit 2</v>
          </cell>
          <cell r="B335" t="str">
            <v>Service gratuit 2</v>
          </cell>
          <cell r="E335">
            <v>16265.52</v>
          </cell>
          <cell r="H335">
            <v>1467.83</v>
          </cell>
          <cell r="K335">
            <v>1447.27</v>
          </cell>
          <cell r="N335">
            <v>3813.29</v>
          </cell>
          <cell r="Q335">
            <v>1915.31</v>
          </cell>
          <cell r="T335">
            <v>1812.07</v>
          </cell>
          <cell r="W335">
            <v>3208.48</v>
          </cell>
          <cell r="Z335">
            <v>184.1</v>
          </cell>
          <cell r="AC335">
            <v>60.37</v>
          </cell>
          <cell r="AF335">
            <v>-6</v>
          </cell>
          <cell r="AI335">
            <v>428.9</v>
          </cell>
          <cell r="AL335">
            <v>1834.86</v>
          </cell>
          <cell r="AO335">
            <v>99.04</v>
          </cell>
        </row>
        <row r="336">
          <cell r="A336" t="str">
            <v>PiècesFrais véhicules de cie</v>
          </cell>
          <cell r="B336" t="str">
            <v>Frais véhicules de cie</v>
          </cell>
          <cell r="E336">
            <v>11617.630000000001</v>
          </cell>
          <cell r="H336">
            <v>598.67999999999995</v>
          </cell>
          <cell r="K336">
            <v>793.02</v>
          </cell>
          <cell r="N336">
            <v>891.75</v>
          </cell>
          <cell r="Q336">
            <v>791.55</v>
          </cell>
          <cell r="T336">
            <v>1056.55</v>
          </cell>
          <cell r="W336">
            <v>1031</v>
          </cell>
          <cell r="Z336">
            <v>959.29</v>
          </cell>
          <cell r="AC336">
            <v>927.84</v>
          </cell>
          <cell r="AF336">
            <v>1045.49</v>
          </cell>
          <cell r="AI336">
            <v>920.77</v>
          </cell>
          <cell r="AL336">
            <v>1022.19</v>
          </cell>
          <cell r="AO336">
            <v>1579.5</v>
          </cell>
        </row>
        <row r="337">
          <cell r="A337" t="str">
            <v>PiècesInformatique</v>
          </cell>
          <cell r="B337" t="str">
            <v>Informatique</v>
          </cell>
          <cell r="E337">
            <v>47452.229999999996</v>
          </cell>
          <cell r="H337">
            <v>3839.98</v>
          </cell>
          <cell r="K337">
            <v>3908.92</v>
          </cell>
          <cell r="N337">
            <v>3798.77</v>
          </cell>
          <cell r="Q337">
            <v>4186.4799999999996</v>
          </cell>
          <cell r="T337">
            <v>4277.7299999999996</v>
          </cell>
          <cell r="W337">
            <v>3783.42</v>
          </cell>
          <cell r="Z337">
            <v>4034.99</v>
          </cell>
          <cell r="AC337">
            <v>3830.31</v>
          </cell>
          <cell r="AF337">
            <v>4095.17</v>
          </cell>
          <cell r="AI337">
            <v>4283.41</v>
          </cell>
          <cell r="AL337">
            <v>3858.32</v>
          </cell>
          <cell r="AO337">
            <v>3554.73</v>
          </cell>
        </row>
        <row r="338">
          <cell r="A338" t="str">
            <v>PiècesFrais de déplacement</v>
          </cell>
          <cell r="B338" t="str">
            <v>Frais de déplacement</v>
          </cell>
          <cell r="E338">
            <v>11594.619999999999</v>
          </cell>
          <cell r="H338">
            <v>514.72</v>
          </cell>
          <cell r="K338">
            <v>1140.8699999999999</v>
          </cell>
          <cell r="N338">
            <v>1161.45</v>
          </cell>
          <cell r="Q338">
            <v>911.08</v>
          </cell>
          <cell r="T338">
            <v>1320.64</v>
          </cell>
          <cell r="W338">
            <v>526.75</v>
          </cell>
          <cell r="Z338">
            <v>605.16999999999996</v>
          </cell>
          <cell r="AC338">
            <v>831.42</v>
          </cell>
          <cell r="AF338">
            <v>997.22</v>
          </cell>
          <cell r="AI338">
            <v>1177.5</v>
          </cell>
          <cell r="AL338">
            <v>1568.23</v>
          </cell>
          <cell r="AO338">
            <v>839.57</v>
          </cell>
        </row>
        <row r="339">
          <cell r="A339" t="str">
            <v>PiècesServices extérieurs</v>
          </cell>
          <cell r="B339" t="str">
            <v>Services extérieurs</v>
          </cell>
          <cell r="E339">
            <v>195002.43000000002</v>
          </cell>
          <cell r="H339">
            <v>12278.11</v>
          </cell>
          <cell r="K339">
            <v>20835.64</v>
          </cell>
          <cell r="N339">
            <v>15779.81</v>
          </cell>
          <cell r="Q339">
            <v>13813.01</v>
          </cell>
          <cell r="T339">
            <v>16362.1</v>
          </cell>
          <cell r="W339">
            <v>16475.91</v>
          </cell>
          <cell r="Z339">
            <v>18820.55</v>
          </cell>
          <cell r="AC339">
            <v>13115.82</v>
          </cell>
          <cell r="AF339">
            <v>18074.82</v>
          </cell>
          <cell r="AI339">
            <v>18021.23</v>
          </cell>
          <cell r="AL339">
            <v>16850.41</v>
          </cell>
          <cell r="AO339">
            <v>14575.02</v>
          </cell>
        </row>
        <row r="340">
          <cell r="A340" t="str">
            <v>PiècesFournitures d'atelier</v>
          </cell>
          <cell r="B340" t="str">
            <v>Fournitures d'atelier</v>
          </cell>
          <cell r="E340">
            <v>0</v>
          </cell>
          <cell r="H340">
            <v>0</v>
          </cell>
          <cell r="K340">
            <v>0</v>
          </cell>
          <cell r="N340">
            <v>0</v>
          </cell>
          <cell r="Q340">
            <v>0</v>
          </cell>
          <cell r="T340">
            <v>0</v>
          </cell>
          <cell r="W340">
            <v>0</v>
          </cell>
          <cell r="Z340">
            <v>0</v>
          </cell>
          <cell r="AC340">
            <v>0</v>
          </cell>
          <cell r="AF340">
            <v>0</v>
          </cell>
          <cell r="AI340">
            <v>0</v>
          </cell>
          <cell r="AL340">
            <v>0</v>
          </cell>
          <cell r="AO340">
            <v>0</v>
          </cell>
        </row>
        <row r="341">
          <cell r="A341" t="str">
            <v>PiècesFournitures autres</v>
          </cell>
          <cell r="B341" t="str">
            <v>Fournitures autres</v>
          </cell>
          <cell r="E341">
            <v>1744.87</v>
          </cell>
          <cell r="H341">
            <v>0</v>
          </cell>
          <cell r="K341">
            <v>28.92</v>
          </cell>
          <cell r="N341">
            <v>46.41</v>
          </cell>
          <cell r="Q341">
            <v>0</v>
          </cell>
          <cell r="T341">
            <v>345.67</v>
          </cell>
          <cell r="W341">
            <v>0</v>
          </cell>
          <cell r="Z341">
            <v>428.39</v>
          </cell>
          <cell r="AC341">
            <v>37.25</v>
          </cell>
          <cell r="AF341">
            <v>374.84</v>
          </cell>
          <cell r="AI341">
            <v>314.76</v>
          </cell>
          <cell r="AL341">
            <v>168.63</v>
          </cell>
          <cell r="AO341">
            <v>0</v>
          </cell>
        </row>
        <row r="342">
          <cell r="A342" t="str">
            <v>PiècesUniformes</v>
          </cell>
          <cell r="B342" t="str">
            <v>Uniformes</v>
          </cell>
          <cell r="E342">
            <v>0</v>
          </cell>
          <cell r="H342">
            <v>0</v>
          </cell>
          <cell r="K342">
            <v>0</v>
          </cell>
          <cell r="N342">
            <v>0</v>
          </cell>
          <cell r="Q342">
            <v>0</v>
          </cell>
          <cell r="T342">
            <v>0</v>
          </cell>
          <cell r="W342">
            <v>0</v>
          </cell>
          <cell r="Z342">
            <v>0</v>
          </cell>
          <cell r="AC342">
            <v>0</v>
          </cell>
          <cell r="AF342">
            <v>0</v>
          </cell>
          <cell r="AI342">
            <v>0</v>
          </cell>
          <cell r="AL342">
            <v>0</v>
          </cell>
          <cell r="AO342">
            <v>0</v>
          </cell>
        </row>
        <row r="343">
          <cell r="A343" t="str">
            <v>PiècesPapeterie</v>
          </cell>
          <cell r="B343" t="str">
            <v>Papeterie</v>
          </cell>
          <cell r="E343">
            <v>8703.33</v>
          </cell>
          <cell r="H343">
            <v>302.92</v>
          </cell>
          <cell r="K343">
            <v>408.49</v>
          </cell>
          <cell r="N343">
            <v>772.78</v>
          </cell>
          <cell r="Q343">
            <v>612.05999999999995</v>
          </cell>
          <cell r="T343">
            <v>419.31</v>
          </cell>
          <cell r="W343">
            <v>1123.3800000000001</v>
          </cell>
          <cell r="Z343">
            <v>374.87</v>
          </cell>
          <cell r="AC343">
            <v>870.44</v>
          </cell>
          <cell r="AF343">
            <v>535.78</v>
          </cell>
          <cell r="AI343">
            <v>828.89</v>
          </cell>
          <cell r="AL343">
            <v>1613.87</v>
          </cell>
          <cell r="AO343">
            <v>840.54</v>
          </cell>
        </row>
        <row r="344">
          <cell r="A344" t="str">
            <v>PiècesTéléphone</v>
          </cell>
          <cell r="B344" t="str">
            <v>Téléphone</v>
          </cell>
          <cell r="E344">
            <v>1083.0999999999999</v>
          </cell>
          <cell r="H344">
            <v>81.19</v>
          </cell>
          <cell r="K344">
            <v>87.25</v>
          </cell>
          <cell r="N344">
            <v>75.3</v>
          </cell>
          <cell r="Q344">
            <v>75.05</v>
          </cell>
          <cell r="T344">
            <v>74.930000000000007</v>
          </cell>
          <cell r="W344">
            <v>74.930000000000007</v>
          </cell>
          <cell r="Z344">
            <v>75.7</v>
          </cell>
          <cell r="AC344">
            <v>192.54</v>
          </cell>
          <cell r="AF344">
            <v>86.44</v>
          </cell>
          <cell r="AI344">
            <v>101.52</v>
          </cell>
          <cell r="AL344">
            <v>83.3</v>
          </cell>
          <cell r="AO344">
            <v>74.95</v>
          </cell>
        </row>
        <row r="345">
          <cell r="A345" t="str">
            <v>PiècesFrais postaux</v>
          </cell>
          <cell r="B345" t="str">
            <v>Frais postaux</v>
          </cell>
          <cell r="E345">
            <v>-475.76999999999992</v>
          </cell>
          <cell r="H345">
            <v>16.850000000000001</v>
          </cell>
          <cell r="K345">
            <v>-121.43</v>
          </cell>
          <cell r="N345">
            <v>66.06</v>
          </cell>
          <cell r="Q345">
            <v>53.44</v>
          </cell>
          <cell r="T345">
            <v>-192.32</v>
          </cell>
          <cell r="W345">
            <v>814.78</v>
          </cell>
          <cell r="Z345">
            <v>1025.6199999999999</v>
          </cell>
          <cell r="AC345">
            <v>-163.86</v>
          </cell>
          <cell r="AF345">
            <v>-158.06</v>
          </cell>
          <cell r="AI345">
            <v>-205.28</v>
          </cell>
          <cell r="AL345">
            <v>-1293.8599999999999</v>
          </cell>
          <cell r="AO345">
            <v>-317.70999999999998</v>
          </cell>
        </row>
        <row r="346">
          <cell r="A346" t="str">
            <v>PiècesDivers</v>
          </cell>
          <cell r="B346" t="str">
            <v>Divers</v>
          </cell>
          <cell r="E346">
            <v>1508.2700000000002</v>
          </cell>
          <cell r="H346">
            <v>443.01</v>
          </cell>
          <cell r="K346">
            <v>221.4</v>
          </cell>
          <cell r="N346">
            <v>51.8</v>
          </cell>
          <cell r="Q346">
            <v>91.31</v>
          </cell>
          <cell r="T346">
            <v>61.33</v>
          </cell>
          <cell r="W346">
            <v>86.99</v>
          </cell>
          <cell r="Z346">
            <v>60.49</v>
          </cell>
          <cell r="AC346">
            <v>88.05</v>
          </cell>
          <cell r="AF346">
            <v>156.15</v>
          </cell>
          <cell r="AI346">
            <v>93.75</v>
          </cell>
          <cell r="AL346">
            <v>80.349999999999994</v>
          </cell>
          <cell r="AO346">
            <v>73.64</v>
          </cell>
        </row>
        <row r="347">
          <cell r="A347" t="str">
            <v>PiècesFormation</v>
          </cell>
          <cell r="B347" t="str">
            <v>Formation</v>
          </cell>
          <cell r="E347">
            <v>8785.5600000000013</v>
          </cell>
          <cell r="H347">
            <v>547.08000000000004</v>
          </cell>
          <cell r="K347">
            <v>377.4</v>
          </cell>
          <cell r="N347">
            <v>1842.8</v>
          </cell>
          <cell r="Q347">
            <v>2535.9699999999998</v>
          </cell>
          <cell r="T347">
            <v>2540.88</v>
          </cell>
          <cell r="W347">
            <v>-486.8</v>
          </cell>
          <cell r="Z347">
            <v>79.75</v>
          </cell>
          <cell r="AC347">
            <v>315.02</v>
          </cell>
          <cell r="AF347">
            <v>568.47</v>
          </cell>
          <cell r="AI347">
            <v>67.540000000000006</v>
          </cell>
          <cell r="AL347">
            <v>329.75</v>
          </cell>
          <cell r="AO347">
            <v>67.7</v>
          </cell>
        </row>
        <row r="348">
          <cell r="A348" t="str">
            <v>PiècesFrais bancaires</v>
          </cell>
          <cell r="B348" t="str">
            <v>Frais bancaires</v>
          </cell>
          <cell r="E348">
            <v>18792.920000000002</v>
          </cell>
          <cell r="H348">
            <v>1396.3</v>
          </cell>
          <cell r="K348">
            <v>1103.73</v>
          </cell>
          <cell r="N348">
            <v>158.69999999999999</v>
          </cell>
          <cell r="Q348">
            <v>1344.72</v>
          </cell>
          <cell r="T348">
            <v>3436.4</v>
          </cell>
          <cell r="W348">
            <v>1572.05</v>
          </cell>
          <cell r="Z348">
            <v>1513.96</v>
          </cell>
          <cell r="AC348">
            <v>1182.18</v>
          </cell>
          <cell r="AF348">
            <v>1601.54</v>
          </cell>
          <cell r="AI348">
            <v>1780.66</v>
          </cell>
          <cell r="AL348">
            <v>2277.67</v>
          </cell>
          <cell r="AO348">
            <v>1425.01</v>
          </cell>
        </row>
        <row r="349">
          <cell r="A349" t="str">
            <v>Pièces[...]</v>
          </cell>
          <cell r="B349" t="str">
            <v>[...]</v>
          </cell>
          <cell r="E349">
            <v>0</v>
          </cell>
        </row>
        <row r="350">
          <cell r="A350" t="str">
            <v>Pièces[...]</v>
          </cell>
          <cell r="B350" t="str">
            <v>[...]</v>
          </cell>
          <cell r="E350">
            <v>0</v>
          </cell>
        </row>
        <row r="351">
          <cell r="A351" t="str">
            <v>Pièces[...]</v>
          </cell>
          <cell r="B351" t="str">
            <v>[...]</v>
          </cell>
          <cell r="E351">
            <v>0</v>
          </cell>
        </row>
        <row r="352">
          <cell r="A352" t="str">
            <v>PiècesTOTAL SEMI-FIXES</v>
          </cell>
          <cell r="B352" t="str">
            <v>TOTAL SEMI-FIXES</v>
          </cell>
          <cell r="C352" t="str">
            <v>% brut</v>
          </cell>
          <cell r="D352">
            <v>0.26294001581748877</v>
          </cell>
          <cell r="E352">
            <v>369012.29</v>
          </cell>
          <cell r="F352" t="str">
            <v>% brut</v>
          </cell>
          <cell r="G352">
            <v>0.23790689889324176</v>
          </cell>
          <cell r="H352">
            <v>25485.019999999993</v>
          </cell>
          <cell r="I352" t="str">
            <v>% brut</v>
          </cell>
          <cell r="J352">
            <v>0.33901817422511427</v>
          </cell>
          <cell r="K352">
            <v>34728.320000000007</v>
          </cell>
          <cell r="L352" t="str">
            <v>% brut</v>
          </cell>
          <cell r="M352">
            <v>0.28496906089170976</v>
          </cell>
          <cell r="N352">
            <v>31001.18</v>
          </cell>
          <cell r="O352" t="str">
            <v>% brut</v>
          </cell>
          <cell r="P352">
            <v>0.28061927016609156</v>
          </cell>
          <cell r="Q352">
            <v>29746.260000000002</v>
          </cell>
          <cell r="R352" t="str">
            <v>% brut</v>
          </cell>
          <cell r="S352">
            <v>0.28148314818659909</v>
          </cell>
          <cell r="T352">
            <v>34027.4</v>
          </cell>
          <cell r="U352" t="str">
            <v>% brut</v>
          </cell>
          <cell r="V352">
            <v>0.31104236281192965</v>
          </cell>
          <cell r="W352">
            <v>32431.65</v>
          </cell>
          <cell r="X352" t="str">
            <v>% brut</v>
          </cell>
          <cell r="Y352">
            <v>0.28915589250774754</v>
          </cell>
          <cell r="Z352">
            <v>34126.19</v>
          </cell>
          <cell r="AA352" t="str">
            <v>% brut</v>
          </cell>
          <cell r="AB352">
            <v>0.22033602519466655</v>
          </cell>
          <cell r="AC352">
            <v>26690.789999999997</v>
          </cell>
          <cell r="AD352" t="str">
            <v>% brut</v>
          </cell>
          <cell r="AE352">
            <v>0.27316205928599835</v>
          </cell>
          <cell r="AF352">
            <v>30832.49</v>
          </cell>
          <cell r="AG352" t="str">
            <v>% brut</v>
          </cell>
          <cell r="AH352">
            <v>0.24022663716821147</v>
          </cell>
          <cell r="AI352">
            <v>30435.73</v>
          </cell>
          <cell r="AJ352" t="str">
            <v>% brut</v>
          </cell>
          <cell r="AK352">
            <v>0.20342146809199996</v>
          </cell>
          <cell r="AL352">
            <v>32378.649999999994</v>
          </cell>
          <cell r="AM352" t="str">
            <v>% brut</v>
          </cell>
          <cell r="AN352">
            <v>0.23384797465037421</v>
          </cell>
          <cell r="AO352">
            <v>27128.61</v>
          </cell>
        </row>
        <row r="353">
          <cell r="A353" t="str">
            <v>Pièces</v>
          </cell>
        </row>
        <row r="354">
          <cell r="A354" t="str">
            <v>PiècesTOTAL DES DÉPENSES</v>
          </cell>
          <cell r="B354" t="str">
            <v>TOTAL DES DÉPENSES</v>
          </cell>
          <cell r="C354" t="str">
            <v>% brut</v>
          </cell>
          <cell r="D354">
            <v>0.65299307263777484</v>
          </cell>
          <cell r="E354">
            <v>916416.11999999988</v>
          </cell>
          <cell r="F354" t="str">
            <v>% brut</v>
          </cell>
          <cell r="G354">
            <v>0.65765359475782004</v>
          </cell>
          <cell r="H354">
            <v>70449.05</v>
          </cell>
          <cell r="I354" t="str">
            <v>% brut</v>
          </cell>
          <cell r="J354">
            <v>0.76203101722184474</v>
          </cell>
          <cell r="K354">
            <v>78060.88</v>
          </cell>
          <cell r="L354" t="str">
            <v>% brut</v>
          </cell>
          <cell r="M354">
            <v>0.72163286939684845</v>
          </cell>
          <cell r="N354">
            <v>78504.909999999989</v>
          </cell>
          <cell r="O354" t="str">
            <v>% brut</v>
          </cell>
          <cell r="P354">
            <v>0.7082963372458323</v>
          </cell>
          <cell r="Q354">
            <v>75080.97</v>
          </cell>
          <cell r="R354" t="str">
            <v>% brut</v>
          </cell>
          <cell r="S354">
            <v>0.66596581410104283</v>
          </cell>
          <cell r="T354">
            <v>80506.009999999995</v>
          </cell>
          <cell r="U354" t="str">
            <v>% brut</v>
          </cell>
          <cell r="V354">
            <v>0.76662239277904454</v>
          </cell>
          <cell r="W354">
            <v>79933.899999999994</v>
          </cell>
          <cell r="X354" t="str">
            <v>% brut</v>
          </cell>
          <cell r="Y354">
            <v>0.63929651269394705</v>
          </cell>
          <cell r="Z354">
            <v>75449.8</v>
          </cell>
          <cell r="AA354" t="str">
            <v>% brut</v>
          </cell>
          <cell r="AB354">
            <v>0.54833252501821328</v>
          </cell>
          <cell r="AC354">
            <v>66423.219999999987</v>
          </cell>
          <cell r="AD354" t="str">
            <v>% brut</v>
          </cell>
          <cell r="AE354">
            <v>0.70166051045905664</v>
          </cell>
          <cell r="AF354">
            <v>79198.19</v>
          </cell>
          <cell r="AG354" t="str">
            <v>% brut</v>
          </cell>
          <cell r="AH354">
            <v>0.55853204405193868</v>
          </cell>
          <cell r="AI354">
            <v>70763.72</v>
          </cell>
          <cell r="AJ354" t="str">
            <v>% brut</v>
          </cell>
          <cell r="AK354">
            <v>0.50253002649301315</v>
          </cell>
          <cell r="AL354">
            <v>79987.839999999997</v>
          </cell>
          <cell r="AM354" t="str">
            <v>% brut</v>
          </cell>
          <cell r="AN354">
            <v>0.70733482401456571</v>
          </cell>
          <cell r="AO354">
            <v>82057.63</v>
          </cell>
        </row>
        <row r="355">
          <cell r="A355" t="str">
            <v>Pièces</v>
          </cell>
        </row>
        <row r="356">
          <cell r="A356" t="str">
            <v>PiècesPROFIT DÉPARTEMENTAL</v>
          </cell>
          <cell r="B356" t="str">
            <v>PROFIT DÉPARTEMENTAL</v>
          </cell>
          <cell r="E356">
            <v>486992.51999999862</v>
          </cell>
          <cell r="H356">
            <v>36672.769999999786</v>
          </cell>
          <cell r="K356">
            <v>24377.049999999843</v>
          </cell>
          <cell r="N356">
            <v>30282.969999999972</v>
          </cell>
          <cell r="Q356">
            <v>30921.229999999763</v>
          </cell>
          <cell r="T356">
            <v>40380.089999999895</v>
          </cell>
          <cell r="W356">
            <v>24333.72999999988</v>
          </cell>
          <cell r="Z356">
            <v>42570.239999999787</v>
          </cell>
          <cell r="AC356">
            <v>54713.529999999897</v>
          </cell>
          <cell r="AF356">
            <v>33674.329999999885</v>
          </cell>
          <cell r="AI356">
            <v>55932.179999999978</v>
          </cell>
          <cell r="AL356">
            <v>79182.429999999877</v>
          </cell>
          <cell r="AO356">
            <v>33951.969999999768</v>
          </cell>
        </row>
        <row r="359">
          <cell r="B359" t="str">
            <v>Réel 2023</v>
          </cell>
          <cell r="C359" t="str">
            <v>Boutique</v>
          </cell>
        </row>
        <row r="361">
          <cell r="B361" t="str">
            <v>Mois</v>
          </cell>
          <cell r="C361">
            <v>2023</v>
          </cell>
          <cell r="F361" t="str">
            <v>Janvier</v>
          </cell>
          <cell r="I361" t="str">
            <v>Février</v>
          </cell>
          <cell r="L361" t="str">
            <v>Mars</v>
          </cell>
          <cell r="O361" t="str">
            <v>Avril</v>
          </cell>
          <cell r="R361" t="str">
            <v>Mai</v>
          </cell>
          <cell r="U361" t="str">
            <v>Juin</v>
          </cell>
          <cell r="X361" t="str">
            <v>Juillet</v>
          </cell>
          <cell r="AA361" t="str">
            <v>Août</v>
          </cell>
          <cell r="AD361" t="str">
            <v>Septembre</v>
          </cell>
          <cell r="AG361" t="str">
            <v>Octobre</v>
          </cell>
          <cell r="AJ361" t="str">
            <v>Novembre</v>
          </cell>
          <cell r="AM361" t="str">
            <v>Décembre</v>
          </cell>
        </row>
        <row r="362">
          <cell r="C362" t="str">
            <v>$VENTES</v>
          </cell>
          <cell r="D362" t="str">
            <v>% P. BRUT</v>
          </cell>
          <cell r="E362" t="str">
            <v>$PROFITS</v>
          </cell>
          <cell r="F362" t="str">
            <v>$VENTES</v>
          </cell>
          <cell r="G362" t="str">
            <v>% P. BRUT</v>
          </cell>
          <cell r="H362" t="str">
            <v>$PROFITS</v>
          </cell>
          <cell r="I362" t="str">
            <v>$VENTES</v>
          </cell>
          <cell r="J362" t="str">
            <v>% P. BRUT</v>
          </cell>
          <cell r="K362" t="str">
            <v>$PROFITS</v>
          </cell>
          <cell r="L362" t="str">
            <v>$VENTES</v>
          </cell>
          <cell r="M362" t="str">
            <v>% P. BRUT</v>
          </cell>
          <cell r="N362" t="str">
            <v>$PROFITS</v>
          </cell>
          <cell r="O362" t="str">
            <v>$VENTES</v>
          </cell>
          <cell r="P362" t="str">
            <v>% P. BRUT</v>
          </cell>
          <cell r="Q362" t="str">
            <v>$PROFITS</v>
          </cell>
          <cell r="R362" t="str">
            <v>$VENTES</v>
          </cell>
          <cell r="S362" t="str">
            <v>% P. BRUT</v>
          </cell>
          <cell r="T362" t="str">
            <v>$PROFITS</v>
          </cell>
          <cell r="U362" t="str">
            <v>$VENTES</v>
          </cell>
          <cell r="V362" t="str">
            <v>% P. BRUT</v>
          </cell>
          <cell r="W362" t="str">
            <v>$PROFITS</v>
          </cell>
          <cell r="X362" t="str">
            <v>$VENTES</v>
          </cell>
          <cell r="Y362" t="str">
            <v>% P. BRUT</v>
          </cell>
          <cell r="Z362" t="str">
            <v>$PROFITS</v>
          </cell>
          <cell r="AA362" t="str">
            <v>$VENTES</v>
          </cell>
          <cell r="AB362" t="str">
            <v>% P. BRUT</v>
          </cell>
          <cell r="AC362" t="str">
            <v>$PROFITS</v>
          </cell>
          <cell r="AD362" t="str">
            <v>$VENTES</v>
          </cell>
          <cell r="AE362" t="str">
            <v>% P. BRUT</v>
          </cell>
          <cell r="AF362" t="str">
            <v>$PROFITS</v>
          </cell>
          <cell r="AG362" t="str">
            <v>$VENTES</v>
          </cell>
          <cell r="AH362" t="str">
            <v>% P. BRUT</v>
          </cell>
          <cell r="AI362" t="str">
            <v>$PROFITS</v>
          </cell>
          <cell r="AJ362" t="str">
            <v>$VENTES</v>
          </cell>
          <cell r="AK362" t="str">
            <v>% P. BRUT</v>
          </cell>
          <cell r="AL362" t="str">
            <v>$PROFITS</v>
          </cell>
          <cell r="AM362" t="str">
            <v>$VENTES</v>
          </cell>
          <cell r="AN362" t="str">
            <v>% P. BRUT</v>
          </cell>
          <cell r="AO362" t="str">
            <v>$PROFITS</v>
          </cell>
        </row>
        <row r="363">
          <cell r="A363" t="str">
            <v>BoutiqueBoutique</v>
          </cell>
          <cell r="B363" t="str">
            <v>Boutique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</row>
        <row r="364">
          <cell r="A364" t="str">
            <v>Boutique</v>
          </cell>
        </row>
        <row r="365">
          <cell r="A365" t="str">
            <v>BoutiqueTotal Dépt. Boutique</v>
          </cell>
          <cell r="B365" t="str">
            <v>Total Dépt. Boutique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</row>
        <row r="366">
          <cell r="A366" t="str">
            <v>Boutique</v>
          </cell>
        </row>
        <row r="367">
          <cell r="A367" t="str">
            <v>BoutiqueDEPENSES</v>
          </cell>
          <cell r="B367" t="str">
            <v>DEPENSES</v>
          </cell>
        </row>
        <row r="368">
          <cell r="A368" t="str">
            <v>BoutiqueSalaires cadres</v>
          </cell>
          <cell r="B368" t="str">
            <v>Salaires cadres</v>
          </cell>
          <cell r="E368">
            <v>0</v>
          </cell>
          <cell r="H368">
            <v>0</v>
          </cell>
          <cell r="K368">
            <v>0</v>
          </cell>
          <cell r="N368">
            <v>0</v>
          </cell>
          <cell r="Q368">
            <v>0</v>
          </cell>
          <cell r="T368">
            <v>0</v>
          </cell>
          <cell r="W368">
            <v>0</v>
          </cell>
          <cell r="Z368">
            <v>0</v>
          </cell>
          <cell r="AC368">
            <v>0</v>
          </cell>
          <cell r="AF368">
            <v>0</v>
          </cell>
          <cell r="AI368">
            <v>0</v>
          </cell>
          <cell r="AL368">
            <v>0</v>
          </cell>
          <cell r="AO368">
            <v>0</v>
          </cell>
        </row>
        <row r="369">
          <cell r="A369" t="str">
            <v>BoutiqueSalaires commis</v>
          </cell>
          <cell r="B369" t="str">
            <v>Salaires commis</v>
          </cell>
          <cell r="E369">
            <v>0</v>
          </cell>
          <cell r="H369">
            <v>0</v>
          </cell>
          <cell r="K369">
            <v>0</v>
          </cell>
          <cell r="N369">
            <v>0</v>
          </cell>
          <cell r="Q369">
            <v>0</v>
          </cell>
          <cell r="T369">
            <v>0</v>
          </cell>
          <cell r="W369">
            <v>0</v>
          </cell>
          <cell r="Z369">
            <v>0</v>
          </cell>
          <cell r="AC369">
            <v>0</v>
          </cell>
          <cell r="AF369">
            <v>0</v>
          </cell>
          <cell r="AI369">
            <v>0</v>
          </cell>
          <cell r="AL369">
            <v>0</v>
          </cell>
          <cell r="AO369">
            <v>0</v>
          </cell>
        </row>
        <row r="370">
          <cell r="A370" t="str">
            <v>BoutiqueSalaires autres</v>
          </cell>
          <cell r="B370" t="str">
            <v>Salaires autres</v>
          </cell>
          <cell r="E370">
            <v>0</v>
          </cell>
          <cell r="H370">
            <v>0</v>
          </cell>
          <cell r="K370">
            <v>0</v>
          </cell>
          <cell r="N370">
            <v>0</v>
          </cell>
          <cell r="Q370">
            <v>0</v>
          </cell>
          <cell r="T370">
            <v>0</v>
          </cell>
          <cell r="W370">
            <v>0</v>
          </cell>
          <cell r="Z370">
            <v>0</v>
          </cell>
          <cell r="AC370">
            <v>0</v>
          </cell>
          <cell r="AF370">
            <v>0</v>
          </cell>
          <cell r="AI370">
            <v>0</v>
          </cell>
          <cell r="AL370">
            <v>0</v>
          </cell>
          <cell r="AO370">
            <v>0</v>
          </cell>
        </row>
        <row r="371">
          <cell r="A371" t="str">
            <v>BoutiqueSalaires spécialistes</v>
          </cell>
          <cell r="B371" t="str">
            <v>Salaires spécialistes</v>
          </cell>
          <cell r="E371">
            <v>0</v>
          </cell>
          <cell r="H371">
            <v>0</v>
          </cell>
          <cell r="K371">
            <v>0</v>
          </cell>
          <cell r="N371">
            <v>0</v>
          </cell>
          <cell r="Q371">
            <v>0</v>
          </cell>
          <cell r="T371">
            <v>0</v>
          </cell>
          <cell r="W371">
            <v>0</v>
          </cell>
          <cell r="Z371">
            <v>0</v>
          </cell>
          <cell r="AC371">
            <v>0</v>
          </cell>
          <cell r="AF371">
            <v>0</v>
          </cell>
          <cell r="AI371">
            <v>0</v>
          </cell>
          <cell r="AL371">
            <v>0</v>
          </cell>
          <cell r="AO371">
            <v>0</v>
          </cell>
        </row>
        <row r="372">
          <cell r="A372" t="str">
            <v>Boutique[...]</v>
          </cell>
          <cell r="B372" t="str">
            <v>[...]</v>
          </cell>
          <cell r="E372">
            <v>0</v>
          </cell>
          <cell r="H372">
            <v>0</v>
          </cell>
          <cell r="K372">
            <v>0</v>
          </cell>
          <cell r="N372">
            <v>0</v>
          </cell>
          <cell r="Q372">
            <v>0</v>
          </cell>
          <cell r="T372">
            <v>0</v>
          </cell>
          <cell r="W372">
            <v>0</v>
          </cell>
          <cell r="Z372">
            <v>0</v>
          </cell>
          <cell r="AC372">
            <v>0</v>
          </cell>
          <cell r="AF372">
            <v>0</v>
          </cell>
          <cell r="AI372">
            <v>0</v>
          </cell>
          <cell r="AL372">
            <v>0</v>
          </cell>
          <cell r="AO372">
            <v>0</v>
          </cell>
        </row>
        <row r="373">
          <cell r="A373" t="str">
            <v>Boutique[...]</v>
          </cell>
          <cell r="B373" t="str">
            <v>[...]</v>
          </cell>
          <cell r="E373">
            <v>0</v>
          </cell>
          <cell r="H373">
            <v>0</v>
          </cell>
          <cell r="K373">
            <v>0</v>
          </cell>
          <cell r="N373">
            <v>0</v>
          </cell>
          <cell r="Q373">
            <v>0</v>
          </cell>
          <cell r="T373">
            <v>0</v>
          </cell>
          <cell r="W373">
            <v>0</v>
          </cell>
          <cell r="Z373">
            <v>0</v>
          </cell>
          <cell r="AC373">
            <v>0</v>
          </cell>
          <cell r="AF373">
            <v>0</v>
          </cell>
          <cell r="AI373">
            <v>0</v>
          </cell>
          <cell r="AL373">
            <v>0</v>
          </cell>
          <cell r="AO373">
            <v>0</v>
          </cell>
        </row>
        <row r="374">
          <cell r="A374" t="str">
            <v>Boutique[...]</v>
          </cell>
          <cell r="B374" t="str">
            <v>[...]</v>
          </cell>
          <cell r="E374">
            <v>0</v>
          </cell>
          <cell r="H374">
            <v>0</v>
          </cell>
          <cell r="K374">
            <v>0</v>
          </cell>
          <cell r="N374">
            <v>0</v>
          </cell>
          <cell r="Q374">
            <v>0</v>
          </cell>
          <cell r="T374">
            <v>0</v>
          </cell>
          <cell r="W374">
            <v>0</v>
          </cell>
          <cell r="Z374">
            <v>0</v>
          </cell>
          <cell r="AC374">
            <v>0</v>
          </cell>
          <cell r="AF374">
            <v>0</v>
          </cell>
          <cell r="AI374">
            <v>0</v>
          </cell>
          <cell r="AL374">
            <v>0</v>
          </cell>
          <cell r="AO374">
            <v>0</v>
          </cell>
        </row>
        <row r="375">
          <cell r="A375" t="str">
            <v>BoutiqueSalaires en absences</v>
          </cell>
          <cell r="B375" t="str">
            <v>Salaires en absences</v>
          </cell>
          <cell r="E375">
            <v>0</v>
          </cell>
          <cell r="H375">
            <v>0</v>
          </cell>
          <cell r="K375">
            <v>0</v>
          </cell>
          <cell r="N375">
            <v>0</v>
          </cell>
          <cell r="Q375">
            <v>0</v>
          </cell>
          <cell r="T375">
            <v>0</v>
          </cell>
          <cell r="W375">
            <v>0</v>
          </cell>
          <cell r="Z375">
            <v>0</v>
          </cell>
          <cell r="AC375">
            <v>0</v>
          </cell>
          <cell r="AF375">
            <v>0</v>
          </cell>
          <cell r="AI375">
            <v>0</v>
          </cell>
          <cell r="AL375">
            <v>0</v>
          </cell>
          <cell r="AO375">
            <v>0</v>
          </cell>
        </row>
        <row r="376">
          <cell r="A376" t="str">
            <v>BoutiqueDéduction à la source</v>
          </cell>
          <cell r="B376" t="str">
            <v>Déduction à la source</v>
          </cell>
          <cell r="E376">
            <v>0</v>
          </cell>
          <cell r="H376">
            <v>0</v>
          </cell>
          <cell r="K376">
            <v>0</v>
          </cell>
          <cell r="N376">
            <v>0</v>
          </cell>
          <cell r="Q376">
            <v>0</v>
          </cell>
          <cell r="T376">
            <v>0</v>
          </cell>
          <cell r="W376">
            <v>0</v>
          </cell>
          <cell r="Z376">
            <v>0</v>
          </cell>
          <cell r="AC376">
            <v>0</v>
          </cell>
          <cell r="AF376">
            <v>0</v>
          </cell>
          <cell r="AI376">
            <v>0</v>
          </cell>
          <cell r="AL376">
            <v>0</v>
          </cell>
          <cell r="AO376">
            <v>0</v>
          </cell>
        </row>
        <row r="377">
          <cell r="A377" t="str">
            <v>BoutiqueBénéfices marginaux</v>
          </cell>
          <cell r="B377" t="str">
            <v>Bénéfices marginaux</v>
          </cell>
          <cell r="E377">
            <v>0</v>
          </cell>
          <cell r="H377">
            <v>0</v>
          </cell>
          <cell r="K377">
            <v>0</v>
          </cell>
          <cell r="N377">
            <v>0</v>
          </cell>
          <cell r="Q377">
            <v>0</v>
          </cell>
          <cell r="T377">
            <v>0</v>
          </cell>
          <cell r="W377">
            <v>0</v>
          </cell>
          <cell r="Z377">
            <v>0</v>
          </cell>
          <cell r="AC377">
            <v>0</v>
          </cell>
          <cell r="AF377">
            <v>0</v>
          </cell>
          <cell r="AI377">
            <v>0</v>
          </cell>
          <cell r="AL377">
            <v>0</v>
          </cell>
          <cell r="AO377">
            <v>0</v>
          </cell>
        </row>
        <row r="378">
          <cell r="A378" t="str">
            <v>BoutiqueCsst</v>
          </cell>
          <cell r="B378" t="str">
            <v>Csst</v>
          </cell>
          <cell r="E378">
            <v>0</v>
          </cell>
          <cell r="H378">
            <v>0</v>
          </cell>
          <cell r="K378">
            <v>0</v>
          </cell>
          <cell r="N378">
            <v>0</v>
          </cell>
          <cell r="Q378">
            <v>0</v>
          </cell>
          <cell r="T378">
            <v>0</v>
          </cell>
          <cell r="W378">
            <v>0</v>
          </cell>
          <cell r="Z378">
            <v>0</v>
          </cell>
          <cell r="AC378">
            <v>0</v>
          </cell>
          <cell r="AF378">
            <v>0</v>
          </cell>
          <cell r="AI378">
            <v>0</v>
          </cell>
          <cell r="AL378">
            <v>0</v>
          </cell>
          <cell r="AO378">
            <v>0</v>
          </cell>
        </row>
        <row r="379">
          <cell r="A379" t="str">
            <v>Boutique[...]</v>
          </cell>
          <cell r="B379" t="str">
            <v>[...]</v>
          </cell>
        </row>
        <row r="380">
          <cell r="A380" t="str">
            <v>BoutiqueTOTAL PERSONNEL</v>
          </cell>
          <cell r="B380" t="str">
            <v>TOTAL PERSONNEL</v>
          </cell>
          <cell r="C380" t="str">
            <v>% brut</v>
          </cell>
          <cell r="D380">
            <v>0</v>
          </cell>
          <cell r="E380">
            <v>0</v>
          </cell>
          <cell r="F380" t="str">
            <v>% brut</v>
          </cell>
          <cell r="G380">
            <v>0</v>
          </cell>
          <cell r="H380">
            <v>0</v>
          </cell>
          <cell r="I380" t="str">
            <v>% brut</v>
          </cell>
          <cell r="J380">
            <v>0</v>
          </cell>
          <cell r="K380">
            <v>0</v>
          </cell>
          <cell r="L380" t="str">
            <v>% brut</v>
          </cell>
          <cell r="M380">
            <v>0</v>
          </cell>
          <cell r="N380">
            <v>0</v>
          </cell>
          <cell r="O380" t="str">
            <v>% brut</v>
          </cell>
          <cell r="P380">
            <v>0</v>
          </cell>
          <cell r="Q380">
            <v>0</v>
          </cell>
          <cell r="R380" t="str">
            <v>% brut</v>
          </cell>
          <cell r="S380">
            <v>0</v>
          </cell>
          <cell r="T380">
            <v>0</v>
          </cell>
          <cell r="U380" t="str">
            <v>% brut</v>
          </cell>
          <cell r="V380">
            <v>0</v>
          </cell>
          <cell r="W380">
            <v>0</v>
          </cell>
          <cell r="X380" t="str">
            <v>% brut</v>
          </cell>
          <cell r="Y380">
            <v>0</v>
          </cell>
          <cell r="Z380">
            <v>0</v>
          </cell>
          <cell r="AA380" t="str">
            <v>% brut</v>
          </cell>
          <cell r="AB380">
            <v>0</v>
          </cell>
          <cell r="AC380">
            <v>0</v>
          </cell>
          <cell r="AD380" t="str">
            <v>% brut</v>
          </cell>
          <cell r="AE380">
            <v>0</v>
          </cell>
          <cell r="AF380">
            <v>0</v>
          </cell>
          <cell r="AG380" t="str">
            <v>% brut</v>
          </cell>
          <cell r="AH380">
            <v>0</v>
          </cell>
          <cell r="AI380">
            <v>0</v>
          </cell>
          <cell r="AJ380" t="str">
            <v>% brut</v>
          </cell>
          <cell r="AK380">
            <v>0</v>
          </cell>
          <cell r="AL380">
            <v>0</v>
          </cell>
          <cell r="AM380" t="str">
            <v>% brut</v>
          </cell>
          <cell r="AN380">
            <v>0</v>
          </cell>
          <cell r="AO380">
            <v>0</v>
          </cell>
        </row>
        <row r="381">
          <cell r="A381" t="str">
            <v>BoutiquePublicité 2</v>
          </cell>
          <cell r="B381" t="str">
            <v>Publicité 2</v>
          </cell>
          <cell r="E381">
            <v>0</v>
          </cell>
          <cell r="H381">
            <v>0</v>
          </cell>
          <cell r="K381">
            <v>0</v>
          </cell>
          <cell r="N381">
            <v>0</v>
          </cell>
          <cell r="Q381">
            <v>0</v>
          </cell>
          <cell r="T381">
            <v>0</v>
          </cell>
          <cell r="W381">
            <v>0</v>
          </cell>
          <cell r="Z381">
            <v>0</v>
          </cell>
          <cell r="AC381">
            <v>0</v>
          </cell>
          <cell r="AF381">
            <v>0</v>
          </cell>
          <cell r="AI381">
            <v>0</v>
          </cell>
          <cell r="AL381">
            <v>0</v>
          </cell>
          <cell r="AO381">
            <v>0</v>
          </cell>
        </row>
        <row r="382">
          <cell r="A382" t="str">
            <v>BoutiqueService gratuit 2</v>
          </cell>
          <cell r="B382" t="str">
            <v>Service gratuit 2</v>
          </cell>
          <cell r="E382">
            <v>0</v>
          </cell>
          <cell r="H382">
            <v>0</v>
          </cell>
          <cell r="K382">
            <v>0</v>
          </cell>
          <cell r="N382">
            <v>0</v>
          </cell>
          <cell r="Q382">
            <v>0</v>
          </cell>
          <cell r="T382">
            <v>0</v>
          </cell>
          <cell r="W382">
            <v>0</v>
          </cell>
          <cell r="Z382">
            <v>0</v>
          </cell>
          <cell r="AC382">
            <v>0</v>
          </cell>
          <cell r="AF382">
            <v>0</v>
          </cell>
          <cell r="AI382">
            <v>0</v>
          </cell>
          <cell r="AL382">
            <v>0</v>
          </cell>
          <cell r="AO382">
            <v>0</v>
          </cell>
        </row>
        <row r="383">
          <cell r="A383" t="str">
            <v>BoutiqueFrais véhicules de cie</v>
          </cell>
          <cell r="B383" t="str">
            <v>Frais véhicules de cie</v>
          </cell>
          <cell r="E383">
            <v>0</v>
          </cell>
          <cell r="H383">
            <v>0</v>
          </cell>
          <cell r="K383">
            <v>0</v>
          </cell>
          <cell r="N383">
            <v>0</v>
          </cell>
          <cell r="Q383">
            <v>0</v>
          </cell>
          <cell r="T383">
            <v>0</v>
          </cell>
          <cell r="W383">
            <v>0</v>
          </cell>
          <cell r="Z383">
            <v>0</v>
          </cell>
          <cell r="AC383">
            <v>0</v>
          </cell>
          <cell r="AF383">
            <v>0</v>
          </cell>
          <cell r="AI383">
            <v>0</v>
          </cell>
          <cell r="AL383">
            <v>0</v>
          </cell>
          <cell r="AO383">
            <v>0</v>
          </cell>
        </row>
        <row r="384">
          <cell r="A384" t="str">
            <v>BoutiqueInformatique</v>
          </cell>
          <cell r="B384" t="str">
            <v>Informatique</v>
          </cell>
          <cell r="E384">
            <v>0</v>
          </cell>
          <cell r="H384">
            <v>0</v>
          </cell>
          <cell r="K384">
            <v>0</v>
          </cell>
          <cell r="N384">
            <v>0</v>
          </cell>
          <cell r="Q384">
            <v>0</v>
          </cell>
          <cell r="T384">
            <v>0</v>
          </cell>
          <cell r="W384">
            <v>0</v>
          </cell>
          <cell r="Z384">
            <v>0</v>
          </cell>
          <cell r="AC384">
            <v>0</v>
          </cell>
          <cell r="AF384">
            <v>0</v>
          </cell>
          <cell r="AI384">
            <v>0</v>
          </cell>
          <cell r="AL384">
            <v>0</v>
          </cell>
          <cell r="AO384">
            <v>0</v>
          </cell>
        </row>
        <row r="385">
          <cell r="A385" t="str">
            <v>BoutiqueFrais de déplacement</v>
          </cell>
          <cell r="B385" t="str">
            <v>Frais de déplacement</v>
          </cell>
          <cell r="E385">
            <v>0</v>
          </cell>
          <cell r="H385">
            <v>0</v>
          </cell>
          <cell r="K385">
            <v>0</v>
          </cell>
          <cell r="N385">
            <v>0</v>
          </cell>
          <cell r="Q385">
            <v>0</v>
          </cell>
          <cell r="T385">
            <v>0</v>
          </cell>
          <cell r="W385">
            <v>0</v>
          </cell>
          <cell r="Z385">
            <v>0</v>
          </cell>
          <cell r="AC385">
            <v>0</v>
          </cell>
          <cell r="AF385">
            <v>0</v>
          </cell>
          <cell r="AI385">
            <v>0</v>
          </cell>
          <cell r="AL385">
            <v>0</v>
          </cell>
          <cell r="AO385">
            <v>0</v>
          </cell>
        </row>
        <row r="386">
          <cell r="A386" t="str">
            <v>BoutiqueServices extérieurs</v>
          </cell>
          <cell r="B386" t="str">
            <v>Services extérieurs</v>
          </cell>
          <cell r="E386">
            <v>0</v>
          </cell>
          <cell r="H386">
            <v>0</v>
          </cell>
          <cell r="K386">
            <v>0</v>
          </cell>
          <cell r="N386">
            <v>0</v>
          </cell>
          <cell r="Q386">
            <v>0</v>
          </cell>
          <cell r="T386">
            <v>0</v>
          </cell>
          <cell r="W386">
            <v>0</v>
          </cell>
          <cell r="Z386">
            <v>0</v>
          </cell>
          <cell r="AC386">
            <v>0</v>
          </cell>
          <cell r="AF386">
            <v>0</v>
          </cell>
          <cell r="AI386">
            <v>0</v>
          </cell>
          <cell r="AL386">
            <v>0</v>
          </cell>
          <cell r="AO386">
            <v>0</v>
          </cell>
        </row>
        <row r="387">
          <cell r="A387" t="str">
            <v>BoutiqueFournitures autres</v>
          </cell>
          <cell r="B387" t="str">
            <v>Fournitures autres</v>
          </cell>
          <cell r="E387">
            <v>0</v>
          </cell>
          <cell r="H387">
            <v>0</v>
          </cell>
          <cell r="K387">
            <v>0</v>
          </cell>
          <cell r="N387">
            <v>0</v>
          </cell>
          <cell r="Q387">
            <v>0</v>
          </cell>
          <cell r="T387">
            <v>0</v>
          </cell>
          <cell r="W387">
            <v>0</v>
          </cell>
          <cell r="Z387">
            <v>0</v>
          </cell>
          <cell r="AC387">
            <v>0</v>
          </cell>
          <cell r="AF387">
            <v>0</v>
          </cell>
          <cell r="AI387">
            <v>0</v>
          </cell>
          <cell r="AL387">
            <v>0</v>
          </cell>
          <cell r="AO387">
            <v>0</v>
          </cell>
        </row>
        <row r="388">
          <cell r="A388" t="str">
            <v>BoutiqueUniformes</v>
          </cell>
          <cell r="B388" t="str">
            <v>Uniformes</v>
          </cell>
          <cell r="E388">
            <v>0</v>
          </cell>
          <cell r="H388">
            <v>0</v>
          </cell>
          <cell r="K388">
            <v>0</v>
          </cell>
          <cell r="N388">
            <v>0</v>
          </cell>
          <cell r="Q388">
            <v>0</v>
          </cell>
          <cell r="T388">
            <v>0</v>
          </cell>
          <cell r="W388">
            <v>0</v>
          </cell>
          <cell r="Z388">
            <v>0</v>
          </cell>
          <cell r="AC388">
            <v>0</v>
          </cell>
          <cell r="AF388">
            <v>0</v>
          </cell>
          <cell r="AI388">
            <v>0</v>
          </cell>
          <cell r="AL388">
            <v>0</v>
          </cell>
          <cell r="AO388">
            <v>0</v>
          </cell>
        </row>
        <row r="389">
          <cell r="A389" t="str">
            <v>BoutiquePapeterie</v>
          </cell>
          <cell r="B389" t="str">
            <v>Papeterie</v>
          </cell>
          <cell r="E389">
            <v>0</v>
          </cell>
          <cell r="H389">
            <v>0</v>
          </cell>
          <cell r="K389">
            <v>0</v>
          </cell>
          <cell r="N389">
            <v>0</v>
          </cell>
          <cell r="Q389">
            <v>0</v>
          </cell>
          <cell r="T389">
            <v>0</v>
          </cell>
          <cell r="W389">
            <v>0</v>
          </cell>
          <cell r="Z389">
            <v>0</v>
          </cell>
          <cell r="AC389">
            <v>0</v>
          </cell>
          <cell r="AF389">
            <v>0</v>
          </cell>
          <cell r="AI389">
            <v>0</v>
          </cell>
          <cell r="AL389">
            <v>0</v>
          </cell>
          <cell r="AO389">
            <v>0</v>
          </cell>
        </row>
        <row r="390">
          <cell r="A390" t="str">
            <v>BoutiqueTéléphone</v>
          </cell>
          <cell r="B390" t="str">
            <v>Téléphone</v>
          </cell>
          <cell r="E390">
            <v>0</v>
          </cell>
          <cell r="H390">
            <v>0</v>
          </cell>
          <cell r="K390">
            <v>0</v>
          </cell>
          <cell r="N390">
            <v>0</v>
          </cell>
          <cell r="Q390">
            <v>0</v>
          </cell>
          <cell r="T390">
            <v>0</v>
          </cell>
          <cell r="W390">
            <v>0</v>
          </cell>
          <cell r="Z390">
            <v>0</v>
          </cell>
          <cell r="AC390">
            <v>0</v>
          </cell>
          <cell r="AF390">
            <v>0</v>
          </cell>
          <cell r="AI390">
            <v>0</v>
          </cell>
          <cell r="AL390">
            <v>0</v>
          </cell>
          <cell r="AO390">
            <v>0</v>
          </cell>
        </row>
        <row r="391">
          <cell r="A391" t="str">
            <v>BoutiqueFrais postaux</v>
          </cell>
          <cell r="B391" t="str">
            <v>Frais postaux</v>
          </cell>
          <cell r="E391">
            <v>0</v>
          </cell>
          <cell r="H391">
            <v>0</v>
          </cell>
          <cell r="K391">
            <v>0</v>
          </cell>
          <cell r="N391">
            <v>0</v>
          </cell>
          <cell r="Q391">
            <v>0</v>
          </cell>
          <cell r="T391">
            <v>0</v>
          </cell>
          <cell r="W391">
            <v>0</v>
          </cell>
          <cell r="Z391">
            <v>0</v>
          </cell>
          <cell r="AC391">
            <v>0</v>
          </cell>
          <cell r="AF391">
            <v>0</v>
          </cell>
          <cell r="AI391">
            <v>0</v>
          </cell>
          <cell r="AL391">
            <v>0</v>
          </cell>
          <cell r="AO391">
            <v>0</v>
          </cell>
        </row>
        <row r="392">
          <cell r="A392" t="str">
            <v>BoutiqueDivers</v>
          </cell>
          <cell r="B392" t="str">
            <v>Divers</v>
          </cell>
          <cell r="E392">
            <v>0</v>
          </cell>
          <cell r="H392">
            <v>0</v>
          </cell>
          <cell r="K392">
            <v>0</v>
          </cell>
          <cell r="N392">
            <v>0</v>
          </cell>
          <cell r="Q392">
            <v>0</v>
          </cell>
          <cell r="T392">
            <v>0</v>
          </cell>
          <cell r="W392">
            <v>0</v>
          </cell>
          <cell r="Z392">
            <v>0</v>
          </cell>
          <cell r="AC392">
            <v>0</v>
          </cell>
          <cell r="AF392">
            <v>0</v>
          </cell>
          <cell r="AI392">
            <v>0</v>
          </cell>
          <cell r="AL392">
            <v>0</v>
          </cell>
          <cell r="AO392">
            <v>0</v>
          </cell>
        </row>
        <row r="393">
          <cell r="A393" t="str">
            <v>BoutiqueFormation</v>
          </cell>
          <cell r="B393" t="str">
            <v>Formation</v>
          </cell>
          <cell r="E393">
            <v>0</v>
          </cell>
          <cell r="H393">
            <v>0</v>
          </cell>
          <cell r="K393">
            <v>0</v>
          </cell>
          <cell r="N393">
            <v>0</v>
          </cell>
          <cell r="Q393">
            <v>0</v>
          </cell>
          <cell r="T393">
            <v>0</v>
          </cell>
          <cell r="W393">
            <v>0</v>
          </cell>
          <cell r="Z393">
            <v>0</v>
          </cell>
          <cell r="AC393">
            <v>0</v>
          </cell>
          <cell r="AF393">
            <v>0</v>
          </cell>
          <cell r="AI393">
            <v>0</v>
          </cell>
          <cell r="AL393">
            <v>0</v>
          </cell>
          <cell r="AO393">
            <v>0</v>
          </cell>
        </row>
        <row r="394">
          <cell r="A394" t="str">
            <v>BoutiqueFrais bancaires</v>
          </cell>
          <cell r="B394" t="str">
            <v>Frais bancaires</v>
          </cell>
          <cell r="E394">
            <v>0</v>
          </cell>
          <cell r="H394">
            <v>0</v>
          </cell>
          <cell r="K394">
            <v>0</v>
          </cell>
          <cell r="N394">
            <v>0</v>
          </cell>
          <cell r="Q394">
            <v>0</v>
          </cell>
          <cell r="T394">
            <v>0</v>
          </cell>
          <cell r="W394">
            <v>0</v>
          </cell>
          <cell r="Z394">
            <v>0</v>
          </cell>
          <cell r="AC394">
            <v>0</v>
          </cell>
          <cell r="AF394">
            <v>0</v>
          </cell>
          <cell r="AI394">
            <v>0</v>
          </cell>
          <cell r="AL394">
            <v>0</v>
          </cell>
          <cell r="AO394">
            <v>0</v>
          </cell>
        </row>
        <row r="395">
          <cell r="A395" t="str">
            <v>Boutique[...]</v>
          </cell>
          <cell r="B395" t="str">
            <v>[...]</v>
          </cell>
          <cell r="E395">
            <v>0</v>
          </cell>
        </row>
        <row r="396">
          <cell r="A396" t="str">
            <v>Boutique[...]</v>
          </cell>
          <cell r="B396" t="str">
            <v>[...]</v>
          </cell>
          <cell r="E396">
            <v>0</v>
          </cell>
        </row>
        <row r="397">
          <cell r="A397" t="str">
            <v>Boutique[...]</v>
          </cell>
          <cell r="B397" t="str">
            <v>[...]</v>
          </cell>
          <cell r="E397">
            <v>0</v>
          </cell>
        </row>
        <row r="398">
          <cell r="A398" t="str">
            <v>BoutiqueTOTAL SEMI-FIXES</v>
          </cell>
          <cell r="B398" t="str">
            <v>TOTAL SEMI-FIXES</v>
          </cell>
          <cell r="C398" t="str">
            <v>% brut</v>
          </cell>
          <cell r="D398">
            <v>0</v>
          </cell>
          <cell r="E398">
            <v>0</v>
          </cell>
          <cell r="F398" t="str">
            <v>% brut</v>
          </cell>
          <cell r="G398">
            <v>0</v>
          </cell>
          <cell r="H398">
            <v>0</v>
          </cell>
          <cell r="I398" t="str">
            <v>% brut</v>
          </cell>
          <cell r="J398">
            <v>0</v>
          </cell>
          <cell r="K398">
            <v>0</v>
          </cell>
          <cell r="L398" t="str">
            <v>% brut</v>
          </cell>
          <cell r="M398">
            <v>0</v>
          </cell>
          <cell r="N398">
            <v>0</v>
          </cell>
          <cell r="O398" t="str">
            <v>% brut</v>
          </cell>
          <cell r="P398">
            <v>0</v>
          </cell>
          <cell r="Q398">
            <v>0</v>
          </cell>
          <cell r="R398" t="str">
            <v>% brut</v>
          </cell>
          <cell r="S398">
            <v>0</v>
          </cell>
          <cell r="T398">
            <v>0</v>
          </cell>
          <cell r="U398" t="str">
            <v>% brut</v>
          </cell>
          <cell r="V398">
            <v>0</v>
          </cell>
          <cell r="W398">
            <v>0</v>
          </cell>
          <cell r="X398" t="str">
            <v>% brut</v>
          </cell>
          <cell r="Y398">
            <v>0</v>
          </cell>
          <cell r="Z398">
            <v>0</v>
          </cell>
          <cell r="AA398" t="str">
            <v>% brut</v>
          </cell>
          <cell r="AB398">
            <v>0</v>
          </cell>
          <cell r="AC398">
            <v>0</v>
          </cell>
          <cell r="AD398" t="str">
            <v>% brut</v>
          </cell>
          <cell r="AE398">
            <v>0</v>
          </cell>
          <cell r="AF398">
            <v>0</v>
          </cell>
          <cell r="AG398" t="str">
            <v>% brut</v>
          </cell>
          <cell r="AH398">
            <v>0</v>
          </cell>
          <cell r="AI398">
            <v>0</v>
          </cell>
          <cell r="AJ398" t="str">
            <v>% brut</v>
          </cell>
          <cell r="AK398">
            <v>0</v>
          </cell>
          <cell r="AL398">
            <v>0</v>
          </cell>
          <cell r="AM398" t="str">
            <v>% brut</v>
          </cell>
          <cell r="AN398">
            <v>0</v>
          </cell>
          <cell r="AO398">
            <v>0</v>
          </cell>
        </row>
        <row r="399">
          <cell r="A399" t="str">
            <v>Boutique</v>
          </cell>
        </row>
        <row r="400">
          <cell r="A400" t="str">
            <v>BoutiqueTOTAL DES DÉPENSES</v>
          </cell>
          <cell r="B400" t="str">
            <v>TOTAL DES DÉPENSES</v>
          </cell>
          <cell r="C400" t="str">
            <v>% brut</v>
          </cell>
          <cell r="D400">
            <v>0</v>
          </cell>
          <cell r="E400">
            <v>0</v>
          </cell>
          <cell r="F400" t="str">
            <v>% brut</v>
          </cell>
          <cell r="G400">
            <v>0</v>
          </cell>
          <cell r="H400">
            <v>0</v>
          </cell>
          <cell r="I400" t="str">
            <v>% brut</v>
          </cell>
          <cell r="J400">
            <v>0</v>
          </cell>
          <cell r="K400">
            <v>0</v>
          </cell>
          <cell r="L400" t="str">
            <v>% brut</v>
          </cell>
          <cell r="M400">
            <v>0</v>
          </cell>
          <cell r="N400">
            <v>0</v>
          </cell>
          <cell r="O400" t="str">
            <v>% brut</v>
          </cell>
          <cell r="P400">
            <v>0</v>
          </cell>
          <cell r="Q400">
            <v>0</v>
          </cell>
          <cell r="R400" t="str">
            <v>% brut</v>
          </cell>
          <cell r="S400">
            <v>0</v>
          </cell>
          <cell r="T400">
            <v>0</v>
          </cell>
          <cell r="U400" t="str">
            <v>% brut</v>
          </cell>
          <cell r="V400">
            <v>0</v>
          </cell>
          <cell r="W400">
            <v>0</v>
          </cell>
          <cell r="X400" t="str">
            <v>% brut</v>
          </cell>
          <cell r="Y400">
            <v>0</v>
          </cell>
          <cell r="Z400">
            <v>0</v>
          </cell>
          <cell r="AA400" t="str">
            <v>% brut</v>
          </cell>
          <cell r="AB400">
            <v>0</v>
          </cell>
          <cell r="AC400">
            <v>0</v>
          </cell>
          <cell r="AD400" t="str">
            <v>% brut</v>
          </cell>
          <cell r="AE400">
            <v>0</v>
          </cell>
          <cell r="AF400">
            <v>0</v>
          </cell>
          <cell r="AG400" t="str">
            <v>% brut</v>
          </cell>
          <cell r="AH400">
            <v>0</v>
          </cell>
          <cell r="AI400">
            <v>0</v>
          </cell>
          <cell r="AJ400" t="str">
            <v>% brut</v>
          </cell>
          <cell r="AK400">
            <v>0</v>
          </cell>
          <cell r="AL400">
            <v>0</v>
          </cell>
          <cell r="AM400" t="str">
            <v>% brut</v>
          </cell>
          <cell r="AN400">
            <v>0</v>
          </cell>
          <cell r="AO400">
            <v>0</v>
          </cell>
        </row>
        <row r="401">
          <cell r="A401" t="str">
            <v>Boutique</v>
          </cell>
        </row>
        <row r="402">
          <cell r="A402" t="str">
            <v>BoutiquePROFIT DÉPARTEMENTAL</v>
          </cell>
          <cell r="B402" t="str">
            <v>PROFIT DÉPARTEMENTAL</v>
          </cell>
          <cell r="E402">
            <v>0</v>
          </cell>
          <cell r="H402">
            <v>0</v>
          </cell>
          <cell r="K402">
            <v>0</v>
          </cell>
          <cell r="N402">
            <v>0</v>
          </cell>
          <cell r="Q402">
            <v>0</v>
          </cell>
          <cell r="T402">
            <v>0</v>
          </cell>
          <cell r="W402">
            <v>0</v>
          </cell>
          <cell r="Z402">
            <v>0</v>
          </cell>
          <cell r="AC402">
            <v>0</v>
          </cell>
          <cell r="AF402">
            <v>0</v>
          </cell>
          <cell r="AI402">
            <v>0</v>
          </cell>
          <cell r="AL402">
            <v>0</v>
          </cell>
          <cell r="AO402">
            <v>0</v>
          </cell>
        </row>
        <row r="404">
          <cell r="H404">
            <v>0</v>
          </cell>
          <cell r="K404">
            <v>0</v>
          </cell>
          <cell r="N404">
            <v>0</v>
          </cell>
          <cell r="Q404">
            <v>0</v>
          </cell>
          <cell r="T404">
            <v>0</v>
          </cell>
          <cell r="W404">
            <v>0</v>
          </cell>
          <cell r="Z404">
            <v>0</v>
          </cell>
          <cell r="AC404">
            <v>0</v>
          </cell>
          <cell r="AF404">
            <v>0</v>
          </cell>
          <cell r="AI404">
            <v>0</v>
          </cell>
          <cell r="AL404">
            <v>0</v>
          </cell>
          <cell r="AO404">
            <v>0</v>
          </cell>
        </row>
        <row r="405">
          <cell r="B405" t="str">
            <v>Réel 2023</v>
          </cell>
          <cell r="C405" t="str">
            <v>TOTAL  DES  REVENUS  ET  DÉPENSES</v>
          </cell>
        </row>
        <row r="406">
          <cell r="H406">
            <v>3999179.9999999888</v>
          </cell>
          <cell r="K406">
            <v>3439148.8599999901</v>
          </cell>
          <cell r="N406">
            <v>4656035.2599999793</v>
          </cell>
          <cell r="Q406">
            <v>3178713.4899999993</v>
          </cell>
          <cell r="T406">
            <v>5194257.959999999</v>
          </cell>
          <cell r="W406">
            <v>5520989.48999999</v>
          </cell>
          <cell r="Z406">
            <v>4651900.0099999886</v>
          </cell>
          <cell r="AC406">
            <v>5316242.4199999981</v>
          </cell>
          <cell r="AF406">
            <v>4572850.42</v>
          </cell>
          <cell r="AI406">
            <v>10612462.84999999</v>
          </cell>
          <cell r="AL406">
            <v>12335062.559999999</v>
          </cell>
          <cell r="AO406">
            <v>9614340.6600000001</v>
          </cell>
        </row>
        <row r="407">
          <cell r="B407" t="str">
            <v>Mois</v>
          </cell>
          <cell r="C407">
            <v>2023</v>
          </cell>
          <cell r="F407" t="str">
            <v>Janvier</v>
          </cell>
          <cell r="I407" t="str">
            <v>Février</v>
          </cell>
          <cell r="L407" t="str">
            <v>Mars</v>
          </cell>
          <cell r="O407" t="str">
            <v>Avril</v>
          </cell>
          <cell r="R407" t="str">
            <v>Mai</v>
          </cell>
          <cell r="U407" t="str">
            <v>Juin</v>
          </cell>
          <cell r="X407" t="str">
            <v>Juillet</v>
          </cell>
          <cell r="AA407" t="str">
            <v>Août</v>
          </cell>
          <cell r="AD407" t="str">
            <v>Septembre</v>
          </cell>
          <cell r="AG407" t="str">
            <v>Octobre</v>
          </cell>
          <cell r="AJ407" t="str">
            <v>Novembre</v>
          </cell>
          <cell r="AM407" t="str">
            <v>Décembre</v>
          </cell>
        </row>
        <row r="408">
          <cell r="C408" t="str">
            <v>%P.Brut</v>
          </cell>
          <cell r="D408" t="str">
            <v>$/Unite</v>
          </cell>
          <cell r="E408" t="str">
            <v>$TOTAL</v>
          </cell>
          <cell r="F408" t="str">
            <v>%P.Brut</v>
          </cell>
          <cell r="G408" t="str">
            <v>$/Unite</v>
          </cell>
          <cell r="H408" t="str">
            <v>$TOTAL</v>
          </cell>
          <cell r="I408" t="str">
            <v>%P.Brut</v>
          </cell>
          <cell r="J408" t="str">
            <v>$/Unite</v>
          </cell>
          <cell r="K408" t="str">
            <v>$TOTAL</v>
          </cell>
          <cell r="L408" t="str">
            <v>%P.Brut</v>
          </cell>
          <cell r="M408" t="str">
            <v>$/Unite</v>
          </cell>
          <cell r="N408" t="str">
            <v>$TOTAL</v>
          </cell>
          <cell r="O408" t="str">
            <v>%P.Brut</v>
          </cell>
          <cell r="P408" t="str">
            <v>$/Unite</v>
          </cell>
          <cell r="Q408" t="str">
            <v>$TOTAL</v>
          </cell>
          <cell r="R408" t="str">
            <v>%P.Brut</v>
          </cell>
          <cell r="S408" t="str">
            <v>$/Unite</v>
          </cell>
          <cell r="T408" t="str">
            <v>$TOTAL</v>
          </cell>
          <cell r="U408" t="str">
            <v>%P.Brut</v>
          </cell>
          <cell r="V408" t="str">
            <v>$/Unite</v>
          </cell>
          <cell r="W408" t="str">
            <v>$TOTAL</v>
          </cell>
          <cell r="X408" t="str">
            <v>%P.Brut</v>
          </cell>
          <cell r="Y408" t="str">
            <v>$/Unite</v>
          </cell>
          <cell r="Z408" t="str">
            <v>$TOTAL</v>
          </cell>
          <cell r="AA408" t="str">
            <v>%P.Brut</v>
          </cell>
          <cell r="AB408" t="str">
            <v>$/Unite</v>
          </cell>
          <cell r="AC408" t="str">
            <v>$TOTAL</v>
          </cell>
          <cell r="AD408" t="str">
            <v>%P.Brut</v>
          </cell>
          <cell r="AE408" t="str">
            <v>$/Unite</v>
          </cell>
          <cell r="AF408" t="str">
            <v>$TOTAL</v>
          </cell>
          <cell r="AG408" t="str">
            <v>%P.Brut</v>
          </cell>
          <cell r="AH408" t="str">
            <v>$/Unite</v>
          </cell>
          <cell r="AI408" t="str">
            <v>$TOTAL</v>
          </cell>
          <cell r="AJ408" t="str">
            <v>%P.Brut</v>
          </cell>
          <cell r="AK408" t="str">
            <v>$/Unite</v>
          </cell>
          <cell r="AL408" t="str">
            <v>$TOTAL</v>
          </cell>
          <cell r="AM408" t="str">
            <v>%P.Brut</v>
          </cell>
          <cell r="AN408" t="str">
            <v>$/Unite</v>
          </cell>
          <cell r="AO408" t="str">
            <v>$TOTAL</v>
          </cell>
        </row>
        <row r="409">
          <cell r="A409" t="str">
            <v>Ventes nettes</v>
          </cell>
          <cell r="B409" t="str">
            <v>Ventes nettes</v>
          </cell>
          <cell r="E409">
            <v>73091183.97999993</v>
          </cell>
          <cell r="H409">
            <v>3999179.9999999888</v>
          </cell>
          <cell r="K409">
            <v>3439148.8599999901</v>
          </cell>
          <cell r="N409">
            <v>4656035.2599999793</v>
          </cell>
          <cell r="Q409">
            <v>3178713.4899999993</v>
          </cell>
          <cell r="T409">
            <v>5194257.959999999</v>
          </cell>
          <cell r="W409">
            <v>5520989.48999999</v>
          </cell>
          <cell r="Z409">
            <v>4651900.0099999886</v>
          </cell>
          <cell r="AC409">
            <v>5316242.4199999981</v>
          </cell>
          <cell r="AF409">
            <v>4572850.42</v>
          </cell>
          <cell r="AI409">
            <v>10612462.84999999</v>
          </cell>
          <cell r="AL409">
            <v>12335062.559999999</v>
          </cell>
          <cell r="AO409">
            <v>9614340.6600000001</v>
          </cell>
        </row>
        <row r="410">
          <cell r="A410" t="str">
            <v>Profit brut</v>
          </cell>
          <cell r="B410" t="str">
            <v>Profit brut</v>
          </cell>
          <cell r="E410">
            <v>7457958.609999991</v>
          </cell>
          <cell r="H410">
            <v>517816.86999999959</v>
          </cell>
          <cell r="K410">
            <v>416073.91999999958</v>
          </cell>
          <cell r="N410">
            <v>588626.91999999934</v>
          </cell>
          <cell r="Q410">
            <v>569361.15999999933</v>
          </cell>
          <cell r="T410">
            <v>715448.58999999845</v>
          </cell>
          <cell r="W410">
            <v>675919.48999999906</v>
          </cell>
          <cell r="Z410">
            <v>612382.99999999919</v>
          </cell>
          <cell r="AC410">
            <v>650658.82999999949</v>
          </cell>
          <cell r="AF410">
            <v>628292.67999999947</v>
          </cell>
          <cell r="AI410">
            <v>740004.24999999872</v>
          </cell>
          <cell r="AL410">
            <v>822976.9299999997</v>
          </cell>
          <cell r="AO410">
            <v>520395.96999999927</v>
          </cell>
        </row>
        <row r="411">
          <cell r="A411" t="str">
            <v>DÉPENSES</v>
          </cell>
          <cell r="B411" t="str">
            <v>DÉPENSES</v>
          </cell>
        </row>
        <row r="412">
          <cell r="A412" t="str">
            <v>Comm. vendeurs</v>
          </cell>
          <cell r="B412" t="str">
            <v>Comm. vendeurs</v>
          </cell>
          <cell r="C412">
            <v>0.33494515307471034</v>
          </cell>
          <cell r="D412">
            <v>716.13371338912145</v>
          </cell>
          <cell r="E412">
            <v>684623.83000000007</v>
          </cell>
          <cell r="G412">
            <v>491.23102941176467</v>
          </cell>
          <cell r="H412">
            <v>33403.71</v>
          </cell>
          <cell r="J412">
            <v>763.82375000000002</v>
          </cell>
          <cell r="K412">
            <v>36663.54</v>
          </cell>
          <cell r="M412">
            <v>1012.7643835616439</v>
          </cell>
          <cell r="N412">
            <v>73931.8</v>
          </cell>
          <cell r="P412">
            <v>1161.6527083333333</v>
          </cell>
          <cell r="Q412">
            <v>55759.33</v>
          </cell>
          <cell r="S412">
            <v>973.73676056338024</v>
          </cell>
          <cell r="T412">
            <v>69135.31</v>
          </cell>
          <cell r="V412">
            <v>853.46062500000005</v>
          </cell>
          <cell r="W412">
            <v>68276.850000000006</v>
          </cell>
          <cell r="Y412">
            <v>930.65569444444429</v>
          </cell>
          <cell r="Z412">
            <v>67007.209999999992</v>
          </cell>
          <cell r="AB412">
            <v>798.98139240506327</v>
          </cell>
          <cell r="AC412">
            <v>63119.53</v>
          </cell>
          <cell r="AE412">
            <v>589.43313953488371</v>
          </cell>
          <cell r="AF412">
            <v>50691.25</v>
          </cell>
          <cell r="AH412">
            <v>802.9314117647059</v>
          </cell>
          <cell r="AI412">
            <v>68249.17</v>
          </cell>
          <cell r="AK412">
            <v>488.55706422018352</v>
          </cell>
          <cell r="AL412">
            <v>53252.72</v>
          </cell>
          <cell r="AN412">
            <v>654.10739130434786</v>
          </cell>
          <cell r="AO412">
            <v>45133.41</v>
          </cell>
        </row>
        <row r="413">
          <cell r="A413" t="str">
            <v>Comm. F&amp;I</v>
          </cell>
          <cell r="B413" t="str">
            <v>Comm. F&amp;I</v>
          </cell>
          <cell r="C413">
            <v>0.3019776972795768</v>
          </cell>
          <cell r="D413">
            <v>454.03748873873872</v>
          </cell>
          <cell r="E413">
            <v>403185.29</v>
          </cell>
          <cell r="G413">
            <v>385.17455882352942</v>
          </cell>
          <cell r="H413">
            <v>26191.87</v>
          </cell>
          <cell r="J413">
            <v>498.76270833333336</v>
          </cell>
          <cell r="K413">
            <v>23940.61</v>
          </cell>
          <cell r="M413">
            <v>549.29808219178074</v>
          </cell>
          <cell r="N413">
            <v>40098.759999999995</v>
          </cell>
          <cell r="P413">
            <v>578.87104166666666</v>
          </cell>
          <cell r="Q413">
            <v>27785.809999999998</v>
          </cell>
          <cell r="S413">
            <v>553.62056338028162</v>
          </cell>
          <cell r="T413">
            <v>39307.06</v>
          </cell>
          <cell r="V413">
            <v>443.94837500000006</v>
          </cell>
          <cell r="W413">
            <v>35515.870000000003</v>
          </cell>
          <cell r="Y413">
            <v>439.10263888888886</v>
          </cell>
          <cell r="Z413">
            <v>31615.39</v>
          </cell>
          <cell r="AB413">
            <v>542.49569620253169</v>
          </cell>
          <cell r="AC413">
            <v>42857.16</v>
          </cell>
          <cell r="AE413">
            <v>433.83569767441861</v>
          </cell>
          <cell r="AF413">
            <v>37309.870000000003</v>
          </cell>
          <cell r="AH413">
            <v>436.61976470588235</v>
          </cell>
          <cell r="AI413">
            <v>37112.68</v>
          </cell>
          <cell r="AK413">
            <v>334.64825688073398</v>
          </cell>
          <cell r="AL413">
            <v>36476.660000000003</v>
          </cell>
          <cell r="AN413">
            <v>361.9355072463768</v>
          </cell>
          <cell r="AO413">
            <v>24973.55</v>
          </cell>
        </row>
        <row r="414">
          <cell r="A414" t="str">
            <v>Frais de livraison</v>
          </cell>
          <cell r="B414" t="str">
            <v>Frais de livraison</v>
          </cell>
          <cell r="D414">
            <v>77.016846846846832</v>
          </cell>
          <cell r="E414">
            <v>68390.959999999992</v>
          </cell>
          <cell r="G414">
            <v>50.077058823529406</v>
          </cell>
          <cell r="H414">
            <v>3405.24</v>
          </cell>
          <cell r="J414">
            <v>137.31479166666665</v>
          </cell>
          <cell r="K414">
            <v>6591.11</v>
          </cell>
          <cell r="M414">
            <v>41.720547945205482</v>
          </cell>
          <cell r="N414">
            <v>3045.6</v>
          </cell>
          <cell r="P414">
            <v>46.353958333333338</v>
          </cell>
          <cell r="Q414">
            <v>2224.9900000000002</v>
          </cell>
          <cell r="S414">
            <v>66.744507042253517</v>
          </cell>
          <cell r="T414">
            <v>4738.8599999999997</v>
          </cell>
          <cell r="V414">
            <v>69.216750000000005</v>
          </cell>
          <cell r="W414">
            <v>5537.34</v>
          </cell>
          <cell r="Y414">
            <v>67.379166666666663</v>
          </cell>
          <cell r="Z414">
            <v>4851.3</v>
          </cell>
          <cell r="AB414">
            <v>79.651518987341774</v>
          </cell>
          <cell r="AC414">
            <v>6292.47</v>
          </cell>
          <cell r="AE414">
            <v>41.827906976744181</v>
          </cell>
          <cell r="AF414">
            <v>3597.2</v>
          </cell>
          <cell r="AH414">
            <v>93.197058823529417</v>
          </cell>
          <cell r="AI414">
            <v>7921.75</v>
          </cell>
          <cell r="AK414">
            <v>112.51394495412843</v>
          </cell>
          <cell r="AL414">
            <v>12264.019999999999</v>
          </cell>
          <cell r="AN414">
            <v>114.79826086956521</v>
          </cell>
          <cell r="AO414">
            <v>7921.08</v>
          </cell>
        </row>
        <row r="415">
          <cell r="A415" t="str">
            <v>Service gratuit 1</v>
          </cell>
          <cell r="B415" t="str">
            <v>Service gratuit 1</v>
          </cell>
          <cell r="D415">
            <v>14.472804054054052</v>
          </cell>
          <cell r="E415">
            <v>12851.849999999999</v>
          </cell>
          <cell r="G415">
            <v>0.80882352941176472</v>
          </cell>
          <cell r="H415">
            <v>55</v>
          </cell>
          <cell r="J415">
            <v>0</v>
          </cell>
          <cell r="K415">
            <v>0</v>
          </cell>
          <cell r="M415">
            <v>-20.396027397260276</v>
          </cell>
          <cell r="N415">
            <v>-1488.91</v>
          </cell>
          <cell r="P415">
            <v>4.375</v>
          </cell>
          <cell r="Q415">
            <v>210</v>
          </cell>
          <cell r="S415">
            <v>6.3423943661971833</v>
          </cell>
          <cell r="T415">
            <v>450.31</v>
          </cell>
          <cell r="V415">
            <v>0</v>
          </cell>
          <cell r="W415">
            <v>0</v>
          </cell>
          <cell r="Y415">
            <v>9.1704166666666662</v>
          </cell>
          <cell r="Z415">
            <v>660.27</v>
          </cell>
          <cell r="AB415">
            <v>3.1829113924050629</v>
          </cell>
          <cell r="AC415">
            <v>251.45</v>
          </cell>
          <cell r="AE415">
            <v>9.0579069767441869</v>
          </cell>
          <cell r="AF415">
            <v>778.98</v>
          </cell>
          <cell r="AH415">
            <v>27.064588235294114</v>
          </cell>
          <cell r="AI415">
            <v>2300.4899999999998</v>
          </cell>
          <cell r="AK415">
            <v>64.881009174311927</v>
          </cell>
          <cell r="AL415">
            <v>7072.03</v>
          </cell>
          <cell r="AN415">
            <v>37.133768115942033</v>
          </cell>
          <cell r="AO415">
            <v>2562.23</v>
          </cell>
        </row>
        <row r="416">
          <cell r="A416" t="str">
            <v>Entretien stock</v>
          </cell>
          <cell r="B416" t="str">
            <v>Entretien stock</v>
          </cell>
          <cell r="D416">
            <v>110.89993243243245</v>
          </cell>
          <cell r="E416">
            <v>98479.140000000014</v>
          </cell>
          <cell r="G416">
            <v>95.485441176470587</v>
          </cell>
          <cell r="H416">
            <v>6493.01</v>
          </cell>
          <cell r="J416">
            <v>166.87833333333333</v>
          </cell>
          <cell r="K416">
            <v>8010.16</v>
          </cell>
          <cell r="M416">
            <v>77.26178082191781</v>
          </cell>
          <cell r="N416">
            <v>5640.1100000000006</v>
          </cell>
          <cell r="P416">
            <v>161.70500000000001</v>
          </cell>
          <cell r="Q416">
            <v>7761.84</v>
          </cell>
          <cell r="S416">
            <v>114.65267605633802</v>
          </cell>
          <cell r="T416">
            <v>8140.34</v>
          </cell>
          <cell r="V416">
            <v>101.99487500000001</v>
          </cell>
          <cell r="W416">
            <v>8159.59</v>
          </cell>
          <cell r="Y416">
            <v>123.27194444444444</v>
          </cell>
          <cell r="Z416">
            <v>8875.58</v>
          </cell>
          <cell r="AB416">
            <v>108.44645569620253</v>
          </cell>
          <cell r="AC416">
            <v>8567.27</v>
          </cell>
          <cell r="AE416">
            <v>99.293488372093023</v>
          </cell>
          <cell r="AF416">
            <v>8539.24</v>
          </cell>
          <cell r="AH416">
            <v>111.43411764705881</v>
          </cell>
          <cell r="AI416">
            <v>9471.9</v>
          </cell>
          <cell r="AK416">
            <v>104.90669724770642</v>
          </cell>
          <cell r="AL416">
            <v>11434.83</v>
          </cell>
          <cell r="AN416">
            <v>107.03289855072464</v>
          </cell>
          <cell r="AO416">
            <v>7385.27</v>
          </cell>
        </row>
        <row r="417">
          <cell r="A417" t="str">
            <v>Publicité 1</v>
          </cell>
          <cell r="B417" t="str">
            <v>Publicité 1</v>
          </cell>
          <cell r="D417">
            <v>236.88950450450446</v>
          </cell>
          <cell r="E417">
            <v>210357.87999999995</v>
          </cell>
          <cell r="G417">
            <v>111.62588235294118</v>
          </cell>
          <cell r="H417">
            <v>7590.56</v>
          </cell>
          <cell r="J417">
            <v>314.77333333333331</v>
          </cell>
          <cell r="K417">
            <v>15109.119999999999</v>
          </cell>
          <cell r="M417">
            <v>176.76808219178071</v>
          </cell>
          <cell r="N417">
            <v>12904.069999999991</v>
          </cell>
          <cell r="P417">
            <v>368.4883333333334</v>
          </cell>
          <cell r="Q417">
            <v>17687.440000000002</v>
          </cell>
          <cell r="S417">
            <v>289.73464788732377</v>
          </cell>
          <cell r="T417">
            <v>20571.159999999989</v>
          </cell>
          <cell r="V417">
            <v>261.49475000000001</v>
          </cell>
          <cell r="W417">
            <v>20919.580000000002</v>
          </cell>
          <cell r="Y417">
            <v>262.21513888888876</v>
          </cell>
          <cell r="Z417">
            <v>18879.489999999991</v>
          </cell>
          <cell r="AB417">
            <v>163.09050632911379</v>
          </cell>
          <cell r="AC417">
            <v>12884.149999999991</v>
          </cell>
          <cell r="AE417">
            <v>168.29313953488361</v>
          </cell>
          <cell r="AF417">
            <v>14473.20999999999</v>
          </cell>
          <cell r="AH417">
            <v>292.33129411764708</v>
          </cell>
          <cell r="AI417">
            <v>24848.16</v>
          </cell>
          <cell r="AK417">
            <v>163.18321100917422</v>
          </cell>
          <cell r="AL417">
            <v>17786.96999999999</v>
          </cell>
          <cell r="AN417">
            <v>387.01405797101432</v>
          </cell>
          <cell r="AO417">
            <v>26703.96999999999</v>
          </cell>
        </row>
        <row r="418">
          <cell r="A418" t="str">
            <v>Intérêt de gros</v>
          </cell>
          <cell r="B418" t="str">
            <v>Intérêt de gros</v>
          </cell>
          <cell r="D418">
            <v>115.53834459459458</v>
          </cell>
          <cell r="E418">
            <v>102598.04999999999</v>
          </cell>
          <cell r="G418">
            <v>180.3785294117647</v>
          </cell>
          <cell r="H418">
            <v>12265.74</v>
          </cell>
          <cell r="J418">
            <v>181.78166666666667</v>
          </cell>
          <cell r="K418">
            <v>8725.52</v>
          </cell>
          <cell r="M418">
            <v>95.617808219178087</v>
          </cell>
          <cell r="N418">
            <v>6980.1</v>
          </cell>
          <cell r="P418">
            <v>81.029375000000002</v>
          </cell>
          <cell r="Q418">
            <v>3889.41</v>
          </cell>
          <cell r="S418">
            <v>113.19084507042254</v>
          </cell>
          <cell r="T418">
            <v>8036.55</v>
          </cell>
          <cell r="V418">
            <v>78.718625000000003</v>
          </cell>
          <cell r="W418">
            <v>6297.49</v>
          </cell>
          <cell r="Y418">
            <v>81.453888888888898</v>
          </cell>
          <cell r="Z418">
            <v>5864.68</v>
          </cell>
          <cell r="AB418">
            <v>91.770379746835445</v>
          </cell>
          <cell r="AC418">
            <v>7249.86</v>
          </cell>
          <cell r="AE418">
            <v>65.783953488372092</v>
          </cell>
          <cell r="AF418">
            <v>5657.42</v>
          </cell>
          <cell r="AH418">
            <v>0</v>
          </cell>
          <cell r="AI418">
            <v>0</v>
          </cell>
          <cell r="AK418">
            <v>183.8651376146789</v>
          </cell>
          <cell r="AL418">
            <v>20041.3</v>
          </cell>
          <cell r="AN418">
            <v>254.92724637681158</v>
          </cell>
          <cell r="AO418">
            <v>17589.98</v>
          </cell>
        </row>
        <row r="419">
          <cell r="A419" t="str">
            <v>[...]</v>
          </cell>
          <cell r="B419" t="str">
            <v>[...]</v>
          </cell>
          <cell r="E419">
            <v>0</v>
          </cell>
          <cell r="H419">
            <v>0</v>
          </cell>
          <cell r="K419">
            <v>0</v>
          </cell>
          <cell r="N419">
            <v>0</v>
          </cell>
          <cell r="Q419">
            <v>0</v>
          </cell>
          <cell r="T419">
            <v>0</v>
          </cell>
          <cell r="W419">
            <v>0</v>
          </cell>
          <cell r="Z419">
            <v>0</v>
          </cell>
          <cell r="AC419">
            <v>0</v>
          </cell>
          <cell r="AF419">
            <v>0</v>
          </cell>
          <cell r="AI419">
            <v>0</v>
          </cell>
          <cell r="AL419">
            <v>0</v>
          </cell>
          <cell r="AO419">
            <v>0</v>
          </cell>
        </row>
        <row r="420">
          <cell r="A420" t="str">
            <v>[...]</v>
          </cell>
          <cell r="B420" t="str">
            <v>[...]</v>
          </cell>
          <cell r="E420">
            <v>0</v>
          </cell>
          <cell r="H420">
            <v>0</v>
          </cell>
          <cell r="K420">
            <v>0</v>
          </cell>
          <cell r="N420">
            <v>0</v>
          </cell>
          <cell r="Q420">
            <v>0</v>
          </cell>
          <cell r="T420">
            <v>0</v>
          </cell>
          <cell r="W420">
            <v>0</v>
          </cell>
          <cell r="Z420">
            <v>0</v>
          </cell>
          <cell r="AC420">
            <v>0</v>
          </cell>
          <cell r="AF420">
            <v>0</v>
          </cell>
          <cell r="AI420">
            <v>0</v>
          </cell>
          <cell r="AL420">
            <v>0</v>
          </cell>
          <cell r="AO420">
            <v>0</v>
          </cell>
        </row>
        <row r="421">
          <cell r="A421" t="str">
            <v>[...]</v>
          </cell>
          <cell r="B421" t="str">
            <v>[...]</v>
          </cell>
          <cell r="E421">
            <v>0</v>
          </cell>
          <cell r="H421">
            <v>0</v>
          </cell>
          <cell r="K421">
            <v>0</v>
          </cell>
          <cell r="N421">
            <v>0</v>
          </cell>
          <cell r="Q421">
            <v>0</v>
          </cell>
          <cell r="T421">
            <v>0</v>
          </cell>
          <cell r="W421">
            <v>0</v>
          </cell>
          <cell r="Z421">
            <v>0</v>
          </cell>
          <cell r="AC421">
            <v>0</v>
          </cell>
          <cell r="AF421">
            <v>0</v>
          </cell>
          <cell r="AI421">
            <v>0</v>
          </cell>
          <cell r="AL421">
            <v>0</v>
          </cell>
          <cell r="AO421">
            <v>0</v>
          </cell>
        </row>
        <row r="422">
          <cell r="A422" t="str">
            <v>TOTAL VARIABLES</v>
          </cell>
          <cell r="B422" t="str">
            <v>TOTAL VARIABLES</v>
          </cell>
          <cell r="C422">
            <v>0.2119195188185688</v>
          </cell>
          <cell r="D422">
            <v>1724.9886345602924</v>
          </cell>
          <cell r="E422">
            <v>1580487.0000000002</v>
          </cell>
          <cell r="F422">
            <v>0.17265781626620252</v>
          </cell>
          <cell r="H422">
            <v>89405.13</v>
          </cell>
          <cell r="I422">
            <v>0.23803477036003626</v>
          </cell>
          <cell r="K422">
            <v>99040.06</v>
          </cell>
          <cell r="L422">
            <v>0.23972999739801257</v>
          </cell>
          <cell r="N422">
            <v>141111.53</v>
          </cell>
          <cell r="O422">
            <v>0.20254072125327297</v>
          </cell>
          <cell r="Q422">
            <v>115318.82</v>
          </cell>
          <cell r="R422">
            <v>0.21018923246462795</v>
          </cell>
          <cell r="T422">
            <v>150379.58999999997</v>
          </cell>
          <cell r="U422">
            <v>0.21408869272285694</v>
          </cell>
          <cell r="W422">
            <v>144706.71999999997</v>
          </cell>
          <cell r="X422">
            <v>0.22494732871421996</v>
          </cell>
          <cell r="Z422">
            <v>137753.91999999998</v>
          </cell>
          <cell r="AA422">
            <v>0.21704445323519253</v>
          </cell>
          <cell r="AC422">
            <v>141221.88999999998</v>
          </cell>
          <cell r="AD422">
            <v>0.19266048109935022</v>
          </cell>
          <cell r="AF422">
            <v>121047.16999999998</v>
          </cell>
          <cell r="AG422">
            <v>0.20257201225533536</v>
          </cell>
          <cell r="AI422">
            <v>149904.15</v>
          </cell>
          <cell r="AJ422">
            <v>0.19238513769760235</v>
          </cell>
          <cell r="AL422">
            <v>158328.53</v>
          </cell>
          <cell r="AM422">
            <v>0.25417085762597313</v>
          </cell>
          <cell r="AO422">
            <v>132269.49</v>
          </cell>
        </row>
        <row r="423">
          <cell r="A423" t="str">
            <v>Salaires propriétaire</v>
          </cell>
          <cell r="B423" t="str">
            <v>Salaires propriétaire</v>
          </cell>
          <cell r="E423">
            <v>189463.65999999977</v>
          </cell>
          <cell r="H423">
            <v>21422.59</v>
          </cell>
          <cell r="K423">
            <v>17118.73</v>
          </cell>
          <cell r="N423">
            <v>16324.92</v>
          </cell>
          <cell r="Q423">
            <v>17494.309999999899</v>
          </cell>
          <cell r="T423">
            <v>20877.259999999998</v>
          </cell>
          <cell r="W423">
            <v>19731.150000000001</v>
          </cell>
          <cell r="Z423">
            <v>13077</v>
          </cell>
          <cell r="AC423">
            <v>15225.4199999999</v>
          </cell>
          <cell r="AF423">
            <v>14442.3</v>
          </cell>
          <cell r="AI423">
            <v>12153.84</v>
          </cell>
          <cell r="AL423">
            <v>12153.84</v>
          </cell>
          <cell r="AO423">
            <v>9442.2999999999993</v>
          </cell>
        </row>
        <row r="424">
          <cell r="A424" t="str">
            <v>Salaires cadres</v>
          </cell>
          <cell r="B424" t="str">
            <v>Salaires cadres</v>
          </cell>
          <cell r="E424">
            <v>501484.98999999976</v>
          </cell>
          <cell r="H424">
            <v>37559.410000000003</v>
          </cell>
          <cell r="K424">
            <v>27821.82</v>
          </cell>
          <cell r="N424">
            <v>35693.94</v>
          </cell>
          <cell r="Q424">
            <v>34182.79</v>
          </cell>
          <cell r="T424">
            <v>46937.36</v>
          </cell>
          <cell r="W424">
            <v>37891.839999999997</v>
          </cell>
          <cell r="Z424">
            <v>45656.84</v>
          </cell>
          <cell r="AC424">
            <v>45661.419999999896</v>
          </cell>
          <cell r="AF424">
            <v>40117.109999999899</v>
          </cell>
          <cell r="AI424">
            <v>34612.720000000001</v>
          </cell>
          <cell r="AL424">
            <v>62760.13</v>
          </cell>
          <cell r="AO424">
            <v>52589.61</v>
          </cell>
        </row>
        <row r="425">
          <cell r="A425" t="str">
            <v>Salaires commis</v>
          </cell>
          <cell r="B425" t="str">
            <v>Salaires commis</v>
          </cell>
          <cell r="E425">
            <v>589217.08999999985</v>
          </cell>
          <cell r="H425">
            <v>46856.34</v>
          </cell>
          <cell r="K425">
            <v>47043</v>
          </cell>
          <cell r="N425">
            <v>49703.63</v>
          </cell>
          <cell r="Q425">
            <v>43473.979999999901</v>
          </cell>
          <cell r="T425">
            <v>51414.06</v>
          </cell>
          <cell r="W425">
            <v>50801</v>
          </cell>
          <cell r="Z425">
            <v>42545.5</v>
          </cell>
          <cell r="AC425">
            <v>46717.79</v>
          </cell>
          <cell r="AF425">
            <v>61720.47</v>
          </cell>
          <cell r="AI425">
            <v>47146.1</v>
          </cell>
          <cell r="AL425">
            <v>49261.14</v>
          </cell>
          <cell r="AO425">
            <v>52534.080000000002</v>
          </cell>
        </row>
        <row r="426">
          <cell r="A426" t="str">
            <v>Salaires autres</v>
          </cell>
          <cell r="B426" t="str">
            <v>Salaires autres</v>
          </cell>
          <cell r="E426">
            <v>421862.52999999991</v>
          </cell>
          <cell r="H426">
            <v>29308.07</v>
          </cell>
          <cell r="K426">
            <v>32894.410000000003</v>
          </cell>
          <cell r="N426">
            <v>30652.9</v>
          </cell>
          <cell r="Q426">
            <v>38091.160000000003</v>
          </cell>
          <cell r="T426">
            <v>39705.81</v>
          </cell>
          <cell r="W426">
            <v>30665.71</v>
          </cell>
          <cell r="Z426">
            <v>31114.379999999899</v>
          </cell>
          <cell r="AC426">
            <v>27408.46</v>
          </cell>
          <cell r="AF426">
            <v>37784.449999999997</v>
          </cell>
          <cell r="AI426">
            <v>31689.39</v>
          </cell>
          <cell r="AL426">
            <v>56649.41</v>
          </cell>
          <cell r="AO426">
            <v>35898.379999999997</v>
          </cell>
        </row>
        <row r="427">
          <cell r="A427" t="str">
            <v>Salaires spécialistes</v>
          </cell>
          <cell r="B427" t="str">
            <v>Salaires spécialistes</v>
          </cell>
          <cell r="E427">
            <v>390462.77999999974</v>
          </cell>
          <cell r="H427">
            <v>31429.8</v>
          </cell>
          <cell r="K427">
            <v>25264.449999999899</v>
          </cell>
          <cell r="N427">
            <v>34061.25</v>
          </cell>
          <cell r="Q427">
            <v>32188.6</v>
          </cell>
          <cell r="T427">
            <v>34253.58</v>
          </cell>
          <cell r="W427">
            <v>38627.79</v>
          </cell>
          <cell r="Z427">
            <v>28533.96</v>
          </cell>
          <cell r="AC427">
            <v>27912.47</v>
          </cell>
          <cell r="AF427">
            <v>32169.559999999899</v>
          </cell>
          <cell r="AI427">
            <v>39009.53</v>
          </cell>
          <cell r="AL427">
            <v>25386.61</v>
          </cell>
          <cell r="AO427">
            <v>41625.18</v>
          </cell>
        </row>
        <row r="428">
          <cell r="A428" t="str">
            <v>[...]</v>
          </cell>
          <cell r="B428" t="str">
            <v>[...]</v>
          </cell>
          <cell r="E428">
            <v>0</v>
          </cell>
          <cell r="H428">
            <v>0</v>
          </cell>
          <cell r="K428">
            <v>0</v>
          </cell>
          <cell r="N428">
            <v>0</v>
          </cell>
          <cell r="Q428">
            <v>0</v>
          </cell>
          <cell r="T428">
            <v>0</v>
          </cell>
          <cell r="W428">
            <v>0</v>
          </cell>
          <cell r="Z428">
            <v>0</v>
          </cell>
          <cell r="AC428">
            <v>0</v>
          </cell>
          <cell r="AF428">
            <v>0</v>
          </cell>
          <cell r="AI428">
            <v>0</v>
          </cell>
          <cell r="AL428">
            <v>0</v>
          </cell>
          <cell r="AO428">
            <v>0</v>
          </cell>
        </row>
        <row r="429">
          <cell r="A429" t="str">
            <v>[...]</v>
          </cell>
          <cell r="B429" t="str">
            <v>[...]</v>
          </cell>
          <cell r="E429">
            <v>0</v>
          </cell>
          <cell r="H429">
            <v>0</v>
          </cell>
          <cell r="K429">
            <v>0</v>
          </cell>
          <cell r="N429">
            <v>0</v>
          </cell>
          <cell r="Q429">
            <v>0</v>
          </cell>
          <cell r="T429">
            <v>0</v>
          </cell>
          <cell r="W429">
            <v>0</v>
          </cell>
          <cell r="Z429">
            <v>0</v>
          </cell>
          <cell r="AC429">
            <v>0</v>
          </cell>
          <cell r="AF429">
            <v>0</v>
          </cell>
          <cell r="AI429">
            <v>0</v>
          </cell>
          <cell r="AL429">
            <v>0</v>
          </cell>
          <cell r="AO429">
            <v>0</v>
          </cell>
        </row>
        <row r="430">
          <cell r="A430" t="str">
            <v>[...]</v>
          </cell>
          <cell r="B430" t="str">
            <v>[...]</v>
          </cell>
          <cell r="E430">
            <v>0</v>
          </cell>
          <cell r="H430">
            <v>0</v>
          </cell>
          <cell r="K430">
            <v>0</v>
          </cell>
          <cell r="N430">
            <v>0</v>
          </cell>
          <cell r="Q430">
            <v>0</v>
          </cell>
          <cell r="T430">
            <v>0</v>
          </cell>
          <cell r="W430">
            <v>0</v>
          </cell>
          <cell r="Z430">
            <v>0</v>
          </cell>
          <cell r="AC430">
            <v>0</v>
          </cell>
          <cell r="AF430">
            <v>0</v>
          </cell>
          <cell r="AI430">
            <v>0</v>
          </cell>
          <cell r="AL430">
            <v>0</v>
          </cell>
          <cell r="AO430">
            <v>0</v>
          </cell>
        </row>
        <row r="431">
          <cell r="A431" t="str">
            <v>Salaires en absences</v>
          </cell>
          <cell r="B431" t="str">
            <v>Salaires en absences</v>
          </cell>
          <cell r="D431">
            <v>0.10003630628516677</v>
          </cell>
          <cell r="E431">
            <v>419826.25999999983</v>
          </cell>
          <cell r="G431">
            <v>0.16582769039850495</v>
          </cell>
          <cell r="H431">
            <v>48063.06</v>
          </cell>
          <cell r="J431">
            <v>9.0478016488894392E-2</v>
          </cell>
          <cell r="K431">
            <v>25105.0799999999</v>
          </cell>
          <cell r="M431">
            <v>9.3190783950924366E-2</v>
          </cell>
          <cell r="N431">
            <v>32171.52</v>
          </cell>
          <cell r="P431">
            <v>0.1029495567003921</v>
          </cell>
          <cell r="Q431">
            <v>33924.15</v>
          </cell>
          <cell r="S431">
            <v>0.10659800076981646</v>
          </cell>
          <cell r="T431">
            <v>41286.800000000003</v>
          </cell>
          <cell r="V431">
            <v>0.12396920737727848</v>
          </cell>
          <cell r="W431">
            <v>43881.119999999901</v>
          </cell>
          <cell r="Y431">
            <v>9.6435394179970602E-2</v>
          </cell>
          <cell r="Z431">
            <v>33642.36</v>
          </cell>
          <cell r="AB431">
            <v>7.5053049499345853E-2</v>
          </cell>
          <cell r="AC431">
            <v>27052.6</v>
          </cell>
          <cell r="AE431">
            <v>9.7849344238592609E-2</v>
          </cell>
          <cell r="AF431">
            <v>35502.839999999997</v>
          </cell>
          <cell r="AH431">
            <v>0.10137571917295493</v>
          </cell>
          <cell r="AI431">
            <v>38413.25</v>
          </cell>
          <cell r="AK431">
            <v>5.9808953886369851E-2</v>
          </cell>
          <cell r="AL431">
            <v>24774.34</v>
          </cell>
          <cell r="AN431">
            <v>0.10343783763163569</v>
          </cell>
          <cell r="AO431">
            <v>36009.14</v>
          </cell>
        </row>
        <row r="432">
          <cell r="A432" t="str">
            <v>Déduction à la source</v>
          </cell>
          <cell r="B432" t="str">
            <v>Déduction à la source</v>
          </cell>
          <cell r="D432">
            <v>0.13856742129672436</v>
          </cell>
          <cell r="E432">
            <v>581531.28999999969</v>
          </cell>
          <cell r="G432">
            <v>0.1518027903649137</v>
          </cell>
          <cell r="H432">
            <v>43998.12</v>
          </cell>
          <cell r="J432">
            <v>0.14951753620911082</v>
          </cell>
          <cell r="K432">
            <v>41486.869999999901</v>
          </cell>
          <cell r="M432">
            <v>0.12478415346038695</v>
          </cell>
          <cell r="N432">
            <v>43078.25</v>
          </cell>
          <cell r="P432">
            <v>0.22232866594728107</v>
          </cell>
          <cell r="Q432">
            <v>73262.199999999895</v>
          </cell>
          <cell r="S432">
            <v>0.12745125984384514</v>
          </cell>
          <cell r="T432">
            <v>49363.54</v>
          </cell>
          <cell r="V432">
            <v>0.13050612781554422</v>
          </cell>
          <cell r="W432">
            <v>46194.979999999901</v>
          </cell>
          <cell r="Y432">
            <v>0.14217564371628058</v>
          </cell>
          <cell r="Z432">
            <v>49599.26</v>
          </cell>
          <cell r="AB432">
            <v>0.12731766095140157</v>
          </cell>
          <cell r="AC432">
            <v>45891.19</v>
          </cell>
          <cell r="AE432">
            <v>0.12329183180982607</v>
          </cell>
          <cell r="AF432">
            <v>44734.18</v>
          </cell>
          <cell r="AH432">
            <v>0.11667207634505497</v>
          </cell>
          <cell r="AI432">
            <v>44209.34</v>
          </cell>
          <cell r="AK432">
            <v>0.11433794612874269</v>
          </cell>
          <cell r="AL432">
            <v>47361.59</v>
          </cell>
          <cell r="AN432">
            <v>0.15038276073765539</v>
          </cell>
          <cell r="AO432">
            <v>52351.77</v>
          </cell>
        </row>
        <row r="433">
          <cell r="A433" t="str">
            <v>Bénéfices marginaux</v>
          </cell>
          <cell r="B433" t="str">
            <v>Bénéfices marginaux</v>
          </cell>
          <cell r="D433">
            <v>5.9607420134679165E-2</v>
          </cell>
          <cell r="E433">
            <v>250156.77999999959</v>
          </cell>
          <cell r="G433">
            <v>7.1203484602537129E-2</v>
          </cell>
          <cell r="H433">
            <v>20637.43</v>
          </cell>
          <cell r="J433">
            <v>6.7105714602863881E-2</v>
          </cell>
          <cell r="K433">
            <v>18619.93</v>
          </cell>
          <cell r="M433">
            <v>6.0675109694593311E-2</v>
          </cell>
          <cell r="N433">
            <v>20946.39</v>
          </cell>
          <cell r="P433">
            <v>7.1061706764032437E-2</v>
          </cell>
          <cell r="Q433">
            <v>23416.3999999999</v>
          </cell>
          <cell r="S433">
            <v>4.8557203386986027E-2</v>
          </cell>
          <cell r="T433">
            <v>18806.84</v>
          </cell>
          <cell r="V433">
            <v>6.1223461223461048E-2</v>
          </cell>
          <cell r="W433">
            <v>21671.14</v>
          </cell>
          <cell r="Y433">
            <v>5.8901209528604878E-2</v>
          </cell>
          <cell r="Z433">
            <v>20548.22</v>
          </cell>
          <cell r="AB433">
            <v>5.804971602156199E-2</v>
          </cell>
          <cell r="AC433">
            <v>20923.810000000001</v>
          </cell>
          <cell r="AE433">
            <v>5.80099046483427E-2</v>
          </cell>
          <cell r="AF433">
            <v>21047.8299999999</v>
          </cell>
          <cell r="AH433">
            <v>5.7885678817959349E-2</v>
          </cell>
          <cell r="AI433">
            <v>21934.02</v>
          </cell>
          <cell r="AK433">
            <v>4.8999697265686051E-2</v>
          </cell>
          <cell r="AL433">
            <v>20296.879999999899</v>
          </cell>
          <cell r="AN433">
            <v>6.1207850731584919E-2</v>
          </cell>
          <cell r="AO433">
            <v>21307.889999999901</v>
          </cell>
        </row>
        <row r="434">
          <cell r="A434" t="str">
            <v>Csst</v>
          </cell>
          <cell r="B434" t="str">
            <v>Csst</v>
          </cell>
          <cell r="D434">
            <v>2.5114481031381371E-2</v>
          </cell>
          <cell r="E434">
            <v>105398.9199999999</v>
          </cell>
          <cell r="G434">
            <v>4.9254278330440236E-2</v>
          </cell>
          <cell r="H434">
            <v>14275.73</v>
          </cell>
          <cell r="J434">
            <v>5.0185892898588554E-2</v>
          </cell>
          <cell r="K434">
            <v>13925.16</v>
          </cell>
          <cell r="M434">
            <v>4.1787096377253981E-2</v>
          </cell>
          <cell r="N434">
            <v>14425.8299999999</v>
          </cell>
          <cell r="P434">
            <v>-3.5493921105008874E-2</v>
          </cell>
          <cell r="Q434">
            <v>-11696.029999999999</v>
          </cell>
          <cell r="S434">
            <v>2.0560601774667633E-2</v>
          </cell>
          <cell r="T434">
            <v>7963.3899999999903</v>
          </cell>
          <cell r="V434">
            <v>3.6865376775690573E-2</v>
          </cell>
          <cell r="W434">
            <v>13049.16</v>
          </cell>
          <cell r="Y434">
            <v>2.4525349134557405E-2</v>
          </cell>
          <cell r="Z434">
            <v>8555.89</v>
          </cell>
          <cell r="AB434">
            <v>3.0033371399096894E-2</v>
          </cell>
          <cell r="AC434">
            <v>10825.42</v>
          </cell>
          <cell r="AE434">
            <v>2.7545914819010007E-2</v>
          </cell>
          <cell r="AF434">
            <v>9994.5300000000007</v>
          </cell>
          <cell r="AH434">
            <v>1.8082831971518599E-2</v>
          </cell>
          <cell r="AI434">
            <v>6851.94</v>
          </cell>
          <cell r="AK434">
            <v>1.8763805915920976E-2</v>
          </cell>
          <cell r="AL434">
            <v>7772.43</v>
          </cell>
          <cell r="AN434">
            <v>2.716125324267123E-2</v>
          </cell>
          <cell r="AO434">
            <v>9455.4699999999993</v>
          </cell>
        </row>
        <row r="435">
          <cell r="A435" t="str">
            <v>[...]</v>
          </cell>
          <cell r="B435" t="str">
            <v>[...]</v>
          </cell>
          <cell r="E435">
            <v>0</v>
          </cell>
          <cell r="H435">
            <v>0</v>
          </cell>
          <cell r="K435">
            <v>0</v>
          </cell>
          <cell r="N435">
            <v>0</v>
          </cell>
          <cell r="Q435">
            <v>0</v>
          </cell>
          <cell r="T435">
            <v>0</v>
          </cell>
          <cell r="W435">
            <v>0</v>
          </cell>
          <cell r="Z435">
            <v>0</v>
          </cell>
          <cell r="AC435">
            <v>0</v>
          </cell>
          <cell r="AF435">
            <v>0</v>
          </cell>
          <cell r="AI435">
            <v>0</v>
          </cell>
          <cell r="AL435">
            <v>0</v>
          </cell>
          <cell r="AO435">
            <v>0</v>
          </cell>
        </row>
        <row r="436">
          <cell r="A436" t="str">
            <v>TOTAL PERSONNEL</v>
          </cell>
          <cell r="B436" t="str">
            <v>TOTAL PERSONNEL</v>
          </cell>
          <cell r="C436">
            <v>0.46251319970787586</v>
          </cell>
          <cell r="E436">
            <v>3449404.299999998</v>
          </cell>
          <cell r="F436">
            <v>0.56690032134333557</v>
          </cell>
          <cell r="H436">
            <v>293550.55</v>
          </cell>
          <cell r="I436">
            <v>0.59912298756913185</v>
          </cell>
          <cell r="K436">
            <v>249279.44999999972</v>
          </cell>
          <cell r="L436">
            <v>0.47068630500283642</v>
          </cell>
          <cell r="N436">
            <v>277058.62999999989</v>
          </cell>
          <cell r="O436">
            <v>0.49939753530079206</v>
          </cell>
          <cell r="Q436">
            <v>284337.55999999959</v>
          </cell>
          <cell r="R436">
            <v>0.43414529617005843</v>
          </cell>
          <cell r="T436">
            <v>310608.64000000001</v>
          </cell>
          <cell r="U436">
            <v>0.44755905766232634</v>
          </cell>
          <cell r="W436">
            <v>302513.88999999978</v>
          </cell>
          <cell r="X436">
            <v>0.44624591146390458</v>
          </cell>
          <cell r="Z436">
            <v>273273.40999999992</v>
          </cell>
          <cell r="AA436">
            <v>0.4113040009001338</v>
          </cell>
          <cell r="AC436">
            <v>267618.57999999978</v>
          </cell>
          <cell r="AD436">
            <v>0.47352655771829139</v>
          </cell>
          <cell r="AF436">
            <v>297513.26999999973</v>
          </cell>
          <cell r="AG436">
            <v>0.37299803345724092</v>
          </cell>
          <cell r="AI436">
            <v>276020.13</v>
          </cell>
          <cell r="AJ436">
            <v>0.3723268038631411</v>
          </cell>
          <cell r="AL436">
            <v>306416.36999999988</v>
          </cell>
          <cell r="AM436">
            <v>0.59803272496518434</v>
          </cell>
          <cell r="AO436">
            <v>311213.81999999989</v>
          </cell>
        </row>
        <row r="437">
          <cell r="A437" t="str">
            <v>Publicité 2</v>
          </cell>
          <cell r="B437" t="str">
            <v>Publicité 2</v>
          </cell>
          <cell r="E437">
            <v>178723.49</v>
          </cell>
          <cell r="H437">
            <v>14799.06</v>
          </cell>
          <cell r="K437">
            <v>15827.06</v>
          </cell>
          <cell r="N437">
            <v>12859.72</v>
          </cell>
          <cell r="Q437">
            <v>15120.34</v>
          </cell>
          <cell r="T437">
            <v>11795.04</v>
          </cell>
          <cell r="W437">
            <v>15432.61</v>
          </cell>
          <cell r="Z437">
            <v>18581.48</v>
          </cell>
          <cell r="AC437">
            <v>17430</v>
          </cell>
          <cell r="AF437">
            <v>13735.71</v>
          </cell>
          <cell r="AI437">
            <v>12394.18</v>
          </cell>
          <cell r="AL437">
            <v>15086.61</v>
          </cell>
          <cell r="AO437">
            <v>15661.68</v>
          </cell>
        </row>
        <row r="438">
          <cell r="A438" t="str">
            <v>Service gratuit 2</v>
          </cell>
          <cell r="B438" t="str">
            <v>Service gratuit 2</v>
          </cell>
          <cell r="E438">
            <v>87538.009999999791</v>
          </cell>
          <cell r="H438">
            <v>-149.41999999999999</v>
          </cell>
          <cell r="K438">
            <v>4219.9799999999996</v>
          </cell>
          <cell r="N438">
            <v>5030.17</v>
          </cell>
          <cell r="Q438">
            <v>6731.45</v>
          </cell>
          <cell r="T438">
            <v>8077.33</v>
          </cell>
          <cell r="W438">
            <v>11922.65</v>
          </cell>
          <cell r="Z438">
            <v>6040.7</v>
          </cell>
          <cell r="AC438">
            <v>8864.43</v>
          </cell>
          <cell r="AF438">
            <v>8763.49</v>
          </cell>
          <cell r="AI438">
            <v>12172.0899999999</v>
          </cell>
          <cell r="AL438">
            <v>14687.5199999999</v>
          </cell>
          <cell r="AO438">
            <v>1177.6199999999999</v>
          </cell>
        </row>
        <row r="439">
          <cell r="A439" t="str">
            <v>Frais véhicules de cie</v>
          </cell>
          <cell r="B439" t="str">
            <v>Frais véhicules de cie</v>
          </cell>
          <cell r="E439">
            <v>268729.72999999981</v>
          </cell>
          <cell r="H439">
            <v>21261.18</v>
          </cell>
          <cell r="K439">
            <v>17926.02</v>
          </cell>
          <cell r="N439">
            <v>20873.650000000001</v>
          </cell>
          <cell r="Q439">
            <v>21960.5</v>
          </cell>
          <cell r="T439">
            <v>25941.01</v>
          </cell>
          <cell r="W439">
            <v>22933.759999999998</v>
          </cell>
          <cell r="Z439">
            <v>24599.02</v>
          </cell>
          <cell r="AC439">
            <v>15114.1499999999</v>
          </cell>
          <cell r="AF439">
            <v>16360.879999999899</v>
          </cell>
          <cell r="AI439">
            <v>25983.25</v>
          </cell>
          <cell r="AL439">
            <v>26695.439999999999</v>
          </cell>
          <cell r="AO439">
            <v>29080.87</v>
          </cell>
        </row>
        <row r="440">
          <cell r="A440" t="str">
            <v>Informatique</v>
          </cell>
          <cell r="B440" t="str">
            <v>Informatique</v>
          </cell>
          <cell r="E440">
            <v>255651.73999999976</v>
          </cell>
          <cell r="H440">
            <v>17445.560000000001</v>
          </cell>
          <cell r="K440">
            <v>22222.57</v>
          </cell>
          <cell r="N440">
            <v>20092.71</v>
          </cell>
          <cell r="Q440">
            <v>19618.09</v>
          </cell>
          <cell r="T440">
            <v>24895.379999999899</v>
          </cell>
          <cell r="W440">
            <v>19595.53</v>
          </cell>
          <cell r="Z440">
            <v>21285.919999999998</v>
          </cell>
          <cell r="AC440">
            <v>19073.02</v>
          </cell>
          <cell r="AF440">
            <v>22041.62</v>
          </cell>
          <cell r="AI440">
            <v>26004.28</v>
          </cell>
          <cell r="AL440">
            <v>20657.539999999899</v>
          </cell>
          <cell r="AO440">
            <v>22719.52</v>
          </cell>
        </row>
        <row r="441">
          <cell r="A441" t="str">
            <v>Frais de déplacement</v>
          </cell>
          <cell r="B441" t="str">
            <v>Frais de déplacement</v>
          </cell>
          <cell r="E441">
            <v>59895.049999999981</v>
          </cell>
          <cell r="H441">
            <v>2699.72</v>
          </cell>
          <cell r="K441">
            <v>5985.0199999999904</v>
          </cell>
          <cell r="N441">
            <v>6548.53</v>
          </cell>
          <cell r="Q441">
            <v>4039.21</v>
          </cell>
          <cell r="T441">
            <v>9758.67</v>
          </cell>
          <cell r="W441">
            <v>3288.06</v>
          </cell>
          <cell r="Z441">
            <v>3781.2</v>
          </cell>
          <cell r="AC441">
            <v>4475.7199999999903</v>
          </cell>
          <cell r="AF441">
            <v>5159.8</v>
          </cell>
          <cell r="AI441">
            <v>5559.69</v>
          </cell>
          <cell r="AL441">
            <v>5182.58</v>
          </cell>
          <cell r="AO441">
            <v>3416.85</v>
          </cell>
        </row>
        <row r="442">
          <cell r="A442" t="str">
            <v>Services extérieurs</v>
          </cell>
          <cell r="B442" t="str">
            <v>Services extérieurs</v>
          </cell>
          <cell r="E442">
            <v>359526.27</v>
          </cell>
          <cell r="H442">
            <v>24007.23</v>
          </cell>
          <cell r="K442">
            <v>34713.53</v>
          </cell>
          <cell r="N442">
            <v>25879.79</v>
          </cell>
          <cell r="Q442">
            <v>26024.04</v>
          </cell>
          <cell r="T442">
            <v>28752.89</v>
          </cell>
          <cell r="W442">
            <v>28389.37</v>
          </cell>
          <cell r="Z442">
            <v>29314.46</v>
          </cell>
          <cell r="AC442">
            <v>22686.11</v>
          </cell>
          <cell r="AF442">
            <v>29126.33</v>
          </cell>
          <cell r="AI442">
            <v>37487.360000000001</v>
          </cell>
          <cell r="AL442">
            <v>40008.519999999997</v>
          </cell>
          <cell r="AO442">
            <v>33136.639999999999</v>
          </cell>
        </row>
        <row r="443">
          <cell r="B443" t="str">
            <v>Fournitures d'atelier</v>
          </cell>
          <cell r="E443">
            <v>0</v>
          </cell>
          <cell r="H443">
            <v>0</v>
          </cell>
          <cell r="K443">
            <v>0</v>
          </cell>
          <cell r="N443">
            <v>0</v>
          </cell>
          <cell r="Q443">
            <v>0</v>
          </cell>
          <cell r="T443">
            <v>0</v>
          </cell>
          <cell r="W443">
            <v>0</v>
          </cell>
          <cell r="Z443">
            <v>0</v>
          </cell>
          <cell r="AC443">
            <v>0</v>
          </cell>
          <cell r="AF443">
            <v>0</v>
          </cell>
          <cell r="AI443">
            <v>0</v>
          </cell>
          <cell r="AL443">
            <v>0</v>
          </cell>
          <cell r="AO443">
            <v>0</v>
          </cell>
        </row>
        <row r="444">
          <cell r="A444" t="str">
            <v>Fournitures autres</v>
          </cell>
          <cell r="B444" t="str">
            <v>Fournitures autres</v>
          </cell>
          <cell r="E444">
            <v>82813.749999999898</v>
          </cell>
          <cell r="H444">
            <v>3871.25</v>
          </cell>
          <cell r="K444">
            <v>2331.6</v>
          </cell>
          <cell r="N444">
            <v>2052.2799999999902</v>
          </cell>
          <cell r="Q444">
            <v>8832.08</v>
          </cell>
          <cell r="T444">
            <v>6209.67</v>
          </cell>
          <cell r="W444">
            <v>4394.93</v>
          </cell>
          <cell r="Z444">
            <v>9357.83</v>
          </cell>
          <cell r="AC444">
            <v>5655.76</v>
          </cell>
          <cell r="AF444">
            <v>11285.07</v>
          </cell>
          <cell r="AI444">
            <v>13486.72</v>
          </cell>
          <cell r="AL444">
            <v>11236.6799999999</v>
          </cell>
          <cell r="AO444">
            <v>4099.88</v>
          </cell>
        </row>
        <row r="445">
          <cell r="A445" t="str">
            <v>Uniformes</v>
          </cell>
          <cell r="B445" t="str">
            <v>Uniformes</v>
          </cell>
          <cell r="E445">
            <v>15522.959999999997</v>
          </cell>
          <cell r="H445">
            <v>5697.43</v>
          </cell>
          <cell r="K445">
            <v>860.45</v>
          </cell>
          <cell r="N445">
            <v>725.99</v>
          </cell>
          <cell r="Q445">
            <v>619.66999999999996</v>
          </cell>
          <cell r="T445">
            <v>822.42</v>
          </cell>
          <cell r="W445">
            <v>788.71</v>
          </cell>
          <cell r="Z445">
            <v>1535.27</v>
          </cell>
          <cell r="AC445">
            <v>460.85</v>
          </cell>
          <cell r="AF445">
            <v>608.80999999999995</v>
          </cell>
          <cell r="AI445">
            <v>679.32</v>
          </cell>
          <cell r="AL445">
            <v>1903.87</v>
          </cell>
          <cell r="AO445">
            <v>820.17</v>
          </cell>
        </row>
        <row r="446">
          <cell r="A446" t="str">
            <v>Papeterie</v>
          </cell>
          <cell r="B446" t="str">
            <v>Papeterie</v>
          </cell>
          <cell r="E446">
            <v>36129.239999999962</v>
          </cell>
          <cell r="H446">
            <v>1211.71</v>
          </cell>
          <cell r="K446">
            <v>2953.7799999999902</v>
          </cell>
          <cell r="N446">
            <v>3960.72999999999</v>
          </cell>
          <cell r="Q446">
            <v>2448.1899999999901</v>
          </cell>
          <cell r="T446">
            <v>1935.03</v>
          </cell>
          <cell r="W446">
            <v>3259.74</v>
          </cell>
          <cell r="Z446">
            <v>1499.48</v>
          </cell>
          <cell r="AC446">
            <v>3628.75</v>
          </cell>
          <cell r="AF446">
            <v>2665.1099999999901</v>
          </cell>
          <cell r="AI446">
            <v>2749</v>
          </cell>
          <cell r="AL446">
            <v>6455.48</v>
          </cell>
          <cell r="AO446">
            <v>3362.24</v>
          </cell>
        </row>
        <row r="447">
          <cell r="A447" t="str">
            <v>Téléphone</v>
          </cell>
          <cell r="B447" t="str">
            <v>Téléphone</v>
          </cell>
          <cell r="E447">
            <v>8574.5099999999984</v>
          </cell>
          <cell r="H447">
            <v>743.31999999999903</v>
          </cell>
          <cell r="K447">
            <v>661.94999999999902</v>
          </cell>
          <cell r="N447">
            <v>578.94999999999902</v>
          </cell>
          <cell r="Q447">
            <v>718.74</v>
          </cell>
          <cell r="T447">
            <v>823.79</v>
          </cell>
          <cell r="W447">
            <v>542.27</v>
          </cell>
          <cell r="Z447">
            <v>615.77</v>
          </cell>
          <cell r="AC447">
            <v>1235.51</v>
          </cell>
          <cell r="AF447">
            <v>668.71</v>
          </cell>
          <cell r="AI447">
            <v>672.4</v>
          </cell>
          <cell r="AL447">
            <v>654.80999999999995</v>
          </cell>
          <cell r="AO447">
            <v>658.29</v>
          </cell>
        </row>
        <row r="448">
          <cell r="A448" t="str">
            <v>Frais postaux</v>
          </cell>
          <cell r="B448" t="str">
            <v>Frais postaux</v>
          </cell>
          <cell r="E448">
            <v>3924.9499999999989</v>
          </cell>
          <cell r="H448">
            <v>310.39</v>
          </cell>
          <cell r="K448">
            <v>110.729999999999</v>
          </cell>
          <cell r="N448">
            <v>291.3</v>
          </cell>
          <cell r="Q448">
            <v>631</v>
          </cell>
          <cell r="T448">
            <v>148.27000000000001</v>
          </cell>
          <cell r="W448">
            <v>929.61</v>
          </cell>
          <cell r="Z448">
            <v>1374.07</v>
          </cell>
          <cell r="AC448">
            <v>96.37</v>
          </cell>
          <cell r="AF448">
            <v>224.46</v>
          </cell>
          <cell r="AI448">
            <v>439.88</v>
          </cell>
          <cell r="AL448">
            <v>-874.73999999999899</v>
          </cell>
          <cell r="AO448">
            <v>243.60999999999899</v>
          </cell>
        </row>
        <row r="449">
          <cell r="A449" t="str">
            <v>Divers</v>
          </cell>
          <cell r="B449" t="str">
            <v>Divers</v>
          </cell>
          <cell r="E449">
            <v>9171.7299999999886</v>
          </cell>
          <cell r="H449">
            <v>3559.5699999999902</v>
          </cell>
          <cell r="K449">
            <v>2257.0500000000002</v>
          </cell>
          <cell r="N449">
            <v>207.18</v>
          </cell>
          <cell r="Q449">
            <v>441.219999999999</v>
          </cell>
          <cell r="T449">
            <v>245.38</v>
          </cell>
          <cell r="W449">
            <v>347.95</v>
          </cell>
          <cell r="Z449">
            <v>270.76</v>
          </cell>
          <cell r="AC449">
            <v>352.19</v>
          </cell>
          <cell r="AF449">
            <v>749.64</v>
          </cell>
          <cell r="AI449">
            <v>375.01</v>
          </cell>
          <cell r="AL449">
            <v>71.3</v>
          </cell>
          <cell r="AO449">
            <v>294.48</v>
          </cell>
        </row>
        <row r="450">
          <cell r="A450" t="str">
            <v>Formation</v>
          </cell>
          <cell r="B450" t="str">
            <v>Formation</v>
          </cell>
          <cell r="E450">
            <v>102741.10999999987</v>
          </cell>
          <cell r="H450">
            <v>6520.72</v>
          </cell>
          <cell r="K450">
            <v>10407.59</v>
          </cell>
          <cell r="N450">
            <v>17051.86</v>
          </cell>
          <cell r="Q450">
            <v>11935.449999999901</v>
          </cell>
          <cell r="T450">
            <v>9031.02</v>
          </cell>
          <cell r="W450">
            <v>3572.32</v>
          </cell>
          <cell r="Z450">
            <v>5842.54</v>
          </cell>
          <cell r="AC450">
            <v>8172.67</v>
          </cell>
          <cell r="AF450">
            <v>8691.65</v>
          </cell>
          <cell r="AI450">
            <v>5853.87</v>
          </cell>
          <cell r="AL450">
            <v>11744.14</v>
          </cell>
          <cell r="AO450">
            <v>3917.2799999999902</v>
          </cell>
        </row>
        <row r="451">
          <cell r="A451" t="str">
            <v>Frais bancaires</v>
          </cell>
          <cell r="B451" t="str">
            <v>Frais bancaires</v>
          </cell>
          <cell r="E451">
            <v>93995.029999999897</v>
          </cell>
          <cell r="H451">
            <v>6981.61</v>
          </cell>
          <cell r="K451">
            <v>5518.71</v>
          </cell>
          <cell r="N451">
            <v>793.51</v>
          </cell>
          <cell r="Q451">
            <v>6723.6</v>
          </cell>
          <cell r="T451">
            <v>17196.879999999899</v>
          </cell>
          <cell r="W451">
            <v>7860.32</v>
          </cell>
          <cell r="Z451">
            <v>7569.85</v>
          </cell>
          <cell r="AC451">
            <v>5910.77</v>
          </cell>
          <cell r="AF451">
            <v>8007.9</v>
          </cell>
          <cell r="AI451">
            <v>8918.27</v>
          </cell>
          <cell r="AL451">
            <v>11388.47</v>
          </cell>
          <cell r="AO451">
            <v>7125.14</v>
          </cell>
        </row>
        <row r="452">
          <cell r="A452" t="str">
            <v>[...]</v>
          </cell>
          <cell r="B452" t="str">
            <v>[...]</v>
          </cell>
          <cell r="E452">
            <v>0</v>
          </cell>
        </row>
        <row r="453">
          <cell r="A453" t="str">
            <v>[...]</v>
          </cell>
          <cell r="B453" t="str">
            <v>[...]</v>
          </cell>
          <cell r="E453">
            <v>0</v>
          </cell>
        </row>
        <row r="454">
          <cell r="A454" t="str">
            <v>[...]</v>
          </cell>
          <cell r="B454" t="str">
            <v>[...]</v>
          </cell>
          <cell r="E454">
            <v>0</v>
          </cell>
        </row>
        <row r="455">
          <cell r="A455" t="str">
            <v>TOTAL SEMI-FIXES</v>
          </cell>
          <cell r="B455" t="str">
            <v>TOTAL SEMI-FIXES</v>
          </cell>
          <cell r="C455">
            <v>0.20956640439172411</v>
          </cell>
          <cell r="E455">
            <v>1562937.5699999987</v>
          </cell>
          <cell r="F455">
            <v>0.21042058749457138</v>
          </cell>
          <cell r="H455">
            <v>108959.33</v>
          </cell>
          <cell r="I455">
            <v>0.30282128714051604</v>
          </cell>
          <cell r="K455">
            <v>125996.03999999998</v>
          </cell>
          <cell r="L455">
            <v>0.19867655730050557</v>
          </cell>
          <cell r="N455">
            <v>116946.36999999998</v>
          </cell>
          <cell r="O455">
            <v>0.22102593018463018</v>
          </cell>
          <cell r="Q455">
            <v>125843.5799999999</v>
          </cell>
          <cell r="R455">
            <v>0.2035544999816131</v>
          </cell>
          <cell r="T455">
            <v>145632.7799999998</v>
          </cell>
          <cell r="U455">
            <v>0.18235578618986145</v>
          </cell>
          <cell r="W455">
            <v>123257.83000000002</v>
          </cell>
          <cell r="X455">
            <v>0.21500980595477043</v>
          </cell>
          <cell r="Z455">
            <v>131668.35</v>
          </cell>
          <cell r="AA455">
            <v>0.17391034253696361</v>
          </cell>
          <cell r="AC455">
            <v>113156.29999999989</v>
          </cell>
          <cell r="AD455">
            <v>0.20386864924162415</v>
          </cell>
          <cell r="AF455">
            <v>128089.17999999989</v>
          </cell>
          <cell r="AG455">
            <v>0.20645194943137171</v>
          </cell>
          <cell r="AI455">
            <v>152775.31999999989</v>
          </cell>
          <cell r="AJ455">
            <v>0.20036797386288796</v>
          </cell>
          <cell r="AL455">
            <v>164898.21999999971</v>
          </cell>
          <cell r="AM455">
            <v>0.24157425738712035</v>
          </cell>
          <cell r="AO455">
            <v>125714.26999999999</v>
          </cell>
        </row>
        <row r="456">
          <cell r="A456" t="str">
            <v>Loyer</v>
          </cell>
          <cell r="B456" t="str">
            <v>Loyer</v>
          </cell>
          <cell r="E456">
            <v>312000</v>
          </cell>
          <cell r="H456">
            <v>26000</v>
          </cell>
          <cell r="K456">
            <v>26000</v>
          </cell>
          <cell r="N456">
            <v>26000</v>
          </cell>
          <cell r="Q456">
            <v>26000</v>
          </cell>
          <cell r="T456">
            <v>26000</v>
          </cell>
          <cell r="W456">
            <v>26000</v>
          </cell>
          <cell r="Z456">
            <v>26000</v>
          </cell>
          <cell r="AC456">
            <v>26000</v>
          </cell>
          <cell r="AF456">
            <v>26000</v>
          </cell>
          <cell r="AI456">
            <v>26000</v>
          </cell>
          <cell r="AL456">
            <v>26000</v>
          </cell>
          <cell r="AO456">
            <v>26000</v>
          </cell>
        </row>
        <row r="457">
          <cell r="A457" t="str">
            <v>Taxes foncières</v>
          </cell>
          <cell r="B457" t="str">
            <v>Taxes foncières</v>
          </cell>
          <cell r="E457">
            <v>59826.75</v>
          </cell>
          <cell r="H457">
            <v>4930</v>
          </cell>
          <cell r="K457">
            <v>4930</v>
          </cell>
          <cell r="N457">
            <v>4930</v>
          </cell>
          <cell r="Q457">
            <v>4930</v>
          </cell>
          <cell r="T457">
            <v>5589</v>
          </cell>
          <cell r="W457">
            <v>4937.75</v>
          </cell>
          <cell r="Z457">
            <v>4930</v>
          </cell>
          <cell r="AC457">
            <v>4930</v>
          </cell>
          <cell r="AF457">
            <v>4930</v>
          </cell>
          <cell r="AI457">
            <v>4930</v>
          </cell>
          <cell r="AL457">
            <v>4930</v>
          </cell>
          <cell r="AO457">
            <v>4930</v>
          </cell>
        </row>
        <row r="458">
          <cell r="A458" t="str">
            <v>Taxes d`affaires</v>
          </cell>
          <cell r="B458" t="str">
            <v>Taxes d`affaires</v>
          </cell>
          <cell r="E458">
            <v>39984.999999999884</v>
          </cell>
          <cell r="H458">
            <v>3279.99999999999</v>
          </cell>
          <cell r="K458">
            <v>3904.99999999999</v>
          </cell>
          <cell r="N458">
            <v>3279.99999999999</v>
          </cell>
          <cell r="Q458">
            <v>3279.99999999999</v>
          </cell>
          <cell r="T458">
            <v>3279.99999999999</v>
          </cell>
          <cell r="W458">
            <v>3279.99999999999</v>
          </cell>
          <cell r="Z458">
            <v>3279.99999999999</v>
          </cell>
          <cell r="AC458">
            <v>3279.99999999999</v>
          </cell>
          <cell r="AF458">
            <v>3279.99999999999</v>
          </cell>
          <cell r="AI458">
            <v>3279.99999999999</v>
          </cell>
          <cell r="AL458">
            <v>3279.99999999999</v>
          </cell>
          <cell r="AO458">
            <v>3279.99999999999</v>
          </cell>
        </row>
        <row r="459">
          <cell r="A459" t="str">
            <v>Taxe sur le capital</v>
          </cell>
          <cell r="B459" t="str">
            <v>Taxe sur le capital</v>
          </cell>
          <cell r="E459">
            <v>0</v>
          </cell>
          <cell r="H459">
            <v>0</v>
          </cell>
          <cell r="K459">
            <v>0</v>
          </cell>
          <cell r="N459">
            <v>0</v>
          </cell>
          <cell r="Q459">
            <v>0</v>
          </cell>
          <cell r="T459">
            <v>0</v>
          </cell>
          <cell r="W459">
            <v>0</v>
          </cell>
          <cell r="Z459">
            <v>0</v>
          </cell>
          <cell r="AC459">
            <v>0</v>
          </cell>
          <cell r="AF459">
            <v>0</v>
          </cell>
          <cell r="AI459">
            <v>0</v>
          </cell>
          <cell r="AL459">
            <v>0</v>
          </cell>
          <cell r="AO459">
            <v>0</v>
          </cell>
        </row>
        <row r="460">
          <cell r="A460" t="str">
            <v>Assurances</v>
          </cell>
          <cell r="B460" t="str">
            <v>Assurances</v>
          </cell>
          <cell r="E460">
            <v>51252</v>
          </cell>
          <cell r="H460">
            <v>4271</v>
          </cell>
          <cell r="K460">
            <v>4271</v>
          </cell>
          <cell r="N460">
            <v>4271</v>
          </cell>
          <cell r="Q460">
            <v>4271</v>
          </cell>
          <cell r="T460">
            <v>4271</v>
          </cell>
          <cell r="W460">
            <v>4271</v>
          </cell>
          <cell r="Z460">
            <v>4271</v>
          </cell>
          <cell r="AC460">
            <v>4271</v>
          </cell>
          <cell r="AF460">
            <v>4271</v>
          </cell>
          <cell r="AI460">
            <v>4271</v>
          </cell>
          <cell r="AL460">
            <v>4271</v>
          </cell>
          <cell r="AO460">
            <v>4271</v>
          </cell>
        </row>
        <row r="461">
          <cell r="A461" t="str">
            <v>Chauffage, éclairage</v>
          </cell>
          <cell r="B461" t="str">
            <v>Chauffage, éclairage</v>
          </cell>
          <cell r="E461">
            <v>27353.499999999982</v>
          </cell>
          <cell r="H461">
            <v>3401.36</v>
          </cell>
          <cell r="K461">
            <v>1500</v>
          </cell>
          <cell r="N461">
            <v>5591.8899999999903</v>
          </cell>
          <cell r="Q461">
            <v>1478.46999999999</v>
          </cell>
          <cell r="T461">
            <v>4881.34</v>
          </cell>
          <cell r="W461">
            <v>-898.86</v>
          </cell>
          <cell r="Z461">
            <v>3629.42</v>
          </cell>
          <cell r="AC461">
            <v>1881.92</v>
          </cell>
          <cell r="AF461">
            <v>41.97</v>
          </cell>
          <cell r="AI461">
            <v>3137.5</v>
          </cell>
          <cell r="AL461">
            <v>137.27000000000001</v>
          </cell>
          <cell r="AO461">
            <v>2571.2199999999998</v>
          </cell>
        </row>
        <row r="462">
          <cell r="A462" t="str">
            <v>Honoraires</v>
          </cell>
          <cell r="B462" t="str">
            <v>Honoraires</v>
          </cell>
          <cell r="E462">
            <v>79580.73</v>
          </cell>
          <cell r="H462">
            <v>6550.12</v>
          </cell>
          <cell r="K462">
            <v>7270.12</v>
          </cell>
          <cell r="N462">
            <v>6550.12</v>
          </cell>
          <cell r="Q462">
            <v>6550.12</v>
          </cell>
          <cell r="T462">
            <v>6828.57</v>
          </cell>
          <cell r="W462">
            <v>6550.12</v>
          </cell>
          <cell r="Z462">
            <v>6550.12</v>
          </cell>
          <cell r="AC462">
            <v>6550.12</v>
          </cell>
          <cell r="AF462">
            <v>6550.12</v>
          </cell>
          <cell r="AI462">
            <v>6784.54</v>
          </cell>
          <cell r="AL462">
            <v>6296.54</v>
          </cell>
          <cell r="AO462">
            <v>6550.12</v>
          </cell>
        </row>
        <row r="463">
          <cell r="A463" t="str">
            <v>Réparation équipement</v>
          </cell>
          <cell r="B463" t="str">
            <v>Réparation équipement</v>
          </cell>
          <cell r="E463">
            <v>26007.289999999994</v>
          </cell>
          <cell r="H463">
            <v>4120.4399999999996</v>
          </cell>
          <cell r="K463">
            <v>0</v>
          </cell>
          <cell r="N463">
            <v>0</v>
          </cell>
          <cell r="Q463">
            <v>1935.3</v>
          </cell>
          <cell r="T463">
            <v>4533.54</v>
          </cell>
          <cell r="W463">
            <v>0</v>
          </cell>
          <cell r="Z463">
            <v>448.8</v>
          </cell>
          <cell r="AC463">
            <v>5794.15</v>
          </cell>
          <cell r="AF463">
            <v>480</v>
          </cell>
          <cell r="AI463">
            <v>3317.64</v>
          </cell>
          <cell r="AL463">
            <v>3263.48</v>
          </cell>
          <cell r="AO463">
            <v>2113.94</v>
          </cell>
        </row>
        <row r="464">
          <cell r="A464" t="str">
            <v>Location équipement</v>
          </cell>
          <cell r="B464" t="str">
            <v>Location équipement</v>
          </cell>
          <cell r="E464">
            <v>6895.5300000000007</v>
          </cell>
          <cell r="H464">
            <v>0</v>
          </cell>
          <cell r="K464">
            <v>0</v>
          </cell>
          <cell r="N464">
            <v>308.88</v>
          </cell>
          <cell r="Q464">
            <v>548.94000000000005</v>
          </cell>
          <cell r="T464">
            <v>1369.06</v>
          </cell>
          <cell r="W464">
            <v>0</v>
          </cell>
          <cell r="Z464">
            <v>561.12</v>
          </cell>
          <cell r="AC464">
            <v>1462.22</v>
          </cell>
          <cell r="AF464">
            <v>1060.92</v>
          </cell>
          <cell r="AI464">
            <v>515.29</v>
          </cell>
          <cell r="AL464">
            <v>515.29</v>
          </cell>
          <cell r="AO464">
            <v>553.80999999999995</v>
          </cell>
        </row>
        <row r="465">
          <cell r="A465" t="str">
            <v>Dons</v>
          </cell>
          <cell r="B465" t="str">
            <v>Dons</v>
          </cell>
          <cell r="E465">
            <v>0</v>
          </cell>
          <cell r="H465">
            <v>0</v>
          </cell>
          <cell r="K465">
            <v>0</v>
          </cell>
          <cell r="N465">
            <v>0</v>
          </cell>
          <cell r="Q465">
            <v>0</v>
          </cell>
          <cell r="T465">
            <v>0</v>
          </cell>
          <cell r="W465">
            <v>0</v>
          </cell>
          <cell r="Z465">
            <v>0</v>
          </cell>
          <cell r="AC465">
            <v>0</v>
          </cell>
          <cell r="AF465">
            <v>0</v>
          </cell>
          <cell r="AI465">
            <v>0</v>
          </cell>
          <cell r="AL465">
            <v>0</v>
          </cell>
          <cell r="AO465">
            <v>0</v>
          </cell>
        </row>
        <row r="466">
          <cell r="A466" t="str">
            <v>[...]</v>
          </cell>
          <cell r="B466" t="str">
            <v>[...]</v>
          </cell>
          <cell r="E466">
            <v>0</v>
          </cell>
        </row>
        <row r="467">
          <cell r="A467" t="str">
            <v>[...]</v>
          </cell>
          <cell r="B467" t="str">
            <v>[...]</v>
          </cell>
          <cell r="E467">
            <v>0</v>
          </cell>
        </row>
        <row r="468">
          <cell r="A468" t="str">
            <v>[...]</v>
          </cell>
          <cell r="B468" t="str">
            <v>[...]</v>
          </cell>
          <cell r="E468">
            <v>0</v>
          </cell>
        </row>
        <row r="469">
          <cell r="A469" t="str">
            <v>TOTAL DÉPENSES FIXES</v>
          </cell>
          <cell r="B469" t="str">
            <v>TOTAL DÉPENSES FIXES</v>
          </cell>
          <cell r="C469">
            <v>8.0839923030895003E-2</v>
          </cell>
          <cell r="E469">
            <v>602900.79999999993</v>
          </cell>
          <cell r="F469">
            <v>0.10148939334479397</v>
          </cell>
          <cell r="H469">
            <v>52552.92</v>
          </cell>
          <cell r="I469">
            <v>0.11506638051238598</v>
          </cell>
          <cell r="K469">
            <v>47876.119999999995</v>
          </cell>
          <cell r="L469">
            <v>8.6526606700216904E-2</v>
          </cell>
          <cell r="N469">
            <v>50931.889999999985</v>
          </cell>
          <cell r="O469">
            <v>8.6050530738696757E-2</v>
          </cell>
          <cell r="Q469">
            <v>48993.829999999987</v>
          </cell>
          <cell r="R469">
            <v>7.9324371860178128E-2</v>
          </cell>
          <cell r="T469">
            <v>56752.509999999995</v>
          </cell>
          <cell r="U469">
            <v>6.5303650291250001E-2</v>
          </cell>
          <cell r="W469">
            <v>44140.009999999995</v>
          </cell>
          <cell r="X469">
            <v>8.1110122260088971E-2</v>
          </cell>
          <cell r="Z469">
            <v>49670.46</v>
          </cell>
          <cell r="AA469">
            <v>8.3253169714149644E-2</v>
          </cell>
          <cell r="AC469">
            <v>54169.409999999996</v>
          </cell>
          <cell r="AD469">
            <v>7.4191553528842699E-2</v>
          </cell>
          <cell r="AF469">
            <v>46614.009999999995</v>
          </cell>
          <cell r="AG469">
            <v>7.0588743240326102E-2</v>
          </cell>
          <cell r="AI469">
            <v>52235.969999999994</v>
          </cell>
          <cell r="AJ469">
            <v>5.9167612389815119E-2</v>
          </cell>
          <cell r="AL469">
            <v>48693.579999999994</v>
          </cell>
          <cell r="AM469">
            <v>9.6599691192843146E-2</v>
          </cell>
          <cell r="AO469">
            <v>50270.09</v>
          </cell>
        </row>
        <row r="470">
          <cell r="A470">
            <v>0</v>
          </cell>
          <cell r="E470">
            <v>412768.32999999961</v>
          </cell>
          <cell r="H470">
            <v>31595.71999999999</v>
          </cell>
          <cell r="K470">
            <v>31086.879999999976</v>
          </cell>
          <cell r="N470">
            <v>32210.329999999976</v>
          </cell>
          <cell r="Q470">
            <v>36389.159999999887</v>
          </cell>
          <cell r="T470">
            <v>46171.129999999903</v>
          </cell>
          <cell r="W470">
            <v>24983.910000000003</v>
          </cell>
          <cell r="Z470">
            <v>31846.77</v>
          </cell>
          <cell r="AC470">
            <v>29988.589999999993</v>
          </cell>
          <cell r="AF470">
            <v>38061.149999999994</v>
          </cell>
          <cell r="AI470">
            <v>38734.160000000003</v>
          </cell>
          <cell r="AL470">
            <v>47762.589999999902</v>
          </cell>
          <cell r="AO470">
            <v>23937.939999999988</v>
          </cell>
        </row>
        <row r="471">
          <cell r="A471" t="str">
            <v>TOTAL DES DÉPENSES</v>
          </cell>
          <cell r="B471" t="str">
            <v>TOTAL DES DÉPENSES</v>
          </cell>
          <cell r="C471">
            <v>0.96483904594906367</v>
          </cell>
          <cell r="E471">
            <v>7195729.6699999962</v>
          </cell>
          <cell r="F471">
            <v>1.0514681184489036</v>
          </cell>
          <cell r="H471">
            <v>544467.93000000005</v>
          </cell>
          <cell r="I471">
            <v>1.2550454255820702</v>
          </cell>
          <cell r="K471">
            <v>522191.66999999969</v>
          </cell>
          <cell r="L471">
            <v>0.99561946640157162</v>
          </cell>
          <cell r="N471">
            <v>586048.41999999993</v>
          </cell>
          <cell r="O471">
            <v>1.0090147174773918</v>
          </cell>
          <cell r="Q471">
            <v>574493.78999999946</v>
          </cell>
          <cell r="R471">
            <v>0.9272134004764776</v>
          </cell>
          <cell r="T471">
            <v>663373.51999999979</v>
          </cell>
          <cell r="U471">
            <v>0.90930718686629464</v>
          </cell>
          <cell r="W471">
            <v>614618.44999999972</v>
          </cell>
          <cell r="X471">
            <v>0.96731316839298398</v>
          </cell>
          <cell r="Z471">
            <v>592366.1399999999</v>
          </cell>
          <cell r="AA471">
            <v>0.88551196638643948</v>
          </cell>
          <cell r="AC471">
            <v>576166.17999999959</v>
          </cell>
          <cell r="AD471">
            <v>0.94424724158810847</v>
          </cell>
          <cell r="AF471">
            <v>593263.62999999966</v>
          </cell>
          <cell r="AG471">
            <v>0.85261073838427404</v>
          </cell>
          <cell r="AI471">
            <v>630935.56999999983</v>
          </cell>
          <cell r="AJ471">
            <v>0.82424752781344657</v>
          </cell>
          <cell r="AL471">
            <v>678336.6999999996</v>
          </cell>
          <cell r="AM471">
            <v>1.1903775311711209</v>
          </cell>
          <cell r="AO471">
            <v>619467.66999999981</v>
          </cell>
        </row>
        <row r="472">
          <cell r="A472" t="str">
            <v>Revenus autres</v>
          </cell>
          <cell r="B472" t="str">
            <v>Revenus autres</v>
          </cell>
          <cell r="E472">
            <v>507447.12000000005</v>
          </cell>
          <cell r="H472">
            <v>34076.78</v>
          </cell>
          <cell r="K472">
            <v>49402.39</v>
          </cell>
          <cell r="N472">
            <v>18031.02</v>
          </cell>
          <cell r="Q472">
            <v>130416.22</v>
          </cell>
          <cell r="T472">
            <v>12636.76</v>
          </cell>
          <cell r="W472">
            <v>46212.49</v>
          </cell>
          <cell r="Z472">
            <v>58975.7</v>
          </cell>
          <cell r="AC472">
            <v>20948.240000000002</v>
          </cell>
          <cell r="AF472">
            <v>47782.21</v>
          </cell>
          <cell r="AI472">
            <v>18795.23</v>
          </cell>
          <cell r="AL472">
            <v>780.32</v>
          </cell>
          <cell r="AO472">
            <v>69389.759999999995</v>
          </cell>
        </row>
        <row r="473">
          <cell r="A473" t="str">
            <v>Holdbacks</v>
          </cell>
          <cell r="B473" t="str">
            <v>Holdbacks</v>
          </cell>
          <cell r="E473">
            <v>679516.07</v>
          </cell>
          <cell r="H473">
            <v>49875</v>
          </cell>
          <cell r="K473">
            <v>15765</v>
          </cell>
          <cell r="N473">
            <v>49529.35</v>
          </cell>
          <cell r="Q473">
            <v>39086.080000000002</v>
          </cell>
          <cell r="T473">
            <v>67424.75</v>
          </cell>
          <cell r="W473">
            <v>63469.55</v>
          </cell>
          <cell r="Z473">
            <v>42698.55</v>
          </cell>
          <cell r="AC473">
            <v>59882.85</v>
          </cell>
          <cell r="AF473">
            <v>58938</v>
          </cell>
          <cell r="AI473">
            <v>77258.09</v>
          </cell>
          <cell r="AL473">
            <v>100428</v>
          </cell>
          <cell r="AO473">
            <v>55160.85</v>
          </cell>
        </row>
        <row r="474">
          <cell r="A474" t="str">
            <v>RIMS</v>
          </cell>
          <cell r="B474" t="str">
            <v>RIMS</v>
          </cell>
          <cell r="E474">
            <v>31556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31556</v>
          </cell>
        </row>
        <row r="475">
          <cell r="A475" t="str">
            <v>Subsidies</v>
          </cell>
          <cell r="B475" t="str">
            <v>Subsidies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Programme neuf 3</v>
          </cell>
          <cell r="B476" t="str">
            <v>Programme neuf 3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Garantie Nationale</v>
          </cell>
          <cell r="B477" t="str">
            <v>Garantie Nationale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Programme used 2</v>
          </cell>
          <cell r="B478" t="str">
            <v>Programme used 2</v>
          </cell>
          <cell r="E478">
            <v>0</v>
          </cell>
          <cell r="H478">
            <v>0</v>
          </cell>
          <cell r="K478">
            <v>0</v>
          </cell>
          <cell r="N478">
            <v>0</v>
          </cell>
          <cell r="Q478">
            <v>0</v>
          </cell>
          <cell r="T478">
            <v>0</v>
          </cell>
          <cell r="W478">
            <v>0</v>
          </cell>
          <cell r="Z478">
            <v>0</v>
          </cell>
          <cell r="AC478">
            <v>0</v>
          </cell>
          <cell r="AF478">
            <v>0</v>
          </cell>
          <cell r="AI478">
            <v>0</v>
          </cell>
          <cell r="AL478">
            <v>0</v>
          </cell>
          <cell r="AO478">
            <v>0</v>
          </cell>
        </row>
        <row r="479">
          <cell r="A479" t="str">
            <v>Programme used 3</v>
          </cell>
          <cell r="B479" t="str">
            <v>Programme used 3</v>
          </cell>
          <cell r="E479">
            <v>0</v>
          </cell>
          <cell r="H479">
            <v>0</v>
          </cell>
          <cell r="K479">
            <v>0</v>
          </cell>
          <cell r="N479">
            <v>0</v>
          </cell>
          <cell r="Q479">
            <v>0</v>
          </cell>
          <cell r="T479">
            <v>0</v>
          </cell>
          <cell r="W479">
            <v>0</v>
          </cell>
          <cell r="Z479">
            <v>0</v>
          </cell>
          <cell r="AC479">
            <v>0</v>
          </cell>
          <cell r="AF479">
            <v>0</v>
          </cell>
          <cell r="AI479">
            <v>0</v>
          </cell>
          <cell r="AL479">
            <v>0</v>
          </cell>
          <cell r="AO479">
            <v>0</v>
          </cell>
        </row>
        <row r="480">
          <cell r="A480" t="str">
            <v>[...]</v>
          </cell>
          <cell r="B480" t="str">
            <v>[...]</v>
          </cell>
          <cell r="E480">
            <v>0</v>
          </cell>
          <cell r="H480">
            <v>0</v>
          </cell>
          <cell r="K480">
            <v>0</v>
          </cell>
          <cell r="N480">
            <v>0</v>
          </cell>
          <cell r="Q480">
            <v>0</v>
          </cell>
          <cell r="T480">
            <v>0</v>
          </cell>
          <cell r="W480">
            <v>0</v>
          </cell>
          <cell r="Z480">
            <v>0</v>
          </cell>
          <cell r="AC480">
            <v>0</v>
          </cell>
          <cell r="AF480">
            <v>0</v>
          </cell>
          <cell r="AI480">
            <v>0</v>
          </cell>
          <cell r="AL480">
            <v>0</v>
          </cell>
          <cell r="AO480">
            <v>0</v>
          </cell>
        </row>
        <row r="481">
          <cell r="A481" t="str">
            <v>[...]</v>
          </cell>
          <cell r="B481" t="str">
            <v>[...]</v>
          </cell>
          <cell r="E481">
            <v>0</v>
          </cell>
          <cell r="H481">
            <v>0</v>
          </cell>
          <cell r="K481">
            <v>0</v>
          </cell>
          <cell r="N481">
            <v>0</v>
          </cell>
          <cell r="Q481">
            <v>0</v>
          </cell>
          <cell r="T481">
            <v>0</v>
          </cell>
          <cell r="W481">
            <v>0</v>
          </cell>
          <cell r="Z481">
            <v>0</v>
          </cell>
          <cell r="AC481">
            <v>0</v>
          </cell>
          <cell r="AF481">
            <v>0</v>
          </cell>
          <cell r="AI481">
            <v>0</v>
          </cell>
          <cell r="AL481">
            <v>0</v>
          </cell>
          <cell r="AO481">
            <v>0</v>
          </cell>
        </row>
        <row r="482">
          <cell r="A482" t="str">
            <v>[...]</v>
          </cell>
          <cell r="B482" t="str">
            <v>[...]</v>
          </cell>
          <cell r="E482">
            <v>0</v>
          </cell>
          <cell r="H482">
            <v>0</v>
          </cell>
          <cell r="K482">
            <v>0</v>
          </cell>
          <cell r="N482">
            <v>0</v>
          </cell>
          <cell r="Q482">
            <v>0</v>
          </cell>
          <cell r="T482">
            <v>0</v>
          </cell>
          <cell r="W482">
            <v>0</v>
          </cell>
          <cell r="Z482">
            <v>0</v>
          </cell>
          <cell r="AC482">
            <v>0</v>
          </cell>
          <cell r="AF482">
            <v>0</v>
          </cell>
          <cell r="AI482">
            <v>0</v>
          </cell>
          <cell r="AL482">
            <v>0</v>
          </cell>
          <cell r="AO482">
            <v>0</v>
          </cell>
        </row>
        <row r="483">
          <cell r="A483" t="str">
            <v>Frais administration</v>
          </cell>
          <cell r="B483" t="str">
            <v>Frais administration</v>
          </cell>
          <cell r="E483">
            <v>399858.9</v>
          </cell>
          <cell r="H483">
            <v>27306</v>
          </cell>
          <cell r="K483">
            <v>18119</v>
          </cell>
          <cell r="N483">
            <v>29520</v>
          </cell>
          <cell r="Q483">
            <v>20244</v>
          </cell>
          <cell r="T483">
            <v>32220</v>
          </cell>
          <cell r="W483">
            <v>34938</v>
          </cell>
          <cell r="Z483">
            <v>33906</v>
          </cell>
          <cell r="AC483">
            <v>43757</v>
          </cell>
          <cell r="AF483">
            <v>40734</v>
          </cell>
          <cell r="AI483">
            <v>39298</v>
          </cell>
          <cell r="AL483">
            <v>49621.9</v>
          </cell>
          <cell r="AO483">
            <v>30195</v>
          </cell>
        </row>
        <row r="484">
          <cell r="A484" t="str">
            <v>TOTAL AUTRES REVENUS</v>
          </cell>
          <cell r="B484" t="str">
            <v>TOTAL AUTRES REVENUS</v>
          </cell>
          <cell r="C484">
            <v>0.21700014368945417</v>
          </cell>
          <cell r="E484">
            <v>1618378.0899999999</v>
          </cell>
          <cell r="F484">
            <v>0.21485931889395588</v>
          </cell>
          <cell r="H484">
            <v>111257.78</v>
          </cell>
          <cell r="I484">
            <v>0.2001720992269837</v>
          </cell>
          <cell r="K484">
            <v>83286.39</v>
          </cell>
          <cell r="L484">
            <v>0.16492682665617825</v>
          </cell>
          <cell r="N484">
            <v>97080.37</v>
          </cell>
          <cell r="O484">
            <v>0.33326175603548408</v>
          </cell>
          <cell r="Q484">
            <v>189746.3</v>
          </cell>
          <cell r="R484">
            <v>0.15693861385623842</v>
          </cell>
          <cell r="T484">
            <v>112281.51</v>
          </cell>
          <cell r="U484">
            <v>0.21396045259769061</v>
          </cell>
          <cell r="W484">
            <v>144620.04</v>
          </cell>
          <cell r="X484">
            <v>0.2213978017025296</v>
          </cell>
          <cell r="Z484">
            <v>135580.25</v>
          </cell>
          <cell r="AA484">
            <v>0.19147990353101041</v>
          </cell>
          <cell r="AC484">
            <v>124588.09</v>
          </cell>
          <cell r="AD484">
            <v>0.2346903198044582</v>
          </cell>
          <cell r="AF484">
            <v>147454.21</v>
          </cell>
          <cell r="AG484">
            <v>0.1829061387147442</v>
          </cell>
          <cell r="AI484">
            <v>135351.32</v>
          </cell>
          <cell r="AJ484">
            <v>0.18327393454394894</v>
          </cell>
          <cell r="AL484">
            <v>150830.22</v>
          </cell>
          <cell r="AM484">
            <v>0.35799971702317418</v>
          </cell>
          <cell r="AO484">
            <v>186301.61</v>
          </cell>
        </row>
        <row r="485">
          <cell r="A485">
            <v>0</v>
          </cell>
          <cell r="E485">
            <v>211320.06999999986</v>
          </cell>
          <cell r="H485">
            <v>20002.799999999988</v>
          </cell>
          <cell r="K485">
            <v>14605.999999999989</v>
          </cell>
          <cell r="N485">
            <v>18381.769999999979</v>
          </cell>
          <cell r="Q485">
            <v>16443.709999999981</v>
          </cell>
          <cell r="T485">
            <v>23923.939999999991</v>
          </cell>
          <cell r="W485">
            <v>11589.88999999999</v>
          </cell>
          <cell r="Z485">
            <v>17120.339999999989</v>
          </cell>
          <cell r="AC485">
            <v>21619.28999999999</v>
          </cell>
          <cell r="AF485">
            <v>14063.88999999999</v>
          </cell>
          <cell r="AI485">
            <v>19451.429999999989</v>
          </cell>
          <cell r="AL485">
            <v>16397.03999999999</v>
          </cell>
          <cell r="AO485">
            <v>17719.96999999999</v>
          </cell>
        </row>
        <row r="486">
          <cell r="A486" t="str">
            <v>BAIIA OPÉRATIONNEL</v>
          </cell>
          <cell r="B486" t="str">
            <v>BAIIA OPÉRATIONNEL</v>
          </cell>
          <cell r="C486" t="str">
            <v>%vte</v>
          </cell>
          <cell r="D486">
            <v>2.5729601404658988E-2</v>
          </cell>
          <cell r="E486">
            <v>1880607.0299999947</v>
          </cell>
          <cell r="F486" t="str">
            <v>%vte</v>
          </cell>
          <cell r="G486">
            <v>2.1156016983481556E-2</v>
          </cell>
          <cell r="H486">
            <v>84606.719999999536</v>
          </cell>
          <cell r="I486" t="str">
            <v>%vte</v>
          </cell>
          <cell r="J486">
            <v>-6.6386658238457826E-3</v>
          </cell>
          <cell r="K486">
            <v>-22831.360000000117</v>
          </cell>
          <cell r="L486" t="str">
            <v>%vte</v>
          </cell>
          <cell r="M486">
            <v>2.1404234382881339E-2</v>
          </cell>
          <cell r="N486">
            <v>99658.869999999413</v>
          </cell>
          <cell r="O486" t="str">
            <v>%vte</v>
          </cell>
          <cell r="P486">
            <v>5.807810945553319E-2</v>
          </cell>
          <cell r="Q486">
            <v>184613.66999999987</v>
          </cell>
          <cell r="R486" t="str">
            <v>%vte</v>
          </cell>
          <cell r="S486">
            <v>3.164197490106916E-2</v>
          </cell>
          <cell r="T486">
            <v>164356.57999999868</v>
          </cell>
          <cell r="U486" t="str">
            <v>%vte</v>
          </cell>
          <cell r="V486">
            <v>3.7297857634574071E-2</v>
          </cell>
          <cell r="W486">
            <v>205921.07999999935</v>
          </cell>
          <cell r="X486" t="str">
            <v>%vte</v>
          </cell>
          <cell r="Y486">
            <v>3.3448077057872894E-2</v>
          </cell>
          <cell r="Z486">
            <v>155597.10999999929</v>
          </cell>
          <cell r="AA486" t="str">
            <v>%vte</v>
          </cell>
          <cell r="AB486">
            <v>3.7447641448976658E-2</v>
          </cell>
          <cell r="AC486">
            <v>199080.7399999999</v>
          </cell>
          <cell r="AD486" t="str">
            <v>%vte</v>
          </cell>
          <cell r="AE486">
            <v>3.9905801248578739E-2</v>
          </cell>
          <cell r="AF486">
            <v>182483.25999999981</v>
          </cell>
          <cell r="AG486" t="str">
            <v>%vte</v>
          </cell>
          <cell r="AH486">
            <v>2.3031411601125099E-2</v>
          </cell>
          <cell r="AI486">
            <v>244419.99999999889</v>
          </cell>
          <cell r="AJ486" t="str">
            <v>%vte</v>
          </cell>
          <cell r="AK486">
            <v>2.3953705022798043E-2</v>
          </cell>
          <cell r="AL486">
            <v>295470.45000000007</v>
          </cell>
          <cell r="AM486" t="str">
            <v>%vte</v>
          </cell>
          <cell r="AN486">
            <v>9.0728956966248629E-3</v>
          </cell>
          <cell r="AO486">
            <v>87229.909999999451</v>
          </cell>
        </row>
        <row r="488">
          <cell r="B488" t="str">
            <v>Réel 2023</v>
          </cell>
          <cell r="C488" t="str">
            <v>CALCUL DU PROFIT NET</v>
          </cell>
        </row>
        <row r="492">
          <cell r="B492" t="str">
            <v>BAIIA OPÉRATIONNEL</v>
          </cell>
          <cell r="C492" t="str">
            <v>%vte</v>
          </cell>
          <cell r="D492">
            <v>2.5729601404658988E-2</v>
          </cell>
          <cell r="E492">
            <v>1880607.0299999947</v>
          </cell>
          <cell r="F492" t="str">
            <v>%vte</v>
          </cell>
          <cell r="G492">
            <v>2.1156016983481556E-2</v>
          </cell>
          <cell r="H492">
            <v>84606.719999999536</v>
          </cell>
          <cell r="I492" t="str">
            <v>%vte</v>
          </cell>
          <cell r="J492">
            <v>-6.6386658238457826E-3</v>
          </cell>
          <cell r="K492">
            <v>-22831.360000000117</v>
          </cell>
          <cell r="L492" t="str">
            <v>%vte</v>
          </cell>
          <cell r="M492">
            <v>2.1404234382881339E-2</v>
          </cell>
          <cell r="N492">
            <v>99658.869999999413</v>
          </cell>
          <cell r="O492" t="str">
            <v>%vte</v>
          </cell>
          <cell r="P492">
            <v>5.807810945553319E-2</v>
          </cell>
          <cell r="Q492">
            <v>184613.66999999987</v>
          </cell>
          <cell r="R492" t="str">
            <v>%vte</v>
          </cell>
          <cell r="S492">
            <v>3.164197490106916E-2</v>
          </cell>
          <cell r="T492">
            <v>164356.57999999868</v>
          </cell>
          <cell r="U492" t="str">
            <v>%vte</v>
          </cell>
          <cell r="V492">
            <v>3.7297857634574071E-2</v>
          </cell>
          <cell r="W492">
            <v>205921.07999999935</v>
          </cell>
          <cell r="X492" t="str">
            <v>%vte</v>
          </cell>
          <cell r="Y492">
            <v>3.3448077057872894E-2</v>
          </cell>
          <cell r="Z492">
            <v>155597.10999999929</v>
          </cell>
          <cell r="AA492" t="str">
            <v>%vte</v>
          </cell>
          <cell r="AB492">
            <v>3.7447641448976658E-2</v>
          </cell>
          <cell r="AC492">
            <v>199080.7399999999</v>
          </cell>
          <cell r="AD492" t="str">
            <v>%vte</v>
          </cell>
          <cell r="AE492">
            <v>3.9905801248578739E-2</v>
          </cell>
          <cell r="AF492">
            <v>182483.25999999981</v>
          </cell>
          <cell r="AG492" t="str">
            <v>%vte</v>
          </cell>
          <cell r="AH492">
            <v>2.3031411601125099E-2</v>
          </cell>
          <cell r="AI492">
            <v>244419.99999999889</v>
          </cell>
          <cell r="AJ492" t="str">
            <v>%vte</v>
          </cell>
          <cell r="AK492">
            <v>2.3953705022798043E-2</v>
          </cell>
          <cell r="AL492">
            <v>295470.45000000007</v>
          </cell>
          <cell r="AM492" t="str">
            <v>%vte</v>
          </cell>
          <cell r="AN492">
            <v>9.0728956966248629E-3</v>
          </cell>
          <cell r="AO492">
            <v>87229.909999999451</v>
          </cell>
        </row>
        <row r="494">
          <cell r="A494" t="str">
            <v>Amortissement</v>
          </cell>
          <cell r="B494" t="str">
            <v>Amortissement</v>
          </cell>
          <cell r="E494">
            <v>51774</v>
          </cell>
          <cell r="H494">
            <v>4314.5</v>
          </cell>
          <cell r="K494">
            <v>4314.5</v>
          </cell>
          <cell r="N494">
            <v>4314.5</v>
          </cell>
          <cell r="Q494">
            <v>4314.5</v>
          </cell>
          <cell r="T494">
            <v>4314.5</v>
          </cell>
          <cell r="W494">
            <v>4314.5</v>
          </cell>
          <cell r="Z494">
            <v>4314.5</v>
          </cell>
          <cell r="AC494">
            <v>4314.5</v>
          </cell>
          <cell r="AF494">
            <v>4314.5</v>
          </cell>
          <cell r="AI494">
            <v>4314.5</v>
          </cell>
          <cell r="AL494">
            <v>4314.5</v>
          </cell>
          <cell r="AO494">
            <v>4314.5</v>
          </cell>
        </row>
        <row r="495">
          <cell r="A495" t="str">
            <v>Intérêts sur marge</v>
          </cell>
          <cell r="B495" t="str">
            <v>Intérêts sur marge</v>
          </cell>
          <cell r="E495">
            <v>0</v>
          </cell>
          <cell r="H495">
            <v>0</v>
          </cell>
          <cell r="K495">
            <v>0</v>
          </cell>
          <cell r="N495">
            <v>0</v>
          </cell>
          <cell r="Q495">
            <v>0</v>
          </cell>
          <cell r="T495">
            <v>0</v>
          </cell>
          <cell r="W495">
            <v>0</v>
          </cell>
          <cell r="Z495">
            <v>0</v>
          </cell>
          <cell r="AC495">
            <v>0</v>
          </cell>
          <cell r="AF495">
            <v>0</v>
          </cell>
          <cell r="AI495">
            <v>0</v>
          </cell>
          <cell r="AL495">
            <v>0</v>
          </cell>
          <cell r="AO495">
            <v>0</v>
          </cell>
        </row>
        <row r="496">
          <cell r="A496" t="str">
            <v>Intérêts sur prêt</v>
          </cell>
          <cell r="B496" t="str">
            <v>Intérêts sur prêt</v>
          </cell>
          <cell r="E496">
            <v>-2098.77</v>
          </cell>
          <cell r="H496">
            <v>0</v>
          </cell>
          <cell r="K496">
            <v>0</v>
          </cell>
          <cell r="N496">
            <v>0</v>
          </cell>
          <cell r="Q496">
            <v>0</v>
          </cell>
          <cell r="T496">
            <v>0</v>
          </cell>
          <cell r="W496">
            <v>0</v>
          </cell>
          <cell r="Z496">
            <v>0</v>
          </cell>
          <cell r="AC496">
            <v>0</v>
          </cell>
          <cell r="AF496">
            <v>0</v>
          </cell>
          <cell r="AI496">
            <v>0</v>
          </cell>
          <cell r="AL496">
            <v>0</v>
          </cell>
          <cell r="AO496">
            <v>-2098.77</v>
          </cell>
        </row>
        <row r="497">
          <cell r="A497" t="str">
            <v>Intérêts sur avance</v>
          </cell>
          <cell r="B497" t="str">
            <v>Intérêts sur avance</v>
          </cell>
          <cell r="E497">
            <v>0</v>
          </cell>
          <cell r="H497">
            <v>0</v>
          </cell>
          <cell r="K497">
            <v>0</v>
          </cell>
          <cell r="N497">
            <v>0</v>
          </cell>
          <cell r="Q497">
            <v>0</v>
          </cell>
          <cell r="T497">
            <v>0</v>
          </cell>
          <cell r="W497">
            <v>0</v>
          </cell>
          <cell r="Z497">
            <v>0</v>
          </cell>
          <cell r="AC497">
            <v>0</v>
          </cell>
          <cell r="AF497">
            <v>0</v>
          </cell>
          <cell r="AI497">
            <v>0</v>
          </cell>
          <cell r="AL497">
            <v>0</v>
          </cell>
          <cell r="AO497">
            <v>0</v>
          </cell>
        </row>
        <row r="498">
          <cell r="A498" t="str">
            <v>[...]</v>
          </cell>
          <cell r="B498" t="str">
            <v>[...]</v>
          </cell>
          <cell r="E498">
            <v>0</v>
          </cell>
          <cell r="H498">
            <v>0</v>
          </cell>
          <cell r="K498">
            <v>0</v>
          </cell>
          <cell r="N498">
            <v>0</v>
          </cell>
          <cell r="Q498">
            <v>0</v>
          </cell>
          <cell r="T498">
            <v>0</v>
          </cell>
          <cell r="W498">
            <v>0</v>
          </cell>
          <cell r="Z498">
            <v>0</v>
          </cell>
          <cell r="AC498">
            <v>0</v>
          </cell>
          <cell r="AF498">
            <v>0</v>
          </cell>
          <cell r="AI498">
            <v>0</v>
          </cell>
          <cell r="AL498">
            <v>0</v>
          </cell>
          <cell r="AO498">
            <v>0</v>
          </cell>
        </row>
        <row r="499">
          <cell r="A499" t="str">
            <v>Revenus d'intérêts floor plan</v>
          </cell>
          <cell r="B499" t="str">
            <v>Revenus d'intérêts floor plan</v>
          </cell>
        </row>
        <row r="500">
          <cell r="A500" t="str">
            <v>[...]</v>
          </cell>
          <cell r="B500" t="str">
            <v>[...]</v>
          </cell>
        </row>
        <row r="501">
          <cell r="B501" t="str">
            <v>Profit Net</v>
          </cell>
          <cell r="C501" t="str">
            <v>%vte</v>
          </cell>
          <cell r="D501">
            <v>2.5049967729363857E-2</v>
          </cell>
          <cell r="E501">
            <v>1830931.7999999947</v>
          </cell>
          <cell r="F501" t="str">
            <v>%vte</v>
          </cell>
          <cell r="G501">
            <v>2.0077170820018045E-2</v>
          </cell>
          <cell r="H501">
            <v>80292.219999999536</v>
          </cell>
          <cell r="I501" t="str">
            <v>%vte</v>
          </cell>
          <cell r="J501">
            <v>-7.8931913403714072E-3</v>
          </cell>
          <cell r="K501">
            <v>-27145.860000000117</v>
          </cell>
          <cell r="L501" t="str">
            <v>%vte</v>
          </cell>
          <cell r="M501">
            <v>2.047758762033083E-2</v>
          </cell>
          <cell r="N501">
            <v>95344.369999999413</v>
          </cell>
          <cell r="O501" t="str">
            <v>%vte</v>
          </cell>
          <cell r="P501">
            <v>5.6720799331933469E-2</v>
          </cell>
          <cell r="Q501">
            <v>180299.16999999987</v>
          </cell>
          <cell r="R501" t="str">
            <v>%vte</v>
          </cell>
          <cell r="S501">
            <v>3.0811346150393867E-2</v>
          </cell>
          <cell r="T501">
            <v>160042.07999999868</v>
          </cell>
          <cell r="U501" t="str">
            <v>%vte</v>
          </cell>
          <cell r="V501">
            <v>3.6516385398878873E-2</v>
          </cell>
          <cell r="W501">
            <v>201606.57999999935</v>
          </cell>
          <cell r="X501" t="str">
            <v>%vte</v>
          </cell>
          <cell r="Y501">
            <v>3.2520606563940235E-2</v>
          </cell>
          <cell r="Z501">
            <v>151282.60999999929</v>
          </cell>
          <cell r="AA501" t="str">
            <v>%vte</v>
          </cell>
          <cell r="AB501">
            <v>3.663607198710099E-2</v>
          </cell>
          <cell r="AC501">
            <v>194766.2399999999</v>
          </cell>
          <cell r="AD501" t="str">
            <v>%vte</v>
          </cell>
          <cell r="AE501">
            <v>3.8962297830857064E-2</v>
          </cell>
          <cell r="AF501">
            <v>178168.75999999981</v>
          </cell>
          <cell r="AG501" t="str">
            <v>%vte</v>
          </cell>
          <cell r="AH501">
            <v>2.262486129692309E-2</v>
          </cell>
          <cell r="AI501">
            <v>240105.49999999889</v>
          </cell>
          <cell r="AJ501" t="str">
            <v>%vte</v>
          </cell>
          <cell r="AK501">
            <v>2.3603929739615372E-2</v>
          </cell>
          <cell r="AL501">
            <v>291155.95000000007</v>
          </cell>
          <cell r="AM501" t="str">
            <v>%vte</v>
          </cell>
          <cell r="AN501">
            <v>8.8424347551670224E-3</v>
          </cell>
          <cell r="AO501">
            <v>85014.179999999455</v>
          </cell>
        </row>
      </sheetData>
      <sheetData sheetId="4"/>
      <sheetData sheetId="5"/>
      <sheetData sheetId="6"/>
      <sheetData sheetId="7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C1" t="str">
            <v>Solde d'ouverture</v>
          </cell>
          <cell r="O1" t="str">
            <v>Solde courant</v>
          </cell>
          <cell r="U1" t="str">
            <v>Debits</v>
          </cell>
          <cell r="V1" t="str">
            <v>Classification</v>
          </cell>
          <cell r="W1" t="str">
            <v>$ / NB</v>
          </cell>
          <cell r="X1" t="str">
            <v>Ventes</v>
          </cell>
        </row>
        <row r="2">
          <cell r="O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O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</row>
        <row r="4">
          <cell r="O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O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</row>
        <row r="6">
          <cell r="O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</row>
        <row r="7">
          <cell r="O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</row>
        <row r="8">
          <cell r="O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O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O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</row>
        <row r="11">
          <cell r="O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</row>
        <row r="12">
          <cell r="O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O13">
            <v>0</v>
          </cell>
          <cell r="U13">
            <v>0</v>
          </cell>
          <cell r="V13">
            <v>0</v>
          </cell>
          <cell r="W13" t="str">
            <v>$</v>
          </cell>
          <cell r="X13">
            <v>0</v>
          </cell>
        </row>
        <row r="14">
          <cell r="O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O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O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O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O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O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O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O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O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O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O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O25">
            <v>0</v>
          </cell>
          <cell r="U25" t="e">
            <v>#N/A</v>
          </cell>
          <cell r="V25" t="e">
            <v>#N/A</v>
          </cell>
          <cell r="W25" t="e">
            <v>#N/A</v>
          </cell>
          <cell r="X25" t="e">
            <v>#N/A</v>
          </cell>
        </row>
        <row r="26">
          <cell r="O26">
            <v>0</v>
          </cell>
          <cell r="U26" t="e">
            <v>#N/A</v>
          </cell>
          <cell r="V26" t="e">
            <v>#N/A</v>
          </cell>
          <cell r="W26" t="e">
            <v>#N/A</v>
          </cell>
          <cell r="X26" t="e">
            <v>#N/A</v>
          </cell>
        </row>
        <row r="27">
          <cell r="O27">
            <v>0</v>
          </cell>
          <cell r="U27" t="e">
            <v>#N/A</v>
          </cell>
          <cell r="V27" t="e">
            <v>#N/A</v>
          </cell>
          <cell r="W27" t="e">
            <v>#N/A</v>
          </cell>
          <cell r="X27" t="e">
            <v>#N/A</v>
          </cell>
        </row>
        <row r="28">
          <cell r="O28">
            <v>0</v>
          </cell>
          <cell r="U28" t="e">
            <v>#N/A</v>
          </cell>
          <cell r="V28" t="e">
            <v>#N/A</v>
          </cell>
          <cell r="W28" t="e">
            <v>#N/A</v>
          </cell>
          <cell r="X28" t="e">
            <v>#N/A</v>
          </cell>
        </row>
        <row r="29">
          <cell r="O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O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1">
          <cell r="O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</row>
        <row r="32">
          <cell r="O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O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O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O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O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O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O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O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O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O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O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O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O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O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O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O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O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O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O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O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O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O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O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O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O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O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O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O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O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  <row r="61">
          <cell r="O61">
            <v>0</v>
          </cell>
          <cell r="U61">
            <v>0</v>
          </cell>
          <cell r="V61">
            <v>0</v>
          </cell>
          <cell r="W61" t="str">
            <v>$</v>
          </cell>
          <cell r="X61">
            <v>0</v>
          </cell>
        </row>
        <row r="62">
          <cell r="O62">
            <v>0</v>
          </cell>
          <cell r="U62">
            <v>0</v>
          </cell>
          <cell r="V62">
            <v>0</v>
          </cell>
          <cell r="W62" t="str">
            <v>$</v>
          </cell>
          <cell r="X62">
            <v>0</v>
          </cell>
        </row>
        <row r="63">
          <cell r="O63">
            <v>0</v>
          </cell>
          <cell r="U63">
            <v>0</v>
          </cell>
          <cell r="V63">
            <v>0</v>
          </cell>
          <cell r="W63" t="str">
            <v>$</v>
          </cell>
          <cell r="X63">
            <v>0</v>
          </cell>
        </row>
        <row r="64">
          <cell r="O64">
            <v>0</v>
          </cell>
          <cell r="U64">
            <v>0</v>
          </cell>
          <cell r="V64">
            <v>0</v>
          </cell>
          <cell r="W64" t="str">
            <v>$</v>
          </cell>
          <cell r="X64">
            <v>0</v>
          </cell>
        </row>
        <row r="65">
          <cell r="O65">
            <v>0</v>
          </cell>
          <cell r="U65">
            <v>0</v>
          </cell>
          <cell r="V65">
            <v>0</v>
          </cell>
          <cell r="W65" t="str">
            <v>$</v>
          </cell>
          <cell r="X65">
            <v>0</v>
          </cell>
        </row>
        <row r="66">
          <cell r="O66">
            <v>0</v>
          </cell>
          <cell r="U66">
            <v>0</v>
          </cell>
          <cell r="V66">
            <v>0</v>
          </cell>
          <cell r="W66" t="str">
            <v>$</v>
          </cell>
          <cell r="X66">
            <v>0</v>
          </cell>
        </row>
        <row r="67">
          <cell r="O67">
            <v>0</v>
          </cell>
          <cell r="U67">
            <v>0</v>
          </cell>
          <cell r="V67">
            <v>0</v>
          </cell>
          <cell r="W67" t="str">
            <v>$</v>
          </cell>
          <cell r="X67">
            <v>0</v>
          </cell>
        </row>
        <row r="68">
          <cell r="O68">
            <v>0</v>
          </cell>
          <cell r="U68">
            <v>0</v>
          </cell>
          <cell r="V68">
            <v>0</v>
          </cell>
          <cell r="W68" t="str">
            <v>$</v>
          </cell>
          <cell r="X68">
            <v>0</v>
          </cell>
        </row>
        <row r="69">
          <cell r="O69">
            <v>0</v>
          </cell>
          <cell r="U69">
            <v>0</v>
          </cell>
          <cell r="V69">
            <v>0</v>
          </cell>
          <cell r="W69" t="str">
            <v>$</v>
          </cell>
          <cell r="X69">
            <v>0</v>
          </cell>
        </row>
        <row r="70">
          <cell r="O70">
            <v>0</v>
          </cell>
          <cell r="U70">
            <v>0</v>
          </cell>
          <cell r="V70">
            <v>0</v>
          </cell>
          <cell r="W70" t="str">
            <v>$</v>
          </cell>
          <cell r="X70">
            <v>0</v>
          </cell>
        </row>
        <row r="71">
          <cell r="O71">
            <v>0</v>
          </cell>
          <cell r="U71">
            <v>0</v>
          </cell>
          <cell r="V71">
            <v>0</v>
          </cell>
          <cell r="W71" t="str">
            <v>$</v>
          </cell>
          <cell r="X71">
            <v>0</v>
          </cell>
        </row>
        <row r="72">
          <cell r="O72">
            <v>0</v>
          </cell>
          <cell r="U72">
            <v>0</v>
          </cell>
          <cell r="V72">
            <v>0</v>
          </cell>
          <cell r="W72" t="str">
            <v>$</v>
          </cell>
          <cell r="X72">
            <v>0</v>
          </cell>
        </row>
        <row r="73">
          <cell r="O73">
            <v>0</v>
          </cell>
          <cell r="U73">
            <v>0</v>
          </cell>
          <cell r="V73">
            <v>0</v>
          </cell>
          <cell r="W73" t="str">
            <v>$</v>
          </cell>
          <cell r="X73">
            <v>0</v>
          </cell>
        </row>
        <row r="74">
          <cell r="O74">
            <v>0</v>
          </cell>
          <cell r="U74">
            <v>0</v>
          </cell>
          <cell r="V74">
            <v>0</v>
          </cell>
          <cell r="W74" t="str">
            <v>$</v>
          </cell>
          <cell r="X74">
            <v>0</v>
          </cell>
        </row>
        <row r="75">
          <cell r="O75">
            <v>0</v>
          </cell>
          <cell r="U75">
            <v>0</v>
          </cell>
          <cell r="V75">
            <v>0</v>
          </cell>
          <cell r="W75" t="str">
            <v>$</v>
          </cell>
          <cell r="X75">
            <v>0</v>
          </cell>
        </row>
        <row r="76">
          <cell r="O76">
            <v>0</v>
          </cell>
          <cell r="U76">
            <v>0</v>
          </cell>
          <cell r="V76">
            <v>0</v>
          </cell>
          <cell r="W76" t="str">
            <v>$</v>
          </cell>
          <cell r="X76">
            <v>0</v>
          </cell>
        </row>
        <row r="77">
          <cell r="O77">
            <v>0</v>
          </cell>
          <cell r="U77">
            <v>0</v>
          </cell>
          <cell r="V77">
            <v>0</v>
          </cell>
          <cell r="W77" t="str">
            <v>$</v>
          </cell>
          <cell r="X77">
            <v>0</v>
          </cell>
        </row>
        <row r="78">
          <cell r="O78">
            <v>0</v>
          </cell>
          <cell r="U78">
            <v>0</v>
          </cell>
          <cell r="V78">
            <v>0</v>
          </cell>
          <cell r="W78" t="str">
            <v>$</v>
          </cell>
          <cell r="X78">
            <v>0</v>
          </cell>
        </row>
        <row r="79">
          <cell r="O79">
            <v>0</v>
          </cell>
          <cell r="U79">
            <v>0</v>
          </cell>
          <cell r="V79">
            <v>0</v>
          </cell>
          <cell r="W79" t="str">
            <v>$</v>
          </cell>
          <cell r="X79">
            <v>0</v>
          </cell>
        </row>
        <row r="80">
          <cell r="O80">
            <v>0</v>
          </cell>
          <cell r="U80">
            <v>0</v>
          </cell>
          <cell r="V80">
            <v>0</v>
          </cell>
          <cell r="W80" t="str">
            <v>$</v>
          </cell>
          <cell r="X80">
            <v>0</v>
          </cell>
        </row>
        <row r="81">
          <cell r="O81">
            <v>0</v>
          </cell>
          <cell r="U81">
            <v>0</v>
          </cell>
          <cell r="V81">
            <v>0</v>
          </cell>
          <cell r="W81" t="str">
            <v>$</v>
          </cell>
          <cell r="X81">
            <v>0</v>
          </cell>
        </row>
        <row r="82">
          <cell r="O82">
            <v>0</v>
          </cell>
          <cell r="U82">
            <v>0</v>
          </cell>
          <cell r="V82">
            <v>0</v>
          </cell>
          <cell r="W82" t="str">
            <v>$</v>
          </cell>
          <cell r="X82">
            <v>0</v>
          </cell>
        </row>
        <row r="83">
          <cell r="O83">
            <v>0</v>
          </cell>
          <cell r="U83">
            <v>0</v>
          </cell>
          <cell r="V83">
            <v>0</v>
          </cell>
          <cell r="W83" t="str">
            <v>$</v>
          </cell>
          <cell r="X83">
            <v>0</v>
          </cell>
        </row>
        <row r="84">
          <cell r="O84">
            <v>0</v>
          </cell>
          <cell r="U84">
            <v>0</v>
          </cell>
          <cell r="V84">
            <v>0</v>
          </cell>
          <cell r="W84" t="str">
            <v>$</v>
          </cell>
          <cell r="X84">
            <v>0</v>
          </cell>
        </row>
        <row r="85">
          <cell r="O85">
            <v>0</v>
          </cell>
          <cell r="U85">
            <v>0</v>
          </cell>
          <cell r="V85">
            <v>0</v>
          </cell>
          <cell r="W85" t="str">
            <v>$</v>
          </cell>
          <cell r="X85">
            <v>0</v>
          </cell>
        </row>
        <row r="86">
          <cell r="O86">
            <v>0</v>
          </cell>
          <cell r="U86">
            <v>0</v>
          </cell>
          <cell r="V86">
            <v>0</v>
          </cell>
          <cell r="W86" t="str">
            <v>$</v>
          </cell>
          <cell r="X86">
            <v>0</v>
          </cell>
        </row>
        <row r="87">
          <cell r="O87">
            <v>0</v>
          </cell>
          <cell r="U87">
            <v>0</v>
          </cell>
          <cell r="V87">
            <v>0</v>
          </cell>
          <cell r="W87" t="str">
            <v>$</v>
          </cell>
          <cell r="X87">
            <v>0</v>
          </cell>
        </row>
        <row r="88">
          <cell r="O88">
            <v>0</v>
          </cell>
          <cell r="U88">
            <v>0</v>
          </cell>
          <cell r="V88">
            <v>0</v>
          </cell>
          <cell r="W88" t="str">
            <v>$</v>
          </cell>
          <cell r="X88">
            <v>0</v>
          </cell>
        </row>
        <row r="89">
          <cell r="O89">
            <v>0</v>
          </cell>
          <cell r="U89">
            <v>0</v>
          </cell>
          <cell r="V89">
            <v>0</v>
          </cell>
          <cell r="W89" t="str">
            <v>$</v>
          </cell>
          <cell r="X89">
            <v>0</v>
          </cell>
        </row>
        <row r="90">
          <cell r="O90">
            <v>0</v>
          </cell>
          <cell r="U90">
            <v>0</v>
          </cell>
          <cell r="V90">
            <v>0</v>
          </cell>
          <cell r="W90" t="str">
            <v>$</v>
          </cell>
          <cell r="X90">
            <v>0</v>
          </cell>
        </row>
        <row r="91">
          <cell r="C91">
            <v>881410.5</v>
          </cell>
          <cell r="O91">
            <v>812286.27</v>
          </cell>
          <cell r="U91" t="str">
            <v>Bilan</v>
          </cell>
          <cell r="V91" t="str">
            <v>Encaisse</v>
          </cell>
          <cell r="W91" t="str">
            <v>$</v>
          </cell>
          <cell r="X91">
            <v>0</v>
          </cell>
        </row>
        <row r="92">
          <cell r="C92">
            <v>1545.61</v>
          </cell>
          <cell r="O92">
            <v>7877.94</v>
          </cell>
          <cell r="U92" t="str">
            <v>Bilan</v>
          </cell>
          <cell r="V92" t="str">
            <v>Encaisse</v>
          </cell>
          <cell r="W92" t="str">
            <v>$</v>
          </cell>
          <cell r="X92">
            <v>0</v>
          </cell>
        </row>
        <row r="93">
          <cell r="C93">
            <v>250000</v>
          </cell>
          <cell r="O93">
            <v>150000</v>
          </cell>
          <cell r="U93" t="str">
            <v>Bilan</v>
          </cell>
          <cell r="V93" t="str">
            <v>Encaisse</v>
          </cell>
          <cell r="W93" t="str">
            <v>$</v>
          </cell>
          <cell r="X93">
            <v>0</v>
          </cell>
        </row>
        <row r="94">
          <cell r="C94">
            <v>208.82</v>
          </cell>
          <cell r="O94">
            <v>0</v>
          </cell>
          <cell r="U94" t="str">
            <v>Bilan</v>
          </cell>
          <cell r="V94" t="str">
            <v>Encaisse</v>
          </cell>
          <cell r="W94" t="str">
            <v>$</v>
          </cell>
          <cell r="X94">
            <v>0</v>
          </cell>
        </row>
        <row r="95">
          <cell r="C95">
            <v>0</v>
          </cell>
          <cell r="O95">
            <v>-25.75</v>
          </cell>
          <cell r="U95" t="str">
            <v>Bilan</v>
          </cell>
          <cell r="V95" t="str">
            <v>Encaisse</v>
          </cell>
          <cell r="W95" t="str">
            <v>$</v>
          </cell>
          <cell r="X95">
            <v>0</v>
          </cell>
        </row>
        <row r="96">
          <cell r="C96">
            <v>1017674.25</v>
          </cell>
          <cell r="O96">
            <v>-269614.32</v>
          </cell>
          <cell r="U96" t="str">
            <v>Bilan</v>
          </cell>
          <cell r="V96" t="str">
            <v>Recevables Contrats en Transit</v>
          </cell>
          <cell r="W96" t="str">
            <v>$</v>
          </cell>
          <cell r="X96">
            <v>0</v>
          </cell>
        </row>
        <row r="97">
          <cell r="C97">
            <v>-76367.62</v>
          </cell>
          <cell r="O97">
            <v>34066.410000000003</v>
          </cell>
          <cell r="U97" t="str">
            <v>Bilan</v>
          </cell>
          <cell r="V97" t="str">
            <v>Recevables Véhicules</v>
          </cell>
          <cell r="W97" t="str">
            <v>$</v>
          </cell>
          <cell r="X97">
            <v>0</v>
          </cell>
        </row>
        <row r="98">
          <cell r="C98">
            <v>262006.7</v>
          </cell>
          <cell r="O98">
            <v>69447.570000000007</v>
          </cell>
          <cell r="U98" t="str">
            <v>Bilan</v>
          </cell>
          <cell r="V98" t="str">
            <v>Recevables Véhicules</v>
          </cell>
          <cell r="W98" t="str">
            <v>$</v>
          </cell>
          <cell r="X98">
            <v>0</v>
          </cell>
        </row>
        <row r="99">
          <cell r="C99">
            <v>244940.45</v>
          </cell>
          <cell r="O99">
            <v>-37117.339999999997</v>
          </cell>
          <cell r="U99" t="str">
            <v>Bilan</v>
          </cell>
          <cell r="V99" t="str">
            <v>Recevables Pièces et Service</v>
          </cell>
          <cell r="W99" t="str">
            <v>$</v>
          </cell>
          <cell r="X99">
            <v>0</v>
          </cell>
        </row>
        <row r="100">
          <cell r="C100">
            <v>2649.02</v>
          </cell>
          <cell r="O100">
            <v>-1300.53</v>
          </cell>
          <cell r="U100" t="str">
            <v>Bilan</v>
          </cell>
          <cell r="V100" t="str">
            <v>Recevables Carrosserie</v>
          </cell>
          <cell r="W100" t="str">
            <v>$</v>
          </cell>
          <cell r="X100">
            <v>0</v>
          </cell>
        </row>
        <row r="101">
          <cell r="C101">
            <v>36960.800000000003</v>
          </cell>
          <cell r="O101">
            <v>-12735.8</v>
          </cell>
          <cell r="U101" t="str">
            <v>Bilan</v>
          </cell>
          <cell r="V101" t="str">
            <v>Recevables Intercos</v>
          </cell>
          <cell r="W101" t="str">
            <v>$</v>
          </cell>
          <cell r="X101">
            <v>0</v>
          </cell>
        </row>
        <row r="102">
          <cell r="C102">
            <v>27400</v>
          </cell>
          <cell r="O102">
            <v>1600</v>
          </cell>
          <cell r="U102" t="str">
            <v>Bilan</v>
          </cell>
          <cell r="V102" t="str">
            <v>Recevables Intercos</v>
          </cell>
          <cell r="W102" t="str">
            <v>$</v>
          </cell>
          <cell r="X102">
            <v>0</v>
          </cell>
        </row>
        <row r="103">
          <cell r="C103">
            <v>125688</v>
          </cell>
          <cell r="O103">
            <v>-50470</v>
          </cell>
          <cell r="U103" t="str">
            <v>Bilan</v>
          </cell>
          <cell r="V103" t="str">
            <v>Recevables Manufacturier</v>
          </cell>
          <cell r="W103" t="str">
            <v>$</v>
          </cell>
          <cell r="X103">
            <v>0</v>
          </cell>
        </row>
        <row r="104">
          <cell r="C104">
            <v>16728.63</v>
          </cell>
          <cell r="O104">
            <v>-7010.56</v>
          </cell>
          <cell r="U104" t="str">
            <v>Bilan</v>
          </cell>
          <cell r="V104" t="str">
            <v>Recevables Garantie Manufacturier</v>
          </cell>
          <cell r="W104" t="str">
            <v>$</v>
          </cell>
          <cell r="X104">
            <v>0</v>
          </cell>
        </row>
        <row r="105">
          <cell r="C105">
            <v>18509.37</v>
          </cell>
          <cell r="O105">
            <v>20426.32</v>
          </cell>
          <cell r="U105" t="str">
            <v>Bilan</v>
          </cell>
          <cell r="V105" t="str">
            <v>recevables Autres</v>
          </cell>
          <cell r="W105" t="str">
            <v>$</v>
          </cell>
          <cell r="X105">
            <v>0</v>
          </cell>
        </row>
        <row r="106">
          <cell r="C106">
            <v>208887</v>
          </cell>
          <cell r="O106">
            <v>-185900</v>
          </cell>
          <cell r="U106" t="str">
            <v>Bilan</v>
          </cell>
          <cell r="V106" t="str">
            <v>Recevables Manufacturier</v>
          </cell>
          <cell r="W106" t="str">
            <v>$</v>
          </cell>
          <cell r="X106">
            <v>0</v>
          </cell>
        </row>
        <row r="107">
          <cell r="C107">
            <v>40553.08</v>
          </cell>
          <cell r="O107">
            <v>-40914.79</v>
          </cell>
          <cell r="U107" t="str">
            <v>Bilan</v>
          </cell>
          <cell r="V107" t="str">
            <v>Taxes de Vente à Payer</v>
          </cell>
          <cell r="W107" t="str">
            <v>$</v>
          </cell>
          <cell r="X107">
            <v>0</v>
          </cell>
        </row>
        <row r="108">
          <cell r="C108">
            <v>7267107.2199999997</v>
          </cell>
          <cell r="O108">
            <v>-342312.66</v>
          </cell>
          <cell r="U108" t="str">
            <v>Bilan</v>
          </cell>
          <cell r="V108" t="str">
            <v>Inventaire Véhicules Neufs</v>
          </cell>
          <cell r="W108" t="str">
            <v>$</v>
          </cell>
          <cell r="X108">
            <v>0</v>
          </cell>
        </row>
        <row r="109">
          <cell r="C109">
            <v>-29335.29</v>
          </cell>
          <cell r="O109">
            <v>22950</v>
          </cell>
          <cell r="U109" t="str">
            <v>Bilan</v>
          </cell>
          <cell r="V109" t="str">
            <v>Inventaire Véhicules Neufs</v>
          </cell>
          <cell r="W109" t="str">
            <v>$</v>
          </cell>
          <cell r="X109">
            <v>0</v>
          </cell>
        </row>
        <row r="110">
          <cell r="C110">
            <v>-11949</v>
          </cell>
          <cell r="O110">
            <v>-8100</v>
          </cell>
          <cell r="U110" t="str">
            <v>Bilan</v>
          </cell>
          <cell r="V110" t="str">
            <v>Inventaire Véhicules Usagés</v>
          </cell>
          <cell r="W110" t="str">
            <v>$</v>
          </cell>
          <cell r="X110">
            <v>0</v>
          </cell>
        </row>
        <row r="111">
          <cell r="C111">
            <v>955630.62</v>
          </cell>
          <cell r="O111">
            <v>-29098.29</v>
          </cell>
          <cell r="U111" t="str">
            <v>Bilan</v>
          </cell>
          <cell r="V111" t="str">
            <v>Inventaire Véhicules Usagés</v>
          </cell>
          <cell r="W111" t="str">
            <v>$</v>
          </cell>
          <cell r="X111">
            <v>0</v>
          </cell>
        </row>
        <row r="112">
          <cell r="C112">
            <v>-12514.96</v>
          </cell>
          <cell r="O112">
            <v>-1408.59</v>
          </cell>
          <cell r="U112" t="str">
            <v>Bilan</v>
          </cell>
          <cell r="V112" t="str">
            <v>Inventaire Véhicules Neufs</v>
          </cell>
          <cell r="W112" t="str">
            <v>$</v>
          </cell>
          <cell r="X112">
            <v>0</v>
          </cell>
        </row>
        <row r="113">
          <cell r="C113">
            <v>-20812.8</v>
          </cell>
          <cell r="O113">
            <v>-2113.7199999999998</v>
          </cell>
          <cell r="U113" t="str">
            <v>Bilan</v>
          </cell>
          <cell r="V113" t="str">
            <v>Inventaire Véhicules Neufs</v>
          </cell>
          <cell r="W113" t="str">
            <v>$</v>
          </cell>
          <cell r="X113">
            <v>0</v>
          </cell>
        </row>
        <row r="114">
          <cell r="C114">
            <v>475071.37</v>
          </cell>
          <cell r="O114">
            <v>-35634.57</v>
          </cell>
          <cell r="U114" t="str">
            <v>Bilan</v>
          </cell>
          <cell r="V114" t="str">
            <v>Inventaire Pièces, Pneus, Huile</v>
          </cell>
          <cell r="W114" t="str">
            <v>$</v>
          </cell>
          <cell r="X114">
            <v>0</v>
          </cell>
        </row>
        <row r="115">
          <cell r="C115">
            <v>5596.09</v>
          </cell>
          <cell r="O115">
            <v>1377.95</v>
          </cell>
          <cell r="U115" t="str">
            <v>Bilan</v>
          </cell>
          <cell r="V115" t="str">
            <v>Inventaire Pièces, Pneus, Huile</v>
          </cell>
          <cell r="W115" t="str">
            <v>$</v>
          </cell>
          <cell r="X115">
            <v>0</v>
          </cell>
        </row>
        <row r="116">
          <cell r="C116">
            <v>46786.32</v>
          </cell>
          <cell r="O116">
            <v>-2899.98</v>
          </cell>
          <cell r="U116" t="str">
            <v>Bilan</v>
          </cell>
          <cell r="V116" t="str">
            <v>Inventaire Pièces, Pneus, Huile</v>
          </cell>
          <cell r="W116" t="str">
            <v>$</v>
          </cell>
          <cell r="X116">
            <v>0</v>
          </cell>
        </row>
        <row r="117">
          <cell r="C117">
            <v>0</v>
          </cell>
          <cell r="O117">
            <v>0.38</v>
          </cell>
          <cell r="U117" t="str">
            <v>Bilan</v>
          </cell>
          <cell r="V117" t="str">
            <v>Inventaire Pièces, Pneus, Huile</v>
          </cell>
          <cell r="W117" t="str">
            <v>$</v>
          </cell>
          <cell r="X117">
            <v>0</v>
          </cell>
        </row>
        <row r="118">
          <cell r="C118">
            <v>2143.8000000000002</v>
          </cell>
          <cell r="O118">
            <v>16321.33</v>
          </cell>
          <cell r="U118" t="str">
            <v>Bilan</v>
          </cell>
          <cell r="V118" t="str">
            <v>Travaux en Cours</v>
          </cell>
          <cell r="W118" t="str">
            <v>$</v>
          </cell>
          <cell r="X118">
            <v>0</v>
          </cell>
        </row>
        <row r="119">
          <cell r="C119">
            <v>-19190.07</v>
          </cell>
          <cell r="O119">
            <v>-3678.55</v>
          </cell>
          <cell r="U119" t="str">
            <v>Bilan</v>
          </cell>
          <cell r="V119" t="str">
            <v>Sous-Traitance</v>
          </cell>
          <cell r="W119" t="str">
            <v>$</v>
          </cell>
          <cell r="X119">
            <v>0</v>
          </cell>
        </row>
        <row r="120">
          <cell r="C120">
            <v>19656.490000000002</v>
          </cell>
          <cell r="O120">
            <v>33289.72</v>
          </cell>
          <cell r="U120" t="str">
            <v>Bilan</v>
          </cell>
          <cell r="V120" t="str">
            <v>Inventaire Pièces, Pneus, Huile</v>
          </cell>
          <cell r="W120" t="str">
            <v>$</v>
          </cell>
          <cell r="X120">
            <v>0</v>
          </cell>
        </row>
        <row r="121">
          <cell r="C121">
            <v>159.9</v>
          </cell>
          <cell r="O121">
            <v>0</v>
          </cell>
          <cell r="U121" t="str">
            <v>Bilan</v>
          </cell>
          <cell r="V121" t="str">
            <v>Frais Payés d'Avance</v>
          </cell>
          <cell r="W121" t="str">
            <v>$</v>
          </cell>
          <cell r="X121">
            <v>0</v>
          </cell>
        </row>
        <row r="122">
          <cell r="C122">
            <v>-3128.95</v>
          </cell>
          <cell r="O122">
            <v>-8716.93</v>
          </cell>
          <cell r="U122" t="str">
            <v>Bilan</v>
          </cell>
          <cell r="V122" t="str">
            <v>Frais Payés d'Avance</v>
          </cell>
          <cell r="W122" t="str">
            <v>$</v>
          </cell>
          <cell r="X122">
            <v>0</v>
          </cell>
        </row>
        <row r="123">
          <cell r="C123">
            <v>5060.8999999999996</v>
          </cell>
          <cell r="O123">
            <v>0</v>
          </cell>
          <cell r="U123" t="str">
            <v>Bilan</v>
          </cell>
          <cell r="V123" t="str">
            <v>Frais Payés d'Avance</v>
          </cell>
          <cell r="W123" t="str">
            <v>$</v>
          </cell>
          <cell r="X123">
            <v>0</v>
          </cell>
        </row>
        <row r="124">
          <cell r="C124">
            <v>3927.65</v>
          </cell>
          <cell r="O124">
            <v>-785.54</v>
          </cell>
          <cell r="U124" t="str">
            <v>Bilan</v>
          </cell>
          <cell r="V124" t="str">
            <v>Frais Payés d'Avance</v>
          </cell>
          <cell r="W124" t="str">
            <v>$</v>
          </cell>
          <cell r="X124">
            <v>0</v>
          </cell>
        </row>
        <row r="125">
          <cell r="C125">
            <v>2441</v>
          </cell>
          <cell r="O125">
            <v>0</v>
          </cell>
          <cell r="U125" t="str">
            <v>Bilan</v>
          </cell>
          <cell r="V125" t="str">
            <v>Frais Payés d'Avance</v>
          </cell>
          <cell r="W125" t="str">
            <v>$</v>
          </cell>
          <cell r="X125">
            <v>0</v>
          </cell>
        </row>
        <row r="126">
          <cell r="C126">
            <v>-215.07</v>
          </cell>
          <cell r="O126">
            <v>215.07</v>
          </cell>
          <cell r="U126" t="str">
            <v>Bilan</v>
          </cell>
          <cell r="V126" t="str">
            <v>Frais Payés d'Avance</v>
          </cell>
          <cell r="W126" t="str">
            <v>$</v>
          </cell>
          <cell r="X126">
            <v>0</v>
          </cell>
        </row>
        <row r="127">
          <cell r="C127">
            <v>1834.58</v>
          </cell>
          <cell r="O127">
            <v>0</v>
          </cell>
          <cell r="U127" t="str">
            <v>Bilan</v>
          </cell>
          <cell r="V127" t="str">
            <v>Autres Courus</v>
          </cell>
          <cell r="W127" t="str">
            <v>$</v>
          </cell>
          <cell r="X127">
            <v>0</v>
          </cell>
        </row>
        <row r="128">
          <cell r="C128">
            <v>99793.95</v>
          </cell>
          <cell r="O128">
            <v>0</v>
          </cell>
          <cell r="U128" t="str">
            <v>Bilan</v>
          </cell>
          <cell r="V128" t="str">
            <v>Frais Payés d'Avance</v>
          </cell>
          <cell r="W128" t="str">
            <v>$</v>
          </cell>
          <cell r="X128">
            <v>0</v>
          </cell>
        </row>
        <row r="129">
          <cell r="C129">
            <v>16606.66</v>
          </cell>
          <cell r="O129">
            <v>-8218.2099999999991</v>
          </cell>
          <cell r="U129" t="str">
            <v>Bilan</v>
          </cell>
          <cell r="V129" t="str">
            <v>Frais Payés d'Avance</v>
          </cell>
          <cell r="W129" t="str">
            <v>$</v>
          </cell>
          <cell r="X129">
            <v>0</v>
          </cell>
        </row>
        <row r="130">
          <cell r="C130">
            <v>1030.44</v>
          </cell>
          <cell r="O130">
            <v>-403.79</v>
          </cell>
          <cell r="U130" t="str">
            <v>Bilan</v>
          </cell>
          <cell r="V130" t="str">
            <v>Frais Payés d'Avance</v>
          </cell>
          <cell r="W130" t="str">
            <v>$</v>
          </cell>
          <cell r="X130">
            <v>0</v>
          </cell>
        </row>
        <row r="131">
          <cell r="C131">
            <v>94947.38</v>
          </cell>
          <cell r="O131">
            <v>-58803.28</v>
          </cell>
          <cell r="U131" t="str">
            <v>Bilan</v>
          </cell>
          <cell r="V131" t="str">
            <v>Frais Payés d'Avance</v>
          </cell>
          <cell r="W131" t="str">
            <v>$</v>
          </cell>
          <cell r="X131">
            <v>0</v>
          </cell>
        </row>
        <row r="132">
          <cell r="C132">
            <v>148504.63</v>
          </cell>
          <cell r="O132">
            <v>0</v>
          </cell>
          <cell r="U132" t="str">
            <v>Bilan</v>
          </cell>
          <cell r="V132" t="str">
            <v>Améliorations Locatives</v>
          </cell>
          <cell r="W132" t="str">
            <v>$</v>
          </cell>
          <cell r="X132">
            <v>0</v>
          </cell>
        </row>
        <row r="133">
          <cell r="C133">
            <v>-228038.93</v>
          </cell>
          <cell r="O133">
            <v>-28558</v>
          </cell>
          <cell r="U133" t="str">
            <v>Bilan</v>
          </cell>
          <cell r="V133" t="str">
            <v>Améliorations Locatives</v>
          </cell>
          <cell r="W133" t="str">
            <v>$</v>
          </cell>
          <cell r="X133">
            <v>0</v>
          </cell>
        </row>
        <row r="134">
          <cell r="C134">
            <v>10527.65</v>
          </cell>
          <cell r="O134">
            <v>0</v>
          </cell>
          <cell r="U134" t="str">
            <v>Bilan</v>
          </cell>
          <cell r="V134" t="str">
            <v>Améliorations Locatives</v>
          </cell>
          <cell r="W134" t="str">
            <v>$</v>
          </cell>
          <cell r="X134">
            <v>0</v>
          </cell>
        </row>
        <row r="135">
          <cell r="C135">
            <v>10311083.27</v>
          </cell>
          <cell r="O135">
            <v>6072.5</v>
          </cell>
          <cell r="U135" t="str">
            <v>Bilan</v>
          </cell>
          <cell r="V135" t="str">
            <v>Améliorations Locatives</v>
          </cell>
          <cell r="W135" t="str">
            <v>$</v>
          </cell>
          <cell r="X135">
            <v>0</v>
          </cell>
        </row>
        <row r="136">
          <cell r="C136">
            <v>1244067.29</v>
          </cell>
          <cell r="O136">
            <v>33920.22</v>
          </cell>
          <cell r="U136" t="str">
            <v>Bilan</v>
          </cell>
          <cell r="V136" t="str">
            <v>Équipements Service</v>
          </cell>
          <cell r="W136" t="str">
            <v>$</v>
          </cell>
          <cell r="X136">
            <v>0</v>
          </cell>
        </row>
        <row r="137">
          <cell r="C137">
            <v>-898570.84</v>
          </cell>
          <cell r="O137">
            <v>-4612.5</v>
          </cell>
          <cell r="U137" t="str">
            <v>Bilan</v>
          </cell>
          <cell r="V137" t="str">
            <v>Équipements Service</v>
          </cell>
          <cell r="W137" t="str">
            <v>$</v>
          </cell>
          <cell r="X137">
            <v>0</v>
          </cell>
        </row>
        <row r="138">
          <cell r="C138">
            <v>47461.59</v>
          </cell>
          <cell r="O138">
            <v>0</v>
          </cell>
          <cell r="U138" t="str">
            <v>Bilan</v>
          </cell>
          <cell r="V138" t="str">
            <v>Équipements Service</v>
          </cell>
          <cell r="W138" t="str">
            <v>$</v>
          </cell>
          <cell r="X138">
            <v>0</v>
          </cell>
        </row>
        <row r="139">
          <cell r="C139">
            <v>-47546.59</v>
          </cell>
          <cell r="O139">
            <v>-8.5</v>
          </cell>
          <cell r="U139" t="str">
            <v>Bilan</v>
          </cell>
          <cell r="V139" t="str">
            <v>Équipements Service</v>
          </cell>
          <cell r="W139" t="str">
            <v>$</v>
          </cell>
          <cell r="X139">
            <v>0</v>
          </cell>
        </row>
        <row r="140">
          <cell r="C140">
            <v>440156.49</v>
          </cell>
          <cell r="O140">
            <v>0</v>
          </cell>
          <cell r="U140" t="str">
            <v>Bilan</v>
          </cell>
          <cell r="V140" t="str">
            <v>Mobilier</v>
          </cell>
          <cell r="W140" t="str">
            <v>$</v>
          </cell>
          <cell r="X140">
            <v>0</v>
          </cell>
        </row>
        <row r="141">
          <cell r="C141">
            <v>-420019.22</v>
          </cell>
          <cell r="O141">
            <v>-497</v>
          </cell>
          <cell r="U141" t="str">
            <v>Bilan</v>
          </cell>
          <cell r="V141" t="str">
            <v>Mobilier</v>
          </cell>
          <cell r="W141" t="str">
            <v>$</v>
          </cell>
          <cell r="X141">
            <v>0</v>
          </cell>
        </row>
        <row r="142">
          <cell r="C142">
            <v>3987.88</v>
          </cell>
          <cell r="O142">
            <v>0</v>
          </cell>
          <cell r="U142" t="str">
            <v>Bilan</v>
          </cell>
          <cell r="V142" t="str">
            <v>Équipements Service</v>
          </cell>
          <cell r="W142" t="str">
            <v>$</v>
          </cell>
          <cell r="X142">
            <v>0</v>
          </cell>
        </row>
        <row r="143">
          <cell r="C143">
            <v>-3987.88</v>
          </cell>
          <cell r="O143">
            <v>0</v>
          </cell>
          <cell r="U143" t="str">
            <v>Bilan</v>
          </cell>
          <cell r="V143" t="str">
            <v>Équipements Service</v>
          </cell>
          <cell r="W143" t="str">
            <v>$</v>
          </cell>
          <cell r="X143">
            <v>0</v>
          </cell>
        </row>
        <row r="144">
          <cell r="C144">
            <v>170676.74</v>
          </cell>
          <cell r="O144">
            <v>0</v>
          </cell>
          <cell r="U144" t="str">
            <v>Bilan</v>
          </cell>
          <cell r="V144" t="str">
            <v>Équipements Informatique</v>
          </cell>
          <cell r="W144" t="str">
            <v>$</v>
          </cell>
          <cell r="X144">
            <v>0</v>
          </cell>
        </row>
        <row r="145">
          <cell r="C145">
            <v>-131590.45000000001</v>
          </cell>
          <cell r="O145">
            <v>-972</v>
          </cell>
          <cell r="U145" t="str">
            <v>Bilan</v>
          </cell>
          <cell r="V145" t="str">
            <v>Équipements Informatique</v>
          </cell>
          <cell r="W145" t="str">
            <v>$</v>
          </cell>
          <cell r="X145">
            <v>0</v>
          </cell>
        </row>
        <row r="146">
          <cell r="C146">
            <v>119393.66</v>
          </cell>
          <cell r="O146">
            <v>0</v>
          </cell>
          <cell r="U146" t="str">
            <v>Bilan</v>
          </cell>
          <cell r="V146" t="str">
            <v>Enseigne</v>
          </cell>
          <cell r="W146" t="str">
            <v>$</v>
          </cell>
          <cell r="X146">
            <v>0</v>
          </cell>
        </row>
        <row r="147">
          <cell r="C147">
            <v>-119393.65</v>
          </cell>
          <cell r="O147">
            <v>0</v>
          </cell>
          <cell r="U147" t="str">
            <v>Bilan</v>
          </cell>
          <cell r="V147" t="str">
            <v>Enseigne</v>
          </cell>
          <cell r="W147" t="str">
            <v>$</v>
          </cell>
          <cell r="X147">
            <v>0</v>
          </cell>
        </row>
        <row r="148">
          <cell r="C148">
            <v>573600</v>
          </cell>
          <cell r="O148">
            <v>150000</v>
          </cell>
          <cell r="U148" t="str">
            <v>Bilan</v>
          </cell>
          <cell r="V148" t="str">
            <v>Avances à Recevoir Long Terme</v>
          </cell>
          <cell r="W148" t="str">
            <v>$</v>
          </cell>
          <cell r="X148">
            <v>0</v>
          </cell>
        </row>
        <row r="149">
          <cell r="C149">
            <v>7849.58</v>
          </cell>
          <cell r="O149">
            <v>-4275.54</v>
          </cell>
          <cell r="U149" t="str">
            <v>Bilan</v>
          </cell>
          <cell r="V149" t="str">
            <v>Recevables Autres</v>
          </cell>
          <cell r="W149" t="str">
            <v>$</v>
          </cell>
          <cell r="X149">
            <v>0</v>
          </cell>
        </row>
        <row r="150">
          <cell r="C150">
            <v>-8403824.4100000001</v>
          </cell>
          <cell r="O150">
            <v>-38518.199999999997</v>
          </cell>
          <cell r="U150" t="str">
            <v>Bilan</v>
          </cell>
          <cell r="V150" t="str">
            <v>Effet à Payer Véhicules Neufs</v>
          </cell>
          <cell r="W150" t="str">
            <v>$</v>
          </cell>
          <cell r="X150">
            <v>0</v>
          </cell>
        </row>
        <row r="151">
          <cell r="C151">
            <v>-496903.38</v>
          </cell>
          <cell r="O151">
            <v>134802.78</v>
          </cell>
          <cell r="U151" t="str">
            <v>Bilan</v>
          </cell>
          <cell r="V151" t="str">
            <v>Effet à Payer Véhicules Usagés</v>
          </cell>
          <cell r="W151" t="str">
            <v>$</v>
          </cell>
          <cell r="X151">
            <v>0</v>
          </cell>
        </row>
        <row r="152">
          <cell r="C152">
            <v>-382.77</v>
          </cell>
          <cell r="O152">
            <v>382.77</v>
          </cell>
          <cell r="U152" t="str">
            <v>Bilan</v>
          </cell>
          <cell r="V152" t="str">
            <v>Taxes de Vente à Payer</v>
          </cell>
          <cell r="W152" t="str">
            <v>$</v>
          </cell>
          <cell r="X152">
            <v>0</v>
          </cell>
        </row>
        <row r="153">
          <cell r="C153">
            <v>-104146.98</v>
          </cell>
          <cell r="O153">
            <v>-25522.38</v>
          </cell>
          <cell r="U153" t="str">
            <v>Bilan</v>
          </cell>
          <cell r="V153" t="str">
            <v>Taxes de Vente à Payer</v>
          </cell>
          <cell r="W153" t="str">
            <v>$</v>
          </cell>
          <cell r="X153">
            <v>0</v>
          </cell>
        </row>
        <row r="154">
          <cell r="C154">
            <v>70641.990000000005</v>
          </cell>
          <cell r="O154">
            <v>-1205.06</v>
          </cell>
          <cell r="U154" t="str">
            <v>Bilan</v>
          </cell>
          <cell r="V154" t="str">
            <v>Taxes de Vente à Payer</v>
          </cell>
          <cell r="W154" t="str">
            <v>$</v>
          </cell>
          <cell r="X154">
            <v>0</v>
          </cell>
        </row>
        <row r="155">
          <cell r="C155">
            <v>-248705.22</v>
          </cell>
          <cell r="O155">
            <v>17566.66</v>
          </cell>
          <cell r="U155" t="str">
            <v>Bilan</v>
          </cell>
          <cell r="V155" t="str">
            <v>Taxes de Vente à Payer</v>
          </cell>
          <cell r="W155" t="str">
            <v>$</v>
          </cell>
          <cell r="X155">
            <v>0</v>
          </cell>
        </row>
        <row r="156">
          <cell r="C156">
            <v>240182.93</v>
          </cell>
          <cell r="O156">
            <v>-78030.850000000006</v>
          </cell>
          <cell r="U156" t="str">
            <v>Bilan</v>
          </cell>
          <cell r="V156" t="str">
            <v>Taxes de Vente à Payer</v>
          </cell>
          <cell r="W156" t="str">
            <v>$</v>
          </cell>
          <cell r="X156">
            <v>0</v>
          </cell>
        </row>
        <row r="157">
          <cell r="C157">
            <v>-1822.5</v>
          </cell>
          <cell r="O157">
            <v>-67.5</v>
          </cell>
          <cell r="U157" t="str">
            <v>Bilan</v>
          </cell>
          <cell r="V157" t="str">
            <v>Taxes de Vente à Payer</v>
          </cell>
          <cell r="W157" t="str">
            <v>$</v>
          </cell>
          <cell r="X157">
            <v>0</v>
          </cell>
        </row>
        <row r="158">
          <cell r="C158">
            <v>-130023.93</v>
          </cell>
          <cell r="O158">
            <v>-27681.96</v>
          </cell>
          <cell r="U158" t="str">
            <v>Bilan</v>
          </cell>
          <cell r="V158" t="str">
            <v>Autres Comptes à Payer</v>
          </cell>
          <cell r="W158" t="str">
            <v>$</v>
          </cell>
          <cell r="X158">
            <v>0</v>
          </cell>
        </row>
        <row r="159">
          <cell r="C159">
            <v>-8400</v>
          </cell>
          <cell r="O159">
            <v>-1020.54</v>
          </cell>
          <cell r="U159" t="str">
            <v>Bilan</v>
          </cell>
          <cell r="V159" t="str">
            <v>Autres Comptes à Payer</v>
          </cell>
          <cell r="W159" t="str">
            <v>$</v>
          </cell>
          <cell r="X159">
            <v>0</v>
          </cell>
        </row>
        <row r="160">
          <cell r="C160">
            <v>-71457.06</v>
          </cell>
          <cell r="O160">
            <v>12284.53</v>
          </cell>
          <cell r="U160" t="str">
            <v>Bilan</v>
          </cell>
          <cell r="V160" t="str">
            <v>Autres Comptes à Payer</v>
          </cell>
          <cell r="W160" t="str">
            <v>$</v>
          </cell>
          <cell r="X160">
            <v>0</v>
          </cell>
        </row>
        <row r="161">
          <cell r="C161">
            <v>-9141.5300000000007</v>
          </cell>
          <cell r="O161">
            <v>5639.91</v>
          </cell>
          <cell r="U161" t="str">
            <v>Bilan</v>
          </cell>
          <cell r="V161" t="str">
            <v>Autres Comptes à Payer</v>
          </cell>
          <cell r="W161" t="str">
            <v>$</v>
          </cell>
          <cell r="X161">
            <v>0</v>
          </cell>
        </row>
        <row r="162">
          <cell r="C162">
            <v>-591939.35</v>
          </cell>
          <cell r="O162">
            <v>110816.59</v>
          </cell>
          <cell r="U162" t="str">
            <v>Bilan</v>
          </cell>
          <cell r="V162" t="str">
            <v>Comptes à Payer Fournisseurs</v>
          </cell>
          <cell r="W162" t="str">
            <v>$</v>
          </cell>
          <cell r="X162">
            <v>0</v>
          </cell>
        </row>
        <row r="163">
          <cell r="C163">
            <v>727</v>
          </cell>
          <cell r="O163">
            <v>-130172.85</v>
          </cell>
          <cell r="U163" t="str">
            <v>Bilan</v>
          </cell>
          <cell r="V163" t="str">
            <v>Autres Comptes à Payer</v>
          </cell>
          <cell r="W163" t="str">
            <v>$</v>
          </cell>
          <cell r="X163">
            <v>0</v>
          </cell>
        </row>
        <row r="164">
          <cell r="C164">
            <v>-24519.52</v>
          </cell>
          <cell r="O164">
            <v>-3461.5</v>
          </cell>
          <cell r="U164" t="str">
            <v>Bilan</v>
          </cell>
          <cell r="V164" t="str">
            <v>Autres Courus</v>
          </cell>
          <cell r="W164" t="str">
            <v>$</v>
          </cell>
          <cell r="X164">
            <v>0</v>
          </cell>
        </row>
        <row r="165">
          <cell r="C165">
            <v>1343.25</v>
          </cell>
          <cell r="O165">
            <v>0</v>
          </cell>
          <cell r="U165" t="str">
            <v>Bilan</v>
          </cell>
          <cell r="V165" t="str">
            <v>Autres Courus</v>
          </cell>
          <cell r="W165" t="str">
            <v>$</v>
          </cell>
          <cell r="X165">
            <v>0</v>
          </cell>
        </row>
        <row r="166">
          <cell r="C166">
            <v>-91106.82</v>
          </cell>
          <cell r="O166">
            <v>802.53</v>
          </cell>
          <cell r="U166" t="str">
            <v>Bilan</v>
          </cell>
          <cell r="V166" t="str">
            <v>Payables Intercos</v>
          </cell>
          <cell r="W166" t="str">
            <v>$</v>
          </cell>
          <cell r="X166">
            <v>0</v>
          </cell>
        </row>
        <row r="167">
          <cell r="C167">
            <v>-56340</v>
          </cell>
          <cell r="O167">
            <v>-1700</v>
          </cell>
          <cell r="U167" t="str">
            <v>Bilan</v>
          </cell>
          <cell r="V167" t="str">
            <v>Autres Courus</v>
          </cell>
          <cell r="W167" t="str">
            <v>$</v>
          </cell>
          <cell r="X167">
            <v>0</v>
          </cell>
        </row>
        <row r="168">
          <cell r="C168">
            <v>27.79</v>
          </cell>
          <cell r="O168">
            <v>0</v>
          </cell>
          <cell r="U168" t="str">
            <v>Bilan</v>
          </cell>
          <cell r="V168" t="str">
            <v>DAS à Payer</v>
          </cell>
          <cell r="W168" t="str">
            <v>$</v>
          </cell>
          <cell r="X168">
            <v>0</v>
          </cell>
        </row>
        <row r="169">
          <cell r="C169">
            <v>35576.76</v>
          </cell>
          <cell r="O169">
            <v>-5013.74</v>
          </cell>
          <cell r="U169" t="str">
            <v>Bilan</v>
          </cell>
          <cell r="V169" t="str">
            <v>DAS à Payer</v>
          </cell>
          <cell r="W169" t="str">
            <v>$</v>
          </cell>
          <cell r="X169">
            <v>0</v>
          </cell>
        </row>
        <row r="170">
          <cell r="C170">
            <v>52.35</v>
          </cell>
          <cell r="O170">
            <v>0</v>
          </cell>
          <cell r="U170" t="str">
            <v>Bilan</v>
          </cell>
          <cell r="V170" t="str">
            <v>DAS à Payer</v>
          </cell>
          <cell r="W170" t="str">
            <v>$</v>
          </cell>
          <cell r="X170">
            <v>0</v>
          </cell>
        </row>
        <row r="171">
          <cell r="C171">
            <v>-23062.13</v>
          </cell>
          <cell r="O171">
            <v>-8053.42</v>
          </cell>
          <cell r="U171" t="str">
            <v>Bilan</v>
          </cell>
          <cell r="V171" t="str">
            <v>DAS à Payer</v>
          </cell>
          <cell r="W171" t="str">
            <v>$</v>
          </cell>
          <cell r="X171">
            <v>0</v>
          </cell>
        </row>
        <row r="172">
          <cell r="C172">
            <v>-618.9</v>
          </cell>
          <cell r="O172">
            <v>-363.98</v>
          </cell>
          <cell r="U172" t="str">
            <v>Bilan</v>
          </cell>
          <cell r="V172" t="str">
            <v>DAS à Payer</v>
          </cell>
          <cell r="W172" t="str">
            <v>$</v>
          </cell>
          <cell r="X172">
            <v>0</v>
          </cell>
        </row>
        <row r="173">
          <cell r="C173">
            <v>-1923.92</v>
          </cell>
          <cell r="O173">
            <v>1422.84</v>
          </cell>
          <cell r="U173" t="str">
            <v>Bilan</v>
          </cell>
          <cell r="V173" t="str">
            <v>DAS à Payer</v>
          </cell>
          <cell r="W173" t="str">
            <v>$</v>
          </cell>
          <cell r="X173">
            <v>0</v>
          </cell>
        </row>
        <row r="174">
          <cell r="C174">
            <v>-34800</v>
          </cell>
          <cell r="O174">
            <v>3750</v>
          </cell>
          <cell r="U174" t="str">
            <v>Bilan</v>
          </cell>
          <cell r="V174" t="str">
            <v>Dépôts de Client</v>
          </cell>
          <cell r="W174" t="str">
            <v>$</v>
          </cell>
          <cell r="X174">
            <v>0</v>
          </cell>
        </row>
        <row r="175">
          <cell r="C175">
            <v>-24413.63</v>
          </cell>
          <cell r="O175">
            <v>18725.439999999999</v>
          </cell>
          <cell r="U175" t="str">
            <v>Bilan</v>
          </cell>
          <cell r="V175" t="str">
            <v>Salaires à Payer</v>
          </cell>
          <cell r="W175" t="str">
            <v>$</v>
          </cell>
          <cell r="X175">
            <v>0</v>
          </cell>
        </row>
        <row r="176">
          <cell r="C176">
            <v>2086.35</v>
          </cell>
          <cell r="O176">
            <v>-4749.8500000000004</v>
          </cell>
          <cell r="U176" t="str">
            <v>Bilan</v>
          </cell>
          <cell r="V176" t="str">
            <v>Salaires à Payer</v>
          </cell>
          <cell r="W176" t="str">
            <v>$</v>
          </cell>
          <cell r="X176">
            <v>0</v>
          </cell>
        </row>
        <row r="177">
          <cell r="C177">
            <v>-177980</v>
          </cell>
          <cell r="O177">
            <v>-22838.52</v>
          </cell>
          <cell r="U177" t="str">
            <v>Bilan</v>
          </cell>
          <cell r="V177" t="str">
            <v>Salaires à Payer</v>
          </cell>
          <cell r="W177" t="str">
            <v>$</v>
          </cell>
          <cell r="X177">
            <v>0</v>
          </cell>
        </row>
        <row r="178">
          <cell r="C178">
            <v>-211732.54</v>
          </cell>
          <cell r="O178">
            <v>-11768.02</v>
          </cell>
          <cell r="U178" t="str">
            <v>Bilan</v>
          </cell>
          <cell r="V178" t="str">
            <v>Salaires à Payer</v>
          </cell>
          <cell r="W178" t="str">
            <v>$</v>
          </cell>
          <cell r="X178">
            <v>0</v>
          </cell>
        </row>
        <row r="179">
          <cell r="C179">
            <v>-10921.49</v>
          </cell>
          <cell r="O179">
            <v>0</v>
          </cell>
          <cell r="U179" t="str">
            <v>Bilan</v>
          </cell>
          <cell r="V179" t="str">
            <v>Salaires à Payer</v>
          </cell>
          <cell r="W179" t="str">
            <v>$</v>
          </cell>
          <cell r="X179">
            <v>0</v>
          </cell>
        </row>
        <row r="180">
          <cell r="C180">
            <v>-206905</v>
          </cell>
          <cell r="O180">
            <v>11418</v>
          </cell>
          <cell r="U180" t="str">
            <v>Bilan</v>
          </cell>
          <cell r="V180" t="str">
            <v>Autres Courus</v>
          </cell>
          <cell r="W180" t="str">
            <v>$</v>
          </cell>
          <cell r="X180">
            <v>0</v>
          </cell>
        </row>
        <row r="181">
          <cell r="C181">
            <v>-242566.15</v>
          </cell>
          <cell r="O181">
            <v>0</v>
          </cell>
          <cell r="U181" t="str">
            <v>Bilan</v>
          </cell>
          <cell r="V181" t="str">
            <v>Autres Courus</v>
          </cell>
          <cell r="W181" t="str">
            <v>$</v>
          </cell>
          <cell r="X181">
            <v>0</v>
          </cell>
        </row>
        <row r="182">
          <cell r="C182">
            <v>-2350000</v>
          </cell>
          <cell r="O182">
            <v>0</v>
          </cell>
          <cell r="U182" t="str">
            <v>Bilan</v>
          </cell>
          <cell r="V182" t="str">
            <v>Capital Actions</v>
          </cell>
          <cell r="W182" t="str">
            <v>$</v>
          </cell>
          <cell r="X182">
            <v>0</v>
          </cell>
        </row>
        <row r="183">
          <cell r="C183">
            <v>-1723617</v>
          </cell>
          <cell r="O183">
            <v>0</v>
          </cell>
          <cell r="U183" t="str">
            <v>Bilan</v>
          </cell>
          <cell r="V183" t="str">
            <v>Apport</v>
          </cell>
          <cell r="W183" t="str">
            <v>$</v>
          </cell>
          <cell r="X183">
            <v>0</v>
          </cell>
        </row>
        <row r="184">
          <cell r="C184">
            <v>-347547.5</v>
          </cell>
          <cell r="O184">
            <v>0</v>
          </cell>
          <cell r="U184" t="str">
            <v>Bilan</v>
          </cell>
          <cell r="V184" t="str">
            <v>Capital Actions</v>
          </cell>
          <cell r="W184">
            <v>0</v>
          </cell>
          <cell r="X184">
            <v>0</v>
          </cell>
        </row>
        <row r="185">
          <cell r="C185">
            <v>-7046263.96</v>
          </cell>
          <cell r="O185">
            <v>0</v>
          </cell>
          <cell r="U185" t="str">
            <v>Bilan</v>
          </cell>
          <cell r="V185" t="str">
            <v>Bénéfices non répartis</v>
          </cell>
          <cell r="W185" t="str">
            <v>$</v>
          </cell>
          <cell r="X185">
            <v>0</v>
          </cell>
        </row>
        <row r="186">
          <cell r="C186">
            <v>-2128460.77</v>
          </cell>
          <cell r="O186">
            <v>-318132.95</v>
          </cell>
          <cell r="U186" t="str">
            <v>Véhicules neufs</v>
          </cell>
          <cell r="V186" t="str">
            <v>Rachat bail</v>
          </cell>
          <cell r="W186" t="str">
            <v>$</v>
          </cell>
          <cell r="X186" t="str">
            <v>Oui</v>
          </cell>
        </row>
        <row r="187">
          <cell r="C187">
            <v>-1479956.15</v>
          </cell>
          <cell r="O187">
            <v>-52001</v>
          </cell>
          <cell r="U187" t="str">
            <v>Véhicules neufs</v>
          </cell>
          <cell r="V187" t="str">
            <v>Autos détail</v>
          </cell>
          <cell r="W187" t="str">
            <v>$</v>
          </cell>
          <cell r="X187" t="str">
            <v>Oui</v>
          </cell>
        </row>
        <row r="188">
          <cell r="C188">
            <v>-2045248.42</v>
          </cell>
          <cell r="O188">
            <v>-157326.79999999999</v>
          </cell>
          <cell r="U188" t="str">
            <v>Véhicules neufs</v>
          </cell>
          <cell r="V188" t="str">
            <v>Autos détail</v>
          </cell>
          <cell r="W188" t="str">
            <v>$</v>
          </cell>
          <cell r="X188" t="str">
            <v>Oui</v>
          </cell>
        </row>
        <row r="189">
          <cell r="C189">
            <v>-4708411.63</v>
          </cell>
          <cell r="O189">
            <v>-533261.80000000005</v>
          </cell>
          <cell r="U189" t="str">
            <v>Véhicules neufs</v>
          </cell>
          <cell r="V189" t="str">
            <v>Camions détail</v>
          </cell>
          <cell r="W189" t="str">
            <v>$</v>
          </cell>
          <cell r="X189" t="str">
            <v>Oui</v>
          </cell>
        </row>
        <row r="190">
          <cell r="C190">
            <v>-3681835.67</v>
          </cell>
          <cell r="O190">
            <v>-362762.45</v>
          </cell>
          <cell r="U190" t="str">
            <v>Véhicules neufs</v>
          </cell>
          <cell r="V190" t="str">
            <v>Camions détail</v>
          </cell>
          <cell r="W190" t="str">
            <v>$</v>
          </cell>
          <cell r="X190" t="str">
            <v>Oui</v>
          </cell>
        </row>
        <row r="191">
          <cell r="C191">
            <v>-174460</v>
          </cell>
          <cell r="O191">
            <v>-56875</v>
          </cell>
          <cell r="U191" t="str">
            <v>Véhicules neufs</v>
          </cell>
          <cell r="V191" t="str">
            <v>Camions détail</v>
          </cell>
          <cell r="W191" t="str">
            <v>$</v>
          </cell>
          <cell r="X191" t="str">
            <v>oui</v>
          </cell>
        </row>
        <row r="192">
          <cell r="C192">
            <v>-2325235.04</v>
          </cell>
          <cell r="O192">
            <v>-84325.16</v>
          </cell>
          <cell r="U192" t="str">
            <v>Véhicules neufs</v>
          </cell>
          <cell r="V192" t="str">
            <v>Autos détail</v>
          </cell>
          <cell r="W192" t="str">
            <v>$</v>
          </cell>
          <cell r="X192" t="str">
            <v>Oui</v>
          </cell>
        </row>
        <row r="193">
          <cell r="C193">
            <v>-4144906.71</v>
          </cell>
          <cell r="O193">
            <v>-268104.44</v>
          </cell>
          <cell r="U193" t="str">
            <v>Véhicules neufs</v>
          </cell>
          <cell r="V193" t="str">
            <v>Camions détail</v>
          </cell>
          <cell r="W193" t="str">
            <v>$</v>
          </cell>
          <cell r="X193" t="str">
            <v>Oui</v>
          </cell>
        </row>
        <row r="194">
          <cell r="C194">
            <v>-502159.41</v>
          </cell>
          <cell r="O194">
            <v>-113889</v>
          </cell>
          <cell r="U194" t="str">
            <v>Véhicules neufs</v>
          </cell>
          <cell r="V194" t="str">
            <v>Flottes</v>
          </cell>
          <cell r="W194" t="str">
            <v>$</v>
          </cell>
          <cell r="X194" t="str">
            <v>Oui</v>
          </cell>
        </row>
        <row r="195">
          <cell r="C195">
            <v>-1583828.56</v>
          </cell>
          <cell r="O195">
            <v>-115450.93</v>
          </cell>
          <cell r="U195" t="str">
            <v>Véhicules neufs</v>
          </cell>
          <cell r="V195" t="str">
            <v>Ex-Démos et courtoisies</v>
          </cell>
          <cell r="W195" t="str">
            <v>$</v>
          </cell>
          <cell r="X195" t="str">
            <v>Oui</v>
          </cell>
        </row>
        <row r="196">
          <cell r="C196">
            <v>-9852708.1500000004</v>
          </cell>
          <cell r="O196">
            <v>0</v>
          </cell>
          <cell r="U196" t="str">
            <v>Véhicules neufs</v>
          </cell>
          <cell r="V196" t="str">
            <v>Camions détail</v>
          </cell>
          <cell r="W196" t="str">
            <v>$</v>
          </cell>
          <cell r="X196" t="str">
            <v>Oui</v>
          </cell>
        </row>
        <row r="197">
          <cell r="C197">
            <v>-736951.19</v>
          </cell>
          <cell r="O197">
            <v>0</v>
          </cell>
          <cell r="U197" t="str">
            <v>Véhicules neufs</v>
          </cell>
          <cell r="V197" t="str">
            <v>Autos détail</v>
          </cell>
          <cell r="W197" t="str">
            <v>$</v>
          </cell>
          <cell r="X197" t="str">
            <v>Oui</v>
          </cell>
        </row>
        <row r="198">
          <cell r="C198">
            <v>-6416951.4400000004</v>
          </cell>
          <cell r="O198">
            <v>-688198.94</v>
          </cell>
          <cell r="U198" t="str">
            <v>Véhicules usagés</v>
          </cell>
          <cell r="V198" t="str">
            <v>Certifié</v>
          </cell>
          <cell r="W198" t="str">
            <v>$</v>
          </cell>
          <cell r="X198" t="str">
            <v>Oui</v>
          </cell>
        </row>
        <row r="199">
          <cell r="C199">
            <v>-93794.31</v>
          </cell>
          <cell r="O199">
            <v>-29493.200000000001</v>
          </cell>
          <cell r="U199" t="str">
            <v>Véhicules usagés</v>
          </cell>
          <cell r="V199" t="str">
            <v>Non Certifié</v>
          </cell>
          <cell r="W199" t="str">
            <v>$</v>
          </cell>
          <cell r="X199" t="str">
            <v>Oui</v>
          </cell>
        </row>
        <row r="200">
          <cell r="C200">
            <v>-318005.2</v>
          </cell>
          <cell r="O200">
            <v>-52298.6</v>
          </cell>
          <cell r="U200" t="str">
            <v>Véhicules usagés</v>
          </cell>
          <cell r="V200" t="str">
            <v>Autres Marques</v>
          </cell>
          <cell r="W200" t="str">
            <v>$</v>
          </cell>
          <cell r="X200" t="str">
            <v>Oui</v>
          </cell>
        </row>
        <row r="201">
          <cell r="C201">
            <v>-6087217.8600000003</v>
          </cell>
          <cell r="O201">
            <v>-201600</v>
          </cell>
          <cell r="U201" t="str">
            <v>Véhicules usagés</v>
          </cell>
          <cell r="V201" t="str">
            <v>Ventes au Gros</v>
          </cell>
          <cell r="W201" t="str">
            <v>$</v>
          </cell>
          <cell r="X201" t="str">
            <v>Oui</v>
          </cell>
        </row>
        <row r="202">
          <cell r="C202">
            <v>-1413681.57</v>
          </cell>
          <cell r="O202">
            <v>-295411.93</v>
          </cell>
          <cell r="U202" t="str">
            <v>Service</v>
          </cell>
          <cell r="V202" t="str">
            <v>M/O Client</v>
          </cell>
          <cell r="W202" t="str">
            <v>$</v>
          </cell>
          <cell r="X202" t="str">
            <v>Oui</v>
          </cell>
        </row>
        <row r="203">
          <cell r="C203">
            <v>-128156.02</v>
          </cell>
          <cell r="O203">
            <v>-21385.759999999998</v>
          </cell>
          <cell r="U203" t="str">
            <v>Service</v>
          </cell>
          <cell r="V203" t="str">
            <v>M/O Esthétique</v>
          </cell>
          <cell r="W203" t="str">
            <v>$</v>
          </cell>
          <cell r="X203" t="str">
            <v>Oui</v>
          </cell>
        </row>
        <row r="204">
          <cell r="C204">
            <v>-340242.76</v>
          </cell>
          <cell r="O204">
            <v>-33909.660000000003</v>
          </cell>
          <cell r="U204" t="str">
            <v>Service</v>
          </cell>
          <cell r="V204" t="str">
            <v>M/O Garantie</v>
          </cell>
          <cell r="W204" t="str">
            <v>$</v>
          </cell>
          <cell r="X204" t="str">
            <v>Oui</v>
          </cell>
        </row>
        <row r="205">
          <cell r="C205">
            <v>-734445.24</v>
          </cell>
          <cell r="O205">
            <v>-85312.57</v>
          </cell>
          <cell r="U205" t="str">
            <v>Service</v>
          </cell>
          <cell r="V205" t="str">
            <v>M/O Interne</v>
          </cell>
          <cell r="W205" t="str">
            <v>$</v>
          </cell>
          <cell r="X205" t="str">
            <v>Oui</v>
          </cell>
        </row>
        <row r="206">
          <cell r="C206">
            <v>-223723.41</v>
          </cell>
          <cell r="O206">
            <v>-42571.25</v>
          </cell>
          <cell r="U206" t="str">
            <v>Pièces</v>
          </cell>
          <cell r="V206" t="str">
            <v>Huiles et Graisse</v>
          </cell>
          <cell r="W206" t="str">
            <v>$</v>
          </cell>
          <cell r="X206" t="str">
            <v>Oui</v>
          </cell>
        </row>
        <row r="207">
          <cell r="C207">
            <v>-58341.18</v>
          </cell>
          <cell r="O207">
            <v>-6931.5</v>
          </cell>
          <cell r="U207" t="str">
            <v>Service</v>
          </cell>
          <cell r="V207" t="str">
            <v>Sous-traitement</v>
          </cell>
          <cell r="W207" t="str">
            <v>$</v>
          </cell>
          <cell r="X207" t="str">
            <v>Oui</v>
          </cell>
        </row>
        <row r="208">
          <cell r="C208">
            <v>-10500</v>
          </cell>
          <cell r="O208">
            <v>-650</v>
          </cell>
          <cell r="U208" t="str">
            <v>Service</v>
          </cell>
          <cell r="V208" t="str">
            <v>Sous-traitement</v>
          </cell>
          <cell r="W208" t="str">
            <v>$</v>
          </cell>
          <cell r="X208" t="str">
            <v>Oui</v>
          </cell>
        </row>
        <row r="209">
          <cell r="C209">
            <v>-100957.3</v>
          </cell>
          <cell r="O209">
            <v>-6238.45</v>
          </cell>
          <cell r="U209" t="str">
            <v>Service</v>
          </cell>
          <cell r="V209" t="str">
            <v>Sous-traitement</v>
          </cell>
          <cell r="W209" t="str">
            <v>$</v>
          </cell>
          <cell r="X209" t="str">
            <v>Oui</v>
          </cell>
        </row>
        <row r="210">
          <cell r="C210">
            <v>-88850.09</v>
          </cell>
          <cell r="O210">
            <v>-8099.9</v>
          </cell>
          <cell r="U210" t="str">
            <v>Service</v>
          </cell>
          <cell r="V210" t="str">
            <v>M.O. Recond. MCPA</v>
          </cell>
          <cell r="W210" t="str">
            <v>$</v>
          </cell>
          <cell r="X210" t="str">
            <v>Oui</v>
          </cell>
        </row>
        <row r="211">
          <cell r="C211">
            <v>-82600.97</v>
          </cell>
          <cell r="O211">
            <v>-2134.2399999999998</v>
          </cell>
          <cell r="U211" t="str">
            <v>Carrosserie</v>
          </cell>
          <cell r="V211" t="str">
            <v>M/O Sous-traitement</v>
          </cell>
          <cell r="W211" t="str">
            <v>$</v>
          </cell>
          <cell r="X211" t="str">
            <v>Oui</v>
          </cell>
        </row>
        <row r="212">
          <cell r="C212">
            <v>-207823.52</v>
          </cell>
          <cell r="O212">
            <v>-6256.82</v>
          </cell>
          <cell r="U212" t="str">
            <v>Carrosserie</v>
          </cell>
          <cell r="V212" t="str">
            <v>M/O Sous-traitement</v>
          </cell>
          <cell r="W212" t="str">
            <v>$</v>
          </cell>
          <cell r="X212" t="str">
            <v>Oui</v>
          </cell>
        </row>
        <row r="213">
          <cell r="C213">
            <v>-9244.92</v>
          </cell>
          <cell r="O213">
            <v>0</v>
          </cell>
          <cell r="U213" t="str">
            <v>Carrosserie</v>
          </cell>
          <cell r="V213" t="str">
            <v>M/O Sous-traitement</v>
          </cell>
          <cell r="W213" t="str">
            <v>$</v>
          </cell>
          <cell r="X213" t="str">
            <v>Oui</v>
          </cell>
        </row>
        <row r="214">
          <cell r="C214">
            <v>-851734.26</v>
          </cell>
          <cell r="O214">
            <v>-156106.51</v>
          </cell>
          <cell r="U214" t="str">
            <v>Pièces</v>
          </cell>
          <cell r="V214" t="str">
            <v>Pièces Ro Clients</v>
          </cell>
          <cell r="W214" t="str">
            <v>$</v>
          </cell>
          <cell r="X214" t="str">
            <v>Oui</v>
          </cell>
        </row>
        <row r="215">
          <cell r="C215">
            <v>-9731.07</v>
          </cell>
          <cell r="O215">
            <v>-2374.3000000000002</v>
          </cell>
          <cell r="U215" t="str">
            <v>Service</v>
          </cell>
          <cell r="V215" t="str">
            <v>M/O Client</v>
          </cell>
          <cell r="W215" t="str">
            <v>$</v>
          </cell>
          <cell r="X215" t="str">
            <v>Oui</v>
          </cell>
        </row>
        <row r="216">
          <cell r="C216">
            <v>-416651.75</v>
          </cell>
          <cell r="O216">
            <v>-45564.35</v>
          </cell>
          <cell r="U216" t="str">
            <v>Pièces</v>
          </cell>
          <cell r="V216" t="str">
            <v>P/A Garantie</v>
          </cell>
          <cell r="W216" t="str">
            <v>$</v>
          </cell>
          <cell r="X216" t="str">
            <v>Oui</v>
          </cell>
        </row>
        <row r="217">
          <cell r="C217">
            <v>-13.17</v>
          </cell>
          <cell r="O217">
            <v>0</v>
          </cell>
          <cell r="U217" t="str">
            <v>Service</v>
          </cell>
          <cell r="V217" t="str">
            <v>M/O Interne</v>
          </cell>
          <cell r="W217" t="str">
            <v>$</v>
          </cell>
          <cell r="X217" t="str">
            <v>Oui</v>
          </cell>
        </row>
        <row r="218">
          <cell r="C218">
            <v>-548666.63</v>
          </cell>
          <cell r="O218">
            <v>-70580.36</v>
          </cell>
          <cell r="U218" t="str">
            <v>Pièces</v>
          </cell>
          <cell r="V218" t="str">
            <v>Ventes Internes</v>
          </cell>
          <cell r="W218" t="str">
            <v>$</v>
          </cell>
          <cell r="X218" t="str">
            <v>Oui</v>
          </cell>
        </row>
        <row r="219">
          <cell r="C219">
            <v>-1506.36</v>
          </cell>
          <cell r="O219">
            <v>-180</v>
          </cell>
          <cell r="U219" t="str">
            <v>Service</v>
          </cell>
          <cell r="V219" t="str">
            <v>M/O Interne</v>
          </cell>
          <cell r="W219" t="str">
            <v>$</v>
          </cell>
          <cell r="X219" t="str">
            <v>Oui</v>
          </cell>
        </row>
        <row r="220">
          <cell r="C220">
            <v>-33001.43</v>
          </cell>
          <cell r="O220">
            <v>-4531.5</v>
          </cell>
          <cell r="U220" t="str">
            <v>Pièces</v>
          </cell>
          <cell r="V220" t="str">
            <v>Pièces Ro Clients</v>
          </cell>
          <cell r="W220" t="str">
            <v>$</v>
          </cell>
          <cell r="X220" t="str">
            <v>Oui</v>
          </cell>
        </row>
        <row r="221">
          <cell r="C221">
            <v>-22350.61</v>
          </cell>
          <cell r="O221">
            <v>-1961.6</v>
          </cell>
          <cell r="U221" t="str">
            <v>Pièces</v>
          </cell>
          <cell r="V221" t="str">
            <v>Pièces Ro Carrosserie</v>
          </cell>
          <cell r="W221" t="str">
            <v>$</v>
          </cell>
          <cell r="X221" t="str">
            <v>Oui</v>
          </cell>
        </row>
        <row r="222">
          <cell r="C222">
            <v>-147825.13</v>
          </cell>
          <cell r="O222">
            <v>-3657.14</v>
          </cell>
          <cell r="U222" t="str">
            <v>Pièces</v>
          </cell>
          <cell r="V222" t="str">
            <v>Pièces Ro Carrosserie</v>
          </cell>
          <cell r="W222" t="str">
            <v>$</v>
          </cell>
          <cell r="X222" t="str">
            <v>Oui</v>
          </cell>
        </row>
        <row r="223">
          <cell r="C223">
            <v>-9923.0400000000009</v>
          </cell>
          <cell r="O223">
            <v>0</v>
          </cell>
          <cell r="U223" t="str">
            <v>Pièces</v>
          </cell>
          <cell r="V223" t="str">
            <v>Pièces Ro Carrosserie</v>
          </cell>
          <cell r="W223" t="str">
            <v>$</v>
          </cell>
          <cell r="X223" t="str">
            <v>Oui</v>
          </cell>
        </row>
        <row r="224">
          <cell r="C224">
            <v>-182819.57</v>
          </cell>
          <cell r="O224">
            <v>-32301.17</v>
          </cell>
          <cell r="U224" t="str">
            <v>Pièces</v>
          </cell>
          <cell r="V224" t="str">
            <v>Ventes Détails</v>
          </cell>
          <cell r="W224" t="str">
            <v>$</v>
          </cell>
          <cell r="X224" t="str">
            <v>Oui</v>
          </cell>
        </row>
        <row r="225">
          <cell r="C225">
            <v>-1562361.79</v>
          </cell>
          <cell r="O225">
            <v>-140151.78</v>
          </cell>
          <cell r="U225" t="str">
            <v>Pièces</v>
          </cell>
          <cell r="V225" t="str">
            <v>Ventes de Gros</v>
          </cell>
          <cell r="W225" t="str">
            <v>$</v>
          </cell>
          <cell r="X225" t="str">
            <v>Oui</v>
          </cell>
        </row>
        <row r="226">
          <cell r="C226">
            <v>-335659</v>
          </cell>
          <cell r="O226">
            <v>-121118.69</v>
          </cell>
          <cell r="U226" t="str">
            <v>Pièces</v>
          </cell>
          <cell r="V226" t="str">
            <v>Ventes Pneus</v>
          </cell>
          <cell r="W226" t="str">
            <v>$</v>
          </cell>
          <cell r="X226" t="str">
            <v>Oui</v>
          </cell>
        </row>
        <row r="227">
          <cell r="C227">
            <v>-12985.72</v>
          </cell>
          <cell r="O227">
            <v>-4112.6000000000004</v>
          </cell>
          <cell r="U227" t="str">
            <v>Pièces</v>
          </cell>
          <cell r="V227" t="str">
            <v>Ventes Pneus</v>
          </cell>
          <cell r="W227" t="str">
            <v>$</v>
          </cell>
          <cell r="X227" t="str">
            <v>Oui</v>
          </cell>
        </row>
        <row r="228">
          <cell r="C228">
            <v>2050685.4</v>
          </cell>
          <cell r="O228">
            <v>310432.95</v>
          </cell>
          <cell r="U228" t="str">
            <v>Véhicules neufs</v>
          </cell>
          <cell r="V228" t="str">
            <v>Rachat bail</v>
          </cell>
          <cell r="W228" t="str">
            <v>$</v>
          </cell>
          <cell r="X228">
            <v>0</v>
          </cell>
        </row>
        <row r="229">
          <cell r="C229">
            <v>1390161.38</v>
          </cell>
          <cell r="O229">
            <v>50180.92</v>
          </cell>
          <cell r="U229" t="str">
            <v>Véhicules neufs</v>
          </cell>
          <cell r="V229" t="str">
            <v>Autos détail</v>
          </cell>
          <cell r="W229" t="str">
            <v>$</v>
          </cell>
          <cell r="X229">
            <v>0</v>
          </cell>
        </row>
        <row r="230">
          <cell r="C230">
            <v>1954131.06</v>
          </cell>
          <cell r="O230">
            <v>149110.07999999999</v>
          </cell>
          <cell r="U230" t="str">
            <v>Véhicules neufs</v>
          </cell>
          <cell r="V230" t="str">
            <v>Autos détail</v>
          </cell>
          <cell r="W230" t="str">
            <v>$</v>
          </cell>
          <cell r="X230">
            <v>0</v>
          </cell>
        </row>
        <row r="231">
          <cell r="C231">
            <v>4489832.21</v>
          </cell>
          <cell r="O231">
            <v>509915.97</v>
          </cell>
          <cell r="U231" t="str">
            <v>Véhicules neufs</v>
          </cell>
          <cell r="V231" t="str">
            <v>Camions détail</v>
          </cell>
          <cell r="W231" t="str">
            <v>$</v>
          </cell>
          <cell r="X231">
            <v>0</v>
          </cell>
        </row>
        <row r="232">
          <cell r="C232">
            <v>3485713.35</v>
          </cell>
          <cell r="O232">
            <v>343564.4</v>
          </cell>
          <cell r="U232" t="str">
            <v>Véhicules neufs</v>
          </cell>
          <cell r="V232" t="str">
            <v>Camions détail</v>
          </cell>
          <cell r="W232" t="str">
            <v>$</v>
          </cell>
          <cell r="X232">
            <v>0</v>
          </cell>
        </row>
        <row r="233">
          <cell r="C233">
            <v>170090.37</v>
          </cell>
          <cell r="O233">
            <v>55377.64</v>
          </cell>
          <cell r="U233" t="str">
            <v>Véhicules neufs</v>
          </cell>
          <cell r="V233" t="str">
            <v>Camions détail</v>
          </cell>
          <cell r="W233" t="str">
            <v>$</v>
          </cell>
          <cell r="X233">
            <v>0</v>
          </cell>
        </row>
        <row r="234">
          <cell r="C234">
            <v>2208578.5299999998</v>
          </cell>
          <cell r="O234">
            <v>78113.47</v>
          </cell>
          <cell r="U234" t="str">
            <v>Véhicules neufs</v>
          </cell>
          <cell r="V234" t="str">
            <v>Autos détail</v>
          </cell>
          <cell r="W234" t="str">
            <v>$</v>
          </cell>
          <cell r="X234">
            <v>0</v>
          </cell>
        </row>
        <row r="235">
          <cell r="C235">
            <v>3935677.04</v>
          </cell>
          <cell r="O235">
            <v>255054.13</v>
          </cell>
          <cell r="U235" t="str">
            <v>Véhicules neufs</v>
          </cell>
          <cell r="V235" t="str">
            <v>Camions détail</v>
          </cell>
          <cell r="W235" t="str">
            <v>$</v>
          </cell>
          <cell r="X235">
            <v>0</v>
          </cell>
        </row>
        <row r="236">
          <cell r="C236">
            <v>478820.59</v>
          </cell>
          <cell r="O236">
            <v>109452.38</v>
          </cell>
          <cell r="U236" t="str">
            <v>Véhicules neufs</v>
          </cell>
          <cell r="V236" t="str">
            <v>Flottes</v>
          </cell>
          <cell r="W236" t="str">
            <v>$</v>
          </cell>
          <cell r="X236">
            <v>0</v>
          </cell>
        </row>
        <row r="237">
          <cell r="C237">
            <v>1531541.41</v>
          </cell>
          <cell r="O237">
            <v>112658.47</v>
          </cell>
          <cell r="U237" t="str">
            <v>Véhicules neufs</v>
          </cell>
          <cell r="V237" t="str">
            <v>Ex-Démos et courtoisies</v>
          </cell>
          <cell r="W237" t="str">
            <v>$</v>
          </cell>
          <cell r="X237">
            <v>0</v>
          </cell>
        </row>
        <row r="238">
          <cell r="C238">
            <v>9425410.4600000009</v>
          </cell>
          <cell r="O238">
            <v>0</v>
          </cell>
          <cell r="U238" t="str">
            <v>Véhicules neufs</v>
          </cell>
          <cell r="V238" t="str">
            <v>Camions détail</v>
          </cell>
          <cell r="W238" t="str">
            <v>$</v>
          </cell>
          <cell r="X238">
            <v>0</v>
          </cell>
        </row>
        <row r="239">
          <cell r="C239">
            <v>704470.18</v>
          </cell>
          <cell r="O239">
            <v>0</v>
          </cell>
          <cell r="U239" t="str">
            <v>Véhicules neufs</v>
          </cell>
          <cell r="V239" t="str">
            <v>Autos détail</v>
          </cell>
          <cell r="W239" t="str">
            <v>$</v>
          </cell>
          <cell r="X239">
            <v>0</v>
          </cell>
        </row>
        <row r="240">
          <cell r="C240">
            <v>5713104.9699999997</v>
          </cell>
          <cell r="O240">
            <v>573042.06999999995</v>
          </cell>
          <cell r="U240" t="str">
            <v>Véhicules usagés</v>
          </cell>
          <cell r="V240" t="str">
            <v>Certifié</v>
          </cell>
          <cell r="W240" t="str">
            <v>$</v>
          </cell>
          <cell r="X240">
            <v>0</v>
          </cell>
        </row>
        <row r="241">
          <cell r="C241">
            <v>480871.87</v>
          </cell>
          <cell r="O241">
            <v>67226.44</v>
          </cell>
          <cell r="U241" t="str">
            <v>Véhicules usagés</v>
          </cell>
          <cell r="V241" t="str">
            <v>Certifié</v>
          </cell>
          <cell r="W241" t="str">
            <v>$</v>
          </cell>
          <cell r="X241">
            <v>0</v>
          </cell>
        </row>
        <row r="242">
          <cell r="C242">
            <v>1566.29</v>
          </cell>
          <cell r="O242">
            <v>0</v>
          </cell>
          <cell r="U242" t="str">
            <v>Véhicules usagés</v>
          </cell>
          <cell r="V242" t="str">
            <v>Certifié</v>
          </cell>
          <cell r="W242" t="str">
            <v>$</v>
          </cell>
          <cell r="X242">
            <v>0</v>
          </cell>
        </row>
        <row r="243">
          <cell r="C243">
            <v>82105</v>
          </cell>
          <cell r="O243">
            <v>26700</v>
          </cell>
          <cell r="U243" t="str">
            <v>Véhicules usagés</v>
          </cell>
          <cell r="V243" t="str">
            <v>Non Certifié</v>
          </cell>
          <cell r="W243" t="str">
            <v>$</v>
          </cell>
          <cell r="X243">
            <v>0</v>
          </cell>
        </row>
        <row r="244">
          <cell r="C244">
            <v>4779.49</v>
          </cell>
          <cell r="O244">
            <v>3930.06</v>
          </cell>
          <cell r="U244" t="str">
            <v>Véhicules usagés</v>
          </cell>
          <cell r="V244" t="str">
            <v>Non Certifié</v>
          </cell>
          <cell r="W244" t="str">
            <v>$</v>
          </cell>
          <cell r="X244">
            <v>0</v>
          </cell>
        </row>
        <row r="245">
          <cell r="C245">
            <v>286747.83</v>
          </cell>
          <cell r="O245">
            <v>45900</v>
          </cell>
          <cell r="U245" t="str">
            <v>Véhicules usagés</v>
          </cell>
          <cell r="V245" t="str">
            <v>Autres Marques</v>
          </cell>
          <cell r="W245" t="str">
            <v>$</v>
          </cell>
          <cell r="X245">
            <v>0</v>
          </cell>
        </row>
        <row r="246">
          <cell r="C246">
            <v>27704.85</v>
          </cell>
          <cell r="O246">
            <v>1089.06</v>
          </cell>
          <cell r="U246" t="str">
            <v>Véhicules usagés</v>
          </cell>
          <cell r="V246" t="str">
            <v>Non Certifié</v>
          </cell>
          <cell r="W246" t="str">
            <v>$</v>
          </cell>
          <cell r="X246">
            <v>0</v>
          </cell>
        </row>
        <row r="247">
          <cell r="C247">
            <v>6101691.96</v>
          </cell>
          <cell r="O247">
            <v>196288.56</v>
          </cell>
          <cell r="U247" t="str">
            <v>Véhicules usagés</v>
          </cell>
          <cell r="V247" t="str">
            <v>Ventes au Gros</v>
          </cell>
          <cell r="W247" t="str">
            <v>$</v>
          </cell>
          <cell r="X247">
            <v>0</v>
          </cell>
        </row>
        <row r="248">
          <cell r="C248">
            <v>286428.49</v>
          </cell>
          <cell r="O248">
            <v>53926.19</v>
          </cell>
          <cell r="U248" t="str">
            <v>Service</v>
          </cell>
          <cell r="V248" t="str">
            <v>M/O Client</v>
          </cell>
          <cell r="W248" t="str">
            <v>$</v>
          </cell>
          <cell r="X248">
            <v>0</v>
          </cell>
        </row>
        <row r="249">
          <cell r="C249">
            <v>31838.83</v>
          </cell>
          <cell r="O249">
            <v>5779.59</v>
          </cell>
          <cell r="U249" t="str">
            <v>Service</v>
          </cell>
          <cell r="V249" t="str">
            <v>M/O Esthétique</v>
          </cell>
          <cell r="W249" t="str">
            <v>$</v>
          </cell>
          <cell r="X249">
            <v>0</v>
          </cell>
        </row>
        <row r="250">
          <cell r="C250">
            <v>117261.75999999999</v>
          </cell>
          <cell r="O250">
            <v>12528.01</v>
          </cell>
          <cell r="U250" t="str">
            <v>Service</v>
          </cell>
          <cell r="V250" t="str">
            <v>M/O Garantie</v>
          </cell>
          <cell r="W250" t="str">
            <v>$</v>
          </cell>
          <cell r="X250">
            <v>0</v>
          </cell>
        </row>
        <row r="251">
          <cell r="C251">
            <v>180558.33</v>
          </cell>
          <cell r="O251">
            <v>19402.169999999998</v>
          </cell>
          <cell r="U251" t="str">
            <v>Service</v>
          </cell>
          <cell r="V251" t="str">
            <v>M/O Interne</v>
          </cell>
          <cell r="W251" t="str">
            <v>$</v>
          </cell>
          <cell r="X251">
            <v>0</v>
          </cell>
        </row>
        <row r="252">
          <cell r="C252">
            <v>28335.27</v>
          </cell>
          <cell r="O252">
            <v>1452.11</v>
          </cell>
          <cell r="U252" t="str">
            <v>Service</v>
          </cell>
          <cell r="V252" t="str">
            <v>Ajustement M/O</v>
          </cell>
          <cell r="W252" t="str">
            <v>$</v>
          </cell>
          <cell r="X252">
            <v>0</v>
          </cell>
        </row>
        <row r="253">
          <cell r="C253">
            <v>166753.12</v>
          </cell>
          <cell r="O253">
            <v>31412.74</v>
          </cell>
          <cell r="U253" t="str">
            <v>Pièces</v>
          </cell>
          <cell r="V253" t="str">
            <v>Huiles et Graisse</v>
          </cell>
          <cell r="W253" t="str">
            <v>$</v>
          </cell>
          <cell r="X253">
            <v>0</v>
          </cell>
        </row>
        <row r="254">
          <cell r="C254">
            <v>42918.83</v>
          </cell>
          <cell r="O254">
            <v>5151.75</v>
          </cell>
          <cell r="U254" t="str">
            <v>Service</v>
          </cell>
          <cell r="V254" t="str">
            <v>Sous-traitement</v>
          </cell>
          <cell r="W254" t="str">
            <v>$</v>
          </cell>
          <cell r="X254">
            <v>0</v>
          </cell>
        </row>
        <row r="255">
          <cell r="C255">
            <v>13302.1</v>
          </cell>
          <cell r="O255">
            <v>650</v>
          </cell>
          <cell r="U255" t="str">
            <v>Service</v>
          </cell>
          <cell r="V255" t="str">
            <v>Sous-traitement</v>
          </cell>
          <cell r="W255" t="str">
            <v>$</v>
          </cell>
          <cell r="X255">
            <v>0</v>
          </cell>
        </row>
        <row r="256">
          <cell r="C256">
            <v>82401.570000000007</v>
          </cell>
          <cell r="O256">
            <v>5268.95</v>
          </cell>
          <cell r="U256" t="str">
            <v>Service</v>
          </cell>
          <cell r="V256" t="str">
            <v>Sous-traitement</v>
          </cell>
          <cell r="W256" t="str">
            <v>$</v>
          </cell>
          <cell r="X256">
            <v>0</v>
          </cell>
        </row>
        <row r="257">
          <cell r="C257">
            <v>25366.78</v>
          </cell>
          <cell r="O257">
            <v>2289.61</v>
          </cell>
          <cell r="U257" t="str">
            <v>Service</v>
          </cell>
          <cell r="V257" t="str">
            <v>M.O. Recond. MCPA</v>
          </cell>
          <cell r="W257" t="str">
            <v>$</v>
          </cell>
          <cell r="X257">
            <v>0</v>
          </cell>
        </row>
        <row r="258">
          <cell r="C258">
            <v>22975.58</v>
          </cell>
          <cell r="O258">
            <v>0</v>
          </cell>
          <cell r="U258" t="str">
            <v>Carrosserie</v>
          </cell>
          <cell r="V258" t="str">
            <v>M/O Sous-traitement</v>
          </cell>
          <cell r="W258" t="str">
            <v>$</v>
          </cell>
          <cell r="X258">
            <v>0</v>
          </cell>
        </row>
        <row r="259">
          <cell r="C259">
            <v>207823.52</v>
          </cell>
          <cell r="O259">
            <v>6256.82</v>
          </cell>
          <cell r="U259" t="str">
            <v>Carrosserie</v>
          </cell>
          <cell r="V259" t="str">
            <v>M/O Sous-traitement</v>
          </cell>
          <cell r="W259" t="str">
            <v>$</v>
          </cell>
          <cell r="X259">
            <v>0</v>
          </cell>
        </row>
        <row r="260">
          <cell r="C260">
            <v>7687.47</v>
          </cell>
          <cell r="O260">
            <v>0</v>
          </cell>
          <cell r="U260" t="str">
            <v>Carrosserie</v>
          </cell>
          <cell r="V260" t="str">
            <v>M/O Sous-traitement</v>
          </cell>
          <cell r="W260" t="str">
            <v>$</v>
          </cell>
          <cell r="X260">
            <v>0</v>
          </cell>
        </row>
        <row r="261">
          <cell r="C261">
            <v>543222.85</v>
          </cell>
          <cell r="O261">
            <v>111773.89</v>
          </cell>
          <cell r="U261" t="str">
            <v>Pièces</v>
          </cell>
          <cell r="V261" t="str">
            <v>Pièces Ro Clients</v>
          </cell>
          <cell r="W261" t="str">
            <v>$</v>
          </cell>
          <cell r="X261">
            <v>0</v>
          </cell>
        </row>
        <row r="262">
          <cell r="C262">
            <v>6604.96</v>
          </cell>
          <cell r="O262">
            <v>1606.37</v>
          </cell>
          <cell r="U262" t="str">
            <v>Service</v>
          </cell>
          <cell r="V262" t="str">
            <v>M/O Client</v>
          </cell>
          <cell r="W262" t="str">
            <v>$</v>
          </cell>
          <cell r="X262">
            <v>0</v>
          </cell>
        </row>
        <row r="263">
          <cell r="C263">
            <v>319692.03999999998</v>
          </cell>
          <cell r="O263">
            <v>35031.64</v>
          </cell>
          <cell r="U263" t="str">
            <v>Pièces</v>
          </cell>
          <cell r="V263" t="str">
            <v>P/A Garantie</v>
          </cell>
          <cell r="W263" t="str">
            <v>$</v>
          </cell>
          <cell r="X263">
            <v>0</v>
          </cell>
        </row>
        <row r="264">
          <cell r="C264">
            <v>10.119999999999999</v>
          </cell>
          <cell r="O264">
            <v>0</v>
          </cell>
          <cell r="U264" t="str">
            <v>Service</v>
          </cell>
          <cell r="V264" t="str">
            <v>M/O Interne</v>
          </cell>
          <cell r="W264" t="str">
            <v>$</v>
          </cell>
          <cell r="X264">
            <v>0</v>
          </cell>
        </row>
        <row r="265">
          <cell r="C265">
            <v>391215.09</v>
          </cell>
          <cell r="O265">
            <v>50535.95</v>
          </cell>
          <cell r="U265" t="str">
            <v>Pièces</v>
          </cell>
          <cell r="V265" t="str">
            <v>Ventes Internes</v>
          </cell>
          <cell r="W265" t="str">
            <v>$</v>
          </cell>
          <cell r="X265">
            <v>0</v>
          </cell>
        </row>
        <row r="266">
          <cell r="C266">
            <v>1022.79</v>
          </cell>
          <cell r="O266">
            <v>121.44</v>
          </cell>
          <cell r="U266" t="str">
            <v>Service</v>
          </cell>
          <cell r="V266" t="str">
            <v>M/O Interne</v>
          </cell>
          <cell r="W266" t="str">
            <v>$</v>
          </cell>
          <cell r="X266">
            <v>0</v>
          </cell>
        </row>
        <row r="267">
          <cell r="C267">
            <v>21732.880000000001</v>
          </cell>
          <cell r="O267">
            <v>2838.97</v>
          </cell>
          <cell r="U267" t="str">
            <v>Pièces</v>
          </cell>
          <cell r="V267" t="str">
            <v>Pièces Ro Clients</v>
          </cell>
          <cell r="W267" t="str">
            <v>$</v>
          </cell>
          <cell r="X267">
            <v>0</v>
          </cell>
        </row>
        <row r="268">
          <cell r="C268">
            <v>15530.37</v>
          </cell>
          <cell r="O268">
            <v>1277.42</v>
          </cell>
          <cell r="U268" t="str">
            <v>Pièces</v>
          </cell>
          <cell r="V268" t="str">
            <v>Pièces Ro Carrosserie</v>
          </cell>
          <cell r="W268" t="str">
            <v>$</v>
          </cell>
          <cell r="X268">
            <v>0</v>
          </cell>
        </row>
        <row r="269">
          <cell r="C269">
            <v>113225.41</v>
          </cell>
          <cell r="O269">
            <v>2813.18</v>
          </cell>
          <cell r="U269" t="str">
            <v>Pièces</v>
          </cell>
          <cell r="V269" t="str">
            <v>Pièces Ro Carrosserie</v>
          </cell>
          <cell r="W269" t="str">
            <v>$</v>
          </cell>
          <cell r="X269">
            <v>0</v>
          </cell>
        </row>
        <row r="270">
          <cell r="C270">
            <v>6836.66</v>
          </cell>
          <cell r="O270">
            <v>0</v>
          </cell>
          <cell r="U270" t="str">
            <v>Pièces</v>
          </cell>
          <cell r="V270" t="str">
            <v>Pièces Ro Carrosserie</v>
          </cell>
          <cell r="W270" t="str">
            <v>$</v>
          </cell>
          <cell r="X270">
            <v>0</v>
          </cell>
        </row>
        <row r="271">
          <cell r="C271">
            <v>132694.13</v>
          </cell>
          <cell r="O271">
            <v>25223.54</v>
          </cell>
          <cell r="U271" t="str">
            <v>Pièces</v>
          </cell>
          <cell r="V271" t="str">
            <v>Ventes Détails</v>
          </cell>
          <cell r="W271" t="str">
            <v>$</v>
          </cell>
          <cell r="X271">
            <v>0</v>
          </cell>
        </row>
        <row r="272">
          <cell r="C272">
            <v>1294724.22</v>
          </cell>
          <cell r="O272">
            <v>116780.58</v>
          </cell>
          <cell r="U272" t="str">
            <v>Pièces</v>
          </cell>
          <cell r="V272" t="str">
            <v>Ventes de Gros</v>
          </cell>
          <cell r="W272" t="str">
            <v>$</v>
          </cell>
          <cell r="X272">
            <v>0</v>
          </cell>
        </row>
        <row r="273">
          <cell r="C273">
            <v>48661.34</v>
          </cell>
          <cell r="O273">
            <v>3999.39</v>
          </cell>
          <cell r="U273" t="str">
            <v>Pièces</v>
          </cell>
          <cell r="V273" t="str">
            <v>Ventes de Gros</v>
          </cell>
          <cell r="W273" t="str">
            <v>$</v>
          </cell>
          <cell r="X273">
            <v>0</v>
          </cell>
        </row>
        <row r="274">
          <cell r="C274">
            <v>279053.03999999998</v>
          </cell>
          <cell r="O274">
            <v>100192.29</v>
          </cell>
          <cell r="U274" t="str">
            <v>Pièces</v>
          </cell>
          <cell r="V274" t="str">
            <v>Ventes Pneus</v>
          </cell>
          <cell r="W274" t="str">
            <v>$</v>
          </cell>
          <cell r="X274">
            <v>0</v>
          </cell>
        </row>
        <row r="275">
          <cell r="C275">
            <v>13071.24</v>
          </cell>
          <cell r="O275">
            <v>3923.5</v>
          </cell>
          <cell r="U275" t="str">
            <v>Pièces</v>
          </cell>
          <cell r="V275" t="str">
            <v>Ventes Pneus</v>
          </cell>
          <cell r="W275" t="str">
            <v>$</v>
          </cell>
          <cell r="X275">
            <v>0</v>
          </cell>
        </row>
        <row r="276">
          <cell r="C276">
            <v>-0.04</v>
          </cell>
          <cell r="O276">
            <v>0</v>
          </cell>
          <cell r="U276" t="e">
            <v>#N/A</v>
          </cell>
          <cell r="V276" t="e">
            <v>#N/A</v>
          </cell>
          <cell r="W276" t="e">
            <v>#N/A</v>
          </cell>
          <cell r="X276" t="e">
            <v>#N/A</v>
          </cell>
        </row>
        <row r="277">
          <cell r="C277">
            <v>-13275.29</v>
          </cell>
          <cell r="O277">
            <v>2269.29</v>
          </cell>
          <cell r="U277" t="str">
            <v>Pièces</v>
          </cell>
          <cell r="V277" t="str">
            <v>Escomptes</v>
          </cell>
          <cell r="W277" t="str">
            <v>$</v>
          </cell>
          <cell r="X277">
            <v>0</v>
          </cell>
        </row>
        <row r="278">
          <cell r="C278">
            <v>432991.03</v>
          </cell>
          <cell r="O278">
            <v>23899.59</v>
          </cell>
          <cell r="U278" t="str">
            <v>Véhicules neufs</v>
          </cell>
          <cell r="V278" t="str">
            <v>Comm. vendeurs</v>
          </cell>
          <cell r="W278" t="str">
            <v>$</v>
          </cell>
          <cell r="X278">
            <v>0</v>
          </cell>
        </row>
        <row r="279">
          <cell r="C279">
            <v>152761.78</v>
          </cell>
          <cell r="O279">
            <v>10996.25</v>
          </cell>
          <cell r="U279" t="str">
            <v>Véhicules neufs</v>
          </cell>
          <cell r="V279" t="str">
            <v>Comm. F&amp;I</v>
          </cell>
          <cell r="W279" t="str">
            <v>$</v>
          </cell>
          <cell r="X279">
            <v>0</v>
          </cell>
        </row>
        <row r="280">
          <cell r="C280">
            <v>10425.540000000001</v>
          </cell>
          <cell r="O280">
            <v>4027.78</v>
          </cell>
          <cell r="U280" t="str">
            <v>Véhicules neufs</v>
          </cell>
          <cell r="V280" t="str">
            <v>Service gratuit 1</v>
          </cell>
          <cell r="W280" t="str">
            <v>$</v>
          </cell>
          <cell r="X280">
            <v>0</v>
          </cell>
        </row>
        <row r="281">
          <cell r="C281">
            <v>76040.12</v>
          </cell>
          <cell r="O281">
            <v>7847.21</v>
          </cell>
          <cell r="U281" t="str">
            <v>Véhicules neufs</v>
          </cell>
          <cell r="V281" t="str">
            <v>Entretien stock</v>
          </cell>
          <cell r="W281" t="str">
            <v>$</v>
          </cell>
          <cell r="X281">
            <v>0</v>
          </cell>
        </row>
        <row r="282">
          <cell r="C282">
            <v>347667.37</v>
          </cell>
          <cell r="O282">
            <v>-37139.68</v>
          </cell>
          <cell r="U282" t="str">
            <v>Véhicules neufs</v>
          </cell>
          <cell r="V282" t="str">
            <v>Intérêt de gros</v>
          </cell>
          <cell r="W282" t="str">
            <v>$</v>
          </cell>
          <cell r="X282">
            <v>0</v>
          </cell>
        </row>
        <row r="283">
          <cell r="C283">
            <v>76453.440000000002</v>
          </cell>
          <cell r="O283">
            <v>8655.32</v>
          </cell>
          <cell r="U283" t="str">
            <v>Véhicules neufs</v>
          </cell>
          <cell r="V283" t="str">
            <v>Frais de livraison</v>
          </cell>
          <cell r="W283" t="str">
            <v>$</v>
          </cell>
          <cell r="X283">
            <v>0</v>
          </cell>
        </row>
        <row r="284">
          <cell r="C284">
            <v>170402.89</v>
          </cell>
          <cell r="O284">
            <v>25501.06</v>
          </cell>
          <cell r="U284" t="str">
            <v>Véhicules neufs</v>
          </cell>
          <cell r="V284" t="str">
            <v>Publicité 1</v>
          </cell>
          <cell r="W284" t="str">
            <v>$</v>
          </cell>
          <cell r="X284">
            <v>0</v>
          </cell>
        </row>
        <row r="285">
          <cell r="C285">
            <v>-97950</v>
          </cell>
          <cell r="O285">
            <v>-6000</v>
          </cell>
          <cell r="U285" t="str">
            <v>Véhicules neufs</v>
          </cell>
          <cell r="V285" t="str">
            <v>Publicité 1</v>
          </cell>
          <cell r="W285" t="str">
            <v>$</v>
          </cell>
          <cell r="X285">
            <v>0</v>
          </cell>
        </row>
        <row r="286">
          <cell r="C286">
            <v>70759.41</v>
          </cell>
          <cell r="O286">
            <v>8346.75</v>
          </cell>
          <cell r="U286" t="str">
            <v>Véhicules neufs</v>
          </cell>
          <cell r="V286" t="str">
            <v>Salaires propriétaire</v>
          </cell>
          <cell r="W286" t="str">
            <v>$</v>
          </cell>
          <cell r="X286">
            <v>0</v>
          </cell>
        </row>
        <row r="287">
          <cell r="C287">
            <v>152457.60000000001</v>
          </cell>
          <cell r="O287">
            <v>24253.66</v>
          </cell>
          <cell r="U287" t="str">
            <v>Véhicules neufs</v>
          </cell>
          <cell r="V287" t="str">
            <v>Salaires cadres</v>
          </cell>
          <cell r="W287" t="str">
            <v>$</v>
          </cell>
          <cell r="X287">
            <v>0</v>
          </cell>
        </row>
        <row r="288">
          <cell r="C288">
            <v>97005.25</v>
          </cell>
          <cell r="O288">
            <v>13792.56</v>
          </cell>
          <cell r="U288" t="str">
            <v>Véhicules neufs</v>
          </cell>
          <cell r="V288" t="str">
            <v>Salaires commis</v>
          </cell>
          <cell r="W288" t="str">
            <v>$</v>
          </cell>
          <cell r="X288">
            <v>0</v>
          </cell>
        </row>
        <row r="289">
          <cell r="C289">
            <v>34291</v>
          </cell>
          <cell r="O289">
            <v>4339.5200000000004</v>
          </cell>
          <cell r="U289" t="str">
            <v>Véhicules neufs</v>
          </cell>
          <cell r="V289" t="str">
            <v>Salaires autres</v>
          </cell>
          <cell r="W289" t="str">
            <v>$</v>
          </cell>
          <cell r="X289">
            <v>0</v>
          </cell>
        </row>
        <row r="290">
          <cell r="C290">
            <v>109949.61</v>
          </cell>
          <cell r="O290">
            <v>11233.56</v>
          </cell>
          <cell r="U290" t="str">
            <v>Véhicules neufs</v>
          </cell>
          <cell r="V290" t="str">
            <v>Salaires en absences</v>
          </cell>
          <cell r="W290" t="str">
            <v>$</v>
          </cell>
          <cell r="X290">
            <v>0</v>
          </cell>
        </row>
        <row r="291">
          <cell r="C291">
            <v>26206.65</v>
          </cell>
          <cell r="O291">
            <v>1645.94</v>
          </cell>
          <cell r="U291" t="str">
            <v>Véhicules neufs</v>
          </cell>
          <cell r="V291" t="str">
            <v>Csst</v>
          </cell>
          <cell r="W291" t="str">
            <v>$</v>
          </cell>
          <cell r="X291">
            <v>0</v>
          </cell>
        </row>
        <row r="292">
          <cell r="C292">
            <v>151867.29</v>
          </cell>
          <cell r="O292">
            <v>12527.06</v>
          </cell>
          <cell r="U292" t="str">
            <v>Véhicules neufs</v>
          </cell>
          <cell r="V292" t="str">
            <v>Déduction à la source</v>
          </cell>
          <cell r="W292" t="str">
            <v>$</v>
          </cell>
          <cell r="X292">
            <v>0</v>
          </cell>
        </row>
        <row r="293">
          <cell r="C293">
            <v>42903.78</v>
          </cell>
          <cell r="O293">
            <v>4090.02</v>
          </cell>
          <cell r="U293" t="str">
            <v>Véhicules neufs</v>
          </cell>
          <cell r="V293" t="str">
            <v>Bénéfices marginaux</v>
          </cell>
          <cell r="W293" t="str">
            <v>$</v>
          </cell>
          <cell r="X293">
            <v>0</v>
          </cell>
        </row>
        <row r="294">
          <cell r="C294">
            <v>28087.17</v>
          </cell>
          <cell r="O294">
            <v>-3717.84</v>
          </cell>
          <cell r="U294" t="str">
            <v>Véhicules neufs</v>
          </cell>
          <cell r="V294" t="str">
            <v>Bénéfices marginaux</v>
          </cell>
          <cell r="W294" t="str">
            <v>$</v>
          </cell>
          <cell r="X294">
            <v>0</v>
          </cell>
        </row>
        <row r="295">
          <cell r="C295">
            <v>696.89</v>
          </cell>
          <cell r="O295">
            <v>0</v>
          </cell>
          <cell r="U295" t="str">
            <v>Véhicules neufs</v>
          </cell>
          <cell r="V295" t="str">
            <v>Fournitures autres</v>
          </cell>
          <cell r="W295" t="str">
            <v>$</v>
          </cell>
          <cell r="X295">
            <v>0</v>
          </cell>
        </row>
        <row r="296">
          <cell r="C296">
            <v>434.88</v>
          </cell>
          <cell r="O296">
            <v>0</v>
          </cell>
          <cell r="U296" t="str">
            <v>Véhicules neufs</v>
          </cell>
          <cell r="V296" t="str">
            <v>Uniformes</v>
          </cell>
          <cell r="W296" t="str">
            <v>$</v>
          </cell>
          <cell r="X296">
            <v>0</v>
          </cell>
        </row>
        <row r="297">
          <cell r="C297">
            <v>20207.23</v>
          </cell>
          <cell r="O297">
            <v>1785.45</v>
          </cell>
          <cell r="U297" t="str">
            <v>Véhicules neufs</v>
          </cell>
          <cell r="V297" t="str">
            <v>Formation</v>
          </cell>
          <cell r="W297" t="str">
            <v>$</v>
          </cell>
          <cell r="X297">
            <v>0</v>
          </cell>
        </row>
        <row r="298">
          <cell r="C298">
            <v>85469.28</v>
          </cell>
          <cell r="O298">
            <v>8283.33</v>
          </cell>
          <cell r="U298" t="str">
            <v>Véhicules neufs</v>
          </cell>
          <cell r="V298" t="str">
            <v>Frais véhicules de cie</v>
          </cell>
          <cell r="W298" t="str">
            <v>$</v>
          </cell>
          <cell r="X298">
            <v>0</v>
          </cell>
        </row>
        <row r="299">
          <cell r="C299">
            <v>823.08</v>
          </cell>
          <cell r="O299">
            <v>40.25</v>
          </cell>
          <cell r="U299" t="str">
            <v>Véhicules neufs</v>
          </cell>
          <cell r="V299" t="str">
            <v>Frais postaux</v>
          </cell>
          <cell r="W299" t="str">
            <v>$</v>
          </cell>
          <cell r="X299">
            <v>0</v>
          </cell>
        </row>
        <row r="300">
          <cell r="C300">
            <v>73368.899999999994</v>
          </cell>
          <cell r="O300">
            <v>6688.36</v>
          </cell>
          <cell r="U300" t="str">
            <v>Véhicules neufs</v>
          </cell>
          <cell r="V300" t="str">
            <v>Informatique</v>
          </cell>
          <cell r="W300" t="str">
            <v>$</v>
          </cell>
          <cell r="X300">
            <v>0</v>
          </cell>
        </row>
        <row r="301">
          <cell r="C301">
            <v>6700.8</v>
          </cell>
          <cell r="O301">
            <v>1262.3399999999999</v>
          </cell>
          <cell r="U301" t="str">
            <v>Véhicules neufs</v>
          </cell>
          <cell r="V301" t="str">
            <v>Papeterie</v>
          </cell>
          <cell r="W301" t="str">
            <v>$</v>
          </cell>
          <cell r="X301">
            <v>0</v>
          </cell>
        </row>
        <row r="302">
          <cell r="C302">
            <v>3558.12</v>
          </cell>
          <cell r="O302">
            <v>351.63</v>
          </cell>
          <cell r="U302" t="str">
            <v>Véhicules neufs</v>
          </cell>
          <cell r="V302" t="str">
            <v>Téléphone</v>
          </cell>
          <cell r="W302" t="str">
            <v>$</v>
          </cell>
          <cell r="X302">
            <v>0</v>
          </cell>
        </row>
        <row r="303">
          <cell r="C303">
            <v>1623.34</v>
          </cell>
          <cell r="O303">
            <v>446.81</v>
          </cell>
          <cell r="U303" t="str">
            <v>Véhicules neufs</v>
          </cell>
          <cell r="V303" t="str">
            <v>Divers</v>
          </cell>
          <cell r="W303" t="str">
            <v>$</v>
          </cell>
          <cell r="X303">
            <v>0</v>
          </cell>
        </row>
        <row r="304">
          <cell r="C304">
            <v>14635.95</v>
          </cell>
          <cell r="O304">
            <v>2373.63</v>
          </cell>
          <cell r="U304" t="str">
            <v>Véhicules neufs</v>
          </cell>
          <cell r="V304" t="str">
            <v>Frais de déplacement</v>
          </cell>
          <cell r="W304" t="str">
            <v>$</v>
          </cell>
          <cell r="X304">
            <v>0</v>
          </cell>
        </row>
        <row r="305">
          <cell r="C305">
            <v>36470.51</v>
          </cell>
          <cell r="O305">
            <v>6767.49</v>
          </cell>
          <cell r="U305" t="str">
            <v>Véhicules neufs</v>
          </cell>
          <cell r="V305" t="str">
            <v>Frais bancaires</v>
          </cell>
          <cell r="W305" t="str">
            <v>$</v>
          </cell>
          <cell r="X305">
            <v>0</v>
          </cell>
        </row>
        <row r="306">
          <cell r="C306">
            <v>73958.47</v>
          </cell>
          <cell r="O306">
            <v>7674.68</v>
          </cell>
          <cell r="U306" t="str">
            <v>Véhicules neufs</v>
          </cell>
          <cell r="V306" t="str">
            <v>Services extérieurs</v>
          </cell>
          <cell r="W306" t="str">
            <v>$</v>
          </cell>
          <cell r="X306">
            <v>0</v>
          </cell>
        </row>
        <row r="307">
          <cell r="C307">
            <v>56474.239999999998</v>
          </cell>
          <cell r="O307">
            <v>11087.36</v>
          </cell>
          <cell r="U307" t="str">
            <v>Véhicules neufs</v>
          </cell>
          <cell r="V307" t="str">
            <v>Amortissement</v>
          </cell>
          <cell r="W307" t="str">
            <v>$</v>
          </cell>
          <cell r="X307">
            <v>0</v>
          </cell>
        </row>
        <row r="308">
          <cell r="C308">
            <v>12192.48</v>
          </cell>
          <cell r="O308">
            <v>1366.87</v>
          </cell>
          <cell r="U308" t="str">
            <v>Véhicules neufs</v>
          </cell>
          <cell r="V308" t="str">
            <v>Chauffage, éclairage</v>
          </cell>
          <cell r="W308" t="str">
            <v>$</v>
          </cell>
          <cell r="X308">
            <v>0</v>
          </cell>
        </row>
        <row r="309">
          <cell r="C309">
            <v>115200</v>
          </cell>
          <cell r="O309">
            <v>11520</v>
          </cell>
          <cell r="U309" t="str">
            <v>Véhicules neufs</v>
          </cell>
          <cell r="V309" t="str">
            <v>Loyer</v>
          </cell>
          <cell r="W309" t="str">
            <v>$</v>
          </cell>
          <cell r="X309">
            <v>0</v>
          </cell>
        </row>
        <row r="310">
          <cell r="C310">
            <v>12457.9</v>
          </cell>
          <cell r="O310">
            <v>1245.79</v>
          </cell>
          <cell r="U310" t="str">
            <v>Véhicules neufs</v>
          </cell>
          <cell r="V310" t="str">
            <v>Assurances</v>
          </cell>
          <cell r="W310" t="str">
            <v>$</v>
          </cell>
          <cell r="X310">
            <v>0</v>
          </cell>
        </row>
        <row r="311">
          <cell r="C311">
            <v>16566.400000000001</v>
          </cell>
          <cell r="O311">
            <v>1656.64</v>
          </cell>
          <cell r="U311" t="str">
            <v>Véhicules neufs</v>
          </cell>
          <cell r="V311" t="str">
            <v>Taxes foncières</v>
          </cell>
          <cell r="W311" t="str">
            <v>$</v>
          </cell>
          <cell r="X311">
            <v>0</v>
          </cell>
        </row>
        <row r="312">
          <cell r="C312">
            <v>11215.35</v>
          </cell>
          <cell r="O312">
            <v>1102.4000000000001</v>
          </cell>
          <cell r="U312" t="str">
            <v>Véhicules neufs</v>
          </cell>
          <cell r="V312" t="str">
            <v>Taxes d`affaires</v>
          </cell>
          <cell r="W312" t="str">
            <v>$</v>
          </cell>
          <cell r="X312">
            <v>0</v>
          </cell>
        </row>
        <row r="313">
          <cell r="C313">
            <v>20829.04</v>
          </cell>
          <cell r="O313">
            <v>2349.5300000000002</v>
          </cell>
          <cell r="U313" t="str">
            <v>Véhicules neufs</v>
          </cell>
          <cell r="V313" t="str">
            <v>Honoraires</v>
          </cell>
          <cell r="W313" t="str">
            <v>$</v>
          </cell>
          <cell r="X313">
            <v>0</v>
          </cell>
        </row>
        <row r="314">
          <cell r="C314">
            <v>160406.35</v>
          </cell>
          <cell r="O314">
            <v>25766.12</v>
          </cell>
          <cell r="U314" t="str">
            <v>Véhicules usagés</v>
          </cell>
          <cell r="V314" t="str">
            <v>Comm. vendeurs</v>
          </cell>
          <cell r="W314" t="str">
            <v>$</v>
          </cell>
          <cell r="X314">
            <v>0</v>
          </cell>
        </row>
        <row r="315">
          <cell r="C315">
            <v>141096.44</v>
          </cell>
          <cell r="O315">
            <v>14478.3</v>
          </cell>
          <cell r="U315" t="str">
            <v>Véhicules usagés</v>
          </cell>
          <cell r="V315" t="str">
            <v>Comm. F&amp;I</v>
          </cell>
          <cell r="W315" t="str">
            <v>$</v>
          </cell>
          <cell r="X315">
            <v>0</v>
          </cell>
        </row>
        <row r="316">
          <cell r="C316">
            <v>17625.099999999999</v>
          </cell>
          <cell r="O316">
            <v>2905.64</v>
          </cell>
          <cell r="U316" t="str">
            <v>Véhicules usagés</v>
          </cell>
          <cell r="V316" t="str">
            <v>Service gratuit 1</v>
          </cell>
          <cell r="W316" t="str">
            <v>$</v>
          </cell>
          <cell r="X316">
            <v>0</v>
          </cell>
        </row>
        <row r="317">
          <cell r="C317">
            <v>45699.14</v>
          </cell>
          <cell r="O317">
            <v>5029.3100000000004</v>
          </cell>
          <cell r="U317" t="str">
            <v>Véhicules usagés</v>
          </cell>
          <cell r="V317" t="str">
            <v>Entretien stock</v>
          </cell>
          <cell r="W317" t="str">
            <v>$</v>
          </cell>
          <cell r="X317">
            <v>0</v>
          </cell>
        </row>
        <row r="318">
          <cell r="C318">
            <v>54385.31</v>
          </cell>
          <cell r="O318">
            <v>2298.6799999999998</v>
          </cell>
          <cell r="U318" t="str">
            <v>Véhicules usagés</v>
          </cell>
          <cell r="V318" t="str">
            <v>Intérêt de gros</v>
          </cell>
          <cell r="W318" t="str">
            <v>$</v>
          </cell>
          <cell r="X318">
            <v>0</v>
          </cell>
        </row>
        <row r="319">
          <cell r="C319">
            <v>2406.84</v>
          </cell>
          <cell r="O319">
            <v>-1311.09</v>
          </cell>
          <cell r="U319" t="str">
            <v>Véhicules usagés</v>
          </cell>
          <cell r="V319" t="str">
            <v>Frais de livraison</v>
          </cell>
          <cell r="W319" t="str">
            <v>$</v>
          </cell>
          <cell r="X319">
            <v>0</v>
          </cell>
        </row>
        <row r="320">
          <cell r="C320">
            <v>146969.21</v>
          </cell>
          <cell r="O320">
            <v>14246.11</v>
          </cell>
          <cell r="U320" t="str">
            <v>Véhicules usagés</v>
          </cell>
          <cell r="V320" t="str">
            <v>Publicité 1</v>
          </cell>
          <cell r="W320" t="str">
            <v>$</v>
          </cell>
          <cell r="X320">
            <v>0</v>
          </cell>
        </row>
        <row r="321">
          <cell r="C321">
            <v>-27600</v>
          </cell>
          <cell r="O321">
            <v>-3400</v>
          </cell>
          <cell r="U321" t="str">
            <v>Véhicules usagés</v>
          </cell>
          <cell r="V321" t="str">
            <v>Publicité 1</v>
          </cell>
          <cell r="W321" t="str">
            <v>$</v>
          </cell>
          <cell r="X321">
            <v>0</v>
          </cell>
        </row>
        <row r="322">
          <cell r="C322">
            <v>15724.32</v>
          </cell>
          <cell r="O322">
            <v>1854.83</v>
          </cell>
          <cell r="U322" t="str">
            <v>Véhicules usagés</v>
          </cell>
          <cell r="V322" t="str">
            <v>Salaires propriétaire</v>
          </cell>
          <cell r="W322" t="str">
            <v>$</v>
          </cell>
          <cell r="X322">
            <v>0</v>
          </cell>
        </row>
        <row r="323">
          <cell r="C323">
            <v>106882.1</v>
          </cell>
          <cell r="O323">
            <v>12581.58</v>
          </cell>
          <cell r="U323" t="str">
            <v>Véhicules usagés</v>
          </cell>
          <cell r="V323" t="str">
            <v>Salaires cadres</v>
          </cell>
          <cell r="W323" t="str">
            <v>$</v>
          </cell>
          <cell r="X323">
            <v>0</v>
          </cell>
        </row>
        <row r="324">
          <cell r="C324">
            <v>18271.28</v>
          </cell>
          <cell r="O324">
            <v>2096.35</v>
          </cell>
          <cell r="U324" t="str">
            <v>Véhicules usagés</v>
          </cell>
          <cell r="V324" t="str">
            <v>Salaires commis</v>
          </cell>
          <cell r="W324" t="str">
            <v>$</v>
          </cell>
          <cell r="X324">
            <v>0</v>
          </cell>
        </row>
        <row r="325">
          <cell r="C325">
            <v>58806.81</v>
          </cell>
          <cell r="O325">
            <v>7887.5</v>
          </cell>
          <cell r="U325" t="str">
            <v>Véhicules usagés</v>
          </cell>
          <cell r="V325" t="str">
            <v>Salaires autres</v>
          </cell>
          <cell r="W325" t="str">
            <v>$</v>
          </cell>
          <cell r="X325">
            <v>0</v>
          </cell>
        </row>
        <row r="326">
          <cell r="C326">
            <v>67705.919999999998</v>
          </cell>
          <cell r="O326">
            <v>2561.98</v>
          </cell>
          <cell r="U326" t="str">
            <v>Véhicules usagés</v>
          </cell>
          <cell r="V326" t="str">
            <v>Salaires en absences</v>
          </cell>
          <cell r="W326" t="str">
            <v>$</v>
          </cell>
          <cell r="X326">
            <v>0</v>
          </cell>
        </row>
        <row r="327">
          <cell r="C327">
            <v>9477.41</v>
          </cell>
          <cell r="O327">
            <v>1318.85</v>
          </cell>
          <cell r="U327" t="str">
            <v>Véhicules usagés</v>
          </cell>
          <cell r="V327" t="str">
            <v>Csst</v>
          </cell>
          <cell r="W327" t="str">
            <v>$</v>
          </cell>
          <cell r="X327">
            <v>0</v>
          </cell>
        </row>
        <row r="328">
          <cell r="C328">
            <v>72539.649999999994</v>
          </cell>
          <cell r="O328">
            <v>7576.78</v>
          </cell>
          <cell r="U328" t="str">
            <v>Véhicules usagés</v>
          </cell>
          <cell r="V328" t="str">
            <v>Déduction à la source</v>
          </cell>
          <cell r="W328" t="str">
            <v>$</v>
          </cell>
          <cell r="X328">
            <v>0</v>
          </cell>
        </row>
        <row r="329">
          <cell r="C329">
            <v>14488.37</v>
          </cell>
          <cell r="O329">
            <v>137.22999999999999</v>
          </cell>
          <cell r="U329" t="str">
            <v>Véhicules usagés</v>
          </cell>
          <cell r="V329" t="str">
            <v>Bénéfices marginaux</v>
          </cell>
          <cell r="W329" t="str">
            <v>$</v>
          </cell>
          <cell r="X329">
            <v>0</v>
          </cell>
        </row>
        <row r="330">
          <cell r="C330">
            <v>8731.43</v>
          </cell>
          <cell r="O330">
            <v>-1821.93</v>
          </cell>
          <cell r="U330" t="str">
            <v>Véhicules usagés</v>
          </cell>
          <cell r="V330" t="str">
            <v>Bénéfices marginaux</v>
          </cell>
          <cell r="W330" t="str">
            <v>$</v>
          </cell>
          <cell r="X330">
            <v>0</v>
          </cell>
        </row>
        <row r="331">
          <cell r="C331">
            <v>542.61</v>
          </cell>
          <cell r="O331">
            <v>0</v>
          </cell>
          <cell r="U331" t="str">
            <v>Véhicules usagés</v>
          </cell>
          <cell r="V331" t="str">
            <v>Fournitures autres</v>
          </cell>
          <cell r="W331" t="str">
            <v>$</v>
          </cell>
          <cell r="X331">
            <v>0</v>
          </cell>
        </row>
        <row r="332">
          <cell r="C332">
            <v>434.88</v>
          </cell>
          <cell r="O332">
            <v>0</v>
          </cell>
          <cell r="U332" t="str">
            <v>Véhicules usagés</v>
          </cell>
          <cell r="V332" t="str">
            <v>Uniformes</v>
          </cell>
          <cell r="W332" t="str">
            <v>$</v>
          </cell>
          <cell r="X332">
            <v>0</v>
          </cell>
        </row>
        <row r="333">
          <cell r="C333">
            <v>1310.0899999999999</v>
          </cell>
          <cell r="O333">
            <v>267.42</v>
          </cell>
          <cell r="U333" t="str">
            <v>Véhicules usagés</v>
          </cell>
          <cell r="V333" t="str">
            <v>Formation</v>
          </cell>
          <cell r="W333" t="str">
            <v>$</v>
          </cell>
          <cell r="X333">
            <v>0</v>
          </cell>
        </row>
        <row r="334">
          <cell r="C334">
            <v>6897.9</v>
          </cell>
          <cell r="O334">
            <v>3842.56</v>
          </cell>
          <cell r="U334" t="str">
            <v>Véhicules usagés</v>
          </cell>
          <cell r="V334" t="str">
            <v>Frais véhicules de cie</v>
          </cell>
          <cell r="W334" t="str">
            <v>$</v>
          </cell>
          <cell r="X334">
            <v>0</v>
          </cell>
        </row>
        <row r="335">
          <cell r="C335">
            <v>350.67</v>
          </cell>
          <cell r="O335">
            <v>15.09</v>
          </cell>
          <cell r="U335" t="str">
            <v>Véhicules usagés</v>
          </cell>
          <cell r="V335" t="str">
            <v>Frais postaux</v>
          </cell>
          <cell r="W335" t="str">
            <v>$</v>
          </cell>
          <cell r="X335">
            <v>0</v>
          </cell>
        </row>
        <row r="336">
          <cell r="C336">
            <v>37375.870000000003</v>
          </cell>
          <cell r="O336">
            <v>3362.33</v>
          </cell>
          <cell r="U336" t="str">
            <v>Véhicules usagés</v>
          </cell>
          <cell r="V336" t="str">
            <v>Informatique</v>
          </cell>
          <cell r="W336" t="str">
            <v>$</v>
          </cell>
          <cell r="X336">
            <v>0</v>
          </cell>
        </row>
        <row r="337">
          <cell r="C337">
            <v>2957.34</v>
          </cell>
          <cell r="O337">
            <v>473.37</v>
          </cell>
          <cell r="U337" t="str">
            <v>Véhicules usagés</v>
          </cell>
          <cell r="V337" t="str">
            <v>Papeterie</v>
          </cell>
          <cell r="W337" t="str">
            <v>$</v>
          </cell>
          <cell r="X337">
            <v>0</v>
          </cell>
        </row>
        <row r="338">
          <cell r="C338">
            <v>589.95000000000005</v>
          </cell>
          <cell r="O338">
            <v>92.04</v>
          </cell>
          <cell r="U338" t="str">
            <v>Véhicules usagés</v>
          </cell>
          <cell r="V338" t="str">
            <v>Téléphone</v>
          </cell>
          <cell r="W338" t="str">
            <v>$</v>
          </cell>
          <cell r="X338">
            <v>0</v>
          </cell>
        </row>
        <row r="339">
          <cell r="C339">
            <v>608.74</v>
          </cell>
          <cell r="O339">
            <v>167.55</v>
          </cell>
          <cell r="U339" t="str">
            <v>Véhicules usagés</v>
          </cell>
          <cell r="V339" t="str">
            <v>Divers</v>
          </cell>
          <cell r="W339" t="str">
            <v>$</v>
          </cell>
          <cell r="X339">
            <v>0</v>
          </cell>
        </row>
        <row r="340">
          <cell r="C340">
            <v>6274.15</v>
          </cell>
          <cell r="O340">
            <v>701.68</v>
          </cell>
          <cell r="U340" t="str">
            <v>Véhicules usagés</v>
          </cell>
          <cell r="V340" t="str">
            <v>Frais de déplacement</v>
          </cell>
          <cell r="W340" t="str">
            <v>$</v>
          </cell>
          <cell r="X340">
            <v>0</v>
          </cell>
        </row>
        <row r="341">
          <cell r="C341">
            <v>8208.17</v>
          </cell>
          <cell r="O341">
            <v>1548.29</v>
          </cell>
          <cell r="U341" t="str">
            <v>Véhicules usagés</v>
          </cell>
          <cell r="V341" t="str">
            <v>Frais bancaires</v>
          </cell>
          <cell r="W341" t="str">
            <v>$</v>
          </cell>
          <cell r="X341">
            <v>0</v>
          </cell>
        </row>
        <row r="342">
          <cell r="C342">
            <v>14318.26</v>
          </cell>
          <cell r="O342">
            <v>2428.6999999999998</v>
          </cell>
          <cell r="U342" t="str">
            <v>Véhicules usagés</v>
          </cell>
          <cell r="V342" t="str">
            <v>Services extérieurs</v>
          </cell>
          <cell r="W342" t="str">
            <v>$</v>
          </cell>
          <cell r="X342">
            <v>0</v>
          </cell>
        </row>
        <row r="343">
          <cell r="C343">
            <v>21177.84</v>
          </cell>
          <cell r="O343">
            <v>4157.76</v>
          </cell>
          <cell r="U343" t="str">
            <v>Véhicules usagés</v>
          </cell>
          <cell r="V343" t="str">
            <v>Amortissement</v>
          </cell>
          <cell r="W343" t="str">
            <v>$</v>
          </cell>
          <cell r="X343">
            <v>0</v>
          </cell>
        </row>
        <row r="344">
          <cell r="C344">
            <v>4572.18</v>
          </cell>
          <cell r="O344">
            <v>512.58000000000004</v>
          </cell>
          <cell r="U344" t="str">
            <v>Véhicules usagés</v>
          </cell>
          <cell r="V344" t="str">
            <v>Chauffage, éclairage</v>
          </cell>
          <cell r="W344" t="str">
            <v>$</v>
          </cell>
          <cell r="X344">
            <v>0</v>
          </cell>
        </row>
        <row r="345">
          <cell r="C345">
            <v>43200</v>
          </cell>
          <cell r="O345">
            <v>4320</v>
          </cell>
          <cell r="U345" t="str">
            <v>Véhicules usagés</v>
          </cell>
          <cell r="V345" t="str">
            <v>Loyer</v>
          </cell>
          <cell r="W345" t="str">
            <v>$</v>
          </cell>
          <cell r="X345">
            <v>0</v>
          </cell>
        </row>
        <row r="346">
          <cell r="C346">
            <v>4671.7</v>
          </cell>
          <cell r="O346">
            <v>467.17</v>
          </cell>
          <cell r="U346" t="str">
            <v>Véhicules usagés</v>
          </cell>
          <cell r="V346" t="str">
            <v>Assurances</v>
          </cell>
          <cell r="W346" t="str">
            <v>$</v>
          </cell>
          <cell r="X346">
            <v>0</v>
          </cell>
        </row>
        <row r="347">
          <cell r="C347">
            <v>6212.4</v>
          </cell>
          <cell r="O347">
            <v>621.24</v>
          </cell>
          <cell r="U347" t="str">
            <v>Véhicules usagés</v>
          </cell>
          <cell r="V347" t="str">
            <v>Taxes foncières</v>
          </cell>
          <cell r="W347" t="str">
            <v>$</v>
          </cell>
          <cell r="X347">
            <v>0</v>
          </cell>
        </row>
        <row r="348">
          <cell r="C348">
            <v>4205.75</v>
          </cell>
          <cell r="O348">
            <v>413.4</v>
          </cell>
          <cell r="U348" t="str">
            <v>Véhicules usagés</v>
          </cell>
          <cell r="V348" t="str">
            <v>Taxes d`affaires</v>
          </cell>
          <cell r="W348" t="str">
            <v>$</v>
          </cell>
          <cell r="X348">
            <v>0</v>
          </cell>
        </row>
        <row r="349">
          <cell r="C349">
            <v>12210.88</v>
          </cell>
          <cell r="O349">
            <v>881.07</v>
          </cell>
          <cell r="U349" t="str">
            <v>Véhicules usagés</v>
          </cell>
          <cell r="V349" t="str">
            <v>Honoraires</v>
          </cell>
          <cell r="W349" t="str">
            <v>$</v>
          </cell>
          <cell r="X349">
            <v>0</v>
          </cell>
        </row>
        <row r="350">
          <cell r="C350">
            <v>23044.66</v>
          </cell>
          <cell r="O350">
            <v>5498.87</v>
          </cell>
          <cell r="U350" t="str">
            <v>Service</v>
          </cell>
          <cell r="V350" t="str">
            <v>Service gratuit 2</v>
          </cell>
          <cell r="W350" t="str">
            <v>$</v>
          </cell>
          <cell r="X350">
            <v>0</v>
          </cell>
        </row>
        <row r="351">
          <cell r="C351">
            <v>4960.46</v>
          </cell>
          <cell r="O351">
            <v>-1.84</v>
          </cell>
          <cell r="U351" t="str">
            <v>Service</v>
          </cell>
          <cell r="V351" t="str">
            <v>Service gratuit 2</v>
          </cell>
          <cell r="W351" t="str">
            <v>$</v>
          </cell>
          <cell r="X351">
            <v>0</v>
          </cell>
        </row>
        <row r="352">
          <cell r="C352">
            <v>110477.93</v>
          </cell>
          <cell r="O352">
            <v>11959.51</v>
          </cell>
          <cell r="U352" t="str">
            <v>Service</v>
          </cell>
          <cell r="V352" t="str">
            <v>Publicité 2</v>
          </cell>
          <cell r="W352" t="str">
            <v>$</v>
          </cell>
          <cell r="X352">
            <v>0</v>
          </cell>
        </row>
        <row r="353">
          <cell r="C353">
            <v>35379.839999999997</v>
          </cell>
          <cell r="O353">
            <v>4173.3999999999996</v>
          </cell>
          <cell r="U353" t="str">
            <v>Service</v>
          </cell>
          <cell r="V353" t="str">
            <v>Salaires propriétaire</v>
          </cell>
          <cell r="W353" t="str">
            <v>$</v>
          </cell>
          <cell r="X353">
            <v>0</v>
          </cell>
        </row>
        <row r="354">
          <cell r="C354">
            <v>141374.6</v>
          </cell>
          <cell r="O354">
            <v>15943.06</v>
          </cell>
          <cell r="U354" t="str">
            <v>Service</v>
          </cell>
          <cell r="V354" t="str">
            <v>Salaires cadres</v>
          </cell>
          <cell r="W354" t="str">
            <v>$</v>
          </cell>
          <cell r="X354">
            <v>0</v>
          </cell>
        </row>
        <row r="355">
          <cell r="C355">
            <v>77690.89</v>
          </cell>
          <cell r="O355">
            <v>9929.2199999999993</v>
          </cell>
          <cell r="U355" t="str">
            <v>Service</v>
          </cell>
          <cell r="V355" t="str">
            <v>Salaires commis</v>
          </cell>
          <cell r="W355" t="str">
            <v>$</v>
          </cell>
          <cell r="X355">
            <v>0</v>
          </cell>
        </row>
        <row r="356">
          <cell r="C356">
            <v>165553.95000000001</v>
          </cell>
          <cell r="O356">
            <v>39324.92</v>
          </cell>
          <cell r="U356" t="str">
            <v>Service</v>
          </cell>
          <cell r="V356" t="str">
            <v>Salaires autres</v>
          </cell>
          <cell r="W356" t="str">
            <v>$</v>
          </cell>
          <cell r="X356">
            <v>0</v>
          </cell>
        </row>
        <row r="357">
          <cell r="C357">
            <v>287519.03999999998</v>
          </cell>
          <cell r="O357">
            <v>39319.25</v>
          </cell>
          <cell r="U357" t="str">
            <v>Service</v>
          </cell>
          <cell r="V357" t="str">
            <v>Salaires spécialistes</v>
          </cell>
          <cell r="W357" t="str">
            <v>$</v>
          </cell>
          <cell r="X357">
            <v>0</v>
          </cell>
        </row>
        <row r="358">
          <cell r="C358">
            <v>170870.66</v>
          </cell>
          <cell r="O358">
            <v>13701.18</v>
          </cell>
          <cell r="U358" t="str">
            <v>Service</v>
          </cell>
          <cell r="V358" t="str">
            <v>Salaires en absences</v>
          </cell>
          <cell r="W358" t="str">
            <v>$</v>
          </cell>
          <cell r="X358">
            <v>0</v>
          </cell>
        </row>
        <row r="359">
          <cell r="C359">
            <v>40573.85</v>
          </cell>
          <cell r="O359">
            <v>4479.8999999999996</v>
          </cell>
          <cell r="U359" t="str">
            <v>Service</v>
          </cell>
          <cell r="V359" t="str">
            <v>Csst</v>
          </cell>
          <cell r="W359" t="str">
            <v>$</v>
          </cell>
          <cell r="X359">
            <v>0</v>
          </cell>
        </row>
        <row r="360">
          <cell r="C360">
            <v>214577.45</v>
          </cell>
          <cell r="O360">
            <v>23066.27</v>
          </cell>
          <cell r="U360" t="str">
            <v>Service</v>
          </cell>
          <cell r="V360" t="str">
            <v>Déduction à la source</v>
          </cell>
          <cell r="W360" t="str">
            <v>$</v>
          </cell>
          <cell r="X360">
            <v>0</v>
          </cell>
        </row>
        <row r="361">
          <cell r="C361">
            <v>59913.47</v>
          </cell>
          <cell r="O361">
            <v>7335.6</v>
          </cell>
          <cell r="U361" t="str">
            <v>Service</v>
          </cell>
          <cell r="V361" t="str">
            <v>Bénéfices marginaux</v>
          </cell>
          <cell r="W361" t="str">
            <v>$</v>
          </cell>
          <cell r="X361">
            <v>0</v>
          </cell>
        </row>
        <row r="362">
          <cell r="C362">
            <v>52636.480000000003</v>
          </cell>
          <cell r="O362">
            <v>502.54</v>
          </cell>
          <cell r="U362" t="str">
            <v>Service</v>
          </cell>
          <cell r="V362" t="str">
            <v>Bénéfices marginaux</v>
          </cell>
          <cell r="W362" t="str">
            <v>$</v>
          </cell>
          <cell r="X362">
            <v>0</v>
          </cell>
        </row>
        <row r="363">
          <cell r="C363">
            <v>7190.28</v>
          </cell>
          <cell r="O363">
            <v>214.98</v>
          </cell>
          <cell r="U363" t="str">
            <v>Service</v>
          </cell>
          <cell r="V363" t="str">
            <v>Service gratuit 2</v>
          </cell>
          <cell r="W363" t="str">
            <v>$</v>
          </cell>
          <cell r="X363">
            <v>0</v>
          </cell>
        </row>
        <row r="364">
          <cell r="C364">
            <v>43469.04</v>
          </cell>
          <cell r="O364">
            <v>4375.9799999999996</v>
          </cell>
          <cell r="U364" t="str">
            <v>Service</v>
          </cell>
          <cell r="V364" t="str">
            <v>Fournitures autres</v>
          </cell>
          <cell r="W364" t="str">
            <v>$</v>
          </cell>
          <cell r="X364">
            <v>0</v>
          </cell>
        </row>
        <row r="365">
          <cell r="C365">
            <v>12530.49</v>
          </cell>
          <cell r="O365">
            <v>960.28</v>
          </cell>
          <cell r="U365" t="str">
            <v>Service</v>
          </cell>
          <cell r="V365" t="str">
            <v>Uniformes</v>
          </cell>
          <cell r="W365" t="str">
            <v>$</v>
          </cell>
          <cell r="X365">
            <v>0</v>
          </cell>
        </row>
        <row r="366">
          <cell r="C366">
            <v>22506.240000000002</v>
          </cell>
          <cell r="O366">
            <v>342.09</v>
          </cell>
          <cell r="U366" t="str">
            <v>Service</v>
          </cell>
          <cell r="V366" t="str">
            <v>Formation</v>
          </cell>
          <cell r="W366" t="str">
            <v>$</v>
          </cell>
          <cell r="X366">
            <v>0</v>
          </cell>
        </row>
        <row r="367">
          <cell r="C367">
            <v>112250.84</v>
          </cell>
          <cell r="O367">
            <v>17367.310000000001</v>
          </cell>
          <cell r="U367" t="str">
            <v>Service</v>
          </cell>
          <cell r="V367" t="str">
            <v>Frais véhicules de cie</v>
          </cell>
          <cell r="W367" t="str">
            <v>$</v>
          </cell>
          <cell r="X367">
            <v>0</v>
          </cell>
        </row>
        <row r="368">
          <cell r="C368">
            <v>839.88</v>
          </cell>
          <cell r="O368">
            <v>30.18</v>
          </cell>
          <cell r="U368" t="str">
            <v>Service</v>
          </cell>
          <cell r="V368" t="str">
            <v>Frais postaux</v>
          </cell>
          <cell r="W368" t="str">
            <v>$</v>
          </cell>
          <cell r="X368">
            <v>0</v>
          </cell>
        </row>
        <row r="369">
          <cell r="C369">
            <v>49904.43</v>
          </cell>
          <cell r="O369">
            <v>4203.6499999999996</v>
          </cell>
          <cell r="U369" t="str">
            <v>Service</v>
          </cell>
          <cell r="V369" t="str">
            <v>Informatique</v>
          </cell>
          <cell r="W369" t="str">
            <v>$</v>
          </cell>
          <cell r="X369">
            <v>0</v>
          </cell>
        </row>
        <row r="370">
          <cell r="C370">
            <v>8141.59</v>
          </cell>
          <cell r="O370">
            <v>1316.02</v>
          </cell>
          <cell r="U370" t="str">
            <v>Service</v>
          </cell>
          <cell r="V370" t="str">
            <v>Papeterie</v>
          </cell>
          <cell r="W370" t="str">
            <v>$</v>
          </cell>
          <cell r="X370">
            <v>0</v>
          </cell>
        </row>
        <row r="371">
          <cell r="C371">
            <v>1825.99</v>
          </cell>
          <cell r="O371">
            <v>184.09</v>
          </cell>
          <cell r="U371" t="str">
            <v>Service</v>
          </cell>
          <cell r="V371" t="str">
            <v>Téléphone</v>
          </cell>
          <cell r="W371" t="str">
            <v>$</v>
          </cell>
          <cell r="X371">
            <v>0</v>
          </cell>
        </row>
        <row r="372">
          <cell r="C372">
            <v>1217.51</v>
          </cell>
          <cell r="O372">
            <v>335.11</v>
          </cell>
          <cell r="U372" t="str">
            <v>Service</v>
          </cell>
          <cell r="V372" t="str">
            <v>Divers</v>
          </cell>
          <cell r="W372" t="str">
            <v>$</v>
          </cell>
          <cell r="X372">
            <v>0</v>
          </cell>
        </row>
        <row r="373">
          <cell r="C373">
            <v>10366.040000000001</v>
          </cell>
          <cell r="O373">
            <v>2288.3200000000002</v>
          </cell>
          <cell r="U373" t="str">
            <v>Service</v>
          </cell>
          <cell r="V373" t="str">
            <v>Frais de déplacement</v>
          </cell>
          <cell r="W373" t="str">
            <v>$</v>
          </cell>
          <cell r="X373">
            <v>0</v>
          </cell>
        </row>
        <row r="374">
          <cell r="C374">
            <v>18235.28</v>
          </cell>
          <cell r="O374">
            <v>3383.76</v>
          </cell>
          <cell r="U374" t="str">
            <v>Service</v>
          </cell>
          <cell r="V374" t="str">
            <v>Frais bancaires</v>
          </cell>
          <cell r="W374" t="str">
            <v>$</v>
          </cell>
          <cell r="X374">
            <v>0</v>
          </cell>
        </row>
        <row r="375">
          <cell r="C375">
            <v>119454.71</v>
          </cell>
          <cell r="O375">
            <v>14870.17</v>
          </cell>
          <cell r="U375" t="str">
            <v>Service</v>
          </cell>
          <cell r="V375" t="str">
            <v>Services extérieurs</v>
          </cell>
          <cell r="W375" t="str">
            <v>$</v>
          </cell>
          <cell r="X375">
            <v>0</v>
          </cell>
        </row>
        <row r="376">
          <cell r="C376">
            <v>42355.68</v>
          </cell>
          <cell r="O376">
            <v>8315.52</v>
          </cell>
          <cell r="U376" t="str">
            <v>Service</v>
          </cell>
          <cell r="V376" t="str">
            <v>Amortissement</v>
          </cell>
          <cell r="W376" t="str">
            <v>$</v>
          </cell>
          <cell r="X376">
            <v>0</v>
          </cell>
        </row>
        <row r="377">
          <cell r="C377">
            <v>9339.0300000000007</v>
          </cell>
          <cell r="O377">
            <v>1128.5999999999999</v>
          </cell>
          <cell r="U377" t="str">
            <v>Service</v>
          </cell>
          <cell r="V377" t="str">
            <v>Location équipement</v>
          </cell>
          <cell r="W377" t="str">
            <v>$</v>
          </cell>
          <cell r="X377">
            <v>0</v>
          </cell>
        </row>
        <row r="378">
          <cell r="C378">
            <v>7750.4</v>
          </cell>
          <cell r="O378">
            <v>1304.73</v>
          </cell>
          <cell r="U378" t="str">
            <v>Service</v>
          </cell>
          <cell r="V378" t="str">
            <v>Réparation équipement</v>
          </cell>
          <cell r="W378" t="str">
            <v>$</v>
          </cell>
          <cell r="X378">
            <v>0</v>
          </cell>
        </row>
        <row r="379">
          <cell r="C379">
            <v>9144.33</v>
          </cell>
          <cell r="O379">
            <v>1025.1500000000001</v>
          </cell>
          <cell r="U379" t="str">
            <v>Service</v>
          </cell>
          <cell r="V379" t="str">
            <v>Chauffage, éclairage</v>
          </cell>
          <cell r="W379" t="str">
            <v>$</v>
          </cell>
          <cell r="X379">
            <v>0</v>
          </cell>
        </row>
        <row r="380">
          <cell r="C380">
            <v>86400</v>
          </cell>
          <cell r="O380">
            <v>8640</v>
          </cell>
          <cell r="U380" t="str">
            <v>Service</v>
          </cell>
          <cell r="V380" t="str">
            <v>Loyer</v>
          </cell>
          <cell r="W380" t="str">
            <v>$</v>
          </cell>
          <cell r="X380">
            <v>0</v>
          </cell>
        </row>
        <row r="381">
          <cell r="C381">
            <v>9343.4</v>
          </cell>
          <cell r="O381">
            <v>934.34</v>
          </cell>
          <cell r="U381" t="str">
            <v>Service</v>
          </cell>
          <cell r="V381" t="str">
            <v>Assurances</v>
          </cell>
          <cell r="W381" t="str">
            <v>$</v>
          </cell>
          <cell r="X381">
            <v>0</v>
          </cell>
        </row>
        <row r="382">
          <cell r="C382">
            <v>12424.8</v>
          </cell>
          <cell r="O382">
            <v>1242.48</v>
          </cell>
          <cell r="U382" t="str">
            <v>Service</v>
          </cell>
          <cell r="V382" t="str">
            <v>Taxes foncières</v>
          </cell>
          <cell r="W382" t="str">
            <v>$</v>
          </cell>
          <cell r="X382">
            <v>0</v>
          </cell>
        </row>
        <row r="383">
          <cell r="C383">
            <v>8411.52</v>
          </cell>
          <cell r="O383">
            <v>826.8</v>
          </cell>
          <cell r="U383" t="str">
            <v>Service</v>
          </cell>
          <cell r="V383" t="str">
            <v>Taxes d`affaires</v>
          </cell>
          <cell r="W383" t="str">
            <v>$</v>
          </cell>
          <cell r="X383">
            <v>0</v>
          </cell>
        </row>
        <row r="384">
          <cell r="C384">
            <v>15621.76</v>
          </cell>
          <cell r="O384">
            <v>1762.15</v>
          </cell>
          <cell r="U384" t="str">
            <v>Service</v>
          </cell>
          <cell r="V384" t="str">
            <v>Honoraires</v>
          </cell>
          <cell r="W384" t="str">
            <v>$</v>
          </cell>
          <cell r="X384">
            <v>0</v>
          </cell>
        </row>
        <row r="385">
          <cell r="C385">
            <v>9072.7099999999991</v>
          </cell>
          <cell r="O385">
            <v>2866.52</v>
          </cell>
          <cell r="U385" t="str">
            <v>Carrosserie</v>
          </cell>
          <cell r="V385" t="str">
            <v>Service gratuit 2</v>
          </cell>
          <cell r="W385" t="str">
            <v>$</v>
          </cell>
          <cell r="X385">
            <v>0</v>
          </cell>
        </row>
        <row r="386">
          <cell r="C386">
            <v>-69.81</v>
          </cell>
          <cell r="O386">
            <v>0</v>
          </cell>
          <cell r="U386" t="str">
            <v>Carrosserie</v>
          </cell>
          <cell r="V386" t="str">
            <v>Service gratuit 2</v>
          </cell>
          <cell r="W386" t="str">
            <v>$</v>
          </cell>
          <cell r="X386">
            <v>0</v>
          </cell>
        </row>
        <row r="387">
          <cell r="O387">
            <v>142.51</v>
          </cell>
          <cell r="U387" t="str">
            <v>Carrosserie</v>
          </cell>
          <cell r="V387" t="str">
            <v>Publicité 2</v>
          </cell>
          <cell r="W387" t="str">
            <v>$</v>
          </cell>
          <cell r="X387">
            <v>0</v>
          </cell>
        </row>
        <row r="388">
          <cell r="O388">
            <v>463.73</v>
          </cell>
          <cell r="U388" t="str">
            <v>Carrosserie</v>
          </cell>
          <cell r="V388" t="str">
            <v>Salaires propriétaire</v>
          </cell>
          <cell r="W388" t="str">
            <v>$</v>
          </cell>
          <cell r="X388">
            <v>0</v>
          </cell>
        </row>
        <row r="389">
          <cell r="O389">
            <v>901.88</v>
          </cell>
          <cell r="U389" t="str">
            <v>Carrosserie</v>
          </cell>
          <cell r="V389" t="str">
            <v>Salaires cadres</v>
          </cell>
          <cell r="W389" t="str">
            <v>$</v>
          </cell>
          <cell r="X389">
            <v>0</v>
          </cell>
        </row>
        <row r="390">
          <cell r="O390">
            <v>5141.84</v>
          </cell>
          <cell r="U390" t="str">
            <v>Carrosserie</v>
          </cell>
          <cell r="V390" t="str">
            <v>Salaires commis</v>
          </cell>
          <cell r="W390" t="str">
            <v>$</v>
          </cell>
          <cell r="X390">
            <v>0</v>
          </cell>
        </row>
        <row r="391">
          <cell r="O391">
            <v>0.08</v>
          </cell>
          <cell r="U391" t="str">
            <v>Carrosserie</v>
          </cell>
          <cell r="V391" t="str">
            <v>Salaires autres</v>
          </cell>
          <cell r="W391" t="str">
            <v>$</v>
          </cell>
          <cell r="X391">
            <v>0</v>
          </cell>
        </row>
        <row r="392">
          <cell r="O392">
            <v>406.6</v>
          </cell>
          <cell r="U392" t="str">
            <v>Carrosserie</v>
          </cell>
          <cell r="V392" t="str">
            <v>Salaires en absences</v>
          </cell>
          <cell r="W392" t="str">
            <v>$</v>
          </cell>
          <cell r="X392">
            <v>0</v>
          </cell>
        </row>
        <row r="393">
          <cell r="O393">
            <v>151.38999999999999</v>
          </cell>
          <cell r="U393" t="str">
            <v>Carrosserie</v>
          </cell>
          <cell r="V393" t="str">
            <v>Csst</v>
          </cell>
          <cell r="W393" t="str">
            <v>$</v>
          </cell>
          <cell r="X393">
            <v>0</v>
          </cell>
        </row>
        <row r="394">
          <cell r="O394">
            <v>1444.92</v>
          </cell>
          <cell r="U394" t="str">
            <v>Carrosserie</v>
          </cell>
          <cell r="V394" t="str">
            <v>Déduction à la source</v>
          </cell>
          <cell r="W394" t="str">
            <v>$</v>
          </cell>
          <cell r="X394">
            <v>0</v>
          </cell>
        </row>
        <row r="395">
          <cell r="O395">
            <v>164.5</v>
          </cell>
          <cell r="U395" t="str">
            <v>Carrosserie</v>
          </cell>
          <cell r="V395" t="str">
            <v>Bénéfices marginaux</v>
          </cell>
          <cell r="W395" t="str">
            <v>$</v>
          </cell>
          <cell r="X395">
            <v>0</v>
          </cell>
        </row>
        <row r="396">
          <cell r="O396">
            <v>-1282.04</v>
          </cell>
          <cell r="U396" t="str">
            <v>Carrosserie</v>
          </cell>
          <cell r="V396" t="str">
            <v>Bénéfices marginaux</v>
          </cell>
          <cell r="W396" t="str">
            <v>$</v>
          </cell>
          <cell r="X396">
            <v>0</v>
          </cell>
        </row>
        <row r="397">
          <cell r="O397">
            <v>0</v>
          </cell>
          <cell r="U397" t="str">
            <v>Service</v>
          </cell>
          <cell r="V397" t="str">
            <v>Service gratuit 2</v>
          </cell>
          <cell r="W397" t="str">
            <v>$</v>
          </cell>
          <cell r="X397">
            <v>0</v>
          </cell>
        </row>
        <row r="398">
          <cell r="O398">
            <v>0</v>
          </cell>
          <cell r="U398" t="str">
            <v>Carrosserie</v>
          </cell>
          <cell r="V398" t="str">
            <v>Fournitures autres</v>
          </cell>
          <cell r="W398" t="str">
            <v>$</v>
          </cell>
          <cell r="X398">
            <v>0</v>
          </cell>
        </row>
        <row r="399">
          <cell r="O399">
            <v>155.99</v>
          </cell>
          <cell r="U399" t="str">
            <v>Carrosserie</v>
          </cell>
          <cell r="V399" t="str">
            <v>Formation</v>
          </cell>
          <cell r="W399" t="str">
            <v>$</v>
          </cell>
          <cell r="X399">
            <v>0</v>
          </cell>
        </row>
        <row r="400">
          <cell r="O400">
            <v>327.31</v>
          </cell>
          <cell r="U400" t="str">
            <v>Carrosserie</v>
          </cell>
          <cell r="V400" t="str">
            <v>Frais véhicules de cie</v>
          </cell>
          <cell r="W400" t="str">
            <v>$</v>
          </cell>
          <cell r="X400">
            <v>0</v>
          </cell>
        </row>
        <row r="401">
          <cell r="O401">
            <v>8.8000000000000007</v>
          </cell>
          <cell r="U401" t="str">
            <v>Carrosserie</v>
          </cell>
          <cell r="V401" t="str">
            <v>Frais postaux</v>
          </cell>
          <cell r="W401" t="str">
            <v>$</v>
          </cell>
          <cell r="X401">
            <v>0</v>
          </cell>
        </row>
        <row r="402">
          <cell r="O402">
            <v>1468.27</v>
          </cell>
          <cell r="U402" t="str">
            <v>Carrosserie</v>
          </cell>
          <cell r="V402" t="str">
            <v>Informatique</v>
          </cell>
          <cell r="W402" t="str">
            <v>$</v>
          </cell>
          <cell r="X402">
            <v>0</v>
          </cell>
        </row>
        <row r="403">
          <cell r="O403">
            <v>276.14</v>
          </cell>
          <cell r="U403" t="str">
            <v>Carrosserie</v>
          </cell>
          <cell r="V403" t="str">
            <v>Papeterie</v>
          </cell>
          <cell r="W403" t="str">
            <v>$</v>
          </cell>
          <cell r="X403">
            <v>0</v>
          </cell>
        </row>
        <row r="404">
          <cell r="O404">
            <v>26.78</v>
          </cell>
          <cell r="U404" t="str">
            <v>Carrosserie</v>
          </cell>
          <cell r="V404" t="str">
            <v>Téléphone</v>
          </cell>
          <cell r="W404" t="str">
            <v>$</v>
          </cell>
          <cell r="X404">
            <v>0</v>
          </cell>
        </row>
        <row r="405">
          <cell r="O405">
            <v>97.74</v>
          </cell>
          <cell r="U405" t="str">
            <v>Carrosserie</v>
          </cell>
          <cell r="V405" t="str">
            <v>Divers</v>
          </cell>
          <cell r="W405" t="str">
            <v>$</v>
          </cell>
          <cell r="X405">
            <v>0</v>
          </cell>
        </row>
        <row r="406">
          <cell r="O406">
            <v>409.31</v>
          </cell>
          <cell r="U406" t="str">
            <v>Carrosserie</v>
          </cell>
          <cell r="V406" t="str">
            <v>Frais de déplacement</v>
          </cell>
          <cell r="W406" t="str">
            <v>$</v>
          </cell>
          <cell r="X406">
            <v>0</v>
          </cell>
        </row>
        <row r="407">
          <cell r="O407">
            <v>375.98</v>
          </cell>
          <cell r="U407" t="str">
            <v>Carrosserie</v>
          </cell>
          <cell r="V407" t="str">
            <v>Frais bancaires</v>
          </cell>
          <cell r="W407" t="str">
            <v>$</v>
          </cell>
          <cell r="X407">
            <v>0</v>
          </cell>
        </row>
        <row r="408">
          <cell r="O408">
            <v>820.44</v>
          </cell>
          <cell r="U408" t="str">
            <v>Carrosserie</v>
          </cell>
          <cell r="V408" t="str">
            <v>Services extérieurs</v>
          </cell>
          <cell r="W408" t="str">
            <v>$</v>
          </cell>
          <cell r="X408">
            <v>0</v>
          </cell>
        </row>
        <row r="409">
          <cell r="O409">
            <v>2425.36</v>
          </cell>
          <cell r="U409" t="str">
            <v>Carrosserie</v>
          </cell>
          <cell r="V409" t="str">
            <v>Amortissement</v>
          </cell>
          <cell r="W409" t="str">
            <v>$</v>
          </cell>
          <cell r="X409">
            <v>0</v>
          </cell>
        </row>
        <row r="410">
          <cell r="O410">
            <v>299</v>
          </cell>
          <cell r="U410" t="str">
            <v>Carrosserie</v>
          </cell>
          <cell r="V410" t="str">
            <v>Chauffage, éclairage</v>
          </cell>
          <cell r="W410" t="str">
            <v>$</v>
          </cell>
          <cell r="X410">
            <v>0</v>
          </cell>
        </row>
        <row r="411">
          <cell r="O411">
            <v>2520</v>
          </cell>
          <cell r="U411" t="str">
            <v>Carrosserie</v>
          </cell>
          <cell r="V411" t="str">
            <v>Loyer</v>
          </cell>
          <cell r="W411" t="str">
            <v>$</v>
          </cell>
          <cell r="X411">
            <v>0</v>
          </cell>
        </row>
        <row r="412">
          <cell r="O412">
            <v>272.52</v>
          </cell>
          <cell r="U412" t="str">
            <v>Carrosserie</v>
          </cell>
          <cell r="V412" t="str">
            <v>Assurances</v>
          </cell>
          <cell r="W412" t="str">
            <v>$</v>
          </cell>
          <cell r="X412">
            <v>0</v>
          </cell>
        </row>
        <row r="413">
          <cell r="O413">
            <v>362.39</v>
          </cell>
          <cell r="U413" t="str">
            <v>Carrosserie</v>
          </cell>
          <cell r="V413" t="str">
            <v>Taxes foncières</v>
          </cell>
          <cell r="W413" t="str">
            <v>$</v>
          </cell>
          <cell r="X413">
            <v>0</v>
          </cell>
        </row>
        <row r="414">
          <cell r="O414">
            <v>241.15</v>
          </cell>
          <cell r="U414" t="str">
            <v>Carrosserie</v>
          </cell>
          <cell r="V414" t="str">
            <v>Taxes d`affaires</v>
          </cell>
          <cell r="W414" t="str">
            <v>$</v>
          </cell>
          <cell r="X414">
            <v>0</v>
          </cell>
        </row>
        <row r="415">
          <cell r="O415">
            <v>513.96</v>
          </cell>
          <cell r="U415" t="str">
            <v>Carrosserie</v>
          </cell>
          <cell r="V415" t="str">
            <v>Honoraires</v>
          </cell>
          <cell r="W415" t="str">
            <v>$</v>
          </cell>
          <cell r="X415">
            <v>0</v>
          </cell>
        </row>
        <row r="416">
          <cell r="O416">
            <v>666.15</v>
          </cell>
          <cell r="U416" t="str">
            <v>Pièces</v>
          </cell>
          <cell r="V416" t="str">
            <v>Service gratuit 2</v>
          </cell>
          <cell r="W416" t="str">
            <v>$</v>
          </cell>
          <cell r="X416">
            <v>0</v>
          </cell>
        </row>
        <row r="417">
          <cell r="O417">
            <v>0</v>
          </cell>
          <cell r="U417" t="str">
            <v>Pièces</v>
          </cell>
          <cell r="V417" t="str">
            <v>Service gratuit 2</v>
          </cell>
          <cell r="W417" t="str">
            <v>$</v>
          </cell>
          <cell r="X417">
            <v>0</v>
          </cell>
        </row>
        <row r="418">
          <cell r="O418">
            <v>3939.83</v>
          </cell>
          <cell r="U418" t="str">
            <v>Pièces</v>
          </cell>
          <cell r="V418" t="str">
            <v>Publicité 2</v>
          </cell>
          <cell r="W418" t="str">
            <v>$</v>
          </cell>
          <cell r="X418">
            <v>0</v>
          </cell>
        </row>
        <row r="419">
          <cell r="O419">
            <v>3709.67</v>
          </cell>
          <cell r="U419" t="str">
            <v>Pièces</v>
          </cell>
          <cell r="V419" t="str">
            <v>Salaires propriétaire</v>
          </cell>
          <cell r="W419" t="str">
            <v>$</v>
          </cell>
          <cell r="X419">
            <v>0</v>
          </cell>
        </row>
        <row r="420">
          <cell r="O420">
            <v>8668.85</v>
          </cell>
          <cell r="U420" t="str">
            <v>Pièces</v>
          </cell>
          <cell r="V420" t="str">
            <v>Salaires cadres</v>
          </cell>
          <cell r="W420" t="str">
            <v>$</v>
          </cell>
          <cell r="X420">
            <v>0</v>
          </cell>
        </row>
        <row r="421">
          <cell r="O421">
            <v>33164.269999999997</v>
          </cell>
          <cell r="U421" t="str">
            <v>Pièces</v>
          </cell>
          <cell r="V421" t="str">
            <v>Salaires commis</v>
          </cell>
          <cell r="W421" t="str">
            <v>$</v>
          </cell>
          <cell r="X421">
            <v>0</v>
          </cell>
        </row>
        <row r="422">
          <cell r="O422">
            <v>113.92</v>
          </cell>
          <cell r="U422" t="str">
            <v>Pièces</v>
          </cell>
          <cell r="V422" t="str">
            <v>Salaires autres</v>
          </cell>
          <cell r="W422" t="str">
            <v>$</v>
          </cell>
          <cell r="X422">
            <v>0</v>
          </cell>
        </row>
        <row r="423">
          <cell r="O423">
            <v>2955.12</v>
          </cell>
          <cell r="U423" t="str">
            <v>Pièces</v>
          </cell>
          <cell r="V423" t="str">
            <v>Salaires en absences</v>
          </cell>
          <cell r="W423" t="str">
            <v>$</v>
          </cell>
          <cell r="X423">
            <v>0</v>
          </cell>
        </row>
        <row r="424">
          <cell r="O424">
            <v>891.5</v>
          </cell>
          <cell r="U424" t="str">
            <v>Pièces</v>
          </cell>
          <cell r="V424" t="str">
            <v>Csst</v>
          </cell>
          <cell r="W424" t="str">
            <v>$</v>
          </cell>
          <cell r="X424">
            <v>0</v>
          </cell>
        </row>
        <row r="425">
          <cell r="O425">
            <v>6081.45</v>
          </cell>
          <cell r="U425" t="str">
            <v>Pièces</v>
          </cell>
          <cell r="V425" t="str">
            <v>Déduction à la source</v>
          </cell>
          <cell r="W425" t="str">
            <v>$</v>
          </cell>
          <cell r="X425">
            <v>0</v>
          </cell>
        </row>
        <row r="426">
          <cell r="O426">
            <v>821.57</v>
          </cell>
          <cell r="U426" t="str">
            <v>Pièces</v>
          </cell>
          <cell r="V426" t="str">
            <v>Déduction à la source</v>
          </cell>
          <cell r="W426" t="str">
            <v>$</v>
          </cell>
          <cell r="X426">
            <v>0</v>
          </cell>
        </row>
        <row r="427">
          <cell r="O427">
            <v>-3783.47</v>
          </cell>
          <cell r="U427" t="str">
            <v>Pièces</v>
          </cell>
          <cell r="V427" t="str">
            <v>Bénéfices marginaux</v>
          </cell>
          <cell r="W427" t="str">
            <v>$</v>
          </cell>
          <cell r="X427">
            <v>0</v>
          </cell>
        </row>
        <row r="428">
          <cell r="O428">
            <v>129.94999999999999</v>
          </cell>
          <cell r="U428" t="str">
            <v>Pièces</v>
          </cell>
          <cell r="V428" t="str">
            <v>Fournitures autres</v>
          </cell>
          <cell r="W428" t="str">
            <v>$</v>
          </cell>
          <cell r="X428">
            <v>0</v>
          </cell>
        </row>
        <row r="429">
          <cell r="O429">
            <v>240</v>
          </cell>
          <cell r="U429" t="str">
            <v>Pièces</v>
          </cell>
          <cell r="V429" t="str">
            <v>Uniformes</v>
          </cell>
          <cell r="W429" t="str">
            <v>$</v>
          </cell>
          <cell r="X429">
            <v>0</v>
          </cell>
        </row>
        <row r="430">
          <cell r="O430">
            <v>557.11</v>
          </cell>
          <cell r="U430" t="str">
            <v>Pièces</v>
          </cell>
          <cell r="V430" t="str">
            <v>Formation</v>
          </cell>
          <cell r="W430" t="str">
            <v>$</v>
          </cell>
          <cell r="X430">
            <v>0</v>
          </cell>
        </row>
        <row r="431">
          <cell r="O431">
            <v>1351.28</v>
          </cell>
          <cell r="U431" t="str">
            <v>Pièces</v>
          </cell>
          <cell r="V431" t="str">
            <v>Frais véhicules de cie</v>
          </cell>
          <cell r="W431" t="str">
            <v>$</v>
          </cell>
          <cell r="X431">
            <v>0</v>
          </cell>
        </row>
        <row r="432">
          <cell r="O432">
            <v>-148.9</v>
          </cell>
          <cell r="U432" t="str">
            <v>Pièces</v>
          </cell>
          <cell r="V432" t="str">
            <v>Frais postaux</v>
          </cell>
          <cell r="W432" t="str">
            <v>$</v>
          </cell>
          <cell r="X432">
            <v>0</v>
          </cell>
        </row>
        <row r="433">
          <cell r="O433">
            <v>4553.7700000000004</v>
          </cell>
          <cell r="U433" t="str">
            <v>Pièces</v>
          </cell>
          <cell r="V433" t="str">
            <v>Informatique</v>
          </cell>
          <cell r="W433" t="str">
            <v>$</v>
          </cell>
          <cell r="X433">
            <v>0</v>
          </cell>
        </row>
        <row r="434">
          <cell r="O434">
            <v>986.2</v>
          </cell>
          <cell r="U434" t="str">
            <v>Pièces</v>
          </cell>
          <cell r="V434" t="str">
            <v>Papeterie</v>
          </cell>
          <cell r="W434" t="str">
            <v>$</v>
          </cell>
          <cell r="X434">
            <v>0</v>
          </cell>
        </row>
        <row r="435">
          <cell r="O435">
            <v>95.55</v>
          </cell>
          <cell r="U435" t="str">
            <v>Pièces</v>
          </cell>
          <cell r="V435" t="str">
            <v>Téléphone</v>
          </cell>
          <cell r="W435" t="str">
            <v>$</v>
          </cell>
          <cell r="X435">
            <v>0</v>
          </cell>
        </row>
        <row r="436">
          <cell r="O436">
            <v>349.07</v>
          </cell>
          <cell r="U436" t="str">
            <v>Pièces</v>
          </cell>
          <cell r="V436" t="str">
            <v>Divers</v>
          </cell>
          <cell r="W436" t="str">
            <v>$</v>
          </cell>
          <cell r="X436">
            <v>0</v>
          </cell>
        </row>
        <row r="437">
          <cell r="O437">
            <v>1461.86</v>
          </cell>
          <cell r="U437" t="str">
            <v>Pièces</v>
          </cell>
          <cell r="V437" t="str">
            <v>Frais de déplacement</v>
          </cell>
          <cell r="W437" t="str">
            <v>$</v>
          </cell>
          <cell r="X437">
            <v>0</v>
          </cell>
        </row>
        <row r="438">
          <cell r="O438">
            <v>3033.34</v>
          </cell>
          <cell r="U438" t="str">
            <v>Pièces</v>
          </cell>
          <cell r="V438" t="str">
            <v>Frais bancaires</v>
          </cell>
          <cell r="W438" t="str">
            <v>$</v>
          </cell>
          <cell r="X438">
            <v>0</v>
          </cell>
        </row>
        <row r="439">
          <cell r="O439">
            <v>7700</v>
          </cell>
          <cell r="U439" t="str">
            <v>Pièces</v>
          </cell>
          <cell r="V439" t="str">
            <v>Services extérieurs</v>
          </cell>
          <cell r="W439" t="str">
            <v>$</v>
          </cell>
          <cell r="X439">
            <v>0</v>
          </cell>
        </row>
        <row r="440">
          <cell r="O440">
            <v>3443.02</v>
          </cell>
          <cell r="U440" t="str">
            <v>Pièces</v>
          </cell>
          <cell r="V440" t="str">
            <v>Services extérieurs</v>
          </cell>
          <cell r="W440" t="str">
            <v>$</v>
          </cell>
          <cell r="X440">
            <v>0</v>
          </cell>
        </row>
        <row r="441">
          <cell r="O441">
            <v>8662</v>
          </cell>
          <cell r="U441" t="str">
            <v>Pièces</v>
          </cell>
          <cell r="V441" t="str">
            <v>Amortissement</v>
          </cell>
          <cell r="W441" t="str">
            <v>$</v>
          </cell>
          <cell r="X441">
            <v>0</v>
          </cell>
        </row>
        <row r="442">
          <cell r="O442">
            <v>1067.8800000000001</v>
          </cell>
          <cell r="U442" t="str">
            <v>Pièces</v>
          </cell>
          <cell r="V442" t="str">
            <v>Chauffage, éclairage</v>
          </cell>
          <cell r="W442" t="str">
            <v>$</v>
          </cell>
          <cell r="X442">
            <v>0</v>
          </cell>
        </row>
        <row r="443">
          <cell r="O443">
            <v>9000</v>
          </cell>
          <cell r="U443" t="str">
            <v>Pièces</v>
          </cell>
          <cell r="V443" t="str">
            <v>Loyer</v>
          </cell>
          <cell r="W443" t="str">
            <v>$</v>
          </cell>
          <cell r="X443">
            <v>0</v>
          </cell>
        </row>
        <row r="444">
          <cell r="O444">
            <v>973.26</v>
          </cell>
          <cell r="U444" t="str">
            <v>Pièces</v>
          </cell>
          <cell r="V444" t="str">
            <v>Assurances</v>
          </cell>
          <cell r="W444" t="str">
            <v>$</v>
          </cell>
          <cell r="X444">
            <v>0</v>
          </cell>
        </row>
        <row r="445">
          <cell r="O445">
            <v>1294.25</v>
          </cell>
          <cell r="U445" t="str">
            <v>Pièces</v>
          </cell>
          <cell r="V445" t="str">
            <v>Taxes foncières</v>
          </cell>
          <cell r="W445" t="str">
            <v>$</v>
          </cell>
          <cell r="X445">
            <v>0</v>
          </cell>
        </row>
        <row r="446">
          <cell r="O446">
            <v>861.25</v>
          </cell>
          <cell r="U446" t="str">
            <v>Pièces</v>
          </cell>
          <cell r="V446" t="str">
            <v>Taxes d`affaires</v>
          </cell>
          <cell r="W446" t="str">
            <v>$</v>
          </cell>
          <cell r="X446">
            <v>0</v>
          </cell>
        </row>
        <row r="447">
          <cell r="O447">
            <v>1835.56</v>
          </cell>
          <cell r="U447" t="str">
            <v>Pièces</v>
          </cell>
          <cell r="V447" t="str">
            <v>Honoraires</v>
          </cell>
          <cell r="W447" t="str">
            <v>$</v>
          </cell>
          <cell r="X447">
            <v>0</v>
          </cell>
        </row>
        <row r="448">
          <cell r="O448">
            <v>-55120</v>
          </cell>
          <cell r="U448" t="str">
            <v>Véhicules neufs</v>
          </cell>
          <cell r="V448" t="str">
            <v>Holdbacks</v>
          </cell>
          <cell r="W448" t="str">
            <v>$</v>
          </cell>
          <cell r="X448">
            <v>0</v>
          </cell>
        </row>
        <row r="449">
          <cell r="O449">
            <v>-17220.59</v>
          </cell>
          <cell r="U449" t="str">
            <v>Pièces</v>
          </cell>
          <cell r="V449" t="str">
            <v>Escomptes</v>
          </cell>
          <cell r="W449" t="str">
            <v>$</v>
          </cell>
          <cell r="X449">
            <v>0</v>
          </cell>
        </row>
        <row r="450">
          <cell r="O450">
            <v>-12500</v>
          </cell>
          <cell r="U450" t="str">
            <v>Véhicules neufs</v>
          </cell>
          <cell r="V450" t="str">
            <v>Programme neuf 1</v>
          </cell>
          <cell r="W450" t="str">
            <v>$</v>
          </cell>
          <cell r="X450">
            <v>0</v>
          </cell>
        </row>
        <row r="451">
          <cell r="O451">
            <v>0</v>
          </cell>
          <cell r="U451" t="str">
            <v>Véhicules neufs</v>
          </cell>
          <cell r="V451" t="str">
            <v>Rev. Finances</v>
          </cell>
          <cell r="W451" t="str">
            <v>$</v>
          </cell>
          <cell r="X451" t="str">
            <v>Oui</v>
          </cell>
        </row>
        <row r="452">
          <cell r="O452">
            <v>-9925.9</v>
          </cell>
          <cell r="U452" t="str">
            <v>Véhicules usagés</v>
          </cell>
          <cell r="V452" t="str">
            <v>Rev. Finances</v>
          </cell>
          <cell r="W452" t="str">
            <v>$</v>
          </cell>
          <cell r="X452" t="str">
            <v>Oui</v>
          </cell>
        </row>
        <row r="453">
          <cell r="O453">
            <v>-645.16</v>
          </cell>
          <cell r="U453" t="str">
            <v>Véhicules neufs</v>
          </cell>
          <cell r="V453" t="str">
            <v>Rev. Autres</v>
          </cell>
          <cell r="W453" t="str">
            <v>$</v>
          </cell>
          <cell r="X453" t="str">
            <v>Oui</v>
          </cell>
        </row>
        <row r="454">
          <cell r="O454">
            <v>-560.39</v>
          </cell>
          <cell r="U454" t="str">
            <v>Véhicules usagés</v>
          </cell>
          <cell r="V454" t="str">
            <v>Rev. Autres</v>
          </cell>
          <cell r="W454" t="str">
            <v>$</v>
          </cell>
          <cell r="X454" t="str">
            <v>Oui</v>
          </cell>
        </row>
        <row r="455">
          <cell r="O455">
            <v>-11594</v>
          </cell>
          <cell r="U455" t="str">
            <v>Véhicules neufs</v>
          </cell>
          <cell r="V455" t="str">
            <v>Rev. Protections</v>
          </cell>
          <cell r="W455" t="str">
            <v>$</v>
          </cell>
          <cell r="X455" t="str">
            <v>Oui</v>
          </cell>
        </row>
        <row r="456">
          <cell r="O456">
            <v>-27034.6</v>
          </cell>
          <cell r="U456" t="str">
            <v>Véhicules neufs</v>
          </cell>
          <cell r="V456" t="str">
            <v>Rev. Protections</v>
          </cell>
          <cell r="W456" t="str">
            <v>$</v>
          </cell>
          <cell r="X456" t="str">
            <v>Oui</v>
          </cell>
        </row>
        <row r="457">
          <cell r="O457">
            <v>-25717</v>
          </cell>
          <cell r="U457" t="str">
            <v>Véhicules usagés</v>
          </cell>
          <cell r="V457" t="str">
            <v>Rev. Protections</v>
          </cell>
          <cell r="W457" t="str">
            <v>$</v>
          </cell>
          <cell r="X457" t="str">
            <v>Oui</v>
          </cell>
        </row>
        <row r="458">
          <cell r="O458">
            <v>-17420.02</v>
          </cell>
          <cell r="U458" t="str">
            <v>Véhicules usagés</v>
          </cell>
          <cell r="V458" t="str">
            <v>Rev. Protections</v>
          </cell>
          <cell r="W458" t="str">
            <v>$</v>
          </cell>
          <cell r="X458" t="str">
            <v>Oui</v>
          </cell>
        </row>
        <row r="459">
          <cell r="O459">
            <v>-16782</v>
          </cell>
          <cell r="U459" t="str">
            <v>Véhicules neufs</v>
          </cell>
          <cell r="V459" t="str">
            <v>Frais administration</v>
          </cell>
          <cell r="W459" t="str">
            <v>$</v>
          </cell>
          <cell r="X459">
            <v>0</v>
          </cell>
        </row>
        <row r="460">
          <cell r="O460">
            <v>-15069</v>
          </cell>
          <cell r="U460" t="str">
            <v>Véhicules usagés</v>
          </cell>
          <cell r="V460" t="str">
            <v>Frais administration</v>
          </cell>
          <cell r="W460" t="str">
            <v>$</v>
          </cell>
          <cell r="X460">
            <v>0</v>
          </cell>
        </row>
        <row r="461">
          <cell r="O461">
            <v>-52.79</v>
          </cell>
          <cell r="U461" t="str">
            <v>TOTAL  DES  REVENUS  ET  DÉPENSES</v>
          </cell>
          <cell r="V461" t="str">
            <v>Revenus autres</v>
          </cell>
          <cell r="W461" t="str">
            <v>$</v>
          </cell>
          <cell r="X461">
            <v>0</v>
          </cell>
        </row>
        <row r="462">
          <cell r="O462">
            <v>0</v>
          </cell>
          <cell r="U462" t="str">
            <v>TOTAL  DES  REVENUS  ET  DÉPENSES</v>
          </cell>
          <cell r="V462" t="str">
            <v>Intérêts sur prêt</v>
          </cell>
          <cell r="W462" t="str">
            <v>$</v>
          </cell>
          <cell r="X462">
            <v>0</v>
          </cell>
        </row>
        <row r="463">
          <cell r="O463">
            <v>-1488.59</v>
          </cell>
          <cell r="U463" t="str">
            <v>Autres</v>
          </cell>
          <cell r="V463" t="str">
            <v>Revenus d'intérêts floor plan</v>
          </cell>
          <cell r="W463" t="str">
            <v>$</v>
          </cell>
          <cell r="X463">
            <v>0</v>
          </cell>
        </row>
        <row r="464">
          <cell r="O464">
            <v>-2</v>
          </cell>
          <cell r="U464" t="str">
            <v>Véhicules usagés</v>
          </cell>
          <cell r="V464">
            <v>0</v>
          </cell>
          <cell r="W464" t="str">
            <v>NB</v>
          </cell>
          <cell r="X464">
            <v>0</v>
          </cell>
        </row>
        <row r="465">
          <cell r="O465">
            <v>-10</v>
          </cell>
          <cell r="U465">
            <v>0</v>
          </cell>
          <cell r="V465">
            <v>0</v>
          </cell>
          <cell r="W465" t="str">
            <v>NB</v>
          </cell>
          <cell r="X465">
            <v>0</v>
          </cell>
        </row>
        <row r="466">
          <cell r="O466">
            <v>-18</v>
          </cell>
          <cell r="U466" t="str">
            <v>Véhicules usagés</v>
          </cell>
          <cell r="V466">
            <v>0</v>
          </cell>
          <cell r="W466" t="str">
            <v>NB</v>
          </cell>
          <cell r="X466">
            <v>0</v>
          </cell>
        </row>
        <row r="467">
          <cell r="O467">
            <v>-6</v>
          </cell>
          <cell r="U467" t="str">
            <v>Bilan</v>
          </cell>
          <cell r="V467">
            <v>0</v>
          </cell>
          <cell r="W467" t="str">
            <v>NB</v>
          </cell>
          <cell r="X467">
            <v>0</v>
          </cell>
        </row>
        <row r="468">
          <cell r="O468">
            <v>-8</v>
          </cell>
          <cell r="U468" t="str">
            <v>Bilan</v>
          </cell>
          <cell r="V468">
            <v>0</v>
          </cell>
          <cell r="W468" t="str">
            <v>NB</v>
          </cell>
          <cell r="X468">
            <v>0</v>
          </cell>
        </row>
        <row r="469">
          <cell r="O469">
            <v>-14</v>
          </cell>
          <cell r="U469" t="str">
            <v>Véhicules neufs</v>
          </cell>
          <cell r="V469" t="str">
            <v>Rachat bail</v>
          </cell>
          <cell r="W469" t="str">
            <v>NB</v>
          </cell>
          <cell r="X469">
            <v>0</v>
          </cell>
        </row>
        <row r="470">
          <cell r="O470">
            <v>-1</v>
          </cell>
          <cell r="U470" t="str">
            <v>Véhicules neufs</v>
          </cell>
          <cell r="V470" t="str">
            <v>Autos détail</v>
          </cell>
          <cell r="W470" t="str">
            <v>NB</v>
          </cell>
          <cell r="X470">
            <v>0</v>
          </cell>
        </row>
        <row r="471">
          <cell r="O471">
            <v>-5</v>
          </cell>
          <cell r="U471" t="str">
            <v>Véhicules neufs</v>
          </cell>
          <cell r="V471" t="str">
            <v>Autos détail</v>
          </cell>
          <cell r="W471" t="str">
            <v>NB</v>
          </cell>
          <cell r="X471">
            <v>0</v>
          </cell>
        </row>
        <row r="472">
          <cell r="O472">
            <v>-14</v>
          </cell>
          <cell r="U472" t="str">
            <v>Véhicules neufs</v>
          </cell>
          <cell r="V472" t="str">
            <v>Camions détail</v>
          </cell>
          <cell r="W472" t="str">
            <v>NB</v>
          </cell>
          <cell r="X472">
            <v>0</v>
          </cell>
        </row>
        <row r="473">
          <cell r="O473">
            <v>-6</v>
          </cell>
          <cell r="U473" t="str">
            <v>Véhicules neufs</v>
          </cell>
          <cell r="V473" t="str">
            <v>Camions détail</v>
          </cell>
          <cell r="W473" t="str">
            <v>NB</v>
          </cell>
          <cell r="X473">
            <v>0</v>
          </cell>
        </row>
        <row r="474">
          <cell r="O474">
            <v>-1</v>
          </cell>
          <cell r="U474" t="str">
            <v>Véhicules neufs</v>
          </cell>
          <cell r="V474" t="str">
            <v>Camions détail</v>
          </cell>
          <cell r="W474" t="str">
            <v>NB</v>
          </cell>
          <cell r="X474">
            <v>0</v>
          </cell>
        </row>
        <row r="475">
          <cell r="O475">
            <v>-2</v>
          </cell>
          <cell r="U475" t="str">
            <v>Véhicules neufs</v>
          </cell>
          <cell r="V475" t="str">
            <v>Autos détail</v>
          </cell>
          <cell r="W475" t="str">
            <v>NB</v>
          </cell>
          <cell r="X475">
            <v>0</v>
          </cell>
        </row>
        <row r="476">
          <cell r="O476">
            <v>-6</v>
          </cell>
          <cell r="U476" t="str">
            <v>Véhicules neufs</v>
          </cell>
          <cell r="V476" t="str">
            <v>Camions détail</v>
          </cell>
          <cell r="W476" t="str">
            <v>NB</v>
          </cell>
          <cell r="X476">
            <v>0</v>
          </cell>
        </row>
        <row r="477">
          <cell r="O477">
            <v>-3</v>
          </cell>
          <cell r="U477" t="str">
            <v>Véhicules neufs</v>
          </cell>
          <cell r="V477" t="str">
            <v>Flottes</v>
          </cell>
          <cell r="W477" t="str">
            <v>NB</v>
          </cell>
          <cell r="X477">
            <v>0</v>
          </cell>
        </row>
        <row r="478">
          <cell r="O478">
            <v>-2</v>
          </cell>
          <cell r="U478" t="str">
            <v>Véhicules neufs</v>
          </cell>
          <cell r="V478" t="str">
            <v>Ex-Démos et courtoisies</v>
          </cell>
          <cell r="W478" t="str">
            <v>NB</v>
          </cell>
          <cell r="X478">
            <v>0</v>
          </cell>
        </row>
        <row r="479">
          <cell r="O479">
            <v>0</v>
          </cell>
          <cell r="U479" t="str">
            <v>Véhicules neufs</v>
          </cell>
          <cell r="V479" t="str">
            <v>Camions détail</v>
          </cell>
          <cell r="W479" t="str">
            <v>NB</v>
          </cell>
          <cell r="X479">
            <v>0</v>
          </cell>
        </row>
        <row r="480">
          <cell r="O480">
            <v>0</v>
          </cell>
          <cell r="U480" t="str">
            <v>Véhicules neufs</v>
          </cell>
          <cell r="V480" t="str">
            <v>Autos détail</v>
          </cell>
          <cell r="W480" t="str">
            <v>NB</v>
          </cell>
          <cell r="X480">
            <v>0</v>
          </cell>
        </row>
        <row r="481">
          <cell r="O481">
            <v>-30</v>
          </cell>
          <cell r="U481" t="str">
            <v>Véhicules usagés</v>
          </cell>
          <cell r="V481" t="str">
            <v>Certifié</v>
          </cell>
          <cell r="W481" t="str">
            <v>NB</v>
          </cell>
          <cell r="X481">
            <v>0</v>
          </cell>
        </row>
        <row r="482">
          <cell r="O482">
            <v>-2</v>
          </cell>
          <cell r="U482" t="str">
            <v>Véhicules usagés</v>
          </cell>
          <cell r="V482" t="str">
            <v>Non Certifié</v>
          </cell>
          <cell r="W482" t="str">
            <v>NB</v>
          </cell>
          <cell r="X482">
            <v>0</v>
          </cell>
        </row>
        <row r="483">
          <cell r="O483">
            <v>-3</v>
          </cell>
          <cell r="U483" t="str">
            <v>Véhicules usagés</v>
          </cell>
          <cell r="V483" t="str">
            <v>Autres Marques</v>
          </cell>
          <cell r="W483" t="str">
            <v>NB</v>
          </cell>
          <cell r="X483">
            <v>0</v>
          </cell>
        </row>
        <row r="484">
          <cell r="O484">
            <v>-19</v>
          </cell>
          <cell r="U484" t="str">
            <v>Véhicules usagés</v>
          </cell>
          <cell r="V484" t="str">
            <v>Ventes au Gros</v>
          </cell>
          <cell r="W484" t="str">
            <v>NB</v>
          </cell>
          <cell r="X484">
            <v>0</v>
          </cell>
        </row>
        <row r="485">
          <cell r="O485">
            <v>-965</v>
          </cell>
          <cell r="U485" t="str">
            <v>Service</v>
          </cell>
          <cell r="V485" t="str">
            <v>M/O Client</v>
          </cell>
          <cell r="W485" t="str">
            <v>NB</v>
          </cell>
          <cell r="X485">
            <v>0</v>
          </cell>
        </row>
        <row r="486">
          <cell r="O486">
            <v>-155</v>
          </cell>
          <cell r="U486" t="str">
            <v>Service</v>
          </cell>
          <cell r="V486" t="str">
            <v>M/O Garantie</v>
          </cell>
          <cell r="W486" t="str">
            <v>NB</v>
          </cell>
          <cell r="X486">
            <v>0</v>
          </cell>
        </row>
        <row r="487">
          <cell r="O487">
            <v>-285</v>
          </cell>
          <cell r="U487" t="str">
            <v>Service</v>
          </cell>
          <cell r="V487" t="str">
            <v>M/O Interne</v>
          </cell>
          <cell r="W487" t="str">
            <v>NB</v>
          </cell>
          <cell r="X487">
            <v>0</v>
          </cell>
        </row>
        <row r="488">
          <cell r="O488">
            <v>-563</v>
          </cell>
          <cell r="U488" t="str">
            <v>Pièces</v>
          </cell>
          <cell r="V488" t="str">
            <v>Huiles et Graisse</v>
          </cell>
          <cell r="W488" t="str">
            <v>NB</v>
          </cell>
          <cell r="X488">
            <v>0</v>
          </cell>
        </row>
        <row r="489">
          <cell r="O489">
            <v>-59</v>
          </cell>
          <cell r="U489" t="str">
            <v>Service</v>
          </cell>
          <cell r="V489" t="str">
            <v>Sous-traitement</v>
          </cell>
          <cell r="W489" t="str">
            <v>NB</v>
          </cell>
          <cell r="X489">
            <v>0</v>
          </cell>
        </row>
        <row r="490">
          <cell r="O490">
            <v>-1</v>
          </cell>
          <cell r="U490" t="str">
            <v>Service</v>
          </cell>
          <cell r="V490" t="str">
            <v>Sous-traitement</v>
          </cell>
          <cell r="W490" t="str">
            <v>NB</v>
          </cell>
          <cell r="X490">
            <v>0</v>
          </cell>
        </row>
        <row r="491">
          <cell r="O491">
            <v>-49</v>
          </cell>
          <cell r="U491" t="str">
            <v>Service</v>
          </cell>
          <cell r="V491" t="str">
            <v>Sous-traitement</v>
          </cell>
          <cell r="W491" t="str">
            <v>NB</v>
          </cell>
          <cell r="X491">
            <v>0</v>
          </cell>
        </row>
        <row r="492">
          <cell r="O492">
            <v>-35</v>
          </cell>
          <cell r="U492" t="str">
            <v>Service</v>
          </cell>
          <cell r="V492" t="str">
            <v>M.O. Recond. MCPA</v>
          </cell>
          <cell r="W492" t="str">
            <v>NB</v>
          </cell>
          <cell r="X492">
            <v>0</v>
          </cell>
        </row>
        <row r="493">
          <cell r="O493">
            <v>-1</v>
          </cell>
          <cell r="U493" t="str">
            <v>Carrosserie</v>
          </cell>
          <cell r="V493" t="str">
            <v>M/O Sous-traitement</v>
          </cell>
          <cell r="W493" t="str">
            <v>NB</v>
          </cell>
          <cell r="X493">
            <v>0</v>
          </cell>
        </row>
        <row r="494">
          <cell r="O494">
            <v>-2</v>
          </cell>
          <cell r="U494" t="str">
            <v>Carrosserie</v>
          </cell>
          <cell r="V494" t="str">
            <v>M/O Sous-traitement</v>
          </cell>
          <cell r="W494" t="str">
            <v>NB</v>
          </cell>
          <cell r="X494">
            <v>0</v>
          </cell>
        </row>
        <row r="495">
          <cell r="O495">
            <v>0</v>
          </cell>
          <cell r="U495" t="str">
            <v>Carrosserie</v>
          </cell>
          <cell r="V495" t="str">
            <v>M/O Sous-traitement</v>
          </cell>
          <cell r="W495" t="str">
            <v>NB</v>
          </cell>
          <cell r="X495">
            <v>0</v>
          </cell>
        </row>
        <row r="496">
          <cell r="O496">
            <v>-963</v>
          </cell>
          <cell r="U496" t="str">
            <v>Pièces</v>
          </cell>
          <cell r="V496" t="str">
            <v>Pièces Ro Clients</v>
          </cell>
          <cell r="W496" t="str">
            <v>NB</v>
          </cell>
          <cell r="X496">
            <v>0</v>
          </cell>
        </row>
        <row r="497">
          <cell r="O497">
            <v>-122</v>
          </cell>
          <cell r="U497" t="str">
            <v>Pièces</v>
          </cell>
          <cell r="V497" t="str">
            <v>P/A Garantie</v>
          </cell>
          <cell r="W497" t="str">
            <v>NB</v>
          </cell>
          <cell r="X497">
            <v>0</v>
          </cell>
        </row>
        <row r="498">
          <cell r="O498">
            <v>-357</v>
          </cell>
          <cell r="U498" t="str">
            <v>Pièces</v>
          </cell>
          <cell r="V498" t="str">
            <v>Ventes Internes</v>
          </cell>
          <cell r="W498" t="str">
            <v>NB</v>
          </cell>
          <cell r="X498">
            <v>0</v>
          </cell>
        </row>
        <row r="499">
          <cell r="O499">
            <v>-289</v>
          </cell>
          <cell r="U499" t="str">
            <v>Pièces</v>
          </cell>
          <cell r="V499" t="str">
            <v>Pièces Ro Clients</v>
          </cell>
          <cell r="W499" t="str">
            <v>NB</v>
          </cell>
          <cell r="X499">
            <v>0</v>
          </cell>
        </row>
        <row r="500">
          <cell r="O500">
            <v>-1</v>
          </cell>
          <cell r="U500" t="str">
            <v>Pièces</v>
          </cell>
          <cell r="V500" t="str">
            <v>Pièces Ro Carrosserie</v>
          </cell>
          <cell r="W500" t="str">
            <v>NB</v>
          </cell>
          <cell r="X500">
            <v>0</v>
          </cell>
        </row>
        <row r="501">
          <cell r="O501">
            <v>-1</v>
          </cell>
          <cell r="U501" t="str">
            <v>Pièces</v>
          </cell>
          <cell r="V501" t="str">
            <v>Pièces Ro Carrosserie</v>
          </cell>
          <cell r="W501" t="str">
            <v>NB</v>
          </cell>
          <cell r="X501">
            <v>0</v>
          </cell>
        </row>
        <row r="502">
          <cell r="O502">
            <v>0</v>
          </cell>
          <cell r="U502" t="str">
            <v>Pièces</v>
          </cell>
          <cell r="V502" t="str">
            <v>Pièces Ro Carrosserie</v>
          </cell>
          <cell r="W502" t="str">
            <v>NB</v>
          </cell>
          <cell r="X502">
            <v>0</v>
          </cell>
        </row>
        <row r="503">
          <cell r="O503">
            <v>-199</v>
          </cell>
          <cell r="U503" t="str">
            <v>Pièces</v>
          </cell>
          <cell r="V503" t="str">
            <v>Ventes Détails</v>
          </cell>
          <cell r="W503" t="str">
            <v>NB</v>
          </cell>
          <cell r="X503">
            <v>0</v>
          </cell>
        </row>
        <row r="504">
          <cell r="O504">
            <v>-356</v>
          </cell>
          <cell r="U504" t="str">
            <v>Pièces</v>
          </cell>
          <cell r="V504" t="str">
            <v>Ventes de Gros</v>
          </cell>
          <cell r="W504" t="str">
            <v>NB</v>
          </cell>
          <cell r="X504">
            <v>0</v>
          </cell>
        </row>
        <row r="505">
          <cell r="O505">
            <v>-113</v>
          </cell>
          <cell r="U505" t="str">
            <v>Pièces</v>
          </cell>
          <cell r="V505" t="str">
            <v>Ventes Pneus</v>
          </cell>
          <cell r="W505" t="str">
            <v>NB</v>
          </cell>
          <cell r="X505">
            <v>0</v>
          </cell>
        </row>
        <row r="506">
          <cell r="O506">
            <v>0</v>
          </cell>
          <cell r="U506" t="str">
            <v>Véhicules neufs</v>
          </cell>
          <cell r="V506">
            <v>0</v>
          </cell>
          <cell r="W506" t="str">
            <v>NB</v>
          </cell>
          <cell r="X506">
            <v>0</v>
          </cell>
        </row>
        <row r="507">
          <cell r="O507">
            <v>-12</v>
          </cell>
          <cell r="U507" t="str">
            <v>Véhicules usagés</v>
          </cell>
          <cell r="V507">
            <v>0</v>
          </cell>
          <cell r="W507" t="str">
            <v>NB</v>
          </cell>
          <cell r="X507">
            <v>0</v>
          </cell>
        </row>
        <row r="508">
          <cell r="O508">
            <v>-36</v>
          </cell>
          <cell r="U508" t="str">
            <v>Véhicules neufs</v>
          </cell>
          <cell r="V508">
            <v>0</v>
          </cell>
          <cell r="W508" t="str">
            <v>NB</v>
          </cell>
          <cell r="X508">
            <v>0</v>
          </cell>
        </row>
        <row r="509">
          <cell r="O509">
            <v>-33</v>
          </cell>
          <cell r="U509" t="str">
            <v>Véhicules usagés</v>
          </cell>
          <cell r="V509">
            <v>0</v>
          </cell>
          <cell r="W509" t="str">
            <v>NB</v>
          </cell>
          <cell r="X509">
            <v>0</v>
          </cell>
        </row>
      </sheetData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20" sqref="C20"/>
    </sheetView>
  </sheetViews>
  <sheetFormatPr baseColWidth="10" defaultColWidth="11.19921875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hidden="1" customWidth="1"/>
    <col min="7" max="7" width="12.59765625" hidden="1" customWidth="1"/>
    <col min="8" max="9" width="11" hidden="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3" spans="1:17">
      <c r="B3" t="s">
        <v>213</v>
      </c>
      <c r="P3" s="150"/>
      <c r="Q3" s="151"/>
    </row>
    <row r="5" spans="1:17" s="130" customFormat="1" ht="16.5" customHeight="1"/>
    <row r="6" spans="1:17" s="130" customFormat="1" ht="16.5" customHeight="1">
      <c r="B6" s="478" t="s">
        <v>205</v>
      </c>
      <c r="C6" s="478"/>
      <c r="D6" s="478"/>
      <c r="E6" s="478"/>
      <c r="F6" s="479" t="s">
        <v>206</v>
      </c>
      <c r="G6" s="479"/>
      <c r="H6" s="479"/>
      <c r="I6" s="479"/>
      <c r="J6" s="480" t="s">
        <v>207</v>
      </c>
      <c r="K6" s="480"/>
      <c r="L6" s="480"/>
      <c r="M6" s="480"/>
      <c r="N6" s="481" t="s">
        <v>208</v>
      </c>
      <c r="O6" s="481"/>
      <c r="P6" s="481"/>
      <c r="Q6" s="481"/>
    </row>
    <row r="7" spans="1:17" s="130" customFormat="1" ht="16.5" customHeight="1">
      <c r="A7"/>
      <c r="B7" s="137" t="s">
        <v>198</v>
      </c>
      <c r="C7" s="137" t="s">
        <v>199</v>
      </c>
      <c r="D7" s="137" t="s">
        <v>200</v>
      </c>
      <c r="E7" s="137" t="s">
        <v>201</v>
      </c>
      <c r="F7" s="138" t="s">
        <v>198</v>
      </c>
      <c r="G7" s="138" t="s">
        <v>199</v>
      </c>
      <c r="H7" s="138" t="s">
        <v>200</v>
      </c>
      <c r="I7" s="138" t="s">
        <v>201</v>
      </c>
      <c r="J7" s="149" t="s">
        <v>198</v>
      </c>
      <c r="K7" s="149" t="s">
        <v>199</v>
      </c>
      <c r="L7" s="149" t="s">
        <v>200</v>
      </c>
      <c r="M7" s="149" t="s">
        <v>201</v>
      </c>
      <c r="N7" s="139" t="s">
        <v>198</v>
      </c>
      <c r="O7" s="139" t="s">
        <v>199</v>
      </c>
      <c r="P7" s="139" t="s">
        <v>200</v>
      </c>
      <c r="Q7" s="139" t="s">
        <v>201</v>
      </c>
    </row>
    <row r="8" spans="1:17" s="130" customFormat="1" ht="16.5" customHeight="1">
      <c r="A8" s="129" t="s">
        <v>204</v>
      </c>
      <c r="B8" s="140" t="e">
        <f>+B9-B10</f>
        <v>#REF!</v>
      </c>
      <c r="C8" s="140" t="e">
        <f t="shared" ref="C8:F8" si="0">+C9-C10</f>
        <v>#REF!</v>
      </c>
      <c r="D8" s="140" t="e">
        <f t="shared" si="0"/>
        <v>#REF!</v>
      </c>
      <c r="E8" s="140" t="e">
        <f t="shared" si="0"/>
        <v>#REF!</v>
      </c>
      <c r="F8" s="140" t="e">
        <f t="shared" si="0"/>
        <v>#REF!</v>
      </c>
      <c r="G8" s="140" t="e">
        <f t="shared" ref="G8" si="1">+G9-G10</f>
        <v>#REF!</v>
      </c>
      <c r="H8" s="140" t="e">
        <f t="shared" ref="H8" si="2">+H9-H10</f>
        <v>#REF!</v>
      </c>
      <c r="I8" s="140" t="e">
        <f t="shared" ref="I8:J8" si="3">+I9-I10</f>
        <v>#REF!</v>
      </c>
      <c r="J8" s="145" t="e">
        <f t="shared" si="3"/>
        <v>#REF!</v>
      </c>
      <c r="K8" s="145" t="e">
        <f t="shared" ref="K8" si="4">+K9-K10</f>
        <v>#REF!</v>
      </c>
      <c r="L8" s="145" t="e">
        <f t="shared" ref="L8" si="5">+L9-L10</f>
        <v>#REF!</v>
      </c>
      <c r="M8" s="145" t="e">
        <f t="shared" ref="M8:N8" si="6">+M9-M10</f>
        <v>#REF!</v>
      </c>
      <c r="N8" s="140" t="e">
        <f t="shared" si="6"/>
        <v>#REF!</v>
      </c>
      <c r="O8" s="140" t="e">
        <f t="shared" ref="O8" si="7">+O9-O10</f>
        <v>#REF!</v>
      </c>
      <c r="P8" s="140" t="e">
        <f>+P9-P10</f>
        <v>#REF!</v>
      </c>
      <c r="Q8" s="140" t="e">
        <f t="shared" ref="Q8" si="8">+Q9-Q10</f>
        <v>#REF!</v>
      </c>
    </row>
    <row r="9" spans="1:17" s="130" customFormat="1" ht="16.5" customHeight="1">
      <c r="A9" s="131" t="s">
        <v>202</v>
      </c>
      <c r="B9" s="133">
        <f>+Conso!$Z$405</f>
        <v>16892003.362321146</v>
      </c>
      <c r="C9" s="133">
        <f>+Conso!$Z$406</f>
        <v>2515613.3192112888</v>
      </c>
      <c r="D9" s="133">
        <f>+Conso!$Z$482</f>
        <v>825406.02885576431</v>
      </c>
      <c r="E9" s="133">
        <f>+Conso!$Z$497</f>
        <v>735461.02885576431</v>
      </c>
      <c r="F9" s="133">
        <f>+Conso!$AC$405</f>
        <v>0</v>
      </c>
      <c r="G9" s="133">
        <f>+Conso!$AC$406</f>
        <v>0</v>
      </c>
      <c r="H9" s="133">
        <f>+Conso!$AC$482</f>
        <v>0</v>
      </c>
      <c r="I9" s="133">
        <f>+Conso!$AC$497</f>
        <v>0</v>
      </c>
      <c r="J9" s="133">
        <f>+Conso!$AF$405</f>
        <v>12663799.480000002</v>
      </c>
      <c r="K9" s="133">
        <f>+Conso!$AF$406</f>
        <v>1865550.6700000002</v>
      </c>
      <c r="L9" s="133">
        <f>+Conso!$AF$482</f>
        <v>391433.22000000015</v>
      </c>
      <c r="M9" s="133">
        <f>+Conso!$AF$497</f>
        <v>281096.29000000015</v>
      </c>
      <c r="N9" s="133">
        <f>+Conso!$AL$405</f>
        <v>32561866.069999985</v>
      </c>
      <c r="O9" s="133">
        <f>+Conso!$AL$406</f>
        <v>2083377.1499999978</v>
      </c>
      <c r="P9" s="133">
        <f>+Conso!$AL$482</f>
        <v>627120.35999999836</v>
      </c>
      <c r="Q9" s="133">
        <f>+Conso!$AL$497</f>
        <v>616275.62999999837</v>
      </c>
    </row>
    <row r="10" spans="1:17" s="130" customFormat="1" ht="16.5" customHeight="1">
      <c r="A10" s="132" t="s">
        <v>203</v>
      </c>
      <c r="B10" s="144" t="e">
        <f>+SUM(B11:B13)</f>
        <v>#REF!</v>
      </c>
      <c r="C10" s="144" t="e">
        <f t="shared" ref="C10:Q10" si="9">+SUM(C11:C13)</f>
        <v>#REF!</v>
      </c>
      <c r="D10" s="144" t="e">
        <f t="shared" si="9"/>
        <v>#REF!</v>
      </c>
      <c r="E10" s="144" t="e">
        <f t="shared" si="9"/>
        <v>#REF!</v>
      </c>
      <c r="F10" s="144" t="e">
        <f t="shared" si="9"/>
        <v>#REF!</v>
      </c>
      <c r="G10" s="144" t="e">
        <f t="shared" si="9"/>
        <v>#REF!</v>
      </c>
      <c r="H10" s="144" t="e">
        <f t="shared" si="9"/>
        <v>#REF!</v>
      </c>
      <c r="I10" s="144" t="e">
        <f t="shared" si="9"/>
        <v>#REF!</v>
      </c>
      <c r="J10" s="144" t="e">
        <f t="shared" si="9"/>
        <v>#REF!</v>
      </c>
      <c r="K10" s="144" t="e">
        <f t="shared" si="9"/>
        <v>#REF!</v>
      </c>
      <c r="L10" s="144" t="e">
        <f t="shared" si="9"/>
        <v>#REF!</v>
      </c>
      <c r="M10" s="144" t="e">
        <f t="shared" si="9"/>
        <v>#REF!</v>
      </c>
      <c r="N10" s="144" t="e">
        <f t="shared" si="9"/>
        <v>#REF!</v>
      </c>
      <c r="O10" s="144" t="e">
        <f t="shared" si="9"/>
        <v>#REF!</v>
      </c>
      <c r="P10" s="144" t="e">
        <f t="shared" si="9"/>
        <v>#REF!</v>
      </c>
      <c r="Q10" s="144" t="e">
        <f t="shared" si="9"/>
        <v>#REF!</v>
      </c>
    </row>
    <row r="11" spans="1:17" s="130" customFormat="1" ht="16.5" customHeight="1">
      <c r="A11" s="141" t="s">
        <v>210</v>
      </c>
      <c r="B11" s="134" t="e">
        <f>+#REF!</f>
        <v>#REF!</v>
      </c>
      <c r="C11" s="134" t="e">
        <f>+#REF!</f>
        <v>#REF!</v>
      </c>
      <c r="D11" s="134" t="e">
        <f>+#REF!</f>
        <v>#REF!</v>
      </c>
      <c r="E11" s="134" t="e">
        <f>+#REF!</f>
        <v>#REF!</v>
      </c>
      <c r="F11" s="134" t="e">
        <f>+#REF!</f>
        <v>#REF!</v>
      </c>
      <c r="G11" s="134" t="e">
        <f>+#REF!</f>
        <v>#REF!</v>
      </c>
      <c r="H11" s="134" t="e">
        <f>+#REF!</f>
        <v>#REF!</v>
      </c>
      <c r="I11" s="134" t="e">
        <f>+#REF!</f>
        <v>#REF!</v>
      </c>
      <c r="J11" s="146" t="e">
        <f>+#REF!</f>
        <v>#REF!</v>
      </c>
      <c r="K11" s="146" t="e">
        <f>+#REF!</f>
        <v>#REF!</v>
      </c>
      <c r="L11" s="146" t="e">
        <f>+#REF!</f>
        <v>#REF!</v>
      </c>
      <c r="M11" s="146" t="e">
        <f>+#REF!</f>
        <v>#REF!</v>
      </c>
      <c r="N11" s="134" t="e">
        <f>+#REF!</f>
        <v>#REF!</v>
      </c>
      <c r="O11" s="134" t="e">
        <f>+#REF!</f>
        <v>#REF!</v>
      </c>
      <c r="P11" s="134" t="e">
        <f>+#REF!</f>
        <v>#REF!</v>
      </c>
      <c r="Q11" s="134" t="e">
        <f>+#REF!</f>
        <v>#REF!</v>
      </c>
    </row>
    <row r="12" spans="1:17" s="130" customFormat="1" ht="16.5" customHeight="1">
      <c r="A12" s="142" t="s">
        <v>211</v>
      </c>
      <c r="B12" s="135" t="e">
        <f>+#REF!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47" t="e">
        <f>+#REF!</f>
        <v>#REF!</v>
      </c>
      <c r="K12" s="147" t="e">
        <f>+#REF!</f>
        <v>#REF!</v>
      </c>
      <c r="L12" s="147" t="e">
        <f>+#REF!</f>
        <v>#REF!</v>
      </c>
      <c r="M12" s="147" t="e">
        <f>+#REF!</f>
        <v>#REF!</v>
      </c>
      <c r="N12" s="135" t="e">
        <f>+#REF!</f>
        <v>#REF!</v>
      </c>
      <c r="O12" s="135" t="e">
        <f>+#REF!</f>
        <v>#REF!</v>
      </c>
      <c r="P12" s="135" t="e">
        <f>+#REF!</f>
        <v>#REF!</v>
      </c>
      <c r="Q12" s="135" t="e">
        <f>+#REF!</f>
        <v>#REF!</v>
      </c>
    </row>
    <row r="13" spans="1:17">
      <c r="A13" s="143" t="s">
        <v>212</v>
      </c>
      <c r="B13" s="136" t="e">
        <f>+#REF!</f>
        <v>#REF!</v>
      </c>
      <c r="C13" s="136" t="e">
        <f>+#REF!</f>
        <v>#REF!</v>
      </c>
      <c r="D13" s="136" t="e">
        <f>+#REF!</f>
        <v>#REF!</v>
      </c>
      <c r="E13" s="136" t="e">
        <f>+#REF!</f>
        <v>#REF!</v>
      </c>
      <c r="F13" s="136" t="e">
        <f>+#REF!</f>
        <v>#REF!</v>
      </c>
      <c r="G13" s="136" t="e">
        <f>+#REF!</f>
        <v>#REF!</v>
      </c>
      <c r="H13" s="136" t="e">
        <f>+#REF!</f>
        <v>#REF!</v>
      </c>
      <c r="I13" s="136" t="e">
        <f>+#REF!</f>
        <v>#REF!</v>
      </c>
      <c r="J13" s="148" t="e">
        <f>+#REF!</f>
        <v>#REF!</v>
      </c>
      <c r="K13" s="148" t="e">
        <f>+#REF!</f>
        <v>#REF!</v>
      </c>
      <c r="L13" s="148" t="e">
        <f>+#REF!</f>
        <v>#REF!</v>
      </c>
      <c r="M13" s="148" t="e">
        <f>+#REF!</f>
        <v>#REF!</v>
      </c>
      <c r="N13" s="136" t="e">
        <f>+#REF!</f>
        <v>#REF!</v>
      </c>
      <c r="O13" s="136" t="e">
        <f>+#REF!</f>
        <v>#REF!</v>
      </c>
      <c r="P13" s="136" t="e">
        <f>+#REF!</f>
        <v>#REF!</v>
      </c>
      <c r="Q13" s="136" t="e">
        <f>+#REF!</f>
        <v>#REF!</v>
      </c>
    </row>
  </sheetData>
  <mergeCells count="4">
    <mergeCell ref="B6:E6"/>
    <mergeCell ref="F6:I6"/>
    <mergeCell ref="J6:M6"/>
    <mergeCell ref="N6:Q6"/>
  </mergeCells>
  <phoneticPr fontId="3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abSelected="1" topLeftCell="C276" zoomScale="70" zoomScaleNormal="70" workbookViewId="0">
      <selection activeCell="AD498" sqref="AD498"/>
    </sheetView>
  </sheetViews>
  <sheetFormatPr baseColWidth="10" defaultColWidth="12.59765625" defaultRowHeight="15" customHeight="1"/>
  <cols>
    <col min="1" max="1" width="24.09765625" style="23" hidden="1" customWidth="1"/>
    <col min="2" max="2" width="21.59765625" style="23" hidden="1" customWidth="1"/>
    <col min="3" max="3" width="34.59765625" style="23" customWidth="1"/>
    <col min="4" max="4" width="16.3984375" style="23" customWidth="1"/>
    <col min="5" max="5" width="15.59765625" style="23" customWidth="1"/>
    <col min="6" max="6" width="16.8984375" style="23" customWidth="1"/>
    <col min="7" max="7" width="17.69921875" style="23" hidden="1" customWidth="1"/>
    <col min="8" max="8" width="15.59765625" style="23" hidden="1" customWidth="1"/>
    <col min="9" max="9" width="15.8984375" style="23" hidden="1" customWidth="1"/>
    <col min="10" max="10" width="16.69921875" style="23" customWidth="1"/>
    <col min="11" max="11" width="14.5" style="23" customWidth="1"/>
    <col min="12" max="12" width="15.8984375" style="23" customWidth="1"/>
    <col min="13" max="13" width="12" style="23" customWidth="1"/>
    <col min="14" max="14" width="18.59765625" style="23" customWidth="1"/>
    <col min="15" max="15" width="16.3984375" style="23" customWidth="1"/>
    <col min="16" max="16" width="15.59765625" style="23" customWidth="1"/>
    <col min="17" max="17" width="16.3984375" style="23" customWidth="1"/>
    <col min="18" max="19" width="18.69921875" style="23" customWidth="1"/>
    <col min="20" max="20" width="3" style="23" customWidth="1"/>
    <col min="21" max="21" width="4" style="23" customWidth="1"/>
    <col min="22" max="22" width="29.8984375" style="23" customWidth="1"/>
    <col min="23" max="23" width="12.8984375" style="23" customWidth="1"/>
    <col min="24" max="24" width="13.3984375" style="23" customWidth="1"/>
    <col min="25" max="25" width="10.5" style="23" customWidth="1"/>
    <col min="26" max="26" width="17.3984375" style="23" customWidth="1"/>
    <col min="27" max="27" width="10.8984375" style="23" hidden="1" customWidth="1"/>
    <col min="28" max="28" width="10" style="23" hidden="1" customWidth="1"/>
    <col min="29" max="29" width="17.5" style="23" hidden="1" customWidth="1"/>
    <col min="30" max="30" width="16.3984375" style="23" customWidth="1"/>
    <col min="31" max="31" width="12" style="23" customWidth="1"/>
    <col min="32" max="32" width="18.8984375" style="23" customWidth="1"/>
    <col min="33" max="33" width="10.8984375" style="23" customWidth="1"/>
    <col min="34" max="34" width="16.19921875" style="23" customWidth="1"/>
    <col min="35" max="35" width="12.3984375" style="23" customWidth="1"/>
    <col min="36" max="36" width="10.8984375" style="23" customWidth="1"/>
    <col min="37" max="37" width="10" style="23" customWidth="1"/>
    <col min="38" max="38" width="17.5" style="23" customWidth="1"/>
    <col min="39" max="39" width="10.8984375" style="23" customWidth="1"/>
    <col min="40" max="40" width="16" style="23" customWidth="1"/>
    <col min="41" max="41" width="12.3984375" style="23" customWidth="1"/>
    <col min="42" max="42" width="11" style="23" customWidth="1"/>
    <col min="43" max="43" width="24" style="23" customWidth="1"/>
    <col min="44" max="62" width="11" style="23" customWidth="1"/>
    <col min="63" max="16384" width="12.59765625" style="23"/>
  </cols>
  <sheetData>
    <row r="1" spans="1:40" ht="17.399999999999999">
      <c r="B1" s="177"/>
      <c r="C1" s="177" t="s">
        <v>192</v>
      </c>
      <c r="D1" s="6"/>
      <c r="E1" s="6"/>
      <c r="F1" s="6"/>
      <c r="G1" s="6"/>
      <c r="H1" s="177"/>
      <c r="I1" s="6"/>
      <c r="J1" s="177"/>
      <c r="K1" s="178" t="s">
        <v>0</v>
      </c>
      <c r="L1" s="6"/>
      <c r="M1" s="6"/>
      <c r="N1" s="179"/>
      <c r="O1" s="177"/>
      <c r="P1" s="6"/>
      <c r="Q1" s="177"/>
      <c r="R1" s="6"/>
      <c r="S1" s="180" t="str">
        <f>CONCATENATE("Réalisé"," ",Paramètre!$C$2," ",Paramètre!$C$3)</f>
        <v xml:space="preserve">Réalisé  </v>
      </c>
      <c r="T1" s="6" t="s">
        <v>1</v>
      </c>
      <c r="U1" s="73"/>
      <c r="V1" s="176"/>
      <c r="W1" s="176"/>
      <c r="X1" s="176"/>
      <c r="Y1" s="176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</row>
    <row r="2" spans="1:40" ht="15" customHeight="1" thickBot="1">
      <c r="B2" s="181"/>
      <c r="C2" s="182"/>
      <c r="D2" s="175" t="s">
        <v>2</v>
      </c>
      <c r="E2" s="175" t="s">
        <v>3</v>
      </c>
      <c r="F2" s="175" t="s">
        <v>4</v>
      </c>
      <c r="G2" s="175" t="s">
        <v>2</v>
      </c>
      <c r="H2" s="175" t="s">
        <v>3</v>
      </c>
      <c r="I2" s="175" t="s">
        <v>4</v>
      </c>
      <c r="J2" s="183"/>
      <c r="K2" s="175"/>
      <c r="L2" s="183"/>
      <c r="O2" s="175"/>
      <c r="P2" s="175"/>
      <c r="Q2" s="175"/>
    </row>
    <row r="3" spans="1:40" ht="18" thickTop="1">
      <c r="B3" s="184"/>
      <c r="C3" s="185"/>
      <c r="D3" s="485" t="s">
        <v>5</v>
      </c>
      <c r="E3" s="486"/>
      <c r="F3" s="487"/>
      <c r="G3" s="488" t="s">
        <v>6</v>
      </c>
      <c r="H3" s="486"/>
      <c r="I3" s="487"/>
      <c r="J3" s="488" t="s">
        <v>7</v>
      </c>
      <c r="K3" s="486"/>
      <c r="L3" s="487"/>
      <c r="M3" s="488" t="s">
        <v>9</v>
      </c>
      <c r="N3" s="487"/>
      <c r="O3" s="485" t="s">
        <v>8</v>
      </c>
      <c r="P3" s="486"/>
      <c r="Q3" s="487"/>
      <c r="R3" s="488" t="s">
        <v>217</v>
      </c>
      <c r="S3" s="489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7.399999999999999">
      <c r="B4" s="184"/>
      <c r="C4" s="3"/>
      <c r="D4" s="186" t="s">
        <v>10</v>
      </c>
      <c r="E4" s="183" t="s">
        <v>11</v>
      </c>
      <c r="F4" s="187" t="s">
        <v>12</v>
      </c>
      <c r="G4" s="188" t="s">
        <v>10</v>
      </c>
      <c r="H4" s="183" t="s">
        <v>11</v>
      </c>
      <c r="I4" s="187" t="s">
        <v>12</v>
      </c>
      <c r="J4" s="188" t="s">
        <v>10</v>
      </c>
      <c r="K4" s="183" t="s">
        <v>13</v>
      </c>
      <c r="L4" s="187" t="s">
        <v>12</v>
      </c>
      <c r="M4" s="188" t="s">
        <v>14</v>
      </c>
      <c r="N4" s="187" t="s">
        <v>12</v>
      </c>
      <c r="O4" s="183" t="s">
        <v>10</v>
      </c>
      <c r="P4" s="183" t="s">
        <v>13</v>
      </c>
      <c r="Q4" s="187" t="s">
        <v>12</v>
      </c>
      <c r="R4" s="188" t="s">
        <v>10</v>
      </c>
      <c r="S4" s="189" t="s">
        <v>12</v>
      </c>
      <c r="V4" s="190"/>
      <c r="W4" s="190"/>
      <c r="X4" s="191"/>
      <c r="Y4" s="191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</row>
    <row r="5" spans="1:40" ht="17.399999999999999">
      <c r="A5" s="23" t="str">
        <f>+B5&amp;C5</f>
        <v>Véhicules neufsVentes nettes</v>
      </c>
      <c r="B5" s="184" t="str">
        <f t="shared" ref="B5:B85" si="0">+$K$1</f>
        <v>Véhicules neufs</v>
      </c>
      <c r="C5" s="5" t="s">
        <v>15</v>
      </c>
      <c r="D5" s="192"/>
      <c r="E5" s="192"/>
      <c r="F5" s="193">
        <f>+SUM(START:END!F5)</f>
        <v>8755197.6967092697</v>
      </c>
      <c r="G5" s="153"/>
      <c r="H5" s="192"/>
      <c r="I5" s="193">
        <f>+SUM(START:END!I5)</f>
        <v>0</v>
      </c>
      <c r="J5" s="153"/>
      <c r="K5" s="194"/>
      <c r="L5" s="193">
        <f>+SUM(START:END!L5)</f>
        <v>6739517.3699999992</v>
      </c>
      <c r="M5" s="195"/>
      <c r="N5" s="196"/>
      <c r="O5" s="153"/>
      <c r="P5" s="194"/>
      <c r="Q5" s="193">
        <f>+SUM(START:END!Q5)</f>
        <v>26535985.339999996</v>
      </c>
      <c r="R5" s="195"/>
      <c r="S5" s="197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</row>
    <row r="6" spans="1:40" ht="17.399999999999999">
      <c r="A6" s="23" t="str">
        <f t="shared" ref="A6:A85" si="1">+B6&amp;C6</f>
        <v>Véhicules neufsAutos détail</v>
      </c>
      <c r="B6" s="184" t="str">
        <f t="shared" si="0"/>
        <v>Véhicules neufs</v>
      </c>
      <c r="C6" s="1" t="s">
        <v>16</v>
      </c>
      <c r="D6" s="198">
        <f>+SUM(START:END!D6)</f>
        <v>32.4</v>
      </c>
      <c r="E6" s="198">
        <f>IF(D6=0,0,F6/D6)</f>
        <v>2198.1219285498491</v>
      </c>
      <c r="F6" s="198">
        <f>+SUM(START:END!F6)</f>
        <v>71219.15048501511</v>
      </c>
      <c r="G6" s="199">
        <f>+SUM(START:END!G6)</f>
        <v>0</v>
      </c>
      <c r="H6" s="198">
        <f>IF(G6=0,0,I6/G6)</f>
        <v>0</v>
      </c>
      <c r="I6" s="198">
        <f>+SUM(START:END!I6)</f>
        <v>0</v>
      </c>
      <c r="J6" s="199">
        <f>+SUM(START:END!J6)</f>
        <v>26</v>
      </c>
      <c r="K6" s="198">
        <f>IF(J6=0,0,L6/J6)</f>
        <v>1810.3250000000003</v>
      </c>
      <c r="L6" s="200">
        <f>+SUM(START:END!L6)</f>
        <v>47068.450000000004</v>
      </c>
      <c r="M6" s="199">
        <f>J6-D6</f>
        <v>-6.3999999999999986</v>
      </c>
      <c r="N6" s="201">
        <f>L6-F6</f>
        <v>-24150.700485015106</v>
      </c>
      <c r="O6" s="199">
        <f>+SUM(START:END!O6)</f>
        <v>44</v>
      </c>
      <c r="P6" s="198">
        <f>IF(O6=0,0,Q6/O6)</f>
        <v>2072.8731818181814</v>
      </c>
      <c r="Q6" s="200">
        <f>+SUM(START:END!Q6)</f>
        <v>91206.419999999984</v>
      </c>
      <c r="R6" s="199">
        <f t="shared" ref="R6:R12" si="2">J6-O6</f>
        <v>-18</v>
      </c>
      <c r="S6" s="202">
        <f t="shared" ref="S6:S12" si="3">L6-Q6</f>
        <v>-44137.969999999979</v>
      </c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</row>
    <row r="7" spans="1:40" ht="17.399999999999999">
      <c r="A7" s="23" t="str">
        <f t="shared" si="1"/>
        <v>Véhicules neufsCamions détail</v>
      </c>
      <c r="B7" s="184" t="str">
        <f t="shared" si="0"/>
        <v>Véhicules neufs</v>
      </c>
      <c r="C7" s="1" t="s">
        <v>17</v>
      </c>
      <c r="D7" s="198">
        <f>+SUM(START:END!D7)</f>
        <v>134.32</v>
      </c>
      <c r="E7" s="198">
        <f t="shared" ref="E7:E12" si="4">IF(D7=0,0,F7/D7)</f>
        <v>2864.6882370853418</v>
      </c>
      <c r="F7" s="198">
        <f>+SUM(START:END!F7)</f>
        <v>384784.92400530307</v>
      </c>
      <c r="G7" s="199">
        <f>+SUM(START:END!G7)</f>
        <v>0</v>
      </c>
      <c r="H7" s="198">
        <f t="shared" ref="H7:H12" si="5">IF(G7=0,0,I7/G7)</f>
        <v>0</v>
      </c>
      <c r="I7" s="198">
        <f>+SUM(START:END!I7)</f>
        <v>0</v>
      </c>
      <c r="J7" s="199">
        <f>+SUM(START:END!J7)</f>
        <v>83</v>
      </c>
      <c r="K7" s="198">
        <f t="shared" ref="K7:K12" si="6">IF(J7=0,0,L7/J7)</f>
        <v>1820.1256626506045</v>
      </c>
      <c r="L7" s="200">
        <f>+SUM(START:END!L7)</f>
        <v>151070.43000000017</v>
      </c>
      <c r="M7" s="199">
        <f t="shared" ref="M7:M9" si="7">J7-D7</f>
        <v>-51.319999999999993</v>
      </c>
      <c r="N7" s="201">
        <f t="shared" ref="N7:N9" si="8">L7-F7</f>
        <v>-233714.4940053029</v>
      </c>
      <c r="O7" s="199">
        <f>+SUM(START:END!O7)</f>
        <v>155</v>
      </c>
      <c r="P7" s="198">
        <f t="shared" ref="P7:P12" si="9">IF(O7=0,0,Q7/O7)</f>
        <v>2443.4194193548315</v>
      </c>
      <c r="Q7" s="200">
        <f>+SUM(START:END!Q7)</f>
        <v>378730.00999999885</v>
      </c>
      <c r="R7" s="199">
        <f t="shared" si="2"/>
        <v>-72</v>
      </c>
      <c r="S7" s="202">
        <f t="shared" si="3"/>
        <v>-227659.57999999868</v>
      </c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</row>
    <row r="8" spans="1:40" ht="17.399999999999999">
      <c r="A8" s="23" t="str">
        <f t="shared" si="1"/>
        <v>Véhicules neufsSprinter</v>
      </c>
      <c r="B8" s="184" t="str">
        <f t="shared" si="0"/>
        <v>Véhicules neufs</v>
      </c>
      <c r="C8" s="1" t="s">
        <v>18</v>
      </c>
      <c r="D8" s="198">
        <f>+SUM(START:END!D8)</f>
        <v>0</v>
      </c>
      <c r="E8" s="198">
        <f t="shared" si="4"/>
        <v>0</v>
      </c>
      <c r="F8" s="198">
        <f>+SUM(START:END!F8)</f>
        <v>0</v>
      </c>
      <c r="G8" s="199">
        <f>+SUM(START:END!G8)</f>
        <v>0</v>
      </c>
      <c r="H8" s="198">
        <f t="shared" si="5"/>
        <v>0</v>
      </c>
      <c r="I8" s="198">
        <f>+SUM(START:END!I8)</f>
        <v>0</v>
      </c>
      <c r="J8" s="199">
        <f>+SUM(START:END!J8)</f>
        <v>0</v>
      </c>
      <c r="K8" s="198">
        <f t="shared" si="6"/>
        <v>0</v>
      </c>
      <c r="L8" s="200">
        <f>+SUM(START:END!L8)</f>
        <v>0</v>
      </c>
      <c r="M8" s="199">
        <f t="shared" si="7"/>
        <v>0</v>
      </c>
      <c r="N8" s="201">
        <f t="shared" si="8"/>
        <v>0</v>
      </c>
      <c r="O8" s="199">
        <f>+SUM(START:END!O8)</f>
        <v>0</v>
      </c>
      <c r="P8" s="198">
        <f t="shared" si="9"/>
        <v>0</v>
      </c>
      <c r="Q8" s="200">
        <f>+SUM(START:END!Q8)</f>
        <v>0</v>
      </c>
      <c r="R8" s="199">
        <f t="shared" si="2"/>
        <v>0</v>
      </c>
      <c r="S8" s="202">
        <f t="shared" si="3"/>
        <v>0</v>
      </c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</row>
    <row r="9" spans="1:40" ht="17.399999999999999">
      <c r="A9" s="23" t="str">
        <f t="shared" si="1"/>
        <v>Véhicules neufsMoto détail</v>
      </c>
      <c r="B9" s="184" t="str">
        <f t="shared" si="0"/>
        <v>Véhicules neufs</v>
      </c>
      <c r="C9" s="1" t="s">
        <v>19</v>
      </c>
      <c r="D9" s="198">
        <f>+SUM(START:END!D9)</f>
        <v>0</v>
      </c>
      <c r="E9" s="198">
        <f t="shared" si="4"/>
        <v>0</v>
      </c>
      <c r="F9" s="198">
        <f>+SUM(START:END!F9)</f>
        <v>0</v>
      </c>
      <c r="G9" s="199">
        <f>+SUM(START:END!G9)</f>
        <v>0</v>
      </c>
      <c r="H9" s="198">
        <f t="shared" si="5"/>
        <v>0</v>
      </c>
      <c r="I9" s="198">
        <f>+SUM(START:END!I9)</f>
        <v>0</v>
      </c>
      <c r="J9" s="199">
        <f>+SUM(START:END!J9)</f>
        <v>0</v>
      </c>
      <c r="K9" s="198">
        <f t="shared" si="6"/>
        <v>0</v>
      </c>
      <c r="L9" s="200">
        <f>+SUM(START:END!L9)</f>
        <v>0</v>
      </c>
      <c r="M9" s="199">
        <f t="shared" si="7"/>
        <v>0</v>
      </c>
      <c r="N9" s="201">
        <f t="shared" si="8"/>
        <v>0</v>
      </c>
      <c r="O9" s="199">
        <f>+SUM(START:END!O9)</f>
        <v>0</v>
      </c>
      <c r="P9" s="198">
        <f t="shared" si="9"/>
        <v>0</v>
      </c>
      <c r="Q9" s="200">
        <f>+SUM(START:END!Q9)</f>
        <v>0</v>
      </c>
      <c r="R9" s="199">
        <f t="shared" si="2"/>
        <v>0</v>
      </c>
      <c r="S9" s="202">
        <f t="shared" si="3"/>
        <v>0</v>
      </c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0" ht="17.399999999999999" hidden="1">
      <c r="A10" s="23" t="str">
        <f t="shared" si="1"/>
        <v>Véhicules neufs[...]</v>
      </c>
      <c r="B10" s="184" t="str">
        <f t="shared" si="0"/>
        <v>Véhicules neufs</v>
      </c>
      <c r="C10" s="1" t="s">
        <v>20</v>
      </c>
      <c r="D10" s="198">
        <f>+SUM(START:END!D10)</f>
        <v>0</v>
      </c>
      <c r="E10" s="198">
        <f t="shared" si="4"/>
        <v>0</v>
      </c>
      <c r="F10" s="198">
        <f>+SUM(START:END!F10)</f>
        <v>0</v>
      </c>
      <c r="G10" s="199">
        <f>+SUM(START:END!G10)</f>
        <v>0</v>
      </c>
      <c r="H10" s="198">
        <f t="shared" si="5"/>
        <v>0</v>
      </c>
      <c r="I10" s="198">
        <f>+SUM(START:END!I10)</f>
        <v>0</v>
      </c>
      <c r="J10" s="199">
        <f>+SUM(START:END!J10)</f>
        <v>0</v>
      </c>
      <c r="K10" s="198">
        <f t="shared" si="6"/>
        <v>0</v>
      </c>
      <c r="L10" s="200">
        <f>+SUM(START:END!L10)</f>
        <v>0</v>
      </c>
      <c r="M10" s="199">
        <f t="shared" ref="M10:M12" si="10">J10-G10</f>
        <v>0</v>
      </c>
      <c r="N10" s="201">
        <f t="shared" ref="N10:N12" si="11">L10-I10</f>
        <v>0</v>
      </c>
      <c r="O10" s="199">
        <f>+SUM(START:END!O10)</f>
        <v>0</v>
      </c>
      <c r="P10" s="198">
        <f t="shared" si="9"/>
        <v>0</v>
      </c>
      <c r="Q10" s="200">
        <f>+SUM(START:END!Q10)</f>
        <v>0</v>
      </c>
      <c r="R10" s="199">
        <f t="shared" si="2"/>
        <v>0</v>
      </c>
      <c r="S10" s="202">
        <f t="shared" si="3"/>
        <v>0</v>
      </c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0" ht="17.399999999999999" hidden="1">
      <c r="A11" s="23" t="str">
        <f t="shared" si="1"/>
        <v>Véhicules neufs[...]</v>
      </c>
      <c r="B11" s="184" t="str">
        <f t="shared" si="0"/>
        <v>Véhicules neufs</v>
      </c>
      <c r="C11" s="1" t="s">
        <v>20</v>
      </c>
      <c r="D11" s="198">
        <f>+SUM(START:END!D11)</f>
        <v>0</v>
      </c>
      <c r="E11" s="198">
        <f t="shared" si="4"/>
        <v>0</v>
      </c>
      <c r="F11" s="198">
        <f>+SUM(START:END!F11)</f>
        <v>0</v>
      </c>
      <c r="G11" s="199">
        <f>+SUM(START:END!G11)</f>
        <v>0</v>
      </c>
      <c r="H11" s="198">
        <f t="shared" si="5"/>
        <v>0</v>
      </c>
      <c r="I11" s="198">
        <f>+SUM(START:END!I11)</f>
        <v>0</v>
      </c>
      <c r="J11" s="199">
        <f>+SUM(START:END!J11)</f>
        <v>0</v>
      </c>
      <c r="K11" s="198">
        <f t="shared" si="6"/>
        <v>0</v>
      </c>
      <c r="L11" s="200">
        <f>+SUM(START:END!L11)</f>
        <v>0</v>
      </c>
      <c r="M11" s="199">
        <f t="shared" si="10"/>
        <v>0</v>
      </c>
      <c r="N11" s="201">
        <f t="shared" si="11"/>
        <v>0</v>
      </c>
      <c r="O11" s="199">
        <f>+SUM(START:END!O11)</f>
        <v>0</v>
      </c>
      <c r="P11" s="198">
        <f t="shared" si="9"/>
        <v>0</v>
      </c>
      <c r="Q11" s="200">
        <f>+SUM(START:END!Q11)</f>
        <v>0</v>
      </c>
      <c r="R11" s="199">
        <f t="shared" si="2"/>
        <v>0</v>
      </c>
      <c r="S11" s="202">
        <f t="shared" si="3"/>
        <v>0</v>
      </c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0" ht="17.399999999999999" hidden="1">
      <c r="A12" s="23" t="str">
        <f t="shared" si="1"/>
        <v>Véhicules neufs[...]</v>
      </c>
      <c r="B12" s="184" t="str">
        <f t="shared" si="0"/>
        <v>Véhicules neufs</v>
      </c>
      <c r="C12" s="1" t="s">
        <v>20</v>
      </c>
      <c r="D12" s="198">
        <f>+SUM(START:END!D12)</f>
        <v>0</v>
      </c>
      <c r="E12" s="198">
        <f t="shared" si="4"/>
        <v>0</v>
      </c>
      <c r="F12" s="198">
        <f>+SUM(START:END!F12)</f>
        <v>0</v>
      </c>
      <c r="G12" s="199">
        <f>+SUM(START:END!G12)</f>
        <v>0</v>
      </c>
      <c r="H12" s="198">
        <f t="shared" si="5"/>
        <v>0</v>
      </c>
      <c r="I12" s="198">
        <f>+SUM(START:END!I12)</f>
        <v>0</v>
      </c>
      <c r="J12" s="199">
        <f>+SUM(START:END!J12)</f>
        <v>0</v>
      </c>
      <c r="K12" s="198">
        <f t="shared" si="6"/>
        <v>0</v>
      </c>
      <c r="L12" s="200">
        <f>+SUM(START:END!L12)</f>
        <v>0</v>
      </c>
      <c r="M12" s="199">
        <f t="shared" si="10"/>
        <v>0</v>
      </c>
      <c r="N12" s="201">
        <f t="shared" si="11"/>
        <v>0</v>
      </c>
      <c r="O12" s="199">
        <f>+SUM(START:END!O12)</f>
        <v>0</v>
      </c>
      <c r="P12" s="198">
        <f t="shared" si="9"/>
        <v>0</v>
      </c>
      <c r="Q12" s="200">
        <f>+SUM(START:END!Q12)</f>
        <v>0</v>
      </c>
      <c r="R12" s="199">
        <f t="shared" si="2"/>
        <v>0</v>
      </c>
      <c r="S12" s="202">
        <f t="shared" si="3"/>
        <v>0</v>
      </c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0" ht="17.399999999999999">
      <c r="A13" s="23" t="str">
        <f t="shared" si="1"/>
        <v>Véhicules neufsTotal Neufs</v>
      </c>
      <c r="B13" s="184" t="str">
        <f t="shared" si="0"/>
        <v>Véhicules neufs</v>
      </c>
      <c r="C13" s="203" t="s">
        <v>21</v>
      </c>
      <c r="D13" s="204">
        <f>+SUM(D6:D12)</f>
        <v>166.72</v>
      </c>
      <c r="E13" s="204">
        <f>IF(D13&lt;=0,0,F13/D13)</f>
        <v>2735.1491991981657</v>
      </c>
      <c r="F13" s="205">
        <f>+SUM(F6:F12)</f>
        <v>456004.07449031819</v>
      </c>
      <c r="G13" s="206">
        <f>+SUM(G6:G12)</f>
        <v>0</v>
      </c>
      <c r="H13" s="204">
        <f>IF(G13&lt;=0,0,I13/G13)</f>
        <v>0</v>
      </c>
      <c r="I13" s="205">
        <f>+SUM(I6:I12)</f>
        <v>0</v>
      </c>
      <c r="J13" s="206">
        <f>+SUM(J6:J12)</f>
        <v>109</v>
      </c>
      <c r="K13" s="204">
        <f>IF(J13&lt;=0,0,L13/J13)</f>
        <v>1817.7878899082584</v>
      </c>
      <c r="L13" s="205">
        <f>+SUM(L6:L12)</f>
        <v>198138.88000000018</v>
      </c>
      <c r="M13" s="206">
        <f>+SUM(M6:M12)</f>
        <v>-57.719999999999992</v>
      </c>
      <c r="N13" s="205">
        <f>+SUM(N6:N12)</f>
        <v>-257865.19449031801</v>
      </c>
      <c r="O13" s="206">
        <f>+SUM(O6:O12)</f>
        <v>199</v>
      </c>
      <c r="P13" s="204">
        <f>IF(O13&lt;=0,0,Q13/O13)</f>
        <v>2361.4895979899438</v>
      </c>
      <c r="Q13" s="205">
        <f>+SUM(Q6:Q12)</f>
        <v>469936.42999999883</v>
      </c>
      <c r="R13" s="206">
        <f>+SUM(R6:R12)</f>
        <v>-90</v>
      </c>
      <c r="S13" s="207">
        <f>+SUM(S6:S12)</f>
        <v>-271797.54999999865</v>
      </c>
      <c r="V13" s="198"/>
      <c r="W13" s="198"/>
      <c r="X13" s="198"/>
      <c r="Y13" s="19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</row>
    <row r="14" spans="1:40" ht="17.399999999999999">
      <c r="A14" s="23" t="str">
        <f t="shared" si="1"/>
        <v>Véhicules neufs</v>
      </c>
      <c r="B14" s="184" t="str">
        <f t="shared" si="0"/>
        <v>Véhicules neufs</v>
      </c>
      <c r="C14" s="1"/>
      <c r="E14" s="198"/>
      <c r="F14" s="208"/>
      <c r="G14" s="152"/>
      <c r="H14" s="198"/>
      <c r="I14" s="208"/>
      <c r="J14" s="152"/>
      <c r="K14" s="198"/>
      <c r="L14" s="208"/>
      <c r="M14" s="170"/>
      <c r="N14" s="171">
        <f>IF(F13=0,0,N13/F13)</f>
        <v>-0.56548879476249714</v>
      </c>
      <c r="O14" s="152"/>
      <c r="P14" s="198"/>
      <c r="Q14" s="208"/>
      <c r="R14" s="170">
        <f>R13/O13</f>
        <v>-0.45226130653266333</v>
      </c>
      <c r="S14" s="209">
        <f>IF(Q13=0,0,(S13/Q13))</f>
        <v>-0.57837088731341668</v>
      </c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</row>
    <row r="15" spans="1:40" ht="17.399999999999999">
      <c r="A15" s="23" t="str">
        <f t="shared" si="1"/>
        <v>Véhicules neufsEx-Démos et courtoisies</v>
      </c>
      <c r="B15" s="184" t="str">
        <f t="shared" si="0"/>
        <v>Véhicules neufs</v>
      </c>
      <c r="C15" s="210" t="s">
        <v>22</v>
      </c>
      <c r="D15" s="194">
        <f>+SUM(START:END!D15)</f>
        <v>13.29</v>
      </c>
      <c r="E15" s="194">
        <f t="shared" ref="E15" si="12">IF(D15=0,0,F15/D15)</f>
        <v>2523.6763434321374</v>
      </c>
      <c r="F15" s="193">
        <f>+SUM(START:END!F15)</f>
        <v>33539.658604213102</v>
      </c>
      <c r="G15" s="211">
        <f>+SUM(START:END!G15)</f>
        <v>0</v>
      </c>
      <c r="H15" s="212">
        <f t="shared" ref="H15" si="13">IF(G15=0,0,I15/G15)</f>
        <v>0</v>
      </c>
      <c r="I15" s="213">
        <f>+SUM(START:END!I15)</f>
        <v>0</v>
      </c>
      <c r="J15" s="214">
        <f>+SUM(START:END!J15)</f>
        <v>12</v>
      </c>
      <c r="K15" s="215">
        <f>IF(J15=0,0,L15/J15)</f>
        <v>1517.4408333333315</v>
      </c>
      <c r="L15" s="215">
        <f>+SUM(START:END!L15)</f>
        <v>18209.289999999979</v>
      </c>
      <c r="M15" s="216">
        <f>J15-G15</f>
        <v>12</v>
      </c>
      <c r="N15" s="201">
        <f>L15-F15</f>
        <v>-15330.368604213123</v>
      </c>
      <c r="O15" s="214">
        <f>+SUM(START:END!O15)</f>
        <v>2</v>
      </c>
      <c r="P15" s="215">
        <f>IF(O15=0,0,Q15/O15)</f>
        <v>2937.9649999999947</v>
      </c>
      <c r="Q15" s="215">
        <f>+SUM(START:END!Q15)</f>
        <v>5875.9299999999894</v>
      </c>
      <c r="R15" s="216">
        <f>J15-O15</f>
        <v>10</v>
      </c>
      <c r="S15" s="217">
        <f>L15-Q15</f>
        <v>12333.35999999999</v>
      </c>
      <c r="V15" s="198"/>
      <c r="W15" s="198"/>
      <c r="X15" s="198"/>
      <c r="Y15" s="19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</row>
    <row r="16" spans="1:40" ht="17.399999999999999">
      <c r="A16" s="23" t="str">
        <f t="shared" si="1"/>
        <v>Véhicules neufs</v>
      </c>
      <c r="B16" s="184" t="str">
        <f t="shared" si="0"/>
        <v>Véhicules neufs</v>
      </c>
      <c r="C16" s="1"/>
      <c r="E16" s="198"/>
      <c r="F16" s="208"/>
      <c r="G16" s="152"/>
      <c r="H16" s="198"/>
      <c r="I16" s="208"/>
      <c r="J16" s="152"/>
      <c r="K16" s="198"/>
      <c r="L16" s="201"/>
      <c r="M16" s="170"/>
      <c r="N16" s="171"/>
      <c r="O16" s="152"/>
      <c r="P16" s="198"/>
      <c r="Q16" s="201"/>
      <c r="R16" s="170"/>
      <c r="S16" s="209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7.399999999999999">
      <c r="A17" s="23" t="str">
        <f t="shared" si="1"/>
        <v>Véhicules neufsFlottes</v>
      </c>
      <c r="B17" s="184" t="str">
        <f t="shared" si="0"/>
        <v>Véhicules neufs</v>
      </c>
      <c r="C17" s="22" t="s">
        <v>23</v>
      </c>
      <c r="D17" s="198">
        <f>+SUM(START:END!D17)</f>
        <v>12.149999999999999</v>
      </c>
      <c r="E17" s="198">
        <f t="shared" ref="E17" si="14">IF(D17=0,0,F17/D17)</f>
        <v>2664.4640678584242</v>
      </c>
      <c r="F17" s="198">
        <f>+SUM(START:END!F17)</f>
        <v>32373.238424479849</v>
      </c>
      <c r="G17" s="199">
        <f>+SUM(START:END!G17)</f>
        <v>0</v>
      </c>
      <c r="H17" s="198">
        <f t="shared" ref="H17" si="15">IF(G17=0,0,I17/G17)</f>
        <v>0</v>
      </c>
      <c r="I17" s="198">
        <f>+SUM(START:END!I17)</f>
        <v>0</v>
      </c>
      <c r="J17" s="216">
        <f>+SUM(START:END!J17)</f>
        <v>11</v>
      </c>
      <c r="K17" s="198">
        <f>IF(J17=0,0,L17/J17)</f>
        <v>1058.8518181818179</v>
      </c>
      <c r="L17" s="201">
        <f>+SUM(START:END!L17)</f>
        <v>11647.369999999995</v>
      </c>
      <c r="M17" s="216">
        <f>J17-D17</f>
        <v>-1.1499999999999986</v>
      </c>
      <c r="N17" s="201">
        <f>L17-F17</f>
        <v>-20725.868424479853</v>
      </c>
      <c r="O17" s="216">
        <f>+SUM(START:END!O17)</f>
        <v>10</v>
      </c>
      <c r="P17" s="198">
        <f>IF(O17=0,0,Q17/O17)</f>
        <v>3147.3710000000001</v>
      </c>
      <c r="Q17" s="201">
        <f>+SUM(START:END!Q17)</f>
        <v>31473.71</v>
      </c>
      <c r="R17" s="199">
        <f>J17-O17</f>
        <v>1</v>
      </c>
      <c r="S17" s="202">
        <f>L17-Q17</f>
        <v>-19826.340000000004</v>
      </c>
      <c r="V17" s="198"/>
      <c r="W17" s="198"/>
      <c r="X17" s="198"/>
      <c r="Y17" s="198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7.399999999999999">
      <c r="A18" s="23" t="str">
        <f t="shared" si="1"/>
        <v>Véhicules neufs</v>
      </c>
      <c r="B18" s="184" t="str">
        <f t="shared" si="0"/>
        <v>Véhicules neufs</v>
      </c>
      <c r="C18" s="203"/>
      <c r="D18" s="218"/>
      <c r="E18" s="218"/>
      <c r="F18" s="219"/>
      <c r="G18" s="220"/>
      <c r="H18" s="218"/>
      <c r="I18" s="219"/>
      <c r="J18" s="199"/>
      <c r="K18" s="218"/>
      <c r="L18" s="219"/>
      <c r="M18" s="199"/>
      <c r="N18" s="219"/>
      <c r="O18" s="199"/>
      <c r="P18" s="218"/>
      <c r="Q18" s="219"/>
      <c r="R18" s="220"/>
      <c r="S18" s="221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0" ht="17.399999999999999">
      <c r="A19" s="23" t="str">
        <f t="shared" si="1"/>
        <v>Véhicules neufsRachat bail</v>
      </c>
      <c r="B19" s="184" t="str">
        <f t="shared" si="0"/>
        <v>Véhicules neufs</v>
      </c>
      <c r="C19" s="210" t="s">
        <v>24</v>
      </c>
      <c r="D19" s="198"/>
      <c r="E19" s="198"/>
      <c r="F19" s="198">
        <f>+SUM(START:END!F19)</f>
        <v>22950</v>
      </c>
      <c r="G19" s="199"/>
      <c r="H19" s="198"/>
      <c r="I19" s="198">
        <f>+SUM(START:END!I19)</f>
        <v>0</v>
      </c>
      <c r="J19" s="211"/>
      <c r="K19" s="198"/>
      <c r="L19" s="201">
        <f>+SUM(START:END!L19)</f>
        <v>23749</v>
      </c>
      <c r="M19" s="199"/>
      <c r="N19" s="201">
        <f>L19-F19</f>
        <v>799</v>
      </c>
      <c r="O19" s="211"/>
      <c r="P19" s="198"/>
      <c r="Q19" s="201">
        <f>+SUM(START:END!Q19)</f>
        <v>17381.509999999998</v>
      </c>
      <c r="R19" s="199">
        <f>O19-K19</f>
        <v>0</v>
      </c>
      <c r="S19" s="202">
        <f>L19-Q19</f>
        <v>6367.4900000000016</v>
      </c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</row>
    <row r="20" spans="1:40" ht="17.399999999999999">
      <c r="A20" s="23" t="str">
        <f t="shared" si="1"/>
        <v>Véhicules neufs</v>
      </c>
      <c r="B20" s="184" t="str">
        <f t="shared" si="0"/>
        <v>Véhicules neufs</v>
      </c>
      <c r="C20" s="203"/>
      <c r="D20" s="218"/>
      <c r="E20" s="218"/>
      <c r="F20" s="219"/>
      <c r="G20" s="220"/>
      <c r="H20" s="218"/>
      <c r="I20" s="219"/>
      <c r="J20" s="199"/>
      <c r="K20" s="218"/>
      <c r="L20" s="219"/>
      <c r="M20" s="220"/>
      <c r="N20" s="219"/>
      <c r="O20" s="199"/>
      <c r="P20" s="218"/>
      <c r="Q20" s="219"/>
      <c r="R20" s="220"/>
      <c r="S20" s="221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</row>
    <row r="21" spans="1:40" ht="15.75" customHeight="1">
      <c r="A21" s="23" t="str">
        <f t="shared" si="1"/>
        <v>Véhicules neufsRev. Finances</v>
      </c>
      <c r="B21" s="184" t="str">
        <f t="shared" si="0"/>
        <v>Véhicules neufs</v>
      </c>
      <c r="C21" s="1" t="s">
        <v>25</v>
      </c>
      <c r="D21" s="198">
        <v>0</v>
      </c>
      <c r="E21" s="198">
        <f t="shared" ref="E21:E23" si="16">IF(D21=0,0,F21/D21)</f>
        <v>0</v>
      </c>
      <c r="F21" s="198">
        <f>+SUM(START:END!F21)</f>
        <v>36002</v>
      </c>
      <c r="G21" s="152">
        <v>0</v>
      </c>
      <c r="H21" s="198">
        <f t="shared" ref="H21:H23" si="17">IF(G21=0,0,I21/G21)</f>
        <v>0</v>
      </c>
      <c r="I21" s="198">
        <f>+SUM(START:END!I21)</f>
        <v>0</v>
      </c>
      <c r="J21" s="199"/>
      <c r="K21" s="198">
        <f>IF(J13=0,0,L21/(J13+J15))</f>
        <v>10.651570247933883</v>
      </c>
      <c r="L21" s="201">
        <f>+SUM(START:END!L21)</f>
        <v>1288.8399999999999</v>
      </c>
      <c r="M21" s="199"/>
      <c r="N21" s="201">
        <f t="shared" ref="N21:N23" si="18">L21-F21</f>
        <v>-34713.160000000003</v>
      </c>
      <c r="O21" s="199"/>
      <c r="P21" s="198">
        <f>IF(O13=0,0,Q21/(O13+O15))</f>
        <v>56.331890547263683</v>
      </c>
      <c r="Q21" s="201">
        <f>+SUM(START:END!Q21)</f>
        <v>11322.710000000001</v>
      </c>
      <c r="R21" s="199">
        <f t="shared" ref="R21:R23" si="19">O21-K21</f>
        <v>-10.651570247933883</v>
      </c>
      <c r="S21" s="202">
        <f t="shared" ref="S21:S24" si="20">L21-Q21</f>
        <v>-10033.870000000001</v>
      </c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</row>
    <row r="22" spans="1:40" ht="15.75" customHeight="1">
      <c r="A22" s="23" t="str">
        <f t="shared" si="1"/>
        <v>Véhicules neufsRev. Protections</v>
      </c>
      <c r="B22" s="184" t="str">
        <f t="shared" si="0"/>
        <v>Véhicules neufs</v>
      </c>
      <c r="C22" s="1" t="s">
        <v>26</v>
      </c>
      <c r="D22" s="198">
        <v>0</v>
      </c>
      <c r="E22" s="198">
        <f t="shared" si="16"/>
        <v>0</v>
      </c>
      <c r="F22" s="198">
        <f>+SUM(START:END!F22)</f>
        <v>194410.8</v>
      </c>
      <c r="G22" s="152">
        <v>0</v>
      </c>
      <c r="H22" s="198">
        <f t="shared" si="17"/>
        <v>0</v>
      </c>
      <c r="I22" s="198">
        <f>+SUM(START:END!I22)</f>
        <v>0</v>
      </c>
      <c r="J22" s="199"/>
      <c r="K22" s="198">
        <f>IF(J13=0,0,L22/(J13+J15))</f>
        <v>1036.3080165289255</v>
      </c>
      <c r="L22" s="201">
        <f>+SUM(START:END!L22)</f>
        <v>125393.26999999999</v>
      </c>
      <c r="M22" s="199"/>
      <c r="N22" s="201">
        <f t="shared" si="18"/>
        <v>-69017.53</v>
      </c>
      <c r="O22" s="199"/>
      <c r="P22" s="198">
        <f>IF(O13=0,0,Q22/(O13+O15))</f>
        <v>987.88144278606967</v>
      </c>
      <c r="Q22" s="201">
        <f>+SUM(START:END!Q22)</f>
        <v>198564.17</v>
      </c>
      <c r="R22" s="199">
        <f t="shared" si="19"/>
        <v>-1036.3080165289255</v>
      </c>
      <c r="S22" s="202">
        <f t="shared" si="20"/>
        <v>-73170.900000000023</v>
      </c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</row>
    <row r="23" spans="1:40" ht="15.75" customHeight="1">
      <c r="A23" s="23" t="str">
        <f t="shared" si="1"/>
        <v>Véhicules neufsRev. Autres</v>
      </c>
      <c r="B23" s="184" t="str">
        <f t="shared" si="0"/>
        <v>Véhicules neufs</v>
      </c>
      <c r="C23" s="1" t="s">
        <v>27</v>
      </c>
      <c r="D23" s="198">
        <v>0</v>
      </c>
      <c r="E23" s="198">
        <f t="shared" si="16"/>
        <v>0</v>
      </c>
      <c r="F23" s="198">
        <f>+SUM(START:END!F23)</f>
        <v>3600.2</v>
      </c>
      <c r="G23" s="152">
        <v>0</v>
      </c>
      <c r="H23" s="198">
        <f t="shared" si="17"/>
        <v>0</v>
      </c>
      <c r="I23" s="198">
        <f>+SUM(START:END!I23)</f>
        <v>0</v>
      </c>
      <c r="J23" s="199"/>
      <c r="K23" s="198">
        <f>IF(J13=0,0,L23/(J13+J15))</f>
        <v>10.654380165289254</v>
      </c>
      <c r="L23" s="201">
        <f>+SUM(START:END!L23)</f>
        <v>1289.1799999999998</v>
      </c>
      <c r="M23" s="216"/>
      <c r="N23" s="201">
        <f t="shared" si="18"/>
        <v>-2311.02</v>
      </c>
      <c r="O23" s="199"/>
      <c r="P23" s="198">
        <f>IF(O13=0,0,Q23/(O13+O15))</f>
        <v>20.941791044776121</v>
      </c>
      <c r="Q23" s="201">
        <f>+SUM(START:END!Q23)</f>
        <v>4209.3</v>
      </c>
      <c r="R23" s="199">
        <f t="shared" si="19"/>
        <v>-10.654380165289254</v>
      </c>
      <c r="S23" s="202">
        <f t="shared" si="20"/>
        <v>-2920.1200000000003</v>
      </c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</row>
    <row r="24" spans="1:40" ht="15.75" customHeight="1">
      <c r="A24" s="23" t="str">
        <f t="shared" si="1"/>
        <v>Véhicules neufsTotal F&amp;I</v>
      </c>
      <c r="B24" s="184" t="str">
        <f t="shared" si="0"/>
        <v>Véhicules neufs</v>
      </c>
      <c r="C24" s="203" t="s">
        <v>28</v>
      </c>
      <c r="D24" s="204">
        <f>+D15+D13</f>
        <v>180.01</v>
      </c>
      <c r="E24" s="204">
        <f>IF(D24&lt;=0,0,F24/D24)</f>
        <v>1300</v>
      </c>
      <c r="F24" s="205">
        <f>F21+F22+F23</f>
        <v>234013</v>
      </c>
      <c r="G24" s="206">
        <f>+G15+G13</f>
        <v>0</v>
      </c>
      <c r="H24" s="204">
        <f>IF(G24&lt;=0,0,I24/G24)</f>
        <v>0</v>
      </c>
      <c r="I24" s="205">
        <f>I21+I22+I23</f>
        <v>0</v>
      </c>
      <c r="J24" s="206">
        <f>+J15+J13</f>
        <v>121</v>
      </c>
      <c r="K24" s="204">
        <f>IF(J24&lt;=0,0,L24/J24)</f>
        <v>1057.6139669421486</v>
      </c>
      <c r="L24" s="205">
        <f>L21+L22+L23</f>
        <v>127971.28999999998</v>
      </c>
      <c r="M24" s="206">
        <f>+M15+M13</f>
        <v>-45.719999999999992</v>
      </c>
      <c r="N24" s="205">
        <f>N21+N22+N23</f>
        <v>-106041.71</v>
      </c>
      <c r="O24" s="206">
        <f>+O15+O13</f>
        <v>201</v>
      </c>
      <c r="P24" s="204">
        <f>IF(O24&lt;=0,0,Q24/O24)</f>
        <v>1065.1551243781093</v>
      </c>
      <c r="Q24" s="205">
        <f>Q21+Q22+Q23</f>
        <v>214096.18</v>
      </c>
      <c r="R24" s="220"/>
      <c r="S24" s="207">
        <f t="shared" si="20"/>
        <v>-86124.890000000014</v>
      </c>
      <c r="V24" s="198"/>
      <c r="W24" s="198"/>
      <c r="X24" s="198"/>
      <c r="Y24" s="198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 ht="15.75" customHeight="1">
      <c r="A25" s="23" t="str">
        <f t="shared" si="1"/>
        <v>Véhicules neufs</v>
      </c>
      <c r="B25" s="184" t="str">
        <f t="shared" si="0"/>
        <v>Véhicules neufs</v>
      </c>
      <c r="C25" s="1"/>
      <c r="F25" s="222"/>
      <c r="G25" s="152"/>
      <c r="I25" s="222"/>
      <c r="J25" s="152"/>
      <c r="L25" s="222"/>
      <c r="M25" s="170"/>
      <c r="N25" s="171"/>
      <c r="O25" s="152"/>
      <c r="Q25" s="222"/>
      <c r="R25" s="223"/>
      <c r="S25" s="209">
        <f>IF(Q24=0,0,(S24/Q24))</f>
        <v>-0.40227196020031752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 ht="15.75" customHeight="1" thickBot="1">
      <c r="A26" s="23" t="str">
        <f t="shared" si="1"/>
        <v>Véhicules neufs</v>
      </c>
      <c r="B26" s="184" t="str">
        <f t="shared" si="0"/>
        <v>Véhicules neufs</v>
      </c>
      <c r="C26" s="1"/>
      <c r="F26" s="208"/>
      <c r="G26" s="152"/>
      <c r="I26" s="208"/>
      <c r="J26" s="152"/>
      <c r="L26" s="208"/>
      <c r="M26" s="152"/>
      <c r="N26" s="208"/>
      <c r="O26" s="152"/>
      <c r="Q26" s="208"/>
      <c r="R26" s="152"/>
      <c r="S26" s="22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 ht="18" customHeight="1" thickTop="1">
      <c r="A27" s="23" t="str">
        <f t="shared" si="1"/>
        <v>Véhicules neufsTotal Dépt. Neufs</v>
      </c>
      <c r="B27" s="184" t="str">
        <f t="shared" si="0"/>
        <v>Véhicules neufs</v>
      </c>
      <c r="C27" s="225" t="s">
        <v>29</v>
      </c>
      <c r="D27" s="226">
        <f>+D13+D15+D17</f>
        <v>192.16</v>
      </c>
      <c r="E27" s="227">
        <f>IF(D27&lt;=0,0,F27/D27)</f>
        <v>4053.2887776801167</v>
      </c>
      <c r="F27" s="228">
        <f>F13+F17+F24+F19+F15</f>
        <v>778879.97151901119</v>
      </c>
      <c r="G27" s="229">
        <f>+G13+G15+G17</f>
        <v>0</v>
      </c>
      <c r="H27" s="230">
        <f>IF(G27&lt;=0,0,I27/G27)</f>
        <v>0</v>
      </c>
      <c r="I27" s="228">
        <f>I13+I17+I24+I19+I15</f>
        <v>0</v>
      </c>
      <c r="J27" s="229">
        <f>+J13+J15+J17</f>
        <v>132</v>
      </c>
      <c r="K27" s="230">
        <f>IF(J27&lt;=0,0,L27/J27)</f>
        <v>2876.6350757575769</v>
      </c>
      <c r="L27" s="228">
        <f>L13+L17+L24+L19+L15</f>
        <v>379715.83000000013</v>
      </c>
      <c r="M27" s="229">
        <f>+M13+M15+M17</f>
        <v>-46.86999999999999</v>
      </c>
      <c r="N27" s="228">
        <f>N13+N17+N24+N19+N15</f>
        <v>-399164.141519011</v>
      </c>
      <c r="O27" s="229">
        <f>+O13+O15+O17</f>
        <v>211</v>
      </c>
      <c r="P27" s="230">
        <f>IF(O27&lt;=0,0,Q27/O27)</f>
        <v>3501.2500473933596</v>
      </c>
      <c r="Q27" s="228">
        <f>Q13+Q17+Q24+Q19+Q15</f>
        <v>738763.75999999885</v>
      </c>
      <c r="R27" s="229">
        <f>J27-O27</f>
        <v>-79</v>
      </c>
      <c r="S27" s="231">
        <f>L27-Q27</f>
        <v>-359047.92999999871</v>
      </c>
      <c r="V27" s="198"/>
      <c r="W27" s="198"/>
      <c r="X27" s="198"/>
      <c r="Y27" s="198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</row>
    <row r="28" spans="1:40" ht="22.5" customHeight="1" thickBot="1">
      <c r="A28" s="23" t="str">
        <f t="shared" si="1"/>
        <v>Véhicules neufs</v>
      </c>
      <c r="B28" s="184" t="str">
        <f t="shared" si="0"/>
        <v>Véhicules neufs</v>
      </c>
      <c r="C28" s="232"/>
      <c r="D28" s="233"/>
      <c r="E28" s="233"/>
      <c r="F28" s="234"/>
      <c r="G28" s="235"/>
      <c r="H28" s="233"/>
      <c r="I28" s="234"/>
      <c r="J28" s="235"/>
      <c r="K28" s="233"/>
      <c r="L28" s="234"/>
      <c r="M28" s="236">
        <f>M27/D27</f>
        <v>-0.24391132389675266</v>
      </c>
      <c r="N28" s="166">
        <f>N27/F27</f>
        <v>-0.51248479369746902</v>
      </c>
      <c r="O28" s="235"/>
      <c r="P28" s="233"/>
      <c r="Q28" s="234"/>
      <c r="R28" s="236">
        <f>R27/O27</f>
        <v>-0.37440758293838861</v>
      </c>
      <c r="S28" s="237">
        <f>IF(Q27=0,0,S27/Q27)</f>
        <v>-0.48601183414844179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</row>
    <row r="29" spans="1:40" ht="15.75" customHeight="1" thickTop="1">
      <c r="A29" s="23" t="str">
        <f t="shared" si="1"/>
        <v>Véhicules neufs</v>
      </c>
      <c r="B29" s="184" t="str">
        <f t="shared" si="0"/>
        <v>Véhicules neufs</v>
      </c>
      <c r="C29" s="22"/>
      <c r="D29" s="73"/>
      <c r="E29" s="73"/>
      <c r="F29" s="238"/>
      <c r="G29" s="156"/>
      <c r="H29" s="73"/>
      <c r="I29" s="238"/>
      <c r="J29" s="156"/>
      <c r="K29" s="73"/>
      <c r="L29" s="238"/>
      <c r="M29" s="170"/>
      <c r="N29" s="171"/>
      <c r="O29" s="156"/>
      <c r="P29" s="73"/>
      <c r="Q29" s="238"/>
      <c r="R29" s="170"/>
      <c r="S29" s="209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5.75" customHeight="1">
      <c r="A30" s="23" t="str">
        <f t="shared" si="1"/>
        <v>Véhicules neufsDEPENSES</v>
      </c>
      <c r="B30" s="184" t="str">
        <f t="shared" si="0"/>
        <v>Véhicules neufs</v>
      </c>
      <c r="C30" s="239" t="s">
        <v>30</v>
      </c>
      <c r="E30" s="175"/>
      <c r="F30" s="222"/>
      <c r="G30" s="152"/>
      <c r="H30" s="175"/>
      <c r="I30" s="222"/>
      <c r="J30" s="152"/>
      <c r="K30" s="175"/>
      <c r="L30" s="208"/>
      <c r="M30" s="152"/>
      <c r="N30" s="208"/>
      <c r="O30" s="152"/>
      <c r="P30" s="175"/>
      <c r="Q30" s="208"/>
      <c r="R30" s="152"/>
      <c r="S30" s="22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0" ht="15.75" customHeight="1">
      <c r="A31" s="23" t="str">
        <f t="shared" si="1"/>
        <v>Véhicules neufsComm. vendeurs</v>
      </c>
      <c r="B31" s="184" t="str">
        <f t="shared" si="0"/>
        <v>Véhicules neufs</v>
      </c>
      <c r="C31" s="1" t="s">
        <v>31</v>
      </c>
      <c r="D31" s="30"/>
      <c r="E31" s="26">
        <f t="shared" ref="E31:E40" si="21">F31/D$24</f>
        <v>924.64234904805642</v>
      </c>
      <c r="F31" s="198">
        <f>+SUM(START:END!F31)</f>
        <v>166444.86925214063</v>
      </c>
      <c r="G31" s="240"/>
      <c r="H31" s="26" t="e">
        <f t="shared" ref="H31:H40" si="22">I31/G$24</f>
        <v>#DIV/0!</v>
      </c>
      <c r="I31" s="198">
        <f>+SUM(START:END!I31)</f>
        <v>0</v>
      </c>
      <c r="J31" s="241">
        <f>L31/L13</f>
        <v>0.3801158056409723</v>
      </c>
      <c r="K31" s="26">
        <f t="shared" ref="K31:K40" si="23">IF(L31=0,0,L31/J$24)</f>
        <v>622.44396694214879</v>
      </c>
      <c r="L31" s="198">
        <f>+SUM(START:END!L31)</f>
        <v>75315.72</v>
      </c>
      <c r="M31" s="152"/>
      <c r="N31" s="222">
        <f t="shared" ref="N31:N37" si="24">L31-F31</f>
        <v>-91129.149252140633</v>
      </c>
      <c r="O31" s="152"/>
      <c r="P31" s="26">
        <f t="shared" ref="P31:P40" si="25">IF(Q31=0,0,Q31/O$24)</f>
        <v>601.63681592039802</v>
      </c>
      <c r="Q31" s="201">
        <f>+SUM(START:END!Q31)</f>
        <v>120929</v>
      </c>
      <c r="R31" s="152"/>
      <c r="S31" s="242">
        <f t="shared" ref="S31:S41" si="26">L31-Q31</f>
        <v>-45613.279999999999</v>
      </c>
      <c r="V31" s="243"/>
      <c r="W31" s="243"/>
      <c r="X31" s="243"/>
      <c r="Y31" s="24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5.75" customHeight="1">
      <c r="A32" s="23" t="str">
        <f t="shared" si="1"/>
        <v>Véhicules neufsComm. F&amp;I</v>
      </c>
      <c r="B32" s="184" t="str">
        <f t="shared" si="0"/>
        <v>Véhicules neufs</v>
      </c>
      <c r="C32" s="2" t="s">
        <v>32</v>
      </c>
      <c r="D32" s="34"/>
      <c r="E32" s="10">
        <f t="shared" si="21"/>
        <v>390</v>
      </c>
      <c r="F32" s="193">
        <f>+SUM(START:END!F32)</f>
        <v>70203.899999999994</v>
      </c>
      <c r="G32" s="244"/>
      <c r="H32" s="245" t="e">
        <f t="shared" si="22"/>
        <v>#DIV/0!</v>
      </c>
      <c r="I32" s="193">
        <f>+SUM(START:END!I32)</f>
        <v>0</v>
      </c>
      <c r="J32" s="246">
        <f>L32/L24</f>
        <v>0.28380990767538566</v>
      </c>
      <c r="K32" s="10">
        <f t="shared" si="23"/>
        <v>300.16132231404958</v>
      </c>
      <c r="L32" s="193">
        <f>+SUM(START:END!L32)</f>
        <v>36319.519999999997</v>
      </c>
      <c r="M32" s="153"/>
      <c r="N32" s="247">
        <f t="shared" si="24"/>
        <v>-33884.379999999997</v>
      </c>
      <c r="O32" s="153"/>
      <c r="P32" s="10">
        <f t="shared" si="25"/>
        <v>318.9395522388059</v>
      </c>
      <c r="Q32" s="193">
        <f>+SUM(START:END!Q32)</f>
        <v>64106.849999999991</v>
      </c>
      <c r="R32" s="153"/>
      <c r="S32" s="248">
        <f t="shared" si="26"/>
        <v>-27787.329999999994</v>
      </c>
      <c r="V32" s="243"/>
      <c r="W32" s="243"/>
      <c r="X32" s="243"/>
      <c r="Y32" s="243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</row>
    <row r="33" spans="1:40" ht="15.75" customHeight="1">
      <c r="A33" s="23" t="str">
        <f t="shared" si="1"/>
        <v>Véhicules neufsFrais de livraison</v>
      </c>
      <c r="B33" s="184" t="str">
        <f t="shared" si="0"/>
        <v>Véhicules neufs</v>
      </c>
      <c r="C33" s="1" t="s">
        <v>33</v>
      </c>
      <c r="D33" s="30"/>
      <c r="E33" s="26">
        <f t="shared" si="21"/>
        <v>115</v>
      </c>
      <c r="F33" s="198">
        <f>+SUM(START:END!F33)</f>
        <v>20701.149999999998</v>
      </c>
      <c r="G33" s="240"/>
      <c r="H33" s="26" t="e">
        <f t="shared" si="22"/>
        <v>#DIV/0!</v>
      </c>
      <c r="I33" s="198">
        <f>+SUM(START:END!I33)</f>
        <v>0</v>
      </c>
      <c r="J33" s="152"/>
      <c r="K33" s="26">
        <f t="shared" si="23"/>
        <v>157.53768595041322</v>
      </c>
      <c r="L33" s="198">
        <f>+SUM(START:END!L33)</f>
        <v>19062.060000000001</v>
      </c>
      <c r="M33" s="152"/>
      <c r="N33" s="222">
        <f t="shared" si="24"/>
        <v>-1639.0899999999965</v>
      </c>
      <c r="O33" s="152"/>
      <c r="P33" s="26">
        <f t="shared" si="25"/>
        <v>150.03144278606965</v>
      </c>
      <c r="Q33" s="201">
        <f>+SUM(START:END!Q33)</f>
        <v>30156.32</v>
      </c>
      <c r="R33" s="152"/>
      <c r="S33" s="242">
        <f t="shared" si="26"/>
        <v>-11094.259999999998</v>
      </c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</row>
    <row r="34" spans="1:40" ht="15.75" customHeight="1">
      <c r="A34" s="23" t="str">
        <f t="shared" si="1"/>
        <v>Véhicules neufsService gratuit 1</v>
      </c>
      <c r="B34" s="184" t="str">
        <f t="shared" si="0"/>
        <v>Véhicules neufs</v>
      </c>
      <c r="C34" s="1" t="s">
        <v>34</v>
      </c>
      <c r="D34" s="30"/>
      <c r="E34" s="26">
        <f t="shared" si="21"/>
        <v>3</v>
      </c>
      <c r="F34" s="198">
        <f>+SUM(START:END!F34)</f>
        <v>540.03</v>
      </c>
      <c r="G34" s="240"/>
      <c r="H34" s="26" t="e">
        <f t="shared" si="22"/>
        <v>#DIV/0!</v>
      </c>
      <c r="I34" s="198">
        <f>+SUM(START:END!I34)</f>
        <v>0</v>
      </c>
      <c r="J34" s="152"/>
      <c r="K34" s="26">
        <f t="shared" si="23"/>
        <v>47.640495867768593</v>
      </c>
      <c r="L34" s="198">
        <f>+SUM(START:END!L34)</f>
        <v>5764.5</v>
      </c>
      <c r="M34" s="152"/>
      <c r="N34" s="222">
        <f t="shared" si="24"/>
        <v>5224.47</v>
      </c>
      <c r="O34" s="152"/>
      <c r="P34" s="26">
        <f t="shared" si="25"/>
        <v>38.430746268656719</v>
      </c>
      <c r="Q34" s="201">
        <f>+SUM(START:END!Q34)</f>
        <v>7724.58</v>
      </c>
      <c r="R34" s="152"/>
      <c r="S34" s="242">
        <f t="shared" si="26"/>
        <v>-1960.08</v>
      </c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5.75" customHeight="1">
      <c r="A35" s="23" t="str">
        <f t="shared" si="1"/>
        <v>Véhicules neufsEntretien stock</v>
      </c>
      <c r="B35" s="184" t="str">
        <f t="shared" si="0"/>
        <v>Véhicules neufs</v>
      </c>
      <c r="C35" s="2" t="s">
        <v>35</v>
      </c>
      <c r="D35" s="34"/>
      <c r="E35" s="10">
        <f t="shared" si="21"/>
        <v>85.05</v>
      </c>
      <c r="F35" s="193">
        <f>+SUM(START:END!F35)</f>
        <v>15309.850499999999</v>
      </c>
      <c r="G35" s="244"/>
      <c r="H35" s="245" t="e">
        <f t="shared" si="22"/>
        <v>#DIV/0!</v>
      </c>
      <c r="I35" s="193">
        <f>+SUM(START:END!I35)</f>
        <v>0</v>
      </c>
      <c r="J35" s="153"/>
      <c r="K35" s="10">
        <f t="shared" si="23"/>
        <v>158.87983471074381</v>
      </c>
      <c r="L35" s="193">
        <f>+SUM(START:END!L35)</f>
        <v>19224.46</v>
      </c>
      <c r="M35" s="153"/>
      <c r="N35" s="247">
        <f t="shared" si="24"/>
        <v>3914.6095000000005</v>
      </c>
      <c r="O35" s="153"/>
      <c r="P35" s="10">
        <f t="shared" si="25"/>
        <v>83.521542288557228</v>
      </c>
      <c r="Q35" s="201">
        <f>+SUM(START:END!Q35)</f>
        <v>16787.830000000002</v>
      </c>
      <c r="R35" s="153"/>
      <c r="S35" s="248">
        <f t="shared" si="26"/>
        <v>2436.6299999999974</v>
      </c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</row>
    <row r="36" spans="1:40" ht="15.75" customHeight="1">
      <c r="A36" s="23" t="str">
        <f t="shared" si="1"/>
        <v>Véhicules neufsPublicité 1</v>
      </c>
      <c r="B36" s="184" t="str">
        <f t="shared" si="0"/>
        <v>Véhicules neufs</v>
      </c>
      <c r="C36" s="1" t="s">
        <v>36</v>
      </c>
      <c r="D36" s="30"/>
      <c r="E36" s="26">
        <f t="shared" si="21"/>
        <v>112.25487472918172</v>
      </c>
      <c r="F36" s="198">
        <f>+SUM(START:END!F36)</f>
        <v>20207</v>
      </c>
      <c r="G36" s="240"/>
      <c r="H36" s="26" t="e">
        <f t="shared" si="22"/>
        <v>#DIV/0!</v>
      </c>
      <c r="I36" s="198">
        <f>+SUM(START:END!I36)</f>
        <v>0</v>
      </c>
      <c r="J36" s="152"/>
      <c r="K36" s="26">
        <f t="shared" si="23"/>
        <v>342.80652892561983</v>
      </c>
      <c r="L36" s="249">
        <f>+SUM(START:END!L36)</f>
        <v>41479.589999999997</v>
      </c>
      <c r="N36" s="222">
        <f t="shared" si="24"/>
        <v>21272.589999999997</v>
      </c>
      <c r="O36" s="152"/>
      <c r="P36" s="26">
        <f t="shared" si="25"/>
        <v>101.00746268656705</v>
      </c>
      <c r="Q36" s="219">
        <f>+SUM(START:END!Q36)</f>
        <v>20302.499999999978</v>
      </c>
      <c r="R36" s="152"/>
      <c r="S36" s="242">
        <f t="shared" si="26"/>
        <v>21177.090000000018</v>
      </c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5.75" customHeight="1">
      <c r="A37" s="23" t="str">
        <f t="shared" si="1"/>
        <v>Véhicules neufsIntérêt de gros</v>
      </c>
      <c r="B37" s="184" t="str">
        <f t="shared" si="0"/>
        <v>Véhicules neufs</v>
      </c>
      <c r="C37" s="1" t="s">
        <v>37</v>
      </c>
      <c r="D37" s="30"/>
      <c r="E37" s="26">
        <f t="shared" si="21"/>
        <v>244.87222144644747</v>
      </c>
      <c r="F37" s="198">
        <f>+SUM(START:END!F37)</f>
        <v>44079.448582575009</v>
      </c>
      <c r="G37" s="240"/>
      <c r="H37" s="26" t="e">
        <f t="shared" si="22"/>
        <v>#DIV/0!</v>
      </c>
      <c r="I37" s="198">
        <f>+SUM(START:END!I37)</f>
        <v>0</v>
      </c>
      <c r="J37" s="152"/>
      <c r="K37" s="26">
        <f t="shared" si="23"/>
        <v>-117.72404958677689</v>
      </c>
      <c r="L37" s="202">
        <f>+SUM(START:END!L37)</f>
        <v>-14244.610000000002</v>
      </c>
      <c r="N37" s="222">
        <f t="shared" si="24"/>
        <v>-58324.058582575009</v>
      </c>
      <c r="O37" s="152"/>
      <c r="P37" s="26">
        <f t="shared" si="25"/>
        <v>183.21865671641788</v>
      </c>
      <c r="Q37" s="201">
        <f>+SUM(START:END!Q37)</f>
        <v>36826.949999999997</v>
      </c>
      <c r="R37" s="152"/>
      <c r="S37" s="242">
        <f t="shared" si="26"/>
        <v>-51071.56</v>
      </c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</row>
    <row r="38" spans="1:40" ht="15.75" hidden="1" customHeight="1">
      <c r="A38" s="23" t="str">
        <f t="shared" si="1"/>
        <v>Véhicules neufs[...]</v>
      </c>
      <c r="B38" s="184" t="str">
        <f t="shared" si="0"/>
        <v>Véhicules neufs</v>
      </c>
      <c r="C38" s="1" t="s">
        <v>20</v>
      </c>
      <c r="D38" s="30"/>
      <c r="E38" s="26">
        <f t="shared" si="21"/>
        <v>0</v>
      </c>
      <c r="F38" s="198">
        <f>+SUM(START:END!F38)</f>
        <v>0</v>
      </c>
      <c r="G38" s="240"/>
      <c r="H38" s="26" t="e">
        <f t="shared" si="22"/>
        <v>#DIV/0!</v>
      </c>
      <c r="I38" s="198">
        <f>+SUM(START:END!I38)</f>
        <v>0</v>
      </c>
      <c r="J38" s="152"/>
      <c r="K38" s="26">
        <f t="shared" si="23"/>
        <v>0</v>
      </c>
      <c r="L38" s="202">
        <f>+SUM(START:END!L38)</f>
        <v>0</v>
      </c>
      <c r="N38" s="222">
        <f t="shared" ref="N38:N53" si="27">L38-I38</f>
        <v>0</v>
      </c>
      <c r="O38" s="152"/>
      <c r="P38" s="26">
        <f t="shared" si="25"/>
        <v>0</v>
      </c>
      <c r="Q38" s="201">
        <f>+SUM(START:END!Q38)</f>
        <v>0</v>
      </c>
      <c r="R38" s="152"/>
      <c r="S38" s="242">
        <f t="shared" si="26"/>
        <v>0</v>
      </c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</row>
    <row r="39" spans="1:40" ht="15.75" hidden="1" customHeight="1">
      <c r="A39" s="23" t="str">
        <f t="shared" si="1"/>
        <v>Véhicules neufs[...]</v>
      </c>
      <c r="B39" s="184" t="str">
        <f t="shared" si="0"/>
        <v>Véhicules neufs</v>
      </c>
      <c r="C39" s="1" t="s">
        <v>20</v>
      </c>
      <c r="D39" s="30"/>
      <c r="E39" s="26">
        <f t="shared" si="21"/>
        <v>0</v>
      </c>
      <c r="F39" s="198">
        <f>+SUM(START:END!F39)</f>
        <v>0</v>
      </c>
      <c r="G39" s="240"/>
      <c r="H39" s="26" t="e">
        <f t="shared" si="22"/>
        <v>#DIV/0!</v>
      </c>
      <c r="I39" s="198">
        <f>+SUM(START:END!I39)</f>
        <v>0</v>
      </c>
      <c r="J39" s="152"/>
      <c r="K39" s="26">
        <f t="shared" si="23"/>
        <v>0</v>
      </c>
      <c r="L39" s="202">
        <f>+SUM(START:END!L39)</f>
        <v>0</v>
      </c>
      <c r="N39" s="222">
        <f t="shared" si="27"/>
        <v>0</v>
      </c>
      <c r="O39" s="152"/>
      <c r="P39" s="26">
        <f t="shared" si="25"/>
        <v>0</v>
      </c>
      <c r="Q39" s="201">
        <f>+SUM(START:END!Q39)</f>
        <v>0</v>
      </c>
      <c r="R39" s="152"/>
      <c r="S39" s="242">
        <f t="shared" si="26"/>
        <v>0</v>
      </c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</row>
    <row r="40" spans="1:40" ht="15.75" hidden="1" customHeight="1">
      <c r="A40" s="23" t="str">
        <f t="shared" si="1"/>
        <v>Véhicules neufs[...]</v>
      </c>
      <c r="B40" s="184" t="str">
        <f t="shared" si="0"/>
        <v>Véhicules neufs</v>
      </c>
      <c r="C40" s="1" t="s">
        <v>20</v>
      </c>
      <c r="D40" s="30"/>
      <c r="E40" s="26">
        <f t="shared" si="21"/>
        <v>0</v>
      </c>
      <c r="F40" s="198">
        <f>+SUM(START:END!F40)</f>
        <v>0</v>
      </c>
      <c r="G40" s="240"/>
      <c r="H40" s="26" t="e">
        <f t="shared" si="22"/>
        <v>#DIV/0!</v>
      </c>
      <c r="I40" s="198">
        <f>+SUM(START:END!I40)</f>
        <v>0</v>
      </c>
      <c r="J40" s="152"/>
      <c r="K40" s="26">
        <f t="shared" si="23"/>
        <v>0</v>
      </c>
      <c r="L40" s="217">
        <f>+SUM(START:END!L40)</f>
        <v>0</v>
      </c>
      <c r="N40" s="222">
        <f t="shared" si="27"/>
        <v>0</v>
      </c>
      <c r="O40" s="152"/>
      <c r="P40" s="26">
        <f t="shared" si="25"/>
        <v>0</v>
      </c>
      <c r="Q40" s="201">
        <f>+SUM(START:END!Q40)</f>
        <v>0</v>
      </c>
      <c r="R40" s="152"/>
      <c r="S40" s="242">
        <f t="shared" si="26"/>
        <v>0</v>
      </c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</row>
    <row r="41" spans="1:40" ht="15.75" customHeight="1">
      <c r="A41" s="23" t="str">
        <f t="shared" si="1"/>
        <v>Véhicules neufsTOTAL VARIABLES</v>
      </c>
      <c r="B41" s="184" t="str">
        <f t="shared" si="0"/>
        <v>Véhicules neufs</v>
      </c>
      <c r="C41" s="40" t="s">
        <v>38</v>
      </c>
      <c r="D41" s="250" t="s">
        <v>39</v>
      </c>
      <c r="E41" s="42">
        <f>F41/F$27</f>
        <v>0.43329686302824405</v>
      </c>
      <c r="F41" s="251">
        <f>SUM(F31:F40)</f>
        <v>337486.24833471561</v>
      </c>
      <c r="G41" s="252" t="s">
        <v>39</v>
      </c>
      <c r="H41" s="42" t="e">
        <f>I41/I$27</f>
        <v>#DIV/0!</v>
      </c>
      <c r="I41" s="251">
        <f>SUM(I31:I40)</f>
        <v>0</v>
      </c>
      <c r="J41" s="252" t="s">
        <v>39</v>
      </c>
      <c r="K41" s="42">
        <f>L41/L$27</f>
        <v>0.48173193095478767</v>
      </c>
      <c r="L41" s="251">
        <f>SUM(L31:L40)</f>
        <v>182921.23999999996</v>
      </c>
      <c r="M41" s="253"/>
      <c r="N41" s="251">
        <f>SUM(N31:N40)</f>
        <v>-154565.00833471565</v>
      </c>
      <c r="O41" s="252" t="s">
        <v>39</v>
      </c>
      <c r="P41" s="42">
        <f>Q41/Q$27</f>
        <v>0.40179830965178959</v>
      </c>
      <c r="Q41" s="46">
        <f>SUM(Q31:Q40)</f>
        <v>296834.02999999991</v>
      </c>
      <c r="R41" s="254"/>
      <c r="S41" s="255">
        <f t="shared" si="26"/>
        <v>-113912.78999999995</v>
      </c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</row>
    <row r="42" spans="1:40" ht="15.75" customHeight="1">
      <c r="A42" s="23" t="str">
        <f t="shared" si="1"/>
        <v>Véhicules neufsSalaires cadres</v>
      </c>
      <c r="B42" s="184" t="str">
        <f t="shared" si="0"/>
        <v>Véhicules neufs</v>
      </c>
      <c r="C42" s="1" t="s">
        <v>41</v>
      </c>
      <c r="F42" s="198">
        <f>+SUM(START:END!F42)</f>
        <v>57527.712500000009</v>
      </c>
      <c r="G42" s="152"/>
      <c r="I42" s="198">
        <f>+SUM(START:END!I42)</f>
        <v>0</v>
      </c>
      <c r="J42" s="152"/>
      <c r="L42" s="201">
        <f>+SUM(START:END!L42)</f>
        <v>42916.83</v>
      </c>
      <c r="M42" s="152"/>
      <c r="N42" s="222">
        <f t="shared" ref="N42:N52" si="28">L42-F42</f>
        <v>-14610.882500000007</v>
      </c>
      <c r="O42" s="152"/>
      <c r="Q42" s="201">
        <f>+SUM(START:END!Q42)</f>
        <v>37807.07</v>
      </c>
      <c r="R42" s="152"/>
      <c r="S42" s="224"/>
    </row>
    <row r="43" spans="1:40" ht="15.75" customHeight="1">
      <c r="A43" s="23" t="str">
        <f t="shared" si="1"/>
        <v>Véhicules neufsSalaires commis</v>
      </c>
      <c r="B43" s="184" t="str">
        <f t="shared" si="0"/>
        <v>Véhicules neufs</v>
      </c>
      <c r="C43" s="2" t="s">
        <v>42</v>
      </c>
      <c r="D43" s="30"/>
      <c r="F43" s="193">
        <f>+SUM(START:END!F43)</f>
        <v>36489.411</v>
      </c>
      <c r="G43" s="240"/>
      <c r="I43" s="193">
        <f>+SUM(START:END!I43)</f>
        <v>0</v>
      </c>
      <c r="J43" s="152"/>
      <c r="L43" s="201">
        <f>+SUM(START:END!L43)</f>
        <v>30835.879999999997</v>
      </c>
      <c r="M43" s="152"/>
      <c r="N43" s="222">
        <f t="shared" si="28"/>
        <v>-5653.5310000000027</v>
      </c>
      <c r="O43" s="152"/>
      <c r="Q43" s="201">
        <f>+SUM(START:END!Q43)</f>
        <v>31805.120000000003</v>
      </c>
      <c r="R43" s="152"/>
      <c r="S43" s="242">
        <f t="shared" ref="S43:S53" si="29">L43-Q43</f>
        <v>-969.24000000000524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</row>
    <row r="44" spans="1:40" ht="15.75" customHeight="1">
      <c r="A44" s="23" t="str">
        <f t="shared" si="1"/>
        <v>Véhicules neufsSalaires autres</v>
      </c>
      <c r="B44" s="184" t="str">
        <f t="shared" si="0"/>
        <v>Véhicules neufs</v>
      </c>
      <c r="C44" s="1" t="s">
        <v>43</v>
      </c>
      <c r="D44" s="52"/>
      <c r="E44" s="53"/>
      <c r="F44" s="198">
        <f>+SUM(START:END!F44)</f>
        <v>8659.1500000000015</v>
      </c>
      <c r="G44" s="256"/>
      <c r="H44" s="53"/>
      <c r="I44" s="198">
        <f>+SUM(START:END!I44)</f>
        <v>0</v>
      </c>
      <c r="J44" s="154"/>
      <c r="K44" s="53"/>
      <c r="L44" s="257">
        <f>+SUM(START:END!L44)</f>
        <v>9321.24</v>
      </c>
      <c r="M44" s="154"/>
      <c r="N44" s="258">
        <f t="shared" si="28"/>
        <v>662.08999999999833</v>
      </c>
      <c r="O44" s="154"/>
      <c r="P44" s="53"/>
      <c r="Q44" s="257">
        <f>+SUM(START:END!Q44)</f>
        <v>11775.779999999999</v>
      </c>
      <c r="R44" s="154"/>
      <c r="S44" s="259">
        <f t="shared" si="29"/>
        <v>-2454.5399999999991</v>
      </c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</row>
    <row r="45" spans="1:40" ht="15.75" customHeight="1">
      <c r="A45" s="23" t="str">
        <f t="shared" si="1"/>
        <v>Véhicules neufsSalaires spécialistes</v>
      </c>
      <c r="B45" s="184" t="str">
        <f t="shared" si="0"/>
        <v>Véhicules neufs</v>
      </c>
      <c r="C45" s="1" t="s">
        <v>44</v>
      </c>
      <c r="D45" s="30"/>
      <c r="F45" s="198">
        <f>+SUM(START:END!F45)</f>
        <v>0</v>
      </c>
      <c r="G45" s="240"/>
      <c r="I45" s="198">
        <f>+SUM(START:END!I45)</f>
        <v>0</v>
      </c>
      <c r="J45" s="152"/>
      <c r="L45" s="201">
        <f>+SUM(START:END!L45)</f>
        <v>0</v>
      </c>
      <c r="M45" s="152"/>
      <c r="N45" s="222">
        <f t="shared" si="28"/>
        <v>0</v>
      </c>
      <c r="O45" s="152"/>
      <c r="Q45" s="201">
        <f>+SUM(START:END!Q45)</f>
        <v>0</v>
      </c>
      <c r="R45" s="152"/>
      <c r="S45" s="242">
        <f t="shared" si="29"/>
        <v>0</v>
      </c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</row>
    <row r="46" spans="1:40" ht="15.75" hidden="1" customHeight="1">
      <c r="A46" s="23" t="str">
        <f t="shared" si="1"/>
        <v>Véhicules neufs[...]</v>
      </c>
      <c r="B46" s="184" t="str">
        <f t="shared" si="0"/>
        <v>Véhicules neufs</v>
      </c>
      <c r="C46" s="1" t="s">
        <v>20</v>
      </c>
      <c r="D46" s="30"/>
      <c r="F46" s="198">
        <f>+SUM(START:END!F46)</f>
        <v>0</v>
      </c>
      <c r="G46" s="240"/>
      <c r="I46" s="198">
        <f>+SUM(START:END!I46)</f>
        <v>0</v>
      </c>
      <c r="J46" s="152"/>
      <c r="L46" s="201">
        <f>+SUM(START:END!L46)</f>
        <v>0</v>
      </c>
      <c r="M46" s="152"/>
      <c r="N46" s="222">
        <f t="shared" si="28"/>
        <v>0</v>
      </c>
      <c r="O46" s="152"/>
      <c r="Q46" s="201">
        <f>+SUM(START:END!Q46)</f>
        <v>0</v>
      </c>
      <c r="R46" s="152"/>
      <c r="S46" s="242">
        <f t="shared" si="29"/>
        <v>0</v>
      </c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</row>
    <row r="47" spans="1:40" ht="15.75" hidden="1" customHeight="1">
      <c r="A47" s="23" t="str">
        <f t="shared" si="1"/>
        <v>Véhicules neufs[...]</v>
      </c>
      <c r="B47" s="184" t="str">
        <f t="shared" si="0"/>
        <v>Véhicules neufs</v>
      </c>
      <c r="C47" s="1" t="s">
        <v>20</v>
      </c>
      <c r="D47" s="30"/>
      <c r="F47" s="198">
        <f>+SUM(START:END!F47)</f>
        <v>0</v>
      </c>
      <c r="G47" s="240"/>
      <c r="I47" s="198">
        <f>+SUM(START:END!I47)</f>
        <v>0</v>
      </c>
      <c r="J47" s="152"/>
      <c r="L47" s="201">
        <f>+SUM(START:END!L47)</f>
        <v>0</v>
      </c>
      <c r="M47" s="152"/>
      <c r="N47" s="222">
        <f t="shared" si="28"/>
        <v>0</v>
      </c>
      <c r="O47" s="152"/>
      <c r="Q47" s="201">
        <f>+SUM(START:END!Q47)</f>
        <v>0</v>
      </c>
      <c r="R47" s="152"/>
      <c r="S47" s="242">
        <f t="shared" si="29"/>
        <v>0</v>
      </c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</row>
    <row r="48" spans="1:40" ht="15.75" hidden="1" customHeight="1">
      <c r="A48" s="23" t="str">
        <f t="shared" si="1"/>
        <v>Véhicules neufs[...]</v>
      </c>
      <c r="B48" s="184" t="str">
        <f t="shared" si="0"/>
        <v>Véhicules neufs</v>
      </c>
      <c r="C48" s="1" t="s">
        <v>20</v>
      </c>
      <c r="D48" s="30"/>
      <c r="F48" s="198">
        <f>+SUM(START:END!F48)</f>
        <v>0</v>
      </c>
      <c r="G48" s="240"/>
      <c r="I48" s="198">
        <f>+SUM(START:END!I48)</f>
        <v>0</v>
      </c>
      <c r="J48" s="152"/>
      <c r="L48" s="201">
        <f>+SUM(START:END!L48)</f>
        <v>0</v>
      </c>
      <c r="M48" s="152"/>
      <c r="N48" s="222">
        <f t="shared" si="28"/>
        <v>0</v>
      </c>
      <c r="O48" s="152"/>
      <c r="Q48" s="201">
        <f>+SUM(START:END!Q48)</f>
        <v>0</v>
      </c>
      <c r="R48" s="152"/>
      <c r="S48" s="242">
        <f t="shared" si="29"/>
        <v>0</v>
      </c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</row>
    <row r="49" spans="1:40" ht="15.75" customHeight="1">
      <c r="A49" s="23" t="str">
        <f t="shared" si="1"/>
        <v>Véhicules neufsSalaires en absences</v>
      </c>
      <c r="B49" s="184" t="str">
        <f t="shared" si="0"/>
        <v>Véhicules neufs</v>
      </c>
      <c r="C49" s="2" t="s">
        <v>45</v>
      </c>
      <c r="D49" s="30"/>
      <c r="F49" s="193">
        <f>+SUM(START:END!F49)</f>
        <v>34718.336546300423</v>
      </c>
      <c r="G49" s="240"/>
      <c r="I49" s="193">
        <f>+SUM(START:END!I49)</f>
        <v>0</v>
      </c>
      <c r="J49" s="152"/>
      <c r="L49" s="193">
        <f>+SUM(START:END!L49)</f>
        <v>31124.080000000002</v>
      </c>
      <c r="M49" s="152"/>
      <c r="N49" s="222">
        <f t="shared" si="28"/>
        <v>-3594.2565463004212</v>
      </c>
      <c r="O49" s="152"/>
      <c r="Q49" s="193">
        <f>+SUM(START:END!Q49)</f>
        <v>27780.69</v>
      </c>
      <c r="R49" s="152"/>
      <c r="S49" s="242">
        <f t="shared" si="29"/>
        <v>3343.3900000000031</v>
      </c>
    </row>
    <row r="50" spans="1:40" ht="15.75" customHeight="1">
      <c r="A50" s="23" t="str">
        <f t="shared" si="1"/>
        <v>Véhicules neufsDéduction à la source</v>
      </c>
      <c r="B50" s="184" t="str">
        <f t="shared" si="0"/>
        <v>Véhicules neufs</v>
      </c>
      <c r="C50" s="1" t="s">
        <v>46</v>
      </c>
      <c r="D50" s="52"/>
      <c r="E50" s="53"/>
      <c r="F50" s="198">
        <f>+SUM(START:END!F50)</f>
        <v>42212.603025457785</v>
      </c>
      <c r="G50" s="256"/>
      <c r="H50" s="53"/>
      <c r="I50" s="198">
        <f>+SUM(START:END!I50)</f>
        <v>0</v>
      </c>
      <c r="J50" s="154"/>
      <c r="K50" s="53"/>
      <c r="L50" s="201">
        <f>+SUM(START:END!L50)</f>
        <v>37824.340000000004</v>
      </c>
      <c r="M50" s="154"/>
      <c r="N50" s="258">
        <f t="shared" si="28"/>
        <v>-4388.2630254577816</v>
      </c>
      <c r="O50" s="154"/>
      <c r="P50" s="53"/>
      <c r="Q50" s="201">
        <f>+SUM(START:END!Q50)</f>
        <v>31683.11</v>
      </c>
      <c r="R50" s="154"/>
      <c r="S50" s="259">
        <f t="shared" si="29"/>
        <v>6141.2300000000032</v>
      </c>
    </row>
    <row r="51" spans="1:40" ht="15.75" customHeight="1">
      <c r="A51" s="23" t="str">
        <f t="shared" si="1"/>
        <v>Véhicules neufsBénéfices marginaux</v>
      </c>
      <c r="B51" s="184" t="str">
        <f t="shared" si="0"/>
        <v>Véhicules neufs</v>
      </c>
      <c r="C51" s="1" t="s">
        <v>47</v>
      </c>
      <c r="D51" s="30"/>
      <c r="F51" s="198">
        <f>+SUM(START:END!F51)</f>
        <v>21748.667210942378</v>
      </c>
      <c r="G51" s="240"/>
      <c r="I51" s="198">
        <f>+SUM(START:END!I51)</f>
        <v>0</v>
      </c>
      <c r="J51" s="152"/>
      <c r="L51" s="201">
        <f>+SUM(START:END!L51)</f>
        <v>11323.66</v>
      </c>
      <c r="M51" s="152"/>
      <c r="N51" s="222">
        <f t="shared" si="28"/>
        <v>-10425.007210942378</v>
      </c>
      <c r="O51" s="152"/>
      <c r="Q51" s="201">
        <f>+SUM(START:END!Q51)</f>
        <v>15911.679999999989</v>
      </c>
      <c r="R51" s="152"/>
      <c r="S51" s="242">
        <f t="shared" si="29"/>
        <v>-4588.0199999999895</v>
      </c>
    </row>
    <row r="52" spans="1:40" ht="15.75" customHeight="1">
      <c r="A52" s="23" t="str">
        <f t="shared" si="1"/>
        <v>Véhicules neufsCsst</v>
      </c>
      <c r="B52" s="184" t="str">
        <f t="shared" si="0"/>
        <v>Véhicules neufs</v>
      </c>
      <c r="C52" s="1" t="s">
        <v>48</v>
      </c>
      <c r="D52" s="30"/>
      <c r="F52" s="198">
        <f>+SUM(START:END!F52)</f>
        <v>9482.541259341966</v>
      </c>
      <c r="G52" s="240"/>
      <c r="I52" s="198">
        <f>+SUM(START:END!I52)</f>
        <v>0</v>
      </c>
      <c r="J52" s="152"/>
      <c r="L52" s="201">
        <f>+SUM(START:END!L52)</f>
        <v>5653.92</v>
      </c>
      <c r="M52" s="152"/>
      <c r="N52" s="222">
        <f t="shared" si="28"/>
        <v>-3828.6212593419659</v>
      </c>
      <c r="O52" s="152"/>
      <c r="Q52" s="201">
        <f>+SUM(START:END!Q52)</f>
        <v>3041.6400000000003</v>
      </c>
      <c r="R52" s="152"/>
      <c r="S52" s="242">
        <f t="shared" si="29"/>
        <v>2612.2799999999997</v>
      </c>
    </row>
    <row r="53" spans="1:40" ht="15.75" hidden="1" customHeight="1">
      <c r="A53" s="23" t="str">
        <f t="shared" si="1"/>
        <v>Véhicules neufs[...]</v>
      </c>
      <c r="B53" s="184" t="str">
        <f t="shared" si="0"/>
        <v>Véhicules neufs</v>
      </c>
      <c r="C53" s="1" t="s">
        <v>20</v>
      </c>
      <c r="D53" s="34"/>
      <c r="E53" s="7"/>
      <c r="F53" s="198">
        <f>+SUM(START:END!F53)</f>
        <v>0</v>
      </c>
      <c r="G53" s="244"/>
      <c r="H53" s="7"/>
      <c r="I53" s="198">
        <f>+SUM(START:END!I53)</f>
        <v>0</v>
      </c>
      <c r="J53" s="153"/>
      <c r="K53" s="7"/>
      <c r="L53" s="201">
        <f>+SUM(START:END!L53)</f>
        <v>0</v>
      </c>
      <c r="M53" s="153"/>
      <c r="N53" s="247">
        <f t="shared" si="27"/>
        <v>0</v>
      </c>
      <c r="O53" s="153"/>
      <c r="P53" s="7"/>
      <c r="Q53" s="201">
        <f>+SUM(START:END!Q53)</f>
        <v>0</v>
      </c>
      <c r="R53" s="153"/>
      <c r="S53" s="248">
        <f t="shared" si="29"/>
        <v>0</v>
      </c>
    </row>
    <row r="54" spans="1:40" ht="15.75" customHeight="1">
      <c r="A54" s="23" t="str">
        <f t="shared" si="1"/>
        <v>Véhicules neufsTOTAL PERSONNEL</v>
      </c>
      <c r="B54" s="184" t="str">
        <f t="shared" si="0"/>
        <v>Véhicules neufs</v>
      </c>
      <c r="C54" s="40" t="s">
        <v>49</v>
      </c>
      <c r="D54" s="250" t="s">
        <v>39</v>
      </c>
      <c r="E54" s="42">
        <f>F54/F$27</f>
        <v>0.27069436787654816</v>
      </c>
      <c r="F54" s="251">
        <f>+SUM(F42:F53)</f>
        <v>210838.42154204255</v>
      </c>
      <c r="G54" s="252" t="s">
        <v>39</v>
      </c>
      <c r="H54" s="42" t="e">
        <f>I54/I$27</f>
        <v>#DIV/0!</v>
      </c>
      <c r="I54" s="251">
        <f>+SUM(I42:I53)</f>
        <v>0</v>
      </c>
      <c r="J54" s="252" t="s">
        <v>39</v>
      </c>
      <c r="K54" s="42">
        <f>L54/L$27</f>
        <v>0.44506954055615738</v>
      </c>
      <c r="L54" s="251">
        <f>+SUM(L42:L53)</f>
        <v>168999.95</v>
      </c>
      <c r="M54" s="254"/>
      <c r="N54" s="251">
        <f>+SUM(N42:N53)</f>
        <v>-41838.471542042564</v>
      </c>
      <c r="O54" s="252" t="s">
        <v>39</v>
      </c>
      <c r="P54" s="42">
        <f>Q54/Q$27</f>
        <v>0.21631419765365897</v>
      </c>
      <c r="Q54" s="251">
        <f>+SUM(Q42:Q53)</f>
        <v>159805.09000000003</v>
      </c>
      <c r="R54" s="254"/>
      <c r="S54" s="255">
        <f>+SUM(S42:S53)</f>
        <v>4085.1000000000122</v>
      </c>
      <c r="T54" s="26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</row>
    <row r="55" spans="1:40" ht="15.75" customHeight="1">
      <c r="A55" s="23" t="str">
        <f t="shared" si="1"/>
        <v>Véhicules neufsPublicité 2</v>
      </c>
      <c r="B55" s="184" t="str">
        <f t="shared" si="0"/>
        <v>Véhicules neufs</v>
      </c>
      <c r="C55" s="1" t="s">
        <v>50</v>
      </c>
      <c r="D55" s="30"/>
      <c r="F55" s="198">
        <f>+SUM(START:END!F55)</f>
        <v>0</v>
      </c>
      <c r="G55" s="240"/>
      <c r="I55" s="198">
        <f>+SUM(START:END!I55)</f>
        <v>0</v>
      </c>
      <c r="J55" s="152"/>
      <c r="L55" s="201">
        <f>+SUM(START:END!L55)</f>
        <v>0</v>
      </c>
      <c r="M55" s="152"/>
      <c r="N55" s="222">
        <f t="shared" ref="N55:N68" si="30">L55-F55</f>
        <v>0</v>
      </c>
      <c r="O55" s="152"/>
      <c r="Q55" s="201">
        <f>+SUM(START:END!Q55)</f>
        <v>0</v>
      </c>
      <c r="R55" s="152"/>
      <c r="S55" s="242">
        <f t="shared" ref="S55:S71" si="31">L55-Q55</f>
        <v>0</v>
      </c>
      <c r="T55" s="26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</row>
    <row r="56" spans="1:40" ht="15.75" customHeight="1">
      <c r="A56" s="23" t="str">
        <f t="shared" si="1"/>
        <v>Véhicules neufsService gratuit 2</v>
      </c>
      <c r="B56" s="184" t="str">
        <f t="shared" si="0"/>
        <v>Véhicules neufs</v>
      </c>
      <c r="C56" s="1" t="s">
        <v>51</v>
      </c>
      <c r="D56" s="30"/>
      <c r="F56" s="198">
        <f>+SUM(START:END!F56)</f>
        <v>0</v>
      </c>
      <c r="G56" s="240"/>
      <c r="I56" s="198">
        <f>+SUM(START:END!I56)</f>
        <v>0</v>
      </c>
      <c r="J56" s="152"/>
      <c r="L56" s="201">
        <f>+SUM(START:END!L56)</f>
        <v>0</v>
      </c>
      <c r="M56" s="152"/>
      <c r="N56" s="222">
        <f t="shared" si="30"/>
        <v>0</v>
      </c>
      <c r="O56" s="152"/>
      <c r="Q56" s="201">
        <f>+SUM(START:END!Q56)</f>
        <v>0</v>
      </c>
      <c r="R56" s="152"/>
      <c r="S56" s="242">
        <f t="shared" si="31"/>
        <v>0</v>
      </c>
      <c r="T56" s="26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</row>
    <row r="57" spans="1:40" ht="15.75" customHeight="1">
      <c r="A57" s="23" t="str">
        <f t="shared" si="1"/>
        <v>Véhicules neufsFrais véhicules de cie</v>
      </c>
      <c r="B57" s="184" t="str">
        <f t="shared" si="0"/>
        <v>Véhicules neufs</v>
      </c>
      <c r="C57" s="2" t="s">
        <v>52</v>
      </c>
      <c r="D57" s="34"/>
      <c r="E57" s="7"/>
      <c r="F57" s="193">
        <f>+SUM(START:END!F57)</f>
        <v>27600</v>
      </c>
      <c r="G57" s="244"/>
      <c r="H57" s="7"/>
      <c r="I57" s="193">
        <f>+SUM(START:END!I57)</f>
        <v>0</v>
      </c>
      <c r="J57" s="153"/>
      <c r="K57" s="7"/>
      <c r="L57" s="193">
        <f>+SUM(START:END!L57)</f>
        <v>28844.140000000003</v>
      </c>
      <c r="M57" s="153"/>
      <c r="N57" s="247">
        <f t="shared" si="30"/>
        <v>1244.1400000000031</v>
      </c>
      <c r="O57" s="153"/>
      <c r="P57" s="7"/>
      <c r="Q57" s="193">
        <f>+SUM(START:END!Q57)</f>
        <v>24104.649999999998</v>
      </c>
      <c r="R57" s="153"/>
      <c r="S57" s="248">
        <f t="shared" si="31"/>
        <v>4739.4900000000052</v>
      </c>
      <c r="T57" s="87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</row>
    <row r="58" spans="1:40" ht="15.75" customHeight="1">
      <c r="A58" s="23" t="str">
        <f t="shared" si="1"/>
        <v>Véhicules neufsInformatique</v>
      </c>
      <c r="B58" s="184" t="str">
        <f t="shared" si="0"/>
        <v>Véhicules neufs</v>
      </c>
      <c r="C58" s="1" t="s">
        <v>53</v>
      </c>
      <c r="D58" s="30"/>
      <c r="F58" s="198">
        <f>+SUM(START:END!F58)</f>
        <v>27119.086398666666</v>
      </c>
      <c r="G58" s="240"/>
      <c r="I58" s="198">
        <f>+SUM(START:END!I58)</f>
        <v>0</v>
      </c>
      <c r="J58" s="152"/>
      <c r="L58" s="201">
        <f>+SUM(START:END!L58)</f>
        <v>21883.84</v>
      </c>
      <c r="M58" s="152"/>
      <c r="N58" s="222">
        <f t="shared" si="30"/>
        <v>-5235.2463986666662</v>
      </c>
      <c r="O58" s="152"/>
      <c r="Q58" s="201">
        <f>+SUM(START:END!Q58)</f>
        <v>20023.38</v>
      </c>
      <c r="R58" s="152"/>
      <c r="S58" s="242">
        <f t="shared" si="31"/>
        <v>1860.4599999999991</v>
      </c>
      <c r="T58" s="26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</row>
    <row r="59" spans="1:40" ht="15.75" customHeight="1">
      <c r="A59" s="23" t="str">
        <f t="shared" si="1"/>
        <v>Véhicules neufsFrais de déplacement</v>
      </c>
      <c r="B59" s="184" t="str">
        <f t="shared" si="0"/>
        <v>Véhicules neufs</v>
      </c>
      <c r="C59" s="1" t="s">
        <v>54</v>
      </c>
      <c r="D59" s="30"/>
      <c r="F59" s="198">
        <f>+SUM(START:END!F59)</f>
        <v>3315.677654673359</v>
      </c>
      <c r="G59" s="240"/>
      <c r="I59" s="198">
        <f>+SUM(START:END!I59)</f>
        <v>0</v>
      </c>
      <c r="J59" s="152"/>
      <c r="L59" s="201">
        <f>+SUM(START:END!L59)</f>
        <v>5836.41</v>
      </c>
      <c r="M59" s="152"/>
      <c r="N59" s="222">
        <f t="shared" si="30"/>
        <v>2520.7323453266408</v>
      </c>
      <c r="O59" s="152"/>
      <c r="Q59" s="201">
        <f>+SUM(START:END!Q59)</f>
        <v>4228.1100000000006</v>
      </c>
      <c r="R59" s="152"/>
      <c r="S59" s="242">
        <f t="shared" si="31"/>
        <v>1608.2999999999993</v>
      </c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</row>
    <row r="60" spans="1:40" ht="15.75" customHeight="1">
      <c r="A60" s="23" t="str">
        <f t="shared" si="1"/>
        <v>Véhicules neufsServices extérieurs</v>
      </c>
      <c r="B60" s="184" t="str">
        <f t="shared" si="0"/>
        <v>Véhicules neufs</v>
      </c>
      <c r="C60" s="2" t="s">
        <v>55</v>
      </c>
      <c r="D60" s="34"/>
      <c r="E60" s="7"/>
      <c r="F60" s="193">
        <f>+SUM(START:END!F60)</f>
        <v>20134.255926622223</v>
      </c>
      <c r="G60" s="244"/>
      <c r="H60" s="7"/>
      <c r="I60" s="193">
        <f>+SUM(START:END!I60)</f>
        <v>0</v>
      </c>
      <c r="J60" s="153"/>
      <c r="K60" s="7"/>
      <c r="L60" s="193">
        <f>+SUM(START:END!L60)</f>
        <v>22830.12</v>
      </c>
      <c r="M60" s="153"/>
      <c r="N60" s="247">
        <f t="shared" si="30"/>
        <v>2695.8640733777756</v>
      </c>
      <c r="O60" s="153"/>
      <c r="P60" s="7"/>
      <c r="Q60" s="193">
        <f>+SUM(START:END!Q60)</f>
        <v>23890.940000000002</v>
      </c>
      <c r="R60" s="153"/>
      <c r="S60" s="248">
        <f t="shared" si="31"/>
        <v>-1060.8200000000033</v>
      </c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</row>
    <row r="61" spans="1:40" ht="15.75" customHeight="1">
      <c r="A61" s="23" t="str">
        <f t="shared" si="1"/>
        <v>Véhicules neufsFournitures autres</v>
      </c>
      <c r="B61" s="184" t="str">
        <f t="shared" si="0"/>
        <v>Véhicules neufs</v>
      </c>
      <c r="C61" s="1" t="s">
        <v>56</v>
      </c>
      <c r="D61" s="30"/>
      <c r="F61" s="198">
        <f>+SUM(START:END!F61)</f>
        <v>375</v>
      </c>
      <c r="G61" s="240"/>
      <c r="I61" s="198">
        <f>+SUM(START:END!I61)</f>
        <v>0</v>
      </c>
      <c r="J61" s="152"/>
      <c r="L61" s="201">
        <f>+SUM(START:END!L61)</f>
        <v>176.44</v>
      </c>
      <c r="M61" s="152"/>
      <c r="N61" s="222">
        <f t="shared" si="30"/>
        <v>-198.56</v>
      </c>
      <c r="O61" s="152"/>
      <c r="Q61" s="201">
        <f>+SUM(START:END!Q61)</f>
        <v>322.07</v>
      </c>
      <c r="R61" s="152"/>
      <c r="S61" s="242">
        <f t="shared" si="31"/>
        <v>-145.63</v>
      </c>
    </row>
    <row r="62" spans="1:40" ht="15.75" customHeight="1">
      <c r="A62" s="23" t="str">
        <f t="shared" si="1"/>
        <v>Véhicules neufsUniformes</v>
      </c>
      <c r="B62" s="184" t="str">
        <f t="shared" si="0"/>
        <v>Véhicules neufs</v>
      </c>
      <c r="C62" s="1" t="s">
        <v>57</v>
      </c>
      <c r="D62" s="30"/>
      <c r="F62" s="198">
        <f>+SUM(START:END!F62)</f>
        <v>250</v>
      </c>
      <c r="G62" s="240"/>
      <c r="I62" s="198">
        <f>+SUM(START:END!I62)</f>
        <v>0</v>
      </c>
      <c r="J62" s="152"/>
      <c r="L62" s="201">
        <f>+SUM(START:END!L62)</f>
        <v>434.88</v>
      </c>
      <c r="M62" s="152"/>
      <c r="N62" s="222">
        <f t="shared" si="30"/>
        <v>184.88</v>
      </c>
      <c r="O62" s="152"/>
      <c r="Q62" s="201">
        <f>+SUM(START:END!Q62)</f>
        <v>0</v>
      </c>
      <c r="R62" s="152"/>
      <c r="S62" s="242">
        <f t="shared" si="31"/>
        <v>434.88</v>
      </c>
    </row>
    <row r="63" spans="1:40" ht="15.75" customHeight="1">
      <c r="A63" s="23" t="str">
        <f t="shared" si="1"/>
        <v>Véhicules neufsPapeterie</v>
      </c>
      <c r="B63" s="184" t="str">
        <f t="shared" si="0"/>
        <v>Véhicules neufs</v>
      </c>
      <c r="C63" s="1" t="s">
        <v>58</v>
      </c>
      <c r="D63" s="30"/>
      <c r="F63" s="198">
        <f>+SUM(START:END!F63)</f>
        <v>2270.8398059040001</v>
      </c>
      <c r="G63" s="240"/>
      <c r="I63" s="198">
        <f>+SUM(START:END!I63)</f>
        <v>0</v>
      </c>
      <c r="J63" s="152"/>
      <c r="L63" s="200">
        <f>+SUM(START:END!L63)</f>
        <v>2702.08</v>
      </c>
      <c r="M63" s="152"/>
      <c r="N63" s="222">
        <f t="shared" si="30"/>
        <v>431.24019409599987</v>
      </c>
      <c r="O63" s="152"/>
      <c r="Q63" s="200">
        <f>+SUM(START:END!Q63)</f>
        <v>3423.4800000000005</v>
      </c>
      <c r="R63" s="152"/>
      <c r="S63" s="242">
        <f t="shared" si="31"/>
        <v>-721.40000000000055</v>
      </c>
    </row>
    <row r="64" spans="1:40" ht="15.75" customHeight="1">
      <c r="A64" s="23" t="str">
        <f t="shared" si="1"/>
        <v>Véhicules neufsTéléphone</v>
      </c>
      <c r="B64" s="184" t="str">
        <f t="shared" si="0"/>
        <v>Véhicules neufs</v>
      </c>
      <c r="C64" s="1" t="s">
        <v>59</v>
      </c>
      <c r="D64" s="30"/>
      <c r="F64" s="198">
        <f>+SUM(START:END!F64)</f>
        <v>928.21045515866672</v>
      </c>
      <c r="G64" s="240"/>
      <c r="I64" s="198">
        <f>+SUM(START:END!I64)</f>
        <v>0</v>
      </c>
      <c r="J64" s="152"/>
      <c r="L64" s="201">
        <f>+SUM(START:END!L64)</f>
        <v>1073.56</v>
      </c>
      <c r="M64" s="152"/>
      <c r="N64" s="222">
        <f t="shared" si="30"/>
        <v>145.34954484133323</v>
      </c>
      <c r="O64" s="152"/>
      <c r="Q64" s="201">
        <f>+SUM(START:END!Q64)</f>
        <v>900.44</v>
      </c>
      <c r="R64" s="152"/>
      <c r="S64" s="242">
        <f t="shared" si="31"/>
        <v>173.11999999999989</v>
      </c>
    </row>
    <row r="65" spans="1:40" ht="15.75" customHeight="1">
      <c r="A65" s="23" t="str">
        <f t="shared" si="1"/>
        <v>Véhicules neufsFrais postaux</v>
      </c>
      <c r="B65" s="184" t="str">
        <f t="shared" si="0"/>
        <v>Véhicules neufs</v>
      </c>
      <c r="C65" s="1" t="s">
        <v>60</v>
      </c>
      <c r="D65" s="30"/>
      <c r="F65" s="198">
        <f>+SUM(START:END!F65)</f>
        <v>339.38642972133334</v>
      </c>
      <c r="G65" s="240"/>
      <c r="I65" s="198">
        <f>+SUM(START:END!I65)</f>
        <v>0</v>
      </c>
      <c r="J65" s="152"/>
      <c r="L65" s="201">
        <f>+SUM(START:END!L65)</f>
        <v>106.17000000000002</v>
      </c>
      <c r="M65" s="152"/>
      <c r="N65" s="222">
        <f t="shared" si="30"/>
        <v>-233.21642972133333</v>
      </c>
      <c r="O65" s="152"/>
      <c r="Q65" s="201">
        <f>+SUM(START:END!Q65)</f>
        <v>653.03</v>
      </c>
      <c r="R65" s="152"/>
      <c r="S65" s="242">
        <f t="shared" si="31"/>
        <v>-546.8599999999999</v>
      </c>
    </row>
    <row r="66" spans="1:40" ht="15.75" customHeight="1">
      <c r="A66" s="23" t="str">
        <f t="shared" si="1"/>
        <v>Véhicules neufsDivers</v>
      </c>
      <c r="B66" s="184" t="str">
        <f t="shared" si="0"/>
        <v>Véhicules neufs</v>
      </c>
      <c r="C66" s="1" t="s">
        <v>61</v>
      </c>
      <c r="D66" s="30"/>
      <c r="F66" s="198">
        <f>+SUM(START:END!F66)</f>
        <v>847.38781030533346</v>
      </c>
      <c r="G66" s="240"/>
      <c r="I66" s="198">
        <f>+SUM(START:END!I66)</f>
        <v>0</v>
      </c>
      <c r="J66" s="152"/>
      <c r="L66" s="201">
        <f>+SUM(START:END!L66)</f>
        <v>776.91</v>
      </c>
      <c r="M66" s="152"/>
      <c r="N66" s="222">
        <f t="shared" si="30"/>
        <v>-70.477810305333492</v>
      </c>
      <c r="O66" s="152"/>
      <c r="Q66" s="201">
        <f>+SUM(START:END!Q66)</f>
        <v>317.02</v>
      </c>
      <c r="R66" s="152"/>
      <c r="S66" s="242">
        <f t="shared" si="31"/>
        <v>459.89</v>
      </c>
    </row>
    <row r="67" spans="1:40" ht="15.75" customHeight="1">
      <c r="A67" s="23" t="str">
        <f t="shared" si="1"/>
        <v>Véhicules neufsFormation</v>
      </c>
      <c r="B67" s="184" t="str">
        <f t="shared" si="0"/>
        <v>Véhicules neufs</v>
      </c>
      <c r="C67" s="1" t="s">
        <v>62</v>
      </c>
      <c r="D67" s="30"/>
      <c r="F67" s="198">
        <f>+SUM(START:END!F67)</f>
        <v>5697.3225000000002</v>
      </c>
      <c r="G67" s="240"/>
      <c r="I67" s="198">
        <f>+SUM(START:END!I67)</f>
        <v>0</v>
      </c>
      <c r="J67" s="152"/>
      <c r="L67" s="201">
        <f>+SUM(START:END!L67)</f>
        <v>4254.49</v>
      </c>
      <c r="M67" s="152"/>
      <c r="N67" s="222">
        <f t="shared" si="30"/>
        <v>-1442.8325000000004</v>
      </c>
      <c r="O67" s="152"/>
      <c r="Q67" s="201">
        <f>+SUM(START:END!Q67)</f>
        <v>4833.9399999999996</v>
      </c>
      <c r="R67" s="152"/>
      <c r="S67" s="242">
        <f t="shared" si="31"/>
        <v>-579.44999999999982</v>
      </c>
    </row>
    <row r="68" spans="1:40" ht="15.75" customHeight="1">
      <c r="A68" s="23" t="str">
        <f t="shared" si="1"/>
        <v>Véhicules neufsFrais bancaires</v>
      </c>
      <c r="B68" s="184" t="str">
        <f t="shared" si="0"/>
        <v>Véhicules neufs</v>
      </c>
      <c r="C68" s="1" t="s">
        <v>63</v>
      </c>
      <c r="D68" s="30"/>
      <c r="F68" s="198">
        <f>+SUM(START:END!F68)</f>
        <v>10089.887787027848</v>
      </c>
      <c r="G68" s="240"/>
      <c r="I68" s="198">
        <f>+SUM(START:END!I68)</f>
        <v>0</v>
      </c>
      <c r="J68" s="152"/>
      <c r="L68" s="200">
        <f>+SUM(START:END!L68)</f>
        <v>15688.779999999999</v>
      </c>
      <c r="M68" s="152"/>
      <c r="N68" s="222">
        <f t="shared" si="30"/>
        <v>5598.8922129721504</v>
      </c>
      <c r="O68" s="152"/>
      <c r="Q68" s="201">
        <f>+SUM(START:END!Q68)</f>
        <v>12337.71</v>
      </c>
      <c r="R68" s="152"/>
      <c r="S68" s="242">
        <f t="shared" si="31"/>
        <v>3351.0699999999997</v>
      </c>
    </row>
    <row r="69" spans="1:40" ht="15.75" hidden="1" customHeight="1">
      <c r="A69" s="23" t="str">
        <f t="shared" si="1"/>
        <v>Véhicules neufs[...]</v>
      </c>
      <c r="B69" s="184" t="str">
        <f t="shared" si="0"/>
        <v>Véhicules neufs</v>
      </c>
      <c r="C69" s="1" t="s">
        <v>20</v>
      </c>
      <c r="D69" s="30"/>
      <c r="F69" s="198">
        <f>+SUM(START:END!F69)</f>
        <v>0</v>
      </c>
      <c r="G69" s="240"/>
      <c r="I69" s="198">
        <f>+SUM(START:END!I69)</f>
        <v>0</v>
      </c>
      <c r="J69" s="152"/>
      <c r="L69" s="201">
        <f>+SUM(START:END!L69)</f>
        <v>0</v>
      </c>
      <c r="M69" s="152"/>
      <c r="N69" s="222">
        <f t="shared" ref="N69:N71" si="32">L69-I69</f>
        <v>0</v>
      </c>
      <c r="O69" s="152"/>
      <c r="Q69" s="201">
        <f>+SUM(START:END!Q69)</f>
        <v>0</v>
      </c>
      <c r="R69" s="152"/>
      <c r="S69" s="242">
        <f t="shared" si="31"/>
        <v>0</v>
      </c>
    </row>
    <row r="70" spans="1:40" ht="15.75" hidden="1" customHeight="1">
      <c r="A70" s="23" t="str">
        <f t="shared" si="1"/>
        <v>Véhicules neufs[...]</v>
      </c>
      <c r="B70" s="184" t="str">
        <f t="shared" si="0"/>
        <v>Véhicules neufs</v>
      </c>
      <c r="C70" s="1" t="s">
        <v>20</v>
      </c>
      <c r="D70" s="30"/>
      <c r="F70" s="198">
        <f>+SUM(START:END!F70)</f>
        <v>0</v>
      </c>
      <c r="G70" s="240"/>
      <c r="I70" s="198">
        <f>+SUM(START:END!I70)</f>
        <v>0</v>
      </c>
      <c r="J70" s="152"/>
      <c r="L70" s="201">
        <f>+SUM(START:END!L70)</f>
        <v>0</v>
      </c>
      <c r="M70" s="152"/>
      <c r="N70" s="222">
        <f t="shared" si="32"/>
        <v>0</v>
      </c>
      <c r="O70" s="152"/>
      <c r="Q70" s="201">
        <f>+SUM(START:END!Q70)</f>
        <v>0</v>
      </c>
      <c r="R70" s="152"/>
      <c r="S70" s="242">
        <f t="shared" si="31"/>
        <v>0</v>
      </c>
    </row>
    <row r="71" spans="1:40" ht="15.75" hidden="1" customHeight="1">
      <c r="A71" s="23" t="str">
        <f t="shared" si="1"/>
        <v>Véhicules neufs[...]</v>
      </c>
      <c r="B71" s="184" t="str">
        <f t="shared" si="0"/>
        <v>Véhicules neufs</v>
      </c>
      <c r="C71" s="1" t="s">
        <v>20</v>
      </c>
      <c r="D71" s="30"/>
      <c r="F71" s="198">
        <f>+SUM(START:END!F71)</f>
        <v>0</v>
      </c>
      <c r="G71" s="240"/>
      <c r="I71" s="198">
        <f>+SUM(START:END!I71)</f>
        <v>0</v>
      </c>
      <c r="J71" s="152"/>
      <c r="L71" s="201">
        <f>+SUM(START:END!L71)</f>
        <v>0</v>
      </c>
      <c r="M71" s="152"/>
      <c r="N71" s="222">
        <f t="shared" si="32"/>
        <v>0</v>
      </c>
      <c r="O71" s="152"/>
      <c r="Q71" s="201">
        <f>+SUM(START:END!Q71)</f>
        <v>0</v>
      </c>
      <c r="R71" s="152"/>
      <c r="S71" s="242">
        <f t="shared" si="31"/>
        <v>0</v>
      </c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</row>
    <row r="72" spans="1:40" ht="15.75" customHeight="1">
      <c r="A72" s="23" t="str">
        <f t="shared" si="1"/>
        <v>Véhicules neufsTOTAL SEMI-FIXES</v>
      </c>
      <c r="B72" s="184" t="str">
        <f t="shared" si="0"/>
        <v>Véhicules neufs</v>
      </c>
      <c r="C72" s="40" t="s">
        <v>64</v>
      </c>
      <c r="D72" s="250" t="s">
        <v>39</v>
      </c>
      <c r="E72" s="42">
        <f>F72/F$27</f>
        <v>0.12706329394382662</v>
      </c>
      <c r="F72" s="251">
        <f>+SUM(F55:F71)</f>
        <v>98967.054768079426</v>
      </c>
      <c r="G72" s="252" t="s">
        <v>39</v>
      </c>
      <c r="H72" s="42" t="e">
        <f>I72/I$27</f>
        <v>#DIV/0!</v>
      </c>
      <c r="I72" s="251">
        <f>+SUM(I55:I71)</f>
        <v>0</v>
      </c>
      <c r="J72" s="252" t="s">
        <v>39</v>
      </c>
      <c r="K72" s="42">
        <f>L72/L$27</f>
        <v>0.27548975242880963</v>
      </c>
      <c r="L72" s="251">
        <f>+SUM(L55:L71)</f>
        <v>104607.82</v>
      </c>
      <c r="M72" s="254"/>
      <c r="N72" s="251">
        <f>+SUM(N55:N71)</f>
        <v>5640.7652319205699</v>
      </c>
      <c r="O72" s="252" t="s">
        <v>39</v>
      </c>
      <c r="P72" s="42">
        <f>Q72/Q$27</f>
        <v>0.12864027060558597</v>
      </c>
      <c r="Q72" s="251">
        <f>+SUM(Q55:Q71)</f>
        <v>95034.770000000019</v>
      </c>
      <c r="R72" s="254"/>
      <c r="S72" s="255">
        <f>+SUM(S55:S71)</f>
        <v>9573.0499999999993</v>
      </c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</row>
    <row r="73" spans="1:40" ht="15.75" customHeight="1">
      <c r="A73" s="23" t="str">
        <f t="shared" si="1"/>
        <v>Véhicules neufs</v>
      </c>
      <c r="B73" s="184" t="str">
        <f t="shared" si="0"/>
        <v>Véhicules neufs</v>
      </c>
      <c r="C73" s="2"/>
      <c r="D73" s="34"/>
      <c r="E73" s="7"/>
      <c r="F73" s="222"/>
      <c r="G73" s="244"/>
      <c r="H73" s="7"/>
      <c r="I73" s="222"/>
      <c r="J73" s="153"/>
      <c r="K73" s="7"/>
      <c r="L73" s="247"/>
      <c r="M73" s="153"/>
      <c r="N73" s="247"/>
      <c r="O73" s="153"/>
      <c r="P73" s="7"/>
      <c r="Q73" s="247"/>
      <c r="R73" s="153"/>
      <c r="S73" s="248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</row>
    <row r="74" spans="1:40" ht="15.75" customHeight="1">
      <c r="A74" s="23" t="str">
        <f t="shared" si="1"/>
        <v>Véhicules neufsTOTAL DES DÉPENSES</v>
      </c>
      <c r="B74" s="184" t="str">
        <f t="shared" si="0"/>
        <v>Véhicules neufs</v>
      </c>
      <c r="C74" s="40" t="s">
        <v>65</v>
      </c>
      <c r="D74" s="250" t="s">
        <v>39</v>
      </c>
      <c r="E74" s="42">
        <f>F74/F$27</f>
        <v>0.83105452484861875</v>
      </c>
      <c r="F74" s="251">
        <f>F41+F54+F72</f>
        <v>647291.72464483755</v>
      </c>
      <c r="G74" s="252" t="s">
        <v>39</v>
      </c>
      <c r="H74" s="42" t="e">
        <f>I74/I$27</f>
        <v>#DIV/0!</v>
      </c>
      <c r="I74" s="251">
        <f>I41+I54+I72</f>
        <v>0</v>
      </c>
      <c r="J74" s="252" t="s">
        <v>39</v>
      </c>
      <c r="K74" s="42">
        <f>L74/L$27</f>
        <v>1.2022912239397545</v>
      </c>
      <c r="L74" s="251">
        <f>L41+L54+L72</f>
        <v>456529.00999999995</v>
      </c>
      <c r="M74" s="254"/>
      <c r="N74" s="251">
        <f>N41+N54+N72</f>
        <v>-190762.71464483763</v>
      </c>
      <c r="O74" s="252" t="s">
        <v>39</v>
      </c>
      <c r="P74" s="42">
        <f>Q74/Q$27</f>
        <v>0.74675277791103445</v>
      </c>
      <c r="Q74" s="251">
        <f>Q41+Q54+Q72</f>
        <v>551673.8899999999</v>
      </c>
      <c r="R74" s="254"/>
      <c r="S74" s="261">
        <f>L74-Q74</f>
        <v>-95144.879999999946</v>
      </c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</row>
    <row r="75" spans="1:40" ht="15.75" customHeight="1">
      <c r="A75" s="23" t="str">
        <f t="shared" si="1"/>
        <v>Véhicules neufsProgramme neuf 1</v>
      </c>
      <c r="B75" s="184" t="str">
        <f t="shared" si="0"/>
        <v>Véhicules neufs</v>
      </c>
      <c r="C75" s="1" t="s">
        <v>197</v>
      </c>
      <c r="D75" s="30"/>
      <c r="F75" s="198">
        <f>+SUM(START:END!F75)</f>
        <v>20000</v>
      </c>
      <c r="G75" s="240"/>
      <c r="I75" s="198">
        <f>+SUM(START:END!I75)</f>
        <v>0</v>
      </c>
      <c r="J75" s="152"/>
      <c r="L75" s="200">
        <f>+SUM(START:END!L75)</f>
        <v>32500</v>
      </c>
      <c r="M75" s="152"/>
      <c r="N75" s="222">
        <f t="shared" ref="N75:N82" si="33">L75-F75</f>
        <v>12500</v>
      </c>
      <c r="O75" s="152"/>
      <c r="Q75" s="200">
        <f>+SUM(START:END!Q75)</f>
        <v>31556</v>
      </c>
      <c r="R75" s="152"/>
      <c r="S75" s="242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</row>
    <row r="76" spans="1:40" ht="15.75" customHeight="1">
      <c r="A76" s="23" t="str">
        <f t="shared" si="1"/>
        <v>Véhicules neufsProgramme neuf 2</v>
      </c>
      <c r="B76" s="184" t="str">
        <f t="shared" si="0"/>
        <v>Véhicules neufs</v>
      </c>
      <c r="C76" s="1" t="s">
        <v>194</v>
      </c>
      <c r="D76" s="30"/>
      <c r="F76" s="198">
        <f>+SUM(START:END!F76)</f>
        <v>0</v>
      </c>
      <c r="G76" s="240"/>
      <c r="I76" s="198">
        <f>+SUM(START:END!I76)</f>
        <v>0</v>
      </c>
      <c r="J76" s="152"/>
      <c r="L76" s="200">
        <f>+SUM(START:END!L76)</f>
        <v>0</v>
      </c>
      <c r="M76" s="152"/>
      <c r="N76" s="222">
        <f t="shared" si="33"/>
        <v>0</v>
      </c>
      <c r="O76" s="152"/>
      <c r="Q76" s="200">
        <f>+SUM(START:END!Q76)</f>
        <v>0</v>
      </c>
      <c r="R76" s="152"/>
      <c r="S76" s="242">
        <f>L76-Q76</f>
        <v>0</v>
      </c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</row>
    <row r="77" spans="1:40" ht="15.75" customHeight="1">
      <c r="A77" s="23" t="str">
        <f t="shared" si="1"/>
        <v>Véhicules neufsProgramme neuf 3</v>
      </c>
      <c r="B77" s="184" t="str">
        <f t="shared" si="0"/>
        <v>Véhicules neufs</v>
      </c>
      <c r="C77" s="1" t="s">
        <v>68</v>
      </c>
      <c r="D77" s="30"/>
      <c r="F77" s="198">
        <f>+SUM(START:END!F77)</f>
        <v>0</v>
      </c>
      <c r="G77" s="240"/>
      <c r="I77" s="198">
        <f>+SUM(START:END!I77)</f>
        <v>0</v>
      </c>
      <c r="J77" s="152"/>
      <c r="L77" s="200">
        <f>+SUM(START:END!L77)</f>
        <v>0</v>
      </c>
      <c r="M77" s="152"/>
      <c r="N77" s="222">
        <f t="shared" si="33"/>
        <v>0</v>
      </c>
      <c r="O77" s="152"/>
      <c r="Q77" s="200">
        <f>+SUM(START:END!Q77)</f>
        <v>0</v>
      </c>
      <c r="R77" s="152"/>
      <c r="S77" s="242">
        <f t="shared" ref="S77:S82" si="34">L77-Q77</f>
        <v>0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</row>
    <row r="78" spans="1:40" ht="15.75" customHeight="1">
      <c r="A78" s="23" t="str">
        <f t="shared" si="1"/>
        <v>Véhicules neufsHoldbacks</v>
      </c>
      <c r="B78" s="184" t="str">
        <f t="shared" si="0"/>
        <v>Véhicules neufs</v>
      </c>
      <c r="C78" s="1" t="s">
        <v>69</v>
      </c>
      <c r="D78" s="30"/>
      <c r="F78" s="198">
        <f>+SUM(START:END!F78)</f>
        <v>248521.94489540852</v>
      </c>
      <c r="G78" s="240"/>
      <c r="I78" s="198">
        <f>+SUM(START:END!I78)</f>
        <v>0</v>
      </c>
      <c r="J78" s="152"/>
      <c r="L78" s="201">
        <f>+SUM(START:END!L78)</f>
        <v>175923.85</v>
      </c>
      <c r="M78" s="152"/>
      <c r="N78" s="222">
        <f t="shared" si="33"/>
        <v>-72598.094895408518</v>
      </c>
      <c r="O78" s="152"/>
      <c r="Q78" s="200">
        <f>+SUM(START:END!Q78)</f>
        <v>232846.94</v>
      </c>
      <c r="R78" s="152"/>
      <c r="S78" s="242">
        <f t="shared" si="34"/>
        <v>-56923.09</v>
      </c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</row>
    <row r="79" spans="1:40" ht="15.75" hidden="1" customHeight="1">
      <c r="A79" s="23" t="str">
        <f t="shared" si="1"/>
        <v>Véhicules neufs[...]</v>
      </c>
      <c r="B79" s="184" t="str">
        <f t="shared" si="0"/>
        <v>Véhicules neufs</v>
      </c>
      <c r="C79" s="1" t="s">
        <v>20</v>
      </c>
      <c r="D79" s="30"/>
      <c r="F79" s="198">
        <f>+SUM(START:END!F79)</f>
        <v>0</v>
      </c>
      <c r="G79" s="240"/>
      <c r="I79" s="198">
        <f>+SUM(START:END!I79)</f>
        <v>0</v>
      </c>
      <c r="J79" s="152"/>
      <c r="L79" s="201">
        <f>+SUM(START:END!L79)</f>
        <v>0</v>
      </c>
      <c r="M79" s="152"/>
      <c r="N79" s="222">
        <f t="shared" si="33"/>
        <v>0</v>
      </c>
      <c r="O79" s="152"/>
      <c r="Q79" s="200">
        <f>+SUM(START:END!Q79)</f>
        <v>0</v>
      </c>
      <c r="R79" s="152"/>
      <c r="S79" s="242">
        <f t="shared" si="34"/>
        <v>0</v>
      </c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</row>
    <row r="80" spans="1:40" ht="15.75" hidden="1" customHeight="1">
      <c r="A80" s="23" t="str">
        <f t="shared" si="1"/>
        <v>Véhicules neufs[...]</v>
      </c>
      <c r="B80" s="184" t="str">
        <f t="shared" si="0"/>
        <v>Véhicules neufs</v>
      </c>
      <c r="C80" s="1" t="s">
        <v>20</v>
      </c>
      <c r="D80" s="30"/>
      <c r="F80" s="198">
        <f>+SUM(START:END!F80)</f>
        <v>0</v>
      </c>
      <c r="G80" s="240"/>
      <c r="I80" s="198">
        <f>+SUM(START:END!I80)</f>
        <v>0</v>
      </c>
      <c r="J80" s="152"/>
      <c r="L80" s="201">
        <f>+SUM(START:END!L80)</f>
        <v>0</v>
      </c>
      <c r="M80" s="152"/>
      <c r="N80" s="222">
        <f t="shared" si="33"/>
        <v>0</v>
      </c>
      <c r="O80" s="152"/>
      <c r="Q80" s="200">
        <f>+SUM(START:END!Q80)</f>
        <v>0</v>
      </c>
      <c r="R80" s="152"/>
      <c r="S80" s="242">
        <f t="shared" si="34"/>
        <v>0</v>
      </c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</row>
    <row r="81" spans="1:40" ht="15.75" hidden="1" customHeight="1">
      <c r="A81" s="23" t="str">
        <f t="shared" si="1"/>
        <v>Véhicules neufs[...]</v>
      </c>
      <c r="B81" s="184" t="str">
        <f t="shared" si="0"/>
        <v>Véhicules neufs</v>
      </c>
      <c r="C81" s="1" t="s">
        <v>20</v>
      </c>
      <c r="D81" s="30"/>
      <c r="F81" s="198">
        <f>+SUM(START:END!F81)</f>
        <v>0</v>
      </c>
      <c r="G81" s="240"/>
      <c r="I81" s="198">
        <f>+SUM(START:END!I81)</f>
        <v>0</v>
      </c>
      <c r="J81" s="152"/>
      <c r="L81" s="201">
        <f>+SUM(START:END!L81)</f>
        <v>0</v>
      </c>
      <c r="M81" s="152"/>
      <c r="N81" s="222">
        <f t="shared" si="33"/>
        <v>0</v>
      </c>
      <c r="O81" s="152"/>
      <c r="Q81" s="200">
        <f>+SUM(START:END!Q81)</f>
        <v>0</v>
      </c>
      <c r="R81" s="152"/>
      <c r="S81" s="242">
        <f t="shared" si="34"/>
        <v>0</v>
      </c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</row>
    <row r="82" spans="1:40" ht="15.75" customHeight="1">
      <c r="A82" s="23" t="str">
        <f t="shared" si="1"/>
        <v>Véhicules neufsFrais administration</v>
      </c>
      <c r="B82" s="184" t="str">
        <f t="shared" si="0"/>
        <v>Véhicules neufs</v>
      </c>
      <c r="C82" s="1" t="s">
        <v>70</v>
      </c>
      <c r="D82" s="30"/>
      <c r="F82" s="198">
        <f>+SUM(START:END!F82)</f>
        <v>85333.740499999985</v>
      </c>
      <c r="G82" s="240"/>
      <c r="I82" s="198">
        <f>+SUM(START:END!I82)</f>
        <v>0</v>
      </c>
      <c r="J82" s="152"/>
      <c r="L82" s="200">
        <f>+SUM(START:END!L82)</f>
        <v>57657</v>
      </c>
      <c r="M82" s="152"/>
      <c r="N82" s="222">
        <f t="shared" si="33"/>
        <v>-27676.740499999985</v>
      </c>
      <c r="O82" s="152"/>
      <c r="Q82" s="200">
        <f>+SUM(START:END!Q82)</f>
        <v>93512.9</v>
      </c>
      <c r="R82" s="152"/>
      <c r="S82" s="242">
        <f t="shared" si="34"/>
        <v>-35855.899999999994</v>
      </c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</row>
    <row r="83" spans="1:40" ht="15.75" customHeight="1">
      <c r="A83" s="23" t="str">
        <f t="shared" si="1"/>
        <v>Véhicules neufsAUTRES REVENUS</v>
      </c>
      <c r="B83" s="184" t="str">
        <f t="shared" si="0"/>
        <v>Véhicules neufs</v>
      </c>
      <c r="C83" s="40" t="s">
        <v>71</v>
      </c>
      <c r="D83" s="250"/>
      <c r="E83" s="42"/>
      <c r="F83" s="251">
        <f>+SUM(F75:F82)</f>
        <v>353855.68539540854</v>
      </c>
      <c r="G83" s="252"/>
      <c r="H83" s="42"/>
      <c r="I83" s="251">
        <f>+SUM(I75:I82)</f>
        <v>0</v>
      </c>
      <c r="J83" s="252"/>
      <c r="K83" s="42"/>
      <c r="L83" s="251">
        <f>+SUM(L75:L82)</f>
        <v>266080.84999999998</v>
      </c>
      <c r="M83" s="254"/>
      <c r="N83" s="251">
        <f>+SUM(N75:N82)</f>
        <v>-87774.835395408503</v>
      </c>
      <c r="O83" s="252"/>
      <c r="P83" s="42"/>
      <c r="Q83" s="251">
        <f>+SUM(Q75:Q82)</f>
        <v>357915.83999999997</v>
      </c>
      <c r="R83" s="254"/>
      <c r="S83" s="255">
        <f>+SUM(S75:S82)</f>
        <v>-92778.989999999991</v>
      </c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</row>
    <row r="84" spans="1:40" ht="15.75" customHeight="1">
      <c r="A84" s="23" t="str">
        <f t="shared" si="1"/>
        <v>Véhicules neufs</v>
      </c>
      <c r="B84" s="184" t="str">
        <f t="shared" si="0"/>
        <v>Véhicules neufs</v>
      </c>
      <c r="C84" s="262"/>
      <c r="D84" s="263"/>
      <c r="E84" s="264"/>
      <c r="F84" s="265"/>
      <c r="G84" s="266"/>
      <c r="H84" s="264"/>
      <c r="I84" s="265"/>
      <c r="J84" s="267"/>
      <c r="K84" s="268"/>
      <c r="L84" s="265"/>
      <c r="M84" s="267"/>
      <c r="N84" s="269"/>
      <c r="O84" s="267"/>
      <c r="P84" s="268"/>
      <c r="Q84" s="265"/>
      <c r="R84" s="267"/>
      <c r="S84" s="270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</row>
    <row r="85" spans="1:40" ht="15.75" customHeight="1" thickBot="1">
      <c r="A85" s="23" t="str">
        <f t="shared" si="1"/>
        <v>Véhicules neufsPROFIT DÉPARTEMENTAL</v>
      </c>
      <c r="B85" s="184" t="str">
        <f t="shared" si="0"/>
        <v>Véhicules neufs</v>
      </c>
      <c r="C85" s="271" t="s">
        <v>72</v>
      </c>
      <c r="D85" s="272"/>
      <c r="E85" s="273"/>
      <c r="F85" s="274">
        <f>F27-F74+F83</f>
        <v>485443.93226958218</v>
      </c>
      <c r="G85" s="275"/>
      <c r="H85" s="273"/>
      <c r="I85" s="274">
        <f>I27-I74+I83</f>
        <v>0</v>
      </c>
      <c r="J85" s="275"/>
      <c r="K85" s="272"/>
      <c r="L85" s="274">
        <f>L27-L74+L83</f>
        <v>189267.67000000016</v>
      </c>
      <c r="M85" s="275"/>
      <c r="N85" s="274">
        <f>N27-N74+N83</f>
        <v>-296176.2622695819</v>
      </c>
      <c r="O85" s="275"/>
      <c r="P85" s="272"/>
      <c r="Q85" s="274">
        <f>Q27-Q74+Q83</f>
        <v>545005.70999999892</v>
      </c>
      <c r="R85" s="275"/>
      <c r="S85" s="276">
        <f>S27-S41-S54-S72+S83</f>
        <v>-351572.27999999875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</row>
    <row r="86" spans="1:40" ht="15.75" customHeight="1" thickTop="1">
      <c r="B86" s="184"/>
      <c r="F86" s="26" t="e">
        <f>+F85-#REF!-#REF!-#REF!</f>
        <v>#REF!</v>
      </c>
      <c r="L86" s="26" t="e">
        <f>+L85-#REF!-#REF!-#REF!</f>
        <v>#REF!</v>
      </c>
      <c r="N86" s="26" t="e">
        <f>+N85-#REF!-#REF!-#REF!</f>
        <v>#REF!</v>
      </c>
      <c r="Q86" s="26" t="e">
        <f>+Q85-#REF!-#REF!-#REF!</f>
        <v>#REF!</v>
      </c>
      <c r="S86" s="26" t="e">
        <f>+S85-#REF!-#REF!-#REF!</f>
        <v>#REF!</v>
      </c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</row>
    <row r="87" spans="1:40" ht="40.5" customHeight="1">
      <c r="B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</row>
    <row r="88" spans="1:40" ht="15.75" hidden="1" customHeight="1">
      <c r="B88" s="181"/>
    </row>
    <row r="89" spans="1:40" ht="33" customHeight="1">
      <c r="B89" s="177"/>
      <c r="C89" s="73" t="str">
        <f>C1</f>
        <v>Conso</v>
      </c>
      <c r="D89" s="6"/>
      <c r="E89" s="6"/>
      <c r="F89" s="6"/>
      <c r="G89" s="6"/>
      <c r="H89" s="177"/>
      <c r="I89" s="177"/>
      <c r="J89" s="177"/>
      <c r="K89" s="178" t="s">
        <v>73</v>
      </c>
      <c r="L89" s="6"/>
      <c r="M89" s="6"/>
      <c r="N89" s="177"/>
      <c r="O89" s="177"/>
      <c r="P89" s="6"/>
      <c r="Q89" s="177"/>
      <c r="R89" s="6"/>
      <c r="S89" s="180" t="str">
        <f>$S$1</f>
        <v xml:space="preserve">Réalisé  </v>
      </c>
      <c r="T89" s="73"/>
      <c r="U89" s="73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</row>
    <row r="90" spans="1:40" ht="15.75" customHeight="1" thickBot="1">
      <c r="B90" s="181"/>
      <c r="C90" s="182"/>
    </row>
    <row r="91" spans="1:40" ht="15.75" customHeight="1" thickTop="1">
      <c r="B91" s="184"/>
      <c r="C91" s="185"/>
      <c r="D91" s="485" t="s">
        <v>5</v>
      </c>
      <c r="E91" s="486"/>
      <c r="F91" s="487"/>
      <c r="G91" s="488" t="s">
        <v>74</v>
      </c>
      <c r="H91" s="486"/>
      <c r="I91" s="487"/>
      <c r="J91" s="488" t="s">
        <v>7</v>
      </c>
      <c r="K91" s="486"/>
      <c r="L91" s="487"/>
      <c r="M91" s="488" t="s">
        <v>9</v>
      </c>
      <c r="N91" s="487"/>
      <c r="O91" s="485" t="s">
        <v>8</v>
      </c>
      <c r="P91" s="486"/>
      <c r="Q91" s="487"/>
      <c r="R91" s="488" t="s">
        <v>217</v>
      </c>
      <c r="S91" s="489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</row>
    <row r="92" spans="1:40" ht="15.75" customHeight="1">
      <c r="B92" s="184"/>
      <c r="C92" s="1"/>
      <c r="D92" s="277" t="s">
        <v>10</v>
      </c>
      <c r="E92" s="175" t="s">
        <v>11</v>
      </c>
      <c r="F92" s="278" t="s">
        <v>12</v>
      </c>
      <c r="G92" s="279" t="s">
        <v>10</v>
      </c>
      <c r="H92" s="175" t="s">
        <v>11</v>
      </c>
      <c r="I92" s="278" t="s">
        <v>12</v>
      </c>
      <c r="J92" s="279" t="s">
        <v>10</v>
      </c>
      <c r="K92" s="175" t="s">
        <v>13</v>
      </c>
      <c r="L92" s="278" t="s">
        <v>12</v>
      </c>
      <c r="M92" s="279" t="s">
        <v>14</v>
      </c>
      <c r="N92" s="278" t="s">
        <v>12</v>
      </c>
      <c r="O92" s="175" t="s">
        <v>10</v>
      </c>
      <c r="P92" s="175" t="s">
        <v>13</v>
      </c>
      <c r="Q92" s="278" t="s">
        <v>12</v>
      </c>
      <c r="R92" s="279" t="s">
        <v>10</v>
      </c>
      <c r="S92" s="280" t="s">
        <v>12</v>
      </c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</row>
    <row r="93" spans="1:40" ht="24" customHeight="1">
      <c r="A93" s="23" t="str">
        <f t="shared" ref="A93:A158" si="35">+B93&amp;C93</f>
        <v>Véhicules usagésVentes nettes</v>
      </c>
      <c r="B93" s="184" t="s">
        <v>73</v>
      </c>
      <c r="C93" s="2" t="s">
        <v>15</v>
      </c>
      <c r="D93" s="194"/>
      <c r="E93" s="194"/>
      <c r="F93" s="193">
        <f>+SUM(START:END!F93)</f>
        <v>5007758.8568520918</v>
      </c>
      <c r="G93" s="211"/>
      <c r="H93" s="194"/>
      <c r="I93" s="193">
        <f>+SUM(START:END!I93)</f>
        <v>0</v>
      </c>
      <c r="J93" s="153"/>
      <c r="K93" s="194"/>
      <c r="L93" s="193">
        <f>+SUM(START:END!L93)</f>
        <v>3170589.95</v>
      </c>
      <c r="M93" s="281"/>
      <c r="N93" s="282"/>
      <c r="O93" s="153"/>
      <c r="P93" s="194"/>
      <c r="Q93" s="193">
        <f>+SUM(START:END!Q93)</f>
        <v>3303558.3899999899</v>
      </c>
      <c r="R93" s="281"/>
      <c r="S93" s="283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</row>
    <row r="94" spans="1:40" ht="21.75" customHeight="1">
      <c r="A94" s="23" t="str">
        <f t="shared" si="35"/>
        <v>Véhicules usagésCertifié</v>
      </c>
      <c r="B94" s="184" t="s">
        <v>73</v>
      </c>
      <c r="C94" s="1" t="s">
        <v>75</v>
      </c>
      <c r="D94" s="198">
        <f>+SUM(START:END!D94)</f>
        <v>92.39100000000002</v>
      </c>
      <c r="E94" s="198">
        <f>IF(D94=0,0,F94/D94)</f>
        <v>1799.9999999999995</v>
      </c>
      <c r="F94" s="249">
        <f>+SUM(START:END!F94)</f>
        <v>166303.79999999999</v>
      </c>
      <c r="G94" s="198">
        <f>+SUM(START:END!G94)</f>
        <v>0</v>
      </c>
      <c r="H94" s="198">
        <f>IF(G94=0,0,I94/G94)</f>
        <v>0</v>
      </c>
      <c r="I94" s="249">
        <f>+SUM(START:END!I94)</f>
        <v>0</v>
      </c>
      <c r="J94" s="198">
        <f>+SUM(START:END!J94)</f>
        <v>84</v>
      </c>
      <c r="K94" s="198">
        <f>IF(J94=0,0,L94/J94)</f>
        <v>1254.9132142857145</v>
      </c>
      <c r="L94" s="198">
        <f>+SUM(START:END!L94)</f>
        <v>105412.71000000002</v>
      </c>
      <c r="M94" s="199">
        <f t="shared" ref="M94:M96" si="36">J94-D94</f>
        <v>-8.3910000000000196</v>
      </c>
      <c r="N94" s="201">
        <f t="shared" ref="N94:N96" si="37">L94-F94</f>
        <v>-60891.089999999967</v>
      </c>
      <c r="O94" s="198">
        <f>+SUM(START:END!O94)</f>
        <v>50</v>
      </c>
      <c r="P94" s="198">
        <f>IF(O94=0,0,Q94/O94)</f>
        <v>1496.2263999999998</v>
      </c>
      <c r="Q94" s="198">
        <f>+SUM(START:END!Q94)</f>
        <v>74811.319999999992</v>
      </c>
      <c r="R94" s="199">
        <f t="shared" ref="R94:R95" si="38">J94-O94</f>
        <v>34</v>
      </c>
      <c r="S94" s="202">
        <f t="shared" ref="S94:S95" si="39">L94-Q94</f>
        <v>30601.390000000029</v>
      </c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</row>
    <row r="95" spans="1:40" ht="18.75" customHeight="1">
      <c r="A95" s="23" t="str">
        <f t="shared" si="35"/>
        <v>Véhicules usagésNon Certifié</v>
      </c>
      <c r="B95" s="184" t="s">
        <v>73</v>
      </c>
      <c r="C95" s="1" t="s">
        <v>76</v>
      </c>
      <c r="D95" s="198">
        <f>+SUM(START:END!D95)</f>
        <v>5.2118000000000002</v>
      </c>
      <c r="E95" s="198">
        <f t="shared" ref="E95:E105" si="40">IF(D95=0,0,F95/D95)</f>
        <v>1799.9999999999998</v>
      </c>
      <c r="F95" s="202">
        <f>+SUM(START:END!F95)</f>
        <v>9381.24</v>
      </c>
      <c r="G95" s="198">
        <f>+SUM(START:END!G95)</f>
        <v>0</v>
      </c>
      <c r="H95" s="198">
        <f t="shared" ref="H95" si="41">IF(G95=0,0,I95/G95)</f>
        <v>0</v>
      </c>
      <c r="I95" s="202">
        <f>+SUM(START:END!I95)</f>
        <v>0</v>
      </c>
      <c r="J95" s="198">
        <f>+SUM(START:END!J95)</f>
        <v>5</v>
      </c>
      <c r="K95" s="198">
        <f t="shared" ref="K95" si="42">IF(J95=0,0,L95/J95)</f>
        <v>-1216.6440000000005</v>
      </c>
      <c r="L95" s="198">
        <f>+SUM(START:END!L95)</f>
        <v>-6083.2200000000021</v>
      </c>
      <c r="M95" s="199">
        <f t="shared" si="36"/>
        <v>-0.21180000000000021</v>
      </c>
      <c r="N95" s="201">
        <f t="shared" si="37"/>
        <v>-15464.460000000003</v>
      </c>
      <c r="O95" s="198">
        <f>+SUM(START:END!O95)</f>
        <v>14</v>
      </c>
      <c r="P95" s="198">
        <f t="shared" ref="P95" si="43">IF(O95=0,0,Q95/O95)</f>
        <v>1719.2942857142777</v>
      </c>
      <c r="Q95" s="198">
        <f>+SUM(START:END!Q95)</f>
        <v>24070.11999999989</v>
      </c>
      <c r="R95" s="199">
        <f t="shared" si="38"/>
        <v>-9</v>
      </c>
      <c r="S95" s="202">
        <f t="shared" si="39"/>
        <v>-30153.339999999891</v>
      </c>
      <c r="V95" s="284"/>
      <c r="W95" s="284"/>
      <c r="X95" s="284"/>
      <c r="Y95" s="284"/>
    </row>
    <row r="96" spans="1:40" ht="18.75" customHeight="1">
      <c r="A96" s="23" t="str">
        <f t="shared" ref="A96" si="44">+B96&amp;C96</f>
        <v>Véhicules usagésAutres marques</v>
      </c>
      <c r="B96" s="184" t="s">
        <v>73</v>
      </c>
      <c r="C96" s="1" t="s">
        <v>214</v>
      </c>
      <c r="D96" s="198">
        <f>+SUM(START:END!D96)</f>
        <v>3.0796999999999999</v>
      </c>
      <c r="E96" s="194">
        <f t="shared" ref="E96" si="45">IF(D96=0,0,F96/D96)</f>
        <v>1800</v>
      </c>
      <c r="F96" s="202">
        <f>+SUM(START:END!F96)</f>
        <v>5543.46</v>
      </c>
      <c r="G96" s="198">
        <f>+SUM(START:END!G96)</f>
        <v>0</v>
      </c>
      <c r="H96" s="194">
        <f t="shared" ref="H96" si="46">IF(G96=0,0,I96/G96)</f>
        <v>0</v>
      </c>
      <c r="I96" s="202">
        <f>+SUM(START:END!I96)</f>
        <v>0</v>
      </c>
      <c r="J96" s="198">
        <f>+SUM(START:END!J96)</f>
        <v>7</v>
      </c>
      <c r="K96" s="194">
        <f t="shared" ref="K96" si="47">IF(J96=0,0,L96/J96)</f>
        <v>2177.0000000000005</v>
      </c>
      <c r="L96" s="198">
        <f>+SUM(START:END!L96)</f>
        <v>15239.000000000002</v>
      </c>
      <c r="M96" s="199">
        <f t="shared" si="36"/>
        <v>3.9203000000000001</v>
      </c>
      <c r="N96" s="201">
        <f t="shared" si="37"/>
        <v>9695.5400000000009</v>
      </c>
      <c r="O96" s="198">
        <f>+SUM(START:END!O96)</f>
        <v>0</v>
      </c>
      <c r="P96" s="198">
        <f t="shared" ref="P96" si="48">IF(O96=0,0,Q96/O96)</f>
        <v>0</v>
      </c>
      <c r="Q96" s="198">
        <f>+SUM(START:END!Q96)</f>
        <v>0</v>
      </c>
      <c r="R96" s="199">
        <f t="shared" ref="R96" si="49">J96-O96</f>
        <v>7</v>
      </c>
      <c r="S96" s="202">
        <f t="shared" ref="S96" si="50">L96-Q96</f>
        <v>15239.000000000002</v>
      </c>
      <c r="V96" s="284"/>
      <c r="W96" s="284"/>
      <c r="X96" s="284"/>
      <c r="Y96" s="284"/>
    </row>
    <row r="97" spans="1:32" ht="15.75" customHeight="1">
      <c r="A97" s="23" t="str">
        <f t="shared" si="35"/>
        <v>Véhicules usagésTotal Usagés</v>
      </c>
      <c r="B97" s="184" t="s">
        <v>73</v>
      </c>
      <c r="C97" s="203" t="s">
        <v>77</v>
      </c>
      <c r="D97" s="204">
        <f>+D95+D94+D96</f>
        <v>100.68250000000002</v>
      </c>
      <c r="E97" s="198">
        <f t="shared" si="40"/>
        <v>1799.9999999999993</v>
      </c>
      <c r="F97" s="205">
        <f>+F94+F95+F96</f>
        <v>181228.49999999997</v>
      </c>
      <c r="G97" s="204">
        <f>+G95+G94+G96</f>
        <v>0</v>
      </c>
      <c r="H97" s="198">
        <f t="shared" ref="H97" si="51">IF(G97=0,0,I97/G97)</f>
        <v>0</v>
      </c>
      <c r="I97" s="205">
        <f>+I94+I95+I96</f>
        <v>0</v>
      </c>
      <c r="J97" s="204">
        <f>+J95+J94+J96</f>
        <v>96</v>
      </c>
      <c r="K97" s="198">
        <f t="shared" ref="K97" si="52">IF(J97=0,0,L97/J97)</f>
        <v>1193.4217708333335</v>
      </c>
      <c r="L97" s="205">
        <f>+L94+L95+L96</f>
        <v>114568.49000000002</v>
      </c>
      <c r="M97" s="204">
        <f>+M95+M94+M96</f>
        <v>-4.6825000000000196</v>
      </c>
      <c r="N97" s="205">
        <f>+N94+N95+N96</f>
        <v>-66660.00999999998</v>
      </c>
      <c r="O97" s="204">
        <f>+O95+O94+O96</f>
        <v>64</v>
      </c>
      <c r="P97" s="204">
        <f>IF(O97&lt;=0,0,Q97/O97)</f>
        <v>1545.0224999999982</v>
      </c>
      <c r="Q97" s="205">
        <f>+Q94+Q95+Q96</f>
        <v>98881.439999999886</v>
      </c>
      <c r="R97" s="206">
        <f>R94+R95+R96</f>
        <v>32</v>
      </c>
      <c r="S97" s="207">
        <f>S94+S95+S96</f>
        <v>15687.050000000139</v>
      </c>
      <c r="V97" s="198"/>
      <c r="W97" s="198"/>
      <c r="X97" s="198"/>
      <c r="Y97" s="198"/>
      <c r="AC97" s="26"/>
      <c r="AF97" s="26"/>
    </row>
    <row r="98" spans="1:32" ht="15.75" customHeight="1">
      <c r="A98" s="23" t="str">
        <f t="shared" si="35"/>
        <v>Véhicules usagés</v>
      </c>
      <c r="B98" s="184" t="s">
        <v>73</v>
      </c>
      <c r="C98" s="1"/>
      <c r="E98" s="198">
        <f t="shared" si="40"/>
        <v>0</v>
      </c>
      <c r="F98" s="208"/>
      <c r="G98" s="152"/>
      <c r="H98" s="23">
        <f t="shared" ref="H98:H99" si="53">IF(G98=0,0,I98/G98)</f>
        <v>0</v>
      </c>
      <c r="I98" s="208"/>
      <c r="J98" s="152"/>
      <c r="L98" s="208"/>
      <c r="M98" s="170">
        <f>D97/D97</f>
        <v>1</v>
      </c>
      <c r="N98" s="171">
        <f>N97/F97</f>
        <v>-0.36782299693480874</v>
      </c>
      <c r="O98" s="152"/>
      <c r="Q98" s="208"/>
      <c r="R98" s="170">
        <f>R97/O97</f>
        <v>0.5</v>
      </c>
      <c r="S98" s="209">
        <f>IF(Q97=0,0,(S97/Q97))</f>
        <v>0.15864503995896659</v>
      </c>
      <c r="AC98" s="184"/>
    </row>
    <row r="99" spans="1:32" ht="15.75" customHeight="1">
      <c r="A99" s="23" t="str">
        <f t="shared" si="35"/>
        <v>Véhicules usagésUS</v>
      </c>
      <c r="B99" s="184" t="s">
        <v>73</v>
      </c>
      <c r="C99" s="1" t="s">
        <v>193</v>
      </c>
      <c r="D99" s="198">
        <f>+SUM(START:END!D99)</f>
        <v>0</v>
      </c>
      <c r="E99" s="198">
        <f t="shared" si="40"/>
        <v>0</v>
      </c>
      <c r="F99" s="198">
        <f>+SUM(START:END!F99)</f>
        <v>0</v>
      </c>
      <c r="G99" s="285">
        <f>+SUM(START:END!G99)</f>
        <v>0</v>
      </c>
      <c r="H99" s="198">
        <f t="shared" si="53"/>
        <v>0</v>
      </c>
      <c r="I99" s="198">
        <f>+SUM(START:END!I99)</f>
        <v>0</v>
      </c>
      <c r="J99" s="199">
        <f>+SUM(START:END!J99)</f>
        <v>0</v>
      </c>
      <c r="K99" s="198">
        <f t="shared" ref="K99" si="54">IF(J99=0,0,L99/J99)</f>
        <v>0</v>
      </c>
      <c r="L99" s="201">
        <f>+SUM(START:END!L99)</f>
        <v>0</v>
      </c>
      <c r="M99" s="199">
        <f t="shared" ref="M99:M100" si="55">J99-D99</f>
        <v>0</v>
      </c>
      <c r="N99" s="201">
        <f t="shared" ref="N99:N104" si="56">L99-F99</f>
        <v>0</v>
      </c>
      <c r="O99" s="199">
        <f>+SUM(START:END!O99)</f>
        <v>0</v>
      </c>
      <c r="P99" s="198">
        <f t="shared" ref="P99" si="57">IF(O99=0,0,Q99/O99)</f>
        <v>0</v>
      </c>
      <c r="Q99" s="200">
        <f>+SUM(START:END!Q99)</f>
        <v>0</v>
      </c>
      <c r="R99" s="199"/>
      <c r="S99" s="202"/>
      <c r="V99" s="198"/>
      <c r="W99" s="198"/>
      <c r="X99" s="198"/>
      <c r="Y99" s="198"/>
      <c r="AC99" s="184"/>
    </row>
    <row r="100" spans="1:32" ht="15.75" customHeight="1">
      <c r="A100" s="23" t="str">
        <f t="shared" si="35"/>
        <v>Véhicules usagésVentes au Gros</v>
      </c>
      <c r="B100" s="184" t="s">
        <v>73</v>
      </c>
      <c r="C100" s="1" t="s">
        <v>78</v>
      </c>
      <c r="D100" s="198">
        <f>+SUM(START:END!D100)</f>
        <v>103.0515</v>
      </c>
      <c r="E100" s="198">
        <f t="shared" ref="E100" si="58">IF(D100=0,0,F100/D100)</f>
        <v>399.99999999999994</v>
      </c>
      <c r="F100" s="198">
        <f>+SUM(START:END!F100)</f>
        <v>41220.6</v>
      </c>
      <c r="G100" s="285">
        <f>+SUM(START:END!G100)</f>
        <v>0</v>
      </c>
      <c r="H100" s="198">
        <f t="shared" ref="H100" si="59">IF(G100=0,0,I100/G100)</f>
        <v>0</v>
      </c>
      <c r="I100" s="198">
        <f>+SUM(START:END!I100)</f>
        <v>0</v>
      </c>
      <c r="J100" s="199">
        <f>+SUM(START:END!J100)</f>
        <v>64</v>
      </c>
      <c r="K100" s="198">
        <f t="shared" ref="K100" si="60">IF(J100=0,0,L100/J100)</f>
        <v>9.3240624999998545</v>
      </c>
      <c r="L100" s="201">
        <f>+SUM(START:END!L100)</f>
        <v>596.73999999999069</v>
      </c>
      <c r="M100" s="199">
        <f t="shared" si="55"/>
        <v>-39.051500000000004</v>
      </c>
      <c r="N100" s="201">
        <f t="shared" si="56"/>
        <v>-40623.860000000008</v>
      </c>
      <c r="O100" s="199">
        <f>+SUM(START:END!O100)</f>
        <v>90</v>
      </c>
      <c r="P100" s="198">
        <f t="shared" ref="P100" si="61">IF(O100=0,0,Q100/O100)</f>
        <v>70.327888888888253</v>
      </c>
      <c r="Q100" s="200">
        <f>+SUM(START:END!Q100)</f>
        <v>6329.5099999999429</v>
      </c>
      <c r="R100" s="199">
        <f t="shared" ref="R100" si="62">J100-O100</f>
        <v>-26</v>
      </c>
      <c r="S100" s="202">
        <f t="shared" ref="S100" si="63">L100-Q100</f>
        <v>-5732.7699999999522</v>
      </c>
      <c r="V100" s="198"/>
      <c r="W100" s="198"/>
      <c r="X100" s="198"/>
      <c r="Y100" s="198"/>
      <c r="AC100" s="26"/>
      <c r="AF100" s="115"/>
    </row>
    <row r="101" spans="1:32" ht="15.75" customHeight="1">
      <c r="A101" s="23" t="str">
        <f t="shared" si="35"/>
        <v>Véhicules usagés</v>
      </c>
      <c r="B101" s="184" t="s">
        <v>73</v>
      </c>
      <c r="C101" s="2"/>
      <c r="D101" s="194"/>
      <c r="E101" s="194"/>
      <c r="F101" s="213"/>
      <c r="G101" s="216"/>
      <c r="H101" s="212"/>
      <c r="I101" s="213"/>
      <c r="J101" s="216"/>
      <c r="K101" s="212"/>
      <c r="L101" s="213"/>
      <c r="M101" s="214"/>
      <c r="N101" s="286"/>
      <c r="O101" s="216"/>
      <c r="P101" s="212"/>
      <c r="Q101" s="213"/>
      <c r="R101" s="214"/>
      <c r="S101" s="287"/>
      <c r="AF101" s="115"/>
    </row>
    <row r="102" spans="1:32" ht="15.75" customHeight="1">
      <c r="A102" s="23" t="str">
        <f t="shared" si="35"/>
        <v>Véhicules usagésRev. Finances</v>
      </c>
      <c r="B102" s="184" t="s">
        <v>73</v>
      </c>
      <c r="C102" s="1" t="s">
        <v>25</v>
      </c>
      <c r="D102" s="198">
        <f>+SUM(START:END!D102)</f>
        <v>0</v>
      </c>
      <c r="E102" s="198">
        <f t="shared" ref="E102:E104" si="64">IF(D102=0,0,F102/D102)</f>
        <v>0</v>
      </c>
      <c r="F102" s="201">
        <f>+SUM(START:END!F102)</f>
        <v>70477.75</v>
      </c>
      <c r="G102" s="199">
        <f>+SUM(START:END!G102)</f>
        <v>0</v>
      </c>
      <c r="H102" s="198">
        <f t="shared" ref="H102:H104" si="65">IF(G102=0,0,I102/G102)</f>
        <v>0</v>
      </c>
      <c r="I102" s="198">
        <f>+SUM(START:END!I102)</f>
        <v>0</v>
      </c>
      <c r="J102" s="199">
        <f>+SUM(START:END!J102)</f>
        <v>0</v>
      </c>
      <c r="K102" s="198">
        <f t="shared" ref="K102:K104" si="66">IF(J102=0,0,L102/J102)</f>
        <v>0</v>
      </c>
      <c r="L102" s="201">
        <f>+SUM(START:END!L102)</f>
        <v>29057.010000000002</v>
      </c>
      <c r="M102" s="199">
        <f t="shared" ref="M102:M104" si="67">J102-G102</f>
        <v>0</v>
      </c>
      <c r="N102" s="201">
        <f t="shared" si="56"/>
        <v>-41420.74</v>
      </c>
      <c r="O102" s="199">
        <f>+SUM(START:END!O102)</f>
        <v>0</v>
      </c>
      <c r="P102" s="198">
        <f t="shared" ref="P102:P104" si="68">IF(O102=0,0,Q102/O102)</f>
        <v>0</v>
      </c>
      <c r="Q102" s="201">
        <f>+SUM(START:END!Q102)</f>
        <v>32371.82</v>
      </c>
      <c r="R102" s="199">
        <f t="shared" ref="R102:R104" si="69">J102-O102</f>
        <v>0</v>
      </c>
      <c r="S102" s="202">
        <f t="shared" ref="S102:S104" si="70">L102-Q102</f>
        <v>-3314.8099999999977</v>
      </c>
    </row>
    <row r="103" spans="1:32" ht="15.75" customHeight="1">
      <c r="A103" s="23" t="str">
        <f t="shared" si="35"/>
        <v>Véhicules usagésRev. Protections</v>
      </c>
      <c r="B103" s="184" t="s">
        <v>73</v>
      </c>
      <c r="C103" s="1" t="s">
        <v>26</v>
      </c>
      <c r="D103" s="198">
        <f>+SUM(START:END!D103)</f>
        <v>0</v>
      </c>
      <c r="E103" s="198">
        <f t="shared" si="64"/>
        <v>0</v>
      </c>
      <c r="F103" s="201">
        <f>+SUM(START:END!F103)</f>
        <v>145989.625</v>
      </c>
      <c r="G103" s="199">
        <f>+SUM(START:END!G103)</f>
        <v>0</v>
      </c>
      <c r="H103" s="198">
        <f t="shared" si="65"/>
        <v>0</v>
      </c>
      <c r="I103" s="198">
        <f>+SUM(START:END!I103)</f>
        <v>0</v>
      </c>
      <c r="J103" s="199">
        <f>+SUM(START:END!J103)</f>
        <v>0</v>
      </c>
      <c r="K103" s="198">
        <f t="shared" si="66"/>
        <v>0</v>
      </c>
      <c r="L103" s="201">
        <f>+SUM(START:END!L103)</f>
        <v>138631.75</v>
      </c>
      <c r="M103" s="199">
        <f t="shared" si="67"/>
        <v>0</v>
      </c>
      <c r="N103" s="201">
        <f t="shared" si="56"/>
        <v>-7357.875</v>
      </c>
      <c r="O103" s="199">
        <f>+SUM(START:END!O103)</f>
        <v>0</v>
      </c>
      <c r="P103" s="198">
        <f t="shared" si="68"/>
        <v>0</v>
      </c>
      <c r="Q103" s="201">
        <f>+SUM(START:END!Q103)</f>
        <v>80610.5799999999</v>
      </c>
      <c r="R103" s="199">
        <f t="shared" si="69"/>
        <v>0</v>
      </c>
      <c r="S103" s="202">
        <f t="shared" si="70"/>
        <v>58021.1700000001</v>
      </c>
    </row>
    <row r="104" spans="1:32" ht="15.75" customHeight="1">
      <c r="A104" s="23" t="str">
        <f t="shared" si="35"/>
        <v>Véhicules usagésRev. Autres</v>
      </c>
      <c r="B104" s="184" t="s">
        <v>73</v>
      </c>
      <c r="C104" s="1" t="s">
        <v>27</v>
      </c>
      <c r="D104" s="198">
        <f>+SUM(START:END!D104)</f>
        <v>0</v>
      </c>
      <c r="E104" s="194">
        <f t="shared" si="64"/>
        <v>0</v>
      </c>
      <c r="F104" s="201">
        <f>+SUM(START:END!F104)</f>
        <v>5034.125</v>
      </c>
      <c r="G104" s="199">
        <f>+SUM(START:END!G104)</f>
        <v>0</v>
      </c>
      <c r="H104" s="212">
        <f t="shared" si="65"/>
        <v>0</v>
      </c>
      <c r="I104" s="198">
        <f>+SUM(START:END!I104)</f>
        <v>0</v>
      </c>
      <c r="J104" s="199">
        <f>+SUM(START:END!J104)</f>
        <v>0</v>
      </c>
      <c r="K104" s="212">
        <f t="shared" si="66"/>
        <v>0</v>
      </c>
      <c r="L104" s="201">
        <f>+SUM(START:END!L104)</f>
        <v>1705.6799999999998</v>
      </c>
      <c r="M104" s="216">
        <f t="shared" si="67"/>
        <v>0</v>
      </c>
      <c r="N104" s="201">
        <f t="shared" si="56"/>
        <v>-3328.4450000000002</v>
      </c>
      <c r="O104" s="199">
        <f>+SUM(START:END!O104)</f>
        <v>0</v>
      </c>
      <c r="P104" s="212">
        <f t="shared" si="68"/>
        <v>0</v>
      </c>
      <c r="Q104" s="201">
        <f>+SUM(START:END!Q104)</f>
        <v>1946.22</v>
      </c>
      <c r="R104" s="199">
        <f t="shared" si="69"/>
        <v>0</v>
      </c>
      <c r="S104" s="202">
        <f t="shared" si="70"/>
        <v>-240.54000000000019</v>
      </c>
    </row>
    <row r="105" spans="1:32" ht="15.75" customHeight="1">
      <c r="A105" s="23" t="str">
        <f t="shared" si="35"/>
        <v>Véhicules usagésTotal F&amp;I</v>
      </c>
      <c r="B105" s="184" t="s">
        <v>73</v>
      </c>
      <c r="C105" s="203" t="s">
        <v>28</v>
      </c>
      <c r="D105" s="204">
        <f>D97</f>
        <v>100.68250000000002</v>
      </c>
      <c r="E105" s="198">
        <f t="shared" si="40"/>
        <v>2199.9999999999995</v>
      </c>
      <c r="F105" s="205">
        <f>F102+F103+F104</f>
        <v>221501.5</v>
      </c>
      <c r="G105" s="206">
        <f>G97</f>
        <v>0</v>
      </c>
      <c r="H105" s="204">
        <f t="shared" ref="H105" si="71">IF(G105=0,0,I105/G105)</f>
        <v>0</v>
      </c>
      <c r="I105" s="205">
        <f>I102+I103+I104</f>
        <v>0</v>
      </c>
      <c r="J105" s="206">
        <f>J97</f>
        <v>96</v>
      </c>
      <c r="K105" s="204">
        <f>IF(J105&lt;=0,0,L105/J105)</f>
        <v>1764.5254166666666</v>
      </c>
      <c r="L105" s="205">
        <f>L102+L103+L104</f>
        <v>169394.44</v>
      </c>
      <c r="M105" s="199">
        <f>M97</f>
        <v>-4.6825000000000196</v>
      </c>
      <c r="N105" s="205">
        <f>N102+N103+N104</f>
        <v>-52107.06</v>
      </c>
      <c r="O105" s="206">
        <f>O97</f>
        <v>64</v>
      </c>
      <c r="P105" s="204">
        <f>IF(O105&lt;=0,0,Q105/O105)</f>
        <v>1795.7596874999986</v>
      </c>
      <c r="Q105" s="205">
        <f>Q102+Q103+Q104</f>
        <v>114928.61999999991</v>
      </c>
      <c r="R105" s="220"/>
      <c r="S105" s="207">
        <f t="shared" ref="S105" si="72">L105-Q105</f>
        <v>54465.820000000094</v>
      </c>
      <c r="V105" s="198"/>
      <c r="W105" s="198"/>
      <c r="X105" s="198"/>
      <c r="Y105" s="198"/>
    </row>
    <row r="106" spans="1:32" ht="15.75" customHeight="1">
      <c r="A106" s="23" t="str">
        <f t="shared" si="35"/>
        <v>Véhicules usagés</v>
      </c>
      <c r="B106" s="184" t="s">
        <v>73</v>
      </c>
      <c r="C106" s="1"/>
      <c r="F106" s="222"/>
      <c r="G106" s="152"/>
      <c r="H106" s="31"/>
      <c r="I106" s="222"/>
      <c r="J106" s="152"/>
      <c r="L106" s="222"/>
      <c r="M106" s="170"/>
      <c r="N106" s="171">
        <f>N105/F105</f>
        <v>-0.23524472746234223</v>
      </c>
      <c r="O106" s="152"/>
      <c r="Q106" s="222"/>
      <c r="R106" s="223"/>
      <c r="S106" s="209">
        <f>IF(Q105=0,0,(S105/Q105))</f>
        <v>0.47390997995103518</v>
      </c>
    </row>
    <row r="107" spans="1:32" ht="15.75" customHeight="1" thickBot="1">
      <c r="A107" s="23" t="str">
        <f t="shared" si="35"/>
        <v>Véhicules usagés</v>
      </c>
      <c r="B107" s="184" t="s">
        <v>73</v>
      </c>
      <c r="C107" s="1"/>
      <c r="F107" s="222"/>
      <c r="G107" s="152"/>
      <c r="H107" s="31"/>
      <c r="I107" s="222"/>
      <c r="J107" s="152"/>
      <c r="K107" s="198"/>
      <c r="L107" s="222"/>
      <c r="M107" s="170"/>
      <c r="N107" s="171"/>
      <c r="O107" s="152"/>
      <c r="Q107" s="222"/>
      <c r="R107" s="223"/>
      <c r="S107" s="209"/>
    </row>
    <row r="108" spans="1:32" ht="15.75" customHeight="1" thickTop="1">
      <c r="A108" s="23" t="str">
        <f t="shared" si="35"/>
        <v>Véhicules usagésTotal Dépt. Usagés</v>
      </c>
      <c r="B108" s="184" t="s">
        <v>73</v>
      </c>
      <c r="C108" s="225" t="s">
        <v>79</v>
      </c>
      <c r="D108" s="226">
        <f>D97+D100</f>
        <v>203.73400000000004</v>
      </c>
      <c r="E108" s="230">
        <f>IF(D108&lt;=0,0,F108/D108)</f>
        <v>2179.0697674418598</v>
      </c>
      <c r="F108" s="228">
        <f>F97+F105+F100</f>
        <v>443950.6</v>
      </c>
      <c r="G108" s="229">
        <f>G97+G100</f>
        <v>0</v>
      </c>
      <c r="H108" s="230">
        <f>IF(G108&lt;=0,0,I108/G108)</f>
        <v>0</v>
      </c>
      <c r="I108" s="228">
        <f>I97+I105+I100</f>
        <v>0</v>
      </c>
      <c r="J108" s="229">
        <f>J97+J100+J99</f>
        <v>160</v>
      </c>
      <c r="K108" s="230">
        <f>IF(J108&lt;=0,0,L108/J108)</f>
        <v>1778.4979375000003</v>
      </c>
      <c r="L108" s="228">
        <f>L97+L105+L100+L99</f>
        <v>284559.67000000004</v>
      </c>
      <c r="M108" s="229">
        <f>M97+M100+M99</f>
        <v>-43.734000000000023</v>
      </c>
      <c r="N108" s="228">
        <f>N97+N105+N100+N99</f>
        <v>-159390.93</v>
      </c>
      <c r="O108" s="229">
        <f>O97+O100+O99</f>
        <v>154</v>
      </c>
      <c r="P108" s="230">
        <f>IF(O108&lt;=0,0,Q108/O108)</f>
        <v>1429.4777272727256</v>
      </c>
      <c r="Q108" s="228">
        <f>Q97+Q105+Q100+Q99</f>
        <v>220139.56999999975</v>
      </c>
      <c r="R108" s="229">
        <f>J108-O108</f>
        <v>6</v>
      </c>
      <c r="S108" s="231">
        <f>L108-Q108</f>
        <v>64420.100000000297</v>
      </c>
      <c r="V108" s="198"/>
      <c r="W108" s="198"/>
      <c r="X108" s="198"/>
      <c r="Y108" s="198"/>
    </row>
    <row r="109" spans="1:32" ht="19.5" customHeight="1" thickBot="1">
      <c r="A109" s="23" t="str">
        <f t="shared" si="35"/>
        <v>Véhicules usagés</v>
      </c>
      <c r="B109" s="184" t="s">
        <v>73</v>
      </c>
      <c r="C109" s="232"/>
      <c r="D109" s="233"/>
      <c r="E109" s="233"/>
      <c r="F109" s="234"/>
      <c r="G109" s="235"/>
      <c r="H109" s="233"/>
      <c r="I109" s="234"/>
      <c r="J109" s="235"/>
      <c r="K109" s="233"/>
      <c r="L109" s="234"/>
      <c r="M109" s="236">
        <f>M108/D108</f>
        <v>-0.21466225568633618</v>
      </c>
      <c r="N109" s="166">
        <f>N108/F108</f>
        <v>-0.35902852704782917</v>
      </c>
      <c r="O109" s="235"/>
      <c r="P109" s="233"/>
      <c r="Q109" s="234"/>
      <c r="R109" s="236">
        <f>O108/R108</f>
        <v>25.666666666666668</v>
      </c>
      <c r="S109" s="288">
        <f>IF(Q108=0,0,(S108/Q108))</f>
        <v>0.2926329873361721</v>
      </c>
    </row>
    <row r="110" spans="1:32" ht="15.75" customHeight="1" thickTop="1">
      <c r="A110" s="23" t="str">
        <f t="shared" si="35"/>
        <v>Véhicules usagés</v>
      </c>
      <c r="B110" s="184" t="s">
        <v>73</v>
      </c>
      <c r="C110" s="22"/>
      <c r="D110" s="73"/>
      <c r="E110" s="73"/>
      <c r="F110" s="238"/>
      <c r="G110" s="156"/>
      <c r="H110" s="73"/>
      <c r="I110" s="238"/>
      <c r="J110" s="156"/>
      <c r="K110" s="73"/>
      <c r="L110" s="238"/>
      <c r="M110" s="170"/>
      <c r="N110" s="171"/>
      <c r="O110" s="156"/>
      <c r="P110" s="73"/>
      <c r="Q110" s="238"/>
      <c r="R110" s="170"/>
      <c r="S110" s="209"/>
    </row>
    <row r="111" spans="1:32" ht="15.75" customHeight="1">
      <c r="A111" s="23" t="str">
        <f t="shared" si="35"/>
        <v>Véhicules usagésDEPENSES</v>
      </c>
      <c r="B111" s="184" t="s">
        <v>73</v>
      </c>
      <c r="C111" s="239" t="s">
        <v>30</v>
      </c>
      <c r="E111" s="175"/>
      <c r="F111" s="222"/>
      <c r="G111" s="152"/>
      <c r="H111" s="175"/>
      <c r="I111" s="222"/>
      <c r="J111" s="152"/>
      <c r="K111" s="175"/>
      <c r="L111" s="208"/>
      <c r="M111" s="152"/>
      <c r="N111" s="208"/>
      <c r="O111" s="152"/>
      <c r="P111" s="175"/>
      <c r="Q111" s="208"/>
      <c r="R111" s="152"/>
      <c r="S111" s="224"/>
    </row>
    <row r="112" spans="1:32" ht="15.75" customHeight="1">
      <c r="A112" s="23" t="str">
        <f t="shared" si="35"/>
        <v>Véhicules usagésComm. vendeurs</v>
      </c>
      <c r="B112" s="184" t="s">
        <v>73</v>
      </c>
      <c r="C112" s="1" t="s">
        <v>31</v>
      </c>
      <c r="D112" s="30"/>
      <c r="E112" s="26">
        <f>F112/D$97</f>
        <v>594</v>
      </c>
      <c r="F112" s="198">
        <f>+SUM(START:END!F112)</f>
        <v>59805.405000000006</v>
      </c>
      <c r="G112" s="289" t="e">
        <f>I112/I97</f>
        <v>#DIV/0!</v>
      </c>
      <c r="H112" s="26" t="e">
        <f>I112/G$97</f>
        <v>#DIV/0!</v>
      </c>
      <c r="I112" s="198">
        <f>+SUM(START:END!I112)</f>
        <v>0</v>
      </c>
      <c r="J112" s="289">
        <f>L112/L97</f>
        <v>0.56765642979147213</v>
      </c>
      <c r="K112" s="26">
        <f>IF($J$97=0,0,L112/(J$94+J$95))</f>
        <v>730.73640449438199</v>
      </c>
      <c r="L112" s="201">
        <f>+SUM(START:END!L112)</f>
        <v>65035.539999999994</v>
      </c>
      <c r="M112" s="152"/>
      <c r="N112" s="222">
        <f t="shared" ref="N112:N118" si="73">L112-F112</f>
        <v>5230.1349999999875</v>
      </c>
      <c r="O112" s="152"/>
      <c r="P112" s="26">
        <f>IF($J$97=0,0,Q112/(O$94+O$95))</f>
        <v>714.16093750000005</v>
      </c>
      <c r="Q112" s="201">
        <f>+SUM(START:END!Q112)</f>
        <v>45706.3</v>
      </c>
      <c r="R112" s="152"/>
      <c r="S112" s="242">
        <f t="shared" ref="S112:S122" si="74">L112-Q112</f>
        <v>19329.239999999991</v>
      </c>
    </row>
    <row r="113" spans="1:19" ht="15.75" customHeight="1">
      <c r="A113" s="23" t="str">
        <f t="shared" si="35"/>
        <v>Véhicules usagésComm. F&amp;I</v>
      </c>
      <c r="B113" s="184" t="s">
        <v>73</v>
      </c>
      <c r="C113" s="2" t="s">
        <v>32</v>
      </c>
      <c r="D113" s="34"/>
      <c r="E113" s="10">
        <f>F113/D$97</f>
        <v>660</v>
      </c>
      <c r="F113" s="193">
        <f>+SUM(START:END!F113)</f>
        <v>66450.450000000012</v>
      </c>
      <c r="G113" s="246" t="e">
        <f>I113/I98</f>
        <v>#DIV/0!</v>
      </c>
      <c r="H113" s="10" t="e">
        <f>I113/G$97</f>
        <v>#DIV/0!</v>
      </c>
      <c r="I113" s="193">
        <f>+SUM(START:END!I113)</f>
        <v>0</v>
      </c>
      <c r="J113" s="246" t="e">
        <f>L113/L98</f>
        <v>#DIV/0!</v>
      </c>
      <c r="K113" s="10">
        <f>IF($J$97=0,0,L113/(J$94+J$95))</f>
        <v>552.91471910112352</v>
      </c>
      <c r="L113" s="201">
        <f>+SUM(START:END!L113)</f>
        <v>49209.409999999996</v>
      </c>
      <c r="M113" s="153"/>
      <c r="N113" s="247">
        <f t="shared" si="73"/>
        <v>-17241.040000000015</v>
      </c>
      <c r="O113" s="153"/>
      <c r="P113" s="10">
        <f>IF($J$97=0,0,Q113/(O$94+O$95))</f>
        <v>538.37562500000001</v>
      </c>
      <c r="Q113" s="201">
        <f>+SUM(START:END!Q113)</f>
        <v>34456.04</v>
      </c>
      <c r="R113" s="153"/>
      <c r="S113" s="248">
        <f t="shared" ref="S113" si="75">L113-Q113</f>
        <v>14753.369999999995</v>
      </c>
    </row>
    <row r="114" spans="1:19" ht="15.75" customHeight="1">
      <c r="A114" s="23" t="str">
        <f t="shared" si="35"/>
        <v>Véhicules usagésFrais de livraison</v>
      </c>
      <c r="B114" s="184" t="s">
        <v>73</v>
      </c>
      <c r="C114" s="1" t="s">
        <v>33</v>
      </c>
      <c r="D114" s="30"/>
      <c r="E114" s="26">
        <f>F114/D$97</f>
        <v>9.9999999999999982</v>
      </c>
      <c r="F114" s="198">
        <f>+SUM(START:END!F114)</f>
        <v>1006.825</v>
      </c>
      <c r="G114" s="240"/>
      <c r="H114" s="26" t="e">
        <f>I114/G$97</f>
        <v>#DIV/0!</v>
      </c>
      <c r="I114" s="198">
        <f>+SUM(START:END!I114)</f>
        <v>0</v>
      </c>
      <c r="J114" s="152"/>
      <c r="K114" s="26">
        <f>IF($J$97=0,0,L114/(J$94+J$95))</f>
        <v>-20.664606741573031</v>
      </c>
      <c r="L114" s="257">
        <f>+SUM(START:END!L114)</f>
        <v>-1839.1499999999999</v>
      </c>
      <c r="M114" s="152"/>
      <c r="N114" s="222">
        <f t="shared" si="73"/>
        <v>-2845.9749999999999</v>
      </c>
      <c r="O114" s="152"/>
      <c r="P114" s="26">
        <f>IF($J$97=0,0,Q114/(O$94+O$95))</f>
        <v>-32.022968749999997</v>
      </c>
      <c r="Q114" s="257">
        <f>+SUM(START:END!Q114)</f>
        <v>-2049.4699999999998</v>
      </c>
      <c r="R114" s="152"/>
      <c r="S114" s="242">
        <f t="shared" si="74"/>
        <v>210.31999999999994</v>
      </c>
    </row>
    <row r="115" spans="1:19" ht="15.75" customHeight="1">
      <c r="A115" s="23" t="str">
        <f t="shared" si="35"/>
        <v>Véhicules usagésService gratuit 1</v>
      </c>
      <c r="B115" s="184" t="s">
        <v>73</v>
      </c>
      <c r="C115" s="1" t="s">
        <v>34</v>
      </c>
      <c r="D115" s="30"/>
      <c r="E115" s="26">
        <f t="shared" ref="E115:E121" si="76">F115/D$97</f>
        <v>7</v>
      </c>
      <c r="F115" s="198">
        <f>+SUM(START:END!F115)</f>
        <v>704.77750000000015</v>
      </c>
      <c r="G115" s="240"/>
      <c r="H115" s="26" t="e">
        <f t="shared" ref="H115:H121" si="77">I115/G$97</f>
        <v>#DIV/0!</v>
      </c>
      <c r="I115" s="198">
        <f>+SUM(START:END!I115)</f>
        <v>0</v>
      </c>
      <c r="J115" s="152"/>
      <c r="K115" s="26">
        <f t="shared" ref="K115:K121" si="78">IF($J$97=0,0,L115/(J$94+J$95))</f>
        <v>40.131797752808986</v>
      </c>
      <c r="L115" s="201">
        <f>+SUM(START:END!L115)</f>
        <v>3571.73</v>
      </c>
      <c r="M115" s="152"/>
      <c r="N115" s="222">
        <f t="shared" si="73"/>
        <v>2866.9524999999999</v>
      </c>
      <c r="O115" s="152"/>
      <c r="P115" s="26">
        <f t="shared" ref="P115:P121" si="79">IF($J$97=0,0,Q115/(O$94+O$95))</f>
        <v>65.783906250000001</v>
      </c>
      <c r="Q115" s="201">
        <f>+SUM(START:END!Q115)</f>
        <v>4210.17</v>
      </c>
      <c r="R115" s="152"/>
      <c r="S115" s="242">
        <f t="shared" ref="S115:S118" si="80">L115-Q115</f>
        <v>-638.44000000000005</v>
      </c>
    </row>
    <row r="116" spans="1:19" ht="15.75" customHeight="1">
      <c r="A116" s="23" t="str">
        <f t="shared" si="35"/>
        <v>Véhicules usagésEntretien stock</v>
      </c>
      <c r="B116" s="184" t="s">
        <v>73</v>
      </c>
      <c r="C116" s="2" t="s">
        <v>35</v>
      </c>
      <c r="D116" s="34"/>
      <c r="E116" s="10">
        <f t="shared" si="76"/>
        <v>162</v>
      </c>
      <c r="F116" s="193">
        <f>+SUM(START:END!F116)</f>
        <v>16310.565000000002</v>
      </c>
      <c r="G116" s="244"/>
      <c r="H116" s="10" t="e">
        <f t="shared" si="77"/>
        <v>#DIV/0!</v>
      </c>
      <c r="I116" s="193">
        <f>+SUM(START:END!I116)</f>
        <v>0</v>
      </c>
      <c r="J116" s="153"/>
      <c r="K116" s="10">
        <f t="shared" si="78"/>
        <v>164.85651685393259</v>
      </c>
      <c r="L116" s="213">
        <f>+SUM(START:END!L116)</f>
        <v>14672.230000000001</v>
      </c>
      <c r="M116" s="153"/>
      <c r="N116" s="247">
        <f t="shared" si="73"/>
        <v>-1638.3350000000009</v>
      </c>
      <c r="O116" s="153"/>
      <c r="P116" s="10">
        <f t="shared" si="79"/>
        <v>179.75265625</v>
      </c>
      <c r="Q116" s="213">
        <f>+SUM(START:END!Q116)</f>
        <v>11504.17</v>
      </c>
      <c r="R116" s="153"/>
      <c r="S116" s="248">
        <f t="shared" si="80"/>
        <v>3168.0600000000013</v>
      </c>
    </row>
    <row r="117" spans="1:19" ht="15.75" customHeight="1">
      <c r="A117" s="23" t="str">
        <f t="shared" si="35"/>
        <v>Véhicules usagésPublicité 1</v>
      </c>
      <c r="B117" s="184" t="s">
        <v>73</v>
      </c>
      <c r="C117" s="1" t="s">
        <v>36</v>
      </c>
      <c r="D117" s="30"/>
      <c r="E117" s="26">
        <f t="shared" si="76"/>
        <v>351.47865815807108</v>
      </c>
      <c r="F117" s="198">
        <f>+SUM(START:END!F117)</f>
        <v>35387.75</v>
      </c>
      <c r="G117" s="240"/>
      <c r="H117" s="26" t="e">
        <f t="shared" si="77"/>
        <v>#DIV/0!</v>
      </c>
      <c r="I117" s="198">
        <f>+SUM(START:END!I117)</f>
        <v>0</v>
      </c>
      <c r="J117" s="152"/>
      <c r="K117" s="26">
        <f t="shared" si="78"/>
        <v>425.85831460674154</v>
      </c>
      <c r="L117" s="201">
        <f>+SUM(START:END!L117)</f>
        <v>37901.39</v>
      </c>
      <c r="M117" s="152"/>
      <c r="N117" s="222">
        <f t="shared" si="73"/>
        <v>2513.6399999999994</v>
      </c>
      <c r="O117" s="152"/>
      <c r="P117" s="26">
        <f t="shared" si="79"/>
        <v>766.19687500000009</v>
      </c>
      <c r="Q117" s="201">
        <f>+SUM(START:END!Q117)</f>
        <v>49036.600000000006</v>
      </c>
      <c r="R117" s="152"/>
      <c r="S117" s="242">
        <f t="shared" si="80"/>
        <v>-11135.210000000006</v>
      </c>
    </row>
    <row r="118" spans="1:19" ht="15.75" customHeight="1">
      <c r="A118" s="23" t="str">
        <f t="shared" si="35"/>
        <v>Véhicules usagésIntérêt de gros</v>
      </c>
      <c r="B118" s="184" t="s">
        <v>73</v>
      </c>
      <c r="C118" s="1" t="s">
        <v>37</v>
      </c>
      <c r="D118" s="30"/>
      <c r="E118" s="26">
        <f t="shared" si="76"/>
        <v>202.86436372935049</v>
      </c>
      <c r="F118" s="198">
        <f>+SUM(START:END!F118)</f>
        <v>20424.891301180334</v>
      </c>
      <c r="G118" s="240"/>
      <c r="H118" s="26" t="e">
        <f t="shared" si="77"/>
        <v>#DIV/0!</v>
      </c>
      <c r="I118" s="198">
        <f>+SUM(START:END!I118)</f>
        <v>0</v>
      </c>
      <c r="J118" s="152"/>
      <c r="K118" s="26">
        <f t="shared" si="78"/>
        <v>90.163707865168533</v>
      </c>
      <c r="L118" s="201">
        <f>+SUM(START:END!L118)</f>
        <v>8024.57</v>
      </c>
      <c r="M118" s="152"/>
      <c r="N118" s="222">
        <f t="shared" si="73"/>
        <v>-12400.321301180335</v>
      </c>
      <c r="O118" s="152"/>
      <c r="P118" s="26">
        <f t="shared" si="79"/>
        <v>12.567656249999999</v>
      </c>
      <c r="Q118" s="201">
        <f>+SUM(START:END!Q118)</f>
        <v>804.32999999999993</v>
      </c>
      <c r="R118" s="152"/>
      <c r="S118" s="242">
        <f t="shared" si="80"/>
        <v>7220.24</v>
      </c>
    </row>
    <row r="119" spans="1:19" ht="15.75" hidden="1" customHeight="1">
      <c r="A119" s="23" t="str">
        <f t="shared" si="35"/>
        <v>Véhicules usagés[...]</v>
      </c>
      <c r="B119" s="184" t="s">
        <v>73</v>
      </c>
      <c r="C119" s="1" t="s">
        <v>20</v>
      </c>
      <c r="D119" s="30"/>
      <c r="E119" s="26">
        <f t="shared" si="76"/>
        <v>0</v>
      </c>
      <c r="F119" s="198">
        <f>+SUM(START:END!F119)</f>
        <v>0</v>
      </c>
      <c r="G119" s="240"/>
      <c r="H119" s="26" t="e">
        <f t="shared" si="77"/>
        <v>#DIV/0!</v>
      </c>
      <c r="I119" s="198">
        <f>+SUM(START:END!I119)</f>
        <v>0</v>
      </c>
      <c r="J119" s="152"/>
      <c r="K119" s="26">
        <f t="shared" si="78"/>
        <v>0</v>
      </c>
      <c r="L119" s="201">
        <f>+SUM(START:END!L119)</f>
        <v>0</v>
      </c>
      <c r="M119" s="152"/>
      <c r="N119" s="222">
        <f t="shared" ref="N119:N121" si="81">L119-I119</f>
        <v>0</v>
      </c>
      <c r="O119" s="152"/>
      <c r="P119" s="26">
        <f t="shared" si="79"/>
        <v>0</v>
      </c>
      <c r="Q119" s="201">
        <f>+SUM(START:END!Q119)</f>
        <v>0</v>
      </c>
      <c r="R119" s="152"/>
      <c r="S119" s="242">
        <f t="shared" ref="S119:S121" si="82">L119-Q119</f>
        <v>0</v>
      </c>
    </row>
    <row r="120" spans="1:19" ht="15.75" hidden="1" customHeight="1">
      <c r="A120" s="23" t="str">
        <f t="shared" si="35"/>
        <v>Véhicules usagés[...]</v>
      </c>
      <c r="B120" s="184" t="s">
        <v>73</v>
      </c>
      <c r="C120" s="1" t="s">
        <v>20</v>
      </c>
      <c r="D120" s="30"/>
      <c r="E120" s="26">
        <f t="shared" si="76"/>
        <v>0</v>
      </c>
      <c r="F120" s="198">
        <f>+SUM(START:END!F120)</f>
        <v>0</v>
      </c>
      <c r="G120" s="240"/>
      <c r="H120" s="26" t="e">
        <f t="shared" si="77"/>
        <v>#DIV/0!</v>
      </c>
      <c r="I120" s="198">
        <f>+SUM(START:END!I120)</f>
        <v>0</v>
      </c>
      <c r="J120" s="152"/>
      <c r="K120" s="26">
        <f t="shared" si="78"/>
        <v>0</v>
      </c>
      <c r="L120" s="201">
        <f>+SUM(START:END!L120)</f>
        <v>0</v>
      </c>
      <c r="M120" s="152"/>
      <c r="N120" s="222">
        <f t="shared" si="81"/>
        <v>0</v>
      </c>
      <c r="O120" s="152"/>
      <c r="P120" s="26">
        <f t="shared" si="79"/>
        <v>0</v>
      </c>
      <c r="Q120" s="201">
        <f>+SUM(START:END!Q120)</f>
        <v>0</v>
      </c>
      <c r="R120" s="152"/>
      <c r="S120" s="242">
        <f t="shared" si="82"/>
        <v>0</v>
      </c>
    </row>
    <row r="121" spans="1:19" ht="15.75" hidden="1" customHeight="1">
      <c r="A121" s="23" t="str">
        <f t="shared" si="35"/>
        <v>Véhicules usagés[...]</v>
      </c>
      <c r="B121" s="184" t="s">
        <v>73</v>
      </c>
      <c r="C121" s="1" t="s">
        <v>20</v>
      </c>
      <c r="D121" s="30"/>
      <c r="E121" s="26">
        <f t="shared" si="76"/>
        <v>0</v>
      </c>
      <c r="F121" s="198">
        <f>+SUM(START:END!F121)</f>
        <v>0</v>
      </c>
      <c r="G121" s="240"/>
      <c r="H121" s="26" t="e">
        <f t="shared" si="77"/>
        <v>#DIV/0!</v>
      </c>
      <c r="I121" s="198">
        <f>+SUM(START:END!I121)</f>
        <v>0</v>
      </c>
      <c r="J121" s="152"/>
      <c r="K121" s="26">
        <f t="shared" si="78"/>
        <v>0</v>
      </c>
      <c r="L121" s="201">
        <f>+SUM(START:END!L121)</f>
        <v>0</v>
      </c>
      <c r="M121" s="152"/>
      <c r="N121" s="222">
        <f t="shared" si="81"/>
        <v>0</v>
      </c>
      <c r="O121" s="152"/>
      <c r="P121" s="26">
        <f t="shared" si="79"/>
        <v>0</v>
      </c>
      <c r="Q121" s="201">
        <f>+SUM(START:END!Q121)</f>
        <v>0</v>
      </c>
      <c r="R121" s="152"/>
      <c r="S121" s="242">
        <f t="shared" si="82"/>
        <v>0</v>
      </c>
    </row>
    <row r="122" spans="1:19" ht="15.75" customHeight="1">
      <c r="A122" s="23" t="str">
        <f t="shared" si="35"/>
        <v>Véhicules usagésTOTAL VARIABLES</v>
      </c>
      <c r="B122" s="184" t="s">
        <v>73</v>
      </c>
      <c r="C122" s="40" t="s">
        <v>38</v>
      </c>
      <c r="D122" s="250" t="s">
        <v>39</v>
      </c>
      <c r="E122" s="42">
        <f>F122/F$108</f>
        <v>0.45070479418471415</v>
      </c>
      <c r="F122" s="251">
        <f>SUM(F112:F121)</f>
        <v>200090.66380118034</v>
      </c>
      <c r="G122" s="252" t="s">
        <v>39</v>
      </c>
      <c r="H122" s="42" t="e">
        <f>I122/I$108</f>
        <v>#DIV/0!</v>
      </c>
      <c r="I122" s="251">
        <f>SUM(I112:I121)</f>
        <v>0</v>
      </c>
      <c r="J122" s="252" t="s">
        <v>39</v>
      </c>
      <c r="K122" s="42">
        <f>L122/L$108</f>
        <v>0.62052264820239622</v>
      </c>
      <c r="L122" s="251">
        <f>SUM(L112:L121)</f>
        <v>176575.71999999997</v>
      </c>
      <c r="M122" s="254"/>
      <c r="N122" s="251">
        <f>SUM(N112:N121)</f>
        <v>-23514.943801180365</v>
      </c>
      <c r="O122" s="252" t="s">
        <v>39</v>
      </c>
      <c r="P122" s="42">
        <f>Q122/Q$108</f>
        <v>0.65262297005486181</v>
      </c>
      <c r="Q122" s="251">
        <f>SUM(Q112:Q121)</f>
        <v>143668.13999999998</v>
      </c>
      <c r="R122" s="254"/>
      <c r="S122" s="255">
        <f t="shared" si="74"/>
        <v>32907.579999999987</v>
      </c>
    </row>
    <row r="123" spans="1:19" ht="15.75" customHeight="1">
      <c r="A123" s="23" t="str">
        <f t="shared" si="35"/>
        <v>Véhicules usagésSalaires cadres</v>
      </c>
      <c r="B123" s="184" t="s">
        <v>73</v>
      </c>
      <c r="C123" s="1" t="s">
        <v>41</v>
      </c>
      <c r="F123" s="198">
        <f>+SUM(START:END!F123)</f>
        <v>39491.025000000001</v>
      </c>
      <c r="G123" s="152"/>
      <c r="I123" s="198">
        <f>+SUM(START:END!I123)</f>
        <v>0</v>
      </c>
      <c r="J123" s="152"/>
      <c r="L123" s="201">
        <f>+SUM(START:END!L123)</f>
        <v>29137.78</v>
      </c>
      <c r="M123" s="152"/>
      <c r="N123" s="222">
        <f t="shared" ref="N123:N133" si="83">L123-F123</f>
        <v>-10353.245000000003</v>
      </c>
      <c r="O123" s="152"/>
      <c r="Q123" s="201">
        <f>+SUM(START:END!Q123)</f>
        <v>35339.35</v>
      </c>
      <c r="R123" s="152"/>
      <c r="S123" s="224"/>
    </row>
    <row r="124" spans="1:19" ht="15.75" customHeight="1">
      <c r="A124" s="23" t="str">
        <f t="shared" si="35"/>
        <v>Véhicules usagésSalaires commis</v>
      </c>
      <c r="B124" s="184" t="s">
        <v>73</v>
      </c>
      <c r="C124" s="2" t="s">
        <v>42</v>
      </c>
      <c r="D124" s="30"/>
      <c r="F124" s="193">
        <f>+SUM(START:END!F124)</f>
        <v>13578.758000000002</v>
      </c>
      <c r="G124" s="240"/>
      <c r="I124" s="193">
        <f>+SUM(START:END!I124)</f>
        <v>0</v>
      </c>
      <c r="J124" s="152"/>
      <c r="L124" s="193">
        <f>+SUM(START:END!L124)</f>
        <v>5795.83</v>
      </c>
      <c r="M124" s="152"/>
      <c r="N124" s="222">
        <f t="shared" si="83"/>
        <v>-7782.9280000000017</v>
      </c>
      <c r="O124" s="152"/>
      <c r="Q124" s="193">
        <f>+SUM(START:END!Q124)</f>
        <v>18313.68</v>
      </c>
      <c r="R124" s="152"/>
      <c r="S124" s="242"/>
    </row>
    <row r="125" spans="1:19" ht="15.75" customHeight="1">
      <c r="A125" s="23" t="str">
        <f t="shared" si="35"/>
        <v>Véhicules usagésSalaires autres</v>
      </c>
      <c r="B125" s="184" t="s">
        <v>73</v>
      </c>
      <c r="C125" s="1" t="s">
        <v>43</v>
      </c>
      <c r="D125" s="52"/>
      <c r="E125" s="53"/>
      <c r="F125" s="198">
        <f>+SUM(START:END!F125)</f>
        <v>18504.5</v>
      </c>
      <c r="G125" s="256"/>
      <c r="H125" s="53"/>
      <c r="I125" s="198">
        <f>+SUM(START:END!I125)</f>
        <v>0</v>
      </c>
      <c r="J125" s="154"/>
      <c r="K125" s="53"/>
      <c r="L125" s="201">
        <f>+SUM(START:END!L125)</f>
        <v>19965.169999999998</v>
      </c>
      <c r="M125" s="154"/>
      <c r="N125" s="258">
        <f t="shared" si="83"/>
        <v>1460.6699999999983</v>
      </c>
      <c r="O125" s="154"/>
      <c r="P125" s="53"/>
      <c r="Q125" s="201">
        <f>+SUM(START:END!Q125)</f>
        <v>15419.73</v>
      </c>
      <c r="R125" s="154"/>
      <c r="S125" s="259"/>
    </row>
    <row r="126" spans="1:19" ht="15.75" customHeight="1">
      <c r="A126" s="23" t="str">
        <f t="shared" si="35"/>
        <v>Véhicules usagésSalaires spécialistes</v>
      </c>
      <c r="B126" s="184" t="s">
        <v>73</v>
      </c>
      <c r="C126" s="1" t="s">
        <v>44</v>
      </c>
      <c r="D126" s="30"/>
      <c r="F126" s="198">
        <f>+SUM(START:END!F126)</f>
        <v>0</v>
      </c>
      <c r="G126" s="240"/>
      <c r="I126" s="198">
        <f>+SUM(START:END!I126)</f>
        <v>0</v>
      </c>
      <c r="J126" s="152"/>
      <c r="L126" s="201">
        <f>+SUM(START:END!L126)</f>
        <v>0</v>
      </c>
      <c r="M126" s="152"/>
      <c r="N126" s="222">
        <f t="shared" si="83"/>
        <v>0</v>
      </c>
      <c r="O126" s="152"/>
      <c r="Q126" s="201">
        <f>+SUM(START:END!Q126)</f>
        <v>0</v>
      </c>
      <c r="R126" s="152"/>
      <c r="S126" s="242"/>
    </row>
    <row r="127" spans="1:19" ht="15.75" hidden="1" customHeight="1">
      <c r="A127" s="23" t="str">
        <f t="shared" si="35"/>
        <v>Véhicules usagés[...]</v>
      </c>
      <c r="B127" s="184" t="s">
        <v>73</v>
      </c>
      <c r="C127" s="1" t="s">
        <v>20</v>
      </c>
      <c r="D127" s="30"/>
      <c r="F127" s="198">
        <f>+SUM(START:END!F127)</f>
        <v>0</v>
      </c>
      <c r="G127" s="240"/>
      <c r="I127" s="198">
        <f>+SUM(START:END!I127)</f>
        <v>0</v>
      </c>
      <c r="J127" s="152"/>
      <c r="L127" s="201">
        <f>+SUM(START:END!L127)</f>
        <v>0</v>
      </c>
      <c r="M127" s="152"/>
      <c r="N127" s="222">
        <f t="shared" si="83"/>
        <v>0</v>
      </c>
      <c r="O127" s="152"/>
      <c r="Q127" s="201">
        <f>+SUM(START:END!Q127)</f>
        <v>0</v>
      </c>
      <c r="R127" s="152"/>
      <c r="S127" s="242"/>
    </row>
    <row r="128" spans="1:19" ht="15.75" hidden="1" customHeight="1">
      <c r="A128" s="23" t="str">
        <f t="shared" si="35"/>
        <v>Véhicules usagés[...]</v>
      </c>
      <c r="B128" s="184" t="s">
        <v>73</v>
      </c>
      <c r="C128" s="1" t="s">
        <v>20</v>
      </c>
      <c r="D128" s="30"/>
      <c r="F128" s="198">
        <f>+SUM(START:END!F128)</f>
        <v>0</v>
      </c>
      <c r="G128" s="240"/>
      <c r="I128" s="198">
        <f>+SUM(START:END!I128)</f>
        <v>0</v>
      </c>
      <c r="J128" s="152"/>
      <c r="L128" s="201">
        <f>+SUM(START:END!L128)</f>
        <v>0</v>
      </c>
      <c r="M128" s="152"/>
      <c r="N128" s="222">
        <f t="shared" si="83"/>
        <v>0</v>
      </c>
      <c r="O128" s="152"/>
      <c r="Q128" s="201">
        <f>+SUM(START:END!Q128)</f>
        <v>0</v>
      </c>
      <c r="R128" s="152"/>
      <c r="S128" s="242"/>
    </row>
    <row r="129" spans="1:20" ht="15.75" hidden="1" customHeight="1">
      <c r="A129" s="23" t="str">
        <f t="shared" si="35"/>
        <v>Véhicules usagés[...]</v>
      </c>
      <c r="B129" s="184" t="s">
        <v>73</v>
      </c>
      <c r="C129" s="1" t="s">
        <v>20</v>
      </c>
      <c r="D129" s="30"/>
      <c r="F129" s="198">
        <f>+SUM(START:END!F129)</f>
        <v>0</v>
      </c>
      <c r="G129" s="240"/>
      <c r="I129" s="198">
        <f>+SUM(START:END!I129)</f>
        <v>0</v>
      </c>
      <c r="J129" s="152"/>
      <c r="L129" s="201">
        <f>+SUM(START:END!L129)</f>
        <v>0</v>
      </c>
      <c r="M129" s="152"/>
      <c r="N129" s="222">
        <f t="shared" si="83"/>
        <v>0</v>
      </c>
      <c r="O129" s="152"/>
      <c r="Q129" s="201">
        <f>+SUM(START:END!Q129)</f>
        <v>0</v>
      </c>
      <c r="R129" s="152"/>
      <c r="S129" s="242"/>
    </row>
    <row r="130" spans="1:20" ht="15.75" customHeight="1">
      <c r="A130" s="23" t="str">
        <f t="shared" si="35"/>
        <v>Véhicules usagésSalaires en absences</v>
      </c>
      <c r="B130" s="184" t="s">
        <v>73</v>
      </c>
      <c r="C130" s="2" t="s">
        <v>45</v>
      </c>
      <c r="D130" s="30"/>
      <c r="F130" s="198">
        <f>+SUM(START:END!F130)</f>
        <v>23578.9307205</v>
      </c>
      <c r="G130" s="240"/>
      <c r="I130" s="198">
        <f>+SUM(START:END!I130)</f>
        <v>0</v>
      </c>
      <c r="J130" s="152"/>
      <c r="L130" s="201">
        <f>+SUM(START:END!L130)</f>
        <v>15435.619999999999</v>
      </c>
      <c r="M130" s="152"/>
      <c r="N130" s="222">
        <f t="shared" si="83"/>
        <v>-8143.3107205000015</v>
      </c>
      <c r="O130" s="152"/>
      <c r="Q130" s="201">
        <f>+SUM(START:END!Q130)</f>
        <v>13550.17</v>
      </c>
      <c r="R130" s="152"/>
      <c r="S130" s="242"/>
    </row>
    <row r="131" spans="1:20" ht="15.75" customHeight="1">
      <c r="A131" s="23" t="str">
        <f t="shared" si="35"/>
        <v>Véhicules usagésDéduction à la source</v>
      </c>
      <c r="B131" s="184" t="s">
        <v>73</v>
      </c>
      <c r="C131" s="1" t="s">
        <v>46</v>
      </c>
      <c r="D131" s="52"/>
      <c r="E131" s="53"/>
      <c r="F131" s="218">
        <f>+SUM(START:END!F131)</f>
        <v>28668.655854000004</v>
      </c>
      <c r="G131" s="256"/>
      <c r="H131" s="53"/>
      <c r="I131" s="218">
        <f>+SUM(START:END!I131)</f>
        <v>0</v>
      </c>
      <c r="J131" s="154"/>
      <c r="K131" s="53"/>
      <c r="L131" s="219">
        <f>+SUM(START:END!L131)</f>
        <v>21910.639999999999</v>
      </c>
      <c r="M131" s="154"/>
      <c r="N131" s="258">
        <f t="shared" si="83"/>
        <v>-6758.0158540000048</v>
      </c>
      <c r="O131" s="154"/>
      <c r="P131" s="53"/>
      <c r="Q131" s="219">
        <f>+SUM(START:END!Q131)</f>
        <v>19281.169999999998</v>
      </c>
      <c r="R131" s="154"/>
      <c r="S131" s="259"/>
    </row>
    <row r="132" spans="1:20" ht="15.75" customHeight="1">
      <c r="A132" s="23" t="str">
        <f t="shared" si="35"/>
        <v>Véhicules usagésBénéfices marginaux</v>
      </c>
      <c r="B132" s="184" t="s">
        <v>73</v>
      </c>
      <c r="C132" s="1" t="s">
        <v>47</v>
      </c>
      <c r="D132" s="30"/>
      <c r="F132" s="198">
        <f>+SUM(START:END!F132)</f>
        <v>14770.590081300001</v>
      </c>
      <c r="G132" s="240"/>
      <c r="I132" s="198">
        <f>+SUM(START:END!I132)</f>
        <v>0</v>
      </c>
      <c r="J132" s="152"/>
      <c r="L132" s="201">
        <f>+SUM(START:END!L132)</f>
        <v>3777.4100000000003</v>
      </c>
      <c r="M132" s="152"/>
      <c r="N132" s="222">
        <f t="shared" si="83"/>
        <v>-10993.180081300001</v>
      </c>
      <c r="O132" s="152"/>
      <c r="Q132" s="201">
        <f>+SUM(START:END!Q132)</f>
        <v>6014.9699999999993</v>
      </c>
      <c r="R132" s="152"/>
      <c r="S132" s="242"/>
    </row>
    <row r="133" spans="1:20" ht="15.75" customHeight="1">
      <c r="A133" s="23" t="str">
        <f t="shared" si="35"/>
        <v>Véhicules usagésCsst</v>
      </c>
      <c r="B133" s="184" t="s">
        <v>73</v>
      </c>
      <c r="C133" s="1" t="s">
        <v>48</v>
      </c>
      <c r="D133" s="30"/>
      <c r="F133" s="198">
        <f>+SUM(START:END!F133)</f>
        <v>6440.0603730000003</v>
      </c>
      <c r="G133" s="240"/>
      <c r="I133" s="198">
        <f>+SUM(START:END!I133)</f>
        <v>0</v>
      </c>
      <c r="J133" s="152"/>
      <c r="L133" s="201">
        <f>+SUM(START:END!L133)</f>
        <v>3349.99</v>
      </c>
      <c r="M133" s="152"/>
      <c r="N133" s="222">
        <f t="shared" si="83"/>
        <v>-3090.0703730000005</v>
      </c>
      <c r="O133" s="152"/>
      <c r="Q133" s="201">
        <f>+SUM(START:END!Q133)</f>
        <v>3544.5400000000004</v>
      </c>
      <c r="R133" s="152"/>
      <c r="S133" s="242"/>
    </row>
    <row r="134" spans="1:20" ht="15.75" hidden="1" customHeight="1">
      <c r="A134" s="23" t="str">
        <f t="shared" si="35"/>
        <v>Véhicules usagés[...]</v>
      </c>
      <c r="B134" s="184" t="s">
        <v>73</v>
      </c>
      <c r="C134" s="1" t="s">
        <v>20</v>
      </c>
      <c r="D134" s="34"/>
      <c r="E134" s="7"/>
      <c r="F134" s="198">
        <f>+SUM(START:END!F134)</f>
        <v>0</v>
      </c>
      <c r="G134" s="240"/>
      <c r="I134" s="198">
        <f>+SUM(START:END!I134)</f>
        <v>0</v>
      </c>
      <c r="J134" s="152"/>
      <c r="L134" s="201">
        <f>+SUM(START:END!L134)</f>
        <v>0</v>
      </c>
      <c r="M134" s="152"/>
      <c r="N134" s="222">
        <f t="shared" ref="N134" si="84">L134-I134</f>
        <v>0</v>
      </c>
      <c r="O134" s="152"/>
      <c r="Q134" s="201">
        <f>+SUM(START:END!Q134)</f>
        <v>0</v>
      </c>
      <c r="R134" s="152"/>
      <c r="S134" s="242"/>
    </row>
    <row r="135" spans="1:20" ht="15.75" customHeight="1">
      <c r="A135" s="23" t="str">
        <f t="shared" si="35"/>
        <v>Véhicules usagésTOTAL PERSONNEL</v>
      </c>
      <c r="B135" s="184" t="s">
        <v>73</v>
      </c>
      <c r="C135" s="40" t="s">
        <v>49</v>
      </c>
      <c r="D135" s="250" t="s">
        <v>39</v>
      </c>
      <c r="E135" s="42">
        <f>F135/F$108</f>
        <v>0.32668616739970624</v>
      </c>
      <c r="F135" s="251">
        <f>+SUM(F123:F134)</f>
        <v>145032.52002880001</v>
      </c>
      <c r="G135" s="252" t="s">
        <v>39</v>
      </c>
      <c r="H135" s="42" t="e">
        <f>I135/I$108</f>
        <v>#DIV/0!</v>
      </c>
      <c r="I135" s="251">
        <f>+SUM(I123:I134)</f>
        <v>0</v>
      </c>
      <c r="J135" s="252" t="s">
        <v>39</v>
      </c>
      <c r="K135" s="42">
        <f>L135/L$108</f>
        <v>0.3492147710179731</v>
      </c>
      <c r="L135" s="251">
        <f>SUM(L123:L134)</f>
        <v>99372.44</v>
      </c>
      <c r="M135" s="290"/>
      <c r="N135" s="251">
        <f>SUM(N123:N134)</f>
        <v>-45660.08002880001</v>
      </c>
      <c r="O135" s="252" t="s">
        <v>39</v>
      </c>
      <c r="P135" s="42">
        <f>Q135/Q$108</f>
        <v>0.50633155138805852</v>
      </c>
      <c r="Q135" s="251">
        <f>SUM(Q123:Q134)</f>
        <v>111463.60999999999</v>
      </c>
      <c r="R135" s="290"/>
      <c r="S135" s="261">
        <f t="shared" ref="S135:S153" si="85">L135-Q135</f>
        <v>-12091.169999999984</v>
      </c>
    </row>
    <row r="136" spans="1:20" ht="15.75" customHeight="1">
      <c r="A136" s="23" t="str">
        <f t="shared" si="35"/>
        <v>Véhicules usagésPublicité 2</v>
      </c>
      <c r="B136" s="184" t="s">
        <v>73</v>
      </c>
      <c r="C136" s="1" t="s">
        <v>50</v>
      </c>
      <c r="D136" s="30"/>
      <c r="F136" s="198">
        <f>+SUM(START:END!F136)</f>
        <v>0</v>
      </c>
      <c r="G136" s="240"/>
      <c r="I136" s="198">
        <f>+SUM(START:END!I136)</f>
        <v>0</v>
      </c>
      <c r="J136" s="152"/>
      <c r="L136" s="201">
        <f>+SUM(START:END!L136)</f>
        <v>0</v>
      </c>
      <c r="M136" s="152"/>
      <c r="N136" s="222">
        <f t="shared" ref="N136:N149" si="86">L136-F136</f>
        <v>0</v>
      </c>
      <c r="O136" s="152"/>
      <c r="Q136" s="201">
        <f>+SUM(START:END!Q136)</f>
        <v>0</v>
      </c>
      <c r="R136" s="152"/>
      <c r="S136" s="242"/>
    </row>
    <row r="137" spans="1:20" ht="15.75" customHeight="1">
      <c r="A137" s="23" t="str">
        <f t="shared" si="35"/>
        <v>Véhicules usagésService gratuit 2</v>
      </c>
      <c r="B137" s="184" t="s">
        <v>73</v>
      </c>
      <c r="C137" s="1" t="s">
        <v>51</v>
      </c>
      <c r="D137" s="30"/>
      <c r="F137" s="198">
        <f>+SUM(START:END!F137)</f>
        <v>0</v>
      </c>
      <c r="G137" s="240"/>
      <c r="I137" s="198">
        <f>+SUM(START:END!I137)</f>
        <v>0</v>
      </c>
      <c r="J137" s="152"/>
      <c r="L137" s="201">
        <f>+SUM(START:END!L137)</f>
        <v>0</v>
      </c>
      <c r="M137" s="152"/>
      <c r="N137" s="222">
        <f t="shared" si="86"/>
        <v>0</v>
      </c>
      <c r="O137" s="152"/>
      <c r="Q137" s="201">
        <f>+SUM(START:END!Q137)</f>
        <v>0</v>
      </c>
      <c r="R137" s="152"/>
      <c r="S137" s="242"/>
    </row>
    <row r="138" spans="1:20" ht="15.75" customHeight="1">
      <c r="A138" s="23" t="str">
        <f t="shared" si="35"/>
        <v>Véhicules usagésFrais véhicules de cie</v>
      </c>
      <c r="B138" s="184" t="s">
        <v>73</v>
      </c>
      <c r="C138" s="2" t="s">
        <v>52</v>
      </c>
      <c r="D138" s="34"/>
      <c r="E138" s="7"/>
      <c r="F138" s="193">
        <f>+SUM(START:END!F138)</f>
        <v>7375</v>
      </c>
      <c r="G138" s="244"/>
      <c r="H138" s="7"/>
      <c r="I138" s="193">
        <f>+SUM(START:END!I138)</f>
        <v>0</v>
      </c>
      <c r="J138" s="153"/>
      <c r="K138" s="7"/>
      <c r="L138" s="193">
        <f>+SUM(START:END!L138)</f>
        <v>7633.0599999999995</v>
      </c>
      <c r="M138" s="153"/>
      <c r="N138" s="247">
        <f t="shared" si="86"/>
        <v>258.05999999999949</v>
      </c>
      <c r="O138" s="153"/>
      <c r="P138" s="7"/>
      <c r="Q138" s="193">
        <f>+SUM(START:END!Q138)</f>
        <v>2142.96</v>
      </c>
      <c r="R138" s="153"/>
      <c r="S138" s="248"/>
    </row>
    <row r="139" spans="1:20" ht="15.75" customHeight="1">
      <c r="A139" s="23" t="str">
        <f t="shared" si="35"/>
        <v>Véhicules usagésInformatique</v>
      </c>
      <c r="B139" s="184" t="s">
        <v>73</v>
      </c>
      <c r="C139" s="1" t="s">
        <v>53</v>
      </c>
      <c r="D139" s="30"/>
      <c r="F139" s="198">
        <f>+SUM(START:END!F139)</f>
        <v>10881.124612</v>
      </c>
      <c r="G139" s="240"/>
      <c r="I139" s="198">
        <f>+SUM(START:END!I139)</f>
        <v>0</v>
      </c>
      <c r="J139" s="152"/>
      <c r="L139" s="201">
        <f>+SUM(START:END!L139)</f>
        <v>10592</v>
      </c>
      <c r="M139" s="152"/>
      <c r="N139" s="222">
        <f t="shared" si="86"/>
        <v>-289.12461199999962</v>
      </c>
      <c r="O139" s="152"/>
      <c r="Q139" s="201">
        <f>+SUM(START:END!Q139)</f>
        <v>10598.06</v>
      </c>
      <c r="R139" s="152"/>
      <c r="S139" s="242"/>
    </row>
    <row r="140" spans="1:20" ht="15.75" customHeight="1">
      <c r="A140" s="23" t="str">
        <f t="shared" si="35"/>
        <v>Véhicules usagésFrais de déplacement</v>
      </c>
      <c r="B140" s="184" t="s">
        <v>73</v>
      </c>
      <c r="C140" s="1" t="s">
        <v>54</v>
      </c>
      <c r="D140" s="30"/>
      <c r="F140" s="198">
        <f>+SUM(START:END!F140)</f>
        <v>1563.3277391827887</v>
      </c>
      <c r="G140" s="240"/>
      <c r="I140" s="198">
        <f>+SUM(START:END!I140)</f>
        <v>0</v>
      </c>
      <c r="J140" s="152"/>
      <c r="L140" s="201">
        <f>+SUM(START:END!L140)</f>
        <v>1736.2</v>
      </c>
      <c r="M140" s="152"/>
      <c r="N140" s="222">
        <f t="shared" si="86"/>
        <v>172.87226081721133</v>
      </c>
      <c r="O140" s="152"/>
      <c r="Q140" s="201">
        <f>+SUM(START:END!Q140)</f>
        <v>1459.8500000000001</v>
      </c>
      <c r="R140" s="152"/>
      <c r="S140" s="242"/>
      <c r="T140" s="27"/>
    </row>
    <row r="141" spans="1:20" ht="15.75" customHeight="1">
      <c r="A141" s="23" t="str">
        <f t="shared" si="35"/>
        <v>Véhicules usagésServices extérieurs</v>
      </c>
      <c r="B141" s="184" t="s">
        <v>73</v>
      </c>
      <c r="C141" s="2" t="s">
        <v>55</v>
      </c>
      <c r="D141" s="34"/>
      <c r="E141" s="7"/>
      <c r="F141" s="193">
        <f>+SUM(START:END!F141)</f>
        <v>4468.7731599833332</v>
      </c>
      <c r="G141" s="244"/>
      <c r="H141" s="7"/>
      <c r="I141" s="193">
        <f>+SUM(START:END!I141)</f>
        <v>0</v>
      </c>
      <c r="J141" s="153"/>
      <c r="K141" s="7"/>
      <c r="L141" s="193">
        <f>+SUM(START:END!L141)</f>
        <v>6629.74</v>
      </c>
      <c r="M141" s="153"/>
      <c r="N141" s="247">
        <f t="shared" si="86"/>
        <v>2160.9668400166665</v>
      </c>
      <c r="O141" s="153"/>
      <c r="P141" s="7"/>
      <c r="Q141" s="193">
        <f>+SUM(START:END!Q141)</f>
        <v>4853.8100000000004</v>
      </c>
      <c r="R141" s="153"/>
      <c r="S141" s="248"/>
    </row>
    <row r="142" spans="1:20" ht="15.75" customHeight="1">
      <c r="A142" s="23" t="str">
        <f t="shared" si="35"/>
        <v>Véhicules usagésFournitures autres</v>
      </c>
      <c r="B142" s="184" t="s">
        <v>73</v>
      </c>
      <c r="C142" s="1" t="s">
        <v>56</v>
      </c>
      <c r="D142" s="30"/>
      <c r="F142" s="198">
        <f>+SUM(START:END!F142)</f>
        <v>375</v>
      </c>
      <c r="G142" s="240"/>
      <c r="I142" s="198">
        <f>+SUM(START:END!I142)</f>
        <v>0</v>
      </c>
      <c r="J142" s="152"/>
      <c r="L142" s="201">
        <f>+SUM(START:END!L142)</f>
        <v>21.93</v>
      </c>
      <c r="M142" s="152"/>
      <c r="N142" s="222">
        <f t="shared" si="86"/>
        <v>-353.07</v>
      </c>
      <c r="O142" s="152"/>
      <c r="Q142" s="201">
        <f>+SUM(START:END!Q142)</f>
        <v>187.17</v>
      </c>
      <c r="R142" s="152"/>
      <c r="S142" s="242"/>
    </row>
    <row r="143" spans="1:20" ht="15.75" customHeight="1">
      <c r="A143" s="23" t="str">
        <f t="shared" si="35"/>
        <v>Véhicules usagésUniformes</v>
      </c>
      <c r="B143" s="184" t="s">
        <v>73</v>
      </c>
      <c r="C143" s="1" t="s">
        <v>57</v>
      </c>
      <c r="D143" s="30"/>
      <c r="F143" s="198">
        <f>+SUM(START:END!F143)</f>
        <v>250</v>
      </c>
      <c r="G143" s="240"/>
      <c r="I143" s="198">
        <f>+SUM(START:END!I143)</f>
        <v>0</v>
      </c>
      <c r="J143" s="152"/>
      <c r="L143" s="201">
        <f>+SUM(START:END!L143)</f>
        <v>434.88</v>
      </c>
      <c r="M143" s="152"/>
      <c r="N143" s="222">
        <f t="shared" si="86"/>
        <v>184.88</v>
      </c>
      <c r="O143" s="152"/>
      <c r="Q143" s="201">
        <f>+SUM(START:END!Q143)</f>
        <v>0</v>
      </c>
      <c r="R143" s="152"/>
      <c r="S143" s="242"/>
    </row>
    <row r="144" spans="1:20" ht="15.75" customHeight="1">
      <c r="A144" s="23" t="str">
        <f t="shared" si="35"/>
        <v>Véhicules usagésPapeterie</v>
      </c>
      <c r="B144" s="184" t="s">
        <v>73</v>
      </c>
      <c r="C144" s="1" t="s">
        <v>58</v>
      </c>
      <c r="D144" s="30"/>
      <c r="F144" s="198">
        <f>+SUM(START:END!F144)</f>
        <v>920.352770964</v>
      </c>
      <c r="G144" s="240"/>
      <c r="I144" s="198">
        <f>+SUM(START:END!I144)</f>
        <v>0</v>
      </c>
      <c r="J144" s="152"/>
      <c r="L144" s="200">
        <f>+SUM(START:END!L144)</f>
        <v>1048.0900000000001</v>
      </c>
      <c r="M144" s="152"/>
      <c r="N144" s="222">
        <f t="shared" si="86"/>
        <v>127.73722903600014</v>
      </c>
      <c r="O144" s="152"/>
      <c r="Q144" s="200">
        <f>+SUM(START:END!Q144)</f>
        <v>1263.95</v>
      </c>
      <c r="R144" s="152"/>
      <c r="S144" s="242"/>
    </row>
    <row r="145" spans="1:20" ht="15.75" customHeight="1">
      <c r="A145" s="23" t="str">
        <f t="shared" si="35"/>
        <v>Véhicules usagésTéléphone</v>
      </c>
      <c r="B145" s="184" t="s">
        <v>73</v>
      </c>
      <c r="C145" s="1" t="s">
        <v>59</v>
      </c>
      <c r="D145" s="30"/>
      <c r="F145" s="198">
        <f>+SUM(START:END!F145)</f>
        <v>253.45989568449994</v>
      </c>
      <c r="G145" s="240"/>
      <c r="I145" s="198">
        <f>+SUM(START:END!I145)</f>
        <v>0</v>
      </c>
      <c r="J145" s="152"/>
      <c r="L145" s="201">
        <f>+SUM(START:END!L145)</f>
        <v>278.5</v>
      </c>
      <c r="M145" s="152"/>
      <c r="N145" s="222">
        <f t="shared" si="86"/>
        <v>25.040104315500059</v>
      </c>
      <c r="O145" s="152"/>
      <c r="Q145" s="201">
        <f>+SUM(START:END!Q145)</f>
        <v>327.77</v>
      </c>
      <c r="R145" s="152"/>
      <c r="S145" s="242"/>
    </row>
    <row r="146" spans="1:20" ht="15.75" customHeight="1">
      <c r="A146" s="23" t="str">
        <f t="shared" si="35"/>
        <v>Véhicules usagésFrais postaux</v>
      </c>
      <c r="B146" s="184" t="s">
        <v>73</v>
      </c>
      <c r="C146" s="1" t="s">
        <v>60</v>
      </c>
      <c r="D146" s="30"/>
      <c r="F146" s="198">
        <f>+SUM(START:END!F146)</f>
        <v>180.98024239549997</v>
      </c>
      <c r="G146" s="240"/>
      <c r="I146" s="198">
        <f>+SUM(START:END!I146)</f>
        <v>0</v>
      </c>
      <c r="J146" s="152"/>
      <c r="L146" s="201">
        <f>+SUM(START:END!L146)</f>
        <v>39.81</v>
      </c>
      <c r="M146" s="152"/>
      <c r="N146" s="222">
        <f t="shared" si="86"/>
        <v>-141.17024239549997</v>
      </c>
      <c r="O146" s="152"/>
      <c r="Q146" s="201">
        <f>+SUM(START:END!Q146)</f>
        <v>304.27</v>
      </c>
      <c r="R146" s="152"/>
      <c r="S146" s="242"/>
    </row>
    <row r="147" spans="1:20" ht="15.75" customHeight="1">
      <c r="A147" s="23" t="str">
        <f t="shared" si="35"/>
        <v>Véhicules usagésDivers</v>
      </c>
      <c r="B147" s="184" t="s">
        <v>73</v>
      </c>
      <c r="C147" s="1" t="s">
        <v>61</v>
      </c>
      <c r="D147" s="30"/>
      <c r="F147" s="198">
        <f>+SUM(START:END!F147)</f>
        <v>599.34015386449994</v>
      </c>
      <c r="G147" s="240"/>
      <c r="I147" s="198">
        <f>+SUM(START:END!I147)</f>
        <v>0</v>
      </c>
      <c r="J147" s="152"/>
      <c r="L147" s="201">
        <f>+SUM(START:END!L147)</f>
        <v>291.32</v>
      </c>
      <c r="M147" s="152"/>
      <c r="N147" s="222">
        <f t="shared" si="86"/>
        <v>-308.02015386449995</v>
      </c>
      <c r="O147" s="152"/>
      <c r="Q147" s="201">
        <f>+SUM(START:END!Q147)</f>
        <v>118.9</v>
      </c>
      <c r="R147" s="152"/>
      <c r="S147" s="242"/>
    </row>
    <row r="148" spans="1:20" ht="15.75" customHeight="1">
      <c r="A148" s="23" t="str">
        <f t="shared" si="35"/>
        <v>Véhicules usagésFormation</v>
      </c>
      <c r="B148" s="184" t="s">
        <v>73</v>
      </c>
      <c r="C148" s="1" t="s">
        <v>62</v>
      </c>
      <c r="D148" s="30"/>
      <c r="F148" s="198">
        <f>+SUM(START:END!F148)</f>
        <v>1506.696809091043</v>
      </c>
      <c r="G148" s="240"/>
      <c r="I148" s="198">
        <f>+SUM(START:END!I148)</f>
        <v>0</v>
      </c>
      <c r="J148" s="152"/>
      <c r="L148" s="201">
        <f>+SUM(START:END!L148)</f>
        <v>804.08999999999992</v>
      </c>
      <c r="M148" s="152"/>
      <c r="N148" s="222">
        <f t="shared" si="86"/>
        <v>-702.60680909104303</v>
      </c>
      <c r="O148" s="152"/>
      <c r="Q148" s="201">
        <f>+SUM(START:END!Q148)</f>
        <v>1673.2</v>
      </c>
      <c r="R148" s="152"/>
      <c r="S148" s="242"/>
    </row>
    <row r="149" spans="1:20" ht="15.75" customHeight="1">
      <c r="A149" s="23" t="str">
        <f t="shared" si="35"/>
        <v>Véhicules usagésFrais bancaires</v>
      </c>
      <c r="B149" s="184" t="s">
        <v>73</v>
      </c>
      <c r="C149" s="1" t="s">
        <v>63</v>
      </c>
      <c r="D149" s="30"/>
      <c r="F149" s="198">
        <f>+SUM(START:END!F149)</f>
        <v>2346.5237131748763</v>
      </c>
      <c r="G149" s="240"/>
      <c r="I149" s="198">
        <f>+SUM(START:END!I149)</f>
        <v>0</v>
      </c>
      <c r="J149" s="152"/>
      <c r="L149" s="201">
        <f>+SUM(START:END!L149)</f>
        <v>3560.3999999999996</v>
      </c>
      <c r="M149" s="152"/>
      <c r="N149" s="222">
        <f t="shared" si="86"/>
        <v>1213.8762868251233</v>
      </c>
      <c r="O149" s="152"/>
      <c r="Q149" s="201">
        <f>+SUM(START:END!Q149)</f>
        <v>2756.54</v>
      </c>
      <c r="R149" s="152"/>
      <c r="S149" s="242"/>
      <c r="T149" s="26"/>
    </row>
    <row r="150" spans="1:20" ht="15.75" hidden="1" customHeight="1">
      <c r="A150" s="23" t="str">
        <f t="shared" si="35"/>
        <v>Véhicules usagés[...]</v>
      </c>
      <c r="B150" s="184" t="s">
        <v>73</v>
      </c>
      <c r="C150" s="1" t="s">
        <v>20</v>
      </c>
      <c r="D150" s="30"/>
      <c r="F150" s="198">
        <f>+SUM(START:END!F150)</f>
        <v>0</v>
      </c>
      <c r="G150" s="240"/>
      <c r="I150" s="198">
        <f>+SUM(START:END!I150)</f>
        <v>0</v>
      </c>
      <c r="J150" s="152"/>
      <c r="L150" s="201">
        <f>+SUM(START:END!L150)</f>
        <v>0</v>
      </c>
      <c r="M150" s="152"/>
      <c r="N150" s="222">
        <f t="shared" ref="N150:N152" si="87">L150-I150</f>
        <v>0</v>
      </c>
      <c r="O150" s="152"/>
      <c r="Q150" s="201">
        <f>+SUM(START:END!Q150)</f>
        <v>0</v>
      </c>
      <c r="R150" s="152"/>
      <c r="S150" s="242"/>
    </row>
    <row r="151" spans="1:20" ht="15.75" hidden="1" customHeight="1">
      <c r="A151" s="23" t="str">
        <f t="shared" si="35"/>
        <v>Véhicules usagés[...]</v>
      </c>
      <c r="B151" s="184" t="s">
        <v>73</v>
      </c>
      <c r="C151" s="1" t="s">
        <v>20</v>
      </c>
      <c r="D151" s="30"/>
      <c r="F151" s="198">
        <f>+SUM(START:END!F151)</f>
        <v>0</v>
      </c>
      <c r="G151" s="240"/>
      <c r="I151" s="198">
        <f>+SUM(START:END!I151)</f>
        <v>0</v>
      </c>
      <c r="J151" s="152"/>
      <c r="L151" s="201">
        <f>+SUM(START:END!L151)</f>
        <v>0</v>
      </c>
      <c r="M151" s="152"/>
      <c r="N151" s="222">
        <f t="shared" si="87"/>
        <v>0</v>
      </c>
      <c r="O151" s="152"/>
      <c r="Q151" s="201">
        <f>+SUM(START:END!Q151)</f>
        <v>0</v>
      </c>
      <c r="R151" s="152"/>
      <c r="S151" s="242"/>
    </row>
    <row r="152" spans="1:20" ht="15.75" hidden="1" customHeight="1">
      <c r="A152" s="23" t="str">
        <f t="shared" si="35"/>
        <v>Véhicules usagés[...]</v>
      </c>
      <c r="B152" s="184" t="s">
        <v>73</v>
      </c>
      <c r="C152" s="1" t="s">
        <v>20</v>
      </c>
      <c r="D152" s="30"/>
      <c r="F152" s="198">
        <f>+SUM(START:END!F152)</f>
        <v>0</v>
      </c>
      <c r="G152" s="240"/>
      <c r="I152" s="198">
        <f>+SUM(START:END!I152)</f>
        <v>0</v>
      </c>
      <c r="J152" s="152"/>
      <c r="L152" s="201">
        <f>+SUM(START:END!L152)</f>
        <v>0</v>
      </c>
      <c r="M152" s="152"/>
      <c r="N152" s="222">
        <f t="shared" si="87"/>
        <v>0</v>
      </c>
      <c r="O152" s="152"/>
      <c r="Q152" s="201">
        <f>+SUM(START:END!Q152)</f>
        <v>0</v>
      </c>
      <c r="R152" s="152"/>
      <c r="S152" s="242"/>
      <c r="T152" s="26"/>
    </row>
    <row r="153" spans="1:20" ht="15.75" customHeight="1">
      <c r="A153" s="23" t="str">
        <f t="shared" si="35"/>
        <v>Véhicules usagésTOTAL SEMI-FIXES</v>
      </c>
      <c r="B153" s="184" t="s">
        <v>73</v>
      </c>
      <c r="C153" s="40" t="s">
        <v>64</v>
      </c>
      <c r="D153" s="250" t="s">
        <v>39</v>
      </c>
      <c r="E153" s="42">
        <f>F153/F$108</f>
        <v>6.919819253840527E-2</v>
      </c>
      <c r="F153" s="251">
        <f>+SUM(F136:F152)</f>
        <v>30720.579096340542</v>
      </c>
      <c r="G153" s="252" t="s">
        <v>39</v>
      </c>
      <c r="H153" s="42" t="e">
        <f>I153/I$108</f>
        <v>#DIV/0!</v>
      </c>
      <c r="I153" s="251">
        <f>+SUM(I136:I152)</f>
        <v>0</v>
      </c>
      <c r="J153" s="252" t="s">
        <v>39</v>
      </c>
      <c r="K153" s="42">
        <f>L153/L$108</f>
        <v>0.11621471166311094</v>
      </c>
      <c r="L153" s="251">
        <f>+SUM(L136:L152)</f>
        <v>33070.020000000004</v>
      </c>
      <c r="M153" s="254"/>
      <c r="N153" s="251">
        <f>+SUM(N136:N152)</f>
        <v>2349.4409036594589</v>
      </c>
      <c r="O153" s="252" t="s">
        <v>39</v>
      </c>
      <c r="P153" s="42">
        <f>Q153/Q$108</f>
        <v>0.11668270270537928</v>
      </c>
      <c r="Q153" s="251">
        <f>+SUM(Q136:Q152)</f>
        <v>25686.480000000003</v>
      </c>
      <c r="R153" s="254"/>
      <c r="S153" s="255">
        <f t="shared" si="85"/>
        <v>7383.5400000000009</v>
      </c>
      <c r="T153" s="87"/>
    </row>
    <row r="154" spans="1:20" ht="15.75" customHeight="1">
      <c r="A154" s="23" t="str">
        <f t="shared" si="35"/>
        <v>Véhicules usagés</v>
      </c>
      <c r="B154" s="184" t="s">
        <v>73</v>
      </c>
      <c r="C154" s="2"/>
      <c r="D154" s="34"/>
      <c r="E154" s="7"/>
      <c r="F154" s="222"/>
      <c r="G154" s="244"/>
      <c r="H154" s="7"/>
      <c r="I154" s="222"/>
      <c r="J154" s="153"/>
      <c r="K154" s="7"/>
      <c r="L154" s="247"/>
      <c r="M154" s="153"/>
      <c r="N154" s="247"/>
      <c r="O154" s="153"/>
      <c r="P154" s="7"/>
      <c r="Q154" s="247"/>
      <c r="R154" s="153"/>
      <c r="S154" s="248"/>
      <c r="T154" s="87"/>
    </row>
    <row r="155" spans="1:20" ht="15.75" customHeight="1">
      <c r="A155" s="23" t="str">
        <f t="shared" si="35"/>
        <v>Véhicules usagésTOTAL DES DÉPENSES</v>
      </c>
      <c r="B155" s="184" t="s">
        <v>73</v>
      </c>
      <c r="C155" s="40" t="s">
        <v>65</v>
      </c>
      <c r="D155" s="250" t="s">
        <v>39</v>
      </c>
      <c r="E155" s="42">
        <f>F155/F$108</f>
        <v>0.84658915412282554</v>
      </c>
      <c r="F155" s="251">
        <f>F122+F135+F153</f>
        <v>375843.76292632084</v>
      </c>
      <c r="G155" s="252" t="s">
        <v>39</v>
      </c>
      <c r="H155" s="42" t="e">
        <f>I155/I$108</f>
        <v>#DIV/0!</v>
      </c>
      <c r="I155" s="251">
        <f>I122+I135+I153</f>
        <v>0</v>
      </c>
      <c r="J155" s="252" t="s">
        <v>39</v>
      </c>
      <c r="K155" s="42">
        <f>L155/L$108</f>
        <v>1.0859521308834803</v>
      </c>
      <c r="L155" s="251">
        <f>L122+L135+L153</f>
        <v>309018.18</v>
      </c>
      <c r="M155" s="254"/>
      <c r="N155" s="251">
        <f>N122+N135+N153</f>
        <v>-66825.582926320916</v>
      </c>
      <c r="O155" s="252" t="s">
        <v>39</v>
      </c>
      <c r="P155" s="42">
        <f>Q155/Q$108</f>
        <v>1.2756372241482996</v>
      </c>
      <c r="Q155" s="251">
        <f>Q122+Q135+Q153</f>
        <v>280818.23</v>
      </c>
      <c r="R155" s="254"/>
      <c r="S155" s="261">
        <f>L155-Q155</f>
        <v>28199.950000000012</v>
      </c>
      <c r="T155" s="87"/>
    </row>
    <row r="156" spans="1:20" ht="15.75" customHeight="1">
      <c r="A156" s="23" t="str">
        <f t="shared" si="35"/>
        <v>Véhicules usagésRemarketing Bonus</v>
      </c>
      <c r="B156" s="184" t="s">
        <v>73</v>
      </c>
      <c r="C156" s="1" t="s">
        <v>80</v>
      </c>
      <c r="D156" s="176"/>
      <c r="E156" s="72"/>
      <c r="F156" s="198">
        <f>+SUM(START:END!F156)</f>
        <v>0</v>
      </c>
      <c r="G156" s="291"/>
      <c r="H156" s="72"/>
      <c r="I156" s="198">
        <f>+SUM(START:END!I156)</f>
        <v>0</v>
      </c>
      <c r="J156" s="291"/>
      <c r="K156" s="72"/>
      <c r="L156" s="200">
        <f>+SUM(START:END!L156)</f>
        <v>0</v>
      </c>
      <c r="M156" s="152"/>
      <c r="N156" s="222">
        <f t="shared" ref="N156:N159" si="88">L156-F156</f>
        <v>0</v>
      </c>
      <c r="O156" s="291"/>
      <c r="P156" s="72"/>
      <c r="Q156" s="201">
        <f>+SUM(START:END!Q156)</f>
        <v>0</v>
      </c>
      <c r="R156" s="152"/>
      <c r="S156" s="242"/>
      <c r="T156" s="87"/>
    </row>
    <row r="157" spans="1:20" ht="15.75" customHeight="1">
      <c r="A157" s="23" t="str">
        <f t="shared" si="35"/>
        <v>Véhicules usagésProgramme used 2</v>
      </c>
      <c r="B157" s="184" t="s">
        <v>73</v>
      </c>
      <c r="C157" s="1" t="s">
        <v>81</v>
      </c>
      <c r="D157" s="176"/>
      <c r="E157" s="72"/>
      <c r="F157" s="198">
        <f>+SUM(START:END!F157)</f>
        <v>0</v>
      </c>
      <c r="G157" s="291"/>
      <c r="H157" s="72"/>
      <c r="I157" s="198">
        <f>+SUM(START:END!I157)</f>
        <v>0</v>
      </c>
      <c r="J157" s="291"/>
      <c r="K157" s="72"/>
      <c r="L157" s="201">
        <f>+SUM(START:END!L157)</f>
        <v>0</v>
      </c>
      <c r="M157" s="152"/>
      <c r="N157" s="222">
        <f t="shared" si="88"/>
        <v>0</v>
      </c>
      <c r="O157" s="291"/>
      <c r="P157" s="72"/>
      <c r="Q157" s="201">
        <f>+SUM(START:END!Q157)</f>
        <v>0</v>
      </c>
      <c r="R157" s="152"/>
      <c r="S157" s="242"/>
      <c r="T157" s="87"/>
    </row>
    <row r="158" spans="1:20" ht="15.75" customHeight="1">
      <c r="A158" s="23" t="str">
        <f t="shared" si="35"/>
        <v>Véhicules usagésProgramme used 3</v>
      </c>
      <c r="B158" s="184" t="s">
        <v>73</v>
      </c>
      <c r="C158" s="1" t="s">
        <v>82</v>
      </c>
      <c r="D158" s="30"/>
      <c r="F158" s="198">
        <f>+SUM(START:END!F158)</f>
        <v>0</v>
      </c>
      <c r="G158" s="240"/>
      <c r="I158" s="198">
        <f>+SUM(START:END!I158)</f>
        <v>0</v>
      </c>
      <c r="J158" s="152"/>
      <c r="L158" s="201">
        <f>+SUM(START:END!L158)</f>
        <v>0</v>
      </c>
      <c r="M158" s="152"/>
      <c r="N158" s="222">
        <f t="shared" si="88"/>
        <v>0</v>
      </c>
      <c r="O158" s="152"/>
      <c r="Q158" s="201">
        <f>+SUM(START:END!Q158)</f>
        <v>0</v>
      </c>
      <c r="R158" s="152"/>
      <c r="S158" s="242"/>
      <c r="T158" s="87"/>
    </row>
    <row r="159" spans="1:20" ht="15.75" customHeight="1">
      <c r="A159" s="23" t="str">
        <f t="shared" ref="A159:A162" si="89">+B159&amp;C159</f>
        <v>Véhicules usagésFrais administration</v>
      </c>
      <c r="B159" s="184" t="s">
        <v>73</v>
      </c>
      <c r="C159" s="1" t="s">
        <v>70</v>
      </c>
      <c r="D159" s="30"/>
      <c r="F159" s="198">
        <f>+SUM(START:END!F159)</f>
        <v>47728.53912500001</v>
      </c>
      <c r="G159" s="240"/>
      <c r="I159" s="198">
        <f>+SUM(START:END!I159)</f>
        <v>0</v>
      </c>
      <c r="J159" s="152"/>
      <c r="L159" s="200">
        <f>+SUM(START:END!L159)</f>
        <v>44124</v>
      </c>
      <c r="M159" s="152"/>
      <c r="N159" s="222">
        <f t="shared" si="88"/>
        <v>-3604.5391250000102</v>
      </c>
      <c r="O159" s="152"/>
      <c r="Q159" s="201">
        <f>+SUM(START:END!Q159)</f>
        <v>25602</v>
      </c>
      <c r="R159" s="152"/>
      <c r="S159" s="242"/>
      <c r="T159" s="87"/>
    </row>
    <row r="160" spans="1:20" ht="15.75" hidden="1" customHeight="1">
      <c r="A160" s="23" t="str">
        <f t="shared" si="89"/>
        <v>Véhicules usagés[...]</v>
      </c>
      <c r="B160" s="184" t="s">
        <v>73</v>
      </c>
      <c r="C160" s="1" t="s">
        <v>20</v>
      </c>
      <c r="D160" s="30"/>
      <c r="F160" s="198">
        <f>+SUM(START:END!F160)</f>
        <v>0</v>
      </c>
      <c r="G160" s="240"/>
      <c r="I160" s="198">
        <f>+SUM(START:END!I160)</f>
        <v>0</v>
      </c>
      <c r="J160" s="152"/>
      <c r="L160" s="200">
        <f>+SUM(START:END!L160)</f>
        <v>0</v>
      </c>
      <c r="M160" s="152"/>
      <c r="N160" s="222">
        <f t="shared" ref="N160:N162" si="90">L160-I160</f>
        <v>0</v>
      </c>
      <c r="O160" s="152"/>
      <c r="Q160" s="201">
        <f>+SUM(START:END!Q160)</f>
        <v>0</v>
      </c>
      <c r="R160" s="152"/>
      <c r="S160" s="242"/>
      <c r="T160" s="87"/>
    </row>
    <row r="161" spans="1:40" ht="15.75" hidden="1" customHeight="1">
      <c r="A161" s="23" t="str">
        <f t="shared" si="89"/>
        <v>Véhicules usagés[...]</v>
      </c>
      <c r="B161" s="184" t="s">
        <v>73</v>
      </c>
      <c r="C161" s="1" t="s">
        <v>20</v>
      </c>
      <c r="D161" s="30"/>
      <c r="F161" s="198">
        <f>+SUM(START:END!F161)</f>
        <v>0</v>
      </c>
      <c r="G161" s="240"/>
      <c r="I161" s="198">
        <f>+SUM(START:END!I161)</f>
        <v>0</v>
      </c>
      <c r="J161" s="152"/>
      <c r="L161" s="200">
        <f>+SUM(START:END!L161)</f>
        <v>0</v>
      </c>
      <c r="M161" s="152"/>
      <c r="N161" s="222">
        <f t="shared" si="90"/>
        <v>0</v>
      </c>
      <c r="O161" s="152"/>
      <c r="Q161" s="201">
        <f>+SUM(START:END!Q161)</f>
        <v>0</v>
      </c>
      <c r="R161" s="152"/>
      <c r="S161" s="242"/>
      <c r="T161" s="87"/>
    </row>
    <row r="162" spans="1:40" ht="15.75" hidden="1" customHeight="1">
      <c r="A162" s="23" t="str">
        <f t="shared" si="89"/>
        <v>Véhicules usagés[...]</v>
      </c>
      <c r="B162" s="184" t="s">
        <v>73</v>
      </c>
      <c r="C162" s="2" t="s">
        <v>20</v>
      </c>
      <c r="D162" s="34"/>
      <c r="E162" s="7"/>
      <c r="F162" s="198">
        <f>+SUM(START:END!F162)</f>
        <v>0</v>
      </c>
      <c r="G162" s="240"/>
      <c r="I162" s="198">
        <f>+SUM(START:END!I162)</f>
        <v>0</v>
      </c>
      <c r="J162" s="152"/>
      <c r="L162" s="200">
        <f>+SUM(START:END!L162)</f>
        <v>0</v>
      </c>
      <c r="M162" s="152"/>
      <c r="N162" s="222">
        <f t="shared" si="90"/>
        <v>0</v>
      </c>
      <c r="O162" s="152"/>
      <c r="Q162" s="201">
        <f>+SUM(START:END!Q162)</f>
        <v>0</v>
      </c>
      <c r="R162" s="152"/>
      <c r="S162" s="242"/>
      <c r="T162" s="87"/>
    </row>
    <row r="163" spans="1:40" ht="15.75" customHeight="1">
      <c r="B163" s="184"/>
      <c r="C163" s="40" t="s">
        <v>71</v>
      </c>
      <c r="D163" s="250"/>
      <c r="E163" s="42"/>
      <c r="F163" s="251">
        <f>+SUM(F156:F162)</f>
        <v>47728.53912500001</v>
      </c>
      <c r="G163" s="252"/>
      <c r="H163" s="42"/>
      <c r="I163" s="251">
        <f>+SUM(I156:I162)</f>
        <v>0</v>
      </c>
      <c r="J163" s="252"/>
      <c r="K163" s="42"/>
      <c r="L163" s="251">
        <f>+SUM(L156:L162)</f>
        <v>44124</v>
      </c>
      <c r="M163" s="254"/>
      <c r="N163" s="251">
        <f>+SUM(N156:N162)</f>
        <v>-3604.5391250000102</v>
      </c>
      <c r="O163" s="252"/>
      <c r="P163" s="42"/>
      <c r="Q163" s="251">
        <f>+SUM(Q156:Q162)</f>
        <v>25602</v>
      </c>
      <c r="R163" s="254"/>
      <c r="S163" s="255">
        <f>+SUM(S156:S162)</f>
        <v>0</v>
      </c>
      <c r="T163" s="87"/>
    </row>
    <row r="164" spans="1:40" ht="15.75" customHeight="1">
      <c r="B164" s="184"/>
      <c r="C164" s="1"/>
      <c r="D164" s="30"/>
      <c r="F164" s="222"/>
      <c r="G164" s="240"/>
      <c r="I164" s="222"/>
      <c r="J164" s="152"/>
      <c r="L164" s="222"/>
      <c r="M164" s="152"/>
      <c r="N164" s="222"/>
      <c r="O164" s="152"/>
      <c r="Q164" s="222"/>
      <c r="R164" s="152"/>
      <c r="S164" s="242"/>
      <c r="T164" s="72"/>
    </row>
    <row r="165" spans="1:40" ht="15.75" customHeight="1" thickBot="1">
      <c r="B165" s="184"/>
      <c r="C165" s="271" t="s">
        <v>72</v>
      </c>
      <c r="D165" s="292"/>
      <c r="E165" s="272"/>
      <c r="F165" s="274">
        <f>F108-F155+F163</f>
        <v>115835.37619867915</v>
      </c>
      <c r="G165" s="293"/>
      <c r="H165" s="272"/>
      <c r="I165" s="274">
        <f>I108-I155+I163</f>
        <v>0</v>
      </c>
      <c r="J165" s="294"/>
      <c r="K165" s="273"/>
      <c r="L165" s="274">
        <f>L108-L155+L163</f>
        <v>19665.490000000049</v>
      </c>
      <c r="M165" s="294"/>
      <c r="N165" s="274">
        <f>N108-N155+N163</f>
        <v>-96169.886198679087</v>
      </c>
      <c r="O165" s="294"/>
      <c r="P165" s="273"/>
      <c r="Q165" s="274">
        <f>Q108-Q155+Q163</f>
        <v>-35076.660000000236</v>
      </c>
      <c r="R165" s="294"/>
      <c r="S165" s="276">
        <f>L165-Q165</f>
        <v>54742.150000000285</v>
      </c>
      <c r="T165" s="26"/>
    </row>
    <row r="166" spans="1:40" ht="15.75" customHeight="1" thickTop="1">
      <c r="B166" s="184"/>
      <c r="F166" s="26" t="e">
        <f>+F165-#REF!-#REF!-#REF!</f>
        <v>#REF!</v>
      </c>
      <c r="L166" s="26" t="e">
        <f>+L165-#REF!-#REF!-#REF!</f>
        <v>#REF!</v>
      </c>
      <c r="N166" s="26" t="e">
        <f>+N165-#REF!-#REF!-#REF!</f>
        <v>#REF!</v>
      </c>
      <c r="Q166" s="26" t="e">
        <f>+Q165-#REF!-#REF!-#REF!</f>
        <v>#REF!</v>
      </c>
      <c r="S166" s="26" t="e">
        <f>+S165-#REF!-#REF!-#REF!</f>
        <v>#REF!</v>
      </c>
      <c r="T166" s="26"/>
    </row>
    <row r="167" spans="1:40" ht="15.75" customHeight="1">
      <c r="B167" s="184"/>
      <c r="T167" s="26"/>
    </row>
    <row r="168" spans="1:40" ht="33.75" customHeight="1">
      <c r="B168" s="184"/>
      <c r="C168" s="73" t="str">
        <f>C1</f>
        <v>Conso</v>
      </c>
      <c r="D168" s="6"/>
      <c r="E168" s="6"/>
      <c r="F168" s="6"/>
      <c r="G168" s="6"/>
      <c r="H168" s="177"/>
      <c r="I168" s="177"/>
      <c r="J168" s="177"/>
      <c r="K168" s="178" t="s">
        <v>83</v>
      </c>
      <c r="L168" s="6"/>
      <c r="M168" s="6"/>
      <c r="N168" s="177"/>
      <c r="O168" s="177"/>
      <c r="P168" s="6"/>
      <c r="Q168" s="177"/>
      <c r="R168" s="6"/>
      <c r="S168" s="180" t="str">
        <f>$S$1</f>
        <v xml:space="preserve">Réalisé  </v>
      </c>
      <c r="T168" s="6"/>
      <c r="U168" s="73"/>
    </row>
    <row r="169" spans="1:40" ht="15.75" customHeight="1" thickBot="1">
      <c r="B169" s="184"/>
      <c r="C169" s="182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5.75" customHeight="1" thickTop="1">
      <c r="B170" s="184"/>
      <c r="C170" s="440"/>
      <c r="D170" s="493" t="s">
        <v>5</v>
      </c>
      <c r="E170" s="493"/>
      <c r="F170" s="494"/>
      <c r="G170" s="485" t="s">
        <v>74</v>
      </c>
      <c r="H170" s="486"/>
      <c r="I170" s="487"/>
      <c r="J170" s="488" t="s">
        <v>7</v>
      </c>
      <c r="K170" s="486"/>
      <c r="L170" s="487"/>
      <c r="M170" s="488" t="s">
        <v>9</v>
      </c>
      <c r="N170" s="487"/>
      <c r="O170" s="485" t="s">
        <v>8</v>
      </c>
      <c r="P170" s="486"/>
      <c r="Q170" s="487"/>
      <c r="R170" s="488" t="s">
        <v>217</v>
      </c>
      <c r="S170" s="489"/>
      <c r="T170" s="176"/>
    </row>
    <row r="171" spans="1:40" ht="15.75" customHeight="1">
      <c r="A171" s="23" t="str">
        <f t="shared" ref="A171:A228" si="91">+B171&amp;C171</f>
        <v>Service</v>
      </c>
      <c r="B171" s="184" t="s">
        <v>83</v>
      </c>
      <c r="C171" s="441"/>
      <c r="D171" s="175" t="s">
        <v>40</v>
      </c>
      <c r="E171" s="175" t="s">
        <v>84</v>
      </c>
      <c r="F171" s="442" t="s">
        <v>12</v>
      </c>
      <c r="G171" s="277" t="s">
        <v>40</v>
      </c>
      <c r="H171" s="277" t="s">
        <v>84</v>
      </c>
      <c r="I171" s="296" t="s">
        <v>12</v>
      </c>
      <c r="J171" s="175" t="s">
        <v>40</v>
      </c>
      <c r="K171" s="175" t="s">
        <v>84</v>
      </c>
      <c r="L171" s="278" t="s">
        <v>12</v>
      </c>
      <c r="M171" s="279" t="s">
        <v>40</v>
      </c>
      <c r="N171" s="278" t="s">
        <v>12</v>
      </c>
      <c r="O171" s="175" t="s">
        <v>40</v>
      </c>
      <c r="P171" s="175" t="s">
        <v>84</v>
      </c>
      <c r="Q171" s="278" t="s">
        <v>12</v>
      </c>
      <c r="R171" s="279" t="s">
        <v>85</v>
      </c>
      <c r="S171" s="280" t="s">
        <v>12</v>
      </c>
      <c r="T171" s="175"/>
    </row>
    <row r="172" spans="1:40" ht="15.75" customHeight="1">
      <c r="A172" s="23" t="str">
        <f t="shared" si="91"/>
        <v>ServiceM/O Client</v>
      </c>
      <c r="B172" s="184" t="s">
        <v>83</v>
      </c>
      <c r="C172" s="441" t="s">
        <v>86</v>
      </c>
      <c r="D172" s="174">
        <f>+SUM(START:END!D172)</f>
        <v>2032.0639124600732</v>
      </c>
      <c r="E172" s="26">
        <f>+SUM(START:END!E172)</f>
        <v>670581.09111182415</v>
      </c>
      <c r="F172" s="443">
        <f>+SUM(START:END!F172)</f>
        <v>509641.6292449864</v>
      </c>
      <c r="G172" s="174">
        <f>+SUM(START:END!G172)</f>
        <v>0</v>
      </c>
      <c r="H172" s="26">
        <f>+SUM(START:END!H172)</f>
        <v>0</v>
      </c>
      <c r="I172" s="222">
        <f>+SUM(START:END!I172)</f>
        <v>0</v>
      </c>
      <c r="J172" s="174">
        <f>+SUM(START:END!J172)</f>
        <v>1857</v>
      </c>
      <c r="K172" s="26">
        <f>+SUM(START:END!K172)</f>
        <v>619731.36999999988</v>
      </c>
      <c r="L172" s="26">
        <f>+SUM(START:END!L172)</f>
        <v>501781.39999999997</v>
      </c>
      <c r="M172" s="297">
        <f>(K172-E172)/E172</f>
        <v>-7.5829339338386925E-2</v>
      </c>
      <c r="N172" s="222">
        <f t="shared" ref="N172" si="92">L172-F172</f>
        <v>-7860.2292449864326</v>
      </c>
      <c r="O172" s="174">
        <f>+SUM(START:END!O172)</f>
        <v>2006</v>
      </c>
      <c r="P172" s="26">
        <f>+SUM(START:END!P172)</f>
        <v>534637.76</v>
      </c>
      <c r="Q172" s="26">
        <f>+SUM(START:END!Q172)</f>
        <v>403844.07</v>
      </c>
      <c r="R172" s="297">
        <f>IF(O172=0,0,J172/O172)</f>
        <v>0.92572283150548351</v>
      </c>
      <c r="S172" s="242">
        <f>L172-Q172</f>
        <v>97937.329999999958</v>
      </c>
      <c r="T172" s="26"/>
      <c r="V172" s="198"/>
      <c r="W172" s="198"/>
      <c r="X172" s="198"/>
      <c r="Y172" s="198"/>
    </row>
    <row r="173" spans="1:40" ht="15.75" customHeight="1">
      <c r="A173" s="23" t="str">
        <f t="shared" si="91"/>
        <v>Service% profit / ventes</v>
      </c>
      <c r="B173" s="184" t="s">
        <v>83</v>
      </c>
      <c r="C173" s="441" t="s">
        <v>87</v>
      </c>
      <c r="E173" s="31"/>
      <c r="F173" s="444">
        <f>F172/E172</f>
        <v>0.76000000000000012</v>
      </c>
      <c r="H173" s="31"/>
      <c r="I173" s="157" t="e">
        <f>I172/H172</f>
        <v>#DIV/0!</v>
      </c>
      <c r="K173" s="31"/>
      <c r="L173" s="157">
        <f>L172/K172</f>
        <v>0.80967565027408583</v>
      </c>
      <c r="M173" s="297"/>
      <c r="N173" s="222"/>
      <c r="P173" s="31"/>
      <c r="Q173" s="157">
        <f>Q172/P172</f>
        <v>0.75536017134292943</v>
      </c>
      <c r="R173" s="223"/>
      <c r="S173" s="242"/>
      <c r="T173" s="26"/>
    </row>
    <row r="174" spans="1:40" ht="15.75" customHeight="1">
      <c r="A174" s="23" t="str">
        <f t="shared" si="91"/>
        <v>Service</v>
      </c>
      <c r="B174" s="184" t="s">
        <v>83</v>
      </c>
      <c r="C174" s="445"/>
      <c r="D174" s="7"/>
      <c r="E174" s="35">
        <f t="shared" ref="E174" si="93">IFERROR(E172/D172,0)</f>
        <v>330</v>
      </c>
      <c r="F174" s="446"/>
      <c r="G174" s="7"/>
      <c r="H174" s="35">
        <f t="shared" ref="H174" si="94">IFERROR(H172/G172,0)</f>
        <v>0</v>
      </c>
      <c r="I174" s="155"/>
      <c r="J174" s="7"/>
      <c r="K174" s="35">
        <f t="shared" ref="K174" si="95">IFERROR(K172/J172,0)</f>
        <v>333.72717824448029</v>
      </c>
      <c r="L174" s="155"/>
      <c r="M174" s="298"/>
      <c r="N174" s="247"/>
      <c r="O174" s="7"/>
      <c r="P174" s="35">
        <f t="shared" ref="P174" si="96">IFERROR(P172/O172,0)</f>
        <v>266.51932203389833</v>
      </c>
      <c r="Q174" s="155"/>
      <c r="R174" s="299"/>
      <c r="S174" s="248"/>
      <c r="T174" s="26"/>
    </row>
    <row r="175" spans="1:40" ht="18" customHeight="1">
      <c r="A175" s="23" t="str">
        <f t="shared" si="91"/>
        <v>ServiceM/O Garantie</v>
      </c>
      <c r="B175" s="184" t="s">
        <v>83</v>
      </c>
      <c r="C175" s="447" t="s">
        <v>88</v>
      </c>
      <c r="D175" s="57">
        <f>+SUM(START:END!D175)</f>
        <v>430.36879493315502</v>
      </c>
      <c r="E175" s="26">
        <f>+SUM(START:END!E175)</f>
        <v>116199.57463195185</v>
      </c>
      <c r="F175" s="443">
        <f>+SUM(START:END!F175)</f>
        <v>74367.727764449184</v>
      </c>
      <c r="G175" s="57">
        <f>+SUM(START:END!G175)</f>
        <v>0</v>
      </c>
      <c r="H175" s="26">
        <f>+SUM(START:END!H175)</f>
        <v>0</v>
      </c>
      <c r="I175" s="222">
        <f>+SUM(START:END!I175)</f>
        <v>0</v>
      </c>
      <c r="J175" s="57">
        <f>+SUM(START:END!J175)</f>
        <v>514</v>
      </c>
      <c r="K175" s="26">
        <f>+SUM(START:END!K175)</f>
        <v>131906.48000000001</v>
      </c>
      <c r="L175" s="26">
        <f>+SUM(START:END!L175)</f>
        <v>88430.049999999988</v>
      </c>
      <c r="M175" s="297">
        <f>(K175-E175)/E175</f>
        <v>0.13517179746826</v>
      </c>
      <c r="N175" s="258">
        <f t="shared" ref="N175" si="97">L175-F175</f>
        <v>14062.322235550804</v>
      </c>
      <c r="O175" s="57">
        <f>+SUM(START:END!O175)</f>
        <v>361</v>
      </c>
      <c r="P175" s="26">
        <f>+SUM(START:END!P175)</f>
        <v>89775.889999999985</v>
      </c>
      <c r="Q175" s="26">
        <f>+SUM(START:END!Q175)</f>
        <v>52822.149999999892</v>
      </c>
      <c r="R175" s="297">
        <f>IF(O175=0,0,J175/O175)</f>
        <v>1.4238227146814404</v>
      </c>
      <c r="S175" s="242">
        <f>L175-Q175</f>
        <v>35607.900000000096</v>
      </c>
      <c r="T175" s="26"/>
      <c r="V175" s="198"/>
      <c r="W175" s="198"/>
      <c r="X175" s="198"/>
      <c r="Y175" s="198"/>
    </row>
    <row r="176" spans="1:40" ht="15.75" customHeight="1">
      <c r="A176" s="23" t="str">
        <f t="shared" si="91"/>
        <v>Service% profit / ventes</v>
      </c>
      <c r="B176" s="184" t="s">
        <v>83</v>
      </c>
      <c r="C176" s="441" t="s">
        <v>87</v>
      </c>
      <c r="F176" s="444">
        <f>F175/E175</f>
        <v>0.64</v>
      </c>
      <c r="I176" s="157" t="e">
        <f>I175/H175</f>
        <v>#DIV/0!</v>
      </c>
      <c r="L176" s="157">
        <f>L175/K175</f>
        <v>0.67039958916347386</v>
      </c>
      <c r="M176" s="170"/>
      <c r="N176" s="171"/>
      <c r="Q176" s="157">
        <f>Q175/P175</f>
        <v>0.58837790413439395</v>
      </c>
      <c r="R176" s="170"/>
      <c r="S176" s="209"/>
    </row>
    <row r="177" spans="1:25" ht="15.75" customHeight="1">
      <c r="A177" s="23" t="str">
        <f t="shared" si="91"/>
        <v>Service</v>
      </c>
      <c r="B177" s="184" t="s">
        <v>83</v>
      </c>
      <c r="C177" s="445"/>
      <c r="D177" s="301"/>
      <c r="E177" s="7"/>
      <c r="F177" s="446"/>
      <c r="G177" s="7"/>
      <c r="H177" s="7"/>
      <c r="I177" s="155"/>
      <c r="J177" s="7"/>
      <c r="K177" s="7"/>
      <c r="L177" s="155"/>
      <c r="M177" s="302"/>
      <c r="N177" s="303"/>
      <c r="O177" s="7"/>
      <c r="P177" s="7"/>
      <c r="Q177" s="155"/>
      <c r="R177" s="302"/>
      <c r="S177" s="304"/>
    </row>
    <row r="178" spans="1:25" ht="15.75" customHeight="1">
      <c r="A178" s="23" t="str">
        <f t="shared" si="91"/>
        <v>ServiceM/O Interne</v>
      </c>
      <c r="B178" s="184" t="s">
        <v>83</v>
      </c>
      <c r="C178" s="441" t="s">
        <v>89</v>
      </c>
      <c r="D178" s="174">
        <f>+SUM(START:END!D178)</f>
        <v>708.75</v>
      </c>
      <c r="E178" s="26">
        <f>+SUM(START:END!E178)</f>
        <v>208372.5</v>
      </c>
      <c r="F178" s="443">
        <f>+SUM(START:END!F178)</f>
        <v>154195.65</v>
      </c>
      <c r="G178" s="174">
        <f>+SUM(START:END!G178)</f>
        <v>0</v>
      </c>
      <c r="H178" s="26">
        <f>+SUM(START:END!H178)</f>
        <v>0</v>
      </c>
      <c r="I178" s="222">
        <f>+SUM(START:END!I178)</f>
        <v>0</v>
      </c>
      <c r="J178" s="23">
        <f>+SUM(START:END!J178)</f>
        <v>733</v>
      </c>
      <c r="K178" s="26">
        <f>+SUM(START:END!K178)</f>
        <v>221258.08000000002</v>
      </c>
      <c r="L178" s="26">
        <f>+SUM(START:END!L178)</f>
        <v>171447.42</v>
      </c>
      <c r="M178" s="297">
        <f>(K178-E178)/E178</f>
        <v>6.1839158238251285E-2</v>
      </c>
      <c r="N178" s="222">
        <f t="shared" ref="N178" si="98">L178-F178</f>
        <v>17251.770000000019</v>
      </c>
      <c r="O178" s="23">
        <f>+SUM(START:END!O178)</f>
        <v>883</v>
      </c>
      <c r="P178" s="26">
        <f>+SUM(START:END!P178)</f>
        <v>265547.71000000002</v>
      </c>
      <c r="Q178" s="26">
        <f>+SUM(START:END!Q178)</f>
        <v>178197.17999999991</v>
      </c>
      <c r="R178" s="297">
        <f>IF(O178=0,0,J178/O178)</f>
        <v>0.83012457531143824</v>
      </c>
      <c r="S178" s="242">
        <f>L178-Q178</f>
        <v>-6749.7599999998929</v>
      </c>
      <c r="T178" s="26"/>
      <c r="V178" s="198"/>
      <c r="W178" s="198"/>
      <c r="X178" s="198"/>
      <c r="Y178" s="198"/>
    </row>
    <row r="179" spans="1:25" ht="15.75" customHeight="1">
      <c r="A179" s="23" t="str">
        <f t="shared" si="91"/>
        <v>Service% profit / ventes</v>
      </c>
      <c r="B179" s="184" t="s">
        <v>83</v>
      </c>
      <c r="C179" s="441" t="s">
        <v>87</v>
      </c>
      <c r="E179" s="31"/>
      <c r="F179" s="444">
        <f>F178/E178</f>
        <v>0.74</v>
      </c>
      <c r="H179" s="31"/>
      <c r="I179" s="157" t="e">
        <f>I178/H178</f>
        <v>#DIV/0!</v>
      </c>
      <c r="K179" s="31"/>
      <c r="L179" s="157">
        <f>L178/K178</f>
        <v>0.77487529494968044</v>
      </c>
      <c r="M179" s="297"/>
      <c r="N179" s="222">
        <f>L179-F179</f>
        <v>3.4875294949680447E-2</v>
      </c>
      <c r="P179" s="31"/>
      <c r="Q179" s="157">
        <f>Q178/P178</f>
        <v>0.67105523146857449</v>
      </c>
      <c r="R179" s="223">
        <f>O179-K179</f>
        <v>0</v>
      </c>
      <c r="S179" s="242"/>
      <c r="T179" s="26"/>
    </row>
    <row r="180" spans="1:25" ht="15.75" customHeight="1">
      <c r="A180" s="23" t="str">
        <f t="shared" si="91"/>
        <v>Service</v>
      </c>
      <c r="B180" s="184" t="s">
        <v>83</v>
      </c>
      <c r="C180" s="441"/>
      <c r="E180" s="305"/>
      <c r="F180" s="448"/>
      <c r="H180" s="305"/>
      <c r="I180" s="307"/>
      <c r="K180" s="305"/>
      <c r="L180" s="307"/>
      <c r="M180" s="297"/>
      <c r="N180" s="222"/>
      <c r="P180" s="305"/>
      <c r="Q180" s="307"/>
      <c r="R180" s="308"/>
      <c r="S180" s="242"/>
      <c r="T180" s="26"/>
    </row>
    <row r="181" spans="1:25" ht="15.75" customHeight="1">
      <c r="A181" s="23" t="str">
        <f t="shared" si="91"/>
        <v>ServiceM/O Esthétique</v>
      </c>
      <c r="B181" s="184" t="s">
        <v>83</v>
      </c>
      <c r="C181" s="447" t="s">
        <v>90</v>
      </c>
      <c r="D181" s="309">
        <f>+SUM(START:END!D181)</f>
        <v>384.58548084972199</v>
      </c>
      <c r="E181" s="26">
        <f>+SUM(START:END!E181)</f>
        <v>38458.548084972201</v>
      </c>
      <c r="F181" s="443">
        <f>+SUM(START:END!F181)</f>
        <v>29228.496544578873</v>
      </c>
      <c r="G181" s="309">
        <f>+SUM(START:END!G181)</f>
        <v>0</v>
      </c>
      <c r="H181" s="26">
        <f>+SUM(START:END!H181)</f>
        <v>0</v>
      </c>
      <c r="I181" s="222">
        <f>+SUM(START:END!I181)</f>
        <v>0</v>
      </c>
      <c r="J181" s="53">
        <f>+SUM(START:END!J181)</f>
        <v>0</v>
      </c>
      <c r="K181" s="26">
        <f>+SUM(START:END!K181)</f>
        <v>39284.79</v>
      </c>
      <c r="L181" s="26">
        <f>+SUM(START:END!L181)</f>
        <v>29200.579999999998</v>
      </c>
      <c r="M181" s="311">
        <f>IF(H181=0,0,(K181-H181)/H181)</f>
        <v>0</v>
      </c>
      <c r="N181" s="258">
        <f t="shared" ref="N181" si="99">L181-F181</f>
        <v>-27.916544578874891</v>
      </c>
      <c r="O181" s="53">
        <f>+SUM(START:END!O181)</f>
        <v>0</v>
      </c>
      <c r="P181" s="26">
        <f>+SUM(START:END!P181)</f>
        <v>37687.58</v>
      </c>
      <c r="Q181" s="26">
        <f>+SUM(START:END!Q181)</f>
        <v>28413.599999999991</v>
      </c>
      <c r="R181" s="297">
        <f>IF(O181=0,0,J181/O181)</f>
        <v>0</v>
      </c>
      <c r="S181" s="259">
        <f>L181-Q181</f>
        <v>786.98000000000684</v>
      </c>
      <c r="T181" s="26"/>
      <c r="V181" s="198"/>
      <c r="W181" s="198"/>
      <c r="X181" s="198"/>
      <c r="Y181" s="198"/>
    </row>
    <row r="182" spans="1:25" ht="15.75" customHeight="1">
      <c r="A182" s="23" t="str">
        <f t="shared" si="91"/>
        <v>Service% profit / ventes</v>
      </c>
      <c r="B182" s="184" t="s">
        <v>83</v>
      </c>
      <c r="C182" s="441" t="s">
        <v>87</v>
      </c>
      <c r="D182" s="73"/>
      <c r="E182" s="312"/>
      <c r="F182" s="444">
        <f>IFERROR(F181/E181,0)</f>
        <v>0.76</v>
      </c>
      <c r="G182" s="73"/>
      <c r="H182" s="312"/>
      <c r="I182" s="157">
        <f>IFERROR(I181/H181,0)</f>
        <v>0</v>
      </c>
      <c r="J182" s="73"/>
      <c r="K182" s="312"/>
      <c r="L182" s="157">
        <f>IFERROR(L181/K181,0)</f>
        <v>0.74330497884804769</v>
      </c>
      <c r="M182" s="223">
        <f>J182-G182</f>
        <v>0</v>
      </c>
      <c r="N182" s="313"/>
      <c r="O182" s="73"/>
      <c r="P182" s="312"/>
      <c r="Q182" s="157">
        <f>IFERROR(Q181/P181,0)</f>
        <v>0.75392476778822071</v>
      </c>
      <c r="R182" s="152"/>
      <c r="S182" s="314"/>
      <c r="T182" s="87"/>
    </row>
    <row r="183" spans="1:25" ht="15.75" customHeight="1">
      <c r="A183" s="23" t="str">
        <f t="shared" si="91"/>
        <v>Service</v>
      </c>
      <c r="B183" s="184" t="s">
        <v>83</v>
      </c>
      <c r="C183" s="445"/>
      <c r="D183" s="315"/>
      <c r="E183" s="316"/>
      <c r="F183" s="446"/>
      <c r="G183" s="315"/>
      <c r="H183" s="316"/>
      <c r="I183" s="155"/>
      <c r="J183" s="315"/>
      <c r="K183" s="316"/>
      <c r="L183" s="155"/>
      <c r="M183" s="299"/>
      <c r="N183" s="317"/>
      <c r="O183" s="315"/>
      <c r="P183" s="316"/>
      <c r="Q183" s="155"/>
      <c r="R183" s="153"/>
      <c r="S183" s="318"/>
      <c r="T183" s="87"/>
    </row>
    <row r="184" spans="1:25" ht="26.25" customHeight="1" thickBot="1">
      <c r="A184" s="23" t="str">
        <f t="shared" si="91"/>
        <v>ServiceAjustement M/O</v>
      </c>
      <c r="B184" s="184" t="s">
        <v>83</v>
      </c>
      <c r="C184" s="441" t="s">
        <v>91</v>
      </c>
      <c r="F184" s="443">
        <f>+SUM(START:END!F184)</f>
        <v>-11959.367952384975</v>
      </c>
      <c r="I184" s="222">
        <f>+SUM(START:END!I184)</f>
        <v>0</v>
      </c>
      <c r="L184" s="222">
        <f>+SUM(START:END!L184)</f>
        <v>-7353.7000000000007</v>
      </c>
      <c r="M184" s="319"/>
      <c r="N184" s="222">
        <f t="shared" ref="N184" si="100">L184-F184</f>
        <v>4605.6679523849743</v>
      </c>
      <c r="Q184" s="222">
        <f>+SUM(START:END!Q184)</f>
        <v>-10159.34</v>
      </c>
      <c r="R184" s="320"/>
      <c r="S184" s="242">
        <f t="shared" ref="S184:S185" si="101">L184-Q184</f>
        <v>2805.6399999999994</v>
      </c>
    </row>
    <row r="185" spans="1:25" ht="15.75" customHeight="1" thickTop="1">
      <c r="A185" s="23" t="str">
        <f t="shared" si="91"/>
        <v>ServiceSous-total M/O</v>
      </c>
      <c r="B185" s="184" t="s">
        <v>83</v>
      </c>
      <c r="C185" s="449" t="s">
        <v>92</v>
      </c>
      <c r="D185" s="321"/>
      <c r="E185" s="321">
        <f t="shared" ref="E185" si="102">E172+E175+E178+E181+E184</f>
        <v>1033611.7138287482</v>
      </c>
      <c r="F185" s="450">
        <f>F172+F175+F178+F181+F184</f>
        <v>755474.1356016295</v>
      </c>
      <c r="G185" s="321"/>
      <c r="H185" s="321">
        <f t="shared" ref="H185:I185" si="103">H172+H175+H178+H181+H184</f>
        <v>0</v>
      </c>
      <c r="I185" s="322">
        <f t="shared" si="103"/>
        <v>0</v>
      </c>
      <c r="J185" s="321"/>
      <c r="K185" s="321">
        <f t="shared" ref="K185:L185" si="104">K172+K175+K178+K181+K184</f>
        <v>1012180.72</v>
      </c>
      <c r="L185" s="322">
        <f t="shared" si="104"/>
        <v>783505.75</v>
      </c>
      <c r="M185" s="323">
        <f>(K185-E185)/E185</f>
        <v>-2.0734085674554367E-2</v>
      </c>
      <c r="N185" s="322">
        <f t="shared" ref="N185" si="105">N172+N175+N178+N181+N184</f>
        <v>28031.61439837049</v>
      </c>
      <c r="O185" s="321"/>
      <c r="P185" s="321">
        <f t="shared" ref="P185:Q185" si="106">P172+P175+P178+P181+P184</f>
        <v>927648.94000000006</v>
      </c>
      <c r="Q185" s="322">
        <f t="shared" si="106"/>
        <v>653117.6599999998</v>
      </c>
      <c r="R185" s="170">
        <f>IF(O185=0,0,J185/O185)</f>
        <v>0</v>
      </c>
      <c r="S185" s="324">
        <f t="shared" si="101"/>
        <v>130388.0900000002</v>
      </c>
      <c r="T185" s="87"/>
    </row>
    <row r="186" spans="1:25" ht="15.75" customHeight="1">
      <c r="A186" s="23" t="str">
        <f t="shared" si="91"/>
        <v>Service% protit / ventes</v>
      </c>
      <c r="B186" s="184" t="s">
        <v>83</v>
      </c>
      <c r="C186" s="451" t="s">
        <v>93</v>
      </c>
      <c r="D186" s="325"/>
      <c r="E186" s="325"/>
      <c r="F186" s="452">
        <f>F185/E185</f>
        <v>0.73090709547318333</v>
      </c>
      <c r="G186" s="325"/>
      <c r="H186" s="325"/>
      <c r="I186" s="327" t="e">
        <f>I185/H185</f>
        <v>#DIV/0!</v>
      </c>
      <c r="J186" s="325"/>
      <c r="K186" s="325"/>
      <c r="L186" s="327">
        <f>L185/K185</f>
        <v>0.77407693558913082</v>
      </c>
      <c r="M186" s="326"/>
      <c r="N186" s="327"/>
      <c r="O186" s="325"/>
      <c r="P186" s="325"/>
      <c r="Q186" s="327">
        <f>Q185/P185</f>
        <v>0.7040569248103703</v>
      </c>
      <c r="R186" s="326"/>
      <c r="S186" s="209">
        <f>IF(R185=0,0,S185/R185)</f>
        <v>0</v>
      </c>
      <c r="T186" s="87"/>
    </row>
    <row r="187" spans="1:25" ht="15.75" customHeight="1">
      <c r="A187" s="23" t="str">
        <f t="shared" si="91"/>
        <v>Service</v>
      </c>
      <c r="B187" s="184" t="s">
        <v>83</v>
      </c>
      <c r="C187" s="453"/>
      <c r="D187" s="83"/>
      <c r="E187" s="328"/>
      <c r="F187" s="454"/>
      <c r="G187" s="83"/>
      <c r="H187" s="328"/>
      <c r="I187" s="330"/>
      <c r="J187" s="83"/>
      <c r="K187" s="328"/>
      <c r="L187" s="330"/>
      <c r="M187" s="329"/>
      <c r="N187" s="330"/>
      <c r="O187" s="83"/>
      <c r="P187" s="328"/>
      <c r="Q187" s="330"/>
      <c r="R187" s="329"/>
      <c r="S187" s="331"/>
      <c r="T187" s="87"/>
    </row>
    <row r="188" spans="1:25" ht="15.75" customHeight="1">
      <c r="A188" s="23" t="str">
        <f t="shared" si="91"/>
        <v>ServiceSous-traitement</v>
      </c>
      <c r="B188" s="184" t="s">
        <v>83</v>
      </c>
      <c r="C188" s="441" t="s">
        <v>94</v>
      </c>
      <c r="D188" s="26"/>
      <c r="E188" s="26">
        <f>+SUM(START:END!E188)</f>
        <v>48428.596579124714</v>
      </c>
      <c r="F188" s="443">
        <f>+SUM(START:END!F188)</f>
        <v>10654.291247407438</v>
      </c>
      <c r="G188" s="26"/>
      <c r="H188" s="26">
        <f>+SUM(START:END!H188)</f>
        <v>0</v>
      </c>
      <c r="I188" s="222">
        <f>+SUM(START:END!I188)</f>
        <v>0</v>
      </c>
      <c r="J188" s="26"/>
      <c r="K188" s="26">
        <f>+SUM(START:END!K188)</f>
        <v>40955.870000000003</v>
      </c>
      <c r="L188" s="26">
        <f>+SUM(START:END!L188)</f>
        <v>8266.760000000002</v>
      </c>
      <c r="M188" s="241">
        <f>IF(H188=0,0,(K188-H188)/H188)</f>
        <v>0</v>
      </c>
      <c r="N188" s="222">
        <f t="shared" ref="N188" si="107">L188-F188</f>
        <v>-2387.5312474074362</v>
      </c>
      <c r="O188" s="26"/>
      <c r="P188" s="26">
        <f>+SUM(START:END!P188)</f>
        <v>37625.42</v>
      </c>
      <c r="Q188" s="26">
        <f>+SUM(START:END!Q188)</f>
        <v>8720.879999999981</v>
      </c>
      <c r="R188" s="297">
        <f>IF(O188=0,0,J188/O188)</f>
        <v>0</v>
      </c>
      <c r="S188" s="242">
        <f>L188-Q188</f>
        <v>-454.11999999997897</v>
      </c>
      <c r="T188" s="87"/>
    </row>
    <row r="189" spans="1:25" ht="15.75" customHeight="1">
      <c r="A189" s="23" t="str">
        <f t="shared" si="91"/>
        <v>Service% profit / ventes</v>
      </c>
      <c r="B189" s="184" t="s">
        <v>83</v>
      </c>
      <c r="C189" s="441" t="s">
        <v>87</v>
      </c>
      <c r="E189" s="31"/>
      <c r="F189" s="444">
        <f>IFERROR(F188/E188,0)</f>
        <v>0.22000000000000003</v>
      </c>
      <c r="H189" s="31"/>
      <c r="I189" s="157">
        <f>IFERROR(I188/H188,0)</f>
        <v>0</v>
      </c>
      <c r="K189" s="31"/>
      <c r="L189" s="157">
        <f>IFERROR(L188/K188,0)</f>
        <v>0.20184554741481506</v>
      </c>
      <c r="M189" s="319"/>
      <c r="N189" s="313"/>
      <c r="P189" s="31"/>
      <c r="Q189" s="157">
        <f>IFERROR(Q188/P188,0)</f>
        <v>0.23178159871703707</v>
      </c>
      <c r="R189" s="319"/>
      <c r="S189" s="314"/>
      <c r="T189" s="87"/>
    </row>
    <row r="190" spans="1:25" ht="15.75" customHeight="1">
      <c r="A190" s="23" t="str">
        <f t="shared" si="91"/>
        <v>Service</v>
      </c>
      <c r="B190" s="184" t="s">
        <v>83</v>
      </c>
      <c r="C190" s="441"/>
      <c r="E190" s="31"/>
      <c r="F190" s="444"/>
      <c r="H190" s="31"/>
      <c r="I190" s="157"/>
      <c r="K190" s="31"/>
      <c r="L190" s="157"/>
      <c r="M190" s="319"/>
      <c r="N190" s="313"/>
      <c r="P190" s="31"/>
      <c r="Q190" s="157"/>
      <c r="R190" s="319"/>
      <c r="S190" s="314"/>
      <c r="T190" s="87"/>
    </row>
    <row r="191" spans="1:25" ht="15.75" customHeight="1">
      <c r="A191" s="23" t="str">
        <f t="shared" si="91"/>
        <v>ServiceM.O. Recond. MCPA</v>
      </c>
      <c r="B191" s="184" t="s">
        <v>83</v>
      </c>
      <c r="C191" s="441" t="s">
        <v>95</v>
      </c>
      <c r="E191" s="26">
        <f>+SUM(START:END!E191)</f>
        <v>38458.548084972201</v>
      </c>
      <c r="F191" s="443">
        <f>+SUM(START:END!F191)</f>
        <v>26920.983659480538</v>
      </c>
      <c r="H191" s="26">
        <f>+SUM(START:END!H191)</f>
        <v>0</v>
      </c>
      <c r="I191" s="222">
        <f>+SUM(START:END!I191)</f>
        <v>0</v>
      </c>
      <c r="K191" s="26">
        <f>+SUM(START:END!K191)</f>
        <v>24339.8</v>
      </c>
      <c r="L191" s="26">
        <f>+SUM(START:END!L191)</f>
        <v>16952.73</v>
      </c>
      <c r="M191" s="319"/>
      <c r="N191" s="313"/>
      <c r="P191" s="26">
        <f>+SUM(START:END!P191)</f>
        <v>38089.07</v>
      </c>
      <c r="Q191" s="26">
        <f>+SUM(START:END!Q191)</f>
        <v>28367.629999999997</v>
      </c>
      <c r="R191" s="319"/>
      <c r="S191" s="314"/>
      <c r="T191" s="87"/>
    </row>
    <row r="192" spans="1:25" ht="15.75" customHeight="1">
      <c r="A192" s="23" t="str">
        <f t="shared" si="91"/>
        <v>Service% profit / ventes</v>
      </c>
      <c r="B192" s="184" t="s">
        <v>83</v>
      </c>
      <c r="C192" s="441" t="s">
        <v>87</v>
      </c>
      <c r="E192" s="31"/>
      <c r="F192" s="444">
        <f>IF(F191=0,0,F191/E191)</f>
        <v>0.7</v>
      </c>
      <c r="H192" s="31"/>
      <c r="I192" s="157">
        <f>IF(I191=0,0,I191/H191)</f>
        <v>0</v>
      </c>
      <c r="K192" s="31"/>
      <c r="L192" s="157">
        <f>IF(L191=0,0,L191/K191)</f>
        <v>0.69650243633883602</v>
      </c>
      <c r="M192" s="319"/>
      <c r="N192" s="313"/>
      <c r="P192" s="31"/>
      <c r="Q192" s="157">
        <f>IF(Q191=0,0,Q191/P191)</f>
        <v>0.74477087521433305</v>
      </c>
      <c r="R192" s="319"/>
      <c r="S192" s="314"/>
      <c r="T192" s="87"/>
    </row>
    <row r="193" spans="1:20" ht="15.75" customHeight="1" thickBot="1">
      <c r="A193" s="23" t="str">
        <f t="shared" si="91"/>
        <v>Service</v>
      </c>
      <c r="B193" s="184" t="s">
        <v>83</v>
      </c>
      <c r="C193" s="455"/>
      <c r="D193" s="93"/>
      <c r="E193" s="332"/>
      <c r="F193" s="456"/>
      <c r="G193" s="93"/>
      <c r="H193" s="332"/>
      <c r="I193" s="334"/>
      <c r="J193" s="93"/>
      <c r="K193" s="332"/>
      <c r="L193" s="334"/>
      <c r="M193" s="333"/>
      <c r="N193" s="334"/>
      <c r="O193" s="93"/>
      <c r="P193" s="332"/>
      <c r="Q193" s="334"/>
      <c r="R193" s="333"/>
      <c r="S193" s="335"/>
      <c r="T193" s="87"/>
    </row>
    <row r="194" spans="1:20" ht="15.75" customHeight="1" thickTop="1">
      <c r="A194" s="23" t="str">
        <f t="shared" si="91"/>
        <v>ServiceTotal Mécanique</v>
      </c>
      <c r="B194" s="184" t="s">
        <v>83</v>
      </c>
      <c r="C194" s="457" t="s">
        <v>96</v>
      </c>
      <c r="D194" s="226"/>
      <c r="E194" s="226">
        <f t="shared" ref="E194:F194" si="108">E185+E188+E191</f>
        <v>1120498.8584928452</v>
      </c>
      <c r="F194" s="458">
        <f t="shared" si="108"/>
        <v>793049.41050851753</v>
      </c>
      <c r="G194" s="226"/>
      <c r="H194" s="226">
        <f t="shared" ref="H194:I194" si="109">H185+H188+H191</f>
        <v>0</v>
      </c>
      <c r="I194" s="228">
        <f t="shared" si="109"/>
        <v>0</v>
      </c>
      <c r="J194" s="226"/>
      <c r="K194" s="226">
        <f t="shared" ref="K194:N194" si="110">K185+K188+K191</f>
        <v>1077476.3900000001</v>
      </c>
      <c r="L194" s="228">
        <f t="shared" si="110"/>
        <v>808725.24</v>
      </c>
      <c r="M194" s="336">
        <f>L195-F195</f>
        <v>4.2808927892955317E-2</v>
      </c>
      <c r="N194" s="228">
        <f t="shared" si="110"/>
        <v>25644.083150963052</v>
      </c>
      <c r="O194" s="226"/>
      <c r="P194" s="226">
        <f t="shared" ref="P194:Q194" si="111">P185+P188+P191</f>
        <v>1003363.43</v>
      </c>
      <c r="Q194" s="228">
        <f t="shared" si="111"/>
        <v>690206.16999999981</v>
      </c>
      <c r="R194" s="336">
        <f>L195-Q195</f>
        <v>6.2681021970378281E-2</v>
      </c>
      <c r="S194" s="231">
        <f>L194-Q194</f>
        <v>118519.07000000018</v>
      </c>
      <c r="T194" s="87"/>
    </row>
    <row r="195" spans="1:20" ht="15.75" customHeight="1" thickBot="1">
      <c r="A195" s="23" t="str">
        <f t="shared" si="91"/>
        <v>Service</v>
      </c>
      <c r="B195" s="184" t="s">
        <v>83</v>
      </c>
      <c r="C195" s="459"/>
      <c r="D195" s="233"/>
      <c r="E195" s="233"/>
      <c r="F195" s="460">
        <f>F194/E194</f>
        <v>0.70776458583387436</v>
      </c>
      <c r="G195" s="233"/>
      <c r="H195" s="233"/>
      <c r="I195" s="166" t="e">
        <f>I194/H194</f>
        <v>#DIV/0!</v>
      </c>
      <c r="J195" s="233"/>
      <c r="K195" s="233"/>
      <c r="L195" s="166">
        <f>L194/K194</f>
        <v>0.75057351372682968</v>
      </c>
      <c r="M195" s="236"/>
      <c r="N195" s="166">
        <f>N194/F194</f>
        <v>3.2336047175824272E-2</v>
      </c>
      <c r="O195" s="233"/>
      <c r="P195" s="233"/>
      <c r="Q195" s="166">
        <f>Q194/P194</f>
        <v>0.6878924917564514</v>
      </c>
      <c r="R195" s="236"/>
      <c r="S195" s="237">
        <f>L194/S194</f>
        <v>6.8235874614945828</v>
      </c>
      <c r="T195" s="73"/>
    </row>
    <row r="196" spans="1:20" ht="15.75" customHeight="1" thickTop="1">
      <c r="A196" s="23" t="str">
        <f t="shared" si="91"/>
        <v>Service</v>
      </c>
      <c r="B196" s="184" t="s">
        <v>83</v>
      </c>
      <c r="C196" s="461"/>
      <c r="D196" s="73"/>
      <c r="E196" s="73"/>
      <c r="F196" s="462"/>
      <c r="G196" s="73"/>
      <c r="H196" s="73"/>
      <c r="I196" s="171"/>
      <c r="J196" s="73"/>
      <c r="K196" s="73"/>
      <c r="L196" s="171"/>
      <c r="M196" s="170"/>
      <c r="N196" s="171"/>
      <c r="O196" s="73"/>
      <c r="P196" s="73"/>
      <c r="Q196" s="171"/>
      <c r="R196" s="170"/>
      <c r="S196" s="209"/>
      <c r="T196" s="73"/>
    </row>
    <row r="197" spans="1:20" ht="15.75" customHeight="1">
      <c r="A197" s="23" t="str">
        <f t="shared" si="91"/>
        <v>ServiceDEPENSES</v>
      </c>
      <c r="B197" s="184" t="s">
        <v>83</v>
      </c>
      <c r="C197" s="463" t="s">
        <v>30</v>
      </c>
      <c r="F197" s="443"/>
      <c r="I197" s="222"/>
      <c r="L197" s="222"/>
      <c r="M197" s="152"/>
      <c r="N197" s="208"/>
      <c r="Q197" s="222"/>
      <c r="R197" s="152"/>
      <c r="S197" s="224"/>
    </row>
    <row r="198" spans="1:20" ht="15.75" customHeight="1">
      <c r="A198" s="23" t="str">
        <f t="shared" si="91"/>
        <v>ServiceSalaires cadres</v>
      </c>
      <c r="B198" s="184" t="s">
        <v>83</v>
      </c>
      <c r="C198" s="441" t="s">
        <v>41</v>
      </c>
      <c r="F198" s="464">
        <f>+SUM(START:END!F198)</f>
        <v>50026.806249999994</v>
      </c>
      <c r="G198" s="438"/>
      <c r="H198" s="338"/>
      <c r="I198" s="340">
        <f>+SUM(START:END!I198)</f>
        <v>0</v>
      </c>
      <c r="J198" s="338"/>
      <c r="K198" s="338"/>
      <c r="L198" s="338">
        <f>+SUM(START:END!L198)</f>
        <v>39864.659999999996</v>
      </c>
      <c r="M198" s="339"/>
      <c r="N198" s="340">
        <f t="shared" ref="N198:N208" si="112">L198-F198</f>
        <v>-10162.146249999998</v>
      </c>
      <c r="O198" s="338"/>
      <c r="P198" s="338"/>
      <c r="Q198" s="338">
        <f>+SUM(START:END!Q198)</f>
        <v>48174.49</v>
      </c>
      <c r="R198" s="339"/>
      <c r="S198" s="341">
        <f>L198-Q198</f>
        <v>-8309.8300000000017</v>
      </c>
    </row>
    <row r="199" spans="1:20" ht="15.75" customHeight="1">
      <c r="A199" s="23" t="str">
        <f t="shared" si="91"/>
        <v>ServiceSalaires commis</v>
      </c>
      <c r="B199" s="184" t="s">
        <v>83</v>
      </c>
      <c r="C199" s="445" t="s">
        <v>42</v>
      </c>
      <c r="D199" s="30"/>
      <c r="F199" s="465">
        <f>+SUM(START:END!F199)</f>
        <v>27633.105499999998</v>
      </c>
      <c r="G199" s="439"/>
      <c r="H199" s="338"/>
      <c r="I199" s="342">
        <f>+SUM(START:END!I199)</f>
        <v>0</v>
      </c>
      <c r="J199" s="343"/>
      <c r="K199" s="338"/>
      <c r="L199" s="342">
        <f>+SUM(START:END!L199)</f>
        <v>24381.999999999996</v>
      </c>
      <c r="M199" s="339"/>
      <c r="N199" s="340">
        <f t="shared" si="112"/>
        <v>-3251.1055000000015</v>
      </c>
      <c r="O199" s="343"/>
      <c r="P199" s="338"/>
      <c r="Q199" s="342">
        <f>+SUM(START:END!Q199)</f>
        <v>24911.599999999999</v>
      </c>
      <c r="R199" s="339"/>
      <c r="S199" s="341">
        <f t="shared" ref="S199:S208" si="113">L199-Q199</f>
        <v>-529.60000000000218</v>
      </c>
    </row>
    <row r="200" spans="1:20" ht="15.75" customHeight="1">
      <c r="A200" s="23" t="str">
        <f t="shared" si="91"/>
        <v>ServiceSalaires autres</v>
      </c>
      <c r="B200" s="184" t="s">
        <v>83</v>
      </c>
      <c r="C200" s="441" t="s">
        <v>43</v>
      </c>
      <c r="D200" s="52"/>
      <c r="E200" s="53"/>
      <c r="F200" s="464">
        <f>+SUM(START:END!F200)</f>
        <v>56381.375</v>
      </c>
      <c r="G200" s="345"/>
      <c r="H200" s="344"/>
      <c r="I200" s="340">
        <f>+SUM(START:END!I200)</f>
        <v>0</v>
      </c>
      <c r="J200" s="345"/>
      <c r="K200" s="344"/>
      <c r="L200" s="338">
        <f>+SUM(START:END!L200)</f>
        <v>68064.12</v>
      </c>
      <c r="M200" s="346"/>
      <c r="N200" s="347">
        <f t="shared" si="112"/>
        <v>11682.744999999995</v>
      </c>
      <c r="O200" s="345"/>
      <c r="P200" s="344"/>
      <c r="Q200" s="338">
        <f>+SUM(START:END!Q200)</f>
        <v>89365.45</v>
      </c>
      <c r="R200" s="346"/>
      <c r="S200" s="348">
        <f t="shared" si="113"/>
        <v>-21301.33</v>
      </c>
    </row>
    <row r="201" spans="1:20" ht="15.75" customHeight="1">
      <c r="A201" s="23" t="str">
        <f t="shared" si="91"/>
        <v>ServiceSalaires spécialistes</v>
      </c>
      <c r="B201" s="184" t="s">
        <v>83</v>
      </c>
      <c r="C201" s="441" t="s">
        <v>44</v>
      </c>
      <c r="D201" s="30"/>
      <c r="F201" s="464">
        <f>+SUM(START:END!F201)</f>
        <v>105614.39012806673</v>
      </c>
      <c r="G201" s="439"/>
      <c r="H201" s="338"/>
      <c r="I201" s="340">
        <f>+SUM(START:END!I201)</f>
        <v>0</v>
      </c>
      <c r="J201" s="343"/>
      <c r="K201" s="338"/>
      <c r="L201" s="338">
        <f>+SUM(START:END!L201)</f>
        <v>89259.56</v>
      </c>
      <c r="M201" s="339"/>
      <c r="N201" s="340">
        <f t="shared" si="112"/>
        <v>-16354.830128066737</v>
      </c>
      <c r="O201" s="343"/>
      <c r="P201" s="338"/>
      <c r="Q201" s="338">
        <f>+SUM(START:END!Q201)</f>
        <v>91930.709999999992</v>
      </c>
      <c r="R201" s="339"/>
      <c r="S201" s="341">
        <f t="shared" si="113"/>
        <v>-2671.1499999999942</v>
      </c>
    </row>
    <row r="202" spans="1:20" ht="15.75" hidden="1" customHeight="1">
      <c r="A202" s="23" t="str">
        <f t="shared" si="91"/>
        <v>Service[...]</v>
      </c>
      <c r="B202" s="184" t="s">
        <v>83</v>
      </c>
      <c r="C202" s="441" t="s">
        <v>20</v>
      </c>
      <c r="D202" s="30"/>
      <c r="F202" s="464">
        <f>+SUM(START:END!F202)</f>
        <v>0</v>
      </c>
      <c r="G202" s="439"/>
      <c r="H202" s="338"/>
      <c r="I202" s="340">
        <f>+SUM(START:END!I202)</f>
        <v>0</v>
      </c>
      <c r="J202" s="343"/>
      <c r="K202" s="338"/>
      <c r="L202" s="338">
        <f>+SUM(START:END!L202)</f>
        <v>0</v>
      </c>
      <c r="M202" s="339"/>
      <c r="N202" s="340">
        <f t="shared" si="112"/>
        <v>0</v>
      </c>
      <c r="O202" s="343"/>
      <c r="P202" s="338"/>
      <c r="Q202" s="338">
        <f>+SUM(START:END!Q202)</f>
        <v>0</v>
      </c>
      <c r="R202" s="339"/>
      <c r="S202" s="341">
        <f t="shared" si="113"/>
        <v>0</v>
      </c>
    </row>
    <row r="203" spans="1:20" ht="15.75" hidden="1" customHeight="1">
      <c r="A203" s="23" t="str">
        <f t="shared" si="91"/>
        <v>Service[...]</v>
      </c>
      <c r="B203" s="184" t="s">
        <v>83</v>
      </c>
      <c r="C203" s="441" t="s">
        <v>20</v>
      </c>
      <c r="D203" s="30"/>
      <c r="F203" s="464">
        <f>+SUM(START:END!F203)</f>
        <v>0</v>
      </c>
      <c r="G203" s="439"/>
      <c r="H203" s="338"/>
      <c r="I203" s="340">
        <f>+SUM(START:END!I203)</f>
        <v>0</v>
      </c>
      <c r="J203" s="343"/>
      <c r="K203" s="338"/>
      <c r="L203" s="338">
        <f>+SUM(START:END!L203)</f>
        <v>0</v>
      </c>
      <c r="M203" s="339"/>
      <c r="N203" s="340">
        <f t="shared" si="112"/>
        <v>0</v>
      </c>
      <c r="O203" s="343"/>
      <c r="P203" s="338"/>
      <c r="Q203" s="338">
        <f>+SUM(START:END!Q203)</f>
        <v>0</v>
      </c>
      <c r="R203" s="339"/>
      <c r="S203" s="341">
        <f t="shared" si="113"/>
        <v>0</v>
      </c>
    </row>
    <row r="204" spans="1:20" ht="15.75" hidden="1" customHeight="1">
      <c r="A204" s="23" t="str">
        <f t="shared" si="91"/>
        <v>Service[...]</v>
      </c>
      <c r="B204" s="184" t="s">
        <v>83</v>
      </c>
      <c r="C204" s="441" t="s">
        <v>20</v>
      </c>
      <c r="D204" s="30"/>
      <c r="F204" s="464">
        <f>+SUM(START:END!F204)</f>
        <v>0</v>
      </c>
      <c r="G204" s="439"/>
      <c r="H204" s="338"/>
      <c r="I204" s="340">
        <f>+SUM(START:END!I204)</f>
        <v>0</v>
      </c>
      <c r="J204" s="343"/>
      <c r="K204" s="338"/>
      <c r="L204" s="338">
        <f>+SUM(START:END!L204)</f>
        <v>0</v>
      </c>
      <c r="M204" s="339"/>
      <c r="N204" s="340">
        <f t="shared" si="112"/>
        <v>0</v>
      </c>
      <c r="O204" s="343"/>
      <c r="P204" s="338"/>
      <c r="Q204" s="338">
        <f>+SUM(START:END!Q204)</f>
        <v>0</v>
      </c>
      <c r="R204" s="339"/>
      <c r="S204" s="341">
        <f t="shared" si="113"/>
        <v>0</v>
      </c>
    </row>
    <row r="205" spans="1:20" ht="15.75" customHeight="1">
      <c r="A205" s="23" t="str">
        <f t="shared" si="91"/>
        <v>ServiceSalaires en absences</v>
      </c>
      <c r="B205" s="184" t="s">
        <v>83</v>
      </c>
      <c r="C205" s="445" t="s">
        <v>45</v>
      </c>
      <c r="D205" s="30"/>
      <c r="F205" s="464">
        <f>+SUM(START:END!F205)</f>
        <v>59875.716804438547</v>
      </c>
      <c r="G205" s="439"/>
      <c r="H205" s="338"/>
      <c r="I205" s="340">
        <f>+SUM(START:END!I205)</f>
        <v>0</v>
      </c>
      <c r="J205" s="343"/>
      <c r="K205" s="338"/>
      <c r="L205" s="338">
        <f>+SUM(START:END!L205)</f>
        <v>47992.079999999994</v>
      </c>
      <c r="M205" s="339"/>
      <c r="N205" s="340">
        <f t="shared" si="112"/>
        <v>-11883.636804438553</v>
      </c>
      <c r="O205" s="343"/>
      <c r="P205" s="338"/>
      <c r="Q205" s="338">
        <f>+SUM(START:END!Q205)</f>
        <v>46527.4</v>
      </c>
      <c r="R205" s="339"/>
      <c r="S205" s="341">
        <f t="shared" si="113"/>
        <v>1464.679999999993</v>
      </c>
    </row>
    <row r="206" spans="1:20" ht="15.75" customHeight="1">
      <c r="A206" s="23" t="str">
        <f t="shared" si="91"/>
        <v>ServiceDéduction à la source</v>
      </c>
      <c r="B206" s="184" t="s">
        <v>83</v>
      </c>
      <c r="C206" s="441" t="s">
        <v>46</v>
      </c>
      <c r="D206" s="52"/>
      <c r="E206" s="53"/>
      <c r="F206" s="466">
        <f>+SUM(START:END!F206)</f>
        <v>72800.431004515587</v>
      </c>
      <c r="G206" s="345"/>
      <c r="H206" s="344"/>
      <c r="I206" s="347">
        <f>+SUM(START:END!I206)</f>
        <v>0</v>
      </c>
      <c r="J206" s="345"/>
      <c r="K206" s="344"/>
      <c r="L206" s="347">
        <f>+SUM(START:END!L206)</f>
        <v>64359.81</v>
      </c>
      <c r="M206" s="346"/>
      <c r="N206" s="347">
        <f t="shared" si="112"/>
        <v>-8440.6210045155894</v>
      </c>
      <c r="O206" s="345"/>
      <c r="P206" s="344"/>
      <c r="Q206" s="347">
        <f>+SUM(START:END!Q206)</f>
        <v>69143.62</v>
      </c>
      <c r="R206" s="346"/>
      <c r="S206" s="348">
        <f t="shared" si="113"/>
        <v>-4783.8099999999977</v>
      </c>
    </row>
    <row r="207" spans="1:20" ht="15.75" customHeight="1">
      <c r="A207" s="23" t="str">
        <f t="shared" si="91"/>
        <v>ServiceBénéfices marginaux</v>
      </c>
      <c r="B207" s="184" t="s">
        <v>83</v>
      </c>
      <c r="C207" s="441" t="s">
        <v>47</v>
      </c>
      <c r="D207" s="30"/>
      <c r="F207" s="464">
        <f>+SUM(START:END!F207)</f>
        <v>37508.048147978683</v>
      </c>
      <c r="G207" s="439"/>
      <c r="H207" s="338"/>
      <c r="I207" s="340">
        <f>+SUM(START:END!I207)</f>
        <v>0</v>
      </c>
      <c r="J207" s="343"/>
      <c r="K207" s="338"/>
      <c r="L207" s="338">
        <f>+SUM(START:END!L207)</f>
        <v>28267.649999999998</v>
      </c>
      <c r="M207" s="339"/>
      <c r="N207" s="340">
        <f t="shared" si="112"/>
        <v>-9240.3981479786853</v>
      </c>
      <c r="O207" s="343"/>
      <c r="P207" s="338"/>
      <c r="Q207" s="338">
        <f>+SUM(START:END!Q207)</f>
        <v>37584.07</v>
      </c>
      <c r="R207" s="339"/>
      <c r="S207" s="341">
        <f t="shared" si="113"/>
        <v>-9316.4200000000019</v>
      </c>
    </row>
    <row r="208" spans="1:20" ht="15.75" customHeight="1">
      <c r="A208" s="23" t="str">
        <f t="shared" si="91"/>
        <v>ServiceCsst</v>
      </c>
      <c r="B208" s="184" t="s">
        <v>83</v>
      </c>
      <c r="C208" s="441" t="s">
        <v>48</v>
      </c>
      <c r="D208" s="30"/>
      <c r="F208" s="464">
        <f>+SUM(START:END!F208)</f>
        <v>16353.720008260747</v>
      </c>
      <c r="G208" s="439"/>
      <c r="H208" s="338"/>
      <c r="I208" s="340">
        <f>+SUM(START:END!I208)</f>
        <v>0</v>
      </c>
      <c r="J208" s="343"/>
      <c r="K208" s="338"/>
      <c r="L208" s="338">
        <f>+SUM(START:END!L208)</f>
        <v>12213.86</v>
      </c>
      <c r="M208" s="339"/>
      <c r="N208" s="340">
        <f t="shared" si="112"/>
        <v>-4139.8600082607463</v>
      </c>
      <c r="O208" s="343"/>
      <c r="P208" s="338"/>
      <c r="Q208" s="338">
        <f>+SUM(START:END!Q208)</f>
        <v>14130.390000000001</v>
      </c>
      <c r="R208" s="339"/>
      <c r="S208" s="341">
        <f t="shared" si="113"/>
        <v>-1916.5300000000007</v>
      </c>
    </row>
    <row r="209" spans="1:19" ht="15.75" hidden="1" customHeight="1">
      <c r="A209" s="23" t="str">
        <f t="shared" si="91"/>
        <v>Service[...]</v>
      </c>
      <c r="B209" s="184" t="s">
        <v>83</v>
      </c>
      <c r="C209" s="441" t="s">
        <v>20</v>
      </c>
      <c r="D209" s="34"/>
      <c r="E209" s="7"/>
      <c r="F209" s="464">
        <f>+SUM(START:END!F209)</f>
        <v>0</v>
      </c>
      <c r="G209" s="350"/>
      <c r="H209" s="349"/>
      <c r="I209" s="340">
        <f>+SUM(START:END!I209)</f>
        <v>0</v>
      </c>
      <c r="J209" s="350"/>
      <c r="K209" s="349"/>
      <c r="L209" s="338">
        <f>+SUM(START:END!L209)</f>
        <v>0</v>
      </c>
      <c r="M209" s="351"/>
      <c r="N209" s="352"/>
      <c r="O209" s="350"/>
      <c r="P209" s="349"/>
      <c r="Q209" s="338">
        <f>+SUM(START:END!Q209)</f>
        <v>0</v>
      </c>
      <c r="R209" s="351"/>
      <c r="S209" s="353">
        <f t="shared" ref="S209" si="114">L209-Q209</f>
        <v>0</v>
      </c>
    </row>
    <row r="210" spans="1:19" ht="15.75" customHeight="1">
      <c r="A210" s="23" t="str">
        <f t="shared" si="91"/>
        <v>ServiceTOTAL PERSONNEL</v>
      </c>
      <c r="B210" s="184" t="s">
        <v>83</v>
      </c>
      <c r="C210" s="467" t="s">
        <v>49</v>
      </c>
      <c r="D210" s="250" t="s">
        <v>97</v>
      </c>
      <c r="E210" s="42">
        <f>F210/F$194</f>
        <v>0.53741114638743293</v>
      </c>
      <c r="F210" s="468">
        <f>+SUM(F198:F209)</f>
        <v>426193.59284326027</v>
      </c>
      <c r="G210" s="356" t="s">
        <v>97</v>
      </c>
      <c r="H210" s="354" t="e">
        <f>I210/I$194</f>
        <v>#DIV/0!</v>
      </c>
      <c r="I210" s="355">
        <f>+SUM(I198:I209)</f>
        <v>0</v>
      </c>
      <c r="J210" s="356" t="s">
        <v>97</v>
      </c>
      <c r="K210" s="354">
        <f>L210/L$194</f>
        <v>0.46295542847160304</v>
      </c>
      <c r="L210" s="355">
        <f>+SUM(L198:L209)</f>
        <v>374403.74</v>
      </c>
      <c r="M210" s="357"/>
      <c r="N210" s="355">
        <f>+SUM(N198:N209)</f>
        <v>-51789.85284326032</v>
      </c>
      <c r="O210" s="356" t="s">
        <v>97</v>
      </c>
      <c r="P210" s="354">
        <f>Q210/Q$194</f>
        <v>0.61107499227368556</v>
      </c>
      <c r="Q210" s="355">
        <f>+SUM(Q198:Q209)</f>
        <v>421767.73</v>
      </c>
      <c r="R210" s="357"/>
      <c r="S210" s="358">
        <f t="shared" ref="S210:S229" si="115">L210-Q210</f>
        <v>-47363.989999999991</v>
      </c>
    </row>
    <row r="211" spans="1:19" ht="15.75" customHeight="1">
      <c r="A211" s="23" t="str">
        <f t="shared" si="91"/>
        <v>ServicePublicité 2</v>
      </c>
      <c r="B211" s="184" t="s">
        <v>83</v>
      </c>
      <c r="C211" s="441" t="s">
        <v>50</v>
      </c>
      <c r="D211" s="30"/>
      <c r="F211" s="464">
        <f>+SUM(START:END!F211)</f>
        <v>31160.976957395826</v>
      </c>
      <c r="G211" s="439"/>
      <c r="H211" s="338"/>
      <c r="I211" s="340">
        <f>+SUM(START:END!I211)</f>
        <v>0</v>
      </c>
      <c r="J211" s="343"/>
      <c r="K211" s="338"/>
      <c r="L211" s="338">
        <f>+SUM(START:END!L211)</f>
        <v>34869.11</v>
      </c>
      <c r="M211" s="339"/>
      <c r="N211" s="340">
        <f t="shared" ref="N211:N225" si="116">L211-F211</f>
        <v>3708.133042604175</v>
      </c>
      <c r="O211" s="343"/>
      <c r="P211" s="338"/>
      <c r="Q211" s="338">
        <f>+SUM(START:END!Q211)</f>
        <v>32040.43</v>
      </c>
      <c r="R211" s="339"/>
      <c r="S211" s="341">
        <f t="shared" si="115"/>
        <v>2828.6800000000003</v>
      </c>
    </row>
    <row r="212" spans="1:19" ht="15.75" customHeight="1">
      <c r="A212" s="23" t="str">
        <f t="shared" si="91"/>
        <v>ServiceService gratuit 2</v>
      </c>
      <c r="B212" s="184" t="s">
        <v>83</v>
      </c>
      <c r="C212" s="441" t="s">
        <v>51</v>
      </c>
      <c r="D212" s="30"/>
      <c r="F212" s="464">
        <f>+SUM(START:END!F212)</f>
        <v>11581.177970503333</v>
      </c>
      <c r="G212" s="439"/>
      <c r="H212" s="338"/>
      <c r="I212" s="340">
        <f>+SUM(START:END!I212)</f>
        <v>0</v>
      </c>
      <c r="J212" s="343"/>
      <c r="K212" s="338"/>
      <c r="L212" s="338">
        <f>+SUM(START:END!L212)</f>
        <v>18601.079999999998</v>
      </c>
      <c r="M212" s="339"/>
      <c r="N212" s="340">
        <f t="shared" si="116"/>
        <v>7019.9020294966649</v>
      </c>
      <c r="O212" s="343"/>
      <c r="P212" s="338"/>
      <c r="Q212" s="338">
        <f>+SUM(START:END!Q212)</f>
        <v>19495.449999999983</v>
      </c>
      <c r="R212" s="339"/>
      <c r="S212" s="341">
        <f t="shared" ref="S212:S225" si="117">L212-Q212</f>
        <v>-894.36999999998443</v>
      </c>
    </row>
    <row r="213" spans="1:19" ht="15.75" customHeight="1">
      <c r="A213" s="23" t="str">
        <f t="shared" si="91"/>
        <v>ServiceFrais véhicules de cie</v>
      </c>
      <c r="B213" s="184" t="s">
        <v>83</v>
      </c>
      <c r="C213" s="445" t="s">
        <v>52</v>
      </c>
      <c r="D213" s="34"/>
      <c r="E213" s="7"/>
      <c r="F213" s="465">
        <f>+SUM(START:END!F213)</f>
        <v>40000</v>
      </c>
      <c r="G213" s="350"/>
      <c r="H213" s="349"/>
      <c r="I213" s="342">
        <f>+SUM(START:END!I213)</f>
        <v>0</v>
      </c>
      <c r="J213" s="350"/>
      <c r="K213" s="349"/>
      <c r="L213" s="342">
        <f>+SUM(START:END!L213)</f>
        <v>39746.46</v>
      </c>
      <c r="M213" s="351"/>
      <c r="N213" s="352">
        <f t="shared" si="116"/>
        <v>-253.54000000000087</v>
      </c>
      <c r="O213" s="350"/>
      <c r="P213" s="349"/>
      <c r="Q213" s="342">
        <f>+SUM(START:END!Q213)</f>
        <v>47628.79</v>
      </c>
      <c r="R213" s="351"/>
      <c r="S213" s="353">
        <f t="shared" si="117"/>
        <v>-7882.3300000000017</v>
      </c>
    </row>
    <row r="214" spans="1:19" ht="15.75" customHeight="1">
      <c r="A214" s="23" t="str">
        <f t="shared" si="91"/>
        <v>ServiceInformatique</v>
      </c>
      <c r="B214" s="184" t="s">
        <v>83</v>
      </c>
      <c r="C214" s="441" t="s">
        <v>53</v>
      </c>
      <c r="D214" s="30"/>
      <c r="F214" s="464">
        <f>+SUM(START:END!F214)</f>
        <v>13082.645623999997</v>
      </c>
      <c r="G214" s="439"/>
      <c r="H214" s="338"/>
      <c r="I214" s="340">
        <f>+SUM(START:END!I214)</f>
        <v>0</v>
      </c>
      <c r="J214" s="343"/>
      <c r="K214" s="338"/>
      <c r="L214" s="338">
        <f>+SUM(START:END!L214)</f>
        <v>15279.689999999999</v>
      </c>
      <c r="M214" s="339"/>
      <c r="N214" s="340">
        <f t="shared" si="116"/>
        <v>2197.0443760000016</v>
      </c>
      <c r="O214" s="343"/>
      <c r="P214" s="338"/>
      <c r="Q214" s="338">
        <f>+SUM(START:END!Q214)</f>
        <v>22809.120000000003</v>
      </c>
      <c r="R214" s="339"/>
      <c r="S214" s="341">
        <f t="shared" si="117"/>
        <v>-7529.4300000000039</v>
      </c>
    </row>
    <row r="215" spans="1:19" ht="15.75" customHeight="1">
      <c r="A215" s="23" t="str">
        <f t="shared" si="91"/>
        <v>ServiceFrais de déplacement</v>
      </c>
      <c r="B215" s="184" t="s">
        <v>83</v>
      </c>
      <c r="C215" s="441" t="s">
        <v>54</v>
      </c>
      <c r="D215" s="30"/>
      <c r="F215" s="464">
        <f>+SUM(START:END!F215)</f>
        <v>3298.1455640619715</v>
      </c>
      <c r="G215" s="439"/>
      <c r="H215" s="338"/>
      <c r="I215" s="340">
        <f>+SUM(START:END!I215)</f>
        <v>0</v>
      </c>
      <c r="J215" s="343"/>
      <c r="K215" s="338"/>
      <c r="L215" s="338">
        <f>+SUM(START:END!L215)</f>
        <v>4397.41</v>
      </c>
      <c r="M215" s="339"/>
      <c r="N215" s="340">
        <f t="shared" si="116"/>
        <v>1099.2644359380283</v>
      </c>
      <c r="O215" s="343"/>
      <c r="P215" s="338"/>
      <c r="Q215" s="338">
        <f>+SUM(START:END!Q215)</f>
        <v>4056.88</v>
      </c>
      <c r="R215" s="339"/>
      <c r="S215" s="341">
        <f t="shared" si="117"/>
        <v>340.52999999999975</v>
      </c>
    </row>
    <row r="216" spans="1:19" ht="15.75" customHeight="1">
      <c r="A216" s="23" t="str">
        <f t="shared" si="91"/>
        <v>ServiceServices extérieurs</v>
      </c>
      <c r="B216" s="184" t="s">
        <v>83</v>
      </c>
      <c r="C216" s="445" t="s">
        <v>55</v>
      </c>
      <c r="D216" s="34"/>
      <c r="E216" s="7"/>
      <c r="F216" s="465">
        <f>+SUM(START:END!F216)</f>
        <v>29425.316007466667</v>
      </c>
      <c r="G216" s="350"/>
      <c r="H216" s="349"/>
      <c r="I216" s="342">
        <f>+SUM(START:END!I216)</f>
        <v>0</v>
      </c>
      <c r="J216" s="350"/>
      <c r="K216" s="349"/>
      <c r="L216" s="342">
        <f>+SUM(START:END!L216)</f>
        <v>49351.19</v>
      </c>
      <c r="M216" s="351"/>
      <c r="N216" s="352">
        <f t="shared" si="116"/>
        <v>19925.873992533336</v>
      </c>
      <c r="O216" s="350"/>
      <c r="P216" s="349"/>
      <c r="Q216" s="342">
        <f>+SUM(START:END!Q216)</f>
        <v>29773.54</v>
      </c>
      <c r="R216" s="351"/>
      <c r="S216" s="353">
        <f t="shared" si="117"/>
        <v>19577.650000000001</v>
      </c>
    </row>
    <row r="217" spans="1:19" ht="15.75" customHeight="1">
      <c r="A217" s="23" t="str">
        <f t="shared" si="91"/>
        <v>ServiceFournitures d'atelier</v>
      </c>
      <c r="B217" s="184" t="s">
        <v>83</v>
      </c>
      <c r="C217" s="441" t="s">
        <v>98</v>
      </c>
      <c r="D217" s="30"/>
      <c r="F217" s="464">
        <f>+SUM(START:END!F217)</f>
        <v>0</v>
      </c>
      <c r="G217" s="439"/>
      <c r="H217" s="338"/>
      <c r="I217" s="340">
        <f>+SUM(START:END!I217)</f>
        <v>0</v>
      </c>
      <c r="J217" s="343"/>
      <c r="K217" s="338"/>
      <c r="L217" s="338">
        <f>+SUM(START:END!L217)</f>
        <v>0</v>
      </c>
      <c r="M217" s="339"/>
      <c r="N217" s="340">
        <f t="shared" si="116"/>
        <v>0</v>
      </c>
      <c r="O217" s="343"/>
      <c r="P217" s="338"/>
      <c r="Q217" s="338">
        <f>+SUM(START:END!Q217)</f>
        <v>0</v>
      </c>
      <c r="R217" s="339"/>
      <c r="S217" s="341">
        <f t="shared" si="117"/>
        <v>0</v>
      </c>
    </row>
    <row r="218" spans="1:19" ht="15.75" customHeight="1">
      <c r="A218" s="23" t="str">
        <f t="shared" si="91"/>
        <v>ServiceFournitures autres</v>
      </c>
      <c r="B218" s="184" t="s">
        <v>83</v>
      </c>
      <c r="C218" s="441" t="s">
        <v>56</v>
      </c>
      <c r="D218" s="30"/>
      <c r="F218" s="464">
        <f>+SUM(START:END!F218)</f>
        <v>16750</v>
      </c>
      <c r="G218" s="439"/>
      <c r="H218" s="338"/>
      <c r="I218" s="340">
        <f>+SUM(START:END!I218)</f>
        <v>0</v>
      </c>
      <c r="J218" s="343"/>
      <c r="K218" s="338"/>
      <c r="L218" s="338">
        <f>+SUM(START:END!L218)</f>
        <v>20694.739999999998</v>
      </c>
      <c r="M218" s="339"/>
      <c r="N218" s="340">
        <f t="shared" si="116"/>
        <v>3944.739999999998</v>
      </c>
      <c r="O218" s="343"/>
      <c r="P218" s="338"/>
      <c r="Q218" s="338">
        <f>+SUM(START:END!Q218)</f>
        <v>27627.439999999995</v>
      </c>
      <c r="R218" s="339"/>
      <c r="S218" s="341">
        <f t="shared" si="117"/>
        <v>-6932.6999999999971</v>
      </c>
    </row>
    <row r="219" spans="1:19" ht="15.75" customHeight="1">
      <c r="A219" s="23" t="str">
        <f t="shared" si="91"/>
        <v>ServiceUniformes</v>
      </c>
      <c r="B219" s="184" t="s">
        <v>83</v>
      </c>
      <c r="C219" s="441" t="s">
        <v>57</v>
      </c>
      <c r="D219" s="30"/>
      <c r="F219" s="464">
        <f>+SUM(START:END!F219)</f>
        <v>3665.8249128213292</v>
      </c>
      <c r="G219" s="439"/>
      <c r="H219" s="338"/>
      <c r="I219" s="340">
        <f>+SUM(START:END!I219)</f>
        <v>0</v>
      </c>
      <c r="J219" s="343"/>
      <c r="K219" s="338"/>
      <c r="L219" s="338">
        <f>+SUM(START:END!L219)</f>
        <v>4266.17</v>
      </c>
      <c r="M219" s="339"/>
      <c r="N219" s="340">
        <f t="shared" si="116"/>
        <v>600.34508717867084</v>
      </c>
      <c r="O219" s="343"/>
      <c r="P219" s="338"/>
      <c r="Q219" s="338">
        <f>+SUM(START:END!Q219)</f>
        <v>3403.36</v>
      </c>
      <c r="R219" s="339"/>
      <c r="S219" s="341">
        <f t="shared" si="117"/>
        <v>862.81</v>
      </c>
    </row>
    <row r="220" spans="1:19" ht="15.75" customHeight="1">
      <c r="A220" s="23" t="str">
        <f t="shared" si="91"/>
        <v>ServicePapeterie</v>
      </c>
      <c r="B220" s="184" t="s">
        <v>83</v>
      </c>
      <c r="C220" s="441" t="s">
        <v>58</v>
      </c>
      <c r="D220" s="30"/>
      <c r="F220" s="464">
        <f>+SUM(START:END!F220)</f>
        <v>2244.6127919279998</v>
      </c>
      <c r="G220" s="439"/>
      <c r="H220" s="338"/>
      <c r="I220" s="340">
        <f>+SUM(START:END!I220)</f>
        <v>0</v>
      </c>
      <c r="J220" s="343"/>
      <c r="K220" s="338"/>
      <c r="L220" s="338">
        <f>+SUM(START:END!L220)</f>
        <v>4921.08</v>
      </c>
      <c r="M220" s="339"/>
      <c r="N220" s="340">
        <f t="shared" si="116"/>
        <v>2676.4672080720002</v>
      </c>
      <c r="O220" s="343"/>
      <c r="P220" s="338"/>
      <c r="Q220" s="338">
        <f>+SUM(START:END!Q220)</f>
        <v>3858.67</v>
      </c>
      <c r="R220" s="339"/>
      <c r="S220" s="341">
        <f t="shared" si="117"/>
        <v>1062.4099999999999</v>
      </c>
    </row>
    <row r="221" spans="1:19" ht="15.75" customHeight="1">
      <c r="A221" s="23" t="str">
        <f t="shared" si="91"/>
        <v>ServiceTéléphone</v>
      </c>
      <c r="B221" s="184" t="s">
        <v>83</v>
      </c>
      <c r="C221" s="441" t="s">
        <v>59</v>
      </c>
      <c r="D221" s="30"/>
      <c r="F221" s="464">
        <f>+SUM(START:END!F221)</f>
        <v>648.2611913689999</v>
      </c>
      <c r="G221" s="439"/>
      <c r="H221" s="338"/>
      <c r="I221" s="340">
        <f>+SUM(START:END!I221)</f>
        <v>0</v>
      </c>
      <c r="J221" s="343"/>
      <c r="K221" s="338"/>
      <c r="L221" s="338">
        <f>+SUM(START:END!L221)</f>
        <v>797</v>
      </c>
      <c r="M221" s="339"/>
      <c r="N221" s="340">
        <f t="shared" si="116"/>
        <v>148.7388086310001</v>
      </c>
      <c r="O221" s="343"/>
      <c r="P221" s="338"/>
      <c r="Q221" s="338">
        <f>+SUM(START:END!Q221)</f>
        <v>424.78</v>
      </c>
      <c r="R221" s="339"/>
      <c r="S221" s="341">
        <f t="shared" si="117"/>
        <v>372.22</v>
      </c>
    </row>
    <row r="222" spans="1:19" ht="15.75" customHeight="1">
      <c r="A222" s="23" t="str">
        <f t="shared" si="91"/>
        <v>ServiceFrais postaux</v>
      </c>
      <c r="B222" s="184" t="s">
        <v>83</v>
      </c>
      <c r="C222" s="441" t="s">
        <v>60</v>
      </c>
      <c r="D222" s="30"/>
      <c r="F222" s="464">
        <f>+SUM(START:END!F222)</f>
        <v>311.33533479099998</v>
      </c>
      <c r="G222" s="439"/>
      <c r="H222" s="338"/>
      <c r="I222" s="340">
        <f>+SUM(START:END!I222)</f>
        <v>0</v>
      </c>
      <c r="J222" s="343"/>
      <c r="K222" s="338"/>
      <c r="L222" s="338">
        <f>+SUM(START:END!L222)</f>
        <v>179.62</v>
      </c>
      <c r="M222" s="339"/>
      <c r="N222" s="340">
        <f t="shared" si="116"/>
        <v>-131.71533479099998</v>
      </c>
      <c r="O222" s="343"/>
      <c r="P222" s="338"/>
      <c r="Q222" s="338">
        <f>+SUM(START:END!Q222)</f>
        <v>525.47</v>
      </c>
      <c r="R222" s="339"/>
      <c r="S222" s="341">
        <f t="shared" si="117"/>
        <v>-345.85</v>
      </c>
    </row>
    <row r="223" spans="1:19" ht="15.75" customHeight="1">
      <c r="A223" s="23" t="str">
        <f t="shared" si="91"/>
        <v>ServiceDivers</v>
      </c>
      <c r="B223" s="184" t="s">
        <v>83</v>
      </c>
      <c r="C223" s="441" t="s">
        <v>61</v>
      </c>
      <c r="D223" s="30"/>
      <c r="F223" s="464">
        <f>+SUM(START:END!F223)</f>
        <v>649.41795772899991</v>
      </c>
      <c r="G223" s="439"/>
      <c r="H223" s="338"/>
      <c r="I223" s="340">
        <f>+SUM(START:END!I223)</f>
        <v>0</v>
      </c>
      <c r="J223" s="343"/>
      <c r="K223" s="338"/>
      <c r="L223" s="338">
        <f>+SUM(START:END!L223)</f>
        <v>582.70000000000005</v>
      </c>
      <c r="M223" s="339"/>
      <c r="N223" s="340">
        <f t="shared" si="116"/>
        <v>-66.717957728999863</v>
      </c>
      <c r="O223" s="343"/>
      <c r="P223" s="338"/>
      <c r="Q223" s="338">
        <f>+SUM(START:END!Q223)</f>
        <v>-12.219999999999985</v>
      </c>
      <c r="R223" s="339"/>
      <c r="S223" s="341">
        <f t="shared" si="117"/>
        <v>594.92000000000007</v>
      </c>
    </row>
    <row r="224" spans="1:19" ht="15.75" customHeight="1">
      <c r="A224" s="23" t="str">
        <f t="shared" si="91"/>
        <v>ServiceFormation</v>
      </c>
      <c r="B224" s="184" t="s">
        <v>83</v>
      </c>
      <c r="C224" s="441" t="s">
        <v>62</v>
      </c>
      <c r="D224" s="30"/>
      <c r="F224" s="464">
        <f>+SUM(START:END!F224)</f>
        <v>11959.363666345465</v>
      </c>
      <c r="G224" s="439"/>
      <c r="H224" s="338"/>
      <c r="I224" s="340">
        <f>+SUM(START:END!I224)</f>
        <v>0</v>
      </c>
      <c r="J224" s="343"/>
      <c r="K224" s="338"/>
      <c r="L224" s="338">
        <f>+SUM(START:END!L224)</f>
        <v>2037.53</v>
      </c>
      <c r="M224" s="339"/>
      <c r="N224" s="340">
        <f t="shared" si="116"/>
        <v>-9921.8336663454647</v>
      </c>
      <c r="O224" s="343"/>
      <c r="P224" s="338"/>
      <c r="Q224" s="338">
        <f>+SUM(START:END!Q224)</f>
        <v>14412.96</v>
      </c>
      <c r="R224" s="339"/>
      <c r="S224" s="341">
        <f t="shared" si="117"/>
        <v>-12375.429999999998</v>
      </c>
    </row>
    <row r="225" spans="1:40" ht="15.75" customHeight="1">
      <c r="A225" s="23" t="str">
        <f t="shared" si="91"/>
        <v>ServiceFrais bancaires</v>
      </c>
      <c r="B225" s="184" t="s">
        <v>83</v>
      </c>
      <c r="C225" s="441" t="s">
        <v>63</v>
      </c>
      <c r="D225" s="30"/>
      <c r="F225" s="464">
        <f>+SUM(START:END!F225)</f>
        <v>5849.5901935631691</v>
      </c>
      <c r="G225" s="439"/>
      <c r="H225" s="338"/>
      <c r="I225" s="340">
        <f>+SUM(START:END!I225)</f>
        <v>0</v>
      </c>
      <c r="J225" s="343"/>
      <c r="K225" s="338"/>
      <c r="L225" s="338">
        <f>+SUM(START:END!L225)</f>
        <v>7844.4000000000005</v>
      </c>
      <c r="M225" s="339"/>
      <c r="N225" s="340">
        <f t="shared" si="116"/>
        <v>1994.8098064368314</v>
      </c>
      <c r="O225" s="343"/>
      <c r="P225" s="338"/>
      <c r="Q225" s="338">
        <f>+SUM(START:END!Q225)</f>
        <v>6168.85</v>
      </c>
      <c r="R225" s="339"/>
      <c r="S225" s="341">
        <f t="shared" si="117"/>
        <v>1675.5500000000002</v>
      </c>
    </row>
    <row r="226" spans="1:40" ht="15.75" hidden="1" customHeight="1">
      <c r="A226" s="23" t="str">
        <f t="shared" si="91"/>
        <v>Service[...]</v>
      </c>
      <c r="B226" s="184" t="s">
        <v>83</v>
      </c>
      <c r="C226" s="441" t="s">
        <v>20</v>
      </c>
      <c r="D226" s="30"/>
      <c r="F226" s="469">
        <f>+SUM(START:END!F226)</f>
        <v>0</v>
      </c>
      <c r="G226" s="30"/>
      <c r="I226" s="201">
        <f>+SUM(START:END!I226)</f>
        <v>0</v>
      </c>
      <c r="J226" s="30"/>
      <c r="L226" s="198">
        <f>+SUM(START:END!L226)</f>
        <v>0</v>
      </c>
      <c r="M226" s="152"/>
      <c r="N226" s="222">
        <f t="shared" ref="N226:N228" si="118">L226-I226</f>
        <v>0</v>
      </c>
      <c r="O226" s="30"/>
      <c r="Q226" s="198">
        <f>+SUM(START:END!Q226)</f>
        <v>0</v>
      </c>
      <c r="R226" s="152"/>
      <c r="S226" s="242">
        <f t="shared" ref="S226:S228" si="119">L226-Q226</f>
        <v>0</v>
      </c>
    </row>
    <row r="227" spans="1:40" ht="15.75" hidden="1" customHeight="1">
      <c r="B227" s="184" t="s">
        <v>83</v>
      </c>
      <c r="C227" s="441" t="s">
        <v>20</v>
      </c>
      <c r="D227" s="30"/>
      <c r="F227" s="469">
        <f>+SUM(START:END!F227)</f>
        <v>0</v>
      </c>
      <c r="G227" s="30"/>
      <c r="I227" s="201">
        <f>+SUM(START:END!I227)</f>
        <v>0</v>
      </c>
      <c r="J227" s="30"/>
      <c r="L227" s="198">
        <f>+SUM(START:END!L227)</f>
        <v>0</v>
      </c>
      <c r="M227" s="152"/>
      <c r="N227" s="222">
        <f t="shared" si="118"/>
        <v>0</v>
      </c>
      <c r="O227" s="30"/>
      <c r="Q227" s="198">
        <f>+SUM(START:END!Q227)</f>
        <v>0</v>
      </c>
      <c r="R227" s="152"/>
      <c r="S227" s="242">
        <f t="shared" si="119"/>
        <v>0</v>
      </c>
    </row>
    <row r="228" spans="1:40" ht="15.75" hidden="1" customHeight="1">
      <c r="A228" s="23" t="str">
        <f t="shared" si="91"/>
        <v>Service[...]</v>
      </c>
      <c r="B228" s="184" t="s">
        <v>83</v>
      </c>
      <c r="C228" s="441" t="s">
        <v>20</v>
      </c>
      <c r="D228" s="30"/>
      <c r="F228" s="469">
        <f>+SUM(START:END!F228)</f>
        <v>0</v>
      </c>
      <c r="G228" s="30"/>
      <c r="I228" s="201">
        <f>+SUM(START:END!I228)</f>
        <v>0</v>
      </c>
      <c r="J228" s="30"/>
      <c r="L228" s="198">
        <f>+SUM(START:END!L228)</f>
        <v>0</v>
      </c>
      <c r="M228" s="152"/>
      <c r="N228" s="222">
        <f t="shared" si="118"/>
        <v>0</v>
      </c>
      <c r="O228" s="30"/>
      <c r="Q228" s="198">
        <f>+SUM(START:END!Q228)</f>
        <v>0</v>
      </c>
      <c r="R228" s="152"/>
      <c r="S228" s="242">
        <f t="shared" si="119"/>
        <v>0</v>
      </c>
    </row>
    <row r="229" spans="1:40" ht="15.75" customHeight="1">
      <c r="B229" s="184"/>
      <c r="C229" s="467" t="s">
        <v>64</v>
      </c>
      <c r="D229" s="250" t="s">
        <v>97</v>
      </c>
      <c r="E229" s="42">
        <f>F229/F$194</f>
        <v>0.21515263224590991</v>
      </c>
      <c r="F229" s="470">
        <f>+SUM(F211:F228)</f>
        <v>170626.66817197471</v>
      </c>
      <c r="G229" s="250" t="s">
        <v>97</v>
      </c>
      <c r="H229" s="42" t="e">
        <f>I229/I$194</f>
        <v>#DIV/0!</v>
      </c>
      <c r="I229" s="251">
        <f>+SUM(I211:I228)</f>
        <v>0</v>
      </c>
      <c r="J229" s="250" t="s">
        <v>97</v>
      </c>
      <c r="K229" s="42">
        <f>L229/L$194</f>
        <v>0.2517148840315655</v>
      </c>
      <c r="L229" s="251">
        <f>+SUM(L211:L228)</f>
        <v>203568.18</v>
      </c>
      <c r="M229" s="254"/>
      <c r="N229" s="251">
        <f>+SUM(N211:N228)</f>
        <v>32941.511828025235</v>
      </c>
      <c r="O229" s="252" t="s">
        <v>97</v>
      </c>
      <c r="P229" s="42">
        <f>Q229/Q$194</f>
        <v>0.30746395674788018</v>
      </c>
      <c r="Q229" s="251">
        <f>+SUM(Q211:Q228)</f>
        <v>212213.52</v>
      </c>
      <c r="R229" s="254"/>
      <c r="S229" s="255">
        <f t="shared" si="115"/>
        <v>-8645.3399999999965</v>
      </c>
    </row>
    <row r="230" spans="1:40" ht="15.75" customHeight="1">
      <c r="B230" s="184"/>
      <c r="C230" s="445"/>
      <c r="D230" s="34"/>
      <c r="E230" s="7"/>
      <c r="F230" s="471"/>
      <c r="G230" s="34"/>
      <c r="H230" s="7"/>
      <c r="I230" s="222"/>
      <c r="J230" s="7"/>
      <c r="K230" s="7"/>
      <c r="L230" s="247"/>
      <c r="M230" s="153"/>
      <c r="N230" s="247"/>
      <c r="O230" s="153"/>
      <c r="P230" s="7"/>
      <c r="Q230" s="247"/>
      <c r="R230" s="153"/>
      <c r="S230" s="248"/>
    </row>
    <row r="231" spans="1:40" ht="15.75" customHeight="1">
      <c r="B231" s="184"/>
      <c r="C231" s="467" t="s">
        <v>65</v>
      </c>
      <c r="D231" s="250" t="s">
        <v>39</v>
      </c>
      <c r="E231" s="42">
        <f>F231/F$194</f>
        <v>0.75256377863334278</v>
      </c>
      <c r="F231" s="470">
        <f>F210+F229</f>
        <v>596820.26101523498</v>
      </c>
      <c r="G231" s="250" t="s">
        <v>39</v>
      </c>
      <c r="H231" s="42" t="e">
        <f>I231/I$194</f>
        <v>#DIV/0!</v>
      </c>
      <c r="I231" s="251">
        <f>I210+I229</f>
        <v>0</v>
      </c>
      <c r="J231" s="250" t="s">
        <v>39</v>
      </c>
      <c r="K231" s="42">
        <f>L231/L$194</f>
        <v>0.71467031250316848</v>
      </c>
      <c r="L231" s="251">
        <f>L210+L229</f>
        <v>577971.91999999993</v>
      </c>
      <c r="M231" s="254"/>
      <c r="N231" s="251">
        <f>N210+N229</f>
        <v>-18848.341015235084</v>
      </c>
      <c r="O231" s="252" t="s">
        <v>39</v>
      </c>
      <c r="P231" s="42">
        <f>Q231/Q$194</f>
        <v>0.91853894902156574</v>
      </c>
      <c r="Q231" s="251">
        <f>Q210+Q229</f>
        <v>633981.25</v>
      </c>
      <c r="R231" s="254"/>
      <c r="S231" s="261">
        <f>L231-Q231</f>
        <v>-56009.330000000075</v>
      </c>
    </row>
    <row r="232" spans="1:40" ht="15.75" customHeight="1">
      <c r="B232" s="184"/>
      <c r="C232" s="441"/>
      <c r="D232" s="30"/>
      <c r="F232" s="443"/>
      <c r="G232" s="30"/>
      <c r="I232" s="222"/>
      <c r="L232" s="222"/>
      <c r="M232" s="152"/>
      <c r="N232" s="222"/>
      <c r="O232" s="152"/>
      <c r="Q232" s="222"/>
      <c r="R232" s="152"/>
      <c r="S232" s="242"/>
    </row>
    <row r="233" spans="1:40" ht="15.75" customHeight="1" thickBot="1">
      <c r="B233" s="184"/>
      <c r="C233" s="472" t="s">
        <v>72</v>
      </c>
      <c r="D233" s="473"/>
      <c r="E233" s="474"/>
      <c r="F233" s="475">
        <f>F194-F231</f>
        <v>196229.14949328254</v>
      </c>
      <c r="G233" s="292"/>
      <c r="H233" s="272"/>
      <c r="I233" s="274">
        <f>I194-I231</f>
        <v>0</v>
      </c>
      <c r="J233" s="273"/>
      <c r="K233" s="273"/>
      <c r="L233" s="274">
        <f>L194-L231</f>
        <v>230753.32000000007</v>
      </c>
      <c r="M233" s="294"/>
      <c r="N233" s="274">
        <f>N194-N231</f>
        <v>44492.424166198136</v>
      </c>
      <c r="O233" s="294"/>
      <c r="P233" s="273"/>
      <c r="Q233" s="274">
        <f>Q194-Q231</f>
        <v>56224.919999999809</v>
      </c>
      <c r="R233" s="294"/>
      <c r="S233" s="276">
        <f>L233-Q233</f>
        <v>174528.40000000026</v>
      </c>
    </row>
    <row r="234" spans="1:40" ht="15.75" customHeight="1">
      <c r="B234" s="184"/>
      <c r="F234" s="26" t="e">
        <f>+F233-#REF!-#REF!-#REF!</f>
        <v>#REF!</v>
      </c>
      <c r="L234" s="26" t="e">
        <f>+L233-#REF!-#REF!-#REF!</f>
        <v>#REF!</v>
      </c>
      <c r="M234" s="26"/>
      <c r="N234" s="26" t="e">
        <f>+N233-#REF!-#REF!-#REF!</f>
        <v>#REF!</v>
      </c>
      <c r="O234" s="26"/>
      <c r="Q234" s="26" t="e">
        <f>+Q233-#REF!-#REF!-#REF!</f>
        <v>#REF!</v>
      </c>
      <c r="S234" s="26" t="e">
        <f>+S233-#REF!-#REF!-#REF!</f>
        <v>#REF!</v>
      </c>
    </row>
    <row r="235" spans="1:40" ht="15.75" customHeight="1">
      <c r="B235" s="184"/>
      <c r="L235" s="26"/>
      <c r="M235" s="26"/>
      <c r="O235" s="26"/>
      <c r="Q235" s="26"/>
    </row>
    <row r="236" spans="1:40" ht="33" customHeight="1">
      <c r="B236" s="184"/>
      <c r="C236" s="73" t="str">
        <f>C1</f>
        <v>Conso</v>
      </c>
      <c r="D236" s="6"/>
      <c r="E236" s="6"/>
      <c r="F236" s="6"/>
      <c r="G236" s="6"/>
      <c r="H236" s="177"/>
      <c r="I236" s="177"/>
      <c r="J236" s="177"/>
      <c r="K236" s="178" t="s">
        <v>99</v>
      </c>
      <c r="L236" s="6"/>
      <c r="M236" s="6"/>
      <c r="N236" s="177"/>
      <c r="O236" s="177"/>
      <c r="P236" s="6"/>
      <c r="Q236" s="177"/>
      <c r="R236" s="6"/>
      <c r="S236" s="180" t="str">
        <f>$S$1</f>
        <v xml:space="preserve">Réalisé  </v>
      </c>
      <c r="T236" s="6"/>
      <c r="U236" s="73"/>
    </row>
    <row r="237" spans="1:40" ht="24" customHeight="1" thickBot="1">
      <c r="B237" s="184"/>
      <c r="C237" s="182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5.75" customHeight="1" thickTop="1">
      <c r="B238" s="184"/>
      <c r="C238" s="185"/>
      <c r="D238" s="485" t="s">
        <v>5</v>
      </c>
      <c r="E238" s="486"/>
      <c r="F238" s="486"/>
      <c r="G238" s="492" t="s">
        <v>74</v>
      </c>
      <c r="H238" s="486"/>
      <c r="I238" s="487"/>
      <c r="J238" s="488" t="s">
        <v>7</v>
      </c>
      <c r="K238" s="486"/>
      <c r="L238" s="487"/>
      <c r="M238" s="488" t="s">
        <v>9</v>
      </c>
      <c r="N238" s="487"/>
      <c r="O238" s="485" t="s">
        <v>8</v>
      </c>
      <c r="P238" s="486"/>
      <c r="Q238" s="487"/>
      <c r="R238" s="488" t="s">
        <v>217</v>
      </c>
      <c r="S238" s="489"/>
      <c r="T238" s="176"/>
    </row>
    <row r="239" spans="1:40" ht="15.75" customHeight="1">
      <c r="A239" s="23" t="str">
        <f t="shared" ref="A239:A284" si="120">+B239&amp;C239</f>
        <v>Carrosserie</v>
      </c>
      <c r="B239" s="184" t="s">
        <v>99</v>
      </c>
      <c r="C239" s="1"/>
      <c r="D239" s="175" t="s">
        <v>40</v>
      </c>
      <c r="E239" s="175" t="s">
        <v>84</v>
      </c>
      <c r="F239" s="175" t="s">
        <v>12</v>
      </c>
      <c r="G239" s="295" t="s">
        <v>40</v>
      </c>
      <c r="H239" s="175" t="s">
        <v>84</v>
      </c>
      <c r="I239" s="278" t="s">
        <v>12</v>
      </c>
      <c r="J239" s="279" t="s">
        <v>40</v>
      </c>
      <c r="K239" s="175" t="s">
        <v>84</v>
      </c>
      <c r="L239" s="278" t="s">
        <v>12</v>
      </c>
      <c r="M239" s="279" t="s">
        <v>40</v>
      </c>
      <c r="N239" s="278" t="s">
        <v>12</v>
      </c>
      <c r="O239" s="175" t="s">
        <v>40</v>
      </c>
      <c r="P239" s="175" t="s">
        <v>84</v>
      </c>
      <c r="Q239" s="278" t="s">
        <v>12</v>
      </c>
      <c r="R239" s="279" t="s">
        <v>85</v>
      </c>
      <c r="S239" s="280" t="s">
        <v>12</v>
      </c>
      <c r="T239" s="175"/>
    </row>
    <row r="240" spans="1:40" ht="15.75" customHeight="1">
      <c r="A240" s="23" t="str">
        <f t="shared" si="120"/>
        <v>Carrosserie</v>
      </c>
      <c r="B240" s="184" t="s">
        <v>99</v>
      </c>
      <c r="C240" s="1"/>
      <c r="D240" s="175"/>
      <c r="E240" s="175"/>
      <c r="F240" s="175"/>
      <c r="G240" s="279"/>
      <c r="H240" s="175"/>
      <c r="I240" s="175"/>
      <c r="J240" s="279"/>
      <c r="K240" s="198"/>
      <c r="L240" s="201"/>
      <c r="M240" s="279"/>
      <c r="N240" s="278"/>
      <c r="O240" s="175"/>
      <c r="P240" s="175"/>
      <c r="Q240" s="278"/>
      <c r="R240" s="279"/>
      <c r="S240" s="280"/>
      <c r="T240" s="175"/>
      <c r="V240" s="198"/>
      <c r="W240" s="198"/>
      <c r="X240" s="198"/>
      <c r="Y240" s="198"/>
    </row>
    <row r="241" spans="1:25" ht="15.75" customHeight="1">
      <c r="A241" s="23" t="str">
        <f t="shared" si="120"/>
        <v>CarrosserieM/O Sous-traitement</v>
      </c>
      <c r="B241" s="184" t="s">
        <v>99</v>
      </c>
      <c r="C241" s="1" t="s">
        <v>100</v>
      </c>
      <c r="D241" s="360">
        <f>+SUM(START:END!D241)</f>
        <v>0</v>
      </c>
      <c r="E241" s="26">
        <f>+SUM(START:END!E241)</f>
        <v>275935.73951252969</v>
      </c>
      <c r="F241" s="26">
        <f>+SUM(START:END!F241)</f>
        <v>41390.360926879453</v>
      </c>
      <c r="G241" s="361">
        <f>+SUM(START:END!G241)</f>
        <v>0</v>
      </c>
      <c r="H241" s="26">
        <f>+SUM(START:END!H241)</f>
        <v>0</v>
      </c>
      <c r="I241" s="26">
        <f>+SUM(START:END!I241)</f>
        <v>0</v>
      </c>
      <c r="J241" s="223">
        <f>+SUM(START:END!J241)</f>
        <v>18</v>
      </c>
      <c r="K241" s="198">
        <f>+SUM(START:END!K241)</f>
        <v>37119.550000000003</v>
      </c>
      <c r="L241" s="201">
        <f>+SUM(START:END!L241)</f>
        <v>9309.17</v>
      </c>
      <c r="M241" s="297">
        <f>IFERROR((K241-E241)/E241,0)</f>
        <v>-0.8654775562398126</v>
      </c>
      <c r="N241" s="222">
        <f t="shared" ref="N241:N242" si="121">L241-F241</f>
        <v>-32081.190926879455</v>
      </c>
      <c r="O241" s="223">
        <f>+SUM(START:END!O241)</f>
        <v>102</v>
      </c>
      <c r="P241" s="198">
        <f>+SUM(START:END!P241)</f>
        <v>181034.11999999991</v>
      </c>
      <c r="Q241" s="201">
        <f>+SUM(START:END!Q241)</f>
        <v>32391.879999999801</v>
      </c>
      <c r="R241" s="297">
        <f>IF(O241=0,0,J241/O241)</f>
        <v>0.17647058823529413</v>
      </c>
      <c r="S241" s="242">
        <f>L241-Q241</f>
        <v>-23082.709999999803</v>
      </c>
      <c r="T241" s="175"/>
      <c r="V241" s="198"/>
      <c r="W241" s="198"/>
      <c r="X241" s="198"/>
      <c r="Y241" s="198"/>
    </row>
    <row r="242" spans="1:25" ht="15.75" customHeight="1">
      <c r="A242" s="23" t="str">
        <f t="shared" si="120"/>
        <v>Carrosserie% profit / ventes</v>
      </c>
      <c r="B242" s="184" t="s">
        <v>99</v>
      </c>
      <c r="C242" s="1" t="s">
        <v>87</v>
      </c>
      <c r="D242" s="175"/>
      <c r="E242" s="31"/>
      <c r="F242" s="27">
        <f>IFERROR(F241/E241,0)</f>
        <v>0.15</v>
      </c>
      <c r="G242" s="279"/>
      <c r="H242" s="31"/>
      <c r="I242" s="27">
        <f>IFERROR(I241/H241,0)</f>
        <v>0</v>
      </c>
      <c r="J242" s="223"/>
      <c r="L242" s="157">
        <f>IFERROR(L241/K241,0)</f>
        <v>0.25078887001593497</v>
      </c>
      <c r="M242" s="297"/>
      <c r="N242" s="222">
        <f t="shared" si="121"/>
        <v>0.10078887001593498</v>
      </c>
      <c r="O242" s="223"/>
      <c r="Q242" s="157">
        <f>IFERROR(Q241/P241,0)</f>
        <v>0.1789269337735882</v>
      </c>
      <c r="R242" s="223"/>
      <c r="S242" s="242">
        <f>IFERROR(S241/R241,0)</f>
        <v>-130802.02333333221</v>
      </c>
      <c r="T242" s="175"/>
    </row>
    <row r="243" spans="1:25" ht="15.75" customHeight="1">
      <c r="A243" s="23" t="str">
        <f t="shared" si="120"/>
        <v>Carrosserie</v>
      </c>
      <c r="B243" s="184" t="s">
        <v>99</v>
      </c>
      <c r="C243" s="1"/>
      <c r="D243" s="175"/>
      <c r="E243" s="362"/>
      <c r="F243" s="362"/>
      <c r="G243" s="279"/>
      <c r="H243" s="362"/>
      <c r="I243" s="362"/>
      <c r="J243" s="279"/>
      <c r="K243" s="175"/>
      <c r="L243" s="278"/>
      <c r="M243" s="279"/>
      <c r="N243" s="278"/>
      <c r="O243" s="279"/>
      <c r="P243" s="175"/>
      <c r="Q243" s="278"/>
      <c r="R243" s="363"/>
      <c r="S243" s="280"/>
      <c r="T243" s="175"/>
    </row>
    <row r="244" spans="1:25" ht="15.75" customHeight="1">
      <c r="A244" s="23" t="str">
        <f t="shared" si="120"/>
        <v>CarrosserieM/O Carrosserie</v>
      </c>
      <c r="B244" s="184" t="s">
        <v>99</v>
      </c>
      <c r="C244" s="3" t="s">
        <v>101</v>
      </c>
      <c r="D244" s="309">
        <f>+SUM(START:END!D244)</f>
        <v>0</v>
      </c>
      <c r="E244" s="26">
        <f>+SUM(START:END!E244)</f>
        <v>0</v>
      </c>
      <c r="F244" s="26">
        <f>+SUM(START:END!F244)</f>
        <v>0</v>
      </c>
      <c r="G244" s="310">
        <f>+SUM(START:END!G244)</f>
        <v>0</v>
      </c>
      <c r="H244" s="26">
        <f>+SUM(START:END!H244)</f>
        <v>0</v>
      </c>
      <c r="I244" s="26">
        <f>+SUM(START:END!I244)</f>
        <v>0</v>
      </c>
      <c r="J244" s="300">
        <f>+SUM(START:END!J244)</f>
        <v>0</v>
      </c>
      <c r="K244" s="364">
        <f>+SUM(START:END!K244)</f>
        <v>0</v>
      </c>
      <c r="L244" s="257">
        <f>+SUM(START:END!L244)</f>
        <v>0</v>
      </c>
      <c r="M244" s="311">
        <f>IFERROR((K244-E244)/E244,0)</f>
        <v>0</v>
      </c>
      <c r="N244" s="258">
        <f t="shared" ref="N244" si="122">L244-F244</f>
        <v>0</v>
      </c>
      <c r="O244" s="300">
        <f>+SUM(START:END!O244)</f>
        <v>0</v>
      </c>
      <c r="P244" s="364">
        <f>+SUM(START:END!P244)</f>
        <v>0</v>
      </c>
      <c r="Q244" s="257">
        <f>+SUM(START:END!Q244)</f>
        <v>0</v>
      </c>
      <c r="R244" s="297">
        <f>IF(O244=0,0,J244/O244)</f>
        <v>0</v>
      </c>
      <c r="S244" s="259">
        <f>L244-Q244</f>
        <v>0</v>
      </c>
      <c r="T244" s="27"/>
      <c r="V244" s="198"/>
      <c r="W244" s="198"/>
      <c r="X244" s="198"/>
      <c r="Y244" s="198"/>
    </row>
    <row r="245" spans="1:25" ht="15.75" customHeight="1">
      <c r="A245" s="23" t="str">
        <f t="shared" si="120"/>
        <v>Carrosserie% profit / ventes</v>
      </c>
      <c r="B245" s="184" t="s">
        <v>99</v>
      </c>
      <c r="C245" s="1" t="s">
        <v>87</v>
      </c>
      <c r="E245" s="31"/>
      <c r="F245" s="27" t="e">
        <f>F244/E244</f>
        <v>#DIV/0!</v>
      </c>
      <c r="G245" s="152"/>
      <c r="H245" s="31"/>
      <c r="I245" s="27" t="e">
        <f>I244/H244</f>
        <v>#DIV/0!</v>
      </c>
      <c r="J245" s="223"/>
      <c r="L245" s="157">
        <f>IFERROR(L244/K244,0)</f>
        <v>0</v>
      </c>
      <c r="M245" s="297"/>
      <c r="N245" s="222" t="e">
        <f>N244/F244</f>
        <v>#DIV/0!</v>
      </c>
      <c r="O245" s="223"/>
      <c r="Q245" s="157">
        <f>IFERROR(Q244/P244,0)</f>
        <v>0</v>
      </c>
      <c r="R245" s="223"/>
      <c r="S245" s="242">
        <f>IF(Q244=0,0,S244/Q244)</f>
        <v>0</v>
      </c>
      <c r="T245" s="27"/>
    </row>
    <row r="246" spans="1:25" ht="15.75" customHeight="1">
      <c r="A246" s="23" t="str">
        <f t="shared" si="120"/>
        <v>Carrosserie</v>
      </c>
      <c r="B246" s="184" t="s">
        <v>99</v>
      </c>
      <c r="C246" s="2"/>
      <c r="D246" s="7"/>
      <c r="E246" s="35"/>
      <c r="F246" s="11"/>
      <c r="G246" s="153"/>
      <c r="H246" s="35"/>
      <c r="I246" s="11"/>
      <c r="J246" s="299"/>
      <c r="K246" s="365"/>
      <c r="L246" s="155"/>
      <c r="M246" s="298"/>
      <c r="N246" s="247"/>
      <c r="O246" s="299"/>
      <c r="P246" s="365"/>
      <c r="Q246" s="155"/>
      <c r="R246" s="299"/>
      <c r="S246" s="248"/>
      <c r="T246" s="27"/>
    </row>
    <row r="247" spans="1:25" ht="15.75" customHeight="1">
      <c r="A247" s="23" t="str">
        <f t="shared" si="120"/>
        <v>CarrosserieM/O Esthétique Carr.</v>
      </c>
      <c r="B247" s="184" t="s">
        <v>99</v>
      </c>
      <c r="C247" s="3" t="s">
        <v>102</v>
      </c>
      <c r="D247" s="57">
        <f>+SUM(START:END!D247)</f>
        <v>0</v>
      </c>
      <c r="E247" s="26">
        <f>+SUM(START:END!E247)</f>
        <v>0</v>
      </c>
      <c r="F247" s="26">
        <f>+SUM(START:END!F247)</f>
        <v>0</v>
      </c>
      <c r="G247" s="300">
        <f>+SUM(START:END!G247)</f>
        <v>0</v>
      </c>
      <c r="H247" s="26">
        <f>+SUM(START:END!H247)</f>
        <v>0</v>
      </c>
      <c r="I247" s="26">
        <f>+SUM(START:END!I247)</f>
        <v>0</v>
      </c>
      <c r="J247" s="300">
        <f>+SUM(START:END!J247)</f>
        <v>0</v>
      </c>
      <c r="K247" s="198">
        <f>+SUM(START:END!K247)</f>
        <v>0</v>
      </c>
      <c r="L247" s="201">
        <f>+SUM(START:END!L247)</f>
        <v>0</v>
      </c>
      <c r="M247" s="297">
        <f>IFERROR((K247-E247)/E247,0)</f>
        <v>0</v>
      </c>
      <c r="N247" s="258">
        <f t="shared" ref="N247" si="123">L247-F247</f>
        <v>0</v>
      </c>
      <c r="O247" s="300">
        <f>+SUM(START:END!O247)</f>
        <v>0</v>
      </c>
      <c r="P247" s="198">
        <f>+SUM(START:END!P247)</f>
        <v>0</v>
      </c>
      <c r="Q247" s="201">
        <f>+SUM(START:END!Q247)</f>
        <v>0</v>
      </c>
      <c r="R247" s="297">
        <f>IF(O247=0,0,J247/O247)</f>
        <v>0</v>
      </c>
      <c r="S247" s="242">
        <f>L247-Q247</f>
        <v>0</v>
      </c>
      <c r="T247" s="27"/>
      <c r="V247" s="198"/>
      <c r="W247" s="198"/>
      <c r="X247" s="198"/>
      <c r="Y247" s="198"/>
    </row>
    <row r="248" spans="1:25" ht="15.75" customHeight="1">
      <c r="A248" s="23" t="str">
        <f t="shared" si="120"/>
        <v>Carrosserie% profit / ventes</v>
      </c>
      <c r="B248" s="184" t="s">
        <v>99</v>
      </c>
      <c r="C248" s="1" t="s">
        <v>87</v>
      </c>
      <c r="F248" s="27" t="e">
        <f>F247/E247</f>
        <v>#DIV/0!</v>
      </c>
      <c r="G248" s="152"/>
      <c r="I248" s="27" t="e">
        <f>I247/H247</f>
        <v>#DIV/0!</v>
      </c>
      <c r="J248" s="152"/>
      <c r="L248" s="157">
        <f>IFERROR(L247/K247,0)</f>
        <v>0</v>
      </c>
      <c r="M248" s="170"/>
      <c r="N248" s="171" t="e">
        <f>N247/F247</f>
        <v>#DIV/0!</v>
      </c>
      <c r="O248" s="152"/>
      <c r="Q248" s="157">
        <f>IFERROR(Q247/P247,0)</f>
        <v>0</v>
      </c>
      <c r="R248" s="170"/>
      <c r="S248" s="209">
        <f>IF(Q247=0,0,S247/Q247)</f>
        <v>0</v>
      </c>
      <c r="T248" s="27"/>
    </row>
    <row r="249" spans="1:25" ht="15.75" customHeight="1" thickBot="1">
      <c r="A249" s="23" t="str">
        <f t="shared" si="120"/>
        <v>Carrosserie</v>
      </c>
      <c r="B249" s="184" t="s">
        <v>99</v>
      </c>
      <c r="C249" s="1"/>
      <c r="F249" s="27"/>
      <c r="G249" s="152"/>
      <c r="I249" s="27"/>
      <c r="J249" s="152"/>
      <c r="L249" s="157"/>
      <c r="M249" s="170"/>
      <c r="N249" s="171"/>
      <c r="O249" s="152"/>
      <c r="Q249" s="157"/>
      <c r="R249" s="170"/>
      <c r="S249" s="209"/>
      <c r="T249" s="27"/>
    </row>
    <row r="250" spans="1:25" ht="15.75" customHeight="1" thickTop="1">
      <c r="A250" s="23" t="str">
        <f t="shared" si="120"/>
        <v>CarrosserieTotal Mécanique</v>
      </c>
      <c r="B250" s="184" t="s">
        <v>99</v>
      </c>
      <c r="C250" s="225" t="s">
        <v>96</v>
      </c>
      <c r="D250" s="226"/>
      <c r="E250" s="226">
        <f t="shared" ref="E250:F250" si="124">E244+E247+E241</f>
        <v>275935.73951252969</v>
      </c>
      <c r="F250" s="226">
        <f t="shared" si="124"/>
        <v>41390.360926879453</v>
      </c>
      <c r="G250" s="229"/>
      <c r="H250" s="226">
        <f t="shared" ref="H250:I250" si="125">H244+H247+H241</f>
        <v>0</v>
      </c>
      <c r="I250" s="226">
        <f t="shared" si="125"/>
        <v>0</v>
      </c>
      <c r="J250" s="229"/>
      <c r="K250" s="226">
        <f t="shared" ref="K250:N250" si="126">K244+K247+K241</f>
        <v>37119.550000000003</v>
      </c>
      <c r="L250" s="228">
        <f t="shared" si="126"/>
        <v>9309.17</v>
      </c>
      <c r="M250" s="336">
        <f>L251-F251</f>
        <v>0.10078887001593498</v>
      </c>
      <c r="N250" s="228">
        <f t="shared" si="126"/>
        <v>-32081.190926879455</v>
      </c>
      <c r="O250" s="229"/>
      <c r="P250" s="226">
        <f t="shared" ref="P250:Q250" si="127">P244+P247+P241</f>
        <v>181034.11999999991</v>
      </c>
      <c r="Q250" s="228">
        <f t="shared" si="127"/>
        <v>32391.879999999801</v>
      </c>
      <c r="R250" s="336">
        <f>L251-Q251</f>
        <v>7.1861936242346769E-2</v>
      </c>
      <c r="S250" s="231">
        <f>L250-Q250</f>
        <v>-23082.709999999803</v>
      </c>
      <c r="T250" s="27"/>
    </row>
    <row r="251" spans="1:25" ht="23.25" customHeight="1" thickBot="1">
      <c r="A251" s="23" t="str">
        <f t="shared" si="120"/>
        <v>Carrosserie</v>
      </c>
      <c r="B251" s="184" t="s">
        <v>99</v>
      </c>
      <c r="C251" s="232"/>
      <c r="D251" s="233"/>
      <c r="E251" s="233"/>
      <c r="F251" s="337">
        <f>F250/E250</f>
        <v>0.15</v>
      </c>
      <c r="G251" s="235"/>
      <c r="H251" s="233"/>
      <c r="I251" s="337" t="e">
        <f>I250/H250</f>
        <v>#DIV/0!</v>
      </c>
      <c r="J251" s="235"/>
      <c r="K251" s="233"/>
      <c r="L251" s="166">
        <f>IF(K250=0,0,L250/K250)</f>
        <v>0.25078887001593497</v>
      </c>
      <c r="M251" s="236"/>
      <c r="N251" s="166">
        <f>N250/F250</f>
        <v>-0.77508845558400297</v>
      </c>
      <c r="O251" s="235"/>
      <c r="P251" s="233"/>
      <c r="Q251" s="166">
        <f>IF(P250=0,0,Q250/P250)</f>
        <v>0.1789269337735882</v>
      </c>
      <c r="R251" s="236"/>
      <c r="S251" s="237">
        <f>IF(R250=0,0,S250/R250)</f>
        <v>-321209.12971445423</v>
      </c>
      <c r="T251" s="27"/>
    </row>
    <row r="252" spans="1:25" ht="15.75" customHeight="1" thickTop="1">
      <c r="A252" s="23" t="str">
        <f t="shared" si="120"/>
        <v>Carrosserie</v>
      </c>
      <c r="B252" s="184" t="s">
        <v>99</v>
      </c>
      <c r="C252" s="1"/>
      <c r="F252" s="26"/>
      <c r="G252" s="152"/>
      <c r="I252" s="26"/>
      <c r="J252" s="152"/>
      <c r="L252" s="208"/>
      <c r="M252" s="152"/>
      <c r="N252" s="208"/>
      <c r="O252" s="152"/>
      <c r="Q252" s="208"/>
      <c r="R252" s="152"/>
      <c r="S252" s="224"/>
    </row>
    <row r="253" spans="1:25" ht="15.75" customHeight="1">
      <c r="A253" s="23" t="str">
        <f t="shared" si="120"/>
        <v>CarrosserieDEPENSES</v>
      </c>
      <c r="B253" s="184" t="s">
        <v>99</v>
      </c>
      <c r="C253" s="239" t="s">
        <v>30</v>
      </c>
      <c r="F253" s="26"/>
      <c r="G253" s="152"/>
      <c r="I253" s="26"/>
      <c r="J253" s="152"/>
      <c r="L253" s="208"/>
      <c r="M253" s="152"/>
      <c r="N253" s="208"/>
      <c r="O253" s="152"/>
      <c r="Q253" s="208"/>
      <c r="R253" s="152"/>
      <c r="S253" s="224"/>
    </row>
    <row r="254" spans="1:25" ht="15.75" customHeight="1">
      <c r="A254" s="23" t="str">
        <f t="shared" si="120"/>
        <v>CarrosserieSalaires cadres</v>
      </c>
      <c r="B254" s="184" t="s">
        <v>99</v>
      </c>
      <c r="C254" s="1" t="s">
        <v>41</v>
      </c>
      <c r="F254" s="198">
        <f>+SUM(START:END!F254)</f>
        <v>966.30625000000009</v>
      </c>
      <c r="G254" s="152"/>
      <c r="I254" s="198">
        <f>+SUM(START:END!I254)</f>
        <v>0</v>
      </c>
      <c r="J254" s="152"/>
      <c r="L254" s="201">
        <f>+SUM(START:END!L254)</f>
        <v>2705.64</v>
      </c>
      <c r="M254" s="152"/>
      <c r="N254" s="208"/>
      <c r="O254" s="152"/>
      <c r="Q254" s="201">
        <f>+SUM(START:END!Q254)</f>
        <v>2705.64</v>
      </c>
      <c r="R254" s="152"/>
      <c r="S254" s="202">
        <f>L254-Q254</f>
        <v>0</v>
      </c>
    </row>
    <row r="255" spans="1:25" ht="15.75" customHeight="1">
      <c r="A255" s="23" t="str">
        <f t="shared" si="120"/>
        <v>CarrosserieSalaires commis</v>
      </c>
      <c r="B255" s="184" t="s">
        <v>99</v>
      </c>
      <c r="C255" s="2" t="s">
        <v>42</v>
      </c>
      <c r="D255" s="30"/>
      <c r="F255" s="194">
        <f>+SUM(START:END!F255)</f>
        <v>15157.1895</v>
      </c>
      <c r="G255" s="240"/>
      <c r="I255" s="194">
        <f>+SUM(START:END!I255)</f>
        <v>0</v>
      </c>
      <c r="J255" s="152"/>
      <c r="L255" s="201">
        <f>+SUM(START:END!L255)</f>
        <v>12779.170000000002</v>
      </c>
      <c r="M255" s="152"/>
      <c r="N255" s="222"/>
      <c r="O255" s="152"/>
      <c r="Q255" s="201">
        <f>+SUM(START:END!Q255)</f>
        <v>0</v>
      </c>
      <c r="R255" s="152"/>
      <c r="S255" s="242">
        <f t="shared" ref="S255:S264" si="128">L255-Q255</f>
        <v>12779.170000000002</v>
      </c>
    </row>
    <row r="256" spans="1:25" ht="15.75" customHeight="1">
      <c r="A256" s="23" t="str">
        <f t="shared" si="120"/>
        <v>CarrosserieSalaires autres</v>
      </c>
      <c r="B256" s="184" t="s">
        <v>99</v>
      </c>
      <c r="C256" s="1" t="s">
        <v>43</v>
      </c>
      <c r="D256" s="52"/>
      <c r="E256" s="53"/>
      <c r="F256" s="198">
        <f>+SUM(START:END!F256)</f>
        <v>56.975000000000001</v>
      </c>
      <c r="G256" s="256"/>
      <c r="H256" s="53"/>
      <c r="I256" s="198">
        <f>+SUM(START:END!I256)</f>
        <v>0</v>
      </c>
      <c r="J256" s="154"/>
      <c r="K256" s="53"/>
      <c r="L256" s="257">
        <f>+SUM(START:END!L256)</f>
        <v>0.24</v>
      </c>
      <c r="M256" s="154"/>
      <c r="N256" s="258"/>
      <c r="O256" s="154"/>
      <c r="P256" s="53"/>
      <c r="Q256" s="257">
        <f>+SUM(START:END!Q256)</f>
        <v>0.24</v>
      </c>
      <c r="R256" s="154"/>
      <c r="S256" s="259">
        <f t="shared" si="128"/>
        <v>0</v>
      </c>
    </row>
    <row r="257" spans="1:19" ht="15.75" customHeight="1">
      <c r="A257" s="23" t="str">
        <f t="shared" si="120"/>
        <v>CarrosserieSalaires spécialistes</v>
      </c>
      <c r="B257" s="184" t="s">
        <v>99</v>
      </c>
      <c r="C257" s="1" t="s">
        <v>44</v>
      </c>
      <c r="D257" s="30"/>
      <c r="F257" s="198">
        <f>+SUM(START:END!F257)</f>
        <v>0</v>
      </c>
      <c r="G257" s="240"/>
      <c r="I257" s="198">
        <f>+SUM(START:END!I257)</f>
        <v>0</v>
      </c>
      <c r="J257" s="152"/>
      <c r="L257" s="201">
        <f>+SUM(START:END!L257)</f>
        <v>0</v>
      </c>
      <c r="M257" s="152"/>
      <c r="N257" s="222"/>
      <c r="O257" s="152"/>
      <c r="Q257" s="201">
        <f>+SUM(START:END!Q257)</f>
        <v>14090.61</v>
      </c>
      <c r="R257" s="152"/>
      <c r="S257" s="242">
        <f t="shared" si="128"/>
        <v>-14090.61</v>
      </c>
    </row>
    <row r="258" spans="1:19" ht="15.75" hidden="1" customHeight="1">
      <c r="A258" s="23" t="str">
        <f t="shared" si="120"/>
        <v>Carrosserie[...]</v>
      </c>
      <c r="B258" s="184" t="s">
        <v>99</v>
      </c>
      <c r="C258" s="1" t="s">
        <v>20</v>
      </c>
      <c r="D258" s="30"/>
      <c r="F258" s="198">
        <f>+SUM(START:END!F258)</f>
        <v>0</v>
      </c>
      <c r="G258" s="240"/>
      <c r="I258" s="198">
        <f>+SUM(START:END!I258)</f>
        <v>0</v>
      </c>
      <c r="J258" s="152"/>
      <c r="L258" s="201">
        <f>+SUM(START:END!L258)</f>
        <v>0</v>
      </c>
      <c r="M258" s="152"/>
      <c r="N258" s="222"/>
      <c r="O258" s="152"/>
      <c r="Q258" s="201">
        <f>+SUM(START:END!Q258)</f>
        <v>0</v>
      </c>
      <c r="R258" s="152"/>
      <c r="S258" s="242">
        <f t="shared" si="128"/>
        <v>0</v>
      </c>
    </row>
    <row r="259" spans="1:19" ht="15.75" hidden="1" customHeight="1">
      <c r="A259" s="23" t="str">
        <f t="shared" si="120"/>
        <v>Carrosserie[...]</v>
      </c>
      <c r="B259" s="184" t="s">
        <v>99</v>
      </c>
      <c r="C259" s="1" t="s">
        <v>20</v>
      </c>
      <c r="D259" s="30"/>
      <c r="F259" s="198">
        <f>+SUM(START:END!F259)</f>
        <v>0</v>
      </c>
      <c r="G259" s="240"/>
      <c r="I259" s="198">
        <f>+SUM(START:END!I259)</f>
        <v>0</v>
      </c>
      <c r="J259" s="152"/>
      <c r="L259" s="201">
        <f>+SUM(START:END!L259)</f>
        <v>0</v>
      </c>
      <c r="M259" s="152"/>
      <c r="N259" s="222"/>
      <c r="O259" s="152"/>
      <c r="Q259" s="201">
        <f>+SUM(START:END!Q259)</f>
        <v>0</v>
      </c>
      <c r="R259" s="152"/>
      <c r="S259" s="242">
        <f t="shared" si="128"/>
        <v>0</v>
      </c>
    </row>
    <row r="260" spans="1:19" ht="15.75" hidden="1" customHeight="1">
      <c r="A260" s="23" t="str">
        <f t="shared" si="120"/>
        <v>Carrosserie[...]</v>
      </c>
      <c r="B260" s="184" t="s">
        <v>99</v>
      </c>
      <c r="C260" s="1" t="s">
        <v>20</v>
      </c>
      <c r="D260" s="30"/>
      <c r="F260" s="198">
        <f>+SUM(START:END!F260)</f>
        <v>0</v>
      </c>
      <c r="G260" s="240"/>
      <c r="I260" s="198">
        <f>+SUM(START:END!I260)</f>
        <v>0</v>
      </c>
      <c r="J260" s="152"/>
      <c r="L260" s="201">
        <f>+SUM(START:END!L260)</f>
        <v>0</v>
      </c>
      <c r="M260" s="152"/>
      <c r="N260" s="222"/>
      <c r="O260" s="152"/>
      <c r="Q260" s="201">
        <f>+SUM(START:END!Q260)</f>
        <v>0</v>
      </c>
      <c r="R260" s="152"/>
      <c r="S260" s="242">
        <f t="shared" si="128"/>
        <v>0</v>
      </c>
    </row>
    <row r="261" spans="1:19" ht="15.75" customHeight="1">
      <c r="A261" s="23" t="str">
        <f t="shared" si="120"/>
        <v>CarrosserieSalaires en absences</v>
      </c>
      <c r="B261" s="184" t="s">
        <v>99</v>
      </c>
      <c r="C261" s="2" t="s">
        <v>45</v>
      </c>
      <c r="D261" s="30"/>
      <c r="F261" s="194">
        <f>+SUM(START:END!F261)</f>
        <v>1924.2756801249998</v>
      </c>
      <c r="G261" s="240"/>
      <c r="I261" s="194">
        <f>+SUM(START:END!I261)</f>
        <v>0</v>
      </c>
      <c r="J261" s="152"/>
      <c r="L261" s="201">
        <f>+SUM(START:END!L261)</f>
        <v>1361.51</v>
      </c>
      <c r="M261" s="152"/>
      <c r="N261" s="222"/>
      <c r="O261" s="152"/>
      <c r="Q261" s="201">
        <f>+SUM(START:END!Q261)</f>
        <v>1746.06</v>
      </c>
      <c r="R261" s="152"/>
      <c r="S261" s="242">
        <f t="shared" si="128"/>
        <v>-384.54999999999995</v>
      </c>
    </row>
    <row r="262" spans="1:19" ht="15.75" customHeight="1">
      <c r="A262" s="23" t="str">
        <f t="shared" si="120"/>
        <v>CarrosserieDéduction à la source</v>
      </c>
      <c r="B262" s="184" t="s">
        <v>99</v>
      </c>
      <c r="C262" s="1" t="s">
        <v>46</v>
      </c>
      <c r="D262" s="52"/>
      <c r="E262" s="53"/>
      <c r="F262" s="198">
        <f>+SUM(START:END!F262)</f>
        <v>2339.6479635000001</v>
      </c>
      <c r="G262" s="256"/>
      <c r="H262" s="53"/>
      <c r="I262" s="198">
        <f>+SUM(START:END!I262)</f>
        <v>0</v>
      </c>
      <c r="J262" s="154"/>
      <c r="K262" s="53"/>
      <c r="L262" s="257">
        <f>+SUM(START:END!L262)</f>
        <v>3884.79</v>
      </c>
      <c r="M262" s="154"/>
      <c r="N262" s="258"/>
      <c r="O262" s="154"/>
      <c r="P262" s="53"/>
      <c r="Q262" s="257">
        <f>+SUM(START:END!Q262)</f>
        <v>4049.3100000000004</v>
      </c>
      <c r="R262" s="154"/>
      <c r="S262" s="259">
        <f t="shared" si="128"/>
        <v>-164.52000000000044</v>
      </c>
    </row>
    <row r="263" spans="1:19" ht="15.75" customHeight="1">
      <c r="A263" s="23" t="str">
        <f t="shared" si="120"/>
        <v>CarrosserieBénéfices marginaux</v>
      </c>
      <c r="B263" s="184" t="s">
        <v>99</v>
      </c>
      <c r="C263" s="1" t="s">
        <v>47</v>
      </c>
      <c r="D263" s="30"/>
      <c r="F263" s="198">
        <f>+SUM(START:END!F263)</f>
        <v>1205.4273203249998</v>
      </c>
      <c r="G263" s="240"/>
      <c r="I263" s="198">
        <f>+SUM(START:END!I263)</f>
        <v>0</v>
      </c>
      <c r="J263" s="152"/>
      <c r="L263" s="201">
        <f>+SUM(START:END!L263)</f>
        <v>-491.69</v>
      </c>
      <c r="M263" s="152"/>
      <c r="N263" s="222"/>
      <c r="O263" s="152"/>
      <c r="Q263" s="201">
        <f>+SUM(START:END!Q263)</f>
        <v>950.53000000000009</v>
      </c>
      <c r="R263" s="152"/>
      <c r="S263" s="242">
        <f t="shared" si="128"/>
        <v>-1442.22</v>
      </c>
    </row>
    <row r="264" spans="1:19" ht="15.75" customHeight="1">
      <c r="A264" s="23" t="str">
        <f t="shared" si="120"/>
        <v>CarrosserieCsst</v>
      </c>
      <c r="B264" s="184" t="s">
        <v>99</v>
      </c>
      <c r="C264" s="1" t="s">
        <v>48</v>
      </c>
      <c r="D264" s="30"/>
      <c r="F264" s="198">
        <f>+SUM(START:END!F264)</f>
        <v>525.57309325000006</v>
      </c>
      <c r="G264" s="240"/>
      <c r="I264" s="198">
        <f>+SUM(START:END!I264)</f>
        <v>0</v>
      </c>
      <c r="J264" s="152"/>
      <c r="L264" s="201">
        <f>+SUM(START:END!L264)</f>
        <v>695.56</v>
      </c>
      <c r="M264" s="152"/>
      <c r="N264" s="222"/>
      <c r="O264" s="152"/>
      <c r="Q264" s="201">
        <f>+SUM(START:END!Q264)</f>
        <v>455.32</v>
      </c>
      <c r="R264" s="152"/>
      <c r="S264" s="242">
        <f t="shared" si="128"/>
        <v>240.23999999999995</v>
      </c>
    </row>
    <row r="265" spans="1:19" ht="15.75" hidden="1" customHeight="1">
      <c r="A265" s="23" t="str">
        <f t="shared" si="120"/>
        <v>Carrosserie[...]</v>
      </c>
      <c r="B265" s="184" t="s">
        <v>99</v>
      </c>
      <c r="C265" s="1" t="s">
        <v>20</v>
      </c>
      <c r="D265" s="34"/>
      <c r="E265" s="7"/>
      <c r="F265" s="198">
        <f>+SUM(START:END!F264)</f>
        <v>525.57309325000006</v>
      </c>
      <c r="G265" s="244"/>
      <c r="H265" s="7"/>
      <c r="I265" s="198">
        <f>+SUM(START:END!I264)</f>
        <v>0</v>
      </c>
      <c r="J265" s="153"/>
      <c r="K265" s="7"/>
      <c r="L265" s="201">
        <f>+SUM(START:END!L264)</f>
        <v>695.56</v>
      </c>
      <c r="M265" s="153"/>
      <c r="N265" s="247">
        <f t="shared" ref="N265" si="129">L265-I265</f>
        <v>695.56</v>
      </c>
      <c r="O265" s="153"/>
      <c r="P265" s="7"/>
      <c r="Q265" s="201">
        <f>+SUM(START:END!Q264)</f>
        <v>455.32</v>
      </c>
      <c r="R265" s="153"/>
      <c r="S265" s="248">
        <f t="shared" ref="S265:S285" si="130">L265-Q265</f>
        <v>240.23999999999995</v>
      </c>
    </row>
    <row r="266" spans="1:19" ht="15.75" customHeight="1">
      <c r="A266" s="23" t="str">
        <f t="shared" si="120"/>
        <v>CarrosserieTOTAL PERSONNEL</v>
      </c>
      <c r="B266" s="184" t="s">
        <v>99</v>
      </c>
      <c r="C266" s="40" t="s">
        <v>49</v>
      </c>
      <c r="D266" s="250" t="s">
        <v>39</v>
      </c>
      <c r="E266" s="42" t="e">
        <f>F266/F$244</f>
        <v>#DIV/0!</v>
      </c>
      <c r="F266" s="46">
        <f>+SUM(F254:F265)</f>
        <v>22700.967900450003</v>
      </c>
      <c r="G266" s="252" t="s">
        <v>39</v>
      </c>
      <c r="H266" s="42" t="e">
        <f>I266/I$244</f>
        <v>#DIV/0!</v>
      </c>
      <c r="I266" s="46">
        <f>+SUM(I254:I265)</f>
        <v>0</v>
      </c>
      <c r="J266" s="252" t="s">
        <v>39</v>
      </c>
      <c r="K266" s="42">
        <f>IF(L244=0,0,L266/L$244)</f>
        <v>0</v>
      </c>
      <c r="L266" s="251">
        <f>+SUM(L254:L265)</f>
        <v>21630.780000000006</v>
      </c>
      <c r="M266" s="290"/>
      <c r="N266" s="260">
        <f>L266-F266</f>
        <v>-1070.187900449997</v>
      </c>
      <c r="O266" s="252" t="s">
        <v>39</v>
      </c>
      <c r="P266" s="42">
        <f>IF(Q244=0,0,Q266/Q$244)</f>
        <v>0</v>
      </c>
      <c r="Q266" s="251">
        <f>+SUM(Q254:Q265)</f>
        <v>24453.030000000002</v>
      </c>
      <c r="R266" s="290"/>
      <c r="S266" s="261">
        <f t="shared" si="130"/>
        <v>-2822.2499999999964</v>
      </c>
    </row>
    <row r="267" spans="1:19" ht="15.75" customHeight="1">
      <c r="A267" s="23" t="str">
        <f t="shared" si="120"/>
        <v>CarrosseriePublicité 2</v>
      </c>
      <c r="B267" s="184" t="s">
        <v>99</v>
      </c>
      <c r="C267" s="3" t="s">
        <v>50</v>
      </c>
      <c r="D267" s="30"/>
      <c r="F267" s="198">
        <f>+SUM(START:END!F267)</f>
        <v>0</v>
      </c>
      <c r="G267" s="240"/>
      <c r="I267" s="198">
        <f>+SUM(START:END!I267)</f>
        <v>0</v>
      </c>
      <c r="J267" s="152"/>
      <c r="L267" s="201">
        <f>+SUM(START:END!L267)</f>
        <v>229.14999999999998</v>
      </c>
      <c r="M267" s="152"/>
      <c r="N267" s="222"/>
      <c r="O267" s="152"/>
      <c r="Q267" s="201">
        <f>+SUM(START:END!Q267)</f>
        <v>178.41</v>
      </c>
      <c r="R267" s="152"/>
      <c r="S267" s="242">
        <f>L267-Q267</f>
        <v>50.739999999999981</v>
      </c>
    </row>
    <row r="268" spans="1:19" ht="15.75" customHeight="1">
      <c r="A268" s="23" t="str">
        <f t="shared" si="120"/>
        <v>CarrosserieService gratuit 2</v>
      </c>
      <c r="B268" s="184" t="s">
        <v>99</v>
      </c>
      <c r="C268" s="1" t="s">
        <v>51</v>
      </c>
      <c r="D268" s="30"/>
      <c r="F268" s="198">
        <f>+SUM(START:END!F268)</f>
        <v>1781.7196877697436</v>
      </c>
      <c r="G268" s="240"/>
      <c r="I268" s="198">
        <f>+SUM(START:END!I268)</f>
        <v>0</v>
      </c>
      <c r="J268" s="152"/>
      <c r="L268" s="201">
        <f>+SUM(START:END!L268)</f>
        <v>7755.41</v>
      </c>
      <c r="M268" s="152"/>
      <c r="N268" s="222"/>
      <c r="O268" s="152"/>
      <c r="Q268" s="201">
        <f>+SUM(START:END!Q268)</f>
        <v>6178.9800000000005</v>
      </c>
      <c r="R268" s="152"/>
      <c r="S268" s="242">
        <f t="shared" ref="S268:S281" si="131">L268-Q268</f>
        <v>1576.4299999999994</v>
      </c>
    </row>
    <row r="269" spans="1:19" ht="15.75" customHeight="1">
      <c r="A269" s="23" t="str">
        <f t="shared" si="120"/>
        <v>CarrosserieFrais véhicules de cie</v>
      </c>
      <c r="B269" s="184" t="s">
        <v>99</v>
      </c>
      <c r="C269" s="2" t="s">
        <v>52</v>
      </c>
      <c r="D269" s="34"/>
      <c r="E269" s="7"/>
      <c r="F269" s="194">
        <f>+SUM(START:END!F269)</f>
        <v>0</v>
      </c>
      <c r="G269" s="244"/>
      <c r="H269" s="7"/>
      <c r="I269" s="194">
        <f>+SUM(START:END!I269)</f>
        <v>0</v>
      </c>
      <c r="J269" s="153"/>
      <c r="K269" s="7"/>
      <c r="L269" s="201">
        <f>+SUM(START:END!L269)</f>
        <v>649.99</v>
      </c>
      <c r="M269" s="153"/>
      <c r="N269" s="247"/>
      <c r="O269" s="153"/>
      <c r="P269" s="7"/>
      <c r="Q269" s="201">
        <f>+SUM(START:END!Q269)</f>
        <v>4360.7</v>
      </c>
      <c r="R269" s="153"/>
      <c r="S269" s="248">
        <f t="shared" si="131"/>
        <v>-3710.71</v>
      </c>
    </row>
    <row r="270" spans="1:19" ht="15.75" customHeight="1">
      <c r="A270" s="23" t="str">
        <f t="shared" si="120"/>
        <v>CarrosserieInformatique</v>
      </c>
      <c r="B270" s="184" t="s">
        <v>99</v>
      </c>
      <c r="C270" s="1" t="s">
        <v>53</v>
      </c>
      <c r="D270" s="30"/>
      <c r="F270" s="198">
        <f>+SUM(START:END!F270)</f>
        <v>4302.4017903333342</v>
      </c>
      <c r="G270" s="240"/>
      <c r="I270" s="198">
        <f>+SUM(START:END!I270)</f>
        <v>0</v>
      </c>
      <c r="J270" s="152"/>
      <c r="L270" s="257">
        <f>+SUM(START:END!L270)</f>
        <v>4473.74</v>
      </c>
      <c r="M270" s="152"/>
      <c r="N270" s="222"/>
      <c r="O270" s="152"/>
      <c r="Q270" s="257">
        <f>+SUM(START:END!Q270)</f>
        <v>4254.32</v>
      </c>
      <c r="R270" s="152"/>
      <c r="S270" s="242">
        <f t="shared" si="131"/>
        <v>219.42000000000007</v>
      </c>
    </row>
    <row r="271" spans="1:19" ht="15.75" customHeight="1">
      <c r="A271" s="23" t="str">
        <f t="shared" si="120"/>
        <v>CarrosserieFrais de déplacement</v>
      </c>
      <c r="B271" s="184" t="s">
        <v>99</v>
      </c>
      <c r="C271" s="1" t="s">
        <v>54</v>
      </c>
      <c r="D271" s="30"/>
      <c r="F271" s="198">
        <f>+SUM(START:END!F271)</f>
        <v>535.29519157572292</v>
      </c>
      <c r="G271" s="240"/>
      <c r="I271" s="198">
        <f>+SUM(START:END!I271)</f>
        <v>0</v>
      </c>
      <c r="J271" s="152"/>
      <c r="L271" s="201">
        <f>+SUM(START:END!L271)</f>
        <v>944.92</v>
      </c>
      <c r="M271" s="152"/>
      <c r="N271" s="222"/>
      <c r="O271" s="152"/>
      <c r="Q271" s="201">
        <f>+SUM(START:END!Q271)</f>
        <v>828.98</v>
      </c>
      <c r="R271" s="152"/>
      <c r="S271" s="242">
        <f t="shared" si="131"/>
        <v>115.93999999999994</v>
      </c>
    </row>
    <row r="272" spans="1:19" ht="15.75" customHeight="1">
      <c r="A272" s="23" t="str">
        <f t="shared" si="120"/>
        <v>CarrosserieServices extérieurs</v>
      </c>
      <c r="B272" s="184" t="s">
        <v>99</v>
      </c>
      <c r="C272" s="1" t="s">
        <v>55</v>
      </c>
      <c r="D272" s="34"/>
      <c r="E272" s="7"/>
      <c r="F272" s="194">
        <f>+SUM(START:END!F272)</f>
        <v>2029.6536089486108</v>
      </c>
      <c r="G272" s="244"/>
      <c r="H272" s="7"/>
      <c r="I272" s="194">
        <f>+SUM(START:END!I272)</f>
        <v>0</v>
      </c>
      <c r="J272" s="153"/>
      <c r="K272" s="7"/>
      <c r="L272" s="201">
        <f>+SUM(START:END!L272)</f>
        <v>2452.6999999999998</v>
      </c>
      <c r="M272" s="153"/>
      <c r="N272" s="247"/>
      <c r="O272" s="153"/>
      <c r="P272" s="7"/>
      <c r="Q272" s="201">
        <f>+SUM(START:END!Q272)</f>
        <v>2667.5699999999997</v>
      </c>
      <c r="R272" s="153"/>
      <c r="S272" s="248">
        <f t="shared" si="131"/>
        <v>-214.86999999999989</v>
      </c>
    </row>
    <row r="273" spans="1:20" ht="15.75" customHeight="1">
      <c r="A273" s="23" t="str">
        <f t="shared" si="120"/>
        <v>CarrosserieFournitures d'atelier</v>
      </c>
      <c r="B273" s="184" t="s">
        <v>99</v>
      </c>
      <c r="C273" s="4" t="s">
        <v>98</v>
      </c>
      <c r="D273" s="30"/>
      <c r="F273" s="198">
        <f>+SUM(START:END!F273)</f>
        <v>0</v>
      </c>
      <c r="G273" s="240"/>
      <c r="I273" s="198">
        <f>+SUM(START:END!I273)</f>
        <v>0</v>
      </c>
      <c r="J273" s="152"/>
      <c r="L273" s="219">
        <f>+SUM(START:END!L273)</f>
        <v>0</v>
      </c>
      <c r="M273" s="152"/>
      <c r="N273" s="222"/>
      <c r="O273" s="152"/>
      <c r="Q273" s="219">
        <f>+SUM(START:END!Q273)</f>
        <v>0</v>
      </c>
      <c r="R273" s="152"/>
      <c r="S273" s="242">
        <f t="shared" si="131"/>
        <v>0</v>
      </c>
    </row>
    <row r="274" spans="1:20" ht="15.75" customHeight="1">
      <c r="A274" s="23" t="str">
        <f t="shared" si="120"/>
        <v>CarrosserieFournitures autres</v>
      </c>
      <c r="B274" s="184" t="s">
        <v>99</v>
      </c>
      <c r="C274" s="1" t="s">
        <v>56</v>
      </c>
      <c r="D274" s="30"/>
      <c r="F274" s="198">
        <f>+SUM(START:END!F274)</f>
        <v>375</v>
      </c>
      <c r="G274" s="240"/>
      <c r="I274" s="198">
        <f>+SUM(START:END!I274)</f>
        <v>0</v>
      </c>
      <c r="J274" s="152"/>
      <c r="L274" s="201">
        <f>+SUM(START:END!L274)</f>
        <v>12.79</v>
      </c>
      <c r="M274" s="152"/>
      <c r="N274" s="222"/>
      <c r="O274" s="152"/>
      <c r="Q274" s="201">
        <f>+SUM(START:END!Q274)</f>
        <v>203.21</v>
      </c>
      <c r="R274" s="152"/>
      <c r="S274" s="242">
        <f t="shared" si="131"/>
        <v>-190.42000000000002</v>
      </c>
    </row>
    <row r="275" spans="1:20" ht="15.75" customHeight="1">
      <c r="A275" s="23" t="str">
        <f t="shared" si="120"/>
        <v>CarrosserieUniformes</v>
      </c>
      <c r="B275" s="184" t="s">
        <v>99</v>
      </c>
      <c r="C275" s="1" t="s">
        <v>57</v>
      </c>
      <c r="D275" s="30"/>
      <c r="F275" s="198">
        <f>+SUM(START:END!F275)</f>
        <v>250</v>
      </c>
      <c r="G275" s="240"/>
      <c r="I275" s="198">
        <f>+SUM(START:END!I275)</f>
        <v>0</v>
      </c>
      <c r="J275" s="152"/>
      <c r="L275" s="201">
        <f>+SUM(START:END!L275)</f>
        <v>0</v>
      </c>
      <c r="M275" s="152"/>
      <c r="N275" s="222"/>
      <c r="O275" s="152"/>
      <c r="Q275" s="201">
        <f>+SUM(START:END!Q275)</f>
        <v>0</v>
      </c>
      <c r="R275" s="152"/>
      <c r="S275" s="242">
        <f t="shared" si="131"/>
        <v>0</v>
      </c>
    </row>
    <row r="276" spans="1:20" ht="15.75" customHeight="1">
      <c r="A276" s="23" t="str">
        <f t="shared" si="120"/>
        <v>CarrosseriePapeterie</v>
      </c>
      <c r="B276" s="184" t="s">
        <v>99</v>
      </c>
      <c r="C276" s="1" t="s">
        <v>58</v>
      </c>
      <c r="D276" s="30"/>
      <c r="F276" s="198">
        <f>+SUM(START:END!F276)</f>
        <v>472.67556222899998</v>
      </c>
      <c r="G276" s="240"/>
      <c r="I276" s="198">
        <f>+SUM(START:END!I276)</f>
        <v>0</v>
      </c>
      <c r="J276" s="152"/>
      <c r="L276" s="200">
        <f>+SUM(START:END!L276)</f>
        <v>448.88</v>
      </c>
      <c r="M276" s="152"/>
      <c r="N276" s="222"/>
      <c r="O276" s="152"/>
      <c r="Q276" s="200">
        <f>+SUM(START:END!Q276)</f>
        <v>737.31999999999994</v>
      </c>
      <c r="R276" s="152"/>
      <c r="S276" s="242">
        <f t="shared" si="131"/>
        <v>-288.43999999999994</v>
      </c>
    </row>
    <row r="277" spans="1:20" ht="15.75" customHeight="1">
      <c r="A277" s="23" t="str">
        <f t="shared" si="120"/>
        <v>CarrosserieTéléphone</v>
      </c>
      <c r="B277" s="184" t="s">
        <v>99</v>
      </c>
      <c r="C277" s="1" t="s">
        <v>59</v>
      </c>
      <c r="D277" s="30"/>
      <c r="F277" s="198">
        <f>+SUM(START:END!F277)</f>
        <v>110.34110581595834</v>
      </c>
      <c r="G277" s="240"/>
      <c r="I277" s="198">
        <f>+SUM(START:END!I277)</f>
        <v>0</v>
      </c>
      <c r="J277" s="152"/>
      <c r="L277" s="201">
        <f>+SUM(START:END!L277)</f>
        <v>92.5</v>
      </c>
      <c r="M277" s="152"/>
      <c r="N277" s="222"/>
      <c r="O277" s="152"/>
      <c r="Q277" s="201">
        <f>+SUM(START:END!Q277)</f>
        <v>72.740000000000009</v>
      </c>
      <c r="R277" s="152"/>
      <c r="S277" s="242">
        <f t="shared" si="131"/>
        <v>19.759999999999991</v>
      </c>
    </row>
    <row r="278" spans="1:20" ht="15.75" customHeight="1">
      <c r="A278" s="23" t="str">
        <f t="shared" si="120"/>
        <v>CarrosserieFrais postaux</v>
      </c>
      <c r="B278" s="184" t="s">
        <v>99</v>
      </c>
      <c r="C278" s="1" t="s">
        <v>60</v>
      </c>
      <c r="D278" s="30"/>
      <c r="F278" s="198">
        <f>+SUM(START:END!F278)</f>
        <v>74.23719556404167</v>
      </c>
      <c r="G278" s="240"/>
      <c r="I278" s="198">
        <f>+SUM(START:END!I278)</f>
        <v>0</v>
      </c>
      <c r="J278" s="152"/>
      <c r="L278" s="201">
        <f>+SUM(START:END!L278)</f>
        <v>23.220000000000002</v>
      </c>
      <c r="M278" s="152"/>
      <c r="N278" s="222"/>
      <c r="O278" s="152"/>
      <c r="Q278" s="201">
        <f>+SUM(START:END!Q278)</f>
        <v>142.82999999999998</v>
      </c>
      <c r="R278" s="152"/>
      <c r="S278" s="242">
        <f t="shared" si="131"/>
        <v>-119.60999999999999</v>
      </c>
    </row>
    <row r="279" spans="1:20" ht="15.75" customHeight="1">
      <c r="A279" s="23" t="str">
        <f t="shared" si="120"/>
        <v>CarrosserieDivers</v>
      </c>
      <c r="B279" s="184" t="s">
        <v>99</v>
      </c>
      <c r="C279" s="1" t="s">
        <v>61</v>
      </c>
      <c r="D279" s="30"/>
      <c r="F279" s="198">
        <f>+SUM(START:END!F279)</f>
        <v>704.99838975429157</v>
      </c>
      <c r="G279" s="240"/>
      <c r="I279" s="198">
        <f>+SUM(START:END!I279)</f>
        <v>0</v>
      </c>
      <c r="J279" s="152"/>
      <c r="L279" s="201">
        <f>+SUM(START:END!L279)</f>
        <v>169.98000000000002</v>
      </c>
      <c r="M279" s="152"/>
      <c r="N279" s="222"/>
      <c r="O279" s="152"/>
      <c r="Q279" s="201">
        <f>+SUM(START:END!Q279)</f>
        <v>69.349999999999994</v>
      </c>
      <c r="R279" s="152"/>
      <c r="S279" s="242">
        <f t="shared" si="131"/>
        <v>100.63000000000002</v>
      </c>
    </row>
    <row r="280" spans="1:20" ht="15.75" customHeight="1">
      <c r="A280" s="23" t="str">
        <f t="shared" si="120"/>
        <v>CarrosserieFormation</v>
      </c>
      <c r="B280" s="184" t="s">
        <v>99</v>
      </c>
      <c r="C280" s="1" t="s">
        <v>62</v>
      </c>
      <c r="D280" s="30"/>
      <c r="F280" s="198">
        <f>+SUM(START:END!F280)</f>
        <v>1302.9754569439635</v>
      </c>
      <c r="G280" s="240"/>
      <c r="I280" s="198">
        <f>+SUM(START:END!I280)</f>
        <v>0</v>
      </c>
      <c r="J280" s="152"/>
      <c r="L280" s="201">
        <f>+SUM(START:END!L280)</f>
        <v>469.04</v>
      </c>
      <c r="M280" s="152"/>
      <c r="N280" s="222"/>
      <c r="O280" s="152"/>
      <c r="Q280" s="201">
        <f>+SUM(START:END!Q280)</f>
        <v>130.19999999999999</v>
      </c>
      <c r="R280" s="152"/>
      <c r="S280" s="242">
        <f t="shared" si="131"/>
        <v>338.84000000000003</v>
      </c>
    </row>
    <row r="281" spans="1:20" ht="15.75" customHeight="1">
      <c r="A281" s="23" t="str">
        <f t="shared" si="120"/>
        <v>CarrosserieFrais bancaires</v>
      </c>
      <c r="B281" s="184" t="s">
        <v>99</v>
      </c>
      <c r="C281" s="1" t="s">
        <v>63</v>
      </c>
      <c r="D281" s="30"/>
      <c r="F281" s="198">
        <f>+SUM(START:END!F281)</f>
        <v>615.84461654135941</v>
      </c>
      <c r="G281" s="240"/>
      <c r="I281" s="198">
        <f>+SUM(START:END!I281)</f>
        <v>0</v>
      </c>
      <c r="J281" s="152"/>
      <c r="L281" s="201">
        <f>+SUM(START:END!L281)</f>
        <v>871.61</v>
      </c>
      <c r="M281" s="152"/>
      <c r="N281" s="222"/>
      <c r="O281" s="152"/>
      <c r="Q281" s="201">
        <f>+SUM(START:END!Q281)</f>
        <v>685.43999999999994</v>
      </c>
      <c r="R281" s="152"/>
      <c r="S281" s="242">
        <f t="shared" si="131"/>
        <v>186.17000000000007</v>
      </c>
    </row>
    <row r="282" spans="1:20" ht="15.75" hidden="1" customHeight="1">
      <c r="A282" s="23" t="str">
        <f t="shared" si="120"/>
        <v>Carrosserie[...]</v>
      </c>
      <c r="B282" s="184" t="s">
        <v>99</v>
      </c>
      <c r="C282" s="1" t="s">
        <v>20</v>
      </c>
      <c r="D282" s="30"/>
      <c r="F282" s="198">
        <f>+SUM(START:END!F282)</f>
        <v>0</v>
      </c>
      <c r="G282" s="240"/>
      <c r="I282" s="198">
        <f>+SUM(START:END!I282)</f>
        <v>0</v>
      </c>
      <c r="J282" s="152"/>
      <c r="L282" s="201">
        <f>+SUM(START:END!L282)</f>
        <v>0</v>
      </c>
      <c r="M282" s="152"/>
      <c r="N282" s="222"/>
      <c r="O282" s="152"/>
      <c r="Q282" s="201">
        <f>+SUM(START:END!Q282)</f>
        <v>0</v>
      </c>
      <c r="R282" s="152"/>
      <c r="S282" s="242">
        <f t="shared" ref="S282:S284" si="132">L282-Q282</f>
        <v>0</v>
      </c>
    </row>
    <row r="283" spans="1:20" ht="15.75" hidden="1" customHeight="1">
      <c r="A283" s="23" t="str">
        <f t="shared" si="120"/>
        <v>Carrosserie[...]</v>
      </c>
      <c r="B283" s="184" t="s">
        <v>99</v>
      </c>
      <c r="C283" s="1" t="s">
        <v>20</v>
      </c>
      <c r="D283" s="30"/>
      <c r="F283" s="198">
        <f>+SUM(START:END!F283)</f>
        <v>0</v>
      </c>
      <c r="G283" s="240"/>
      <c r="I283" s="198">
        <f>+SUM(START:END!I283)</f>
        <v>0</v>
      </c>
      <c r="J283" s="152"/>
      <c r="L283" s="201">
        <f>+SUM(START:END!L283)</f>
        <v>0</v>
      </c>
      <c r="M283" s="152"/>
      <c r="N283" s="222"/>
      <c r="O283" s="152"/>
      <c r="Q283" s="201">
        <f>+SUM(START:END!Q283)</f>
        <v>0</v>
      </c>
      <c r="R283" s="152"/>
      <c r="S283" s="242">
        <f t="shared" si="132"/>
        <v>0</v>
      </c>
    </row>
    <row r="284" spans="1:20" ht="15.75" hidden="1" customHeight="1">
      <c r="A284" s="23" t="str">
        <f t="shared" si="120"/>
        <v>Carrosserie[...]</v>
      </c>
      <c r="B284" s="184" t="s">
        <v>99</v>
      </c>
      <c r="C284" s="1" t="s">
        <v>20</v>
      </c>
      <c r="D284" s="30"/>
      <c r="F284" s="198">
        <f>+SUM(START:END!F284)</f>
        <v>0</v>
      </c>
      <c r="G284" s="240"/>
      <c r="I284" s="198">
        <f>+SUM(START:END!I284)</f>
        <v>0</v>
      </c>
      <c r="J284" s="152"/>
      <c r="L284" s="201">
        <f>+SUM(START:END!L284)</f>
        <v>0</v>
      </c>
      <c r="M284" s="152"/>
      <c r="N284" s="222"/>
      <c r="O284" s="152"/>
      <c r="Q284" s="201">
        <f>+SUM(START:END!Q284)</f>
        <v>0</v>
      </c>
      <c r="R284" s="152"/>
      <c r="S284" s="242">
        <f t="shared" si="132"/>
        <v>0</v>
      </c>
    </row>
    <row r="285" spans="1:20" ht="15.75" customHeight="1">
      <c r="B285" s="184"/>
      <c r="C285" s="40" t="s">
        <v>64</v>
      </c>
      <c r="D285" s="250" t="s">
        <v>39</v>
      </c>
      <c r="E285" s="42">
        <f>F285/F$250</f>
        <v>0.30333493896455849</v>
      </c>
      <c r="F285" s="46">
        <f>+SUM(F267:F284)</f>
        <v>12555.142605476025</v>
      </c>
      <c r="G285" s="252" t="s">
        <v>39</v>
      </c>
      <c r="H285" s="42" t="e">
        <f>I285/I$250</f>
        <v>#DIV/0!</v>
      </c>
      <c r="I285" s="46">
        <f>+SUM(I267:I284)</f>
        <v>0</v>
      </c>
      <c r="J285" s="252" t="s">
        <v>39</v>
      </c>
      <c r="K285" s="42">
        <f>L285/L$250</f>
        <v>1.997377854309246</v>
      </c>
      <c r="L285" s="251">
        <f>+SUM(L267:L284)</f>
        <v>18593.930000000004</v>
      </c>
      <c r="M285" s="254"/>
      <c r="N285" s="260">
        <f>L285-F285</f>
        <v>6038.7873945239789</v>
      </c>
      <c r="O285" s="252" t="s">
        <v>39</v>
      </c>
      <c r="P285" s="42">
        <f>Q285/Q$250</f>
        <v>0.63318492165320828</v>
      </c>
      <c r="Q285" s="251">
        <f>+SUM(Q267:Q284)</f>
        <v>20510.05</v>
      </c>
      <c r="R285" s="254"/>
      <c r="S285" s="255">
        <f t="shared" si="130"/>
        <v>-1916.1199999999953</v>
      </c>
      <c r="T285" s="73"/>
    </row>
    <row r="286" spans="1:20" ht="15.75" customHeight="1">
      <c r="B286" s="184"/>
      <c r="C286" s="2"/>
      <c r="D286" s="34"/>
      <c r="E286" s="7"/>
      <c r="F286" s="26"/>
      <c r="G286" s="244"/>
      <c r="H286" s="7"/>
      <c r="I286" s="26"/>
      <c r="J286" s="153"/>
      <c r="K286" s="7"/>
      <c r="L286" s="247"/>
      <c r="M286" s="153"/>
      <c r="N286" s="247"/>
      <c r="O286" s="153"/>
      <c r="P286" s="7"/>
      <c r="Q286" s="247"/>
      <c r="R286" s="153"/>
      <c r="S286" s="248"/>
      <c r="T286" s="73"/>
    </row>
    <row r="287" spans="1:20" ht="15.75" customHeight="1">
      <c r="B287" s="184"/>
      <c r="C287" s="40" t="s">
        <v>65</v>
      </c>
      <c r="D287" s="250" t="s">
        <v>39</v>
      </c>
      <c r="E287" s="42">
        <f>F287/F$250</f>
        <v>0.85179519377010893</v>
      </c>
      <c r="F287" s="46">
        <f>F266+F285</f>
        <v>35256.11050592603</v>
      </c>
      <c r="G287" s="252" t="s">
        <v>39</v>
      </c>
      <c r="H287" s="42" t="e">
        <f>I287/I$250</f>
        <v>#DIV/0!</v>
      </c>
      <c r="I287" s="46">
        <f>I266+I285</f>
        <v>0</v>
      </c>
      <c r="J287" s="252" t="s">
        <v>39</v>
      </c>
      <c r="K287" s="42">
        <f>L287/L$250</f>
        <v>4.3209770581050737</v>
      </c>
      <c r="L287" s="251">
        <f>L266+L285</f>
        <v>40224.710000000006</v>
      </c>
      <c r="M287" s="254"/>
      <c r="N287" s="251">
        <f>N266+N285</f>
        <v>4968.599494073982</v>
      </c>
      <c r="O287" s="252" t="s">
        <v>39</v>
      </c>
      <c r="P287" s="42">
        <f>Q287/Q$250</f>
        <v>1.3880972638821913</v>
      </c>
      <c r="Q287" s="251">
        <f>Q266+Q285</f>
        <v>44963.08</v>
      </c>
      <c r="R287" s="254"/>
      <c r="S287" s="261">
        <f>L287-Q287</f>
        <v>-4738.3699999999953</v>
      </c>
      <c r="T287" s="73"/>
    </row>
    <row r="288" spans="1:20" ht="15.75" customHeight="1">
      <c r="B288" s="184"/>
      <c r="C288" s="1"/>
      <c r="D288" s="30"/>
      <c r="F288" s="26"/>
      <c r="G288" s="240"/>
      <c r="I288" s="222"/>
      <c r="J288" s="152"/>
      <c r="L288" s="222"/>
      <c r="M288" s="152"/>
      <c r="N288" s="222"/>
      <c r="O288" s="152"/>
      <c r="Q288" s="222"/>
      <c r="R288" s="152"/>
      <c r="S288" s="242"/>
    </row>
    <row r="289" spans="1:20" ht="15.75" customHeight="1" thickBot="1">
      <c r="B289" s="184"/>
      <c r="C289" s="271" t="s">
        <v>72</v>
      </c>
      <c r="D289" s="292"/>
      <c r="E289" s="272"/>
      <c r="F289" s="359">
        <f>F250-F287</f>
        <v>6134.2504209534236</v>
      </c>
      <c r="G289" s="293"/>
      <c r="H289" s="272"/>
      <c r="I289" s="274">
        <f>I250-I287</f>
        <v>0</v>
      </c>
      <c r="J289" s="294"/>
      <c r="K289" s="273"/>
      <c r="L289" s="274">
        <f>L250-L287</f>
        <v>-30915.540000000008</v>
      </c>
      <c r="M289" s="294"/>
      <c r="N289" s="274">
        <f>N250-N287</f>
        <v>-37049.790420953439</v>
      </c>
      <c r="O289" s="294"/>
      <c r="P289" s="273"/>
      <c r="Q289" s="274">
        <f>Q250-Q287</f>
        <v>-12571.200000000201</v>
      </c>
      <c r="R289" s="294"/>
      <c r="S289" s="276">
        <f>L289-Q289</f>
        <v>-18344.339999999807</v>
      </c>
      <c r="T289" s="73"/>
    </row>
    <row r="290" spans="1:20" ht="15.75" customHeight="1" thickTop="1">
      <c r="B290" s="184"/>
      <c r="F290" s="26" t="e">
        <f>+F289-#REF!-#REF!-#REF!</f>
        <v>#REF!</v>
      </c>
      <c r="L290" s="26" t="e">
        <f>+L289-#REF!-#REF!-#REF!</f>
        <v>#REF!</v>
      </c>
      <c r="N290" s="26" t="e">
        <f>+N289-#REF!-#REF!-#REF!</f>
        <v>#REF!</v>
      </c>
      <c r="Q290" s="26" t="e">
        <f>+Q289-#REF!-#REF!-#REF!</f>
        <v>#REF!</v>
      </c>
      <c r="S290" s="26" t="e">
        <f>+S289-#REF!-#REF!-#REF!</f>
        <v>#REF!</v>
      </c>
    </row>
    <row r="291" spans="1:20" ht="36" customHeight="1">
      <c r="B291" s="184"/>
      <c r="C291" s="73" t="str">
        <f>C1</f>
        <v>Conso</v>
      </c>
      <c r="D291" s="6"/>
      <c r="E291" s="6"/>
      <c r="F291" s="6"/>
      <c r="G291" s="6"/>
      <c r="H291" s="177"/>
      <c r="I291" s="177"/>
      <c r="J291" s="177"/>
      <c r="K291" s="178" t="s">
        <v>103</v>
      </c>
      <c r="L291" s="6"/>
      <c r="M291" s="6"/>
      <c r="N291" s="177"/>
      <c r="O291" s="177"/>
      <c r="P291" s="6"/>
      <c r="Q291" s="177"/>
      <c r="R291" s="6"/>
      <c r="S291" s="180" t="str">
        <f>$S$1</f>
        <v xml:space="preserve">Réalisé  </v>
      </c>
    </row>
    <row r="292" spans="1:20" ht="15.75" customHeight="1" thickBot="1">
      <c r="B292" s="184"/>
      <c r="C292" s="182"/>
    </row>
    <row r="293" spans="1:20" ht="15.75" customHeight="1" thickTop="1">
      <c r="B293" s="184"/>
      <c r="C293" s="185"/>
      <c r="D293" s="485" t="s">
        <v>5</v>
      </c>
      <c r="E293" s="486"/>
      <c r="F293" s="487"/>
      <c r="G293" s="488" t="s">
        <v>74</v>
      </c>
      <c r="H293" s="486"/>
      <c r="I293" s="487"/>
      <c r="J293" s="488" t="s">
        <v>7</v>
      </c>
      <c r="K293" s="486"/>
      <c r="L293" s="487"/>
      <c r="M293" s="488" t="s">
        <v>9</v>
      </c>
      <c r="N293" s="487"/>
      <c r="O293" s="485" t="s">
        <v>8</v>
      </c>
      <c r="P293" s="486"/>
      <c r="Q293" s="487"/>
      <c r="R293" s="488" t="s">
        <v>217</v>
      </c>
      <c r="S293" s="489"/>
    </row>
    <row r="294" spans="1:20" ht="15.75" customHeight="1">
      <c r="A294" s="23" t="str">
        <f t="shared" ref="A294:A347" si="133">+B294&amp;C294</f>
        <v>Pièces</v>
      </c>
      <c r="B294" s="184" t="s">
        <v>103</v>
      </c>
      <c r="C294" s="1"/>
      <c r="D294" s="175" t="s">
        <v>84</v>
      </c>
      <c r="E294" s="175" t="s">
        <v>104</v>
      </c>
      <c r="F294" s="278" t="s">
        <v>12</v>
      </c>
      <c r="G294" s="279" t="s">
        <v>84</v>
      </c>
      <c r="H294" s="175" t="s">
        <v>104</v>
      </c>
      <c r="I294" s="278" t="s">
        <v>12</v>
      </c>
      <c r="J294" s="279" t="s">
        <v>84</v>
      </c>
      <c r="K294" s="175" t="s">
        <v>104</v>
      </c>
      <c r="L294" s="278" t="s">
        <v>12</v>
      </c>
      <c r="M294" s="279" t="s">
        <v>40</v>
      </c>
      <c r="N294" s="278" t="s">
        <v>12</v>
      </c>
      <c r="O294" s="175" t="s">
        <v>84</v>
      </c>
      <c r="P294" s="175" t="s">
        <v>104</v>
      </c>
      <c r="Q294" s="278" t="s">
        <v>12</v>
      </c>
      <c r="R294" s="279" t="s">
        <v>85</v>
      </c>
      <c r="S294" s="280" t="s">
        <v>12</v>
      </c>
    </row>
    <row r="295" spans="1:20" ht="15.75" customHeight="1">
      <c r="A295" s="23" t="str">
        <f t="shared" si="133"/>
        <v>PiècesPièces Ro Clients</v>
      </c>
      <c r="B295" s="184" t="s">
        <v>103</v>
      </c>
      <c r="C295" s="1" t="s">
        <v>105</v>
      </c>
      <c r="D295" s="26">
        <f>+SUM(START:END!D295)</f>
        <v>469406.76377827692</v>
      </c>
      <c r="E295" s="27">
        <f>IF(D295=0,0,F295/D295)</f>
        <v>0.34200000000000003</v>
      </c>
      <c r="F295" s="242">
        <f>+SUM(START:END!F295)</f>
        <v>160537.11321217072</v>
      </c>
      <c r="G295" s="26">
        <f>+SUM(START:END!G295)</f>
        <v>0</v>
      </c>
      <c r="H295" s="27">
        <f>IF(G295=0,0,I295/G295)</f>
        <v>0</v>
      </c>
      <c r="I295" s="242">
        <f>+SUM(START:END!I295)</f>
        <v>0</v>
      </c>
      <c r="J295" s="198">
        <f>+SUM(START:END!J295)</f>
        <v>345530.09</v>
      </c>
      <c r="K295" s="27">
        <f>IF(J295=0,0,L295/J295)</f>
        <v>0.30506309884618155</v>
      </c>
      <c r="L295" s="201">
        <f>+SUM(START:END!L295)</f>
        <v>105408.48000000001</v>
      </c>
      <c r="M295" s="297">
        <f>(+J295-D295)/D295</f>
        <v>-0.26390048746035905</v>
      </c>
      <c r="N295" s="222">
        <f t="shared" ref="N295:N303" si="134">L295-F295</f>
        <v>-55128.633212170709</v>
      </c>
      <c r="O295" s="198">
        <f>+SUM(START:END!O295)</f>
        <v>344468.51</v>
      </c>
      <c r="P295" s="27">
        <f>IF(O295=0,0,Q295/O295)</f>
        <v>0.35336005024087686</v>
      </c>
      <c r="Q295" s="201">
        <f>+SUM(START:END!Q295)</f>
        <v>121721.41</v>
      </c>
      <c r="R295" s="297">
        <f>IF(O295=0,0,(J295-O295)/O295)</f>
        <v>3.0817911338253132E-3</v>
      </c>
      <c r="S295" s="242">
        <f t="shared" ref="S295:S304" si="135">L295-Q295</f>
        <v>-16312.929999999993</v>
      </c>
    </row>
    <row r="296" spans="1:20" ht="15.75" customHeight="1">
      <c r="A296" s="23" t="str">
        <f t="shared" si="133"/>
        <v>PiècesPièces Ro Carrosserie</v>
      </c>
      <c r="B296" s="184" t="s">
        <v>103</v>
      </c>
      <c r="C296" s="1" t="s">
        <v>106</v>
      </c>
      <c r="D296" s="26">
        <f>+SUM(START:END!D296)</f>
        <v>176222.41750641435</v>
      </c>
      <c r="E296" s="27">
        <f t="shared" ref="E296:E303" si="136">IF(D296=0,0,F296/D296)</f>
        <v>0.24799999999999994</v>
      </c>
      <c r="F296" s="242">
        <f>+SUM(START:END!F296)</f>
        <v>43703.15954159075</v>
      </c>
      <c r="G296" s="26">
        <f>+SUM(START:END!G296)</f>
        <v>0</v>
      </c>
      <c r="H296" s="27">
        <f t="shared" ref="H296:H303" si="137">IF(G296=0,0,I296/G296)</f>
        <v>0</v>
      </c>
      <c r="I296" s="242">
        <f>+SUM(START:END!I296)</f>
        <v>0</v>
      </c>
      <c r="J296" s="198">
        <f>+SUM(START:END!J296)</f>
        <v>17886.97</v>
      </c>
      <c r="K296" s="27">
        <f t="shared" ref="K296:K303" si="138">IF(J296=0,0,L296/J296)</f>
        <v>0.25687246079129106</v>
      </c>
      <c r="L296" s="201">
        <f>+SUM(START:END!L296)</f>
        <v>4594.67</v>
      </c>
      <c r="M296" s="297">
        <f t="shared" ref="M296:M303" si="139">(+J296-D296)/D296</f>
        <v>-0.89849776065324416</v>
      </c>
      <c r="N296" s="222">
        <f t="shared" si="134"/>
        <v>-39108.489541590752</v>
      </c>
      <c r="O296" s="198">
        <f>+SUM(START:END!O296)</f>
        <v>100365.34999999999</v>
      </c>
      <c r="P296" s="27">
        <f t="shared" ref="P296:P303" si="140">IF(O296=0,0,Q296/O296)</f>
        <v>0.25703312946151236</v>
      </c>
      <c r="Q296" s="201">
        <f>+SUM(START:END!Q296)</f>
        <v>25797.219999999998</v>
      </c>
      <c r="R296" s="297">
        <f t="shared" ref="R296:R303" si="141">IF(O296=0,0,(J296-O296)/O296)</f>
        <v>-0.8217814215762711</v>
      </c>
      <c r="S296" s="242">
        <f t="shared" ref="S296:S303" si="142">L296-Q296</f>
        <v>-21202.549999999996</v>
      </c>
    </row>
    <row r="297" spans="1:20" ht="15.75" customHeight="1">
      <c r="A297" s="23" t="str">
        <f t="shared" si="133"/>
        <v>PiècesP/A Garantie</v>
      </c>
      <c r="B297" s="184" t="s">
        <v>103</v>
      </c>
      <c r="C297" s="1" t="s">
        <v>107</v>
      </c>
      <c r="D297" s="26">
        <f>+SUM(START:END!D297)</f>
        <v>174342.94768484897</v>
      </c>
      <c r="E297" s="27">
        <f t="shared" si="136"/>
        <v>0.24300000000000005</v>
      </c>
      <c r="F297" s="242">
        <f>+SUM(START:END!F297)</f>
        <v>42365.336287418308</v>
      </c>
      <c r="G297" s="26">
        <f>+SUM(START:END!G297)</f>
        <v>0</v>
      </c>
      <c r="H297" s="27">
        <f t="shared" si="137"/>
        <v>0</v>
      </c>
      <c r="I297" s="242">
        <f>+SUM(START:END!I297)</f>
        <v>0</v>
      </c>
      <c r="J297" s="198">
        <f>+SUM(START:END!J297)</f>
        <v>139333.47</v>
      </c>
      <c r="K297" s="27">
        <f t="shared" si="138"/>
        <v>0.23159474891424151</v>
      </c>
      <c r="L297" s="201">
        <f>+SUM(START:END!L297)</f>
        <v>32268.9</v>
      </c>
      <c r="M297" s="297">
        <f t="shared" si="139"/>
        <v>-0.20080810924531259</v>
      </c>
      <c r="N297" s="222">
        <f t="shared" si="134"/>
        <v>-10096.436287418306</v>
      </c>
      <c r="O297" s="198">
        <f>+SUM(START:END!O297)</f>
        <v>134913.97999999998</v>
      </c>
      <c r="P297" s="27">
        <f t="shared" si="140"/>
        <v>0.2236069234633801</v>
      </c>
      <c r="Q297" s="201">
        <f>+SUM(START:END!Q297)</f>
        <v>30167.69999999999</v>
      </c>
      <c r="R297" s="297">
        <f>IF(O297=0,0,(J297-O297)/O297)</f>
        <v>3.2757835770614877E-2</v>
      </c>
      <c r="S297" s="242">
        <f t="shared" si="142"/>
        <v>2101.2000000000116</v>
      </c>
    </row>
    <row r="298" spans="1:20" ht="15.75" customHeight="1">
      <c r="A298" s="23" t="str">
        <f t="shared" si="133"/>
        <v>PiècesVentes Internes</v>
      </c>
      <c r="B298" s="184" t="s">
        <v>103</v>
      </c>
      <c r="C298" s="1" t="s">
        <v>108</v>
      </c>
      <c r="D298" s="26">
        <f>+SUM(START:END!D298)</f>
        <v>164245.78023318548</v>
      </c>
      <c r="E298" s="27">
        <f t="shared" si="136"/>
        <v>0.31599999999999995</v>
      </c>
      <c r="F298" s="242">
        <f>+SUM(START:END!F298)</f>
        <v>51901.666553686606</v>
      </c>
      <c r="G298" s="26">
        <f>+SUM(START:END!G298)</f>
        <v>0</v>
      </c>
      <c r="H298" s="27">
        <f t="shared" si="137"/>
        <v>0</v>
      </c>
      <c r="I298" s="242">
        <f>+SUM(START:END!I298)</f>
        <v>0</v>
      </c>
      <c r="J298" s="198">
        <f>+SUM(START:END!J298)</f>
        <v>192968.76</v>
      </c>
      <c r="K298" s="27">
        <f t="shared" si="138"/>
        <v>0.27729042773555679</v>
      </c>
      <c r="L298" s="201">
        <f>+SUM(START:END!L298)</f>
        <v>53508.39</v>
      </c>
      <c r="M298" s="297">
        <f t="shared" si="139"/>
        <v>0.17487803781646941</v>
      </c>
      <c r="N298" s="222">
        <f t="shared" si="134"/>
        <v>1606.7234463133937</v>
      </c>
      <c r="O298" s="198">
        <f>+SUM(START:END!O298)</f>
        <v>165622.86000000002</v>
      </c>
      <c r="P298" s="27">
        <f t="shared" si="140"/>
        <v>0.29150088339254615</v>
      </c>
      <c r="Q298" s="201">
        <f>+SUM(START:END!Q298)</f>
        <v>48279.21</v>
      </c>
      <c r="R298" s="297">
        <f t="shared" si="141"/>
        <v>0.16510945409347472</v>
      </c>
      <c r="S298" s="242">
        <f t="shared" si="142"/>
        <v>5229.18</v>
      </c>
    </row>
    <row r="299" spans="1:20" ht="15.75" customHeight="1">
      <c r="A299" s="23" t="str">
        <f t="shared" si="133"/>
        <v>PiècesVentes Détails</v>
      </c>
      <c r="B299" s="184" t="s">
        <v>103</v>
      </c>
      <c r="C299" s="1" t="s">
        <v>109</v>
      </c>
      <c r="D299" s="26">
        <f>+SUM(START:END!D299)</f>
        <v>69021.72</v>
      </c>
      <c r="E299" s="27">
        <f t="shared" si="136"/>
        <v>0.26500000000000001</v>
      </c>
      <c r="F299" s="242">
        <f>+SUM(START:END!F299)</f>
        <v>18290.755800000003</v>
      </c>
      <c r="G299" s="26">
        <f>+SUM(START:END!G299)</f>
        <v>0</v>
      </c>
      <c r="H299" s="27">
        <f t="shared" si="137"/>
        <v>0</v>
      </c>
      <c r="I299" s="242">
        <f>+SUM(START:END!I299)</f>
        <v>0</v>
      </c>
      <c r="J299" s="198">
        <f>+SUM(START:END!J299)</f>
        <v>69015.990000000005</v>
      </c>
      <c r="K299" s="27">
        <f t="shared" si="138"/>
        <v>0.24351965392367761</v>
      </c>
      <c r="L299" s="201">
        <f>+SUM(START:END!L299)</f>
        <v>16806.749999999996</v>
      </c>
      <c r="M299" s="297">
        <f t="shared" si="139"/>
        <v>-8.3017345844118705E-5</v>
      </c>
      <c r="N299" s="222">
        <f t="shared" si="134"/>
        <v>-1484.0058000000063</v>
      </c>
      <c r="O299" s="198">
        <f>+SUM(START:END!O299)</f>
        <v>53825.520000000004</v>
      </c>
      <c r="P299" s="27">
        <f t="shared" si="140"/>
        <v>0.24393819140065884</v>
      </c>
      <c r="Q299" s="201">
        <f>+SUM(START:END!Q299)</f>
        <v>13130.099999999991</v>
      </c>
      <c r="R299" s="297">
        <f t="shared" si="141"/>
        <v>0.28221687407757512</v>
      </c>
      <c r="S299" s="242">
        <f t="shared" si="142"/>
        <v>3676.6500000000051</v>
      </c>
    </row>
    <row r="300" spans="1:20" ht="15.75" customHeight="1">
      <c r="A300" s="23" t="str">
        <f t="shared" si="133"/>
        <v>PiècesVentes de Gros</v>
      </c>
      <c r="B300" s="184" t="s">
        <v>103</v>
      </c>
      <c r="C300" s="1" t="s">
        <v>110</v>
      </c>
      <c r="D300" s="26">
        <f>+SUM(START:END!D300)</f>
        <v>435943.77580200927</v>
      </c>
      <c r="E300" s="27">
        <f t="shared" si="136"/>
        <v>0.14499999999999999</v>
      </c>
      <c r="F300" s="242">
        <f>+SUM(START:END!F300)</f>
        <v>63211.847491291337</v>
      </c>
      <c r="G300" s="26">
        <f>+SUM(START:END!G300)</f>
        <v>0</v>
      </c>
      <c r="H300" s="27">
        <f t="shared" si="137"/>
        <v>0</v>
      </c>
      <c r="I300" s="242">
        <f>+SUM(START:END!I300)</f>
        <v>0</v>
      </c>
      <c r="J300" s="198">
        <f>+SUM(START:END!J300)</f>
        <v>530401.27</v>
      </c>
      <c r="K300" s="27">
        <f t="shared" si="138"/>
        <v>0.12617383061695908</v>
      </c>
      <c r="L300" s="201">
        <f>+SUM(START:END!L300)</f>
        <v>66922.75999999998</v>
      </c>
      <c r="M300" s="297">
        <f t="shared" si="139"/>
        <v>0.21667356994423542</v>
      </c>
      <c r="N300" s="222">
        <f t="shared" si="134"/>
        <v>3710.9125087086431</v>
      </c>
      <c r="O300" s="198">
        <f>+SUM(START:END!O300)</f>
        <v>370570.96</v>
      </c>
      <c r="P300" s="27">
        <f t="shared" si="140"/>
        <v>0.15975096915311388</v>
      </c>
      <c r="Q300" s="201">
        <f>+SUM(START:END!Q300)</f>
        <v>59199.069999999796</v>
      </c>
      <c r="R300" s="297">
        <f t="shared" si="141"/>
        <v>0.43130824390556666</v>
      </c>
      <c r="S300" s="242">
        <f t="shared" si="142"/>
        <v>7723.6900000001842</v>
      </c>
    </row>
    <row r="301" spans="1:20" ht="15.75" hidden="1" customHeight="1">
      <c r="A301" s="23" t="str">
        <f t="shared" si="133"/>
        <v>Pièces[...]</v>
      </c>
      <c r="B301" s="184" t="s">
        <v>103</v>
      </c>
      <c r="C301" s="1" t="s">
        <v>20</v>
      </c>
      <c r="D301" s="26">
        <f>+SUM(START:END!D301)</f>
        <v>0</v>
      </c>
      <c r="E301" s="27">
        <f t="shared" si="136"/>
        <v>0</v>
      </c>
      <c r="F301" s="242">
        <f>+SUM(START:END!F301)</f>
        <v>0</v>
      </c>
      <c r="G301" s="26">
        <f>+SUM(START:END!G301)</f>
        <v>0</v>
      </c>
      <c r="H301" s="27">
        <f t="shared" si="137"/>
        <v>0</v>
      </c>
      <c r="I301" s="242">
        <f>+SUM(START:END!I301)</f>
        <v>0</v>
      </c>
      <c r="J301" s="198">
        <f>+SUM(START:END!J301)</f>
        <v>0</v>
      </c>
      <c r="K301" s="27">
        <f t="shared" si="138"/>
        <v>0</v>
      </c>
      <c r="L301" s="201">
        <f>+SUM(START:END!L301)</f>
        <v>0</v>
      </c>
      <c r="M301" s="297" t="e">
        <f t="shared" si="139"/>
        <v>#DIV/0!</v>
      </c>
      <c r="N301" s="222">
        <f t="shared" si="134"/>
        <v>0</v>
      </c>
      <c r="O301" s="198">
        <f>+SUM(START:END!O301)</f>
        <v>0</v>
      </c>
      <c r="P301" s="27">
        <f t="shared" si="140"/>
        <v>0</v>
      </c>
      <c r="Q301" s="201">
        <f>+SUM(START:END!Q301)</f>
        <v>0</v>
      </c>
      <c r="R301" s="297">
        <f t="shared" si="141"/>
        <v>0</v>
      </c>
      <c r="S301" s="242">
        <f t="shared" si="142"/>
        <v>0</v>
      </c>
    </row>
    <row r="302" spans="1:20" ht="15.75" customHeight="1">
      <c r="A302" s="23" t="str">
        <f t="shared" si="133"/>
        <v>PiècesEscomptes</v>
      </c>
      <c r="B302" s="184" t="s">
        <v>103</v>
      </c>
      <c r="C302" s="1" t="s">
        <v>111</v>
      </c>
      <c r="D302" s="26">
        <f>+SUM(START:END!D302)</f>
        <v>0</v>
      </c>
      <c r="E302" s="27">
        <f t="shared" si="136"/>
        <v>0</v>
      </c>
      <c r="F302" s="242">
        <f>+SUM(START:END!F302)</f>
        <v>27248.39427580711</v>
      </c>
      <c r="G302" s="26">
        <f>+SUM(START:END!G302)</f>
        <v>0</v>
      </c>
      <c r="H302" s="27">
        <f t="shared" si="137"/>
        <v>0</v>
      </c>
      <c r="I302" s="242">
        <f>+SUM(START:END!I302)</f>
        <v>0</v>
      </c>
      <c r="J302" s="198">
        <f>+SUM(START:END!J302)</f>
        <v>0</v>
      </c>
      <c r="K302" s="27">
        <f t="shared" si="138"/>
        <v>0</v>
      </c>
      <c r="L302" s="201">
        <f>+SUM(START:END!L302)</f>
        <v>35792.659999999996</v>
      </c>
      <c r="M302" s="297" t="e">
        <f t="shared" si="139"/>
        <v>#DIV/0!</v>
      </c>
      <c r="N302" s="222">
        <f t="shared" si="134"/>
        <v>8544.2657241928864</v>
      </c>
      <c r="O302" s="198">
        <f>+SUM(START:END!O302)</f>
        <v>0</v>
      </c>
      <c r="P302" s="27">
        <f t="shared" si="140"/>
        <v>0</v>
      </c>
      <c r="Q302" s="201">
        <f>+SUM(START:END!Q302)</f>
        <v>34301.229999999901</v>
      </c>
      <c r="R302" s="297">
        <f t="shared" si="141"/>
        <v>0</v>
      </c>
      <c r="S302" s="242">
        <f t="shared" si="142"/>
        <v>1491.4300000000949</v>
      </c>
    </row>
    <row r="303" spans="1:20" ht="15.75" customHeight="1">
      <c r="A303" s="23" t="str">
        <f t="shared" si="133"/>
        <v>PiècesRectif. Inventaire</v>
      </c>
      <c r="B303" s="184" t="s">
        <v>103</v>
      </c>
      <c r="C303" s="2" t="s">
        <v>112</v>
      </c>
      <c r="D303" s="26">
        <f>+SUM(START:END!D303)</f>
        <v>0</v>
      </c>
      <c r="E303" s="27">
        <f t="shared" si="136"/>
        <v>0</v>
      </c>
      <c r="F303" s="242">
        <f>+SUM(START:END!F303)</f>
        <v>0</v>
      </c>
      <c r="G303" s="26">
        <f>+SUM(START:END!G303)</f>
        <v>0</v>
      </c>
      <c r="H303" s="27">
        <f t="shared" si="137"/>
        <v>0</v>
      </c>
      <c r="I303" s="242">
        <f>+SUM(START:END!I303)</f>
        <v>0</v>
      </c>
      <c r="J303" s="198">
        <f>+SUM(START:END!J303)</f>
        <v>0</v>
      </c>
      <c r="K303" s="27">
        <f t="shared" si="138"/>
        <v>0</v>
      </c>
      <c r="L303" s="201">
        <f>+SUM(START:END!L303)</f>
        <v>0</v>
      </c>
      <c r="M303" s="297" t="e">
        <f t="shared" si="139"/>
        <v>#DIV/0!</v>
      </c>
      <c r="N303" s="222">
        <f t="shared" si="134"/>
        <v>0</v>
      </c>
      <c r="O303" s="198">
        <f>+SUM(START:END!O303)</f>
        <v>0</v>
      </c>
      <c r="P303" s="27">
        <f t="shared" si="140"/>
        <v>0</v>
      </c>
      <c r="Q303" s="201">
        <f>+SUM(START:END!Q303)</f>
        <v>0</v>
      </c>
      <c r="R303" s="297">
        <f t="shared" si="141"/>
        <v>0</v>
      </c>
      <c r="S303" s="242">
        <f t="shared" si="142"/>
        <v>0</v>
      </c>
    </row>
    <row r="304" spans="1:20" ht="15.75" customHeight="1">
      <c r="A304" s="23" t="str">
        <f t="shared" si="133"/>
        <v>PiècesSous-total Pièces</v>
      </c>
      <c r="B304" s="184" t="s">
        <v>103</v>
      </c>
      <c r="C304" s="22" t="s">
        <v>113</v>
      </c>
      <c r="D304" s="83">
        <f>SUM(D295:D303)</f>
        <v>1489183.4050047349</v>
      </c>
      <c r="E304" s="78">
        <f>IF(D304&lt;=0,0,F304/D304)</f>
        <v>0.2734775795870959</v>
      </c>
      <c r="F304" s="331">
        <f>SUM(F295:F303)</f>
        <v>407258.27316196484</v>
      </c>
      <c r="G304" s="83">
        <f>SUM(G295:G303)</f>
        <v>0</v>
      </c>
      <c r="H304" s="78">
        <f>IF(G304&lt;=0,0,I304/G304)</f>
        <v>0</v>
      </c>
      <c r="I304" s="331">
        <f>SUM(I295:I303)</f>
        <v>0</v>
      </c>
      <c r="J304" s="83">
        <f>SUM(J295:J303)</f>
        <v>1295136.55</v>
      </c>
      <c r="K304" s="78">
        <f>IF(J304&lt;=0,0,L304/J304)</f>
        <v>0.24345124844171831</v>
      </c>
      <c r="L304" s="330">
        <f>SUM(L295:L303)</f>
        <v>315302.60999999993</v>
      </c>
      <c r="M304" s="366">
        <f>(+J304-D304)/D304</f>
        <v>-0.1303042018549205</v>
      </c>
      <c r="N304" s="330">
        <f>SUM(N295:N303)</f>
        <v>-91955.663161964854</v>
      </c>
      <c r="O304" s="83">
        <f>SUM(O295:O303)</f>
        <v>1169767.18</v>
      </c>
      <c r="P304" s="78">
        <f>IF(O304&lt;=0,0,Q304/O304)</f>
        <v>0.28432661275382992</v>
      </c>
      <c r="Q304" s="330">
        <f>SUM(Q295:Q303)</f>
        <v>332595.93999999965</v>
      </c>
      <c r="R304" s="366">
        <f>IF(O304=0,0,(J304-O304)/O304)</f>
        <v>0.10717463452855645</v>
      </c>
      <c r="S304" s="331">
        <f t="shared" si="135"/>
        <v>-17293.329999999725</v>
      </c>
    </row>
    <row r="305" spans="1:19" ht="15.75" customHeight="1">
      <c r="A305" s="23" t="str">
        <f t="shared" si="133"/>
        <v>Pièces</v>
      </c>
      <c r="B305" s="184" t="s">
        <v>103</v>
      </c>
      <c r="C305" s="1"/>
      <c r="F305" s="208"/>
      <c r="G305" s="152"/>
      <c r="I305" s="208"/>
      <c r="J305" s="152"/>
      <c r="L305" s="208"/>
      <c r="M305" s="152"/>
      <c r="N305" s="171">
        <f>N304/F304</f>
        <v>-0.22579200773017688</v>
      </c>
      <c r="O305" s="152"/>
      <c r="Q305" s="208"/>
      <c r="R305" s="152"/>
      <c r="S305" s="209">
        <f>IF(Q304=0,0,S304/Q304)</f>
        <v>-5.1995012326367371E-2</v>
      </c>
    </row>
    <row r="306" spans="1:19" ht="15.75" customHeight="1">
      <c r="A306" s="23" t="str">
        <f t="shared" si="133"/>
        <v>Pièces</v>
      </c>
      <c r="B306" s="184" t="s">
        <v>103</v>
      </c>
      <c r="C306" s="2"/>
      <c r="D306" s="7"/>
      <c r="E306" s="7"/>
      <c r="F306" s="367"/>
      <c r="G306" s="153"/>
      <c r="H306" s="368"/>
      <c r="I306" s="367"/>
      <c r="J306" s="153"/>
      <c r="K306" s="7"/>
      <c r="L306" s="367"/>
      <c r="M306" s="153"/>
      <c r="N306" s="303"/>
      <c r="O306" s="153"/>
      <c r="P306" s="7"/>
      <c r="Q306" s="367"/>
      <c r="R306" s="153"/>
      <c r="S306" s="304"/>
    </row>
    <row r="307" spans="1:19" ht="15.75" customHeight="1">
      <c r="A307" s="23" t="str">
        <f t="shared" si="133"/>
        <v>PiècesVentes Pneus</v>
      </c>
      <c r="B307" s="184" t="s">
        <v>103</v>
      </c>
      <c r="C307" s="1" t="s">
        <v>114</v>
      </c>
      <c r="D307" s="26">
        <f>+SUM(START:END!D307)</f>
        <v>152584.83000000002</v>
      </c>
      <c r="E307" s="27">
        <f t="shared" ref="E307:E308" si="143">IF(D307=0,0,F307/D307)</f>
        <v>0.17999999999999997</v>
      </c>
      <c r="F307" s="259">
        <f>+SUM(START:END!F307)</f>
        <v>27465.269399999997</v>
      </c>
      <c r="G307" s="26">
        <f>+SUM(START:END!G307)</f>
        <v>0</v>
      </c>
      <c r="H307" s="27">
        <f t="shared" ref="H307:H308" si="144">IF(G307=0,0,I307/G307)</f>
        <v>0</v>
      </c>
      <c r="I307" s="259">
        <f>+SUM(START:END!I307)</f>
        <v>0</v>
      </c>
      <c r="J307" s="198">
        <f>+SUM(START:END!J307)</f>
        <v>252856.89</v>
      </c>
      <c r="K307" s="27">
        <f t="shared" ref="K307:K308" si="145">IF(J307=0,0,L307/J307)</f>
        <v>0.17447869425270565</v>
      </c>
      <c r="L307" s="201">
        <f>+SUM(START:END!L307)</f>
        <v>44118.140000000029</v>
      </c>
      <c r="M307" s="297">
        <f t="shared" ref="M307:M308" si="146">(+J307-D307)/D307</f>
        <v>0.65715615372773284</v>
      </c>
      <c r="N307" s="222">
        <f t="shared" ref="N307:N308" si="147">L307-F307</f>
        <v>16652.870600000031</v>
      </c>
      <c r="O307" s="198">
        <f>+SUM(START:END!O307)</f>
        <v>287073.36</v>
      </c>
      <c r="P307" s="27">
        <f t="shared" ref="P307:P308" si="148">IF(O307=0,0,Q307/O307)</f>
        <v>0.17660639078457158</v>
      </c>
      <c r="Q307" s="201">
        <f>+SUM(START:END!Q307)</f>
        <v>50698.99</v>
      </c>
      <c r="R307" s="297">
        <f t="shared" ref="R307:R308" si="149">IF(O307=0,0,(J307-O307)/O307)</f>
        <v>-0.11919068352423914</v>
      </c>
      <c r="S307" s="242">
        <f t="shared" ref="S307:S308" si="150">L307-Q307</f>
        <v>-6580.8499999999694</v>
      </c>
    </row>
    <row r="308" spans="1:19" ht="15.75" customHeight="1">
      <c r="A308" s="23" t="str">
        <f t="shared" si="133"/>
        <v>PiècesHuiles et Graisse</v>
      </c>
      <c r="B308" s="184" t="s">
        <v>103</v>
      </c>
      <c r="C308" s="2" t="s">
        <v>115</v>
      </c>
      <c r="D308" s="26">
        <f>+SUM(START:END!D308)</f>
        <v>90843.975749674777</v>
      </c>
      <c r="E308" s="27">
        <f t="shared" si="143"/>
        <v>0.26000000000000006</v>
      </c>
      <c r="F308" s="248">
        <f>+SUM(START:END!F308)</f>
        <v>23619.433694915446</v>
      </c>
      <c r="G308" s="26">
        <f>+SUM(START:END!G308)</f>
        <v>0</v>
      </c>
      <c r="H308" s="27">
        <f t="shared" si="144"/>
        <v>0</v>
      </c>
      <c r="I308" s="248">
        <f>+SUM(START:END!I308)</f>
        <v>0</v>
      </c>
      <c r="J308" s="198">
        <f>+SUM(START:END!J308)</f>
        <v>91102.78</v>
      </c>
      <c r="K308" s="27">
        <f t="shared" si="145"/>
        <v>0.26146304207182264</v>
      </c>
      <c r="L308" s="201">
        <f>+SUM(START:END!L308)</f>
        <v>23820.010000000002</v>
      </c>
      <c r="M308" s="297">
        <f t="shared" si="146"/>
        <v>2.8488873168471861E-3</v>
      </c>
      <c r="N308" s="222">
        <f t="shared" si="147"/>
        <v>200.57630508455622</v>
      </c>
      <c r="O308" s="198">
        <f>+SUM(START:END!O308)</f>
        <v>81084.25</v>
      </c>
      <c r="P308" s="27">
        <f t="shared" si="148"/>
        <v>0.22915473720235421</v>
      </c>
      <c r="Q308" s="201">
        <f>+SUM(START:END!Q308)</f>
        <v>18580.839999999989</v>
      </c>
      <c r="R308" s="297">
        <f t="shared" si="149"/>
        <v>0.12355704097898172</v>
      </c>
      <c r="S308" s="242">
        <f t="shared" si="150"/>
        <v>5239.1700000000128</v>
      </c>
    </row>
    <row r="309" spans="1:19" ht="15.75" customHeight="1">
      <c r="A309" s="23" t="str">
        <f t="shared" si="133"/>
        <v>PiècesSous-total Pièces et Acc.</v>
      </c>
      <c r="B309" s="184" t="s">
        <v>103</v>
      </c>
      <c r="C309" s="22" t="s">
        <v>116</v>
      </c>
      <c r="D309" s="83">
        <f>D304+D307+D308</f>
        <v>1732612.2107544097</v>
      </c>
      <c r="E309" s="78">
        <f>IF(D309&lt;=0,0,F309/D309)</f>
        <v>0.26453869677930397</v>
      </c>
      <c r="F309" s="330">
        <f t="shared" ref="F309" si="151">F304+F307+F308</f>
        <v>458342.97625688027</v>
      </c>
      <c r="G309" s="329">
        <f>G304+G307+G308</f>
        <v>0</v>
      </c>
      <c r="H309" s="78">
        <f>IF(G309&lt;=0,0,I309/G309)</f>
        <v>0</v>
      </c>
      <c r="I309" s="330">
        <f t="shared" ref="I309" si="152">I304+I307+I308</f>
        <v>0</v>
      </c>
      <c r="J309" s="329">
        <f>J304+J307+J308</f>
        <v>1639096.22</v>
      </c>
      <c r="K309" s="78">
        <f>IF(J309&lt;=0,0,L309/J309)</f>
        <v>0.23381224074813617</v>
      </c>
      <c r="L309" s="330">
        <f t="shared" ref="L309:N309" si="153">L304+L307+L308</f>
        <v>383240.75999999995</v>
      </c>
      <c r="M309" s="366">
        <f>(+J309-D309)/D309</f>
        <v>-5.3973988047614642E-2</v>
      </c>
      <c r="N309" s="330">
        <f t="shared" si="153"/>
        <v>-75102.216256880274</v>
      </c>
      <c r="O309" s="329">
        <f>O304+O307+O308</f>
        <v>1537924.79</v>
      </c>
      <c r="P309" s="78">
        <f>IF(O309&lt;=0,0,Q309/O309)</f>
        <v>0.26131041817721112</v>
      </c>
      <c r="Q309" s="330">
        <f t="shared" ref="Q309" si="154">Q304+Q307+Q308</f>
        <v>401875.76999999961</v>
      </c>
      <c r="R309" s="366">
        <f>IF(O309=0,0,(J309-O309)/O309)</f>
        <v>6.5784380782365787E-2</v>
      </c>
      <c r="S309" s="331">
        <f t="shared" ref="S309" si="155">L309-Q309</f>
        <v>-18635.00999999966</v>
      </c>
    </row>
    <row r="310" spans="1:19" ht="15.75" customHeight="1">
      <c r="A310" s="23" t="str">
        <f t="shared" si="133"/>
        <v>Pièces</v>
      </c>
      <c r="B310" s="184" t="s">
        <v>103</v>
      </c>
      <c r="C310" s="1"/>
      <c r="F310" s="208"/>
      <c r="G310" s="152"/>
      <c r="I310" s="208"/>
      <c r="J310" s="152"/>
      <c r="L310" s="208"/>
      <c r="M310" s="152"/>
      <c r="N310" s="171">
        <f>N309/F309</f>
        <v>-0.16385593354176092</v>
      </c>
      <c r="O310" s="152"/>
      <c r="Q310" s="208"/>
      <c r="R310" s="152"/>
      <c r="S310" s="209">
        <f>IF(Q309=0,0,S309/Q309)</f>
        <v>-4.6370076006323244E-2</v>
      </c>
    </row>
    <row r="311" spans="1:19" ht="15.75" customHeight="1">
      <c r="A311" s="23" t="str">
        <f t="shared" si="133"/>
        <v>PiècesPièces recond. MCPA</v>
      </c>
      <c r="B311" s="184" t="s">
        <v>103</v>
      </c>
      <c r="C311" s="1" t="s">
        <v>196</v>
      </c>
      <c r="D311" s="26">
        <f>+SUM(START:END!D311)</f>
        <v>0</v>
      </c>
      <c r="E311" s="27">
        <f t="shared" ref="E311:E312" si="156">IF(D311=0,0,F311/D311)</f>
        <v>0</v>
      </c>
      <c r="F311" s="222">
        <f>+SUM(START:END!F311)</f>
        <v>0</v>
      </c>
      <c r="G311" s="223">
        <f>+SUM(START:END!G311)</f>
        <v>0</v>
      </c>
      <c r="H311" s="27">
        <f t="shared" ref="H311:H312" si="157">IF(G311=0,0,I311/G311)</f>
        <v>0</v>
      </c>
      <c r="I311" s="222">
        <f>+SUM(START:END!I311)</f>
        <v>0</v>
      </c>
      <c r="J311" s="199">
        <f>+SUM(START:END!J311)</f>
        <v>0</v>
      </c>
      <c r="K311" s="27">
        <f t="shared" ref="K311:K312" si="158">IF(J311=0,0,L311/J311)</f>
        <v>0</v>
      </c>
      <c r="L311" s="201">
        <f>+SUM(START:END!L311)</f>
        <v>0</v>
      </c>
      <c r="M311" s="27" t="e">
        <f t="shared" ref="M311:M312" si="159">(+J311-D311)/D311</f>
        <v>#DIV/0!</v>
      </c>
      <c r="N311" s="222">
        <f t="shared" ref="N311:N312" si="160">L311-F311</f>
        <v>0</v>
      </c>
      <c r="O311" s="199">
        <f>+SUM(START:END!O311)</f>
        <v>0</v>
      </c>
      <c r="P311" s="27">
        <f t="shared" ref="P311:P312" si="161">IF(O311=0,0,Q311/O311)</f>
        <v>0</v>
      </c>
      <c r="Q311" s="201">
        <f>+SUM(START:END!Q311)</f>
        <v>0</v>
      </c>
      <c r="R311" s="27">
        <f t="shared" ref="R311:R312" si="162">IF(O311=0,0,(J311-O311)/O311)</f>
        <v>0</v>
      </c>
      <c r="S311" s="242">
        <f t="shared" ref="S311:S312" si="163">L311-Q311</f>
        <v>0</v>
      </c>
    </row>
    <row r="312" spans="1:19" ht="15.75" customHeight="1">
      <c r="A312" s="23" t="str">
        <f t="shared" si="133"/>
        <v>PiècesAutostock</v>
      </c>
      <c r="B312" s="184" t="s">
        <v>103</v>
      </c>
      <c r="C312" s="2" t="s">
        <v>117</v>
      </c>
      <c r="D312" s="245">
        <f>+SUM(START:END!D312)</f>
        <v>0</v>
      </c>
      <c r="E312" s="306">
        <f t="shared" si="156"/>
        <v>0</v>
      </c>
      <c r="F312" s="369">
        <f>+SUM(START:END!F312)</f>
        <v>0</v>
      </c>
      <c r="G312" s="308">
        <f>+SUM(START:END!G312)</f>
        <v>0</v>
      </c>
      <c r="H312" s="306">
        <f t="shared" si="157"/>
        <v>0</v>
      </c>
      <c r="I312" s="369">
        <f>+SUM(START:END!I312)</f>
        <v>0</v>
      </c>
      <c r="J312" s="211">
        <f>+SUM(START:END!J312)</f>
        <v>0</v>
      </c>
      <c r="K312" s="11">
        <f t="shared" si="158"/>
        <v>0</v>
      </c>
      <c r="L312" s="193">
        <f>+SUM(START:END!L312)</f>
        <v>0</v>
      </c>
      <c r="M312" s="11" t="e">
        <f t="shared" si="159"/>
        <v>#DIV/0!</v>
      </c>
      <c r="N312" s="247">
        <f t="shared" si="160"/>
        <v>0</v>
      </c>
      <c r="O312" s="211">
        <f>+SUM(START:END!O312)</f>
        <v>0</v>
      </c>
      <c r="P312" s="11">
        <f t="shared" si="161"/>
        <v>0</v>
      </c>
      <c r="Q312" s="193">
        <f>+SUM(START:END!Q312)</f>
        <v>0</v>
      </c>
      <c r="R312" s="11">
        <f t="shared" si="162"/>
        <v>0</v>
      </c>
      <c r="S312" s="248">
        <f t="shared" si="163"/>
        <v>0</v>
      </c>
    </row>
    <row r="313" spans="1:19" ht="15.75" customHeight="1" thickBot="1">
      <c r="A313" s="23" t="str">
        <f t="shared" si="133"/>
        <v>Pièces</v>
      </c>
      <c r="B313" s="184" t="s">
        <v>103</v>
      </c>
      <c r="C313" s="1"/>
      <c r="D313" s="26"/>
      <c r="E313" s="27"/>
      <c r="F313" s="222"/>
      <c r="G313" s="223"/>
      <c r="H313" s="27"/>
      <c r="I313" s="222"/>
      <c r="J313" s="223"/>
      <c r="K313" s="27"/>
      <c r="L313" s="222"/>
      <c r="M313" s="297"/>
      <c r="N313" s="222"/>
      <c r="O313" s="223"/>
      <c r="P313" s="27"/>
      <c r="Q313" s="222"/>
      <c r="R313" s="297"/>
      <c r="S313" s="242"/>
    </row>
    <row r="314" spans="1:19" ht="15.75" customHeight="1" thickTop="1">
      <c r="A314" s="23" t="str">
        <f t="shared" si="133"/>
        <v>PiècesTotal Dépt. Pièces</v>
      </c>
      <c r="B314" s="184" t="s">
        <v>103</v>
      </c>
      <c r="C314" s="225" t="s">
        <v>118</v>
      </c>
      <c r="D314" s="226">
        <f>D309+D312+D311</f>
        <v>1732612.2107544097</v>
      </c>
      <c r="E314" s="370">
        <f>IF(D314&lt;=0,0,F314/D314)</f>
        <v>0.26453869677930397</v>
      </c>
      <c r="F314" s="228">
        <f>F309+F312+F311</f>
        <v>458342.97625688027</v>
      </c>
      <c r="G314" s="229">
        <f>G309+G312+G311</f>
        <v>0</v>
      </c>
      <c r="H314" s="370">
        <f>IF(G314&lt;=0,0,I314/G314)</f>
        <v>0</v>
      </c>
      <c r="I314" s="228">
        <f>I309+I312+I311</f>
        <v>0</v>
      </c>
      <c r="J314" s="229">
        <f>J309+J312+J311</f>
        <v>1639096.22</v>
      </c>
      <c r="K314" s="370">
        <f>IF(J314&lt;=0,0,L314/J314)</f>
        <v>0.23381224074813617</v>
      </c>
      <c r="L314" s="228">
        <f>L309+L312+L311</f>
        <v>383240.75999999995</v>
      </c>
      <c r="M314" s="371">
        <f>(+J314-D314)/D314</f>
        <v>-5.3973988047614642E-2</v>
      </c>
      <c r="N314" s="228">
        <f>N309+N312+N311</f>
        <v>-75102.216256880274</v>
      </c>
      <c r="O314" s="229">
        <f>O309+O312+O311</f>
        <v>1537924.79</v>
      </c>
      <c r="P314" s="370">
        <f>IF(O314&lt;=0,0,Q314/O314)</f>
        <v>0.26131041817721112</v>
      </c>
      <c r="Q314" s="228">
        <f>Q309+Q312+Q311</f>
        <v>401875.76999999961</v>
      </c>
      <c r="R314" s="371">
        <f>IF(O314=0,0,(J314-O314)/O314)</f>
        <v>6.5784380782365787E-2</v>
      </c>
      <c r="S314" s="373">
        <f>L314-Q314</f>
        <v>-18635.00999999966</v>
      </c>
    </row>
    <row r="315" spans="1:19" ht="15.75" customHeight="1" thickBot="1">
      <c r="A315" s="23" t="str">
        <f t="shared" si="133"/>
        <v>Pièces</v>
      </c>
      <c r="B315" s="184" t="s">
        <v>103</v>
      </c>
      <c r="C315" s="374"/>
      <c r="D315" s="375"/>
      <c r="E315" s="376"/>
      <c r="F315" s="377"/>
      <c r="G315" s="378"/>
      <c r="H315" s="376"/>
      <c r="I315" s="377"/>
      <c r="J315" s="378"/>
      <c r="K315" s="376"/>
      <c r="L315" s="377"/>
      <c r="M315" s="379"/>
      <c r="N315" s="166">
        <f>N314/F314</f>
        <v>-0.16385593354176092</v>
      </c>
      <c r="O315" s="378"/>
      <c r="P315" s="376"/>
      <c r="Q315" s="377"/>
      <c r="R315" s="379"/>
      <c r="S315" s="237">
        <f>IF(Q314=0,0,S314/Q314)</f>
        <v>-4.6370076006323244E-2</v>
      </c>
    </row>
    <row r="316" spans="1:19" ht="15.75" customHeight="1" thickTop="1">
      <c r="A316" s="23" t="str">
        <f t="shared" si="133"/>
        <v>Pièces</v>
      </c>
      <c r="B316" s="184" t="s">
        <v>103</v>
      </c>
      <c r="C316" s="22"/>
      <c r="D316" s="87"/>
      <c r="E316" s="312"/>
      <c r="F316" s="313"/>
      <c r="G316" s="319"/>
      <c r="H316" s="312"/>
      <c r="I316" s="313"/>
      <c r="J316" s="319"/>
      <c r="K316" s="312"/>
      <c r="L316" s="313"/>
      <c r="M316" s="152"/>
      <c r="N316" s="171"/>
      <c r="O316" s="319"/>
      <c r="P316" s="312"/>
      <c r="Q316" s="313"/>
      <c r="R316" s="152"/>
      <c r="S316" s="209"/>
    </row>
    <row r="317" spans="1:19" ht="15.75" customHeight="1">
      <c r="A317" s="23" t="str">
        <f t="shared" si="133"/>
        <v>PiècesDEPENSES</v>
      </c>
      <c r="B317" s="184" t="s">
        <v>103</v>
      </c>
      <c r="C317" s="239" t="s">
        <v>30</v>
      </c>
      <c r="F317" s="222"/>
      <c r="G317" s="152"/>
      <c r="I317" s="222"/>
      <c r="J317" s="152"/>
      <c r="L317" s="208"/>
      <c r="M317" s="152"/>
      <c r="N317" s="208"/>
      <c r="O317" s="152"/>
      <c r="Q317" s="208"/>
      <c r="R317" s="152"/>
      <c r="S317" s="224"/>
    </row>
    <row r="318" spans="1:19" ht="15.75" customHeight="1">
      <c r="A318" s="23" t="str">
        <f t="shared" si="133"/>
        <v>PiècesSalaires cadres</v>
      </c>
      <c r="B318" s="184" t="s">
        <v>103</v>
      </c>
      <c r="C318" s="1" t="s">
        <v>41</v>
      </c>
      <c r="F318" s="198">
        <f>+SUM(START:END!F318)</f>
        <v>20897.150000000001</v>
      </c>
      <c r="G318" s="152"/>
      <c r="I318" s="198">
        <f>+SUM(START:END!I318)</f>
        <v>0</v>
      </c>
      <c r="J318" s="152"/>
      <c r="L318" s="201">
        <f>+SUM(START:END!L318)</f>
        <v>21324.43</v>
      </c>
      <c r="M318" s="152"/>
      <c r="N318" s="380">
        <f t="shared" ref="N318:N328" si="164">L318-F318</f>
        <v>427.27999999999884</v>
      </c>
      <c r="O318" s="152"/>
      <c r="Q318" s="201">
        <f>+SUM(START:END!Q318)</f>
        <v>25935.91</v>
      </c>
      <c r="R318" s="152"/>
      <c r="S318" s="202">
        <f>L318-Q318</f>
        <v>-4611.4799999999996</v>
      </c>
    </row>
    <row r="319" spans="1:19" ht="15.75" customHeight="1">
      <c r="A319" s="23" t="str">
        <f t="shared" si="133"/>
        <v>PiècesSalaires commis</v>
      </c>
      <c r="B319" s="184" t="s">
        <v>103</v>
      </c>
      <c r="C319" s="2" t="s">
        <v>42</v>
      </c>
      <c r="D319" s="30"/>
      <c r="F319" s="193">
        <f>+SUM(START:END!F319)</f>
        <v>86014.776000000013</v>
      </c>
      <c r="G319" s="240"/>
      <c r="I319" s="193">
        <f>+SUM(START:END!I319)</f>
        <v>0</v>
      </c>
      <c r="J319" s="152"/>
      <c r="L319" s="201">
        <f>+SUM(START:END!L319)</f>
        <v>82474.739999999991</v>
      </c>
      <c r="M319" s="152"/>
      <c r="N319" s="222">
        <f t="shared" si="164"/>
        <v>-3540.0360000000219</v>
      </c>
      <c r="O319" s="152"/>
      <c r="Q319" s="201">
        <f>+SUM(START:END!Q319)</f>
        <v>73910.92</v>
      </c>
      <c r="R319" s="152"/>
      <c r="S319" s="242">
        <f t="shared" ref="S319:S328" si="165">L319-Q319</f>
        <v>8563.8199999999924</v>
      </c>
    </row>
    <row r="320" spans="1:19" ht="15.75" customHeight="1">
      <c r="A320" s="23" t="str">
        <f t="shared" si="133"/>
        <v>PiècesSalaires autres</v>
      </c>
      <c r="B320" s="184" t="s">
        <v>103</v>
      </c>
      <c r="C320" s="1" t="s">
        <v>43</v>
      </c>
      <c r="D320" s="52"/>
      <c r="E320" s="53"/>
      <c r="F320" s="198">
        <f>+SUM(START:END!F320)</f>
        <v>455.8</v>
      </c>
      <c r="G320" s="256"/>
      <c r="H320" s="53"/>
      <c r="I320" s="198">
        <f>+SUM(START:END!I320)</f>
        <v>0</v>
      </c>
      <c r="J320" s="154"/>
      <c r="K320" s="53"/>
      <c r="L320" s="257">
        <f>+SUM(START:END!L320)</f>
        <v>341.76</v>
      </c>
      <c r="M320" s="154"/>
      <c r="N320" s="258">
        <f t="shared" si="164"/>
        <v>-114.04000000000002</v>
      </c>
      <c r="O320" s="154"/>
      <c r="P320" s="53"/>
      <c r="Q320" s="257">
        <f>+SUM(START:END!Q320)</f>
        <v>7675.98</v>
      </c>
      <c r="R320" s="154"/>
      <c r="S320" s="259">
        <f t="shared" si="165"/>
        <v>-7334.2199999999993</v>
      </c>
    </row>
    <row r="321" spans="1:19" ht="15.75" customHeight="1">
      <c r="A321" s="23" t="str">
        <f t="shared" si="133"/>
        <v>PiècesSalaires spécialistes</v>
      </c>
      <c r="B321" s="184" t="s">
        <v>103</v>
      </c>
      <c r="C321" s="1" t="s">
        <v>44</v>
      </c>
      <c r="D321" s="30"/>
      <c r="F321" s="198">
        <f>+SUM(START:END!F321)</f>
        <v>0</v>
      </c>
      <c r="G321" s="240"/>
      <c r="I321" s="198">
        <f>+SUM(START:END!I321)</f>
        <v>0</v>
      </c>
      <c r="J321" s="152"/>
      <c r="L321" s="201">
        <f>+SUM(START:END!L321)</f>
        <v>0</v>
      </c>
      <c r="M321" s="152"/>
      <c r="N321" s="222">
        <f t="shared" si="164"/>
        <v>0</v>
      </c>
      <c r="O321" s="152"/>
      <c r="Q321" s="201">
        <f>+SUM(START:END!Q321)</f>
        <v>0</v>
      </c>
      <c r="R321" s="152"/>
      <c r="S321" s="242">
        <f t="shared" si="165"/>
        <v>0</v>
      </c>
    </row>
    <row r="322" spans="1:19" ht="15.75" hidden="1" customHeight="1">
      <c r="A322" s="23" t="str">
        <f t="shared" si="133"/>
        <v>Pièces[...]</v>
      </c>
      <c r="B322" s="184" t="s">
        <v>103</v>
      </c>
      <c r="C322" s="381" t="s">
        <v>20</v>
      </c>
      <c r="D322" s="30"/>
      <c r="F322" s="198">
        <f>+SUM(START:END!F322)</f>
        <v>0</v>
      </c>
      <c r="G322" s="240"/>
      <c r="I322" s="198">
        <f>+SUM(START:END!I322)</f>
        <v>0</v>
      </c>
      <c r="J322" s="152"/>
      <c r="L322" s="201">
        <f>+SUM(START:END!L322)</f>
        <v>0</v>
      </c>
      <c r="M322" s="152"/>
      <c r="N322" s="222">
        <f t="shared" si="164"/>
        <v>0</v>
      </c>
      <c r="O322" s="152"/>
      <c r="Q322" s="201">
        <f>+SUM(START:END!Q322)</f>
        <v>0</v>
      </c>
      <c r="R322" s="152"/>
      <c r="S322" s="242">
        <f t="shared" si="165"/>
        <v>0</v>
      </c>
    </row>
    <row r="323" spans="1:19" ht="15.75" hidden="1" customHeight="1">
      <c r="A323" s="23" t="str">
        <f t="shared" si="133"/>
        <v>Pièces[...]</v>
      </c>
      <c r="B323" s="184" t="s">
        <v>103</v>
      </c>
      <c r="C323" s="381" t="s">
        <v>20</v>
      </c>
      <c r="D323" s="30"/>
      <c r="F323" s="198">
        <f>+SUM(START:END!F323)</f>
        <v>0</v>
      </c>
      <c r="G323" s="240"/>
      <c r="I323" s="198">
        <f>+SUM(START:END!I323)</f>
        <v>0</v>
      </c>
      <c r="J323" s="152"/>
      <c r="L323" s="201">
        <f>+SUM(START:END!L323)</f>
        <v>0</v>
      </c>
      <c r="M323" s="152"/>
      <c r="N323" s="222">
        <f t="shared" si="164"/>
        <v>0</v>
      </c>
      <c r="O323" s="152"/>
      <c r="Q323" s="201">
        <f>+SUM(START:END!Q323)</f>
        <v>0</v>
      </c>
      <c r="R323" s="152"/>
      <c r="S323" s="242">
        <f t="shared" si="165"/>
        <v>0</v>
      </c>
    </row>
    <row r="324" spans="1:19" ht="15.75" hidden="1" customHeight="1">
      <c r="A324" s="23" t="str">
        <f t="shared" si="133"/>
        <v>Pièces[...]</v>
      </c>
      <c r="B324" s="184" t="s">
        <v>103</v>
      </c>
      <c r="C324" s="381" t="s">
        <v>20</v>
      </c>
      <c r="D324" s="30"/>
      <c r="F324" s="198">
        <f>+SUM(START:END!F324)</f>
        <v>0</v>
      </c>
      <c r="G324" s="240"/>
      <c r="I324" s="198">
        <f>+SUM(START:END!I324)</f>
        <v>0</v>
      </c>
      <c r="J324" s="152"/>
      <c r="L324" s="201">
        <f>+SUM(START:END!L324)</f>
        <v>0</v>
      </c>
      <c r="M324" s="152"/>
      <c r="N324" s="222">
        <f t="shared" si="164"/>
        <v>0</v>
      </c>
      <c r="O324" s="152"/>
      <c r="Q324" s="201">
        <f>+SUM(START:END!Q324)</f>
        <v>0</v>
      </c>
      <c r="R324" s="152"/>
      <c r="S324" s="242">
        <f t="shared" si="165"/>
        <v>0</v>
      </c>
    </row>
    <row r="325" spans="1:19" ht="15.75" customHeight="1">
      <c r="A325" s="23" t="str">
        <f t="shared" si="133"/>
        <v>PiècesSalaires en absences</v>
      </c>
      <c r="B325" s="184" t="s">
        <v>103</v>
      </c>
      <c r="C325" s="2" t="s">
        <v>45</v>
      </c>
      <c r="D325" s="30"/>
      <c r="F325" s="193">
        <f>+SUM(START:END!F325)</f>
        <v>13169.510101</v>
      </c>
      <c r="G325" s="240"/>
      <c r="I325" s="193">
        <f>+SUM(START:END!I325)</f>
        <v>0</v>
      </c>
      <c r="J325" s="152"/>
      <c r="L325" s="201">
        <f>+SUM(START:END!L325)</f>
        <v>11181.05</v>
      </c>
      <c r="M325" s="152"/>
      <c r="N325" s="222">
        <f t="shared" si="164"/>
        <v>-1988.4601010000006</v>
      </c>
      <c r="O325" s="152"/>
      <c r="Q325" s="201">
        <f>+SUM(START:END!Q325)</f>
        <v>9592.41</v>
      </c>
      <c r="R325" s="152"/>
      <c r="S325" s="242">
        <f t="shared" si="165"/>
        <v>1588.6399999999994</v>
      </c>
    </row>
    <row r="326" spans="1:19" ht="15.75" customHeight="1">
      <c r="A326" s="23" t="str">
        <f t="shared" si="133"/>
        <v>PiècesDéduction à la source</v>
      </c>
      <c r="B326" s="184" t="s">
        <v>103</v>
      </c>
      <c r="C326" s="1" t="s">
        <v>46</v>
      </c>
      <c r="D326" s="52"/>
      <c r="E326" s="53"/>
      <c r="F326" s="198">
        <f>+SUM(START:END!F326)</f>
        <v>16012.267788000001</v>
      </c>
      <c r="G326" s="256"/>
      <c r="H326" s="53"/>
      <c r="I326" s="198">
        <f>+SUM(START:END!I326)</f>
        <v>0</v>
      </c>
      <c r="J326" s="154"/>
      <c r="K326" s="53"/>
      <c r="L326" s="257">
        <f>+SUM(START:END!L326)</f>
        <v>18924.07</v>
      </c>
      <c r="M326" s="154"/>
      <c r="N326" s="258">
        <f t="shared" si="164"/>
        <v>2911.8022119999987</v>
      </c>
      <c r="O326" s="154"/>
      <c r="P326" s="53"/>
      <c r="Q326" s="257">
        <f>+SUM(START:END!Q326)</f>
        <v>19765.490000000002</v>
      </c>
      <c r="R326" s="154"/>
      <c r="S326" s="259">
        <f t="shared" si="165"/>
        <v>-841.42000000000189</v>
      </c>
    </row>
    <row r="327" spans="1:19" ht="15.75" customHeight="1">
      <c r="A327" s="23" t="str">
        <f t="shared" si="133"/>
        <v>PiècesBénéfices marginaux</v>
      </c>
      <c r="B327" s="184" t="s">
        <v>103</v>
      </c>
      <c r="C327" s="1" t="s">
        <v>47</v>
      </c>
      <c r="D327" s="30"/>
      <c r="F327" s="198">
        <f>+SUM(START:END!F327)</f>
        <v>8249.7988385999997</v>
      </c>
      <c r="G327" s="240"/>
      <c r="I327" s="198">
        <f>+SUM(START:END!I327)</f>
        <v>0</v>
      </c>
      <c r="J327" s="152"/>
      <c r="L327" s="201">
        <f>+SUM(START:END!L327)</f>
        <v>-978.25999999999976</v>
      </c>
      <c r="M327" s="152"/>
      <c r="N327" s="222">
        <f t="shared" si="164"/>
        <v>-9228.0588385999999</v>
      </c>
      <c r="O327" s="152"/>
      <c r="Q327" s="201">
        <f>+SUM(START:END!Q327)</f>
        <v>3077.54</v>
      </c>
      <c r="R327" s="152"/>
      <c r="S327" s="242">
        <f t="shared" si="165"/>
        <v>-4055.7999999999997</v>
      </c>
    </row>
    <row r="328" spans="1:19" ht="15.75" customHeight="1">
      <c r="A328" s="23" t="str">
        <f t="shared" si="133"/>
        <v>PiècesCsst</v>
      </c>
      <c r="B328" s="184" t="s">
        <v>103</v>
      </c>
      <c r="C328" s="1" t="s">
        <v>48</v>
      </c>
      <c r="D328" s="30"/>
      <c r="F328" s="198">
        <f>+SUM(START:END!F328)</f>
        <v>3596.9587060000003</v>
      </c>
      <c r="G328" s="240"/>
      <c r="I328" s="198">
        <f>+SUM(START:END!I328)</f>
        <v>0</v>
      </c>
      <c r="J328" s="152"/>
      <c r="L328" s="201">
        <f>+SUM(START:END!L328)</f>
        <v>3491.06</v>
      </c>
      <c r="M328" s="152"/>
      <c r="N328" s="222">
        <f t="shared" si="164"/>
        <v>-105.8987060000004</v>
      </c>
      <c r="O328" s="152"/>
      <c r="Q328" s="201">
        <f>+SUM(START:END!Q328)</f>
        <v>2907.95</v>
      </c>
      <c r="R328" s="152"/>
      <c r="S328" s="242">
        <f t="shared" si="165"/>
        <v>583.11000000000013</v>
      </c>
    </row>
    <row r="329" spans="1:19" ht="15.75" customHeight="1">
      <c r="A329" s="23" t="str">
        <f t="shared" si="133"/>
        <v>PiècesTOTAL PERSONNEL</v>
      </c>
      <c r="B329" s="184" t="s">
        <v>103</v>
      </c>
      <c r="C329" s="40" t="s">
        <v>49</v>
      </c>
      <c r="D329" s="250" t="s">
        <v>39</v>
      </c>
      <c r="E329" s="42">
        <f>F329/F$314</f>
        <v>0.32376684954463159</v>
      </c>
      <c r="F329" s="251">
        <f>+SUM(F318:F328)</f>
        <v>148396.26143360001</v>
      </c>
      <c r="G329" s="252" t="s">
        <v>39</v>
      </c>
      <c r="H329" s="42" t="e">
        <f>I329/I$314</f>
        <v>#DIV/0!</v>
      </c>
      <c r="I329" s="251">
        <f>+SUM(I318:I328)</f>
        <v>0</v>
      </c>
      <c r="J329" s="252" t="s">
        <v>39</v>
      </c>
      <c r="K329" s="42">
        <f>L329/L$314</f>
        <v>0.35684839472711616</v>
      </c>
      <c r="L329" s="251">
        <f>+SUM(L318:L328)</f>
        <v>136758.84999999998</v>
      </c>
      <c r="M329" s="290"/>
      <c r="N329" s="251">
        <f>+SUM(N318:N328)</f>
        <v>-11637.411433600024</v>
      </c>
      <c r="O329" s="252" t="s">
        <v>39</v>
      </c>
      <c r="P329" s="42">
        <f>Q329/Q$314</f>
        <v>0.35549841683662625</v>
      </c>
      <c r="Q329" s="251">
        <f>+SUM(Q318:Q328)</f>
        <v>142866.20000000001</v>
      </c>
      <c r="R329" s="290"/>
      <c r="S329" s="261">
        <f t="shared" ref="S329:S344" si="166">L329-Q329</f>
        <v>-6107.3500000000349</v>
      </c>
    </row>
    <row r="330" spans="1:19" ht="15.75" customHeight="1">
      <c r="A330" s="23" t="str">
        <f t="shared" si="133"/>
        <v>PiècesPublicité 2</v>
      </c>
      <c r="B330" s="184" t="s">
        <v>103</v>
      </c>
      <c r="C330" s="3" t="s">
        <v>50</v>
      </c>
      <c r="D330" s="30"/>
      <c r="F330" s="198">
        <f>+SUM(START:END!F331)</f>
        <v>13354.704410312497</v>
      </c>
      <c r="G330" s="240"/>
      <c r="I330" s="198">
        <f>+SUM(START:END!I331)</f>
        <v>0</v>
      </c>
      <c r="J330" s="152"/>
      <c r="L330" s="201">
        <f>+SUM(START:END!L331)</f>
        <v>12206.230000000001</v>
      </c>
      <c r="M330" s="152"/>
      <c r="N330" s="222">
        <f t="shared" ref="N330:N344" si="167">L330-F330</f>
        <v>-1148.4744103124958</v>
      </c>
      <c r="O330" s="152"/>
      <c r="Q330" s="201">
        <f>+SUM(START:END!Q331)</f>
        <v>10923.630000000001</v>
      </c>
      <c r="R330" s="152"/>
      <c r="S330" s="242">
        <f t="shared" si="166"/>
        <v>1282.6000000000004</v>
      </c>
    </row>
    <row r="331" spans="1:19" ht="15.75" customHeight="1">
      <c r="A331" s="23" t="str">
        <f t="shared" si="133"/>
        <v>PiècesService gratuit 2</v>
      </c>
      <c r="B331" s="184" t="s">
        <v>103</v>
      </c>
      <c r="C331" s="1" t="s">
        <v>51</v>
      </c>
      <c r="D331" s="30"/>
      <c r="F331" s="198">
        <f>+SUM(START:END!F332)</f>
        <v>4454.2992194243589</v>
      </c>
      <c r="G331" s="240"/>
      <c r="I331" s="198">
        <f>+SUM(START:END!I332)</f>
        <v>0</v>
      </c>
      <c r="J331" s="152"/>
      <c r="L331" s="201">
        <f>+SUM(START:END!L332)</f>
        <v>3470.73</v>
      </c>
      <c r="M331" s="152"/>
      <c r="N331" s="222">
        <f t="shared" si="167"/>
        <v>-983.56921942435883</v>
      </c>
      <c r="O331" s="152"/>
      <c r="Q331" s="201">
        <f>+SUM(START:END!Q332)</f>
        <v>2362.7999999999997</v>
      </c>
      <c r="R331" s="152"/>
      <c r="S331" s="242">
        <f t="shared" si="166"/>
        <v>1107.9300000000003</v>
      </c>
    </row>
    <row r="332" spans="1:19" ht="15.75" customHeight="1">
      <c r="A332" s="23" t="str">
        <f t="shared" si="133"/>
        <v>PiècesFrais véhicules de cie</v>
      </c>
      <c r="B332" s="184" t="s">
        <v>103</v>
      </c>
      <c r="C332" s="2" t="s">
        <v>52</v>
      </c>
      <c r="D332" s="34"/>
      <c r="E332" s="7"/>
      <c r="F332" s="193">
        <f>+SUM(START:END!F333)</f>
        <v>3250</v>
      </c>
      <c r="G332" s="244"/>
      <c r="H332" s="7"/>
      <c r="I332" s="193">
        <f>+SUM(START:END!I333)</f>
        <v>0</v>
      </c>
      <c r="J332" s="153"/>
      <c r="K332" s="7"/>
      <c r="L332" s="201">
        <f>+SUM(START:END!L333)</f>
        <v>3660.25</v>
      </c>
      <c r="M332" s="153"/>
      <c r="N332" s="247">
        <f t="shared" si="167"/>
        <v>410.25</v>
      </c>
      <c r="O332" s="153"/>
      <c r="P332" s="7"/>
      <c r="Q332" s="201">
        <f>+SUM(START:END!Q333)</f>
        <v>3522.46</v>
      </c>
      <c r="R332" s="153"/>
      <c r="S332" s="248">
        <f t="shared" si="166"/>
        <v>137.78999999999996</v>
      </c>
    </row>
    <row r="333" spans="1:19" ht="15.75" customHeight="1">
      <c r="A333" s="23" t="str">
        <f t="shared" si="133"/>
        <v>PiècesInformatique</v>
      </c>
      <c r="B333" s="184" t="s">
        <v>103</v>
      </c>
      <c r="C333" s="1" t="s">
        <v>53</v>
      </c>
      <c r="D333" s="30"/>
      <c r="F333" s="198">
        <f>+SUM(START:END!F334)</f>
        <v>11426.807108333333</v>
      </c>
      <c r="G333" s="240"/>
      <c r="I333" s="198">
        <f>+SUM(START:END!I334)</f>
        <v>0</v>
      </c>
      <c r="J333" s="152"/>
      <c r="L333" s="257">
        <f>+SUM(START:END!L334)</f>
        <v>15448.570000000002</v>
      </c>
      <c r="M333" s="152"/>
      <c r="N333" s="222">
        <f t="shared" si="167"/>
        <v>4021.762891666669</v>
      </c>
      <c r="O333" s="152"/>
      <c r="Q333" s="257">
        <f>+SUM(START:END!Q334)</f>
        <v>11696.46</v>
      </c>
      <c r="R333" s="152"/>
      <c r="S333" s="242">
        <f t="shared" si="166"/>
        <v>3752.1100000000024</v>
      </c>
    </row>
    <row r="334" spans="1:19" ht="15.75" customHeight="1">
      <c r="A334" s="23" t="str">
        <f t="shared" si="133"/>
        <v>PiècesFrais de déplacement</v>
      </c>
      <c r="B334" s="184" t="s">
        <v>103</v>
      </c>
      <c r="C334" s="1" t="s">
        <v>54</v>
      </c>
      <c r="D334" s="30"/>
      <c r="F334" s="198">
        <f>+SUM(START:END!F335)</f>
        <v>2056.8614900894904</v>
      </c>
      <c r="G334" s="240"/>
      <c r="I334" s="198">
        <f>+SUM(START:END!I335)</f>
        <v>0</v>
      </c>
      <c r="J334" s="152"/>
      <c r="L334" s="201">
        <f>+SUM(START:END!L335)</f>
        <v>3374.83</v>
      </c>
      <c r="M334" s="152"/>
      <c r="N334" s="222">
        <f t="shared" si="167"/>
        <v>1317.9685099105095</v>
      </c>
      <c r="O334" s="152"/>
      <c r="Q334" s="201">
        <f>+SUM(START:END!Q335)</f>
        <v>3585.3</v>
      </c>
      <c r="R334" s="152"/>
      <c r="S334" s="242">
        <f t="shared" si="166"/>
        <v>-210.47000000000025</v>
      </c>
    </row>
    <row r="335" spans="1:19" ht="15.75" customHeight="1">
      <c r="A335" s="23" t="str">
        <f t="shared" si="133"/>
        <v>PiècesServices extérieurs</v>
      </c>
      <c r="B335" s="184" t="s">
        <v>103</v>
      </c>
      <c r="C335" s="5" t="s">
        <v>55</v>
      </c>
      <c r="D335" s="34"/>
      <c r="E335" s="7"/>
      <c r="F335" s="193">
        <f>+SUM(START:END!F336)</f>
        <v>37250.483251597223</v>
      </c>
      <c r="G335" s="244"/>
      <c r="H335" s="7"/>
      <c r="I335" s="193">
        <f>+SUM(START:END!I336)</f>
        <v>0</v>
      </c>
      <c r="J335" s="153"/>
      <c r="K335" s="7"/>
      <c r="L335" s="213">
        <f>+SUM(START:END!L336)</f>
        <v>34138</v>
      </c>
      <c r="M335" s="153"/>
      <c r="N335" s="247">
        <f t="shared" si="167"/>
        <v>-3112.483251597223</v>
      </c>
      <c r="O335" s="153"/>
      <c r="P335" s="7"/>
      <c r="Q335" s="213">
        <f>+SUM(START:END!Q336)</f>
        <v>49446.66</v>
      </c>
      <c r="R335" s="153"/>
      <c r="S335" s="248">
        <f t="shared" si="166"/>
        <v>-15308.660000000003</v>
      </c>
    </row>
    <row r="336" spans="1:19" ht="15.75" customHeight="1">
      <c r="A336" s="23" t="str">
        <f t="shared" si="133"/>
        <v>PiècesFournitures d'atelier</v>
      </c>
      <c r="B336" s="184" t="s">
        <v>103</v>
      </c>
      <c r="C336" s="1" t="s">
        <v>98</v>
      </c>
      <c r="D336" s="30"/>
      <c r="F336" s="198">
        <f>+SUM(START:END!F337)</f>
        <v>0</v>
      </c>
      <c r="G336" s="240"/>
      <c r="I336" s="198">
        <f>+SUM(START:END!I337)</f>
        <v>0</v>
      </c>
      <c r="J336" s="152"/>
      <c r="L336" s="201">
        <f>+SUM(START:END!L337)</f>
        <v>0</v>
      </c>
      <c r="M336" s="152"/>
      <c r="N336" s="222">
        <f t="shared" si="167"/>
        <v>0</v>
      </c>
      <c r="O336" s="152"/>
      <c r="Q336" s="201">
        <f>+SUM(START:END!Q337)</f>
        <v>0</v>
      </c>
      <c r="R336" s="152"/>
      <c r="S336" s="242">
        <f t="shared" si="166"/>
        <v>0</v>
      </c>
    </row>
    <row r="337" spans="1:19" ht="15.75" customHeight="1">
      <c r="A337" s="23" t="str">
        <f t="shared" si="133"/>
        <v>PiècesFournitures autres</v>
      </c>
      <c r="B337" s="184" t="s">
        <v>103</v>
      </c>
      <c r="C337" s="1" t="s">
        <v>56</v>
      </c>
      <c r="D337" s="30"/>
      <c r="F337" s="198">
        <f>+SUM(START:END!F338)</f>
        <v>375</v>
      </c>
      <c r="G337" s="240"/>
      <c r="I337" s="198">
        <f>+SUM(START:END!I338)</f>
        <v>0</v>
      </c>
      <c r="J337" s="152"/>
      <c r="L337" s="201">
        <f>+SUM(START:END!L338)</f>
        <v>348.61</v>
      </c>
      <c r="M337" s="152"/>
      <c r="N337" s="222">
        <f t="shared" si="167"/>
        <v>-26.389999999999986</v>
      </c>
      <c r="O337" s="152"/>
      <c r="Q337" s="201">
        <f>+SUM(START:END!Q338)</f>
        <v>483.39</v>
      </c>
      <c r="R337" s="152"/>
      <c r="S337" s="242">
        <f t="shared" si="166"/>
        <v>-134.77999999999997</v>
      </c>
    </row>
    <row r="338" spans="1:19" ht="15.75" customHeight="1">
      <c r="A338" s="23" t="str">
        <f t="shared" si="133"/>
        <v>PiècesUniformes</v>
      </c>
      <c r="B338" s="184" t="s">
        <v>103</v>
      </c>
      <c r="C338" s="1" t="s">
        <v>57</v>
      </c>
      <c r="D338" s="30"/>
      <c r="F338" s="198">
        <f>+SUM(START:END!F339)</f>
        <v>250</v>
      </c>
      <c r="G338" s="240"/>
      <c r="I338" s="198">
        <f>+SUM(START:END!I339)</f>
        <v>0</v>
      </c>
      <c r="J338" s="152"/>
      <c r="L338" s="201">
        <f>+SUM(START:END!L339)</f>
        <v>240</v>
      </c>
      <c r="M338" s="152"/>
      <c r="N338" s="222">
        <f t="shared" si="167"/>
        <v>-10</v>
      </c>
      <c r="O338" s="152"/>
      <c r="Q338" s="201">
        <f>+SUM(START:END!Q339)</f>
        <v>0</v>
      </c>
      <c r="R338" s="152"/>
      <c r="S338" s="242">
        <f t="shared" si="166"/>
        <v>240</v>
      </c>
    </row>
    <row r="339" spans="1:19" ht="15.75" customHeight="1">
      <c r="A339" s="23" t="str">
        <f t="shared" si="133"/>
        <v>PiècesPapeterie</v>
      </c>
      <c r="B339" s="184" t="s">
        <v>103</v>
      </c>
      <c r="C339" s="1" t="s">
        <v>58</v>
      </c>
      <c r="D339" s="30"/>
      <c r="F339" s="198">
        <f>+SUM(START:END!F340)</f>
        <v>1853.858793675</v>
      </c>
      <c r="G339" s="240"/>
      <c r="I339" s="198">
        <f>+SUM(START:END!I340)</f>
        <v>0</v>
      </c>
      <c r="J339" s="152"/>
      <c r="L339" s="200">
        <f>+SUM(START:END!L340)</f>
        <v>2171.7600000000002</v>
      </c>
      <c r="M339" s="152"/>
      <c r="N339" s="222">
        <f t="shared" si="167"/>
        <v>317.9012063250002</v>
      </c>
      <c r="O339" s="152"/>
      <c r="Q339" s="200">
        <f>+SUM(START:END!Q340)</f>
        <v>3283.2999999999997</v>
      </c>
      <c r="R339" s="152"/>
      <c r="S339" s="242">
        <f t="shared" si="166"/>
        <v>-1111.5399999999995</v>
      </c>
    </row>
    <row r="340" spans="1:19" ht="15.75" customHeight="1">
      <c r="A340" s="23" t="str">
        <f t="shared" si="133"/>
        <v>PiècesTéléphone</v>
      </c>
      <c r="B340" s="184" t="s">
        <v>103</v>
      </c>
      <c r="C340" s="1" t="s">
        <v>59</v>
      </c>
      <c r="D340" s="30"/>
      <c r="F340" s="198">
        <f>+SUM(START:END!F341)</f>
        <v>394.07464934270831</v>
      </c>
      <c r="G340" s="240"/>
      <c r="I340" s="198">
        <f>+SUM(START:END!I341)</f>
        <v>0</v>
      </c>
      <c r="J340" s="152"/>
      <c r="L340" s="201">
        <f>+SUM(START:END!L341)</f>
        <v>330.07</v>
      </c>
      <c r="M340" s="152"/>
      <c r="N340" s="222">
        <f t="shared" si="167"/>
        <v>-64.004649342708319</v>
      </c>
      <c r="O340" s="152"/>
      <c r="Q340" s="201">
        <f>+SUM(START:END!Q341)</f>
        <v>259.77</v>
      </c>
      <c r="R340" s="152"/>
      <c r="S340" s="242">
        <f t="shared" si="166"/>
        <v>70.300000000000011</v>
      </c>
    </row>
    <row r="341" spans="1:19" ht="15.75" customHeight="1">
      <c r="A341" s="23" t="str">
        <f t="shared" si="133"/>
        <v>PiècesFrais postaux</v>
      </c>
      <c r="B341" s="184" t="s">
        <v>103</v>
      </c>
      <c r="C341" s="1" t="s">
        <v>60</v>
      </c>
      <c r="D341" s="30"/>
      <c r="F341" s="198">
        <f>+SUM(START:END!F342)</f>
        <v>480.88943415729159</v>
      </c>
      <c r="G341" s="240"/>
      <c r="I341" s="198">
        <f>+SUM(START:END!I342)</f>
        <v>0</v>
      </c>
      <c r="J341" s="152"/>
      <c r="L341" s="201">
        <f>+SUM(START:END!L342)</f>
        <v>-616.85</v>
      </c>
      <c r="M341" s="152"/>
      <c r="N341" s="222">
        <f t="shared" si="167"/>
        <v>-1097.7394341572917</v>
      </c>
      <c r="O341" s="152"/>
      <c r="Q341" s="201">
        <f>+SUM(START:END!Q342)</f>
        <v>-1816.85</v>
      </c>
      <c r="R341" s="152"/>
      <c r="S341" s="242">
        <f t="shared" si="166"/>
        <v>1200</v>
      </c>
    </row>
    <row r="342" spans="1:19" ht="15.75" customHeight="1">
      <c r="A342" s="23" t="str">
        <f t="shared" si="133"/>
        <v>PiècesDivers</v>
      </c>
      <c r="B342" s="184" t="s">
        <v>103</v>
      </c>
      <c r="C342" s="1" t="s">
        <v>61</v>
      </c>
      <c r="D342" s="30"/>
      <c r="F342" s="198">
        <f>+SUM(START:END!F343)</f>
        <v>656.29347055104165</v>
      </c>
      <c r="G342" s="240"/>
      <c r="I342" s="198">
        <f>+SUM(START:END!I343)</f>
        <v>0</v>
      </c>
      <c r="J342" s="152"/>
      <c r="L342" s="201">
        <f>+SUM(START:END!L343)</f>
        <v>606.92000000000007</v>
      </c>
      <c r="M342" s="152"/>
      <c r="N342" s="222">
        <f t="shared" si="167"/>
        <v>-49.373470551041578</v>
      </c>
      <c r="O342" s="152"/>
      <c r="Q342" s="201">
        <f>+SUM(START:END!Q343)</f>
        <v>247.74</v>
      </c>
      <c r="R342" s="152"/>
      <c r="S342" s="242">
        <f t="shared" si="166"/>
        <v>359.18000000000006</v>
      </c>
    </row>
    <row r="343" spans="1:19" ht="15.75" customHeight="1">
      <c r="A343" s="23" t="str">
        <f t="shared" si="133"/>
        <v>PiècesFormation</v>
      </c>
      <c r="B343" s="184" t="s">
        <v>103</v>
      </c>
      <c r="C343" s="1" t="s">
        <v>62</v>
      </c>
      <c r="D343" s="30"/>
      <c r="F343" s="198">
        <f>+SUM(START:END!F344)</f>
        <v>2466.7770989498226</v>
      </c>
      <c r="G343" s="240"/>
      <c r="I343" s="198">
        <f>+SUM(START:END!I344)</f>
        <v>0</v>
      </c>
      <c r="J343" s="152"/>
      <c r="L343" s="201">
        <f>+SUM(START:END!L344)</f>
        <v>1675.1599999999999</v>
      </c>
      <c r="M343" s="152"/>
      <c r="N343" s="222">
        <f t="shared" si="167"/>
        <v>-791.61709894982278</v>
      </c>
      <c r="O343" s="152"/>
      <c r="Q343" s="201">
        <f>+SUM(START:END!Q344)</f>
        <v>464.99</v>
      </c>
      <c r="R343" s="152"/>
      <c r="S343" s="242">
        <f t="shared" si="166"/>
        <v>1210.1699999999998</v>
      </c>
    </row>
    <row r="344" spans="1:19" ht="15.75" customHeight="1">
      <c r="A344" s="23" t="str">
        <f t="shared" si="133"/>
        <v>PiècesFrais bancaires</v>
      </c>
      <c r="B344" s="184" t="s">
        <v>103</v>
      </c>
      <c r="C344" s="1" t="s">
        <v>63</v>
      </c>
      <c r="D344" s="30"/>
      <c r="F344" s="198">
        <f>+SUM(START:END!F345)</f>
        <v>4438.9825469389361</v>
      </c>
      <c r="G344" s="240"/>
      <c r="I344" s="198">
        <f>+SUM(START:END!I345)</f>
        <v>0</v>
      </c>
      <c r="J344" s="152"/>
      <c r="L344" s="200">
        <f>+SUM(START:END!L345)</f>
        <v>7019.96</v>
      </c>
      <c r="M344" s="152"/>
      <c r="N344" s="222">
        <f t="shared" si="167"/>
        <v>2580.9774530610639</v>
      </c>
      <c r="O344" s="152"/>
      <c r="Q344" s="201">
        <f>+SUM(START:END!Q345)</f>
        <v>5483.34</v>
      </c>
      <c r="R344" s="152"/>
      <c r="S344" s="242">
        <f t="shared" si="166"/>
        <v>1536.62</v>
      </c>
    </row>
    <row r="345" spans="1:19" ht="15.75" hidden="1" customHeight="1">
      <c r="A345" s="23" t="str">
        <f t="shared" si="133"/>
        <v>Pièces[...]</v>
      </c>
      <c r="B345" s="184" t="s">
        <v>103</v>
      </c>
      <c r="C345" s="1" t="s">
        <v>20</v>
      </c>
      <c r="D345" s="30"/>
      <c r="F345" s="198">
        <f>+SUM(START:END!F346)</f>
        <v>0</v>
      </c>
      <c r="G345" s="240"/>
      <c r="I345" s="198">
        <f>+SUM(START:END!I346)</f>
        <v>0</v>
      </c>
      <c r="J345" s="152"/>
      <c r="L345" s="201">
        <f>+SUM(START:END!L346)</f>
        <v>0</v>
      </c>
      <c r="M345" s="152"/>
      <c r="N345" s="222">
        <f t="shared" ref="N345:N347" si="168">L345-I345</f>
        <v>0</v>
      </c>
      <c r="O345" s="152"/>
      <c r="Q345" s="201">
        <f>+SUM(START:END!Q346)</f>
        <v>0</v>
      </c>
      <c r="R345" s="152"/>
      <c r="S345" s="242">
        <f t="shared" ref="S345:S347" si="169">L345-Q345</f>
        <v>0</v>
      </c>
    </row>
    <row r="346" spans="1:19" ht="15.75" hidden="1" customHeight="1">
      <c r="A346" s="23" t="str">
        <f t="shared" si="133"/>
        <v>Pièces[...]</v>
      </c>
      <c r="B346" s="184" t="s">
        <v>103</v>
      </c>
      <c r="C346" s="1" t="s">
        <v>20</v>
      </c>
      <c r="D346" s="30"/>
      <c r="F346" s="198">
        <f>+SUM(START:END!F347)</f>
        <v>0</v>
      </c>
      <c r="G346" s="240"/>
      <c r="I346" s="198">
        <f>+SUM(START:END!I347)</f>
        <v>0</v>
      </c>
      <c r="J346" s="152"/>
      <c r="L346" s="201">
        <f>+SUM(START:END!L347)</f>
        <v>0</v>
      </c>
      <c r="M346" s="152"/>
      <c r="N346" s="222">
        <f t="shared" si="168"/>
        <v>0</v>
      </c>
      <c r="O346" s="152"/>
      <c r="Q346" s="201">
        <f>+SUM(START:END!Q347)</f>
        <v>0</v>
      </c>
      <c r="R346" s="152"/>
      <c r="S346" s="242">
        <f t="shared" si="169"/>
        <v>0</v>
      </c>
    </row>
    <row r="347" spans="1:19" ht="15.75" hidden="1" customHeight="1">
      <c r="A347" s="23" t="str">
        <f t="shared" si="133"/>
        <v>Pièces[...]</v>
      </c>
      <c r="B347" s="184" t="s">
        <v>103</v>
      </c>
      <c r="C347" s="1" t="s">
        <v>20</v>
      </c>
      <c r="D347" s="30"/>
      <c r="F347" s="198">
        <f>+SUM(START:END!F348)</f>
        <v>0</v>
      </c>
      <c r="G347" s="240"/>
      <c r="I347" s="198">
        <f>+SUM(START:END!I348)</f>
        <v>0</v>
      </c>
      <c r="J347" s="152"/>
      <c r="L347" s="201">
        <f>+SUM(START:END!L348)</f>
        <v>0</v>
      </c>
      <c r="M347" s="152"/>
      <c r="N347" s="222">
        <f t="shared" si="168"/>
        <v>0</v>
      </c>
      <c r="O347" s="152"/>
      <c r="Q347" s="201">
        <f>+SUM(START:END!Q348)</f>
        <v>0</v>
      </c>
      <c r="R347" s="152"/>
      <c r="S347" s="242">
        <f t="shared" si="169"/>
        <v>0</v>
      </c>
    </row>
    <row r="348" spans="1:19" ht="15.75" customHeight="1">
      <c r="B348" s="181"/>
      <c r="C348" s="40" t="s">
        <v>64</v>
      </c>
      <c r="D348" s="250" t="s">
        <v>39</v>
      </c>
      <c r="E348" s="42">
        <f>F348/F$314</f>
        <v>0.18045227211470802</v>
      </c>
      <c r="F348" s="251">
        <f>+SUM(F330:F347)</f>
        <v>82709.03147337171</v>
      </c>
      <c r="G348" s="252" t="s">
        <v>39</v>
      </c>
      <c r="H348" s="42" t="e">
        <f>I348/I$314</f>
        <v>#DIV/0!</v>
      </c>
      <c r="I348" s="251">
        <f>+SUM(I330:I347)</f>
        <v>0</v>
      </c>
      <c r="J348" s="252" t="s">
        <v>39</v>
      </c>
      <c r="K348" s="42">
        <f>L348/L$314</f>
        <v>0.21937708295954744</v>
      </c>
      <c r="L348" s="251">
        <f>+SUM(L330:L347)</f>
        <v>84074.240000000005</v>
      </c>
      <c r="M348" s="254"/>
      <c r="N348" s="251">
        <f>+SUM(N330:N347)</f>
        <v>1365.2085266283007</v>
      </c>
      <c r="O348" s="252" t="s">
        <v>39</v>
      </c>
      <c r="P348" s="42">
        <f>Q348/Q$314</f>
        <v>0.2238079444301907</v>
      </c>
      <c r="Q348" s="251">
        <f>+SUM(Q330:Q347)</f>
        <v>89942.99</v>
      </c>
      <c r="R348" s="254"/>
      <c r="S348" s="255">
        <f>+SUM(S330:S347)</f>
        <v>-5868.7500000000009</v>
      </c>
    </row>
    <row r="349" spans="1:19" ht="15.75" customHeight="1">
      <c r="B349" s="181"/>
      <c r="C349" s="2"/>
      <c r="D349" s="34"/>
      <c r="E349" s="7"/>
      <c r="F349" s="222"/>
      <c r="G349" s="244"/>
      <c r="H349" s="7"/>
      <c r="I349" s="222"/>
      <c r="J349" s="153"/>
      <c r="K349" s="7"/>
      <c r="L349" s="247"/>
      <c r="M349" s="153"/>
      <c r="N349" s="247"/>
      <c r="O349" s="153"/>
      <c r="P349" s="7"/>
      <c r="Q349" s="247"/>
      <c r="R349" s="153"/>
      <c r="S349" s="248"/>
    </row>
    <row r="350" spans="1:19" ht="15.75" customHeight="1">
      <c r="B350" s="181"/>
      <c r="C350" s="40" t="s">
        <v>65</v>
      </c>
      <c r="D350" s="250" t="s">
        <v>39</v>
      </c>
      <c r="E350" s="42">
        <f>F350/F$314</f>
        <v>0.50421912165933958</v>
      </c>
      <c r="F350" s="251">
        <f>F329+F348</f>
        <v>231105.29290697171</v>
      </c>
      <c r="G350" s="252" t="s">
        <v>39</v>
      </c>
      <c r="H350" s="42" t="e">
        <f>I350/I$314</f>
        <v>#DIV/0!</v>
      </c>
      <c r="I350" s="251">
        <f>I329+I348</f>
        <v>0</v>
      </c>
      <c r="J350" s="252" t="s">
        <v>39</v>
      </c>
      <c r="K350" s="42">
        <f>L350/L$314</f>
        <v>0.57622547768666355</v>
      </c>
      <c r="L350" s="251">
        <f>L329+L348</f>
        <v>220833.08999999997</v>
      </c>
      <c r="M350" s="254"/>
      <c r="N350" s="251">
        <f>N329+N348</f>
        <v>-10272.202906971723</v>
      </c>
      <c r="O350" s="252" t="s">
        <v>39</v>
      </c>
      <c r="P350" s="42">
        <f>Q350/Q$314</f>
        <v>0.57930636126681689</v>
      </c>
      <c r="Q350" s="251">
        <f>Q329+Q348</f>
        <v>232809.19</v>
      </c>
      <c r="R350" s="254"/>
      <c r="S350" s="261">
        <f>L350-Q350</f>
        <v>-11976.100000000035</v>
      </c>
    </row>
    <row r="351" spans="1:19" ht="15.75" customHeight="1">
      <c r="B351" s="181"/>
      <c r="C351" s="1"/>
      <c r="D351" s="30"/>
      <c r="F351" s="222"/>
      <c r="G351" s="240"/>
      <c r="I351" s="222"/>
      <c r="J351" s="152"/>
      <c r="L351" s="222"/>
      <c r="M351" s="152"/>
      <c r="N351" s="222"/>
      <c r="O351" s="152"/>
      <c r="Q351" s="222"/>
      <c r="R351" s="152"/>
      <c r="S351" s="242"/>
    </row>
    <row r="352" spans="1:19" ht="15.75" customHeight="1" thickBot="1">
      <c r="B352" s="181"/>
      <c r="C352" s="271" t="s">
        <v>72</v>
      </c>
      <c r="D352" s="292"/>
      <c r="E352" s="272"/>
      <c r="F352" s="274">
        <f>F314-F350</f>
        <v>227237.68334990856</v>
      </c>
      <c r="G352" s="293"/>
      <c r="H352" s="272"/>
      <c r="I352" s="274">
        <f>I314-I350</f>
        <v>0</v>
      </c>
      <c r="J352" s="294"/>
      <c r="K352" s="273"/>
      <c r="L352" s="274">
        <f>L314-L350</f>
        <v>162407.66999999998</v>
      </c>
      <c r="M352" s="294"/>
      <c r="N352" s="274">
        <f>N314-N350</f>
        <v>-64830.01334990855</v>
      </c>
      <c r="O352" s="294"/>
      <c r="P352" s="273"/>
      <c r="Q352" s="274">
        <f>Q314-Q350</f>
        <v>169066.57999999961</v>
      </c>
      <c r="R352" s="294"/>
      <c r="S352" s="276">
        <f>L352-Q352</f>
        <v>-6658.9099999996251</v>
      </c>
    </row>
    <row r="353" spans="1:24" ht="15.75" customHeight="1" thickTop="1">
      <c r="B353" s="181"/>
      <c r="C353" s="73"/>
      <c r="D353" s="30"/>
      <c r="F353" s="26" t="e">
        <f>+F352-#REF!-#REF!-#REF!</f>
        <v>#REF!</v>
      </c>
      <c r="G353" s="30"/>
      <c r="I353" s="87"/>
      <c r="J353" s="73"/>
      <c r="K353" s="73"/>
      <c r="L353" s="26" t="e">
        <f>+L352-#REF!-#REF!-#REF!</f>
        <v>#REF!</v>
      </c>
      <c r="M353" s="73"/>
      <c r="N353" s="26" t="e">
        <f>+N352-#REF!-#REF!-#REF!</f>
        <v>#REF!</v>
      </c>
      <c r="O353" s="73"/>
      <c r="P353" s="73"/>
      <c r="Q353" s="26" t="e">
        <f>+Q352-#REF!-#REF!-#REF!</f>
        <v>#REF!</v>
      </c>
      <c r="R353" s="73"/>
      <c r="S353" s="26" t="e">
        <f>+S352-#REF!-#REF!-#REF!</f>
        <v>#REF!</v>
      </c>
    </row>
    <row r="354" spans="1:24" ht="15.75" customHeight="1">
      <c r="B354" s="181"/>
      <c r="C354" s="73"/>
      <c r="D354" s="30"/>
      <c r="F354" s="87"/>
      <c r="G354" s="30"/>
      <c r="I354" s="87"/>
      <c r="J354" s="73"/>
      <c r="K354" s="73"/>
      <c r="L354" s="87"/>
      <c r="M354" s="73"/>
      <c r="N354" s="87"/>
      <c r="O354" s="73"/>
      <c r="P354" s="73"/>
      <c r="Q354" s="87"/>
      <c r="R354" s="73"/>
      <c r="S354" s="87"/>
    </row>
    <row r="355" spans="1:24" ht="34.5" customHeight="1">
      <c r="B355" s="181"/>
      <c r="C355" s="73" t="str">
        <f>+C291</f>
        <v>Conso</v>
      </c>
      <c r="D355" s="6"/>
      <c r="E355" s="6"/>
      <c r="F355" s="6"/>
      <c r="G355" s="6"/>
      <c r="H355" s="177"/>
      <c r="I355" s="177"/>
      <c r="J355" s="177"/>
      <c r="K355" s="178" t="s">
        <v>119</v>
      </c>
      <c r="L355" s="6"/>
      <c r="M355" s="6"/>
      <c r="N355" s="177"/>
      <c r="O355" s="177"/>
      <c r="P355" s="6"/>
      <c r="Q355" s="177"/>
      <c r="R355" s="6"/>
      <c r="S355" s="180" t="str">
        <f>$S$1</f>
        <v xml:space="preserve">Réalisé  </v>
      </c>
    </row>
    <row r="356" spans="1:24" ht="15.75" customHeight="1" thickBot="1">
      <c r="B356" s="181"/>
      <c r="C356" s="182"/>
    </row>
    <row r="357" spans="1:24" ht="15.75" customHeight="1" thickTop="1">
      <c r="B357" s="181"/>
      <c r="C357" s="185"/>
      <c r="D357" s="485" t="s">
        <v>5</v>
      </c>
      <c r="E357" s="486"/>
      <c r="F357" s="487"/>
      <c r="G357" s="488" t="s">
        <v>74</v>
      </c>
      <c r="H357" s="486"/>
      <c r="I357" s="487"/>
      <c r="J357" s="488" t="s">
        <v>7</v>
      </c>
      <c r="K357" s="486"/>
      <c r="L357" s="487"/>
      <c r="M357" s="488" t="s">
        <v>9</v>
      </c>
      <c r="N357" s="487"/>
      <c r="O357" s="485" t="s">
        <v>8</v>
      </c>
      <c r="P357" s="486"/>
      <c r="Q357" s="487"/>
      <c r="R357" s="488" t="s">
        <v>217</v>
      </c>
      <c r="S357" s="489"/>
    </row>
    <row r="358" spans="1:24" ht="15.75" customHeight="1" thickBot="1">
      <c r="A358" s="23" t="str">
        <f t="shared" ref="A358:A393" si="170">+B358&amp;C358</f>
        <v>Boutique</v>
      </c>
      <c r="B358" s="184" t="s">
        <v>119</v>
      </c>
      <c r="C358" s="1"/>
      <c r="D358" s="382" t="s">
        <v>84</v>
      </c>
      <c r="E358" s="382" t="s">
        <v>104</v>
      </c>
      <c r="F358" s="383" t="s">
        <v>12</v>
      </c>
      <c r="G358" s="384" t="s">
        <v>84</v>
      </c>
      <c r="H358" s="382" t="s">
        <v>104</v>
      </c>
      <c r="I358" s="383" t="s">
        <v>12</v>
      </c>
      <c r="J358" s="279" t="s">
        <v>84</v>
      </c>
      <c r="K358" s="175" t="s">
        <v>104</v>
      </c>
      <c r="L358" s="278" t="s">
        <v>12</v>
      </c>
      <c r="M358" s="279" t="s">
        <v>40</v>
      </c>
      <c r="N358" s="278" t="s">
        <v>12</v>
      </c>
      <c r="O358" s="279" t="s">
        <v>84</v>
      </c>
      <c r="P358" s="175" t="s">
        <v>104</v>
      </c>
      <c r="Q358" s="278" t="s">
        <v>12</v>
      </c>
      <c r="R358" s="279" t="s">
        <v>85</v>
      </c>
      <c r="S358" s="280" t="s">
        <v>12</v>
      </c>
    </row>
    <row r="359" spans="1:24" ht="15.75" customHeight="1" thickTop="1">
      <c r="A359" s="23" t="str">
        <f t="shared" si="170"/>
        <v>BoutiqueBoutique</v>
      </c>
      <c r="B359" s="184" t="s">
        <v>119</v>
      </c>
      <c r="C359" s="225" t="s">
        <v>119</v>
      </c>
      <c r="D359" s="385">
        <f>+SUM(START:END!D360)</f>
        <v>0</v>
      </c>
      <c r="E359" s="386">
        <f>IFERROR(F359/D359,0)</f>
        <v>0</v>
      </c>
      <c r="F359" s="387">
        <f>+SUM(START:END!F360)</f>
        <v>0</v>
      </c>
      <c r="G359" s="385">
        <f>+SUM(START:END!G360)</f>
        <v>0</v>
      </c>
      <c r="H359" s="386">
        <f>IFERROR(I359/G359,0)</f>
        <v>0</v>
      </c>
      <c r="I359" s="385">
        <f>+SUM(START:END!I360)</f>
        <v>0</v>
      </c>
      <c r="J359" s="388">
        <f>+SUM(START:END!J360)</f>
        <v>0</v>
      </c>
      <c r="K359" s="370">
        <f>IFERROR(L359/J359,0)</f>
        <v>0</v>
      </c>
      <c r="L359" s="389">
        <f>+SUM(START:END!L360)</f>
        <v>0</v>
      </c>
      <c r="M359" s="371">
        <f>IF(D359=0,0,(+J359-D359)/D359)</f>
        <v>0</v>
      </c>
      <c r="N359" s="372">
        <f t="shared" ref="N359" si="171">L359-F359</f>
        <v>0</v>
      </c>
      <c r="O359" s="388">
        <f>+SUM(START:END!O360)</f>
        <v>0</v>
      </c>
      <c r="P359" s="370">
        <f>IFERROR(Q359/O359,0)</f>
        <v>0</v>
      </c>
      <c r="Q359" s="389">
        <f>+SUM(START:END!Q360)</f>
        <v>0</v>
      </c>
      <c r="R359" s="371">
        <f>IF(O359=0,0,(J359-O359)/O359)</f>
        <v>0</v>
      </c>
      <c r="S359" s="373">
        <f>L359-Q359</f>
        <v>0</v>
      </c>
      <c r="X359" s="284"/>
    </row>
    <row r="360" spans="1:24" ht="15.75" customHeight="1" thickBot="1">
      <c r="A360" s="23" t="str">
        <f t="shared" si="170"/>
        <v>Boutique</v>
      </c>
      <c r="B360" s="184" t="s">
        <v>119</v>
      </c>
      <c r="C360" s="374"/>
      <c r="D360" s="375"/>
      <c r="E360" s="376"/>
      <c r="F360" s="377"/>
      <c r="G360" s="378"/>
      <c r="H360" s="376"/>
      <c r="I360" s="377"/>
      <c r="J360" s="378"/>
      <c r="K360" s="376"/>
      <c r="L360" s="377"/>
      <c r="M360" s="379"/>
      <c r="N360" s="166"/>
      <c r="O360" s="378"/>
      <c r="P360" s="376"/>
      <c r="Q360" s="377"/>
      <c r="R360" s="379"/>
      <c r="S360" s="237"/>
    </row>
    <row r="361" spans="1:24" ht="15.75" customHeight="1" thickTop="1">
      <c r="A361" s="23" t="str">
        <f t="shared" si="170"/>
        <v>BoutiqueTotal Dépt. Boutique</v>
      </c>
      <c r="B361" s="184" t="s">
        <v>119</v>
      </c>
      <c r="C361" s="22" t="s">
        <v>120</v>
      </c>
      <c r="D361" s="390">
        <f>+D359</f>
        <v>0</v>
      </c>
      <c r="E361" s="312">
        <f>IF(D361&lt;=0,0,F361/D361)</f>
        <v>0</v>
      </c>
      <c r="F361" s="313">
        <f t="shared" ref="F361" si="172">+F359</f>
        <v>0</v>
      </c>
      <c r="G361" s="319">
        <f>+G359</f>
        <v>0</v>
      </c>
      <c r="H361" s="312">
        <f>IF(G361&lt;=0,0,I361/G361)</f>
        <v>0</v>
      </c>
      <c r="I361" s="313">
        <f t="shared" ref="I361" si="173">+I359</f>
        <v>0</v>
      </c>
      <c r="J361" s="319">
        <f>+J359</f>
        <v>0</v>
      </c>
      <c r="K361" s="312">
        <f>IF(J361&lt;=0,0,L361/J361)</f>
        <v>0</v>
      </c>
      <c r="L361" s="313">
        <f t="shared" ref="L361:N361" si="174">+L359</f>
        <v>0</v>
      </c>
      <c r="M361" s="391">
        <f>IF(G361=0,0,(+J361-G361)/G361)</f>
        <v>0</v>
      </c>
      <c r="N361" s="313">
        <f t="shared" si="174"/>
        <v>0</v>
      </c>
      <c r="O361" s="319">
        <f>+O359</f>
        <v>0</v>
      </c>
      <c r="P361" s="312">
        <f>IF(O361&lt;=0,0,Q361/O361)</f>
        <v>0</v>
      </c>
      <c r="Q361" s="313">
        <f t="shared" ref="Q361" si="175">+Q359</f>
        <v>0</v>
      </c>
      <c r="R361" s="152">
        <f>IF(O361=0,0,(J361-O361)/O361)</f>
        <v>0</v>
      </c>
      <c r="S361" s="209">
        <f>L361-Q361</f>
        <v>0</v>
      </c>
    </row>
    <row r="362" spans="1:24" ht="15.75" customHeight="1">
      <c r="A362" s="23" t="str">
        <f t="shared" si="170"/>
        <v>Boutique</v>
      </c>
      <c r="B362" s="184" t="s">
        <v>119</v>
      </c>
      <c r="C362" s="239"/>
      <c r="F362" s="222"/>
      <c r="G362" s="152"/>
      <c r="H362" s="392"/>
      <c r="I362" s="222"/>
      <c r="J362" s="152"/>
      <c r="L362" s="208"/>
      <c r="M362" s="152"/>
      <c r="N362" s="393"/>
      <c r="O362" s="152"/>
      <c r="Q362" s="208"/>
      <c r="R362" s="152"/>
      <c r="S362" s="224">
        <f>IF(Q361=0,0,S361/Q361)</f>
        <v>0</v>
      </c>
    </row>
    <row r="363" spans="1:24" ht="15.75" customHeight="1">
      <c r="A363" s="23" t="str">
        <f t="shared" si="170"/>
        <v>BoutiqueDEPENSES</v>
      </c>
      <c r="B363" s="184" t="s">
        <v>119</v>
      </c>
      <c r="C363" s="239" t="s">
        <v>30</v>
      </c>
      <c r="F363" s="222"/>
      <c r="G363" s="152"/>
      <c r="I363" s="222"/>
      <c r="J363" s="152"/>
      <c r="L363" s="208"/>
      <c r="M363" s="152"/>
      <c r="N363" s="208"/>
      <c r="O363" s="152"/>
      <c r="Q363" s="208"/>
      <c r="R363" s="152"/>
      <c r="S363" s="224"/>
    </row>
    <row r="364" spans="1:24" ht="15.75" customHeight="1">
      <c r="A364" s="23" t="str">
        <f t="shared" si="170"/>
        <v>BoutiqueSalaires cadres</v>
      </c>
      <c r="B364" s="184" t="s">
        <v>119</v>
      </c>
      <c r="C364" s="1" t="s">
        <v>41</v>
      </c>
      <c r="F364" s="198">
        <f>+SUM(START:END!F364)</f>
        <v>0</v>
      </c>
      <c r="G364" s="152"/>
      <c r="I364" s="198">
        <f>+SUM(START:END!I364)</f>
        <v>0</v>
      </c>
      <c r="J364" s="152"/>
      <c r="L364" s="201">
        <f>+SUM(START:END!L364)</f>
        <v>0</v>
      </c>
      <c r="M364" s="152"/>
      <c r="N364" s="208">
        <f t="shared" ref="N364:N374" si="176">L364-F364</f>
        <v>0</v>
      </c>
      <c r="O364" s="152"/>
      <c r="Q364" s="201">
        <f>+SUM(START:END!Q364)</f>
        <v>0</v>
      </c>
      <c r="R364" s="152"/>
      <c r="S364" s="202">
        <f>L364-Q364</f>
        <v>0</v>
      </c>
    </row>
    <row r="365" spans="1:24" ht="15.75" customHeight="1">
      <c r="A365" s="23" t="str">
        <f t="shared" si="170"/>
        <v>BoutiqueSalaires commis</v>
      </c>
      <c r="B365" s="184" t="s">
        <v>119</v>
      </c>
      <c r="C365" s="2" t="s">
        <v>42</v>
      </c>
      <c r="D365" s="30"/>
      <c r="F365" s="193">
        <f>+SUM(START:END!F365)</f>
        <v>0</v>
      </c>
      <c r="G365" s="240"/>
      <c r="I365" s="193">
        <f>+SUM(START:END!I365)</f>
        <v>0</v>
      </c>
      <c r="J365" s="152"/>
      <c r="L365" s="193">
        <f>+SUM(START:END!L365)</f>
        <v>0</v>
      </c>
      <c r="M365" s="152"/>
      <c r="N365" s="222">
        <f t="shared" si="176"/>
        <v>0</v>
      </c>
      <c r="O365" s="152"/>
      <c r="Q365" s="193">
        <f>+SUM(START:END!Q365)</f>
        <v>0</v>
      </c>
      <c r="R365" s="152"/>
      <c r="S365" s="242">
        <f t="shared" ref="S365:S393" si="177">L365-Q365</f>
        <v>0</v>
      </c>
    </row>
    <row r="366" spans="1:24" ht="15.75" customHeight="1">
      <c r="A366" s="23" t="str">
        <f t="shared" si="170"/>
        <v>BoutiqueSalaires autres</v>
      </c>
      <c r="B366" s="184" t="s">
        <v>119</v>
      </c>
      <c r="C366" s="1" t="s">
        <v>43</v>
      </c>
      <c r="D366" s="52"/>
      <c r="E366" s="53"/>
      <c r="F366" s="198">
        <f>+SUM(START:END!F366)</f>
        <v>0</v>
      </c>
      <c r="G366" s="256"/>
      <c r="H366" s="53"/>
      <c r="I366" s="198">
        <f>+SUM(START:END!I366)</f>
        <v>0</v>
      </c>
      <c r="J366" s="154"/>
      <c r="K366" s="53"/>
      <c r="L366" s="201">
        <f>+SUM(START:END!L366)</f>
        <v>0</v>
      </c>
      <c r="M366" s="154"/>
      <c r="N366" s="258">
        <f t="shared" si="176"/>
        <v>0</v>
      </c>
      <c r="O366" s="154"/>
      <c r="P366" s="53"/>
      <c r="Q366" s="201">
        <f>+SUM(START:END!Q366)</f>
        <v>0</v>
      </c>
      <c r="R366" s="154"/>
      <c r="S366" s="259">
        <f t="shared" si="177"/>
        <v>0</v>
      </c>
    </row>
    <row r="367" spans="1:24" ht="15.75" customHeight="1">
      <c r="A367" s="23" t="str">
        <f t="shared" si="170"/>
        <v>BoutiqueSalaires spécialistes</v>
      </c>
      <c r="B367" s="184" t="s">
        <v>119</v>
      </c>
      <c r="C367" s="1" t="s">
        <v>44</v>
      </c>
      <c r="D367" s="30"/>
      <c r="F367" s="198">
        <f>+SUM(START:END!F367)</f>
        <v>0</v>
      </c>
      <c r="G367" s="240"/>
      <c r="I367" s="198">
        <f>+SUM(START:END!I367)</f>
        <v>0</v>
      </c>
      <c r="J367" s="152"/>
      <c r="L367" s="201">
        <f>+SUM(START:END!L367)</f>
        <v>0</v>
      </c>
      <c r="M367" s="152"/>
      <c r="N367" s="222">
        <f t="shared" si="176"/>
        <v>0</v>
      </c>
      <c r="O367" s="152"/>
      <c r="Q367" s="201">
        <f>+SUM(START:END!Q367)</f>
        <v>0</v>
      </c>
      <c r="R367" s="152"/>
      <c r="S367" s="242">
        <f t="shared" si="177"/>
        <v>0</v>
      </c>
    </row>
    <row r="368" spans="1:24" ht="15.75" hidden="1" customHeight="1">
      <c r="A368" s="23" t="str">
        <f t="shared" si="170"/>
        <v>Boutique[...]</v>
      </c>
      <c r="B368" s="184" t="s">
        <v>119</v>
      </c>
      <c r="C368" s="1" t="s">
        <v>20</v>
      </c>
      <c r="D368" s="30"/>
      <c r="F368" s="198">
        <f>+SUM(START:END!F368)</f>
        <v>0</v>
      </c>
      <c r="G368" s="240"/>
      <c r="I368" s="198">
        <f>+SUM(START:END!I368)</f>
        <v>0</v>
      </c>
      <c r="J368" s="152"/>
      <c r="L368" s="201">
        <f>+SUM(START:END!L368)</f>
        <v>0</v>
      </c>
      <c r="M368" s="152"/>
      <c r="N368" s="222">
        <f t="shared" si="176"/>
        <v>0</v>
      </c>
      <c r="O368" s="152"/>
      <c r="Q368" s="201">
        <f>+SUM(START:END!Q368)</f>
        <v>0</v>
      </c>
      <c r="R368" s="152"/>
      <c r="S368" s="242">
        <f t="shared" si="177"/>
        <v>0</v>
      </c>
    </row>
    <row r="369" spans="1:19" ht="15.75" hidden="1" customHeight="1">
      <c r="A369" s="23" t="str">
        <f t="shared" si="170"/>
        <v>Boutique[...]</v>
      </c>
      <c r="B369" s="184" t="s">
        <v>119</v>
      </c>
      <c r="C369" s="1" t="s">
        <v>20</v>
      </c>
      <c r="D369" s="30"/>
      <c r="F369" s="198">
        <f>+SUM(START:END!F369)</f>
        <v>0</v>
      </c>
      <c r="G369" s="240"/>
      <c r="I369" s="198">
        <f>+SUM(START:END!I369)</f>
        <v>0</v>
      </c>
      <c r="J369" s="152"/>
      <c r="L369" s="201">
        <f>+SUM(START:END!L369)</f>
        <v>0</v>
      </c>
      <c r="M369" s="152"/>
      <c r="N369" s="222">
        <f t="shared" si="176"/>
        <v>0</v>
      </c>
      <c r="O369" s="152"/>
      <c r="Q369" s="201">
        <f>+SUM(START:END!Q369)</f>
        <v>0</v>
      </c>
      <c r="R369" s="152"/>
      <c r="S369" s="242">
        <f t="shared" si="177"/>
        <v>0</v>
      </c>
    </row>
    <row r="370" spans="1:19" ht="15.75" hidden="1" customHeight="1">
      <c r="A370" s="23" t="str">
        <f t="shared" si="170"/>
        <v>Boutique[...]</v>
      </c>
      <c r="B370" s="184" t="s">
        <v>119</v>
      </c>
      <c r="C370" s="1" t="s">
        <v>20</v>
      </c>
      <c r="D370" s="30"/>
      <c r="F370" s="198">
        <f>+SUM(START:END!F370)</f>
        <v>0</v>
      </c>
      <c r="G370" s="240"/>
      <c r="I370" s="198">
        <f>+SUM(START:END!I370)</f>
        <v>0</v>
      </c>
      <c r="J370" s="152"/>
      <c r="L370" s="201">
        <f>+SUM(START:END!L370)</f>
        <v>0</v>
      </c>
      <c r="M370" s="152"/>
      <c r="N370" s="222">
        <f t="shared" si="176"/>
        <v>0</v>
      </c>
      <c r="O370" s="152"/>
      <c r="Q370" s="201">
        <f>+SUM(START:END!Q370)</f>
        <v>0</v>
      </c>
      <c r="R370" s="152"/>
      <c r="S370" s="242">
        <f t="shared" si="177"/>
        <v>0</v>
      </c>
    </row>
    <row r="371" spans="1:19" ht="15.75" customHeight="1">
      <c r="A371" s="23" t="str">
        <f t="shared" si="170"/>
        <v>BoutiqueSalaires en absences</v>
      </c>
      <c r="B371" s="184" t="s">
        <v>119</v>
      </c>
      <c r="C371" s="2" t="s">
        <v>45</v>
      </c>
      <c r="D371" s="30"/>
      <c r="F371" s="193">
        <f>+SUM(START:END!F371)</f>
        <v>0</v>
      </c>
      <c r="G371" s="240"/>
      <c r="I371" s="193">
        <f>+SUM(START:END!I371)</f>
        <v>0</v>
      </c>
      <c r="J371" s="152"/>
      <c r="L371" s="193">
        <f>+SUM(START:END!L371)</f>
        <v>0</v>
      </c>
      <c r="M371" s="152"/>
      <c r="N371" s="222">
        <f t="shared" si="176"/>
        <v>0</v>
      </c>
      <c r="O371" s="152"/>
      <c r="Q371" s="193">
        <f>+SUM(START:END!Q371)</f>
        <v>0</v>
      </c>
      <c r="R371" s="152"/>
      <c r="S371" s="242">
        <f t="shared" si="177"/>
        <v>0</v>
      </c>
    </row>
    <row r="372" spans="1:19" ht="15.75" customHeight="1">
      <c r="A372" s="23" t="str">
        <f t="shared" si="170"/>
        <v>BoutiqueDéduction à la source</v>
      </c>
      <c r="B372" s="184" t="s">
        <v>119</v>
      </c>
      <c r="C372" s="1" t="s">
        <v>46</v>
      </c>
      <c r="D372" s="52"/>
      <c r="E372" s="53"/>
      <c r="F372" s="198">
        <f>+SUM(START:END!F372)</f>
        <v>0</v>
      </c>
      <c r="G372" s="256"/>
      <c r="H372" s="53"/>
      <c r="I372" s="198">
        <f>+SUM(START:END!I372)</f>
        <v>0</v>
      </c>
      <c r="J372" s="154"/>
      <c r="K372" s="53"/>
      <c r="L372" s="201">
        <f>+SUM(START:END!L372)</f>
        <v>0</v>
      </c>
      <c r="M372" s="154"/>
      <c r="N372" s="258">
        <f t="shared" si="176"/>
        <v>0</v>
      </c>
      <c r="O372" s="154"/>
      <c r="P372" s="53"/>
      <c r="Q372" s="201">
        <f>+SUM(START:END!Q372)</f>
        <v>0</v>
      </c>
      <c r="R372" s="154"/>
      <c r="S372" s="259">
        <f t="shared" si="177"/>
        <v>0</v>
      </c>
    </row>
    <row r="373" spans="1:19" ht="15.75" customHeight="1">
      <c r="A373" s="23" t="str">
        <f t="shared" si="170"/>
        <v>BoutiqueBénéfices marginaux</v>
      </c>
      <c r="B373" s="184" t="s">
        <v>119</v>
      </c>
      <c r="C373" s="1" t="s">
        <v>47</v>
      </c>
      <c r="D373" s="30"/>
      <c r="F373" s="198">
        <f>+SUM(START:END!F373)</f>
        <v>0</v>
      </c>
      <c r="G373" s="240"/>
      <c r="I373" s="198">
        <f>+SUM(START:END!I373)</f>
        <v>0</v>
      </c>
      <c r="J373" s="152"/>
      <c r="L373" s="201">
        <f>+SUM(START:END!L373)</f>
        <v>0</v>
      </c>
      <c r="M373" s="152"/>
      <c r="N373" s="222">
        <f t="shared" si="176"/>
        <v>0</v>
      </c>
      <c r="O373" s="152"/>
      <c r="Q373" s="201">
        <f>+SUM(START:END!Q373)</f>
        <v>0</v>
      </c>
      <c r="R373" s="152"/>
      <c r="S373" s="242">
        <f t="shared" si="177"/>
        <v>0</v>
      </c>
    </row>
    <row r="374" spans="1:19" ht="15.75" customHeight="1">
      <c r="A374" s="23" t="str">
        <f t="shared" si="170"/>
        <v>BoutiqueCsst</v>
      </c>
      <c r="B374" s="184" t="s">
        <v>119</v>
      </c>
      <c r="C374" s="1" t="s">
        <v>48</v>
      </c>
      <c r="D374" s="30"/>
      <c r="F374" s="198">
        <f>+SUM(START:END!F374)</f>
        <v>0</v>
      </c>
      <c r="G374" s="240"/>
      <c r="I374" s="198">
        <f>+SUM(START:END!I374)</f>
        <v>0</v>
      </c>
      <c r="J374" s="152"/>
      <c r="L374" s="201">
        <f>+SUM(START:END!L374)</f>
        <v>0</v>
      </c>
      <c r="M374" s="152"/>
      <c r="N374" s="222">
        <f t="shared" si="176"/>
        <v>0</v>
      </c>
      <c r="O374" s="152"/>
      <c r="Q374" s="201">
        <f>+SUM(START:END!Q374)</f>
        <v>0</v>
      </c>
      <c r="R374" s="152"/>
      <c r="S374" s="242">
        <f t="shared" si="177"/>
        <v>0</v>
      </c>
    </row>
    <row r="375" spans="1:19" ht="15.75" hidden="1" customHeight="1">
      <c r="A375" s="23" t="str">
        <f t="shared" si="170"/>
        <v>Boutique[...]</v>
      </c>
      <c r="B375" s="184" t="s">
        <v>119</v>
      </c>
      <c r="C375" s="1" t="s">
        <v>20</v>
      </c>
      <c r="D375" s="34"/>
      <c r="E375" s="7"/>
      <c r="F375" s="198">
        <f>+SUM(START:END!F375)</f>
        <v>0</v>
      </c>
      <c r="G375" s="244"/>
      <c r="H375" s="7"/>
      <c r="I375" s="198">
        <f>+SUM(START:END!I375)</f>
        <v>0</v>
      </c>
      <c r="J375" s="153"/>
      <c r="K375" s="7"/>
      <c r="L375" s="201">
        <f>+SUM(START:END!L375)</f>
        <v>0</v>
      </c>
      <c r="M375" s="153"/>
      <c r="N375" s="247">
        <f t="shared" ref="N375:N393" si="178">L375-I375</f>
        <v>0</v>
      </c>
      <c r="O375" s="153"/>
      <c r="P375" s="7"/>
      <c r="Q375" s="201">
        <f>+SUM(START:END!Q375)</f>
        <v>0</v>
      </c>
      <c r="R375" s="153"/>
      <c r="S375" s="248">
        <f t="shared" si="177"/>
        <v>0</v>
      </c>
    </row>
    <row r="376" spans="1:19" ht="15.75" customHeight="1">
      <c r="A376" s="23" t="str">
        <f t="shared" si="170"/>
        <v>BoutiqueTOTAL PERSONNEL</v>
      </c>
      <c r="B376" s="184" t="s">
        <v>119</v>
      </c>
      <c r="C376" s="40" t="s">
        <v>49</v>
      </c>
      <c r="D376" s="250" t="s">
        <v>39</v>
      </c>
      <c r="E376" s="42">
        <f>IFERROR(F376/F$359,0)</f>
        <v>0</v>
      </c>
      <c r="F376" s="251">
        <f>+SUM(F364:F375)</f>
        <v>0</v>
      </c>
      <c r="G376" s="252" t="s">
        <v>39</v>
      </c>
      <c r="H376" s="42">
        <f>IFERROR(I376/I$359,0)</f>
        <v>0</v>
      </c>
      <c r="I376" s="251">
        <f>+SUM(I364:I375)</f>
        <v>0</v>
      </c>
      <c r="J376" s="252" t="s">
        <v>39</v>
      </c>
      <c r="K376" s="42">
        <f>IFERROR(L376/L$359,0)</f>
        <v>0</v>
      </c>
      <c r="L376" s="251">
        <f>+SUM(L364:L375)</f>
        <v>0</v>
      </c>
      <c r="M376" s="290"/>
      <c r="N376" s="251">
        <f>+SUM(N364:N375)</f>
        <v>0</v>
      </c>
      <c r="O376" s="252" t="s">
        <v>39</v>
      </c>
      <c r="P376" s="42">
        <f>IFERROR(Q376/Q$359,0)</f>
        <v>0</v>
      </c>
      <c r="Q376" s="251">
        <f>+SUM(Q364:Q375)</f>
        <v>0</v>
      </c>
      <c r="R376" s="290"/>
      <c r="S376" s="261">
        <f t="shared" si="177"/>
        <v>0</v>
      </c>
    </row>
    <row r="377" spans="1:19" ht="15.75" customHeight="1">
      <c r="A377" s="23" t="str">
        <f t="shared" si="170"/>
        <v>BoutiquePublicité 2</v>
      </c>
      <c r="B377" s="184" t="s">
        <v>119</v>
      </c>
      <c r="C377" s="3" t="s">
        <v>50</v>
      </c>
      <c r="D377" s="30"/>
      <c r="F377" s="198">
        <f>+SUM(START:END!F377)</f>
        <v>0</v>
      </c>
      <c r="G377" s="240"/>
      <c r="I377" s="198">
        <f>+SUM(START:END!I377)</f>
        <v>0</v>
      </c>
      <c r="J377" s="152"/>
      <c r="L377" s="201">
        <f>+SUM(START:END!L377)</f>
        <v>0</v>
      </c>
      <c r="M377" s="152"/>
      <c r="N377" s="222">
        <f t="shared" ref="N377:N390" si="179">L377-F377</f>
        <v>0</v>
      </c>
      <c r="O377" s="152"/>
      <c r="Q377" s="201">
        <f>+SUM(START:END!Q377)</f>
        <v>0</v>
      </c>
      <c r="R377" s="152"/>
      <c r="S377" s="242">
        <f t="shared" si="177"/>
        <v>0</v>
      </c>
    </row>
    <row r="378" spans="1:19" ht="15.75" customHeight="1">
      <c r="A378" s="23" t="str">
        <f t="shared" si="170"/>
        <v>BoutiqueService gratuit 2</v>
      </c>
      <c r="B378" s="184" t="s">
        <v>119</v>
      </c>
      <c r="C378" s="1" t="s">
        <v>51</v>
      </c>
      <c r="D378" s="30"/>
      <c r="F378" s="198">
        <f>+SUM(START:END!F378)</f>
        <v>0</v>
      </c>
      <c r="G378" s="240"/>
      <c r="I378" s="198">
        <f>+SUM(START:END!I378)</f>
        <v>0</v>
      </c>
      <c r="J378" s="152"/>
      <c r="L378" s="201">
        <f>+SUM(START:END!L378)</f>
        <v>0</v>
      </c>
      <c r="M378" s="152"/>
      <c r="N378" s="222">
        <f t="shared" si="179"/>
        <v>0</v>
      </c>
      <c r="O378" s="152"/>
      <c r="Q378" s="201">
        <f>+SUM(START:END!Q378)</f>
        <v>0</v>
      </c>
      <c r="R378" s="152"/>
      <c r="S378" s="242">
        <f t="shared" si="177"/>
        <v>0</v>
      </c>
    </row>
    <row r="379" spans="1:19" ht="15.75" customHeight="1">
      <c r="A379" s="23" t="str">
        <f t="shared" si="170"/>
        <v>BoutiqueFrais véhicules de cie</v>
      </c>
      <c r="B379" s="184" t="s">
        <v>119</v>
      </c>
      <c r="C379" s="2" t="s">
        <v>52</v>
      </c>
      <c r="D379" s="34"/>
      <c r="E379" s="7"/>
      <c r="F379" s="193">
        <f>+SUM(START:END!F379)</f>
        <v>0</v>
      </c>
      <c r="G379" s="244"/>
      <c r="H379" s="7"/>
      <c r="I379" s="193">
        <f>+SUM(START:END!I379)</f>
        <v>0</v>
      </c>
      <c r="J379" s="153"/>
      <c r="K379" s="7"/>
      <c r="L379" s="193">
        <f>+SUM(START:END!L379)</f>
        <v>0</v>
      </c>
      <c r="M379" s="153"/>
      <c r="N379" s="247">
        <f t="shared" si="179"/>
        <v>0</v>
      </c>
      <c r="O379" s="153"/>
      <c r="P379" s="7"/>
      <c r="Q379" s="193">
        <f>+SUM(START:END!Q379)</f>
        <v>0</v>
      </c>
      <c r="R379" s="153"/>
      <c r="S379" s="248">
        <f t="shared" si="177"/>
        <v>0</v>
      </c>
    </row>
    <row r="380" spans="1:19" ht="15.75" customHeight="1">
      <c r="A380" s="23" t="str">
        <f t="shared" si="170"/>
        <v>BoutiqueInformatique</v>
      </c>
      <c r="B380" s="184" t="s">
        <v>119</v>
      </c>
      <c r="C380" s="1" t="s">
        <v>53</v>
      </c>
      <c r="D380" s="30"/>
      <c r="F380" s="198">
        <f>+SUM(START:END!F380)</f>
        <v>0</v>
      </c>
      <c r="G380" s="240"/>
      <c r="I380" s="198">
        <f>+SUM(START:END!I380)</f>
        <v>0</v>
      </c>
      <c r="J380" s="152"/>
      <c r="L380" s="201">
        <f>+SUM(START:END!L380)</f>
        <v>0</v>
      </c>
      <c r="M380" s="152"/>
      <c r="N380" s="222">
        <f t="shared" si="179"/>
        <v>0</v>
      </c>
      <c r="O380" s="152"/>
      <c r="Q380" s="201">
        <f>+SUM(START:END!Q380)</f>
        <v>0</v>
      </c>
      <c r="R380" s="152"/>
      <c r="S380" s="242">
        <f t="shared" si="177"/>
        <v>0</v>
      </c>
    </row>
    <row r="381" spans="1:19" ht="15.75" customHeight="1">
      <c r="A381" s="23" t="str">
        <f t="shared" si="170"/>
        <v>BoutiqueFrais de déplacement</v>
      </c>
      <c r="B381" s="184" t="s">
        <v>119</v>
      </c>
      <c r="C381" s="1" t="s">
        <v>54</v>
      </c>
      <c r="D381" s="30"/>
      <c r="F381" s="198">
        <f>+SUM(START:END!F381)</f>
        <v>0</v>
      </c>
      <c r="G381" s="240"/>
      <c r="I381" s="198">
        <f>+SUM(START:END!I381)</f>
        <v>0</v>
      </c>
      <c r="J381" s="152"/>
      <c r="L381" s="201">
        <f>+SUM(START:END!L381)</f>
        <v>0</v>
      </c>
      <c r="M381" s="152"/>
      <c r="N381" s="222">
        <f t="shared" si="179"/>
        <v>0</v>
      </c>
      <c r="O381" s="152"/>
      <c r="Q381" s="201">
        <f>+SUM(START:END!Q381)</f>
        <v>0</v>
      </c>
      <c r="R381" s="152"/>
      <c r="S381" s="242">
        <f t="shared" si="177"/>
        <v>0</v>
      </c>
    </row>
    <row r="382" spans="1:19" ht="15.75" customHeight="1">
      <c r="A382" s="23" t="str">
        <f t="shared" si="170"/>
        <v>BoutiqueServices extérieurs</v>
      </c>
      <c r="B382" s="184" t="s">
        <v>119</v>
      </c>
      <c r="C382" s="1" t="s">
        <v>55</v>
      </c>
      <c r="D382" s="34"/>
      <c r="E382" s="7"/>
      <c r="F382" s="193">
        <f>+SUM(START:END!F382)</f>
        <v>0</v>
      </c>
      <c r="G382" s="244"/>
      <c r="H382" s="7"/>
      <c r="I382" s="193">
        <f>+SUM(START:END!I382)</f>
        <v>0</v>
      </c>
      <c r="J382" s="153"/>
      <c r="K382" s="7"/>
      <c r="L382" s="193">
        <f>+SUM(START:END!L382)</f>
        <v>0</v>
      </c>
      <c r="M382" s="153"/>
      <c r="N382" s="247">
        <f t="shared" si="179"/>
        <v>0</v>
      </c>
      <c r="O382" s="153"/>
      <c r="P382" s="7"/>
      <c r="Q382" s="193">
        <f>+SUM(START:END!Q382)</f>
        <v>0</v>
      </c>
      <c r="R382" s="153"/>
      <c r="S382" s="248">
        <f t="shared" si="177"/>
        <v>0</v>
      </c>
    </row>
    <row r="383" spans="1:19" ht="20.25" customHeight="1">
      <c r="A383" s="23" t="str">
        <f t="shared" si="170"/>
        <v>BoutiqueFournitures autres</v>
      </c>
      <c r="B383" s="184" t="s">
        <v>119</v>
      </c>
      <c r="C383" s="3" t="s">
        <v>56</v>
      </c>
      <c r="D383" s="30"/>
      <c r="F383" s="198">
        <f>+SUM(START:END!F383)</f>
        <v>0</v>
      </c>
      <c r="G383" s="240"/>
      <c r="I383" s="198">
        <f>+SUM(START:END!I383)</f>
        <v>0</v>
      </c>
      <c r="J383" s="152"/>
      <c r="L383" s="201">
        <f>+SUM(START:END!L383)</f>
        <v>0</v>
      </c>
      <c r="M383" s="152"/>
      <c r="N383" s="222">
        <f t="shared" si="179"/>
        <v>0</v>
      </c>
      <c r="O383" s="152"/>
      <c r="Q383" s="201">
        <f>+SUM(START:END!Q383)</f>
        <v>0</v>
      </c>
      <c r="R383" s="152"/>
      <c r="S383" s="242">
        <f t="shared" si="177"/>
        <v>0</v>
      </c>
    </row>
    <row r="384" spans="1:19" ht="20.25" customHeight="1">
      <c r="A384" s="23" t="str">
        <f t="shared" si="170"/>
        <v>BoutiqueUniformes</v>
      </c>
      <c r="B384" s="184" t="s">
        <v>119</v>
      </c>
      <c r="C384" s="1" t="s">
        <v>57</v>
      </c>
      <c r="D384" s="30"/>
      <c r="F384" s="198">
        <f>+SUM(START:END!F384)</f>
        <v>0</v>
      </c>
      <c r="G384" s="240"/>
      <c r="I384" s="198">
        <f>+SUM(START:END!I384)</f>
        <v>0</v>
      </c>
      <c r="J384" s="152"/>
      <c r="L384" s="201">
        <f>+SUM(START:END!L384)</f>
        <v>0</v>
      </c>
      <c r="M384" s="152"/>
      <c r="N384" s="222">
        <f t="shared" si="179"/>
        <v>0</v>
      </c>
      <c r="O384" s="152"/>
      <c r="Q384" s="201">
        <f>+SUM(START:END!Q384)</f>
        <v>0</v>
      </c>
      <c r="R384" s="152"/>
      <c r="S384" s="242">
        <f t="shared" si="177"/>
        <v>0</v>
      </c>
    </row>
    <row r="385" spans="1:38" ht="20.25" customHeight="1">
      <c r="A385" s="23" t="str">
        <f t="shared" si="170"/>
        <v>BoutiquePapeterie</v>
      </c>
      <c r="B385" s="184" t="s">
        <v>119</v>
      </c>
      <c r="C385" s="1" t="s">
        <v>58</v>
      </c>
      <c r="D385" s="30"/>
      <c r="F385" s="198">
        <f>+SUM(START:END!F385)</f>
        <v>0</v>
      </c>
      <c r="G385" s="240"/>
      <c r="I385" s="198">
        <f>+SUM(START:END!I385)</f>
        <v>0</v>
      </c>
      <c r="J385" s="152"/>
      <c r="L385" s="201">
        <f>+SUM(START:END!L385)</f>
        <v>0</v>
      </c>
      <c r="M385" s="152"/>
      <c r="N385" s="222">
        <f t="shared" si="179"/>
        <v>0</v>
      </c>
      <c r="O385" s="152"/>
      <c r="Q385" s="201">
        <f>+SUM(START:END!Q385)</f>
        <v>0</v>
      </c>
      <c r="R385" s="152"/>
      <c r="S385" s="242">
        <f t="shared" si="177"/>
        <v>0</v>
      </c>
    </row>
    <row r="386" spans="1:38" ht="20.25" customHeight="1">
      <c r="A386" s="23" t="str">
        <f t="shared" si="170"/>
        <v>BoutiqueTéléphone</v>
      </c>
      <c r="B386" s="184" t="s">
        <v>119</v>
      </c>
      <c r="C386" s="1" t="s">
        <v>59</v>
      </c>
      <c r="D386" s="30"/>
      <c r="F386" s="198">
        <f>+SUM(START:END!F386)</f>
        <v>0</v>
      </c>
      <c r="G386" s="240"/>
      <c r="I386" s="198">
        <f>+SUM(START:END!I386)</f>
        <v>0</v>
      </c>
      <c r="J386" s="152"/>
      <c r="L386" s="201">
        <f>+SUM(START:END!L386)</f>
        <v>0</v>
      </c>
      <c r="M386" s="152"/>
      <c r="N386" s="222">
        <f t="shared" si="179"/>
        <v>0</v>
      </c>
      <c r="O386" s="152"/>
      <c r="Q386" s="201">
        <f>+SUM(START:END!Q386)</f>
        <v>0</v>
      </c>
      <c r="R386" s="152"/>
      <c r="S386" s="242">
        <f t="shared" si="177"/>
        <v>0</v>
      </c>
    </row>
    <row r="387" spans="1:38" ht="20.25" customHeight="1">
      <c r="A387" s="23" t="str">
        <f t="shared" si="170"/>
        <v>BoutiqueFrais postaux</v>
      </c>
      <c r="B387" s="184" t="s">
        <v>119</v>
      </c>
      <c r="C387" s="1" t="s">
        <v>60</v>
      </c>
      <c r="D387" s="30"/>
      <c r="F387" s="198">
        <f>+SUM(START:END!F387)</f>
        <v>0</v>
      </c>
      <c r="G387" s="240"/>
      <c r="I387" s="198">
        <f>+SUM(START:END!I387)</f>
        <v>0</v>
      </c>
      <c r="J387" s="152"/>
      <c r="L387" s="201">
        <f>+SUM(START:END!L387)</f>
        <v>0</v>
      </c>
      <c r="M387" s="152"/>
      <c r="N387" s="222">
        <f t="shared" si="179"/>
        <v>0</v>
      </c>
      <c r="O387" s="152"/>
      <c r="Q387" s="201">
        <f>+SUM(START:END!Q387)</f>
        <v>0</v>
      </c>
      <c r="R387" s="152"/>
      <c r="S387" s="242">
        <f t="shared" si="177"/>
        <v>0</v>
      </c>
    </row>
    <row r="388" spans="1:38" ht="20.25" customHeight="1">
      <c r="A388" s="23" t="str">
        <f t="shared" si="170"/>
        <v>BoutiqueDivers</v>
      </c>
      <c r="B388" s="184" t="s">
        <v>119</v>
      </c>
      <c r="C388" s="1" t="s">
        <v>61</v>
      </c>
      <c r="D388" s="30"/>
      <c r="F388" s="198">
        <f>+SUM(START:END!F388)</f>
        <v>0</v>
      </c>
      <c r="G388" s="240"/>
      <c r="I388" s="198">
        <f>+SUM(START:END!I388)</f>
        <v>0</v>
      </c>
      <c r="J388" s="152"/>
      <c r="L388" s="201">
        <f>+SUM(START:END!L388)</f>
        <v>0</v>
      </c>
      <c r="M388" s="152"/>
      <c r="N388" s="222">
        <f t="shared" si="179"/>
        <v>0</v>
      </c>
      <c r="O388" s="152"/>
      <c r="Q388" s="201">
        <f>+SUM(START:END!Q388)</f>
        <v>0</v>
      </c>
      <c r="R388" s="152"/>
      <c r="S388" s="242">
        <f t="shared" si="177"/>
        <v>0</v>
      </c>
    </row>
    <row r="389" spans="1:38" ht="20.25" customHeight="1">
      <c r="A389" s="23" t="str">
        <f t="shared" si="170"/>
        <v>BoutiqueFormation</v>
      </c>
      <c r="B389" s="184" t="s">
        <v>119</v>
      </c>
      <c r="C389" s="1" t="s">
        <v>62</v>
      </c>
      <c r="D389" s="30"/>
      <c r="F389" s="198">
        <f>+SUM(START:END!F389)</f>
        <v>0</v>
      </c>
      <c r="G389" s="240"/>
      <c r="I389" s="198">
        <f>+SUM(START:END!I389)</f>
        <v>0</v>
      </c>
      <c r="J389" s="152"/>
      <c r="L389" s="201">
        <f>+SUM(START:END!L389)</f>
        <v>0</v>
      </c>
      <c r="M389" s="152"/>
      <c r="N389" s="222">
        <f t="shared" si="179"/>
        <v>0</v>
      </c>
      <c r="O389" s="152"/>
      <c r="Q389" s="201">
        <f>+SUM(START:END!Q389)</f>
        <v>0</v>
      </c>
      <c r="R389" s="152"/>
      <c r="S389" s="242">
        <f t="shared" si="177"/>
        <v>0</v>
      </c>
    </row>
    <row r="390" spans="1:38" ht="20.25" customHeight="1">
      <c r="A390" s="23" t="str">
        <f t="shared" si="170"/>
        <v>BoutiqueFrais bancaires</v>
      </c>
      <c r="B390" s="184" t="s">
        <v>119</v>
      </c>
      <c r="C390" s="1" t="s">
        <v>63</v>
      </c>
      <c r="D390" s="30"/>
      <c r="F390" s="198">
        <f>+SUM(START:END!F390)</f>
        <v>0</v>
      </c>
      <c r="G390" s="240"/>
      <c r="I390" s="198">
        <f>+SUM(START:END!I390)</f>
        <v>0</v>
      </c>
      <c r="J390" s="152"/>
      <c r="L390" s="201">
        <f>+SUM(START:END!L390)</f>
        <v>0</v>
      </c>
      <c r="M390" s="152"/>
      <c r="N390" s="222">
        <f t="shared" si="179"/>
        <v>0</v>
      </c>
      <c r="O390" s="152"/>
      <c r="Q390" s="201">
        <f>+SUM(START:END!Q390)</f>
        <v>0</v>
      </c>
      <c r="R390" s="152"/>
      <c r="S390" s="242">
        <f t="shared" si="177"/>
        <v>0</v>
      </c>
    </row>
    <row r="391" spans="1:38" ht="15.75" hidden="1" customHeight="1">
      <c r="A391" s="23" t="str">
        <f t="shared" si="170"/>
        <v>Boutique[...]</v>
      </c>
      <c r="B391" s="184" t="s">
        <v>119</v>
      </c>
      <c r="C391" s="1" t="s">
        <v>20</v>
      </c>
      <c r="D391" s="30"/>
      <c r="F391" s="198">
        <f>+SUM(START:END!F391)</f>
        <v>0</v>
      </c>
      <c r="G391" s="240"/>
      <c r="I391" s="198">
        <f>+SUM(START:END!I391)</f>
        <v>0</v>
      </c>
      <c r="J391" s="152"/>
      <c r="L391" s="201">
        <f>+SUM(START:END!L391)</f>
        <v>0</v>
      </c>
      <c r="M391" s="152"/>
      <c r="N391" s="222">
        <f t="shared" si="178"/>
        <v>0</v>
      </c>
      <c r="O391" s="152"/>
      <c r="Q391" s="201">
        <f>+SUM(START:END!Q391)</f>
        <v>0</v>
      </c>
      <c r="R391" s="152"/>
      <c r="S391" s="242">
        <f t="shared" si="177"/>
        <v>0</v>
      </c>
    </row>
    <row r="392" spans="1:38" ht="15.75" hidden="1" customHeight="1">
      <c r="A392" s="23" t="str">
        <f t="shared" si="170"/>
        <v>Boutique[...]</v>
      </c>
      <c r="B392" s="184" t="s">
        <v>119</v>
      </c>
      <c r="C392" s="1" t="s">
        <v>20</v>
      </c>
      <c r="D392" s="30"/>
      <c r="F392" s="198">
        <f>+SUM(START:END!F392)</f>
        <v>0</v>
      </c>
      <c r="G392" s="240"/>
      <c r="I392" s="198">
        <f>+SUM(START:END!I392)</f>
        <v>0</v>
      </c>
      <c r="J392" s="152"/>
      <c r="L392" s="201">
        <f>+SUM(START:END!L392)</f>
        <v>0</v>
      </c>
      <c r="M392" s="152"/>
      <c r="N392" s="222">
        <f t="shared" si="178"/>
        <v>0</v>
      </c>
      <c r="O392" s="152"/>
      <c r="Q392" s="201">
        <f>+SUM(START:END!Q392)</f>
        <v>0</v>
      </c>
      <c r="R392" s="152"/>
      <c r="S392" s="242">
        <f t="shared" si="177"/>
        <v>0</v>
      </c>
    </row>
    <row r="393" spans="1:38" ht="15.75" hidden="1" customHeight="1">
      <c r="A393" s="23" t="str">
        <f t="shared" si="170"/>
        <v>Boutique[...]</v>
      </c>
      <c r="B393" s="184" t="s">
        <v>119</v>
      </c>
      <c r="C393" s="1" t="s">
        <v>20</v>
      </c>
      <c r="D393" s="34"/>
      <c r="E393" s="7"/>
      <c r="F393" s="198">
        <f>+SUM(START:END!F393)</f>
        <v>0</v>
      </c>
      <c r="G393" s="244"/>
      <c r="H393" s="7"/>
      <c r="I393" s="198">
        <f>+SUM(START:END!I393)</f>
        <v>0</v>
      </c>
      <c r="J393" s="153"/>
      <c r="K393" s="7"/>
      <c r="L393" s="201">
        <f>+SUM(START:END!L393)</f>
        <v>0</v>
      </c>
      <c r="M393" s="153"/>
      <c r="N393" s="247">
        <f t="shared" si="178"/>
        <v>0</v>
      </c>
      <c r="O393" s="153"/>
      <c r="P393" s="7"/>
      <c r="Q393" s="201">
        <f>+SUM(START:END!Q393)</f>
        <v>0</v>
      </c>
      <c r="R393" s="153"/>
      <c r="S393" s="248">
        <f t="shared" si="177"/>
        <v>0</v>
      </c>
    </row>
    <row r="394" spans="1:38" ht="15.75" customHeight="1">
      <c r="B394" s="181"/>
      <c r="C394" s="40" t="s">
        <v>64</v>
      </c>
      <c r="D394" s="250" t="s">
        <v>39</v>
      </c>
      <c r="E394" s="42">
        <f>IFERROR(F394/F$359,0)</f>
        <v>0</v>
      </c>
      <c r="F394" s="251">
        <f>+SUM(F377:F393)</f>
        <v>0</v>
      </c>
      <c r="G394" s="252" t="s">
        <v>39</v>
      </c>
      <c r="H394" s="42">
        <f>IFERROR(I394/I$359,0)</f>
        <v>0</v>
      </c>
      <c r="I394" s="251">
        <f>+SUM(I377:I393)</f>
        <v>0</v>
      </c>
      <c r="J394" s="252" t="s">
        <v>39</v>
      </c>
      <c r="K394" s="42">
        <f>IFERROR(L394/L$359,0)</f>
        <v>0</v>
      </c>
      <c r="L394" s="251">
        <f>+SUM(L377:L393)</f>
        <v>0</v>
      </c>
      <c r="M394" s="290"/>
      <c r="N394" s="251">
        <f>+SUM(N377:N393)</f>
        <v>0</v>
      </c>
      <c r="O394" s="252" t="s">
        <v>39</v>
      </c>
      <c r="P394" s="42">
        <f>IFERROR(Q394/Q$359,0)</f>
        <v>0</v>
      </c>
      <c r="Q394" s="251">
        <f>+SUM(Q377:Q393)</f>
        <v>0</v>
      </c>
      <c r="R394" s="290"/>
      <c r="S394" s="261">
        <f>+SUM(S377:S393)</f>
        <v>0</v>
      </c>
    </row>
    <row r="395" spans="1:38" ht="15.75" customHeight="1">
      <c r="B395" s="181"/>
      <c r="C395" s="1"/>
      <c r="F395" s="208"/>
      <c r="G395" s="152"/>
      <c r="I395" s="208"/>
      <c r="J395" s="152"/>
      <c r="L395" s="208"/>
      <c r="M395" s="156"/>
      <c r="N395" s="208"/>
      <c r="O395" s="152"/>
      <c r="Q395" s="208"/>
      <c r="R395" s="152"/>
      <c r="S395" s="394"/>
      <c r="T395" s="184"/>
      <c r="U395" s="184"/>
    </row>
    <row r="396" spans="1:38" ht="15.75" customHeight="1">
      <c r="B396" s="181"/>
      <c r="C396" s="40" t="s">
        <v>65</v>
      </c>
      <c r="D396" s="250" t="s">
        <v>39</v>
      </c>
      <c r="E396" s="42">
        <f>IFERROR(F396/F$359,0)</f>
        <v>0</v>
      </c>
      <c r="F396" s="251">
        <f>F376+F394</f>
        <v>0</v>
      </c>
      <c r="G396" s="252" t="s">
        <v>39</v>
      </c>
      <c r="H396" s="42">
        <f>IFERROR(I396/I$359,0)</f>
        <v>0</v>
      </c>
      <c r="I396" s="251">
        <f>I376+I394</f>
        <v>0</v>
      </c>
      <c r="J396" s="252" t="s">
        <v>39</v>
      </c>
      <c r="K396" s="42">
        <f>IFERROR(L396/L$359,0)</f>
        <v>0</v>
      </c>
      <c r="L396" s="251">
        <f>L376+L394</f>
        <v>0</v>
      </c>
      <c r="M396" s="158"/>
      <c r="N396" s="251">
        <f>N376+N394</f>
        <v>0</v>
      </c>
      <c r="O396" s="252" t="s">
        <v>39</v>
      </c>
      <c r="P396" s="42">
        <f>IFERROR(Q396/Q$359,0)</f>
        <v>0</v>
      </c>
      <c r="Q396" s="251">
        <f>Q376+Q394</f>
        <v>0</v>
      </c>
      <c r="R396" s="254"/>
      <c r="S396" s="255">
        <f>L396-Q396</f>
        <v>0</v>
      </c>
      <c r="T396" s="184"/>
      <c r="U396" s="184"/>
    </row>
    <row r="397" spans="1:38" ht="15.75" customHeight="1" thickBot="1">
      <c r="B397" s="181"/>
      <c r="C397" s="1"/>
      <c r="F397" s="222"/>
      <c r="G397" s="152"/>
      <c r="I397" s="222"/>
      <c r="J397" s="152"/>
      <c r="L397" s="222"/>
      <c r="M397" s="156"/>
      <c r="N397" s="222"/>
      <c r="O397" s="152"/>
      <c r="Q397" s="222"/>
      <c r="R397" s="152"/>
      <c r="S397" s="394"/>
    </row>
    <row r="398" spans="1:38" ht="15.75" customHeight="1" thickTop="1" thickBot="1">
      <c r="B398" s="181"/>
      <c r="C398" s="104" t="s">
        <v>72</v>
      </c>
      <c r="D398" s="105"/>
      <c r="E398" s="105"/>
      <c r="F398" s="395">
        <f>F361-F396</f>
        <v>0</v>
      </c>
      <c r="G398" s="396"/>
      <c r="H398" s="105"/>
      <c r="I398" s="395">
        <f>I361-I396</f>
        <v>0</v>
      </c>
      <c r="J398" s="397"/>
      <c r="K398" s="398"/>
      <c r="L398" s="395">
        <f>L361-L396</f>
        <v>0</v>
      </c>
      <c r="M398" s="396"/>
      <c r="N398" s="395">
        <f>N361-N396</f>
        <v>0</v>
      </c>
      <c r="O398" s="397"/>
      <c r="P398" s="398"/>
      <c r="Q398" s="395">
        <f>Q361-Q396</f>
        <v>0</v>
      </c>
      <c r="R398" s="397"/>
      <c r="S398" s="399">
        <f>L398-Q398</f>
        <v>0</v>
      </c>
    </row>
    <row r="399" spans="1:38" ht="15.75" customHeight="1" thickTop="1">
      <c r="B399" s="181"/>
      <c r="C399" s="73"/>
      <c r="D399" s="30"/>
      <c r="F399" s="26" t="e">
        <f>+F398-#REF!-#REF!-#REF!</f>
        <v>#REF!</v>
      </c>
      <c r="G399" s="30"/>
      <c r="I399" s="87"/>
      <c r="J399" s="73"/>
      <c r="K399" s="73"/>
      <c r="L399" s="26" t="e">
        <f>+L398-#REF!-#REF!-#REF!</f>
        <v>#REF!</v>
      </c>
      <c r="M399" s="73"/>
      <c r="N399" s="26" t="e">
        <f>+N398-#REF!-#REF!-#REF!</f>
        <v>#REF!</v>
      </c>
      <c r="O399" s="73"/>
      <c r="P399" s="73"/>
      <c r="Q399" s="26" t="e">
        <f>+Q398-#REF!-#REF!-#REF!</f>
        <v>#REF!</v>
      </c>
      <c r="R399" s="73"/>
      <c r="S399" s="26" t="e">
        <f>+S398-#REF!-#REF!-#REF!</f>
        <v>#REF!</v>
      </c>
    </row>
    <row r="400" spans="1:38" ht="15.75" customHeight="1">
      <c r="B400" s="181"/>
      <c r="L400" s="26"/>
      <c r="Z400" s="476" t="e">
        <f>+Z406-#REF!-#REF!-#REF!</f>
        <v>#REF!</v>
      </c>
      <c r="AF400" s="476" t="e">
        <f>+AF406-#REF!-#REF!-#REF!</f>
        <v>#REF!</v>
      </c>
      <c r="AH400" s="476" t="e">
        <f>+AH406-#REF!-#REF!-#REF!</f>
        <v>#REF!</v>
      </c>
      <c r="AL400" s="476" t="e">
        <f>+AL406-#REF!-#REF!-#REF!</f>
        <v>#REF!</v>
      </c>
    </row>
    <row r="401" spans="1:61" ht="44.25" customHeight="1">
      <c r="B401" s="181"/>
      <c r="V401" s="73" t="str">
        <f>C1</f>
        <v>Conso</v>
      </c>
      <c r="W401" s="73"/>
      <c r="X401" s="73"/>
      <c r="Y401" s="73"/>
      <c r="Z401" s="177"/>
      <c r="AA401" s="177"/>
      <c r="AB401" s="73"/>
      <c r="AC401" s="73"/>
      <c r="AD401" s="177"/>
      <c r="AE401" s="178" t="s">
        <v>121</v>
      </c>
      <c r="AF401" s="73"/>
      <c r="AG401" s="73"/>
      <c r="AH401" s="177"/>
      <c r="AI401" s="177"/>
      <c r="AJ401" s="400"/>
      <c r="AK401" s="6"/>
      <c r="AL401" s="177"/>
      <c r="AM401" s="73"/>
      <c r="AN401" s="73"/>
      <c r="AO401" s="180" t="str">
        <f>$S$1</f>
        <v xml:space="preserve">Réalisé  </v>
      </c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</row>
    <row r="402" spans="1:61" ht="15.75" customHeight="1" thickBot="1">
      <c r="B402" s="181"/>
      <c r="V402" s="6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</row>
    <row r="403" spans="1:61" ht="15.75" customHeight="1" thickTop="1" thickBot="1">
      <c r="A403" s="23" t="str">
        <f>+U403&amp;V403</f>
        <v/>
      </c>
      <c r="B403" s="181"/>
      <c r="V403" s="401"/>
      <c r="W403" s="402"/>
      <c r="X403" s="490" t="s">
        <v>122</v>
      </c>
      <c r="Y403" s="483"/>
      <c r="Z403" s="491"/>
      <c r="AA403" s="482" t="s">
        <v>74</v>
      </c>
      <c r="AB403" s="483"/>
      <c r="AC403" s="491"/>
      <c r="AD403" s="482" t="s">
        <v>7</v>
      </c>
      <c r="AE403" s="483"/>
      <c r="AF403" s="491"/>
      <c r="AG403" s="482" t="s">
        <v>124</v>
      </c>
      <c r="AH403" s="483"/>
      <c r="AI403" s="491"/>
      <c r="AJ403" s="482" t="s">
        <v>123</v>
      </c>
      <c r="AK403" s="483"/>
      <c r="AL403" s="483"/>
      <c r="AM403" s="482" t="s">
        <v>217</v>
      </c>
      <c r="AN403" s="483"/>
      <c r="AO403" s="484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</row>
    <row r="404" spans="1:61" ht="15.75" customHeight="1">
      <c r="A404" s="23" t="str">
        <f t="shared" ref="A404:A483" si="180">+U404&amp;V404</f>
        <v/>
      </c>
      <c r="B404" s="181"/>
      <c r="V404" s="2"/>
      <c r="W404" s="403" t="s">
        <v>125</v>
      </c>
      <c r="X404" s="403" t="s">
        <v>126</v>
      </c>
      <c r="Y404" s="403" t="s">
        <v>127</v>
      </c>
      <c r="Z404" s="404" t="s">
        <v>128</v>
      </c>
      <c r="AA404" s="403" t="s">
        <v>126</v>
      </c>
      <c r="AB404" s="403" t="s">
        <v>127</v>
      </c>
      <c r="AC404" s="404" t="s">
        <v>128</v>
      </c>
      <c r="AD404" s="405" t="s">
        <v>126</v>
      </c>
      <c r="AE404" s="403" t="s">
        <v>127</v>
      </c>
      <c r="AF404" s="403" t="s">
        <v>128</v>
      </c>
      <c r="AG404" s="405" t="s">
        <v>129</v>
      </c>
      <c r="AH404" s="403" t="s">
        <v>130</v>
      </c>
      <c r="AI404" s="403" t="s">
        <v>131</v>
      </c>
      <c r="AJ404" s="405" t="s">
        <v>126</v>
      </c>
      <c r="AK404" s="403" t="s">
        <v>127</v>
      </c>
      <c r="AL404" s="403" t="s">
        <v>128</v>
      </c>
      <c r="AM404" s="406" t="s">
        <v>129</v>
      </c>
      <c r="AN404" s="403" t="s">
        <v>130</v>
      </c>
      <c r="AO404" s="283" t="s">
        <v>131</v>
      </c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</row>
    <row r="405" spans="1:61" ht="15.75" customHeight="1">
      <c r="A405" s="23" t="str">
        <f t="shared" si="180"/>
        <v>Ventes nettes</v>
      </c>
      <c r="B405" s="181"/>
      <c r="T405" s="184"/>
      <c r="U405" s="184"/>
      <c r="V405" s="2" t="s">
        <v>15</v>
      </c>
      <c r="W405" s="7"/>
      <c r="X405" s="7"/>
      <c r="Y405" s="7"/>
      <c r="Z405" s="8">
        <f>F5+F93+E194+E250+D314+D361</f>
        <v>16892003.362321146</v>
      </c>
      <c r="AA405" s="7"/>
      <c r="AB405" s="7"/>
      <c r="AC405" s="8">
        <f>I5+I93+H194+H250+G314+G361</f>
        <v>0</v>
      </c>
      <c r="AD405" s="9"/>
      <c r="AE405" s="10"/>
      <c r="AF405" s="10">
        <f>L5+L93+K194+K250+J314+J361</f>
        <v>12663799.480000002</v>
      </c>
      <c r="AG405" s="9"/>
      <c r="AH405" s="10"/>
      <c r="AI405" s="11"/>
      <c r="AJ405" s="9"/>
      <c r="AK405" s="10"/>
      <c r="AL405" s="10">
        <f>Q5+Q93+P194+P250+O314+O361</f>
        <v>32561866.069999985</v>
      </c>
      <c r="AM405" s="12"/>
      <c r="AN405" s="10"/>
      <c r="AO405" s="13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</row>
    <row r="406" spans="1:61" ht="15.75" customHeight="1">
      <c r="A406" s="23" t="str">
        <f t="shared" si="180"/>
        <v>Profit brut</v>
      </c>
      <c r="B406" s="181"/>
      <c r="T406" s="184"/>
      <c r="U406" s="184"/>
      <c r="V406" s="14" t="s">
        <v>132</v>
      </c>
      <c r="W406" s="15"/>
      <c r="X406" s="15"/>
      <c r="Y406" s="15"/>
      <c r="Z406" s="16">
        <f>F27+F108+F194+F250+F314+F361</f>
        <v>2515613.3192112888</v>
      </c>
      <c r="AA406" s="15"/>
      <c r="AB406" s="15"/>
      <c r="AC406" s="16">
        <f>I27+I108+I194+I250+I314+I361</f>
        <v>0</v>
      </c>
      <c r="AD406" s="17"/>
      <c r="AE406" s="18"/>
      <c r="AF406" s="18">
        <f>L27+L108+L194+L250+L314+L361</f>
        <v>1865550.6700000002</v>
      </c>
      <c r="AG406" s="17"/>
      <c r="AH406" s="18">
        <f>AF406-Z406</f>
        <v>-650062.64921128866</v>
      </c>
      <c r="AI406" s="19">
        <f>AH406/Z406</f>
        <v>-0.25841119708139426</v>
      </c>
      <c r="AJ406" s="17"/>
      <c r="AK406" s="18"/>
      <c r="AL406" s="18">
        <f>Q27+Q108+Q194+Q250+Q314+Q361</f>
        <v>2083377.1499999978</v>
      </c>
      <c r="AM406" s="20"/>
      <c r="AN406" s="18">
        <f>AF406-AL406</f>
        <v>-217826.47999999765</v>
      </c>
      <c r="AO406" s="21">
        <f>IF(AL406=0,0,AN406/AL406)</f>
        <v>-0.10455451140951502</v>
      </c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</row>
    <row r="407" spans="1:61" ht="15.75" customHeight="1">
      <c r="A407" s="23" t="str">
        <f t="shared" si="180"/>
        <v>DÉPENSES</v>
      </c>
      <c r="B407" s="181"/>
      <c r="T407" s="184"/>
      <c r="U407" s="184"/>
      <c r="V407" s="22" t="s">
        <v>133</v>
      </c>
      <c r="Z407" s="24"/>
      <c r="AC407" s="24"/>
      <c r="AD407" s="25"/>
      <c r="AF407" s="26"/>
      <c r="AG407" s="25"/>
      <c r="AH407" s="26"/>
      <c r="AI407" s="27"/>
      <c r="AJ407" s="25"/>
      <c r="AL407" s="26"/>
      <c r="AM407" s="28"/>
      <c r="AN407" s="26"/>
      <c r="AO407" s="29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</row>
    <row r="408" spans="1:61" ht="15.75" customHeight="1">
      <c r="A408" s="23" t="str">
        <f t="shared" si="180"/>
        <v>Comm. vendeurs</v>
      </c>
      <c r="B408" s="181"/>
      <c r="T408" s="184"/>
      <c r="U408" s="184"/>
      <c r="V408" s="1" t="s">
        <v>31</v>
      </c>
      <c r="W408" s="30" t="s">
        <v>134</v>
      </c>
      <c r="Y408" s="31">
        <f>Z408/(D$13+D$97)</f>
        <v>846.10381074275904</v>
      </c>
      <c r="Z408" s="24">
        <f>+SUM(START:END!Z409)</f>
        <v>226250.27425214066</v>
      </c>
      <c r="AB408" s="31">
        <f>IF(AC408=0,0,AC408/(G$13+G$97))</f>
        <v>0</v>
      </c>
      <c r="AC408" s="24">
        <f>+SUM(START:END!AC409)</f>
        <v>0</v>
      </c>
      <c r="AD408" s="32"/>
      <c r="AE408" s="31">
        <f>IF(AF408=0,0,AF408/(J$13+J$97))</f>
        <v>684.64029268292688</v>
      </c>
      <c r="AF408" s="24">
        <f>+SUM(START:END!AF409)</f>
        <v>140351.26</v>
      </c>
      <c r="AG408" s="25">
        <f>AE408-Y408</f>
        <v>-161.46351805983215</v>
      </c>
      <c r="AH408" s="24">
        <f>AF408-Z408</f>
        <v>-85899.014252140652</v>
      </c>
      <c r="AI408" s="27">
        <f t="shared" ref="AI408:AI417" si="181">IF(Z408=0,0,AH408/Z408)</f>
        <v>-0.37966369117595855</v>
      </c>
      <c r="AJ408" s="32"/>
      <c r="AK408" s="26">
        <f>AL408/(O$13+O$97)</f>
        <v>633.59429657794669</v>
      </c>
      <c r="AL408" s="24">
        <f t="shared" ref="AL408:AL414" si="182">+SUMIF($C:$C,$V408,Q:Q)</f>
        <v>166635.29999999999</v>
      </c>
      <c r="AM408" s="28">
        <f t="shared" ref="AM408:AM417" si="183">AE408-AK408</f>
        <v>51.04599610498019</v>
      </c>
      <c r="AN408" s="26">
        <f t="shared" ref="AN408:AN418" si="184">AF408-AL408</f>
        <v>-26284.039999999979</v>
      </c>
      <c r="AO408" s="33">
        <f>IF(AL408=0,0,AN408/AL408)</f>
        <v>-0.15773392552478366</v>
      </c>
      <c r="AP408" s="184"/>
      <c r="AQ408" s="184"/>
      <c r="AR408" s="181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</row>
    <row r="409" spans="1:61" ht="15.75" customHeight="1">
      <c r="A409" s="23" t="str">
        <f t="shared" si="180"/>
        <v>Comm. F&amp;I</v>
      </c>
      <c r="B409" s="181"/>
      <c r="T409" s="184"/>
      <c r="U409" s="184"/>
      <c r="V409" s="2" t="s">
        <v>32</v>
      </c>
      <c r="W409" s="34" t="s">
        <v>135</v>
      </c>
      <c r="X409" s="7"/>
      <c r="Y409" s="35">
        <f t="shared" ref="Y409:Y414" si="185">Z409/(D$13+D$97)</f>
        <v>511.0436514243508</v>
      </c>
      <c r="Z409" s="8">
        <f>+SUM(START:END!Z410)</f>
        <v>136654.34999999998</v>
      </c>
      <c r="AA409" s="7"/>
      <c r="AB409" s="35">
        <f t="shared" ref="AB409:AB414" si="186">IF(AC409=0,0,AC409/(G$13+G$97))</f>
        <v>0</v>
      </c>
      <c r="AC409" s="8">
        <f>+SUM(START:END!AC410)</f>
        <v>0</v>
      </c>
      <c r="AD409" s="36"/>
      <c r="AE409" s="35">
        <f t="shared" ref="AE409:AE414" si="187">IF(AF409=0,0,AF409/(J$13+J$97))</f>
        <v>417.21429268292678</v>
      </c>
      <c r="AF409" s="8">
        <f>+SUM(START:END!AF410)</f>
        <v>85528.93</v>
      </c>
      <c r="AG409" s="9">
        <f t="shared" ref="AG409:AG414" si="188">AE409-Y409</f>
        <v>-93.829358741424016</v>
      </c>
      <c r="AH409" s="8">
        <f t="shared" ref="AH409:AH414" si="189">AF409-Z409</f>
        <v>-51125.419999999984</v>
      </c>
      <c r="AI409" s="37">
        <f t="shared" si="181"/>
        <v>-0.37412215564305118</v>
      </c>
      <c r="AJ409" s="36"/>
      <c r="AK409" s="10">
        <f t="shared" ref="AK409:AK414" si="190">AL409/(O$13+O$97)</f>
        <v>374.76384030418245</v>
      </c>
      <c r="AL409" s="8">
        <f t="shared" si="182"/>
        <v>98562.889999999985</v>
      </c>
      <c r="AM409" s="12">
        <f t="shared" si="183"/>
        <v>42.45045237874433</v>
      </c>
      <c r="AN409" s="10">
        <f t="shared" ref="AN409:AN414" si="191">AF409-AL409</f>
        <v>-13033.959999999992</v>
      </c>
      <c r="AO409" s="38">
        <f t="shared" ref="AO409:AO414" si="192">IF(AL409=0,0,AN409/AL409)</f>
        <v>-0.13224003476359097</v>
      </c>
      <c r="AP409" s="184"/>
      <c r="AQ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</row>
    <row r="410" spans="1:61" ht="15.75" customHeight="1">
      <c r="A410" s="23" t="str">
        <f t="shared" si="180"/>
        <v>Frais de livraison</v>
      </c>
      <c r="B410" s="181"/>
      <c r="T410" s="184"/>
      <c r="U410" s="184"/>
      <c r="V410" s="1" t="s">
        <v>33</v>
      </c>
      <c r="W410" s="30" t="s">
        <v>136</v>
      </c>
      <c r="Y410" s="31">
        <f t="shared" si="185"/>
        <v>81.180897710380407</v>
      </c>
      <c r="Z410" s="24">
        <f>+SUM(START:END!Z411)</f>
        <v>21707.974999999999</v>
      </c>
      <c r="AB410" s="31">
        <f t="shared" si="186"/>
        <v>0</v>
      </c>
      <c r="AC410" s="24">
        <f>+SUM(START:END!AC411)</f>
        <v>0</v>
      </c>
      <c r="AD410" s="32"/>
      <c r="AE410" s="31">
        <f t="shared" si="187"/>
        <v>84.014195121951218</v>
      </c>
      <c r="AF410" s="24">
        <f>+SUM(START:END!AF411)</f>
        <v>17222.91</v>
      </c>
      <c r="AG410" s="25">
        <f t="shared" si="188"/>
        <v>2.8332974115708112</v>
      </c>
      <c r="AH410" s="24">
        <f t="shared" si="189"/>
        <v>-4485.0649999999987</v>
      </c>
      <c r="AI410" s="27">
        <f t="shared" si="181"/>
        <v>-0.20660909181994169</v>
      </c>
      <c r="AJ410" s="32"/>
      <c r="AK410" s="26">
        <f t="shared" si="190"/>
        <v>106.87015209125475</v>
      </c>
      <c r="AL410" s="24">
        <f t="shared" si="182"/>
        <v>28106.85</v>
      </c>
      <c r="AM410" s="28">
        <f t="shared" si="183"/>
        <v>-22.855956969303534</v>
      </c>
      <c r="AN410" s="26">
        <f t="shared" si="191"/>
        <v>-10883.939999999999</v>
      </c>
      <c r="AO410" s="33">
        <f t="shared" si="192"/>
        <v>-0.38723442861793472</v>
      </c>
      <c r="AP410" s="184"/>
      <c r="AQ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</row>
    <row r="411" spans="1:61" ht="15.75" customHeight="1">
      <c r="A411" s="23" t="str">
        <f t="shared" si="180"/>
        <v>Service gratuit 1</v>
      </c>
      <c r="B411" s="181"/>
      <c r="T411" s="184"/>
      <c r="U411" s="184"/>
      <c r="V411" s="1" t="s">
        <v>34</v>
      </c>
      <c r="W411" s="30" t="s">
        <v>137</v>
      </c>
      <c r="Y411" s="31">
        <f t="shared" si="185"/>
        <v>4.6551827301539817</v>
      </c>
      <c r="Z411" s="24">
        <f>+SUM(START:END!Z412)</f>
        <v>1244.8075000000001</v>
      </c>
      <c r="AB411" s="31">
        <f t="shared" si="186"/>
        <v>0</v>
      </c>
      <c r="AC411" s="24">
        <f>+SUM(START:END!AC412)</f>
        <v>0</v>
      </c>
      <c r="AD411" s="32"/>
      <c r="AE411" s="31">
        <f t="shared" si="187"/>
        <v>45.542585365853668</v>
      </c>
      <c r="AF411" s="24">
        <f>+SUM(START:END!AF412)</f>
        <v>9336.2300000000014</v>
      </c>
      <c r="AG411" s="25">
        <f t="shared" si="188"/>
        <v>40.887402635699686</v>
      </c>
      <c r="AH411" s="24">
        <f t="shared" si="189"/>
        <v>8091.4225000000015</v>
      </c>
      <c r="AI411" s="27">
        <f t="shared" si="181"/>
        <v>6.50013957981455</v>
      </c>
      <c r="AJ411" s="32"/>
      <c r="AK411" s="26">
        <f t="shared" si="190"/>
        <v>45.379277566539926</v>
      </c>
      <c r="AL411" s="24">
        <f t="shared" si="182"/>
        <v>11934.75</v>
      </c>
      <c r="AM411" s="28">
        <f t="shared" si="183"/>
        <v>0.16330779931374195</v>
      </c>
      <c r="AN411" s="26">
        <f t="shared" si="191"/>
        <v>-2598.5199999999986</v>
      </c>
      <c r="AO411" s="39">
        <f t="shared" si="192"/>
        <v>-0.21772722511992279</v>
      </c>
      <c r="AP411" s="184"/>
      <c r="AQ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</row>
    <row r="412" spans="1:61" ht="15.75" customHeight="1">
      <c r="A412" s="23" t="str">
        <f t="shared" si="180"/>
        <v>Entretien stock</v>
      </c>
      <c r="B412" s="181"/>
      <c r="T412" s="184"/>
      <c r="U412" s="184"/>
      <c r="V412" s="2" t="s">
        <v>35</v>
      </c>
      <c r="W412" s="34"/>
      <c r="X412" s="7"/>
      <c r="Y412" s="35">
        <f t="shared" si="185"/>
        <v>118.25026131019715</v>
      </c>
      <c r="Z412" s="8">
        <f>+SUM(START:END!Z413)</f>
        <v>31620.415499999996</v>
      </c>
      <c r="AA412" s="7"/>
      <c r="AB412" s="35">
        <f t="shared" si="186"/>
        <v>0</v>
      </c>
      <c r="AC412" s="8">
        <f>+SUM(START:END!AC413)</f>
        <v>0</v>
      </c>
      <c r="AD412" s="36"/>
      <c r="AE412" s="35">
        <f t="shared" si="187"/>
        <v>165.34970731707318</v>
      </c>
      <c r="AF412" s="8">
        <f>+SUM(START:END!AF413)</f>
        <v>33896.69</v>
      </c>
      <c r="AG412" s="9">
        <f t="shared" si="188"/>
        <v>47.099446006876036</v>
      </c>
      <c r="AH412" s="8">
        <f t="shared" si="189"/>
        <v>2276.2745000000068</v>
      </c>
      <c r="AI412" s="37">
        <f t="shared" si="181"/>
        <v>7.1987494914480393E-2</v>
      </c>
      <c r="AJ412" s="36"/>
      <c r="AK412" s="10">
        <f t="shared" si="190"/>
        <v>107.57414448669202</v>
      </c>
      <c r="AL412" s="8">
        <f t="shared" si="182"/>
        <v>28292</v>
      </c>
      <c r="AM412" s="12">
        <f t="shared" si="183"/>
        <v>57.775562830381162</v>
      </c>
      <c r="AN412" s="10">
        <f t="shared" si="191"/>
        <v>5604.6900000000023</v>
      </c>
      <c r="AO412" s="38">
        <f t="shared" si="192"/>
        <v>0.19810158348649803</v>
      </c>
      <c r="AP412" s="184"/>
      <c r="AQ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</row>
    <row r="413" spans="1:61" ht="15.75" customHeight="1">
      <c r="A413" s="23" t="str">
        <f t="shared" si="180"/>
        <v>Publicité 1</v>
      </c>
      <c r="B413" s="181"/>
      <c r="T413" s="184"/>
      <c r="U413" s="184"/>
      <c r="V413" s="1" t="s">
        <v>36</v>
      </c>
      <c r="W413" s="30" t="s">
        <v>138</v>
      </c>
      <c r="X413" s="27"/>
      <c r="Y413" s="31">
        <f t="shared" si="185"/>
        <v>207.90662016996848</v>
      </c>
      <c r="Z413" s="24">
        <f>+SUM(START:END!Z414)</f>
        <v>55594.75</v>
      </c>
      <c r="AA413" s="27"/>
      <c r="AB413" s="31">
        <f t="shared" si="186"/>
        <v>0</v>
      </c>
      <c r="AC413" s="24">
        <f>+SUM(START:END!AC414)</f>
        <v>0</v>
      </c>
      <c r="AD413" s="32"/>
      <c r="AE413" s="31">
        <f t="shared" si="187"/>
        <v>387.22429268292683</v>
      </c>
      <c r="AF413" s="24">
        <f>+SUM(START:END!AF414)</f>
        <v>79380.98</v>
      </c>
      <c r="AG413" s="25">
        <f t="shared" si="188"/>
        <v>179.31767251295835</v>
      </c>
      <c r="AH413" s="24">
        <f t="shared" si="189"/>
        <v>23786.229999999996</v>
      </c>
      <c r="AI413" s="27">
        <f t="shared" si="181"/>
        <v>0.42785029161926252</v>
      </c>
      <c r="AJ413" s="32"/>
      <c r="AK413" s="26">
        <f t="shared" si="190"/>
        <v>263.64676806083639</v>
      </c>
      <c r="AL413" s="24">
        <f t="shared" si="182"/>
        <v>69339.099999999977</v>
      </c>
      <c r="AM413" s="28">
        <f t="shared" si="183"/>
        <v>123.57752462209044</v>
      </c>
      <c r="AN413" s="26">
        <f t="shared" si="191"/>
        <v>10041.880000000019</v>
      </c>
      <c r="AO413" s="33">
        <f t="shared" si="192"/>
        <v>0.14482276233755589</v>
      </c>
      <c r="AP413" s="184"/>
      <c r="AQ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</row>
    <row r="414" spans="1:61" ht="15.75" customHeight="1">
      <c r="A414" s="23" t="str">
        <f t="shared" si="180"/>
        <v>Intérêt de gros</v>
      </c>
      <c r="B414" s="181"/>
      <c r="T414" s="184"/>
      <c r="U414" s="184"/>
      <c r="V414" s="1" t="s">
        <v>37</v>
      </c>
      <c r="W414" s="30" t="s">
        <v>139</v>
      </c>
      <c r="Y414" s="31">
        <f t="shared" si="185"/>
        <v>241.22564255665273</v>
      </c>
      <c r="Z414" s="24">
        <f>+SUM(START:END!Z415)</f>
        <v>64504.33988375534</v>
      </c>
      <c r="AB414" s="31">
        <f t="shared" si="186"/>
        <v>0</v>
      </c>
      <c r="AC414" s="24">
        <f>+SUM(START:END!AC415)</f>
        <v>0</v>
      </c>
      <c r="AD414" s="32"/>
      <c r="AE414" s="31">
        <f t="shared" si="187"/>
        <v>-30.341658536585371</v>
      </c>
      <c r="AF414" s="24">
        <f>+SUM(START:END!AF415)</f>
        <v>-6220.0400000000009</v>
      </c>
      <c r="AG414" s="25">
        <f t="shared" si="188"/>
        <v>-271.56730109323809</v>
      </c>
      <c r="AH414" s="24">
        <f t="shared" si="189"/>
        <v>-70724.379883755348</v>
      </c>
      <c r="AI414" s="27">
        <f t="shared" si="181"/>
        <v>-1.0964282405061314</v>
      </c>
      <c r="AJ414" s="32"/>
      <c r="AK414" s="26">
        <f t="shared" si="190"/>
        <v>143.08471482889735</v>
      </c>
      <c r="AL414" s="24">
        <f t="shared" si="182"/>
        <v>37631.279999999999</v>
      </c>
      <c r="AM414" s="28">
        <f t="shared" si="183"/>
        <v>-173.42637336548273</v>
      </c>
      <c r="AN414" s="26">
        <f t="shared" si="191"/>
        <v>-43851.32</v>
      </c>
      <c r="AO414" s="33">
        <f t="shared" si="192"/>
        <v>-1.1652890892895484</v>
      </c>
      <c r="AP414" s="184"/>
      <c r="AQ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</row>
    <row r="415" spans="1:61" ht="15.75" hidden="1" customHeight="1">
      <c r="A415" s="23" t="str">
        <f t="shared" si="180"/>
        <v>[...]</v>
      </c>
      <c r="B415" s="181"/>
      <c r="T415" s="184"/>
      <c r="U415" s="184"/>
      <c r="V415" s="1" t="s">
        <v>20</v>
      </c>
      <c r="W415" s="30"/>
      <c r="X415" s="27"/>
      <c r="Y415" s="31">
        <f t="shared" ref="Y415:Y417" si="193">Z415/(D$13+D$97)</f>
        <v>0</v>
      </c>
      <c r="Z415" s="24">
        <f>+SUM(START:END!Z416)</f>
        <v>0</v>
      </c>
      <c r="AB415" s="31">
        <f t="shared" ref="AB415:AB417" si="194">IF(AC415=0,0,AC415/(G$13+G$97))</f>
        <v>0</v>
      </c>
      <c r="AC415" s="24">
        <f>+SUM(START:END!AC416)</f>
        <v>0</v>
      </c>
      <c r="AD415" s="32"/>
      <c r="AE415" s="31">
        <f t="shared" ref="AE415:AE417" si="195">IF(AF415=0,0,AF415/(J$13+J$97))</f>
        <v>0</v>
      </c>
      <c r="AF415" s="24">
        <f>+SUM(START:END!AF416)</f>
        <v>0</v>
      </c>
      <c r="AG415" s="25">
        <f t="shared" ref="AG415:AG417" si="196">AE415-AB415</f>
        <v>0</v>
      </c>
      <c r="AH415" s="24">
        <f t="shared" ref="AH415:AH417" si="197">AF415-AC415</f>
        <v>0</v>
      </c>
      <c r="AI415" s="27">
        <f t="shared" si="181"/>
        <v>0</v>
      </c>
      <c r="AJ415" s="32"/>
      <c r="AK415" s="26">
        <f t="shared" ref="AK415:AK417" si="198">AL415/(O$13+O$97)</f>
        <v>0</v>
      </c>
      <c r="AL415" s="24"/>
      <c r="AM415" s="28">
        <f t="shared" si="183"/>
        <v>0</v>
      </c>
      <c r="AN415" s="26">
        <f t="shared" ref="AN415:AN417" si="199">AF415-AL415</f>
        <v>0</v>
      </c>
      <c r="AO415" s="33">
        <f t="shared" ref="AO415:AO417" si="200">IF(AL415=0,0,AN415/AL415)</f>
        <v>0</v>
      </c>
      <c r="AP415" s="184"/>
      <c r="AQ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</row>
    <row r="416" spans="1:61" ht="15.75" hidden="1" customHeight="1">
      <c r="A416" s="23" t="str">
        <f t="shared" si="180"/>
        <v>[...]</v>
      </c>
      <c r="B416" s="181"/>
      <c r="T416" s="184"/>
      <c r="U416" s="184"/>
      <c r="V416" s="1" t="s">
        <v>20</v>
      </c>
      <c r="W416" s="30"/>
      <c r="X416" s="27"/>
      <c r="Y416" s="31">
        <f t="shared" si="193"/>
        <v>0</v>
      </c>
      <c r="Z416" s="24">
        <f>+SUM(START:END!Z417)</f>
        <v>0</v>
      </c>
      <c r="AB416" s="31">
        <f t="shared" si="194"/>
        <v>0</v>
      </c>
      <c r="AC416" s="24">
        <f>+SUM(START:END!AC417)</f>
        <v>0</v>
      </c>
      <c r="AD416" s="32"/>
      <c r="AE416" s="31">
        <f t="shared" si="195"/>
        <v>0</v>
      </c>
      <c r="AF416" s="24">
        <f>+SUM(START:END!AF417)</f>
        <v>0</v>
      </c>
      <c r="AG416" s="25">
        <f t="shared" si="196"/>
        <v>0</v>
      </c>
      <c r="AH416" s="24">
        <f t="shared" si="197"/>
        <v>0</v>
      </c>
      <c r="AI416" s="27">
        <f t="shared" si="181"/>
        <v>0</v>
      </c>
      <c r="AJ416" s="32"/>
      <c r="AK416" s="26">
        <f t="shared" si="198"/>
        <v>0</v>
      </c>
      <c r="AL416" s="24"/>
      <c r="AM416" s="28">
        <f t="shared" si="183"/>
        <v>0</v>
      </c>
      <c r="AN416" s="26">
        <f t="shared" si="199"/>
        <v>0</v>
      </c>
      <c r="AO416" s="33">
        <f t="shared" si="200"/>
        <v>0</v>
      </c>
      <c r="AP416" s="184"/>
      <c r="AQ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</row>
    <row r="417" spans="1:61" ht="15.75" hidden="1" customHeight="1">
      <c r="A417" s="23" t="str">
        <f t="shared" si="180"/>
        <v>[...]</v>
      </c>
      <c r="B417" s="181"/>
      <c r="T417" s="184"/>
      <c r="U417" s="184"/>
      <c r="V417" s="1" t="s">
        <v>20</v>
      </c>
      <c r="W417" s="30"/>
      <c r="Y417" s="31">
        <f t="shared" si="193"/>
        <v>0</v>
      </c>
      <c r="Z417" s="24">
        <f>+SUM(START:END!Z418)</f>
        <v>0</v>
      </c>
      <c r="AB417" s="31">
        <f t="shared" si="194"/>
        <v>0</v>
      </c>
      <c r="AC417" s="24">
        <f>+SUM(START:END!AC418)</f>
        <v>0</v>
      </c>
      <c r="AD417" s="32"/>
      <c r="AE417" s="31">
        <f t="shared" si="195"/>
        <v>0</v>
      </c>
      <c r="AF417" s="24">
        <f>+SUM(START:END!AF418)</f>
        <v>0</v>
      </c>
      <c r="AG417" s="25">
        <f t="shared" si="196"/>
        <v>0</v>
      </c>
      <c r="AH417" s="24">
        <f t="shared" si="197"/>
        <v>0</v>
      </c>
      <c r="AI417" s="27">
        <f t="shared" si="181"/>
        <v>0</v>
      </c>
      <c r="AJ417" s="32"/>
      <c r="AK417" s="26">
        <f t="shared" si="198"/>
        <v>0</v>
      </c>
      <c r="AL417" s="24"/>
      <c r="AM417" s="28">
        <f t="shared" si="183"/>
        <v>0</v>
      </c>
      <c r="AN417" s="26">
        <f t="shared" si="199"/>
        <v>0</v>
      </c>
      <c r="AO417" s="33">
        <f t="shared" si="200"/>
        <v>0</v>
      </c>
      <c r="AP417" s="184"/>
      <c r="AQ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</row>
    <row r="418" spans="1:61" ht="15.75" customHeight="1">
      <c r="A418" s="23" t="str">
        <f t="shared" si="180"/>
        <v>TOTAL VARIABLES</v>
      </c>
      <c r="B418" s="181"/>
      <c r="T418" s="184"/>
      <c r="U418" s="184"/>
      <c r="V418" s="40" t="s">
        <v>38</v>
      </c>
      <c r="W418" s="41"/>
      <c r="X418" s="42">
        <f>Z418/Z406</f>
        <v>0.21369616229589708</v>
      </c>
      <c r="Y418" s="41"/>
      <c r="Z418" s="43">
        <f>SUM(Z408:Z417)</f>
        <v>537576.91213589592</v>
      </c>
      <c r="AA418" s="42" t="e">
        <f>AC418/AC406</f>
        <v>#DIV/0!</v>
      </c>
      <c r="AB418" s="41"/>
      <c r="AC418" s="43">
        <f>SUM(AC408:AC417)</f>
        <v>0</v>
      </c>
      <c r="AD418" s="44">
        <f>AF418/AF406</f>
        <v>0.19270286558338295</v>
      </c>
      <c r="AE418" s="41"/>
      <c r="AF418" s="43">
        <f>SUM(AF408:AF417)</f>
        <v>359496.96000000002</v>
      </c>
      <c r="AG418" s="45"/>
      <c r="AH418" s="43">
        <f>SUM(AH408:AH417)</f>
        <v>-178079.95213589596</v>
      </c>
      <c r="AI418" s="42">
        <f>AH418/Z418</f>
        <v>-0.33126413749494976</v>
      </c>
      <c r="AJ418" s="44">
        <f>IF($AL$406=0,0,AL418/$AL$406)</f>
        <v>0.21143659466554118</v>
      </c>
      <c r="AK418" s="41"/>
      <c r="AL418" s="43">
        <f>SUM(AL408:AL417)</f>
        <v>440502.16999999993</v>
      </c>
      <c r="AM418" s="47"/>
      <c r="AN418" s="46">
        <f t="shared" si="184"/>
        <v>-81005.209999999905</v>
      </c>
      <c r="AO418" s="21">
        <f>IF(AL418=0,0,AN418/AL418)</f>
        <v>-0.18389287389889569</v>
      </c>
      <c r="AP418" s="184"/>
      <c r="AQ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</row>
    <row r="419" spans="1:61" ht="15.75" customHeight="1">
      <c r="A419" s="23" t="str">
        <f t="shared" si="180"/>
        <v>Salaires propriétaire</v>
      </c>
      <c r="B419" s="181"/>
      <c r="O419" s="407"/>
      <c r="P419" s="26"/>
      <c r="T419" s="184"/>
      <c r="U419" s="184"/>
      <c r="V419" s="1" t="s">
        <v>140</v>
      </c>
      <c r="W419" s="30" t="s">
        <v>141</v>
      </c>
      <c r="Z419" s="24">
        <f>+SUM(START:END!Z420)</f>
        <v>43006.599999999991</v>
      </c>
      <c r="AB419" s="23">
        <f t="shared" ref="AB419:AB429" si="201">IF(AC419=0,0,AC419/(G$13+G$97))</f>
        <v>0</v>
      </c>
      <c r="AC419" s="24">
        <f>+SUM(START:END!AC420)</f>
        <v>0</v>
      </c>
      <c r="AD419" s="32"/>
      <c r="AE419" s="31"/>
      <c r="AF419" s="24">
        <f>+SUM(START:END!AF420)</f>
        <v>45658.12999999999</v>
      </c>
      <c r="AG419" s="25"/>
      <c r="AH419" s="24">
        <f t="shared" ref="AH419:AH430" si="202">AF419-Z419</f>
        <v>2651.5299999999988</v>
      </c>
      <c r="AI419" s="27">
        <f t="shared" ref="AI419:AI431" si="203">IF(Z419=0,0,AH419/Z419)</f>
        <v>6.1654025196132674E-2</v>
      </c>
      <c r="AJ419" s="32"/>
      <c r="AL419" s="24">
        <f>+SUM(START:END!AL420)</f>
        <v>33749.979999999996</v>
      </c>
      <c r="AM419" s="28"/>
      <c r="AN419" s="26">
        <f t="shared" ref="AN419:AN429" si="204">AF419-AL419</f>
        <v>11908.149999999994</v>
      </c>
      <c r="AO419" s="33">
        <f t="shared" ref="AO419:AO429" si="205">IF(AL419=0,0,AN419/AL419)</f>
        <v>0.35283428316105658</v>
      </c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</row>
    <row r="420" spans="1:61" ht="15.75" customHeight="1">
      <c r="A420" s="23" t="str">
        <f t="shared" si="180"/>
        <v>Salaires cadres</v>
      </c>
      <c r="B420" s="181"/>
      <c r="O420" s="407"/>
      <c r="P420" s="26"/>
      <c r="T420" s="184"/>
      <c r="U420" s="184"/>
      <c r="V420" s="1" t="s">
        <v>41</v>
      </c>
      <c r="W420" s="30" t="s">
        <v>142</v>
      </c>
      <c r="Z420" s="24">
        <f>+SUM(START:END!Z421)</f>
        <v>168909</v>
      </c>
      <c r="AB420" s="23">
        <f t="shared" si="201"/>
        <v>0</v>
      </c>
      <c r="AC420" s="24">
        <f>+SUM(START:END!AC421)</f>
        <v>0</v>
      </c>
      <c r="AD420" s="32"/>
      <c r="AE420" s="31"/>
      <c r="AF420" s="24">
        <f>+SUM(START:END!AF421)</f>
        <v>135949.34</v>
      </c>
      <c r="AG420" s="25"/>
      <c r="AH420" s="24">
        <f t="shared" si="202"/>
        <v>-32959.660000000003</v>
      </c>
      <c r="AI420" s="27">
        <f t="shared" si="203"/>
        <v>-0.19513264538893726</v>
      </c>
      <c r="AJ420" s="32"/>
      <c r="AL420" s="24">
        <f>+SUMIF($C:$C,$V420,Q:Q)</f>
        <v>149962.46</v>
      </c>
      <c r="AM420" s="28"/>
      <c r="AN420" s="26">
        <f t="shared" si="204"/>
        <v>-14013.119999999995</v>
      </c>
      <c r="AO420" s="33">
        <f t="shared" si="205"/>
        <v>-9.3444185964940793E-2</v>
      </c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</row>
    <row r="421" spans="1:61" ht="15.75" customHeight="1">
      <c r="A421" s="23" t="str">
        <f t="shared" si="180"/>
        <v>Salaires commis</v>
      </c>
      <c r="B421" s="181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408"/>
      <c r="P421" s="26"/>
      <c r="Q421" s="184"/>
      <c r="R421" s="184"/>
      <c r="S421" s="184"/>
      <c r="T421" s="184"/>
      <c r="U421" s="184"/>
      <c r="V421" s="2" t="s">
        <v>42</v>
      </c>
      <c r="W421" s="34" t="s">
        <v>143</v>
      </c>
      <c r="X421" s="7"/>
      <c r="Y421" s="7"/>
      <c r="Z421" s="8">
        <f>+SUM(START:END!Z422)</f>
        <v>178873.24</v>
      </c>
      <c r="AA421" s="7"/>
      <c r="AB421" s="7">
        <f t="shared" si="201"/>
        <v>0</v>
      </c>
      <c r="AC421" s="8">
        <f>+SUM(START:END!AC422)</f>
        <v>0</v>
      </c>
      <c r="AD421" s="36"/>
      <c r="AE421" s="35"/>
      <c r="AF421" s="8">
        <f>+SUM(START:END!AF422)</f>
        <v>156267.62</v>
      </c>
      <c r="AG421" s="9"/>
      <c r="AH421" s="8">
        <f t="shared" si="202"/>
        <v>-22605.619999999995</v>
      </c>
      <c r="AI421" s="37">
        <f t="shared" si="203"/>
        <v>-0.12637787519251062</v>
      </c>
      <c r="AJ421" s="36"/>
      <c r="AK421" s="7"/>
      <c r="AL421" s="8">
        <f>+SUMIF($C:$C,$V421,Q:Q)</f>
        <v>148941.32</v>
      </c>
      <c r="AM421" s="12"/>
      <c r="AN421" s="10">
        <f t="shared" si="204"/>
        <v>7326.2999999999884</v>
      </c>
      <c r="AO421" s="13">
        <f t="shared" si="205"/>
        <v>4.9189170607592224E-2</v>
      </c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</row>
    <row r="422" spans="1:61" ht="15.75" customHeight="1">
      <c r="A422" s="23" t="str">
        <f t="shared" si="180"/>
        <v>Salaires autres</v>
      </c>
      <c r="B422" s="181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408"/>
      <c r="P422" s="26"/>
      <c r="Q422" s="184"/>
      <c r="R422" s="184"/>
      <c r="S422" s="184"/>
      <c r="T422" s="184"/>
      <c r="U422" s="184"/>
      <c r="V422" s="1" t="s">
        <v>43</v>
      </c>
      <c r="W422" s="30" t="s">
        <v>144</v>
      </c>
      <c r="Z422" s="24">
        <f>+SUM(START:END!Z423)</f>
        <v>84057.799999999988</v>
      </c>
      <c r="AB422" s="23">
        <f t="shared" si="201"/>
        <v>0</v>
      </c>
      <c r="AC422" s="24">
        <f>+SUM(START:END!AC423)</f>
        <v>0</v>
      </c>
      <c r="AD422" s="32"/>
      <c r="AE422" s="31"/>
      <c r="AF422" s="24">
        <f>+SUM(START:END!AF423)</f>
        <v>97692.53</v>
      </c>
      <c r="AG422" s="25"/>
      <c r="AH422" s="24">
        <f t="shared" si="202"/>
        <v>13634.73000000001</v>
      </c>
      <c r="AI422" s="27">
        <f t="shared" si="203"/>
        <v>0.16220660069618778</v>
      </c>
      <c r="AJ422" s="32"/>
      <c r="AL422" s="24">
        <f>+SUMIF($C:$C,$V422,Q:Q)</f>
        <v>124237.18</v>
      </c>
      <c r="AM422" s="28"/>
      <c r="AN422" s="26">
        <f t="shared" si="204"/>
        <v>-26544.649999999994</v>
      </c>
      <c r="AO422" s="33">
        <f t="shared" si="205"/>
        <v>-0.21366107955766539</v>
      </c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</row>
    <row r="423" spans="1:61" ht="15.75" customHeight="1">
      <c r="A423" s="23" t="str">
        <f t="shared" si="180"/>
        <v>Salaires spécialistes</v>
      </c>
      <c r="B423" s="181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408"/>
      <c r="P423" s="26"/>
      <c r="Q423" s="184"/>
      <c r="R423" s="184"/>
      <c r="S423" s="184"/>
      <c r="T423" s="184"/>
      <c r="U423" s="184"/>
      <c r="V423" s="1" t="s">
        <v>44</v>
      </c>
      <c r="W423" s="30" t="s">
        <v>145</v>
      </c>
      <c r="Z423" s="24">
        <f>+SUM(START:END!Z424)</f>
        <v>105614.39012806673</v>
      </c>
      <c r="AB423" s="23">
        <f t="shared" si="201"/>
        <v>0</v>
      </c>
      <c r="AC423" s="24">
        <f>+SUM(START:END!AC424)</f>
        <v>0</v>
      </c>
      <c r="AD423" s="32"/>
      <c r="AE423" s="31"/>
      <c r="AF423" s="24">
        <f>+SUM(START:END!AF424)</f>
        <v>89259.56</v>
      </c>
      <c r="AG423" s="25"/>
      <c r="AH423" s="24">
        <f t="shared" si="202"/>
        <v>-16354.830128066737</v>
      </c>
      <c r="AI423" s="27">
        <f t="shared" si="203"/>
        <v>-0.15485418330054329</v>
      </c>
      <c r="AJ423" s="32"/>
      <c r="AL423" s="24">
        <f>+SUMIF($C:$C,$V423,Q:Q)</f>
        <v>106021.31999999999</v>
      </c>
      <c r="AM423" s="28"/>
      <c r="AN423" s="26">
        <f t="shared" si="204"/>
        <v>-16761.759999999995</v>
      </c>
      <c r="AO423" s="33">
        <f t="shared" si="205"/>
        <v>-0.15809801273932447</v>
      </c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</row>
    <row r="424" spans="1:61" ht="15.75" hidden="1" customHeight="1">
      <c r="A424" s="23" t="str">
        <f t="shared" si="180"/>
        <v>[...]</v>
      </c>
      <c r="B424" s="181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408"/>
      <c r="P424" s="26"/>
      <c r="Q424" s="184"/>
      <c r="R424" s="184"/>
      <c r="S424" s="184"/>
      <c r="T424" s="184"/>
      <c r="U424" s="184"/>
      <c r="V424" s="1" t="s">
        <v>20</v>
      </c>
      <c r="W424" s="30"/>
      <c r="Z424" s="24">
        <f>+SUM(START:END!Z425)</f>
        <v>0</v>
      </c>
      <c r="AB424" s="23">
        <f t="shared" si="201"/>
        <v>0</v>
      </c>
      <c r="AC424" s="24">
        <f>+SUM(START:END!AC425)</f>
        <v>0</v>
      </c>
      <c r="AD424" s="32"/>
      <c r="AE424" s="31"/>
      <c r="AF424" s="24">
        <f>+SUM(START:END!AF425)</f>
        <v>0</v>
      </c>
      <c r="AG424" s="25"/>
      <c r="AH424" s="24">
        <f t="shared" si="202"/>
        <v>0</v>
      </c>
      <c r="AI424" s="27">
        <f t="shared" si="203"/>
        <v>0</v>
      </c>
      <c r="AJ424" s="32"/>
      <c r="AL424" s="24"/>
      <c r="AM424" s="28"/>
      <c r="AN424" s="26">
        <f t="shared" si="204"/>
        <v>0</v>
      </c>
      <c r="AO424" s="33">
        <f t="shared" si="205"/>
        <v>0</v>
      </c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</row>
    <row r="425" spans="1:61" ht="15.75" hidden="1" customHeight="1">
      <c r="A425" s="23" t="str">
        <f t="shared" si="180"/>
        <v>[...]</v>
      </c>
      <c r="B425" s="181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408"/>
      <c r="P425" s="26"/>
      <c r="Q425" s="184"/>
      <c r="R425" s="184"/>
      <c r="S425" s="184"/>
      <c r="T425" s="184"/>
      <c r="U425" s="184"/>
      <c r="V425" s="1" t="s">
        <v>20</v>
      </c>
      <c r="W425" s="30"/>
      <c r="Z425" s="24">
        <f>+SUM(START:END!Z426)</f>
        <v>0</v>
      </c>
      <c r="AB425" s="23">
        <f t="shared" si="201"/>
        <v>0</v>
      </c>
      <c r="AC425" s="24">
        <f>+SUM(START:END!AC426)</f>
        <v>0</v>
      </c>
      <c r="AD425" s="32"/>
      <c r="AE425" s="31"/>
      <c r="AF425" s="24">
        <f>+SUM(START:END!AF426)</f>
        <v>0</v>
      </c>
      <c r="AG425" s="25"/>
      <c r="AH425" s="24">
        <f t="shared" si="202"/>
        <v>0</v>
      </c>
      <c r="AI425" s="27">
        <f t="shared" si="203"/>
        <v>0</v>
      </c>
      <c r="AJ425" s="32"/>
      <c r="AL425" s="24"/>
      <c r="AM425" s="28"/>
      <c r="AN425" s="26">
        <f t="shared" si="204"/>
        <v>0</v>
      </c>
      <c r="AO425" s="33">
        <f t="shared" si="205"/>
        <v>0</v>
      </c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</row>
    <row r="426" spans="1:61" ht="15.75" hidden="1" customHeight="1">
      <c r="A426" s="23" t="str">
        <f t="shared" si="180"/>
        <v>[...]</v>
      </c>
      <c r="B426" s="181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408"/>
      <c r="P426" s="26"/>
      <c r="Q426" s="184"/>
      <c r="R426" s="184"/>
      <c r="S426" s="184"/>
      <c r="T426" s="184"/>
      <c r="U426" s="184"/>
      <c r="V426" s="1" t="s">
        <v>20</v>
      </c>
      <c r="W426" s="30"/>
      <c r="Z426" s="24">
        <f>+SUM(START:END!Z427)</f>
        <v>0</v>
      </c>
      <c r="AB426" s="23">
        <f t="shared" si="201"/>
        <v>0</v>
      </c>
      <c r="AC426" s="24">
        <f>+SUM(START:END!AC427)</f>
        <v>0</v>
      </c>
      <c r="AD426" s="32"/>
      <c r="AE426" s="31"/>
      <c r="AF426" s="24">
        <f>+SUM(START:END!AF427)</f>
        <v>0</v>
      </c>
      <c r="AG426" s="25"/>
      <c r="AH426" s="24">
        <f t="shared" si="202"/>
        <v>0</v>
      </c>
      <c r="AI426" s="27">
        <f t="shared" si="203"/>
        <v>0</v>
      </c>
      <c r="AJ426" s="32"/>
      <c r="AL426" s="24"/>
      <c r="AM426" s="28"/>
      <c r="AN426" s="26">
        <f t="shared" si="204"/>
        <v>0</v>
      </c>
      <c r="AO426" s="33">
        <f t="shared" si="205"/>
        <v>0</v>
      </c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</row>
    <row r="427" spans="1:61" ht="15.75" customHeight="1">
      <c r="A427" s="23" t="str">
        <f t="shared" si="180"/>
        <v>Salaires en absences</v>
      </c>
      <c r="B427" s="181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408"/>
      <c r="P427" s="26"/>
      <c r="Q427" s="184"/>
      <c r="R427" s="184"/>
      <c r="S427" s="184"/>
      <c r="T427" s="184"/>
      <c r="U427" s="184"/>
      <c r="V427" s="2" t="s">
        <v>45</v>
      </c>
      <c r="W427" s="34" t="s">
        <v>146</v>
      </c>
      <c r="X427" s="7"/>
      <c r="Y427" s="7"/>
      <c r="Z427" s="8">
        <f>+SUM(START:END!Z428)</f>
        <v>133266.76985236397</v>
      </c>
      <c r="AA427" s="7"/>
      <c r="AB427" s="7">
        <f t="shared" si="201"/>
        <v>0</v>
      </c>
      <c r="AC427" s="8">
        <f>+SUM(START:END!AC428)</f>
        <v>0</v>
      </c>
      <c r="AD427" s="36"/>
      <c r="AE427" s="35"/>
      <c r="AF427" s="8">
        <f>+SUM(START:END!AF428)</f>
        <v>107094.34</v>
      </c>
      <c r="AG427" s="9"/>
      <c r="AH427" s="8">
        <f t="shared" si="202"/>
        <v>-26172.429852363974</v>
      </c>
      <c r="AI427" s="37">
        <f t="shared" si="203"/>
        <v>-0.19639126754072603</v>
      </c>
      <c r="AJ427" s="36"/>
      <c r="AK427" s="7"/>
      <c r="AL427" s="8">
        <f>+SUMIF($C:$C,$V427,Q:Q)</f>
        <v>99196.73000000001</v>
      </c>
      <c r="AM427" s="12"/>
      <c r="AN427" s="10">
        <f t="shared" si="204"/>
        <v>7897.609999999986</v>
      </c>
      <c r="AO427" s="38">
        <f t="shared" si="205"/>
        <v>7.9615628458720208E-2</v>
      </c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</row>
    <row r="428" spans="1:61" ht="15.75" customHeight="1">
      <c r="A428" s="23" t="str">
        <f t="shared" si="180"/>
        <v>Déduction à la source</v>
      </c>
      <c r="B428" s="181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408"/>
      <c r="P428" s="26"/>
      <c r="Q428" s="184"/>
      <c r="R428" s="184"/>
      <c r="S428" s="184"/>
      <c r="T428" s="184"/>
      <c r="U428" s="184"/>
      <c r="V428" s="1" t="s">
        <v>46</v>
      </c>
      <c r="W428" s="30" t="s">
        <v>147</v>
      </c>
      <c r="Z428" s="24">
        <f>+SUM(START:END!Z429)</f>
        <v>162033.60563547339</v>
      </c>
      <c r="AB428" s="23">
        <f t="shared" si="201"/>
        <v>0</v>
      </c>
      <c r="AC428" s="24">
        <f>+SUM(START:END!AC429)</f>
        <v>0</v>
      </c>
      <c r="AD428" s="32"/>
      <c r="AE428" s="31"/>
      <c r="AF428" s="24">
        <f>+SUM(START:END!AF429)</f>
        <v>146903.65</v>
      </c>
      <c r="AG428" s="25"/>
      <c r="AH428" s="24">
        <f t="shared" si="202"/>
        <v>-15129.955635473394</v>
      </c>
      <c r="AI428" s="27">
        <f t="shared" si="203"/>
        <v>-9.3375417871717423E-2</v>
      </c>
      <c r="AJ428" s="32"/>
      <c r="AL428" s="24">
        <f>+SUMIF($C:$C,$V428,Q:Q)</f>
        <v>143922.69999999998</v>
      </c>
      <c r="AM428" s="28"/>
      <c r="AN428" s="26">
        <f t="shared" si="204"/>
        <v>2980.9500000000116</v>
      </c>
      <c r="AO428" s="33">
        <f t="shared" si="205"/>
        <v>2.0712160069259484E-2</v>
      </c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</row>
    <row r="429" spans="1:61" ht="15.75" customHeight="1">
      <c r="A429" s="23" t="str">
        <f t="shared" si="180"/>
        <v>Bénéfices marginaux</v>
      </c>
      <c r="B429" s="181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408"/>
      <c r="P429" s="26"/>
      <c r="Q429" s="184"/>
      <c r="R429" s="184"/>
      <c r="S429" s="184"/>
      <c r="T429" s="184"/>
      <c r="U429" s="184"/>
      <c r="V429" s="1" t="s">
        <v>47</v>
      </c>
      <c r="W429" s="30" t="s">
        <v>148</v>
      </c>
      <c r="Z429" s="24">
        <f>+SUM(START:END!Z430)</f>
        <v>83482.531599146067</v>
      </c>
      <c r="AB429" s="23">
        <f t="shared" si="201"/>
        <v>0</v>
      </c>
      <c r="AC429" s="24">
        <f>+SUM(START:END!AC430)</f>
        <v>0</v>
      </c>
      <c r="AD429" s="32"/>
      <c r="AE429" s="31"/>
      <c r="AF429" s="24">
        <f>+SUM(START:END!AF430)</f>
        <v>41898.769999999997</v>
      </c>
      <c r="AG429" s="25"/>
      <c r="AH429" s="24">
        <f t="shared" si="202"/>
        <v>-41583.76159914607</v>
      </c>
      <c r="AI429" s="27">
        <f t="shared" si="203"/>
        <v>-0.49811332745414044</v>
      </c>
      <c r="AJ429" s="32"/>
      <c r="AL429" s="24">
        <f>+SUMIF($C:$C,$V429,Q:Q)</f>
        <v>63538.789999999986</v>
      </c>
      <c r="AM429" s="28"/>
      <c r="AN429" s="26">
        <f t="shared" si="204"/>
        <v>-21640.01999999999</v>
      </c>
      <c r="AO429" s="33">
        <f t="shared" si="205"/>
        <v>-0.34057966794772127</v>
      </c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</row>
    <row r="430" spans="1:61" ht="15.75" customHeight="1">
      <c r="A430" s="23" t="str">
        <f t="shared" si="180"/>
        <v>Csst</v>
      </c>
      <c r="B430" s="181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408"/>
      <c r="P430" s="26"/>
      <c r="Q430" s="184"/>
      <c r="R430" s="184"/>
      <c r="S430" s="184"/>
      <c r="T430" s="184"/>
      <c r="U430" s="184"/>
      <c r="V430" s="1" t="s">
        <v>48</v>
      </c>
      <c r="W430" s="30"/>
      <c r="Z430" s="24">
        <f>+SUM(START:END!Z431)</f>
        <v>36398.853439852712</v>
      </c>
      <c r="AB430" s="23">
        <f t="shared" ref="AB430:AB431" si="206">IF(AC430=0,0,AC430/(G$13+G$97))</f>
        <v>0</v>
      </c>
      <c r="AC430" s="24">
        <f>+SUM(START:END!AC431)</f>
        <v>0</v>
      </c>
      <c r="AD430" s="32"/>
      <c r="AE430" s="31"/>
      <c r="AF430" s="24">
        <f>+SUM(START:END!AF431)</f>
        <v>25404.39</v>
      </c>
      <c r="AG430" s="25"/>
      <c r="AH430" s="24">
        <f t="shared" si="202"/>
        <v>-10994.463439852712</v>
      </c>
      <c r="AI430" s="48">
        <f t="shared" si="203"/>
        <v>-0.30205521330556506</v>
      </c>
      <c r="AJ430" s="32"/>
      <c r="AL430" s="24">
        <f>+SUMIF($C:$C,$V430,Q:Q)</f>
        <v>24079.84</v>
      </c>
      <c r="AM430" s="28"/>
      <c r="AN430" s="26">
        <f t="shared" ref="AN430:AN431" si="207">AF430-AL430</f>
        <v>1324.5499999999993</v>
      </c>
      <c r="AO430" s="33">
        <f t="shared" ref="AO430:AO431" si="208">IF(AL430=0,0,AN430/AL430)</f>
        <v>5.5006594728204142E-2</v>
      </c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</row>
    <row r="431" spans="1:61" ht="15.75" hidden="1" customHeight="1">
      <c r="A431" s="23" t="str">
        <f t="shared" si="180"/>
        <v>[...]</v>
      </c>
      <c r="B431" s="181"/>
      <c r="T431" s="184"/>
      <c r="U431" s="184"/>
      <c r="V431" s="1" t="s">
        <v>20</v>
      </c>
      <c r="W431" s="30"/>
      <c r="Y431" s="31"/>
      <c r="Z431" s="24">
        <f>+SUM(START:END!Z432)</f>
        <v>0</v>
      </c>
      <c r="AB431" s="31">
        <f t="shared" si="206"/>
        <v>0</v>
      </c>
      <c r="AC431" s="24">
        <f>+SUM(START:END!AC432)</f>
        <v>0</v>
      </c>
      <c r="AD431" s="32"/>
      <c r="AE431" s="31"/>
      <c r="AF431" s="24">
        <f>+SUM(START:END!AF432)</f>
        <v>0</v>
      </c>
      <c r="AG431" s="25"/>
      <c r="AH431" s="24">
        <f t="shared" ref="AH431" si="209">AF431-AC431</f>
        <v>0</v>
      </c>
      <c r="AI431" s="27">
        <f t="shared" si="203"/>
        <v>0</v>
      </c>
      <c r="AJ431" s="32"/>
      <c r="AK431" s="26"/>
      <c r="AL431" s="24"/>
      <c r="AM431" s="28"/>
      <c r="AN431" s="26">
        <f t="shared" si="207"/>
        <v>0</v>
      </c>
      <c r="AO431" s="38">
        <f t="shared" si="208"/>
        <v>0</v>
      </c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</row>
    <row r="432" spans="1:61" ht="15.75" customHeight="1">
      <c r="A432" s="23" t="str">
        <f t="shared" si="180"/>
        <v>TOTAL PERSONNEL</v>
      </c>
      <c r="B432" s="181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R432" s="184"/>
      <c r="S432" s="184"/>
      <c r="T432" s="184"/>
      <c r="U432" s="184"/>
      <c r="V432" s="40" t="s">
        <v>49</v>
      </c>
      <c r="W432" s="41"/>
      <c r="X432" s="42">
        <f>Z432/Z406</f>
        <v>0.39578530732499984</v>
      </c>
      <c r="Y432" s="41"/>
      <c r="Z432" s="43">
        <f>SUM(Z419:Z431)</f>
        <v>995642.79065490281</v>
      </c>
      <c r="AA432" s="42" t="e">
        <f>AC432/AC406</f>
        <v>#DIV/0!</v>
      </c>
      <c r="AB432" s="41"/>
      <c r="AC432" s="43">
        <f>SUM(AC419:AC431)</f>
        <v>0</v>
      </c>
      <c r="AD432" s="44">
        <f>AF432/AF406</f>
        <v>0.45355419373304928</v>
      </c>
      <c r="AE432" s="49"/>
      <c r="AF432" s="43">
        <f>SUM(AF419:AF431)</f>
        <v>846128.33</v>
      </c>
      <c r="AG432" s="50"/>
      <c r="AH432" s="43">
        <f>SUM(AH419:AH431)</f>
        <v>-149514.46065490285</v>
      </c>
      <c r="AI432" s="42">
        <f>AH432/Z432</f>
        <v>-0.15016877745537321</v>
      </c>
      <c r="AJ432" s="44">
        <f>IF($AL$406=0,0,AL432/$AL$406)</f>
        <v>0.4289431320680468</v>
      </c>
      <c r="AK432" s="41"/>
      <c r="AL432" s="43">
        <f>SUM(AL419:AL431)</f>
        <v>893650.32</v>
      </c>
      <c r="AM432" s="51"/>
      <c r="AN432" s="46">
        <f t="shared" ref="AN432:AN450" si="210">AF432-AL432</f>
        <v>-47521.989999999991</v>
      </c>
      <c r="AO432" s="21">
        <f>IF(AL432=0,0,AN432/AL432)</f>
        <v>-5.3177388220484262E-2</v>
      </c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</row>
    <row r="433" spans="1:62" ht="15.75" customHeight="1">
      <c r="A433" s="23" t="str">
        <f t="shared" si="180"/>
        <v>Publicité 2</v>
      </c>
      <c r="B433" s="181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409"/>
      <c r="S433" s="410"/>
      <c r="T433" s="184"/>
      <c r="U433" s="184"/>
      <c r="V433" s="3" t="s">
        <v>50</v>
      </c>
      <c r="W433" s="52" t="s">
        <v>138</v>
      </c>
      <c r="X433" s="53"/>
      <c r="Y433" s="53"/>
      <c r="Z433" s="54">
        <f>+SUM(START:END!Z434)</f>
        <v>44515.681367708326</v>
      </c>
      <c r="AA433" s="53"/>
      <c r="AB433" s="53">
        <f t="shared" ref="AB433:AB450" si="211">IF(AC433=0,0,AC433/(G$13+G$97))</f>
        <v>0</v>
      </c>
      <c r="AC433" s="54">
        <f>+SUM(START:END!AC434)</f>
        <v>0</v>
      </c>
      <c r="AD433" s="55"/>
      <c r="AE433" s="56"/>
      <c r="AF433" s="54">
        <f>+SUM(START:END!AF434)</f>
        <v>47304.49</v>
      </c>
      <c r="AG433" s="55"/>
      <c r="AH433" s="54">
        <f t="shared" ref="AH433:AH448" si="212">AF433-Z433</f>
        <v>2788.8086322916715</v>
      </c>
      <c r="AI433" s="58">
        <f t="shared" ref="AI433:AI450" si="213">IF(Z433=0,0,AH433/Z433)</f>
        <v>6.264778043619193E-2</v>
      </c>
      <c r="AJ433" s="55"/>
      <c r="AK433" s="53"/>
      <c r="AL433" s="54">
        <f t="shared" ref="AL433:AL446" si="214">+SUMIF($C:$C,$V433,Q:Q)</f>
        <v>43142.47</v>
      </c>
      <c r="AM433" s="59"/>
      <c r="AN433" s="57">
        <f t="shared" si="210"/>
        <v>4162.0199999999968</v>
      </c>
      <c r="AO433" s="29">
        <f t="shared" ref="AO433:AO450" si="215">IF(AL433=0,0,AN433/AL433)</f>
        <v>9.647152793986985E-2</v>
      </c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</row>
    <row r="434" spans="1:62" ht="15.75" customHeight="1">
      <c r="A434" s="23" t="str">
        <f t="shared" si="180"/>
        <v>Service gratuit 2</v>
      </c>
      <c r="B434" s="181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Q434" s="409"/>
      <c r="S434" s="184"/>
      <c r="T434" s="184"/>
      <c r="U434" s="184"/>
      <c r="V434" s="1" t="s">
        <v>51</v>
      </c>
      <c r="W434" s="30" t="s">
        <v>149</v>
      </c>
      <c r="Z434" s="24">
        <f>+SUM(START:END!Z435)</f>
        <v>17817.196877697435</v>
      </c>
      <c r="AB434" s="23">
        <f t="shared" si="211"/>
        <v>0</v>
      </c>
      <c r="AC434" s="24">
        <f>+SUM(START:END!AC435)</f>
        <v>0</v>
      </c>
      <c r="AD434" s="32"/>
      <c r="AE434" s="31"/>
      <c r="AF434" s="24">
        <f>+SUM(START:END!AF435)</f>
        <v>29827.219999999994</v>
      </c>
      <c r="AG434" s="25"/>
      <c r="AH434" s="24">
        <f t="shared" si="212"/>
        <v>12010.023122302558</v>
      </c>
      <c r="AI434" s="27">
        <f t="shared" si="213"/>
        <v>0.67406917063009109</v>
      </c>
      <c r="AJ434" s="32"/>
      <c r="AL434" s="24">
        <f t="shared" si="214"/>
        <v>28037.229999999981</v>
      </c>
      <c r="AM434" s="28"/>
      <c r="AN434" s="26">
        <f t="shared" si="210"/>
        <v>1789.9900000000125</v>
      </c>
      <c r="AO434" s="33">
        <f t="shared" si="215"/>
        <v>6.3843325464035275E-2</v>
      </c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</row>
    <row r="435" spans="1:62" ht="15.75" customHeight="1">
      <c r="A435" s="23" t="str">
        <f t="shared" si="180"/>
        <v>Frais véhicules de cie</v>
      </c>
      <c r="B435" s="181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409"/>
      <c r="S435" s="184"/>
      <c r="T435" s="184"/>
      <c r="U435" s="184"/>
      <c r="V435" s="2" t="s">
        <v>52</v>
      </c>
      <c r="W435" s="34" t="s">
        <v>150</v>
      </c>
      <c r="X435" s="7"/>
      <c r="Y435" s="7"/>
      <c r="Z435" s="8">
        <f>+SUM(START:END!Z436)</f>
        <v>78225</v>
      </c>
      <c r="AA435" s="7"/>
      <c r="AB435" s="7">
        <f t="shared" si="211"/>
        <v>0</v>
      </c>
      <c r="AC435" s="8">
        <f>+SUM(START:END!AC436)</f>
        <v>0</v>
      </c>
      <c r="AD435" s="36"/>
      <c r="AE435" s="35"/>
      <c r="AF435" s="8">
        <f>+SUM(START:END!AF436)</f>
        <v>80533.899999999994</v>
      </c>
      <c r="AG435" s="9"/>
      <c r="AH435" s="8">
        <f t="shared" si="212"/>
        <v>2308.8999999999942</v>
      </c>
      <c r="AI435" s="37">
        <f t="shared" si="213"/>
        <v>2.9516139341642624E-2</v>
      </c>
      <c r="AJ435" s="36"/>
      <c r="AK435" s="7"/>
      <c r="AL435" s="8">
        <f t="shared" si="214"/>
        <v>81759.56</v>
      </c>
      <c r="AM435" s="12"/>
      <c r="AN435" s="10">
        <f t="shared" si="210"/>
        <v>-1225.6600000000035</v>
      </c>
      <c r="AO435" s="13">
        <f t="shared" si="215"/>
        <v>-1.4991029795170174E-2</v>
      </c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</row>
    <row r="436" spans="1:62" ht="15.75" customHeight="1">
      <c r="A436" s="23" t="str">
        <f t="shared" si="180"/>
        <v>Informatique</v>
      </c>
      <c r="B436" s="181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409"/>
      <c r="S436" s="184"/>
      <c r="T436" s="184"/>
      <c r="U436" s="184"/>
      <c r="V436" s="1" t="s">
        <v>53</v>
      </c>
      <c r="W436" s="30" t="s">
        <v>151</v>
      </c>
      <c r="Z436" s="24">
        <f>+SUM(START:END!Z437)</f>
        <v>66812.065533333327</v>
      </c>
      <c r="AB436" s="23">
        <f t="shared" si="211"/>
        <v>0</v>
      </c>
      <c r="AC436" s="24">
        <f>+SUM(START:END!AC437)</f>
        <v>0</v>
      </c>
      <c r="AD436" s="32"/>
      <c r="AE436" s="31"/>
      <c r="AF436" s="24">
        <f>+SUM(START:END!AF437)</f>
        <v>67677.84</v>
      </c>
      <c r="AG436" s="25"/>
      <c r="AH436" s="24">
        <f t="shared" si="212"/>
        <v>865.77446666666947</v>
      </c>
      <c r="AI436" s="27">
        <f t="shared" si="213"/>
        <v>1.2958355047932538E-2</v>
      </c>
      <c r="AJ436" s="32"/>
      <c r="AL436" s="24">
        <f t="shared" si="214"/>
        <v>69381.34</v>
      </c>
      <c r="AM436" s="28"/>
      <c r="AN436" s="26">
        <f t="shared" si="210"/>
        <v>-1703.5</v>
      </c>
      <c r="AO436" s="33">
        <f t="shared" si="215"/>
        <v>-2.455271114682997E-2</v>
      </c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</row>
    <row r="437" spans="1:62" ht="15.75" customHeight="1">
      <c r="A437" s="23" t="str">
        <f t="shared" si="180"/>
        <v>Frais de déplacement</v>
      </c>
      <c r="B437" s="181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409"/>
      <c r="S437" s="184"/>
      <c r="T437" s="184"/>
      <c r="U437" s="184"/>
      <c r="V437" s="1" t="s">
        <v>54</v>
      </c>
      <c r="W437" s="30" t="s">
        <v>152</v>
      </c>
      <c r="Z437" s="24">
        <f>+SUM(START:END!Z438)</f>
        <v>10769.307639583334</v>
      </c>
      <c r="AB437" s="23">
        <f t="shared" si="211"/>
        <v>0</v>
      </c>
      <c r="AC437" s="24">
        <f>+SUM(START:END!AC438)</f>
        <v>0</v>
      </c>
      <c r="AD437" s="32"/>
      <c r="AE437" s="31"/>
      <c r="AF437" s="24">
        <f>+SUM(START:END!AF438)</f>
        <v>16289.77</v>
      </c>
      <c r="AG437" s="25"/>
      <c r="AH437" s="24">
        <f t="shared" si="212"/>
        <v>5520.4623604166663</v>
      </c>
      <c r="AI437" s="27">
        <f t="shared" si="213"/>
        <v>0.51261070304332523</v>
      </c>
      <c r="AJ437" s="32"/>
      <c r="AL437" s="24">
        <f t="shared" si="214"/>
        <v>14159.119999999999</v>
      </c>
      <c r="AM437" s="28"/>
      <c r="AN437" s="26">
        <f t="shared" si="210"/>
        <v>2130.6500000000015</v>
      </c>
      <c r="AO437" s="33">
        <f t="shared" si="215"/>
        <v>0.15047898456966263</v>
      </c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</row>
    <row r="438" spans="1:62" ht="15.75" customHeight="1">
      <c r="A438" s="23" t="str">
        <f t="shared" si="180"/>
        <v>Services extérieurs</v>
      </c>
      <c r="B438" s="181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409"/>
      <c r="S438" s="184"/>
      <c r="T438" s="184"/>
      <c r="U438" s="184"/>
      <c r="V438" s="1" t="s">
        <v>55</v>
      </c>
      <c r="W438" s="30" t="s">
        <v>153</v>
      </c>
      <c r="Z438" s="24">
        <f>+SUM(START:END!Z439)</f>
        <v>93308.481954618052</v>
      </c>
      <c r="AB438" s="23">
        <f t="shared" si="211"/>
        <v>0</v>
      </c>
      <c r="AC438" s="24">
        <f>+SUM(START:END!AC439)</f>
        <v>0</v>
      </c>
      <c r="AD438" s="32"/>
      <c r="AE438" s="31"/>
      <c r="AF438" s="24">
        <f>+SUM(START:END!AF439)</f>
        <v>115401.75000000001</v>
      </c>
      <c r="AG438" s="25"/>
      <c r="AH438" s="24">
        <f t="shared" si="212"/>
        <v>22093.268045381963</v>
      </c>
      <c r="AI438" s="27">
        <f t="shared" si="213"/>
        <v>0.23677663147630404</v>
      </c>
      <c r="AJ438" s="32"/>
      <c r="AL438" s="24">
        <f t="shared" si="214"/>
        <v>110632.52000000002</v>
      </c>
      <c r="AM438" s="28"/>
      <c r="AN438" s="26">
        <f t="shared" si="210"/>
        <v>4769.2299999999959</v>
      </c>
      <c r="AO438" s="33">
        <f t="shared" si="215"/>
        <v>4.3108753194811028E-2</v>
      </c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</row>
    <row r="439" spans="1:62" ht="15.75" customHeight="1">
      <c r="B439" s="181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409"/>
      <c r="S439" s="184"/>
      <c r="T439" s="184"/>
      <c r="U439" s="184"/>
      <c r="V439" s="4" t="s">
        <v>98</v>
      </c>
      <c r="W439" s="60"/>
      <c r="X439" s="61"/>
      <c r="Y439" s="61"/>
      <c r="Z439" s="62">
        <f>+SUM(START:END!Z440)</f>
        <v>0</v>
      </c>
      <c r="AA439" s="61"/>
      <c r="AB439" s="61">
        <f t="shared" si="211"/>
        <v>0</v>
      </c>
      <c r="AC439" s="62">
        <f>+SUM(START:END!AC440)</f>
        <v>0</v>
      </c>
      <c r="AD439" s="63"/>
      <c r="AE439" s="64"/>
      <c r="AF439" s="62">
        <f>+SUM(START:END!AF440)</f>
        <v>0</v>
      </c>
      <c r="AG439" s="65"/>
      <c r="AH439" s="62">
        <f t="shared" si="212"/>
        <v>0</v>
      </c>
      <c r="AI439" s="67">
        <f t="shared" si="213"/>
        <v>0</v>
      </c>
      <c r="AJ439" s="63"/>
      <c r="AK439" s="61"/>
      <c r="AL439" s="62">
        <f t="shared" si="214"/>
        <v>0</v>
      </c>
      <c r="AM439" s="68"/>
      <c r="AN439" s="66">
        <f t="shared" si="210"/>
        <v>0</v>
      </c>
      <c r="AO439" s="69">
        <f t="shared" si="215"/>
        <v>0</v>
      </c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</row>
    <row r="440" spans="1:62" ht="15.75" customHeight="1">
      <c r="A440" s="23" t="str">
        <f t="shared" si="180"/>
        <v>Fournitures autres</v>
      </c>
      <c r="B440" s="181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411"/>
      <c r="Q440" s="409"/>
      <c r="R440" s="184"/>
      <c r="S440" s="184"/>
      <c r="T440" s="184"/>
      <c r="U440" s="184"/>
      <c r="V440" s="1" t="s">
        <v>56</v>
      </c>
      <c r="W440" s="30" t="s">
        <v>154</v>
      </c>
      <c r="Y440" s="31"/>
      <c r="Z440" s="24">
        <f>+SUM(START:END!Z441)</f>
        <v>18250</v>
      </c>
      <c r="AB440" s="31">
        <f t="shared" si="211"/>
        <v>0</v>
      </c>
      <c r="AC440" s="24">
        <f>+SUM(START:END!AC441)</f>
        <v>0</v>
      </c>
      <c r="AD440" s="32"/>
      <c r="AE440" s="31"/>
      <c r="AF440" s="24">
        <f>+SUM(START:END!AF441)</f>
        <v>21254.510000000002</v>
      </c>
      <c r="AG440" s="25"/>
      <c r="AH440" s="24">
        <f t="shared" si="212"/>
        <v>3004.510000000002</v>
      </c>
      <c r="AI440" s="27">
        <f t="shared" si="213"/>
        <v>0.16463068493150695</v>
      </c>
      <c r="AJ440" s="32"/>
      <c r="AL440" s="24">
        <f t="shared" si="214"/>
        <v>28823.279999999995</v>
      </c>
      <c r="AM440" s="28"/>
      <c r="AN440" s="26">
        <f t="shared" si="210"/>
        <v>-7568.7699999999932</v>
      </c>
      <c r="AO440" s="33">
        <f t="shared" si="215"/>
        <v>-0.26259225181866863</v>
      </c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</row>
    <row r="441" spans="1:62" ht="15.75" customHeight="1">
      <c r="A441" s="23" t="str">
        <f t="shared" si="180"/>
        <v>Uniformes</v>
      </c>
      <c r="B441" s="181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Q441" s="409"/>
      <c r="S441" s="184"/>
      <c r="T441" s="184"/>
      <c r="U441" s="184"/>
      <c r="V441" s="1" t="s">
        <v>57</v>
      </c>
      <c r="W441" s="30" t="s">
        <v>155</v>
      </c>
      <c r="Z441" s="24">
        <f>+SUM(START:END!Z442)</f>
        <v>4665.8249128213283</v>
      </c>
      <c r="AB441" s="23">
        <f t="shared" si="211"/>
        <v>0</v>
      </c>
      <c r="AC441" s="24">
        <f>+SUM(START:END!AC442)</f>
        <v>0</v>
      </c>
      <c r="AD441" s="32"/>
      <c r="AE441" s="31"/>
      <c r="AF441" s="24">
        <f>+SUM(START:END!AF442)</f>
        <v>5375.9299999999994</v>
      </c>
      <c r="AG441" s="25"/>
      <c r="AH441" s="24">
        <f t="shared" si="212"/>
        <v>710.10508717867106</v>
      </c>
      <c r="AI441" s="48">
        <f t="shared" si="213"/>
        <v>0.15219282773070991</v>
      </c>
      <c r="AJ441" s="32"/>
      <c r="AL441" s="24">
        <f t="shared" si="214"/>
        <v>3403.36</v>
      </c>
      <c r="AM441" s="28"/>
      <c r="AN441" s="26">
        <f t="shared" si="210"/>
        <v>1972.5699999999993</v>
      </c>
      <c r="AO441" s="33">
        <f t="shared" si="215"/>
        <v>0.57959487095105988</v>
      </c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</row>
    <row r="442" spans="1:62" ht="15.75" customHeight="1">
      <c r="A442" s="23" t="str">
        <f t="shared" si="180"/>
        <v>Papeterie</v>
      </c>
      <c r="B442" s="181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411"/>
      <c r="Q442" s="409"/>
      <c r="R442" s="184"/>
      <c r="S442" s="184"/>
      <c r="T442" s="184"/>
      <c r="U442" s="184"/>
      <c r="V442" s="1" t="s">
        <v>58</v>
      </c>
      <c r="W442" s="30" t="s">
        <v>156</v>
      </c>
      <c r="Z442" s="24">
        <f>+SUM(START:END!Z443)</f>
        <v>7762.3397247000003</v>
      </c>
      <c r="AB442" s="23">
        <f t="shared" si="211"/>
        <v>0</v>
      </c>
      <c r="AC442" s="24">
        <f>+SUM(START:END!AC443)</f>
        <v>0</v>
      </c>
      <c r="AD442" s="32"/>
      <c r="AE442" s="31"/>
      <c r="AF442" s="24">
        <f>+SUM(START:END!AF443)</f>
        <v>11291.89</v>
      </c>
      <c r="AG442" s="25"/>
      <c r="AH442" s="24">
        <f t="shared" si="212"/>
        <v>3529.5502752999992</v>
      </c>
      <c r="AI442" s="27">
        <f t="shared" si="213"/>
        <v>0.45470185543011771</v>
      </c>
      <c r="AJ442" s="32"/>
      <c r="AL442" s="24">
        <f t="shared" si="214"/>
        <v>12566.72</v>
      </c>
      <c r="AM442" s="28"/>
      <c r="AN442" s="26">
        <f t="shared" si="210"/>
        <v>-1274.83</v>
      </c>
      <c r="AO442" s="33">
        <f t="shared" si="215"/>
        <v>-0.10144492755468412</v>
      </c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</row>
    <row r="443" spans="1:62" ht="15.75" customHeight="1">
      <c r="A443" s="23" t="str">
        <f t="shared" si="180"/>
        <v>Téléphone</v>
      </c>
      <c r="B443" s="181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409"/>
      <c r="S443" s="184"/>
      <c r="T443" s="184"/>
      <c r="U443" s="184"/>
      <c r="V443" s="1" t="s">
        <v>59</v>
      </c>
      <c r="W443" s="30" t="s">
        <v>157</v>
      </c>
      <c r="Z443" s="24">
        <f>+SUM(START:END!Z444)</f>
        <v>2334.3472973708335</v>
      </c>
      <c r="AB443" s="23">
        <f t="shared" si="211"/>
        <v>0</v>
      </c>
      <c r="AC443" s="24">
        <f>+SUM(START:END!AC444)</f>
        <v>0</v>
      </c>
      <c r="AD443" s="32"/>
      <c r="AE443" s="31"/>
      <c r="AF443" s="24">
        <f>+SUM(START:END!AF444)</f>
        <v>2571.63</v>
      </c>
      <c r="AG443" s="25"/>
      <c r="AH443" s="24">
        <f t="shared" si="212"/>
        <v>237.28270262916658</v>
      </c>
      <c r="AI443" s="48">
        <f t="shared" si="213"/>
        <v>0.10164841491084775</v>
      </c>
      <c r="AJ443" s="32"/>
      <c r="AL443" s="24">
        <f t="shared" si="214"/>
        <v>1985.5</v>
      </c>
      <c r="AM443" s="28"/>
      <c r="AN443" s="26">
        <f t="shared" si="210"/>
        <v>586.13000000000011</v>
      </c>
      <c r="AO443" s="33">
        <f t="shared" si="215"/>
        <v>0.29520523797532111</v>
      </c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</row>
    <row r="444" spans="1:62" ht="15.75" customHeight="1">
      <c r="A444" s="23" t="str">
        <f t="shared" si="180"/>
        <v>Frais postaux</v>
      </c>
      <c r="B444" s="181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409"/>
      <c r="S444" s="184"/>
      <c r="T444" s="184"/>
      <c r="U444" s="184"/>
      <c r="V444" s="1" t="s">
        <v>60</v>
      </c>
      <c r="W444" s="30" t="s">
        <v>158</v>
      </c>
      <c r="Z444" s="24">
        <f>+SUM(START:END!Z445)</f>
        <v>1386.8286366291666</v>
      </c>
      <c r="AB444" s="23">
        <f t="shared" si="211"/>
        <v>0</v>
      </c>
      <c r="AC444" s="24">
        <f>+SUM(START:END!AC445)</f>
        <v>0</v>
      </c>
      <c r="AD444" s="32"/>
      <c r="AE444" s="31"/>
      <c r="AF444" s="24">
        <f>+SUM(START:END!AF445)</f>
        <v>-268.02999999999997</v>
      </c>
      <c r="AG444" s="25"/>
      <c r="AH444" s="24">
        <f t="shared" si="212"/>
        <v>-1654.8586366291665</v>
      </c>
      <c r="AI444" s="27">
        <f t="shared" si="213"/>
        <v>-1.1932682906314043</v>
      </c>
      <c r="AJ444" s="32"/>
      <c r="AL444" s="24">
        <f t="shared" si="214"/>
        <v>-191.25</v>
      </c>
      <c r="AM444" s="28"/>
      <c r="AN444" s="26">
        <f t="shared" si="210"/>
        <v>-76.779999999999973</v>
      </c>
      <c r="AO444" s="33">
        <f t="shared" si="215"/>
        <v>0.40146405228758153</v>
      </c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</row>
    <row r="445" spans="1:62" ht="15.75" customHeight="1">
      <c r="A445" s="23" t="str">
        <f t="shared" si="180"/>
        <v>Divers</v>
      </c>
      <c r="B445" s="181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409"/>
      <c r="R445" s="184"/>
      <c r="S445" s="184"/>
      <c r="T445" s="184"/>
      <c r="U445" s="184"/>
      <c r="V445" s="1" t="s">
        <v>61</v>
      </c>
      <c r="W445" s="30" t="s">
        <v>159</v>
      </c>
      <c r="Y445" s="31"/>
      <c r="Z445" s="24">
        <f>+SUM(START:END!Z446)</f>
        <v>3457.4377822041665</v>
      </c>
      <c r="AB445" s="31">
        <f t="shared" si="211"/>
        <v>0</v>
      </c>
      <c r="AC445" s="24">
        <f>+SUM(START:END!AC446)</f>
        <v>0</v>
      </c>
      <c r="AD445" s="32"/>
      <c r="AE445" s="31"/>
      <c r="AF445" s="24">
        <f>+SUM(START:END!AF446)</f>
        <v>2427.83</v>
      </c>
      <c r="AG445" s="25"/>
      <c r="AH445" s="24">
        <f t="shared" si="212"/>
        <v>-1029.6077822041666</v>
      </c>
      <c r="AI445" s="48">
        <f t="shared" si="213"/>
        <v>-0.29779502830207888</v>
      </c>
      <c r="AJ445" s="32"/>
      <c r="AL445" s="24">
        <f t="shared" si="214"/>
        <v>740.79</v>
      </c>
      <c r="AM445" s="28"/>
      <c r="AN445" s="26">
        <f t="shared" si="210"/>
        <v>1687.04</v>
      </c>
      <c r="AO445" s="33">
        <f t="shared" si="215"/>
        <v>2.2773525560550225</v>
      </c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</row>
    <row r="446" spans="1:62" ht="15.75" customHeight="1">
      <c r="A446" s="23" t="str">
        <f t="shared" si="180"/>
        <v>Formation</v>
      </c>
      <c r="B446" s="181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409"/>
      <c r="R446" s="184"/>
      <c r="S446" s="184"/>
      <c r="T446" s="184"/>
      <c r="U446" s="184"/>
      <c r="V446" s="1" t="s">
        <v>62</v>
      </c>
      <c r="W446" s="30" t="s">
        <v>160</v>
      </c>
      <c r="Y446" s="31"/>
      <c r="Z446" s="24">
        <f>+SUM(START:END!Z447)</f>
        <v>22933.135531330296</v>
      </c>
      <c r="AB446" s="31">
        <f t="shared" si="211"/>
        <v>0</v>
      </c>
      <c r="AC446" s="24">
        <f>+SUM(START:END!AC447)</f>
        <v>0</v>
      </c>
      <c r="AD446" s="32"/>
      <c r="AE446" s="31"/>
      <c r="AF446" s="24">
        <f>+SUM(START:END!AF447)</f>
        <v>9240.3100000000013</v>
      </c>
      <c r="AG446" s="25"/>
      <c r="AH446" s="24">
        <f t="shared" si="212"/>
        <v>-13692.825531330294</v>
      </c>
      <c r="AI446" s="27">
        <f t="shared" si="213"/>
        <v>-0.59707603055952496</v>
      </c>
      <c r="AJ446" s="32"/>
      <c r="AL446" s="24">
        <f t="shared" si="214"/>
        <v>21515.29</v>
      </c>
      <c r="AM446" s="28"/>
      <c r="AN446" s="26">
        <f t="shared" si="210"/>
        <v>-12274.98</v>
      </c>
      <c r="AO446" s="33">
        <f t="shared" si="215"/>
        <v>-0.57052356719337727</v>
      </c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</row>
    <row r="447" spans="1:62" ht="15.75" customHeight="1">
      <c r="A447" s="23" t="str">
        <f t="shared" si="180"/>
        <v>Frais bancaires</v>
      </c>
      <c r="B447" s="181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409"/>
      <c r="R447" s="184"/>
      <c r="S447" s="184"/>
      <c r="T447" s="184"/>
      <c r="U447" s="184"/>
      <c r="V447" s="1" t="s">
        <v>63</v>
      </c>
      <c r="W447" s="30" t="s">
        <v>161</v>
      </c>
      <c r="Y447" s="31"/>
      <c r="Z447" s="24">
        <f>+SUM(START:END!Z448)</f>
        <v>23340.82885724619</v>
      </c>
      <c r="AB447" s="31">
        <f t="shared" si="211"/>
        <v>0</v>
      </c>
      <c r="AC447" s="24">
        <f>+SUM(START:END!AC448)</f>
        <v>0</v>
      </c>
      <c r="AD447" s="32"/>
      <c r="AE447" s="31"/>
      <c r="AF447" s="24">
        <f>+SUM(START:END!AF448)</f>
        <v>34985.149999999994</v>
      </c>
      <c r="AG447" s="25"/>
      <c r="AH447" s="24">
        <f t="shared" si="212"/>
        <v>11644.321142753804</v>
      </c>
      <c r="AI447" s="27">
        <f t="shared" si="213"/>
        <v>0.49888207543832835</v>
      </c>
      <c r="AJ447" s="32"/>
      <c r="AL447" s="24">
        <f>+SUM(START:END!AL448)</f>
        <v>27431.879999999997</v>
      </c>
      <c r="AM447" s="28"/>
      <c r="AN447" s="26">
        <f t="shared" si="210"/>
        <v>7553.2699999999968</v>
      </c>
      <c r="AO447" s="33">
        <f t="shared" si="215"/>
        <v>0.27534642175454244</v>
      </c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</row>
    <row r="448" spans="1:62" ht="15.75" customHeight="1">
      <c r="A448" s="23" t="str">
        <f t="shared" si="180"/>
        <v>Mitsubishi</v>
      </c>
      <c r="B448" s="181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409"/>
      <c r="R448" s="184"/>
      <c r="S448" s="184"/>
      <c r="T448" s="184"/>
      <c r="U448" s="184"/>
      <c r="V448" s="1" t="s">
        <v>209</v>
      </c>
      <c r="W448" s="30"/>
      <c r="Y448" s="31"/>
      <c r="Z448" s="24">
        <f>+SUM(START:END!Z449)</f>
        <v>0</v>
      </c>
      <c r="AB448" s="31">
        <f t="shared" si="211"/>
        <v>0</v>
      </c>
      <c r="AC448" s="24">
        <f>+SUM(START:END!AC449)</f>
        <v>0</v>
      </c>
      <c r="AD448" s="32"/>
      <c r="AE448" s="31"/>
      <c r="AF448" s="24">
        <f>+SUM(START:END!AF449)</f>
        <v>0</v>
      </c>
      <c r="AG448" s="25"/>
      <c r="AH448" s="24">
        <f t="shared" si="212"/>
        <v>0</v>
      </c>
      <c r="AI448" s="27">
        <f t="shared" si="213"/>
        <v>0</v>
      </c>
      <c r="AJ448" s="32"/>
      <c r="AL448" s="24">
        <f>+SUMIF($C:$C,$V448,Q:Q)</f>
        <v>0</v>
      </c>
      <c r="AM448" s="28"/>
      <c r="AN448" s="26">
        <f t="shared" si="210"/>
        <v>0</v>
      </c>
      <c r="AO448" s="33">
        <f t="shared" si="215"/>
        <v>0</v>
      </c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</row>
    <row r="449" spans="1:62" ht="15.75" hidden="1" customHeight="1">
      <c r="A449" s="23" t="str">
        <f t="shared" si="180"/>
        <v>[...]</v>
      </c>
      <c r="B449" s="181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409"/>
      <c r="R449" s="184"/>
      <c r="S449" s="184"/>
      <c r="T449" s="184"/>
      <c r="U449" s="184"/>
      <c r="V449" s="1" t="s">
        <v>20</v>
      </c>
      <c r="W449" s="30"/>
      <c r="Y449" s="31"/>
      <c r="Z449" s="24">
        <f>+SUM(START:END!Z450)</f>
        <v>0</v>
      </c>
      <c r="AB449" s="31">
        <f t="shared" si="211"/>
        <v>0</v>
      </c>
      <c r="AC449" s="24">
        <f>+SUM(START:END!AC450)</f>
        <v>0</v>
      </c>
      <c r="AD449" s="32"/>
      <c r="AE449" s="31"/>
      <c r="AF449" s="24">
        <f>+SUM(START:END!AF450)</f>
        <v>0</v>
      </c>
      <c r="AG449" s="25"/>
      <c r="AH449" s="24">
        <f t="shared" ref="AH449:AH450" si="216">AF449-AC449</f>
        <v>0</v>
      </c>
      <c r="AI449" s="27">
        <f t="shared" si="213"/>
        <v>0</v>
      </c>
      <c r="AJ449" s="32"/>
      <c r="AL449" s="24"/>
      <c r="AM449" s="28"/>
      <c r="AN449" s="26">
        <f t="shared" si="210"/>
        <v>0</v>
      </c>
      <c r="AO449" s="33">
        <f t="shared" si="215"/>
        <v>0</v>
      </c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</row>
    <row r="450" spans="1:62" ht="15.75" hidden="1" customHeight="1">
      <c r="A450" s="23" t="str">
        <f t="shared" si="180"/>
        <v>[...]</v>
      </c>
      <c r="B450" s="181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411"/>
      <c r="Q450" s="409"/>
      <c r="R450" s="184"/>
      <c r="S450" s="184"/>
      <c r="T450" s="184"/>
      <c r="U450" s="184"/>
      <c r="V450" s="1" t="s">
        <v>20</v>
      </c>
      <c r="W450" s="30"/>
      <c r="Y450" s="31"/>
      <c r="Z450" s="24">
        <f>+SUM(START:END!Z451)</f>
        <v>0</v>
      </c>
      <c r="AB450" s="31">
        <f t="shared" si="211"/>
        <v>0</v>
      </c>
      <c r="AC450" s="24">
        <f>+SUM(START:END!AC451)</f>
        <v>0</v>
      </c>
      <c r="AD450" s="32"/>
      <c r="AE450" s="31"/>
      <c r="AF450" s="24">
        <f>+SUM(START:END!AF451)</f>
        <v>0</v>
      </c>
      <c r="AG450" s="25"/>
      <c r="AH450" s="24">
        <f t="shared" si="216"/>
        <v>0</v>
      </c>
      <c r="AI450" s="27">
        <f t="shared" si="213"/>
        <v>0</v>
      </c>
      <c r="AJ450" s="32"/>
      <c r="AL450" s="24"/>
      <c r="AM450" s="28"/>
      <c r="AN450" s="26">
        <f t="shared" si="210"/>
        <v>0</v>
      </c>
      <c r="AO450" s="33">
        <f t="shared" si="215"/>
        <v>0</v>
      </c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</row>
    <row r="451" spans="1:62" ht="15.75" customHeight="1">
      <c r="A451" s="23" t="str">
        <f t="shared" si="180"/>
        <v>TOTAL SEMI-FIXES</v>
      </c>
      <c r="B451" s="181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409"/>
      <c r="R451" s="184"/>
      <c r="S451" s="184"/>
      <c r="T451" s="184"/>
      <c r="U451" s="184"/>
      <c r="V451" s="40" t="s">
        <v>64</v>
      </c>
      <c r="W451" s="70"/>
      <c r="X451" s="42">
        <f>Z451/+Z406</f>
        <v>0.15724931693367994</v>
      </c>
      <c r="Y451" s="41"/>
      <c r="Z451" s="43">
        <f>+SUM(Z433:Z450)</f>
        <v>395578.47611524252</v>
      </c>
      <c r="AA451" s="42" t="e">
        <f>AC451/+AC406</f>
        <v>#DIV/0!</v>
      </c>
      <c r="AB451" s="41"/>
      <c r="AC451" s="43">
        <f>+SUM(START:END!AC451)</f>
        <v>0</v>
      </c>
      <c r="AD451" s="44">
        <f>AF451/AF406</f>
        <v>0.23795343495012114</v>
      </c>
      <c r="AE451" s="41"/>
      <c r="AF451" s="43">
        <f>+SUM(AF433:AF450)</f>
        <v>443914.18999999994</v>
      </c>
      <c r="AG451" s="50"/>
      <c r="AH451" s="43">
        <f>+SUM(AH433:AH450)</f>
        <v>48335.713884757533</v>
      </c>
      <c r="AI451" s="42">
        <f>AH451/Z451</f>
        <v>0.12218994915859895</v>
      </c>
      <c r="AJ451" s="44">
        <f>IF($AL$406=0,0,AL451/$AL$406)</f>
        <v>0.21282167273457922</v>
      </c>
      <c r="AK451" s="42"/>
      <c r="AL451" s="43">
        <f>+SUM(AL433:AL450)</f>
        <v>443387.80999999988</v>
      </c>
      <c r="AM451" s="51"/>
      <c r="AN451" s="46">
        <f>+SUM(AN433:AN450)</f>
        <v>526.38000000000739</v>
      </c>
      <c r="AO451" s="71">
        <f>IF(AL451=0,0,AN451/AL451)</f>
        <v>1.1871774282653544E-3</v>
      </c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</row>
    <row r="452" spans="1:62" ht="15.75" customHeight="1">
      <c r="A452" s="23" t="str">
        <f t="shared" si="180"/>
        <v>Loyer</v>
      </c>
      <c r="B452" s="181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" t="s">
        <v>162</v>
      </c>
      <c r="W452" s="30" t="s">
        <v>163</v>
      </c>
      <c r="Y452" s="31"/>
      <c r="Z452" s="24">
        <f>+SUM(START:END!Z453)</f>
        <v>108000</v>
      </c>
      <c r="AB452" s="31">
        <f t="shared" ref="AB452:AB461" si="217">IF(AC452=0,0,AC452/(G$13+G$97))</f>
        <v>0</v>
      </c>
      <c r="AC452" s="24">
        <f>+SUM(START:END!AC453)</f>
        <v>0</v>
      </c>
      <c r="AD452" s="32"/>
      <c r="AE452" s="31"/>
      <c r="AF452" s="24">
        <f>+SUM(START:END!AF453)</f>
        <v>108000</v>
      </c>
      <c r="AG452" s="25"/>
      <c r="AH452" s="24">
        <f t="shared" ref="AH452:AH461" si="218">AF452-Z452</f>
        <v>0</v>
      </c>
      <c r="AI452" s="27">
        <f t="shared" ref="AI452:AI461" si="219">IF(Z452=0,0,AH452/Z452)</f>
        <v>0</v>
      </c>
      <c r="AJ452" s="32"/>
      <c r="AL452" s="24">
        <f>+SUM(START:END!AL453)</f>
        <v>78000</v>
      </c>
      <c r="AM452" s="28"/>
      <c r="AN452" s="26">
        <f t="shared" ref="AN452:AN464" si="220">AF452-AL452</f>
        <v>30000</v>
      </c>
      <c r="AO452" s="33">
        <f t="shared" ref="AO452:AO461" si="221">IF(AL452=0,0,AN452/AL452)</f>
        <v>0.38461538461538464</v>
      </c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</row>
    <row r="453" spans="1:62" ht="15.75" customHeight="1">
      <c r="A453" s="23" t="str">
        <f t="shared" si="180"/>
        <v>Taxes foncières</v>
      </c>
      <c r="B453" s="181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" t="s">
        <v>164</v>
      </c>
      <c r="W453" s="30" t="s">
        <v>165</v>
      </c>
      <c r="Y453" s="31"/>
      <c r="Z453" s="24">
        <f>+SUM(START:END!Z454)</f>
        <v>15530.76</v>
      </c>
      <c r="AB453" s="31">
        <f t="shared" si="217"/>
        <v>0</v>
      </c>
      <c r="AC453" s="24">
        <f>+SUM(START:END!AC454)</f>
        <v>0</v>
      </c>
      <c r="AD453" s="32"/>
      <c r="AE453" s="31"/>
      <c r="AF453" s="24">
        <f>+SUM(START:END!AF454)</f>
        <v>15531</v>
      </c>
      <c r="AG453" s="25"/>
      <c r="AH453" s="24">
        <f t="shared" si="218"/>
        <v>0.23999999999978172</v>
      </c>
      <c r="AI453" s="27">
        <f t="shared" si="219"/>
        <v>1.5453203835471139E-5</v>
      </c>
      <c r="AJ453" s="32"/>
      <c r="AL453" s="24">
        <f>+SUM(START:END!AL454)</f>
        <v>14790</v>
      </c>
      <c r="AM453" s="28"/>
      <c r="AN453" s="26">
        <f t="shared" si="220"/>
        <v>741</v>
      </c>
      <c r="AO453" s="33">
        <f t="shared" si="221"/>
        <v>5.0101419878296145E-2</v>
      </c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</row>
    <row r="454" spans="1:62" ht="15.75" customHeight="1">
      <c r="A454" s="23" t="str">
        <f t="shared" si="180"/>
        <v>Taxes d`affaires</v>
      </c>
      <c r="B454" s="181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2" t="s">
        <v>166</v>
      </c>
      <c r="W454" s="34" t="s">
        <v>167</v>
      </c>
      <c r="X454" s="7"/>
      <c r="Y454" s="35"/>
      <c r="Z454" s="8">
        <f>+SUM(START:END!Z455)</f>
        <v>10334.520000000002</v>
      </c>
      <c r="AA454" s="7"/>
      <c r="AB454" s="35">
        <f t="shared" si="217"/>
        <v>0</v>
      </c>
      <c r="AC454" s="8">
        <f>+SUM(START:END!AC455)</f>
        <v>0</v>
      </c>
      <c r="AD454" s="36"/>
      <c r="AE454" s="35"/>
      <c r="AF454" s="8">
        <f>+SUM(START:END!AF455)</f>
        <v>10335.000000000002</v>
      </c>
      <c r="AG454" s="9"/>
      <c r="AH454" s="8">
        <f t="shared" si="218"/>
        <v>0.47999999999956344</v>
      </c>
      <c r="AI454" s="37">
        <f t="shared" si="219"/>
        <v>4.6446279072425551E-5</v>
      </c>
      <c r="AJ454" s="36"/>
      <c r="AK454" s="7"/>
      <c r="AL454" s="8">
        <f>+SUM(START:END!AL455)</f>
        <v>9839.9999999999709</v>
      </c>
      <c r="AM454" s="12"/>
      <c r="AN454" s="10">
        <f t="shared" si="220"/>
        <v>495.00000000003092</v>
      </c>
      <c r="AO454" s="13">
        <f t="shared" si="221"/>
        <v>5.030487804878378E-2</v>
      </c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</row>
    <row r="455" spans="1:62" ht="15.75" customHeight="1">
      <c r="A455" s="23" t="str">
        <f t="shared" si="180"/>
        <v>Taxe sur le capital</v>
      </c>
      <c r="B455" s="181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" t="s">
        <v>168</v>
      </c>
      <c r="W455" s="30"/>
      <c r="Y455" s="31"/>
      <c r="Z455" s="24">
        <f>+SUM(START:END!Z456)</f>
        <v>0</v>
      </c>
      <c r="AB455" s="31">
        <f t="shared" si="217"/>
        <v>0</v>
      </c>
      <c r="AC455" s="24">
        <f>+SUM(START:END!AC456)</f>
        <v>0</v>
      </c>
      <c r="AD455" s="32"/>
      <c r="AE455" s="31"/>
      <c r="AF455" s="24">
        <f>+SUM(START:END!AF456)</f>
        <v>0</v>
      </c>
      <c r="AG455" s="25"/>
      <c r="AH455" s="24">
        <f t="shared" si="218"/>
        <v>0</v>
      </c>
      <c r="AI455" s="27">
        <f t="shared" si="219"/>
        <v>0</v>
      </c>
      <c r="AJ455" s="32"/>
      <c r="AL455" s="24">
        <f>+SUM(START:END!AL456)</f>
        <v>0</v>
      </c>
      <c r="AM455" s="28"/>
      <c r="AN455" s="26">
        <f t="shared" si="220"/>
        <v>0</v>
      </c>
      <c r="AO455" s="33">
        <f t="shared" si="221"/>
        <v>0</v>
      </c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</row>
    <row r="456" spans="1:62" ht="15.75" customHeight="1">
      <c r="A456" s="23" t="str">
        <f t="shared" si="180"/>
        <v>Assurances</v>
      </c>
      <c r="B456" s="181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2" t="s">
        <v>169</v>
      </c>
      <c r="W456" s="34" t="s">
        <v>170</v>
      </c>
      <c r="X456" s="7"/>
      <c r="Y456" s="35"/>
      <c r="Z456" s="8">
        <f>+SUM(START:END!Z457)</f>
        <v>11679.25</v>
      </c>
      <c r="AA456" s="7"/>
      <c r="AB456" s="35">
        <f t="shared" si="217"/>
        <v>0</v>
      </c>
      <c r="AC456" s="8">
        <f>+SUM(START:END!AC457)</f>
        <v>0</v>
      </c>
      <c r="AD456" s="36"/>
      <c r="AE456" s="35"/>
      <c r="AF456" s="8">
        <f>+SUM(START:END!AF457)</f>
        <v>11679.24</v>
      </c>
      <c r="AG456" s="9"/>
      <c r="AH456" s="8">
        <f t="shared" si="218"/>
        <v>-1.0000000000218279E-2</v>
      </c>
      <c r="AI456" s="37">
        <f t="shared" si="219"/>
        <v>-8.562193634195928E-7</v>
      </c>
      <c r="AJ456" s="36"/>
      <c r="AK456" s="7"/>
      <c r="AL456" s="8">
        <f>+SUM(START:END!AL457)</f>
        <v>12813</v>
      </c>
      <c r="AM456" s="12"/>
      <c r="AN456" s="10">
        <f t="shared" si="220"/>
        <v>-1133.7600000000002</v>
      </c>
      <c r="AO456" s="13">
        <f t="shared" si="221"/>
        <v>-8.8485132287520502E-2</v>
      </c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</row>
    <row r="457" spans="1:62" ht="15.75" customHeight="1">
      <c r="A457" s="23" t="str">
        <f t="shared" si="180"/>
        <v>Chauffage, éclairage</v>
      </c>
      <c r="B457" s="181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" t="s">
        <v>171</v>
      </c>
      <c r="W457" s="30" t="s">
        <v>172</v>
      </c>
      <c r="X457" s="72"/>
      <c r="Y457" s="73"/>
      <c r="Z457" s="24">
        <f>+SUM(START:END!Z458)</f>
        <v>10353.750000000002</v>
      </c>
      <c r="AA457" s="72"/>
      <c r="AB457" s="73">
        <f t="shared" si="217"/>
        <v>0</v>
      </c>
      <c r="AC457" s="24">
        <f>+SUM(START:END!AC458)</f>
        <v>0</v>
      </c>
      <c r="AD457" s="32"/>
      <c r="AE457" s="31"/>
      <c r="AF457" s="24">
        <f>+SUM(START:END!AF458)</f>
        <v>12807.81</v>
      </c>
      <c r="AG457" s="25"/>
      <c r="AH457" s="24">
        <f t="shared" si="218"/>
        <v>2454.0599999999977</v>
      </c>
      <c r="AI457" s="27">
        <f t="shared" si="219"/>
        <v>0.23702136906917756</v>
      </c>
      <c r="AJ457" s="32"/>
      <c r="AL457" s="24">
        <f>+SUM(START:END!AL458)</f>
        <v>5845.99</v>
      </c>
      <c r="AM457" s="28"/>
      <c r="AN457" s="26">
        <f t="shared" si="220"/>
        <v>6961.82</v>
      </c>
      <c r="AO457" s="33">
        <f t="shared" si="221"/>
        <v>1.1908710073058626</v>
      </c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</row>
    <row r="458" spans="1:62" ht="15.75" customHeight="1">
      <c r="A458" s="23" t="str">
        <f t="shared" si="180"/>
        <v>Honoraires</v>
      </c>
      <c r="B458" s="181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" t="s">
        <v>173</v>
      </c>
      <c r="W458" s="30" t="s">
        <v>174</v>
      </c>
      <c r="Y458" s="31"/>
      <c r="Z458" s="24">
        <f>+SUM(START:END!Z459)</f>
        <v>20352.150000000001</v>
      </c>
      <c r="AB458" s="31">
        <f t="shared" si="217"/>
        <v>0</v>
      </c>
      <c r="AC458" s="24">
        <f>+SUM(START:END!AC459)</f>
        <v>0</v>
      </c>
      <c r="AD458" s="32"/>
      <c r="AE458" s="31"/>
      <c r="AF458" s="24">
        <f>+SUM(START:END!AF459)</f>
        <v>20602.810000000001</v>
      </c>
      <c r="AG458" s="25"/>
      <c r="AH458" s="24">
        <f t="shared" si="218"/>
        <v>250.65999999999985</v>
      </c>
      <c r="AI458" s="27">
        <f t="shared" si="219"/>
        <v>1.2316143503266232E-2</v>
      </c>
      <c r="AJ458" s="32"/>
      <c r="AL458" s="24">
        <f>+SUM(START:END!AL459)</f>
        <v>19631.2</v>
      </c>
      <c r="AM458" s="28"/>
      <c r="AN458" s="26">
        <f t="shared" si="220"/>
        <v>971.61000000000058</v>
      </c>
      <c r="AO458" s="33">
        <f t="shared" si="221"/>
        <v>4.949315375524678E-2</v>
      </c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</row>
    <row r="459" spans="1:62" ht="15.75" customHeight="1">
      <c r="A459" s="23" t="str">
        <f t="shared" si="180"/>
        <v>Réparation équipement</v>
      </c>
      <c r="B459" s="181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2" t="s">
        <v>175</v>
      </c>
      <c r="W459" s="34" t="s">
        <v>176</v>
      </c>
      <c r="X459" s="7"/>
      <c r="Y459" s="35"/>
      <c r="Z459" s="8">
        <f>+SUM(START:END!Z460)</f>
        <v>5840.7634698916654</v>
      </c>
      <c r="AA459" s="7"/>
      <c r="AB459" s="35">
        <f t="shared" si="217"/>
        <v>0</v>
      </c>
      <c r="AC459" s="8">
        <f>+SUM(START:END!AC460)</f>
        <v>0</v>
      </c>
      <c r="AD459" s="36"/>
      <c r="AE459" s="35"/>
      <c r="AF459" s="8">
        <f>+SUM(START:END!AF460)</f>
        <v>1586.98</v>
      </c>
      <c r="AG459" s="9"/>
      <c r="AH459" s="8">
        <f t="shared" si="218"/>
        <v>-4253.7834698916649</v>
      </c>
      <c r="AI459" s="37">
        <f t="shared" si="219"/>
        <v>-0.72829236996487445</v>
      </c>
      <c r="AJ459" s="36"/>
      <c r="AK459" s="7"/>
      <c r="AL459" s="8">
        <f>+SUM(START:END!AL460)</f>
        <v>8695.06</v>
      </c>
      <c r="AM459" s="12"/>
      <c r="AN459" s="10">
        <f t="shared" si="220"/>
        <v>-7108.08</v>
      </c>
      <c r="AO459" s="13">
        <f t="shared" si="221"/>
        <v>-0.817484870719696</v>
      </c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</row>
    <row r="460" spans="1:62" ht="15.75" customHeight="1">
      <c r="A460" s="23" t="str">
        <f t="shared" si="180"/>
        <v>Location équipement</v>
      </c>
      <c r="B460" s="181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412"/>
      <c r="V460" s="1" t="s">
        <v>177</v>
      </c>
      <c r="W460" s="30" t="s">
        <v>178</v>
      </c>
      <c r="Y460" s="31"/>
      <c r="Z460" s="24">
        <f>+SUM(START:END!Z461)</f>
        <v>3000</v>
      </c>
      <c r="AB460" s="31">
        <f t="shared" si="217"/>
        <v>0</v>
      </c>
      <c r="AC460" s="24">
        <f>+SUM(START:END!AC461)</f>
        <v>0</v>
      </c>
      <c r="AD460" s="32"/>
      <c r="AE460" s="31"/>
      <c r="AF460" s="24">
        <f>+SUM(START:END!AF461)</f>
        <v>2287.6899999999996</v>
      </c>
      <c r="AG460" s="25"/>
      <c r="AH460" s="24">
        <f t="shared" si="218"/>
        <v>-712.3100000000004</v>
      </c>
      <c r="AI460" s="74">
        <f t="shared" si="219"/>
        <v>-0.2374366666666668</v>
      </c>
      <c r="AL460" s="24">
        <f>+SUM(START:END!AL461)</f>
        <v>1584.3899999999999</v>
      </c>
      <c r="AM460" s="28"/>
      <c r="AN460" s="26">
        <f t="shared" si="220"/>
        <v>703.29999999999973</v>
      </c>
      <c r="AO460" s="33">
        <f t="shared" si="221"/>
        <v>0.44389323335794834</v>
      </c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</row>
    <row r="461" spans="1:62" ht="15.75" customHeight="1">
      <c r="A461" s="23" t="str">
        <f t="shared" si="180"/>
        <v>Dons</v>
      </c>
      <c r="B461" s="181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412"/>
      <c r="V461" s="1" t="s">
        <v>179</v>
      </c>
      <c r="W461" s="30" t="s">
        <v>180</v>
      </c>
      <c r="Y461" s="31"/>
      <c r="Z461" s="24">
        <f>+SUM(START:END!Z462)</f>
        <v>0</v>
      </c>
      <c r="AB461" s="31">
        <f t="shared" si="217"/>
        <v>0</v>
      </c>
      <c r="AC461" s="24">
        <f>+SUM(START:END!AC462)</f>
        <v>0</v>
      </c>
      <c r="AD461" s="32"/>
      <c r="AE461" s="31"/>
      <c r="AF461" s="24">
        <f>+SUM(START:END!AF462)</f>
        <v>0</v>
      </c>
      <c r="AG461" s="25"/>
      <c r="AH461" s="24">
        <f t="shared" si="218"/>
        <v>0</v>
      </c>
      <c r="AI461" s="48">
        <f t="shared" si="219"/>
        <v>0</v>
      </c>
      <c r="AL461" s="24">
        <f>+SUM(START:END!AL462)</f>
        <v>0</v>
      </c>
      <c r="AM461" s="28"/>
      <c r="AN461" s="26">
        <f t="shared" si="220"/>
        <v>0</v>
      </c>
      <c r="AO461" s="33">
        <f t="shared" si="221"/>
        <v>0</v>
      </c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</row>
    <row r="462" spans="1:62" ht="15.75" hidden="1" customHeight="1">
      <c r="A462" s="23" t="str">
        <f t="shared" si="180"/>
        <v>[...]</v>
      </c>
      <c r="B462" s="181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412"/>
      <c r="V462" s="1" t="s">
        <v>20</v>
      </c>
      <c r="W462" s="30"/>
      <c r="Y462" s="31"/>
      <c r="Z462" s="24">
        <f>+SUM(START:END!Z463)</f>
        <v>0</v>
      </c>
      <c r="AB462" s="31"/>
      <c r="AC462" s="24">
        <f>+SUM(START:END!AC462)</f>
        <v>0</v>
      </c>
      <c r="AD462" s="32"/>
      <c r="AE462" s="31"/>
      <c r="AF462" s="24">
        <f>+SUM(START:END!AF463)</f>
        <v>0</v>
      </c>
      <c r="AG462" s="25"/>
      <c r="AH462" s="24">
        <f t="shared" ref="AH462:AH464" si="222">AF462-AC462</f>
        <v>0</v>
      </c>
      <c r="AI462" s="48">
        <v>1</v>
      </c>
      <c r="AL462" s="24">
        <f>+SUM(START:END!AL463)</f>
        <v>0</v>
      </c>
      <c r="AM462" s="28"/>
      <c r="AN462" s="26">
        <f t="shared" si="220"/>
        <v>0</v>
      </c>
      <c r="AO462" s="33">
        <v>1</v>
      </c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</row>
    <row r="463" spans="1:62" ht="15.75" hidden="1" customHeight="1">
      <c r="A463" s="23" t="str">
        <f t="shared" si="180"/>
        <v>[...]</v>
      </c>
      <c r="B463" s="181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412"/>
      <c r="V463" s="1" t="s">
        <v>20</v>
      </c>
      <c r="W463" s="30"/>
      <c r="Y463" s="31"/>
      <c r="Z463" s="24">
        <f>+SUM(START:END!Z464)</f>
        <v>0</v>
      </c>
      <c r="AB463" s="31"/>
      <c r="AC463" s="24">
        <f>+SUM(START:END!AC463)</f>
        <v>0</v>
      </c>
      <c r="AD463" s="32"/>
      <c r="AE463" s="31"/>
      <c r="AF463" s="24">
        <f>+SUM(START:END!AF464)</f>
        <v>0</v>
      </c>
      <c r="AG463" s="25"/>
      <c r="AH463" s="24">
        <f t="shared" si="222"/>
        <v>0</v>
      </c>
      <c r="AI463" s="48">
        <v>2</v>
      </c>
      <c r="AL463" s="24">
        <f>+SUM(START:END!AL464)</f>
        <v>0</v>
      </c>
      <c r="AM463" s="28"/>
      <c r="AN463" s="26">
        <f t="shared" si="220"/>
        <v>0</v>
      </c>
      <c r="AO463" s="33">
        <v>2</v>
      </c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</row>
    <row r="464" spans="1:62" ht="15.75" hidden="1" customHeight="1">
      <c r="A464" s="23" t="str">
        <f t="shared" si="180"/>
        <v>[...]</v>
      </c>
      <c r="B464" s="181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" t="s">
        <v>20</v>
      </c>
      <c r="W464" s="30"/>
      <c r="Y464" s="31"/>
      <c r="Z464" s="24">
        <f>+SUM(START:END!Z463)</f>
        <v>0</v>
      </c>
      <c r="AB464" s="31"/>
      <c r="AC464" s="24">
        <f>+SUM(START:END!AC464)</f>
        <v>0</v>
      </c>
      <c r="AD464" s="32"/>
      <c r="AE464" s="31"/>
      <c r="AF464" s="24">
        <f>+SUM(START:END!AF465)</f>
        <v>0</v>
      </c>
      <c r="AG464" s="25"/>
      <c r="AH464" s="24">
        <f t="shared" si="222"/>
        <v>0</v>
      </c>
      <c r="AI464" s="48">
        <v>3</v>
      </c>
      <c r="AL464" s="24">
        <f>+SUM(START:END!AL465)</f>
        <v>0</v>
      </c>
      <c r="AM464" s="28"/>
      <c r="AN464" s="26">
        <f t="shared" si="220"/>
        <v>0</v>
      </c>
      <c r="AO464" s="33">
        <v>3</v>
      </c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</row>
    <row r="465" spans="1:62" ht="15.75" customHeight="1">
      <c r="A465" s="23" t="str">
        <f t="shared" si="180"/>
        <v>TOTAL DÉPENSES FIXES</v>
      </c>
      <c r="B465" s="181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40" t="s">
        <v>181</v>
      </c>
      <c r="W465" s="41"/>
      <c r="X465" s="42">
        <f>Z465/+Z406</f>
        <v>7.3576965130683361E-2</v>
      </c>
      <c r="Y465" s="41"/>
      <c r="Z465" s="43">
        <f>SUM(Z452:Z464)</f>
        <v>185091.19346989164</v>
      </c>
      <c r="AA465" s="42" t="e">
        <f>AC465/+AC406</f>
        <v>#DIV/0!</v>
      </c>
      <c r="AB465" s="41"/>
      <c r="AC465" s="43">
        <f>SUM(AC452:AC464)</f>
        <v>0</v>
      </c>
      <c r="AD465" s="44">
        <f>AF465/AF406</f>
        <v>9.8003518714396526E-2</v>
      </c>
      <c r="AE465" s="41"/>
      <c r="AF465" s="43">
        <f>SUM(AF452:AF464)</f>
        <v>182830.53</v>
      </c>
      <c r="AG465" s="50"/>
      <c r="AH465" s="43">
        <f>SUM(AH452:AH464)</f>
        <v>-2260.6634698916687</v>
      </c>
      <c r="AI465" s="42">
        <f>IF(Z465=0,0,AH465/Z465)</f>
        <v>-1.2213781906697823E-2</v>
      </c>
      <c r="AJ465" s="44">
        <f>IF($AL$406=0,0,AL465/$AL$406)</f>
        <v>7.2574300817305273E-2</v>
      </c>
      <c r="AK465" s="42"/>
      <c r="AL465" s="43">
        <f>SUM(AL452:AL464)</f>
        <v>151199.63999999998</v>
      </c>
      <c r="AM465" s="51"/>
      <c r="AN465" s="46">
        <f>SUM(AN452:AN464)</f>
        <v>31630.890000000025</v>
      </c>
      <c r="AO465" s="71">
        <f>IF(AL465=0,0,AN465/AL465)</f>
        <v>0.20919950603057011</v>
      </c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</row>
    <row r="466" spans="1:62" ht="15.75" customHeight="1">
      <c r="A466" s="23" t="str">
        <f t="shared" si="180"/>
        <v/>
      </c>
      <c r="B466" s="181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"/>
      <c r="Z466" s="75"/>
      <c r="AC466" s="75"/>
      <c r="AD466" s="32"/>
      <c r="AF466" s="75"/>
      <c r="AG466" s="32"/>
      <c r="AH466" s="75"/>
      <c r="AI466" s="27"/>
      <c r="AJ466" s="32"/>
      <c r="AL466" s="75"/>
      <c r="AM466" s="76"/>
      <c r="AN466" s="26">
        <f t="shared" ref="AN466:AN482" si="223">AF466-AL466</f>
        <v>0</v>
      </c>
      <c r="AO466" s="77">
        <f>IF(AL466=0,0,AN466/AL466)</f>
        <v>0</v>
      </c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</row>
    <row r="467" spans="1:62" ht="15.75" customHeight="1">
      <c r="A467" s="23" t="str">
        <f t="shared" si="180"/>
        <v>TOTAL DES DÉPENSES</v>
      </c>
      <c r="B467" s="181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40" t="s">
        <v>65</v>
      </c>
      <c r="W467" s="41"/>
      <c r="X467" s="42">
        <f>Z467/+Z406</f>
        <v>0.84030775168526028</v>
      </c>
      <c r="Y467" s="41"/>
      <c r="Z467" s="43">
        <f>Z418+Z432+Z451+Z465</f>
        <v>2113889.372375933</v>
      </c>
      <c r="AA467" s="42" t="e">
        <f>AC467/+AC406</f>
        <v>#DIV/0!</v>
      </c>
      <c r="AB467" s="41"/>
      <c r="AC467" s="43">
        <f>AC418+AC432+AC451+AC465</f>
        <v>0</v>
      </c>
      <c r="AD467" s="44">
        <f>AF467/AF406</f>
        <v>0.9822140129809499</v>
      </c>
      <c r="AE467" s="41"/>
      <c r="AF467" s="43">
        <f>AF418+AF432+AF451+AF465</f>
        <v>1832370.01</v>
      </c>
      <c r="AG467" s="50"/>
      <c r="AH467" s="43">
        <f>AH418+AH432+AH451+AH465</f>
        <v>-281519.36237593292</v>
      </c>
      <c r="AI467" s="42">
        <f>AH467/Z467</f>
        <v>-0.13317601481647814</v>
      </c>
      <c r="AJ467" s="44">
        <f>IF($AL$406=0,0,AL467/$AL$406)</f>
        <v>0.92577570028547229</v>
      </c>
      <c r="AK467" s="42"/>
      <c r="AL467" s="43">
        <f>AL418+AL432+AL451+AL465</f>
        <v>1928739.9399999995</v>
      </c>
      <c r="AM467" s="51"/>
      <c r="AN467" s="46">
        <f t="shared" si="223"/>
        <v>-96369.929999999469</v>
      </c>
      <c r="AO467" s="21">
        <f>IF(AL467=0,0,AN467/AL467)</f>
        <v>-4.9965227556805554E-2</v>
      </c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</row>
    <row r="468" spans="1:62" ht="15.75" customHeight="1">
      <c r="A468" s="23" t="str">
        <f t="shared" si="180"/>
        <v>Revenus autres</v>
      </c>
      <c r="B468" s="181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" t="s">
        <v>182</v>
      </c>
      <c r="W468" s="73"/>
      <c r="X468" s="73"/>
      <c r="Z468" s="54">
        <f>+SUM(START:END!Z469)</f>
        <v>22097.857499999998</v>
      </c>
      <c r="AA468" s="78"/>
      <c r="AB468" s="79">
        <f t="shared" ref="AB468:AB476" si="224">IF(AC468=0,0,AC468/(G$13+G$97))</f>
        <v>0</v>
      </c>
      <c r="AC468" s="54">
        <f>+SUM(START:END!AC469)</f>
        <v>0</v>
      </c>
      <c r="AD468" s="80"/>
      <c r="AE468" s="79"/>
      <c r="AF468" s="24">
        <f>+SUM(START:END!AF469)</f>
        <v>48047.710000000006</v>
      </c>
      <c r="AG468" s="81"/>
      <c r="AH468" s="24">
        <f t="shared" ref="AH468:AH479" si="225">AF468-Z468</f>
        <v>25949.852500000008</v>
      </c>
      <c r="AI468" s="74">
        <f t="shared" ref="AI468:AI479" si="226">IF(Z468=0,0,AH468/Z468)</f>
        <v>1.1743153154101029</v>
      </c>
      <c r="AJ468" s="80"/>
      <c r="AK468" s="172"/>
      <c r="AL468" s="82">
        <f>+SUM(START:END!AL469)</f>
        <v>88965.31</v>
      </c>
      <c r="AM468" s="83"/>
      <c r="AN468" s="26">
        <f t="shared" si="223"/>
        <v>-40917.599999999991</v>
      </c>
      <c r="AO468" s="33">
        <f t="shared" ref="AO468:AO476" si="227">IF(AL468=0,0,AN468/AL468)</f>
        <v>-0.45992758300960218</v>
      </c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</row>
    <row r="469" spans="1:62" ht="18">
      <c r="A469" s="23" t="str">
        <f t="shared" si="180"/>
        <v>Holdbacks</v>
      </c>
      <c r="B469" s="181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" t="s">
        <v>69</v>
      </c>
      <c r="Z469" s="24">
        <f>+SUM(START:END!Z470)</f>
        <v>248521.94489540852</v>
      </c>
      <c r="AA469" s="72"/>
      <c r="AB469" s="73">
        <f t="shared" si="224"/>
        <v>0</v>
      </c>
      <c r="AC469" s="24">
        <f>+SUM(START:END!AC470)</f>
        <v>0</v>
      </c>
      <c r="AD469" s="84"/>
      <c r="AE469" s="73"/>
      <c r="AF469" s="24">
        <f>+SUM(START:END!AF470)</f>
        <v>175923.85</v>
      </c>
      <c r="AG469" s="85"/>
      <c r="AH469" s="24">
        <f t="shared" si="225"/>
        <v>-72598.094895408518</v>
      </c>
      <c r="AI469" s="48">
        <f t="shared" si="226"/>
        <v>-0.29211945418325824</v>
      </c>
      <c r="AJ469" s="84"/>
      <c r="AK469" s="173"/>
      <c r="AL469" s="86">
        <f>+SUM(START:END!AL470)</f>
        <v>232846.94</v>
      </c>
      <c r="AM469" s="87"/>
      <c r="AN469" s="26">
        <f t="shared" si="223"/>
        <v>-56923.09</v>
      </c>
      <c r="AO469" s="33">
        <f t="shared" si="227"/>
        <v>-0.24446569922714034</v>
      </c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</row>
    <row r="470" spans="1:62" ht="15.75" customHeight="1">
      <c r="A470" s="23" t="str">
        <f t="shared" si="180"/>
        <v>Variable Margin Program</v>
      </c>
      <c r="B470" s="181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" t="s">
        <v>66</v>
      </c>
      <c r="Z470" s="24">
        <f>+SUM(START:END!Z471)</f>
        <v>20000</v>
      </c>
      <c r="AA470" s="72"/>
      <c r="AB470" s="73">
        <f t="shared" si="224"/>
        <v>0</v>
      </c>
      <c r="AC470" s="24">
        <f>+SUM(START:END!AC471)</f>
        <v>0</v>
      </c>
      <c r="AD470" s="84"/>
      <c r="AE470" s="73"/>
      <c r="AF470" s="24">
        <f>+SUM(START:END!AF471)</f>
        <v>32500</v>
      </c>
      <c r="AG470" s="85"/>
      <c r="AH470" s="24">
        <f t="shared" si="225"/>
        <v>12500</v>
      </c>
      <c r="AI470" s="48">
        <f t="shared" si="226"/>
        <v>0.625</v>
      </c>
      <c r="AJ470" s="84"/>
      <c r="AK470" s="72"/>
      <c r="AL470" s="86">
        <f>+SUM(START:END!AL471)</f>
        <v>31556</v>
      </c>
      <c r="AM470" s="87"/>
      <c r="AN470" s="26">
        <f t="shared" si="223"/>
        <v>944</v>
      </c>
      <c r="AO470" s="33">
        <f t="shared" si="227"/>
        <v>2.9915071618709595E-2</v>
      </c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</row>
    <row r="471" spans="1:62" ht="15.75" customHeight="1">
      <c r="A471" s="23" t="str">
        <f t="shared" si="180"/>
        <v>Floorplan assistance 1%</v>
      </c>
      <c r="B471" s="181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" t="s">
        <v>67</v>
      </c>
      <c r="Z471" s="24">
        <f>+SUM(START:END!Z472)</f>
        <v>0</v>
      </c>
      <c r="AA471" s="72"/>
      <c r="AB471" s="73">
        <f t="shared" si="224"/>
        <v>0</v>
      </c>
      <c r="AC471" s="24">
        <f>+SUM(START:END!AC472)</f>
        <v>0</v>
      </c>
      <c r="AD471" s="84"/>
      <c r="AE471" s="73"/>
      <c r="AF471" s="24">
        <f>+SUM(START:END!AF472)</f>
        <v>0</v>
      </c>
      <c r="AG471" s="85"/>
      <c r="AH471" s="24">
        <f t="shared" si="225"/>
        <v>0</v>
      </c>
      <c r="AI471" s="48">
        <f t="shared" si="226"/>
        <v>0</v>
      </c>
      <c r="AJ471" s="84"/>
      <c r="AK471" s="72"/>
      <c r="AL471" s="86">
        <f>+SUM(START:END!AL472)</f>
        <v>0</v>
      </c>
      <c r="AM471" s="87"/>
      <c r="AN471" s="26">
        <f t="shared" si="223"/>
        <v>0</v>
      </c>
      <c r="AO471" s="33">
        <f t="shared" si="227"/>
        <v>0</v>
      </c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</row>
    <row r="472" spans="1:62" ht="15.75" customHeight="1">
      <c r="A472" s="23" t="str">
        <f t="shared" si="180"/>
        <v>Programme neuf 3</v>
      </c>
      <c r="B472" s="181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" t="s">
        <v>68</v>
      </c>
      <c r="Z472" s="24">
        <f>+SUM(START:END!Z473)</f>
        <v>0</v>
      </c>
      <c r="AA472" s="72"/>
      <c r="AB472" s="73">
        <f t="shared" si="224"/>
        <v>0</v>
      </c>
      <c r="AC472" s="24">
        <f>+SUM(START:END!AC473)</f>
        <v>0</v>
      </c>
      <c r="AD472" s="84"/>
      <c r="AE472" s="73"/>
      <c r="AF472" s="24">
        <f>+SUM(START:END!AF473)</f>
        <v>0</v>
      </c>
      <c r="AG472" s="85"/>
      <c r="AH472" s="24">
        <f t="shared" si="225"/>
        <v>0</v>
      </c>
      <c r="AI472" s="48">
        <f t="shared" si="226"/>
        <v>0</v>
      </c>
      <c r="AJ472" s="84"/>
      <c r="AK472" s="72"/>
      <c r="AL472" s="86">
        <f>+SUM(START:END!AL473)</f>
        <v>0</v>
      </c>
      <c r="AM472" s="87"/>
      <c r="AN472" s="26">
        <f t="shared" si="223"/>
        <v>0</v>
      </c>
      <c r="AO472" s="33">
        <f t="shared" si="227"/>
        <v>0</v>
      </c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</row>
    <row r="473" spans="1:62" ht="15.75" customHeight="1">
      <c r="A473" s="23" t="str">
        <f t="shared" si="180"/>
        <v>Remarketing Bonus</v>
      </c>
      <c r="B473" s="181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" t="s">
        <v>80</v>
      </c>
      <c r="Z473" s="24">
        <f>+SUM(START:END!Z474)</f>
        <v>0</v>
      </c>
      <c r="AA473" s="72"/>
      <c r="AB473" s="73">
        <f t="shared" si="224"/>
        <v>0</v>
      </c>
      <c r="AC473" s="24">
        <f>+SUM(START:END!AC474)</f>
        <v>0</v>
      </c>
      <c r="AD473" s="84"/>
      <c r="AE473" s="73"/>
      <c r="AF473" s="24">
        <f>+SUM(START:END!AF474)</f>
        <v>0</v>
      </c>
      <c r="AG473" s="85"/>
      <c r="AH473" s="24">
        <f t="shared" si="225"/>
        <v>0</v>
      </c>
      <c r="AI473" s="48">
        <f t="shared" si="226"/>
        <v>0</v>
      </c>
      <c r="AJ473" s="84"/>
      <c r="AK473" s="72"/>
      <c r="AL473" s="86">
        <f>+SUM(START:END!AL474)</f>
        <v>0</v>
      </c>
      <c r="AM473" s="87"/>
      <c r="AN473" s="26">
        <f t="shared" si="223"/>
        <v>0</v>
      </c>
      <c r="AO473" s="33">
        <f t="shared" si="227"/>
        <v>0</v>
      </c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</row>
    <row r="474" spans="1:62" ht="15.75" customHeight="1">
      <c r="A474" s="23" t="str">
        <f t="shared" si="180"/>
        <v>Programme used 2</v>
      </c>
      <c r="B474" s="181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" t="s">
        <v>81</v>
      </c>
      <c r="Z474" s="24">
        <f>+SUM(START:END!Z475)</f>
        <v>0</v>
      </c>
      <c r="AA474" s="72"/>
      <c r="AB474" s="73">
        <f t="shared" si="224"/>
        <v>0</v>
      </c>
      <c r="AC474" s="24">
        <f>+SUM(START:END!AC475)</f>
        <v>0</v>
      </c>
      <c r="AD474" s="84"/>
      <c r="AE474" s="73"/>
      <c r="AF474" s="24">
        <f>+SUM(START:END!AF475)</f>
        <v>0</v>
      </c>
      <c r="AG474" s="85"/>
      <c r="AH474" s="24">
        <f t="shared" si="225"/>
        <v>0</v>
      </c>
      <c r="AI474" s="48">
        <f t="shared" si="226"/>
        <v>0</v>
      </c>
      <c r="AJ474" s="84"/>
      <c r="AK474" s="72"/>
      <c r="AL474" s="86">
        <f>+SUM(START:END!AL475)</f>
        <v>0</v>
      </c>
      <c r="AM474" s="87"/>
      <c r="AN474" s="26">
        <f t="shared" si="223"/>
        <v>0</v>
      </c>
      <c r="AO474" s="33">
        <f t="shared" si="227"/>
        <v>0</v>
      </c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</row>
    <row r="475" spans="1:62" ht="15.75" customHeight="1">
      <c r="A475" s="23" t="str">
        <f t="shared" si="180"/>
        <v>Programme used 3</v>
      </c>
      <c r="B475" s="181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" t="s">
        <v>82</v>
      </c>
      <c r="Z475" s="24">
        <f>+SUM(START:END!Z476)</f>
        <v>0</v>
      </c>
      <c r="AA475" s="72"/>
      <c r="AB475" s="73">
        <f t="shared" si="224"/>
        <v>0</v>
      </c>
      <c r="AC475" s="24">
        <f>+SUM(START:END!AC476)</f>
        <v>0</v>
      </c>
      <c r="AD475" s="84"/>
      <c r="AE475" s="73"/>
      <c r="AF475" s="24">
        <f>+SUM(START:END!AF476)</f>
        <v>0</v>
      </c>
      <c r="AG475" s="85"/>
      <c r="AH475" s="24">
        <f t="shared" si="225"/>
        <v>0</v>
      </c>
      <c r="AI475" s="48">
        <f t="shared" si="226"/>
        <v>0</v>
      </c>
      <c r="AJ475" s="84"/>
      <c r="AK475" s="72"/>
      <c r="AL475" s="86">
        <f>+SUM(START:END!AL476)</f>
        <v>0</v>
      </c>
      <c r="AM475" s="87"/>
      <c r="AN475" s="26">
        <f t="shared" si="223"/>
        <v>0</v>
      </c>
      <c r="AO475" s="33">
        <f t="shared" si="227"/>
        <v>0</v>
      </c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</row>
    <row r="476" spans="1:62" ht="15.75" customHeight="1">
      <c r="A476" s="23" t="str">
        <f t="shared" si="180"/>
        <v>Facility Fund</v>
      </c>
      <c r="B476" s="181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" t="s">
        <v>195</v>
      </c>
      <c r="Z476" s="24">
        <f>+SUM(START:END!Z477)</f>
        <v>0</v>
      </c>
      <c r="AA476" s="72"/>
      <c r="AB476" s="73">
        <f t="shared" si="224"/>
        <v>0</v>
      </c>
      <c r="AC476" s="24">
        <f>+SUM(START:END!AC477)</f>
        <v>0</v>
      </c>
      <c r="AD476" s="84"/>
      <c r="AE476" s="73"/>
      <c r="AF476" s="24">
        <f>+SUM(START:END!AF477)</f>
        <v>0</v>
      </c>
      <c r="AG476" s="85"/>
      <c r="AH476" s="24">
        <f t="shared" si="225"/>
        <v>0</v>
      </c>
      <c r="AI476" s="48">
        <f t="shared" si="226"/>
        <v>0</v>
      </c>
      <c r="AJ476" s="84"/>
      <c r="AK476" s="72"/>
      <c r="AL476" s="86">
        <f>+SUM(START:END!AL477)</f>
        <v>0</v>
      </c>
      <c r="AM476" s="87"/>
      <c r="AN476" s="26">
        <f t="shared" si="223"/>
        <v>0</v>
      </c>
      <c r="AO476" s="33">
        <f t="shared" si="227"/>
        <v>0</v>
      </c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</row>
    <row r="477" spans="1:62" ht="15.75" hidden="1" customHeight="1">
      <c r="A477" s="23" t="str">
        <f t="shared" si="180"/>
        <v>[...]</v>
      </c>
      <c r="B477" s="181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" t="s">
        <v>20</v>
      </c>
      <c r="Z477" s="24">
        <f>+SUM(START:END!Z478)</f>
        <v>0</v>
      </c>
      <c r="AA477" s="72"/>
      <c r="AB477" s="73">
        <f t="shared" ref="AB477:AB479" si="228">IF(AC477=0,0,AC477/(G$13+G$97))</f>
        <v>0</v>
      </c>
      <c r="AC477" s="24">
        <f>+SUM(START:END!AC478)</f>
        <v>0</v>
      </c>
      <c r="AD477" s="84"/>
      <c r="AE477" s="73"/>
      <c r="AF477" s="24">
        <f>+SUM(START:END!AF478)</f>
        <v>0</v>
      </c>
      <c r="AG477" s="85"/>
      <c r="AH477" s="24">
        <f t="shared" si="225"/>
        <v>0</v>
      </c>
      <c r="AI477" s="48">
        <f t="shared" si="226"/>
        <v>0</v>
      </c>
      <c r="AJ477" s="84"/>
      <c r="AK477" s="72"/>
      <c r="AL477" s="86">
        <f>+SUM(START:END!AL478)</f>
        <v>0</v>
      </c>
      <c r="AM477" s="87"/>
      <c r="AN477" s="26">
        <f t="shared" ref="AN477:AN479" si="229">AF477-AL477</f>
        <v>0</v>
      </c>
      <c r="AO477" s="33">
        <f t="shared" ref="AO477:AO479" si="230">IF(AL477=0,0,AN477/AL477)</f>
        <v>0</v>
      </c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</row>
    <row r="478" spans="1:62" ht="15.75" hidden="1" customHeight="1">
      <c r="A478" s="23" t="str">
        <f t="shared" si="180"/>
        <v>[...]</v>
      </c>
      <c r="B478" s="181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" t="s">
        <v>20</v>
      </c>
      <c r="Z478" s="24">
        <f>+SUM(START:END!Z479)</f>
        <v>0</v>
      </c>
      <c r="AA478" s="72"/>
      <c r="AB478" s="73">
        <f t="shared" si="228"/>
        <v>0</v>
      </c>
      <c r="AC478" s="24">
        <f>+SUM(START:END!AC479)</f>
        <v>0</v>
      </c>
      <c r="AD478" s="84"/>
      <c r="AE478" s="73"/>
      <c r="AF478" s="24">
        <f>+SUM(START:END!AF479)</f>
        <v>0</v>
      </c>
      <c r="AG478" s="85"/>
      <c r="AH478" s="24">
        <f t="shared" si="225"/>
        <v>0</v>
      </c>
      <c r="AI478" s="48">
        <f t="shared" si="226"/>
        <v>0</v>
      </c>
      <c r="AJ478" s="84"/>
      <c r="AK478" s="72"/>
      <c r="AL478" s="86">
        <f>+SUM(START:END!AL479)</f>
        <v>0</v>
      </c>
      <c r="AM478" s="87"/>
      <c r="AN478" s="26">
        <f t="shared" si="229"/>
        <v>0</v>
      </c>
      <c r="AO478" s="33">
        <f t="shared" si="230"/>
        <v>0</v>
      </c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</row>
    <row r="479" spans="1:62" ht="15.75" customHeight="1">
      <c r="A479" s="23" t="str">
        <f t="shared" si="180"/>
        <v>Frais administration</v>
      </c>
      <c r="B479" s="181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2" t="s">
        <v>70</v>
      </c>
      <c r="Z479" s="24">
        <f>+SUM(START:END!Z480)</f>
        <v>133062.279625</v>
      </c>
      <c r="AA479" s="72"/>
      <c r="AB479" s="73">
        <f t="shared" si="228"/>
        <v>0</v>
      </c>
      <c r="AC479" s="24">
        <f>+SUM(START:END!AC480)</f>
        <v>0</v>
      </c>
      <c r="AD479" s="84"/>
      <c r="AE479" s="73"/>
      <c r="AF479" s="24">
        <f>+SUM(START:END!AF480)</f>
        <v>101781</v>
      </c>
      <c r="AG479" s="85"/>
      <c r="AH479" s="24">
        <f t="shared" si="225"/>
        <v>-31281.279624999996</v>
      </c>
      <c r="AI479" s="48">
        <f t="shared" si="226"/>
        <v>-0.23508750724215616</v>
      </c>
      <c r="AJ479" s="84"/>
      <c r="AK479" s="72"/>
      <c r="AL479" s="86">
        <f>+SUM(START:END!AL480)</f>
        <v>119114.9</v>
      </c>
      <c r="AM479" s="87"/>
      <c r="AN479" s="26">
        <f t="shared" si="229"/>
        <v>-17333.899999999994</v>
      </c>
      <c r="AO479" s="33">
        <f t="shared" si="230"/>
        <v>-0.14552251649457787</v>
      </c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</row>
    <row r="480" spans="1:62" ht="15.75" customHeight="1">
      <c r="A480" s="23" t="str">
        <f t="shared" si="180"/>
        <v>TOTAL AUTRES REVENUS</v>
      </c>
      <c r="B480" s="181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40" t="s">
        <v>183</v>
      </c>
      <c r="W480" s="41"/>
      <c r="X480" s="42">
        <f>Z480/+Z406</f>
        <v>0.16842098854574516</v>
      </c>
      <c r="Y480" s="70"/>
      <c r="Z480" s="43">
        <f>SUM(Z468:Z479)</f>
        <v>423682.08202040847</v>
      </c>
      <c r="AA480" s="42" t="e">
        <f>AC480/+AC406</f>
        <v>#DIV/0!</v>
      </c>
      <c r="AB480" s="70"/>
      <c r="AC480" s="43">
        <f>SUM(AC468:AC479)</f>
        <v>0</v>
      </c>
      <c r="AD480" s="42">
        <f>AF480/+AF406</f>
        <v>0.19203582393181526</v>
      </c>
      <c r="AE480" s="70"/>
      <c r="AF480" s="43">
        <f>SUM(AF468:AF479)</f>
        <v>358252.56</v>
      </c>
      <c r="AG480" s="50"/>
      <c r="AH480" s="43">
        <f>SUM(AH468:AH479)</f>
        <v>-65429.522020408505</v>
      </c>
      <c r="AI480" s="42">
        <f>AH480/Z480</f>
        <v>-0.15443070357942776</v>
      </c>
      <c r="AJ480" s="88"/>
      <c r="AK480" s="89"/>
      <c r="AL480" s="43">
        <f>SUM(AL468:AL479)</f>
        <v>472483.15</v>
      </c>
      <c r="AM480" s="90"/>
      <c r="AN480" s="46">
        <f t="shared" si="223"/>
        <v>-114230.59000000003</v>
      </c>
      <c r="AO480" s="71">
        <f>IF(AL480=0,0,AN480/AL480)</f>
        <v>-0.2417664841592764</v>
      </c>
      <c r="AP480" s="184"/>
      <c r="AQ480" s="413"/>
      <c r="AR480" s="409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</row>
    <row r="481" spans="1:62" ht="15.75" customHeight="1" thickBot="1">
      <c r="A481" s="23" t="str">
        <f t="shared" si="180"/>
        <v/>
      </c>
      <c r="B481" s="181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91"/>
      <c r="W481" s="92"/>
      <c r="X481" s="92"/>
      <c r="Y481" s="93"/>
      <c r="Z481" s="94"/>
      <c r="AA481" s="92"/>
      <c r="AB481" s="95"/>
      <c r="AC481" s="94"/>
      <c r="AD481" s="92"/>
      <c r="AE481" s="95"/>
      <c r="AF481" s="96"/>
      <c r="AG481" s="97"/>
      <c r="AH481" s="96"/>
      <c r="AI481" s="99"/>
      <c r="AJ481" s="100"/>
      <c r="AK481" s="101"/>
      <c r="AL481" s="96"/>
      <c r="AM481" s="102"/>
      <c r="AN481" s="98">
        <f t="shared" si="223"/>
        <v>0</v>
      </c>
      <c r="AO481" s="103">
        <f t="shared" ref="AO481" si="231">IF(AL481=0,0,AN481/AL481)</f>
        <v>0</v>
      </c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</row>
    <row r="482" spans="1:62" ht="15.75" customHeight="1" thickTop="1" thickBot="1">
      <c r="A482" s="23" t="str">
        <f t="shared" si="180"/>
        <v>BAIIA OPÉRATIONNEL</v>
      </c>
      <c r="B482" s="181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04" t="s">
        <v>184</v>
      </c>
      <c r="W482" s="105"/>
      <c r="X482" s="106" t="s">
        <v>185</v>
      </c>
      <c r="Y482" s="107">
        <f>Z482/Z405</f>
        <v>4.8863714454195115E-2</v>
      </c>
      <c r="Z482" s="108">
        <f>Z406-Z467+Z480</f>
        <v>825406.02885576431</v>
      </c>
      <c r="AA482" s="106" t="s">
        <v>185</v>
      </c>
      <c r="AB482" s="107" t="e">
        <f>AC482/AC405</f>
        <v>#DIV/0!</v>
      </c>
      <c r="AC482" s="108">
        <f>AC406-AC467+AC480</f>
        <v>0</v>
      </c>
      <c r="AD482" s="106" t="s">
        <v>185</v>
      </c>
      <c r="AE482" s="107">
        <f>AF482/AF405</f>
        <v>3.090961923537975E-2</v>
      </c>
      <c r="AF482" s="109">
        <f>AF406-AF467+AF480</f>
        <v>391433.22000000015</v>
      </c>
      <c r="AG482" s="110"/>
      <c r="AH482" s="109">
        <f>AH406-AH467+AH480</f>
        <v>-433972.80885576422</v>
      </c>
      <c r="AI482" s="111">
        <f>AH482/Z482</f>
        <v>-0.52576888668643207</v>
      </c>
      <c r="AJ482" s="112" t="s">
        <v>185</v>
      </c>
      <c r="AK482" s="107">
        <f>IF($AL$405=0,0,AL482/$AL$405)</f>
        <v>1.9259349530270906E-2</v>
      </c>
      <c r="AL482" s="109">
        <f>AL406-AL467+AL480</f>
        <v>627120.35999999836</v>
      </c>
      <c r="AM482" s="113"/>
      <c r="AN482" s="109">
        <f t="shared" si="223"/>
        <v>-235687.13999999821</v>
      </c>
      <c r="AO482" s="114">
        <f>IF(AL482=0,0,AN482/AL482)</f>
        <v>-0.37582441112260945</v>
      </c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</row>
    <row r="483" spans="1:62" ht="15.75" customHeight="1" thickTop="1">
      <c r="A483" s="23" t="str">
        <f t="shared" si="180"/>
        <v/>
      </c>
      <c r="B483" s="181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73"/>
      <c r="W483" s="73"/>
      <c r="X483" s="73"/>
      <c r="Y483" s="73"/>
      <c r="Z483" s="26"/>
      <c r="AC483" s="26"/>
      <c r="AF483" s="115"/>
      <c r="AL483" s="26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</row>
    <row r="484" spans="1:62" ht="35.25" customHeight="1">
      <c r="A484" s="23" t="str">
        <f t="shared" ref="A484:A498" si="232">+U484&amp;V484</f>
        <v>Conso</v>
      </c>
      <c r="B484" s="181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73" t="str">
        <f>C1</f>
        <v>Conso</v>
      </c>
      <c r="W484" s="73"/>
      <c r="X484" s="73"/>
      <c r="Y484" s="73"/>
      <c r="Z484" s="177"/>
      <c r="AA484" s="177"/>
      <c r="AB484" s="73"/>
      <c r="AC484" s="73"/>
      <c r="AD484" s="177"/>
      <c r="AE484" s="178" t="s">
        <v>186</v>
      </c>
      <c r="AF484" s="73"/>
      <c r="AG484" s="73"/>
      <c r="AH484" s="177"/>
      <c r="AI484" s="177"/>
      <c r="AJ484" s="400"/>
      <c r="AK484" s="6"/>
      <c r="AL484" s="177"/>
      <c r="AM484" s="73"/>
      <c r="AN484" s="73"/>
      <c r="AO484" s="180" t="str">
        <f>$S$1</f>
        <v xml:space="preserve">Réalisé  </v>
      </c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</row>
    <row r="485" spans="1:62" ht="15.75" customHeight="1">
      <c r="A485" s="23" t="str">
        <f t="shared" si="232"/>
        <v/>
      </c>
      <c r="B485" s="181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73"/>
      <c r="W485" s="73"/>
      <c r="X485" s="73"/>
      <c r="Y485" s="73"/>
      <c r="Z485" s="26"/>
      <c r="AC485" s="26"/>
      <c r="AF485" s="115"/>
      <c r="AL485" s="26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</row>
    <row r="486" spans="1:62" ht="15.75" customHeight="1" thickBot="1">
      <c r="A486" s="23" t="str">
        <f t="shared" si="232"/>
        <v/>
      </c>
      <c r="B486" s="181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73"/>
      <c r="W486" s="73"/>
      <c r="X486" s="73"/>
      <c r="Y486" s="73"/>
      <c r="Z486" s="26"/>
      <c r="AC486" s="26"/>
      <c r="AF486" s="115"/>
      <c r="AL486" s="26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</row>
    <row r="487" spans="1:62" ht="15.75" customHeight="1" thickTop="1" thickBot="1">
      <c r="A487" s="23" t="str">
        <f t="shared" si="232"/>
        <v>BAIIA Corpo</v>
      </c>
      <c r="B487" s="181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59" t="s">
        <v>215</v>
      </c>
      <c r="W487" s="160"/>
      <c r="X487" s="161" t="s">
        <v>185</v>
      </c>
      <c r="Y487" s="162">
        <f>Z487/Z405</f>
        <v>5.2682346175974018E-2</v>
      </c>
      <c r="Z487" s="163">
        <f>+Z488+Z414</f>
        <v>889910.36873951962</v>
      </c>
      <c r="AA487" s="161"/>
      <c r="AB487" s="162"/>
      <c r="AC487" s="163"/>
      <c r="AD487" s="161" t="s">
        <v>185</v>
      </c>
      <c r="AE487" s="162">
        <f>AF487/AF405</f>
        <v>3.0418452266902138E-2</v>
      </c>
      <c r="AF487" s="163">
        <f>+AF488+AF414</f>
        <v>385213.18000000017</v>
      </c>
      <c r="AG487" s="164"/>
      <c r="AH487" s="163">
        <f t="shared" ref="AH487:AH488" si="233">AF487-Z487</f>
        <v>-504697.18873951945</v>
      </c>
      <c r="AI487" s="165">
        <f>AH487/Z487</f>
        <v>-0.56713260848323299</v>
      </c>
      <c r="AJ487" s="161" t="s">
        <v>185</v>
      </c>
      <c r="AK487" s="162">
        <f>AL487/AL405</f>
        <v>2.0415035138678667E-2</v>
      </c>
      <c r="AL487" s="163">
        <f>+AL488+AL414</f>
        <v>664751.63999999838</v>
      </c>
      <c r="AM487" s="167"/>
      <c r="AN487" s="168">
        <f>AF487-AL487</f>
        <v>-279538.45999999822</v>
      </c>
      <c r="AO487" s="169">
        <f>IF(AL487=0,0,AN487/AL487)</f>
        <v>-0.42051563799075231</v>
      </c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</row>
    <row r="488" spans="1:62" ht="15.75" hidden="1" customHeight="1" thickTop="1" thickBot="1">
      <c r="A488" s="23" t="str">
        <f t="shared" si="232"/>
        <v>BAIIA OPÉRATIONNEL</v>
      </c>
      <c r="B488" s="181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16" t="s">
        <v>184</v>
      </c>
      <c r="W488" s="117"/>
      <c r="X488" s="118" t="s">
        <v>185</v>
      </c>
      <c r="Y488" s="119">
        <f>Z488/Z405</f>
        <v>4.8863714454195115E-2</v>
      </c>
      <c r="Z488" s="120">
        <f>Z482</f>
        <v>825406.02885576431</v>
      </c>
      <c r="AA488" s="118" t="s">
        <v>185</v>
      </c>
      <c r="AB488" s="119" t="e">
        <f>AC488/AC405</f>
        <v>#DIV/0!</v>
      </c>
      <c r="AC488" s="120">
        <f>AC482</f>
        <v>0</v>
      </c>
      <c r="AD488" s="118" t="s">
        <v>185</v>
      </c>
      <c r="AE488" s="119">
        <f>AF488/AF405</f>
        <v>3.090961923537975E-2</v>
      </c>
      <c r="AF488" s="120">
        <f>AF482</f>
        <v>391433.22000000015</v>
      </c>
      <c r="AG488" s="121"/>
      <c r="AH488" s="110">
        <f t="shared" si="233"/>
        <v>-433972.80885576416</v>
      </c>
      <c r="AI488" s="111">
        <f>AH488/Z488</f>
        <v>-0.52576888668643196</v>
      </c>
      <c r="AJ488" s="118" t="s">
        <v>185</v>
      </c>
      <c r="AK488" s="119">
        <f>IF($AL$405=0,0,AL488/$AL$405)</f>
        <v>1.9259349530270906E-2</v>
      </c>
      <c r="AL488" s="122">
        <f>AL482</f>
        <v>627120.35999999836</v>
      </c>
      <c r="AM488" s="123"/>
      <c r="AN488" s="124">
        <f>AF488-AL488</f>
        <v>-235687.13999999821</v>
      </c>
      <c r="AO488" s="125">
        <f>IF(AL488=0,0,AN488/AL488)</f>
        <v>-0.37582441112260945</v>
      </c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</row>
    <row r="489" spans="1:62" ht="15.75" customHeight="1" thickTop="1">
      <c r="A489" s="23" t="str">
        <f t="shared" si="232"/>
        <v/>
      </c>
      <c r="B489" s="181"/>
      <c r="C489" s="184"/>
      <c r="D489" s="184"/>
      <c r="E489" s="184"/>
      <c r="F489" s="409"/>
      <c r="G489" s="184"/>
      <c r="H489" s="184"/>
      <c r="I489" s="409"/>
      <c r="J489" s="184"/>
      <c r="K489" s="184"/>
      <c r="L489" s="184"/>
      <c r="M489" s="409"/>
      <c r="N489" s="184"/>
      <c r="O489" s="184"/>
      <c r="P489" s="184"/>
      <c r="Q489" s="409"/>
      <c r="R489" s="409"/>
      <c r="S489" s="409"/>
      <c r="T489" s="412"/>
      <c r="U489" s="412"/>
      <c r="V489" s="414"/>
      <c r="W489" s="184"/>
      <c r="X489" s="184"/>
      <c r="Y489" s="184"/>
      <c r="Z489" s="415">
        <f>+SUM(START:END!Z490)</f>
        <v>0</v>
      </c>
      <c r="AA489" s="184"/>
      <c r="AB489" s="184">
        <f t="shared" ref="AB489:AB496" si="234">IF(AC489=0,0,AC489/(G$13+G$97))</f>
        <v>0</v>
      </c>
      <c r="AC489" s="416">
        <f>+SUM(START:END!AC490)</f>
        <v>0</v>
      </c>
      <c r="AD489" s="184"/>
      <c r="AE489" s="184"/>
      <c r="AF489" s="415">
        <f>+SUM(START:END!AF490)</f>
        <v>0</v>
      </c>
      <c r="AG489" s="184"/>
      <c r="AH489" s="415">
        <f t="shared" ref="AH489:AH495" si="235">AF489-Z489</f>
        <v>0</v>
      </c>
      <c r="AI489" s="416">
        <f t="shared" ref="AI489:AI496" si="236">IF(Z489=0,0,AH489/Z489)</f>
        <v>0</v>
      </c>
      <c r="AJ489" s="184"/>
      <c r="AK489" s="184">
        <f t="shared" ref="AK489:AK496" si="237">AL489/(O$13+O$97)</f>
        <v>0</v>
      </c>
      <c r="AL489" s="415">
        <f>+SUM(START:END!AL490)</f>
        <v>0</v>
      </c>
      <c r="AM489" s="417"/>
      <c r="AN489" s="26">
        <f t="shared" ref="AN489:AN496" si="238">AF489-AL489</f>
        <v>0</v>
      </c>
      <c r="AO489" s="418">
        <f t="shared" ref="AO489:AO496" si="239">IF(AL489=0,0,AN489/AL489)</f>
        <v>0</v>
      </c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</row>
    <row r="490" spans="1:62" ht="15.75" customHeight="1">
      <c r="A490" s="23" t="str">
        <f t="shared" si="232"/>
        <v>Amortissement</v>
      </c>
      <c r="B490" s="181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" t="s">
        <v>187</v>
      </c>
      <c r="W490" s="30"/>
      <c r="Y490" s="31"/>
      <c r="Z490" s="24">
        <f>+SUM(START:END!Z491)</f>
        <v>103944.99999999999</v>
      </c>
      <c r="AB490" s="31">
        <f t="shared" si="234"/>
        <v>0</v>
      </c>
      <c r="AC490" s="24">
        <f>+SUM(START:END!AC491)</f>
        <v>0</v>
      </c>
      <c r="AE490" s="31"/>
      <c r="AF490" s="24">
        <f>+SUM(START:END!AF491)</f>
        <v>114521.76000000001</v>
      </c>
      <c r="AG490" s="174"/>
      <c r="AH490" s="24">
        <f t="shared" si="235"/>
        <v>10576.760000000024</v>
      </c>
      <c r="AI490" s="48">
        <f t="shared" si="236"/>
        <v>0.10175342729328034</v>
      </c>
      <c r="AK490" s="174">
        <f t="shared" si="237"/>
        <v>49.2148288973384</v>
      </c>
      <c r="AL490" s="24">
        <f>+SUM(START:END!AL491)</f>
        <v>12943.5</v>
      </c>
      <c r="AM490" s="28"/>
      <c r="AN490" s="26">
        <f t="shared" si="238"/>
        <v>101578.26000000001</v>
      </c>
      <c r="AO490" s="33">
        <f t="shared" si="239"/>
        <v>7.847820141383707</v>
      </c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</row>
    <row r="491" spans="1:62" ht="15.75" customHeight="1">
      <c r="A491" s="23" t="str">
        <f t="shared" si="232"/>
        <v>Intérêts sur marge</v>
      </c>
      <c r="B491" s="181"/>
      <c r="C491" s="184"/>
      <c r="D491" s="184"/>
      <c r="E491" s="184"/>
      <c r="F491" s="409"/>
      <c r="G491" s="184"/>
      <c r="H491" s="184"/>
      <c r="I491" s="409"/>
      <c r="J491" s="184"/>
      <c r="K491" s="184"/>
      <c r="L491" s="184"/>
      <c r="M491" s="409"/>
      <c r="N491" s="184"/>
      <c r="O491" s="184"/>
      <c r="P491" s="184"/>
      <c r="Q491" s="409"/>
      <c r="R491" s="409"/>
      <c r="S491" s="409"/>
      <c r="T491" s="184"/>
      <c r="U491" s="184"/>
      <c r="V491" s="1" t="s">
        <v>188</v>
      </c>
      <c r="Z491" s="24">
        <f>+SUM(START:END!Z492)</f>
        <v>0</v>
      </c>
      <c r="AB491" s="23">
        <f t="shared" si="234"/>
        <v>0</v>
      </c>
      <c r="AC491" s="24">
        <f>+SUM(START:END!AC492)</f>
        <v>0</v>
      </c>
      <c r="AF491" s="24">
        <f>+SUM(START:END!AF492)</f>
        <v>0</v>
      </c>
      <c r="AH491" s="24">
        <f t="shared" si="235"/>
        <v>0</v>
      </c>
      <c r="AI491" s="48">
        <f t="shared" si="236"/>
        <v>0</v>
      </c>
      <c r="AK491" s="23">
        <f t="shared" si="237"/>
        <v>0</v>
      </c>
      <c r="AL491" s="24">
        <f>+SUM(START:END!AL492)</f>
        <v>0</v>
      </c>
      <c r="AM491" s="76"/>
      <c r="AN491" s="26">
        <f t="shared" si="238"/>
        <v>0</v>
      </c>
      <c r="AO491" s="33">
        <f t="shared" si="239"/>
        <v>0</v>
      </c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</row>
    <row r="492" spans="1:62" ht="15.75" customHeight="1">
      <c r="A492" s="23" t="str">
        <f t="shared" si="232"/>
        <v>Intérêts sur prêt</v>
      </c>
      <c r="B492" s="181"/>
      <c r="C492" s="184"/>
      <c r="D492" s="184"/>
      <c r="E492" s="184"/>
      <c r="F492" s="409"/>
      <c r="G492" s="184"/>
      <c r="H492" s="184"/>
      <c r="I492" s="409"/>
      <c r="J492" s="184"/>
      <c r="K492" s="184"/>
      <c r="L492" s="184"/>
      <c r="M492" s="409"/>
      <c r="N492" s="184"/>
      <c r="O492" s="184"/>
      <c r="P492" s="184"/>
      <c r="Q492" s="409"/>
      <c r="R492" s="409"/>
      <c r="S492" s="409"/>
      <c r="T492" s="184"/>
      <c r="U492" s="184"/>
      <c r="V492" s="1" t="s">
        <v>189</v>
      </c>
      <c r="Z492" s="24">
        <f>+SUM(START:END!Z493)</f>
        <v>0</v>
      </c>
      <c r="AB492" s="23">
        <f t="shared" si="234"/>
        <v>0</v>
      </c>
      <c r="AC492" s="24">
        <f>+SUM(START:END!AC493)</f>
        <v>0</v>
      </c>
      <c r="AF492" s="24">
        <f>+SUM(START:END!AF493)</f>
        <v>0</v>
      </c>
      <c r="AH492" s="24">
        <f t="shared" si="235"/>
        <v>0</v>
      </c>
      <c r="AI492" s="48">
        <f t="shared" si="236"/>
        <v>0</v>
      </c>
      <c r="AK492" s="174">
        <f t="shared" si="237"/>
        <v>-7.9801140684410647</v>
      </c>
      <c r="AL492" s="24">
        <f>+SUM(START:END!AL493)</f>
        <v>-2098.77</v>
      </c>
      <c r="AM492" s="76"/>
      <c r="AN492" s="26">
        <f t="shared" si="238"/>
        <v>2098.77</v>
      </c>
      <c r="AO492" s="33">
        <f t="shared" si="239"/>
        <v>-1</v>
      </c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</row>
    <row r="493" spans="1:62" ht="15.75" customHeight="1">
      <c r="A493" s="23" t="str">
        <f t="shared" si="232"/>
        <v>Intérêts sur avance</v>
      </c>
      <c r="B493" s="181"/>
      <c r="C493" s="184"/>
      <c r="D493" s="184"/>
      <c r="E493" s="184"/>
      <c r="F493" s="409"/>
      <c r="G493" s="184"/>
      <c r="H493" s="184"/>
      <c r="I493" s="409"/>
      <c r="J493" s="184"/>
      <c r="K493" s="184"/>
      <c r="L493" s="184"/>
      <c r="M493" s="409"/>
      <c r="N493" s="184"/>
      <c r="O493" s="184"/>
      <c r="P493" s="184"/>
      <c r="Q493" s="409"/>
      <c r="R493" s="409"/>
      <c r="S493" s="409"/>
      <c r="T493" s="184"/>
      <c r="U493" s="184"/>
      <c r="V493" s="1" t="s">
        <v>190</v>
      </c>
      <c r="Z493" s="24">
        <f>+SUM(START:END!Z494)</f>
        <v>0</v>
      </c>
      <c r="AB493" s="23">
        <f t="shared" si="234"/>
        <v>0</v>
      </c>
      <c r="AC493" s="24">
        <f>+SUM(START:END!AC494)</f>
        <v>0</v>
      </c>
      <c r="AF493" s="24">
        <f>+SUM(START:END!AF494)</f>
        <v>0</v>
      </c>
      <c r="AH493" s="24">
        <f t="shared" si="235"/>
        <v>0</v>
      </c>
      <c r="AI493" s="48">
        <f t="shared" si="236"/>
        <v>0</v>
      </c>
      <c r="AK493" s="23">
        <f t="shared" si="237"/>
        <v>0</v>
      </c>
      <c r="AL493" s="24">
        <f>+SUM(START:END!AL494)</f>
        <v>0</v>
      </c>
      <c r="AM493" s="76"/>
      <c r="AN493" s="26">
        <f t="shared" si="238"/>
        <v>0</v>
      </c>
      <c r="AO493" s="33">
        <f t="shared" si="239"/>
        <v>0</v>
      </c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</row>
    <row r="494" spans="1:62" ht="15.75" customHeight="1">
      <c r="A494" s="23" t="str">
        <f t="shared" si="232"/>
        <v>[...]</v>
      </c>
      <c r="B494" s="181"/>
      <c r="C494" s="184"/>
      <c r="D494" s="184"/>
      <c r="E494" s="184"/>
      <c r="F494" s="409"/>
      <c r="G494" s="184"/>
      <c r="H494" s="184"/>
      <c r="I494" s="409"/>
      <c r="J494" s="184"/>
      <c r="K494" s="184"/>
      <c r="L494" s="184"/>
      <c r="M494" s="409"/>
      <c r="N494" s="184"/>
      <c r="O494" s="184"/>
      <c r="P494" s="184"/>
      <c r="Q494" s="409"/>
      <c r="R494" s="409"/>
      <c r="S494" s="409"/>
      <c r="T494" s="184"/>
      <c r="U494" s="184"/>
      <c r="V494" s="152" t="s">
        <v>20</v>
      </c>
      <c r="Z494" s="24">
        <f>+SUM(START:END!Z495)</f>
        <v>0</v>
      </c>
      <c r="AB494" s="23">
        <f t="shared" si="234"/>
        <v>0</v>
      </c>
      <c r="AC494" s="24">
        <f>+SUM(START:END!AC495)</f>
        <v>0</v>
      </c>
      <c r="AE494" s="174"/>
      <c r="AF494" s="24">
        <f>+SUM(START:END!AF495)</f>
        <v>0</v>
      </c>
      <c r="AG494" s="174"/>
      <c r="AH494" s="24">
        <f t="shared" si="235"/>
        <v>0</v>
      </c>
      <c r="AI494" s="48">
        <f t="shared" si="236"/>
        <v>0</v>
      </c>
      <c r="AK494" s="23">
        <f t="shared" si="237"/>
        <v>0</v>
      </c>
      <c r="AL494" s="24">
        <f>+SUM(START:END!AL495)</f>
        <v>0</v>
      </c>
      <c r="AM494" s="419"/>
      <c r="AN494" s="26">
        <f t="shared" si="238"/>
        <v>0</v>
      </c>
      <c r="AO494" s="33">
        <f t="shared" si="239"/>
        <v>0</v>
      </c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</row>
    <row r="495" spans="1:62" ht="15.75" customHeight="1">
      <c r="A495" s="23" t="str">
        <f t="shared" si="232"/>
        <v>Revenus d'intérêts floor plan</v>
      </c>
      <c r="B495" s="181"/>
      <c r="C495" s="184"/>
      <c r="D495" s="184"/>
      <c r="E495" s="184"/>
      <c r="F495" s="409"/>
      <c r="G495" s="184"/>
      <c r="H495" s="184"/>
      <c r="I495" s="409"/>
      <c r="J495" s="184"/>
      <c r="K495" s="184"/>
      <c r="L495" s="184"/>
      <c r="M495" s="409"/>
      <c r="N495" s="184"/>
      <c r="O495" s="184"/>
      <c r="P495" s="184"/>
      <c r="Q495" s="409"/>
      <c r="R495" s="409"/>
      <c r="S495" s="409"/>
      <c r="T495" s="184"/>
      <c r="U495" s="184"/>
      <c r="V495" s="152" t="s">
        <v>216</v>
      </c>
      <c r="Z495" s="24">
        <f>+SUM(START:END!Z496)</f>
        <v>-14000</v>
      </c>
      <c r="AB495" s="23">
        <f t="shared" si="234"/>
        <v>0</v>
      </c>
      <c r="AC495" s="24">
        <f>+SUM(START:END!AC496)</f>
        <v>0</v>
      </c>
      <c r="AF495" s="24">
        <f>+SUM(START:END!AF496)</f>
        <v>-4184.83</v>
      </c>
      <c r="AH495" s="24">
        <f t="shared" si="235"/>
        <v>9815.17</v>
      </c>
      <c r="AI495" s="48">
        <f t="shared" si="236"/>
        <v>-0.70108357142857147</v>
      </c>
      <c r="AK495" s="23">
        <f t="shared" si="237"/>
        <v>0</v>
      </c>
      <c r="AL495" s="24">
        <f>+SUM(START:END!AL496)</f>
        <v>0</v>
      </c>
      <c r="AM495" s="76"/>
      <c r="AN495" s="26">
        <f t="shared" si="238"/>
        <v>-4184.83</v>
      </c>
      <c r="AO495" s="33">
        <f t="shared" si="239"/>
        <v>0</v>
      </c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</row>
    <row r="496" spans="1:62" ht="15.75" customHeight="1" thickBot="1">
      <c r="A496" s="23" t="str">
        <f t="shared" si="232"/>
        <v>[...]</v>
      </c>
      <c r="B496" s="181"/>
      <c r="C496" s="184"/>
      <c r="D496" s="184"/>
      <c r="E496" s="184"/>
      <c r="F496" s="409"/>
      <c r="G496" s="184"/>
      <c r="H496" s="184"/>
      <c r="I496" s="409"/>
      <c r="J496" s="184"/>
      <c r="K496" s="184"/>
      <c r="L496" s="184"/>
      <c r="M496" s="409"/>
      <c r="N496" s="184"/>
      <c r="O496" s="184"/>
      <c r="P496" s="184"/>
      <c r="Q496" s="409"/>
      <c r="R496" s="409"/>
      <c r="S496" s="409"/>
      <c r="T496" s="184"/>
      <c r="U496" s="184"/>
      <c r="V496" s="1" t="s">
        <v>20</v>
      </c>
      <c r="X496" s="184"/>
      <c r="Z496" s="24">
        <f>+SUM(START:END!Z497)</f>
        <v>0</v>
      </c>
      <c r="AB496" s="23">
        <f t="shared" si="234"/>
        <v>0</v>
      </c>
      <c r="AC496" s="24">
        <f>+SUM(START:END!AC497)</f>
        <v>0</v>
      </c>
      <c r="AE496" s="23">
        <f t="shared" ref="AE496" si="240">IF(AF496=0,0,AF496/(J$13+J$97))</f>
        <v>0</v>
      </c>
      <c r="AF496" s="24">
        <f>+SUM(START:END!AF497)</f>
        <v>0</v>
      </c>
      <c r="AG496" s="23">
        <f t="shared" ref="AG496" si="241">AE496-AB496</f>
        <v>0</v>
      </c>
      <c r="AH496" s="26">
        <f t="shared" ref="AH496" si="242">AF496-AC496</f>
        <v>0</v>
      </c>
      <c r="AI496" s="48">
        <f t="shared" si="236"/>
        <v>0</v>
      </c>
      <c r="AK496" s="23">
        <f t="shared" si="237"/>
        <v>0</v>
      </c>
      <c r="AL496" s="24">
        <f>+SUM(START:END!AL497)</f>
        <v>0</v>
      </c>
      <c r="AM496" s="76">
        <f>AE496-AK496</f>
        <v>0</v>
      </c>
      <c r="AN496" s="26">
        <f t="shared" si="238"/>
        <v>0</v>
      </c>
      <c r="AO496" s="33">
        <f t="shared" si="239"/>
        <v>0</v>
      </c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</row>
    <row r="497" spans="1:62" ht="15.75" customHeight="1" thickTop="1" thickBot="1">
      <c r="A497" s="23" t="str">
        <f t="shared" si="232"/>
        <v>Profit Net</v>
      </c>
      <c r="B497" s="181"/>
      <c r="C497" s="184"/>
      <c r="D497" s="184"/>
      <c r="E497" s="184"/>
      <c r="F497" s="409"/>
      <c r="G497" s="184"/>
      <c r="H497" s="184"/>
      <c r="I497" s="409"/>
      <c r="J497" s="184"/>
      <c r="K497" s="184"/>
      <c r="L497" s="184"/>
      <c r="M497" s="409"/>
      <c r="N497" s="184"/>
      <c r="O497" s="184"/>
      <c r="P497" s="184"/>
      <c r="Q497" s="409"/>
      <c r="R497" s="409"/>
      <c r="S497" s="409"/>
      <c r="T497" s="184"/>
      <c r="U497" s="184"/>
      <c r="V497" s="104" t="s">
        <v>191</v>
      </c>
      <c r="W497" s="105"/>
      <c r="X497" s="106" t="s">
        <v>185</v>
      </c>
      <c r="Y497" s="107">
        <f>Z497/Z405</f>
        <v>4.3539005592212E-2</v>
      </c>
      <c r="Z497" s="108">
        <f>Z488-Z490-Z491-Z492-Z496-Z493-Z494-Z495</f>
        <v>735461.02885576431</v>
      </c>
      <c r="AA497" s="106" t="s">
        <v>185</v>
      </c>
      <c r="AB497" s="107" t="e">
        <f>AC497/AC405</f>
        <v>#DIV/0!</v>
      </c>
      <c r="AC497" s="108">
        <f>AC488-AC490-AC491-AC492-AC496-AC493-AC494</f>
        <v>0</v>
      </c>
      <c r="AD497" s="106" t="s">
        <v>185</v>
      </c>
      <c r="AE497" s="107">
        <f>AF497/AF405</f>
        <v>2.2196836774298016E-2</v>
      </c>
      <c r="AF497" s="108">
        <f>AF488-AF490-AF491-AF492-AF496-AF493-AF494-AF495</f>
        <v>281096.29000000015</v>
      </c>
      <c r="AG497" s="110"/>
      <c r="AH497" s="108">
        <f>AH488-AH490-AH491-AH492-AH496-AH493-AH494-AH495</f>
        <v>-454364.73885576415</v>
      </c>
      <c r="AI497" s="111">
        <f>AH497/Z497</f>
        <v>-0.61779580566310655</v>
      </c>
      <c r="AJ497" s="112" t="s">
        <v>185</v>
      </c>
      <c r="AK497" s="107">
        <f>IF($AL$405=0,0,AL497/$AL$405)</f>
        <v>1.8926299514750097E-2</v>
      </c>
      <c r="AL497" s="108">
        <f>AL488-AL490-AL491-AL492-AL496-AL493-AL494-AL495</f>
        <v>616275.62999999837</v>
      </c>
      <c r="AM497" s="113"/>
      <c r="AN497" s="109">
        <f>AN488-AN490-AN491-AN492-AN496-AN493-AN494-AN495</f>
        <v>-335179.33999999822</v>
      </c>
      <c r="AO497" s="126">
        <f>IF(AL497=0,0,AN497/AL497)</f>
        <v>-0.54387894585414498</v>
      </c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</row>
    <row r="498" spans="1:62" ht="15.75" customHeight="1" thickTop="1">
      <c r="A498" s="23" t="str">
        <f t="shared" si="232"/>
        <v/>
      </c>
      <c r="B498" s="181"/>
      <c r="C498" s="184"/>
      <c r="D498" s="184"/>
      <c r="E498" s="184"/>
      <c r="F498" s="409"/>
      <c r="G498" s="184"/>
      <c r="H498" s="184"/>
      <c r="I498" s="409"/>
      <c r="J498" s="184"/>
      <c r="K498" s="184"/>
      <c r="L498" s="184"/>
      <c r="M498" s="409"/>
      <c r="N498" s="184"/>
      <c r="O498" s="184"/>
      <c r="P498" s="184"/>
      <c r="Q498" s="409"/>
      <c r="R498" s="409"/>
      <c r="S498" s="409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77"/>
      <c r="AF498" s="420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</row>
    <row r="499" spans="1:62" ht="15.75" customHeight="1">
      <c r="B499" s="181"/>
      <c r="C499" s="184"/>
      <c r="D499" s="184"/>
      <c r="E499" s="184"/>
      <c r="F499" s="409"/>
      <c r="G499" s="184"/>
      <c r="H499" s="184"/>
      <c r="I499" s="409"/>
      <c r="J499" s="184"/>
      <c r="K499" s="184"/>
      <c r="L499" s="184"/>
      <c r="M499" s="409"/>
      <c r="N499" s="184"/>
      <c r="O499" s="184"/>
      <c r="P499" s="184"/>
      <c r="Q499" s="409"/>
      <c r="R499" s="409"/>
      <c r="S499" s="409"/>
      <c r="T499" s="184"/>
      <c r="U499" s="184"/>
      <c r="V499" s="184"/>
      <c r="W499" s="184"/>
      <c r="X499" s="184"/>
      <c r="Y499" s="184"/>
      <c r="Z499" s="409"/>
      <c r="AA499" s="184"/>
      <c r="AB499" s="184"/>
      <c r="AC499" s="184"/>
      <c r="AD499" s="184"/>
      <c r="AE499" s="184"/>
      <c r="AF499" s="87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</row>
    <row r="500" spans="1:62" ht="15.75" customHeight="1">
      <c r="B500" s="181"/>
      <c r="C500" s="184"/>
      <c r="D500" s="184"/>
      <c r="E500" s="184"/>
      <c r="F500" s="409"/>
      <c r="G500" s="184"/>
      <c r="H500" s="184"/>
      <c r="I500" s="409"/>
      <c r="J500" s="184"/>
      <c r="K500" s="184"/>
      <c r="L500" s="184"/>
      <c r="M500" s="409"/>
      <c r="N500" s="184"/>
      <c r="O500" s="184"/>
      <c r="P500" s="184"/>
      <c r="Q500" s="409"/>
      <c r="R500" s="409"/>
      <c r="S500" s="409"/>
      <c r="T500" s="412"/>
      <c r="U500" s="412"/>
      <c r="V500" s="184"/>
      <c r="W500" s="184"/>
      <c r="X500" s="184"/>
      <c r="Y500" s="184"/>
      <c r="Z500" s="409"/>
      <c r="AA500" s="184"/>
      <c r="AB500" s="184"/>
      <c r="AC500" s="184"/>
      <c r="AD500" s="184"/>
      <c r="AE500" s="184"/>
      <c r="AF500" s="409"/>
      <c r="AG500" s="184"/>
      <c r="AH500" s="409"/>
      <c r="AI500" s="184"/>
      <c r="AJ500" s="184"/>
      <c r="AK500" s="184"/>
      <c r="AL500" s="409"/>
      <c r="AM500" s="184"/>
      <c r="AN500" s="409"/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</row>
    <row r="501" spans="1:62" ht="15.75" customHeight="1">
      <c r="B501" s="181"/>
      <c r="C501" s="184"/>
      <c r="D501" s="184"/>
      <c r="E501" s="184"/>
      <c r="F501" s="409"/>
      <c r="G501" s="184"/>
      <c r="H501" s="184"/>
      <c r="I501" s="409"/>
      <c r="J501" s="184"/>
      <c r="K501" s="184"/>
      <c r="L501" s="184"/>
      <c r="M501" s="409"/>
      <c r="N501" s="184"/>
      <c r="O501" s="184"/>
      <c r="P501" s="184"/>
      <c r="Q501" s="409"/>
      <c r="R501" s="409"/>
      <c r="S501" s="409"/>
      <c r="T501" s="412"/>
      <c r="U501" s="412"/>
      <c r="V501" s="184"/>
      <c r="W501" s="184"/>
      <c r="X501" s="184"/>
      <c r="Y501" s="184"/>
      <c r="Z501" s="409"/>
      <c r="AA501" s="184"/>
      <c r="AB501" s="184"/>
      <c r="AC501" s="184"/>
      <c r="AD501" s="184"/>
      <c r="AE501" s="184"/>
      <c r="AF501" s="409"/>
      <c r="AG501" s="184"/>
      <c r="AH501" s="409"/>
      <c r="AI501" s="184"/>
      <c r="AJ501" s="184"/>
      <c r="AK501" s="184"/>
      <c r="AL501" s="409"/>
      <c r="AM501" s="184"/>
      <c r="AN501" s="409"/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</row>
    <row r="502" spans="1:62" ht="15.75" customHeight="1">
      <c r="B502" s="181"/>
      <c r="C502" s="184"/>
      <c r="D502" s="184"/>
      <c r="E502" s="184"/>
      <c r="F502" s="409"/>
      <c r="G502" s="184"/>
      <c r="H502" s="184"/>
      <c r="I502" s="409"/>
      <c r="J502" s="184"/>
      <c r="K502" s="184"/>
      <c r="L502" s="184"/>
      <c r="M502" s="409"/>
      <c r="N502" s="184"/>
      <c r="O502" s="184"/>
      <c r="P502" s="184"/>
      <c r="Q502" s="409"/>
      <c r="R502" s="409"/>
      <c r="S502" s="409"/>
      <c r="T502" s="412"/>
      <c r="U502" s="412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409"/>
      <c r="AG502" s="184"/>
      <c r="AH502" s="184"/>
      <c r="AI502" s="409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</row>
    <row r="503" spans="1:62" ht="15.75" customHeight="1">
      <c r="B503" s="181"/>
      <c r="C503" s="184"/>
      <c r="D503" s="184"/>
      <c r="E503" s="184"/>
      <c r="F503" s="409"/>
      <c r="G503" s="184"/>
      <c r="H503" s="184"/>
      <c r="I503" s="409"/>
      <c r="J503" s="184"/>
      <c r="K503" s="184"/>
      <c r="L503" s="184"/>
      <c r="M503" s="409"/>
      <c r="N503" s="184"/>
      <c r="O503" s="184"/>
      <c r="P503" s="184"/>
      <c r="Q503" s="409"/>
      <c r="R503" s="409"/>
      <c r="S503" s="409"/>
      <c r="T503" s="412"/>
      <c r="U503" s="412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409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</row>
    <row r="504" spans="1:62" ht="15.75" customHeight="1">
      <c r="B504" s="181"/>
      <c r="C504" s="184"/>
      <c r="D504" s="184"/>
      <c r="E504" s="184"/>
      <c r="F504" s="409"/>
      <c r="G504" s="184"/>
      <c r="H504" s="184"/>
      <c r="I504" s="409"/>
      <c r="J504" s="184"/>
      <c r="K504" s="184"/>
      <c r="L504" s="184"/>
      <c r="M504" s="409"/>
      <c r="N504" s="184"/>
      <c r="O504" s="184"/>
      <c r="P504" s="184"/>
      <c r="Q504" s="409"/>
      <c r="R504" s="409"/>
      <c r="S504" s="409"/>
      <c r="T504" s="412"/>
      <c r="U504" s="412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</row>
    <row r="505" spans="1:62" ht="15.75" customHeight="1">
      <c r="B505" s="181"/>
      <c r="C505" s="184"/>
      <c r="D505" s="184"/>
      <c r="E505" s="184"/>
      <c r="F505" s="409"/>
      <c r="G505" s="184"/>
      <c r="H505" s="184"/>
      <c r="I505" s="409"/>
      <c r="J505" s="184"/>
      <c r="K505" s="184"/>
      <c r="L505" s="184"/>
      <c r="M505" s="409"/>
      <c r="N505" s="184"/>
      <c r="O505" s="184"/>
      <c r="P505" s="184"/>
      <c r="Q505" s="409"/>
      <c r="R505" s="409"/>
      <c r="S505" s="409"/>
      <c r="T505" s="412"/>
      <c r="U505" s="412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477"/>
      <c r="AG505" s="184"/>
      <c r="AH505" s="184"/>
      <c r="AI505" s="184"/>
      <c r="AJ505" s="184"/>
      <c r="AK505" s="184"/>
      <c r="AL505" s="409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</row>
    <row r="506" spans="1:62" ht="15.75" customHeight="1">
      <c r="B506" s="181"/>
      <c r="C506" s="184"/>
      <c r="D506" s="184"/>
      <c r="E506" s="184"/>
      <c r="F506" s="409"/>
      <c r="G506" s="184"/>
      <c r="H506" s="184"/>
      <c r="I506" s="409"/>
      <c r="J506" s="184"/>
      <c r="K506" s="184"/>
      <c r="L506" s="184"/>
      <c r="M506" s="409"/>
      <c r="N506" s="184"/>
      <c r="O506" s="184"/>
      <c r="P506" s="184"/>
      <c r="Q506" s="409"/>
      <c r="R506" s="409"/>
      <c r="S506" s="409"/>
      <c r="T506" s="412"/>
      <c r="U506" s="412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</row>
    <row r="507" spans="1:62" ht="15.75" customHeight="1">
      <c r="B507" s="181"/>
      <c r="C507" s="184"/>
      <c r="D507" s="184"/>
      <c r="E507" s="184"/>
      <c r="F507" s="409"/>
      <c r="G507" s="184"/>
      <c r="H507" s="184"/>
      <c r="I507" s="409"/>
      <c r="J507" s="184"/>
      <c r="K507" s="184"/>
      <c r="L507" s="184"/>
      <c r="M507" s="409"/>
      <c r="N507" s="184"/>
      <c r="O507" s="184"/>
      <c r="P507" s="184"/>
      <c r="Q507" s="409"/>
      <c r="R507" s="409"/>
      <c r="S507" s="409"/>
      <c r="T507" s="412"/>
      <c r="U507" s="412"/>
      <c r="V507" s="184"/>
      <c r="W507" s="412"/>
      <c r="X507" s="412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</row>
    <row r="508" spans="1:62" ht="15.75" customHeight="1">
      <c r="B508" s="181"/>
      <c r="C508" s="184"/>
      <c r="D508" s="184"/>
      <c r="E508" s="184"/>
      <c r="F508" s="409"/>
      <c r="G508" s="184"/>
      <c r="H508" s="184"/>
      <c r="I508" s="409"/>
      <c r="J508" s="184"/>
      <c r="K508" s="184"/>
      <c r="L508" s="184"/>
      <c r="M508" s="409"/>
      <c r="N508" s="184"/>
      <c r="O508" s="184"/>
      <c r="P508" s="184"/>
      <c r="Q508" s="409"/>
      <c r="R508" s="409"/>
      <c r="S508" s="409"/>
      <c r="T508" s="412"/>
      <c r="U508" s="412"/>
      <c r="V508" s="184"/>
      <c r="W508" s="412"/>
      <c r="X508" s="412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409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</row>
    <row r="509" spans="1:62" ht="15.75" customHeight="1">
      <c r="B509" s="181"/>
      <c r="C509" s="184"/>
      <c r="D509" s="184"/>
      <c r="E509" s="184"/>
      <c r="F509" s="409"/>
      <c r="G509" s="184"/>
      <c r="H509" s="184"/>
      <c r="I509" s="409"/>
      <c r="J509" s="184"/>
      <c r="K509" s="184"/>
      <c r="L509" s="184"/>
      <c r="M509" s="409"/>
      <c r="N509" s="184"/>
      <c r="O509" s="184"/>
      <c r="P509" s="184"/>
      <c r="Q509" s="409"/>
      <c r="R509" s="409"/>
      <c r="S509" s="409"/>
      <c r="T509" s="412"/>
      <c r="U509" s="412"/>
      <c r="V509" s="184"/>
      <c r="W509" s="412"/>
      <c r="X509" s="412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</row>
    <row r="510" spans="1:62" ht="15.75" customHeight="1">
      <c r="B510" s="181"/>
      <c r="C510" s="184"/>
      <c r="D510" s="184"/>
      <c r="E510" s="184"/>
      <c r="F510" s="409"/>
      <c r="G510" s="184"/>
      <c r="H510" s="184"/>
      <c r="I510" s="409"/>
      <c r="J510" s="184"/>
      <c r="K510" s="184"/>
      <c r="L510" s="184"/>
      <c r="M510" s="409"/>
      <c r="N510" s="184"/>
      <c r="O510" s="184"/>
      <c r="P510" s="184"/>
      <c r="Q510" s="409"/>
      <c r="R510" s="409"/>
      <c r="S510" s="409"/>
      <c r="T510" s="412"/>
      <c r="U510" s="412"/>
      <c r="V510" s="184"/>
      <c r="W510" s="412"/>
      <c r="X510" s="412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</row>
    <row r="511" spans="1:62" ht="15.75" customHeight="1">
      <c r="B511" s="181"/>
      <c r="C511" s="184"/>
      <c r="D511" s="184"/>
      <c r="E511" s="184"/>
      <c r="F511" s="409"/>
      <c r="G511" s="184"/>
      <c r="H511" s="184"/>
      <c r="I511" s="409"/>
      <c r="J511" s="184"/>
      <c r="K511" s="184"/>
      <c r="L511" s="184"/>
      <c r="M511" s="409"/>
      <c r="N511" s="184"/>
      <c r="O511" s="184"/>
      <c r="P511" s="184"/>
      <c r="Q511" s="409"/>
      <c r="R511" s="409"/>
      <c r="S511" s="409"/>
      <c r="T511" s="412"/>
      <c r="U511" s="412"/>
      <c r="V511" s="184"/>
      <c r="W511" s="412"/>
      <c r="X511" s="412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</row>
    <row r="512" spans="1:62" ht="15.75" customHeight="1">
      <c r="B512" s="181"/>
      <c r="C512" s="184"/>
      <c r="D512" s="184"/>
      <c r="E512" s="184"/>
      <c r="F512" s="409"/>
      <c r="G512" s="184"/>
      <c r="H512" s="184"/>
      <c r="I512" s="409"/>
      <c r="J512" s="184"/>
      <c r="K512" s="184"/>
      <c r="L512" s="184"/>
      <c r="M512" s="409"/>
      <c r="N512" s="184"/>
      <c r="O512" s="184"/>
      <c r="P512" s="184"/>
      <c r="Q512" s="409"/>
      <c r="R512" s="409"/>
      <c r="S512" s="409"/>
      <c r="T512" s="412"/>
      <c r="U512" s="412"/>
      <c r="V512" s="412"/>
      <c r="W512" s="412"/>
      <c r="X512" s="412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</row>
    <row r="513" spans="2:62" ht="15.75" customHeight="1">
      <c r="B513" s="181"/>
      <c r="C513" s="421"/>
      <c r="D513" s="412"/>
      <c r="E513" s="412"/>
      <c r="F513" s="422"/>
      <c r="G513" s="412"/>
      <c r="H513" s="412"/>
      <c r="I513" s="422"/>
      <c r="J513" s="412"/>
      <c r="K513" s="412"/>
      <c r="L513" s="412"/>
      <c r="M513" s="422"/>
      <c r="N513" s="412"/>
      <c r="O513" s="412"/>
      <c r="P513" s="412"/>
      <c r="Q513" s="422"/>
      <c r="R513" s="422"/>
      <c r="S513" s="422"/>
      <c r="T513" s="412"/>
      <c r="U513" s="412"/>
      <c r="V513" s="412"/>
      <c r="W513" s="412"/>
      <c r="X513" s="412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</row>
    <row r="514" spans="2:62" ht="15.75" customHeight="1">
      <c r="B514" s="181"/>
      <c r="C514" s="423"/>
      <c r="D514" s="412"/>
      <c r="E514" s="412"/>
      <c r="F514" s="422"/>
      <c r="G514" s="412"/>
      <c r="H514" s="412"/>
      <c r="I514" s="422"/>
      <c r="J514" s="412"/>
      <c r="K514" s="412"/>
      <c r="L514" s="412"/>
      <c r="M514" s="422"/>
      <c r="N514" s="412"/>
      <c r="O514" s="412"/>
      <c r="P514" s="412"/>
      <c r="Q514" s="422"/>
      <c r="R514" s="422"/>
      <c r="S514" s="422"/>
      <c r="T514" s="412"/>
      <c r="U514" s="412"/>
      <c r="V514" s="412"/>
      <c r="W514" s="412"/>
      <c r="X514" s="412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</row>
    <row r="515" spans="2:62" ht="15.75" customHeight="1">
      <c r="B515" s="181"/>
      <c r="C515" s="412"/>
      <c r="D515" s="412"/>
      <c r="E515" s="412"/>
      <c r="F515" s="422"/>
      <c r="G515" s="412"/>
      <c r="H515" s="412"/>
      <c r="I515" s="422"/>
      <c r="J515" s="412"/>
      <c r="K515" s="412"/>
      <c r="L515" s="412"/>
      <c r="M515" s="422"/>
      <c r="N515" s="412"/>
      <c r="O515" s="412"/>
      <c r="P515" s="412"/>
      <c r="Q515" s="422"/>
      <c r="R515" s="422"/>
      <c r="S515" s="422"/>
      <c r="T515" s="412"/>
      <c r="U515" s="412"/>
      <c r="V515" s="412"/>
      <c r="W515" s="412"/>
      <c r="X515" s="412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</row>
    <row r="516" spans="2:62" ht="15.75" customHeight="1">
      <c r="B516" s="181"/>
      <c r="C516" s="412"/>
      <c r="D516" s="412"/>
      <c r="E516" s="412"/>
      <c r="F516" s="412"/>
      <c r="G516" s="412"/>
      <c r="H516" s="412"/>
      <c r="I516" s="412"/>
      <c r="J516" s="421"/>
      <c r="K516" s="421"/>
      <c r="L516" s="421"/>
      <c r="M516" s="422"/>
      <c r="N516" s="412"/>
      <c r="O516" s="412"/>
      <c r="P516" s="412"/>
      <c r="Q516" s="412"/>
      <c r="R516" s="412"/>
      <c r="S516" s="422"/>
      <c r="T516" s="412"/>
      <c r="U516" s="412"/>
      <c r="V516" s="412"/>
      <c r="W516" s="412"/>
      <c r="X516" s="412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</row>
    <row r="517" spans="2:62" ht="15.75" customHeight="1">
      <c r="B517" s="181"/>
      <c r="C517" s="412"/>
      <c r="D517" s="412"/>
      <c r="E517" s="412"/>
      <c r="F517" s="412"/>
      <c r="G517" s="412"/>
      <c r="H517" s="412"/>
      <c r="I517" s="412"/>
      <c r="J517" s="412"/>
      <c r="K517" s="412"/>
      <c r="L517" s="412"/>
      <c r="M517" s="422"/>
      <c r="N517" s="412"/>
      <c r="O517" s="412"/>
      <c r="P517" s="412"/>
      <c r="Q517" s="412"/>
      <c r="R517" s="412"/>
      <c r="S517" s="422"/>
      <c r="T517" s="412"/>
      <c r="U517" s="412"/>
      <c r="V517" s="412"/>
      <c r="W517" s="412"/>
      <c r="X517" s="412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</row>
    <row r="518" spans="2:62" ht="15.75" customHeight="1">
      <c r="B518" s="181"/>
      <c r="C518" s="412"/>
      <c r="D518" s="412"/>
      <c r="E518" s="412"/>
      <c r="F518" s="412"/>
      <c r="G518" s="412"/>
      <c r="H518" s="412"/>
      <c r="I518" s="412"/>
      <c r="J518" s="412"/>
      <c r="K518" s="412"/>
      <c r="L518" s="412"/>
      <c r="M518" s="422"/>
      <c r="N518" s="412"/>
      <c r="O518" s="412"/>
      <c r="P518" s="412"/>
      <c r="Q518" s="412"/>
      <c r="R518" s="412"/>
      <c r="S518" s="422"/>
      <c r="T518" s="412"/>
      <c r="U518" s="412"/>
      <c r="V518" s="412"/>
      <c r="W518" s="412"/>
      <c r="X518" s="412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</row>
    <row r="519" spans="2:62" ht="15.75" customHeight="1">
      <c r="B519" s="181"/>
      <c r="C519" s="412"/>
      <c r="D519" s="412"/>
      <c r="E519" s="412"/>
      <c r="F519" s="412"/>
      <c r="G519" s="412"/>
      <c r="H519" s="412"/>
      <c r="I519" s="412"/>
      <c r="J519" s="412"/>
      <c r="K519" s="412"/>
      <c r="L519" s="412"/>
      <c r="M519" s="422"/>
      <c r="N519" s="412"/>
      <c r="O519" s="412"/>
      <c r="P519" s="412"/>
      <c r="Q519" s="412"/>
      <c r="R519" s="412"/>
      <c r="S519" s="422"/>
      <c r="T519" s="412"/>
      <c r="U519" s="412"/>
      <c r="V519" s="412"/>
      <c r="W519" s="412"/>
      <c r="X519" s="412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</row>
    <row r="520" spans="2:62" ht="15.75" customHeight="1">
      <c r="B520" s="181"/>
      <c r="C520" s="412"/>
      <c r="D520" s="412"/>
      <c r="E520" s="412"/>
      <c r="F520" s="412"/>
      <c r="G520" s="412"/>
      <c r="H520" s="412"/>
      <c r="I520" s="412"/>
      <c r="J520" s="412"/>
      <c r="K520" s="412"/>
      <c r="L520" s="412"/>
      <c r="M520" s="422"/>
      <c r="N520" s="412"/>
      <c r="O520" s="412"/>
      <c r="P520" s="412"/>
      <c r="Q520" s="412"/>
      <c r="R520" s="412"/>
      <c r="S520" s="412"/>
      <c r="T520" s="412"/>
      <c r="U520" s="412"/>
      <c r="V520" s="412"/>
      <c r="W520" s="412"/>
      <c r="X520" s="412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</row>
    <row r="521" spans="2:62" ht="15.75" customHeight="1">
      <c r="B521" s="181"/>
      <c r="C521" s="412"/>
      <c r="D521" s="412"/>
      <c r="E521" s="412"/>
      <c r="F521" s="412"/>
      <c r="G521" s="412"/>
      <c r="H521" s="412"/>
      <c r="I521" s="412"/>
      <c r="J521" s="421"/>
      <c r="K521" s="421"/>
      <c r="L521" s="421"/>
      <c r="M521" s="424"/>
      <c r="N521" s="421"/>
      <c r="O521" s="421"/>
      <c r="P521" s="421"/>
      <c r="Q521" s="412"/>
      <c r="R521" s="412"/>
      <c r="S521" s="421"/>
      <c r="T521" s="412"/>
      <c r="U521" s="412"/>
      <c r="V521" s="412"/>
      <c r="W521" s="412"/>
      <c r="X521" s="412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</row>
    <row r="522" spans="2:62" ht="15.75" customHeight="1">
      <c r="B522" s="181"/>
      <c r="C522" s="412"/>
      <c r="D522" s="412"/>
      <c r="E522" s="412"/>
      <c r="F522" s="412"/>
      <c r="G522" s="412"/>
      <c r="H522" s="412"/>
      <c r="I522" s="412"/>
      <c r="J522" s="412"/>
      <c r="K522" s="412"/>
      <c r="L522" s="412"/>
      <c r="M522" s="412"/>
      <c r="N522" s="412"/>
      <c r="O522" s="412"/>
      <c r="P522" s="412"/>
      <c r="Q522" s="412"/>
      <c r="R522" s="412"/>
      <c r="S522" s="412"/>
      <c r="T522" s="412"/>
      <c r="U522" s="412"/>
      <c r="V522" s="412"/>
      <c r="W522" s="412"/>
      <c r="X522" s="412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</row>
    <row r="523" spans="2:62" ht="15.75" customHeight="1">
      <c r="B523" s="181"/>
      <c r="C523" s="412"/>
      <c r="D523" s="412"/>
      <c r="E523" s="412"/>
      <c r="F523" s="412"/>
      <c r="G523" s="412"/>
      <c r="H523" s="412"/>
      <c r="I523" s="412"/>
      <c r="J523" s="412"/>
      <c r="K523" s="412"/>
      <c r="L523" s="412"/>
      <c r="M523" s="412"/>
      <c r="N523" s="412"/>
      <c r="O523" s="412"/>
      <c r="P523" s="412"/>
      <c r="Q523" s="412"/>
      <c r="R523" s="412"/>
      <c r="S523" s="412"/>
      <c r="T523" s="412"/>
      <c r="U523" s="412"/>
      <c r="V523" s="412"/>
      <c r="W523" s="412"/>
      <c r="X523" s="412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</row>
    <row r="524" spans="2:62" ht="15.75" customHeight="1">
      <c r="B524" s="181"/>
      <c r="C524" s="412"/>
      <c r="D524" s="412"/>
      <c r="E524" s="412"/>
      <c r="F524" s="412"/>
      <c r="G524" s="412"/>
      <c r="H524" s="412"/>
      <c r="I524" s="412"/>
      <c r="J524" s="412"/>
      <c r="K524" s="412"/>
      <c r="L524" s="412"/>
      <c r="M524" s="412"/>
      <c r="N524" s="412"/>
      <c r="O524" s="412"/>
      <c r="P524" s="412"/>
      <c r="Q524" s="412"/>
      <c r="R524" s="412"/>
      <c r="S524" s="412"/>
      <c r="T524" s="412"/>
      <c r="U524" s="412"/>
      <c r="V524" s="412"/>
      <c r="W524" s="412"/>
      <c r="X524" s="412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</row>
    <row r="525" spans="2:62" ht="15.75" customHeight="1">
      <c r="B525" s="181"/>
      <c r="C525" s="127"/>
      <c r="D525" s="425"/>
      <c r="E525" s="425"/>
      <c r="F525" s="425"/>
      <c r="G525" s="425"/>
      <c r="H525" s="425"/>
      <c r="I525" s="425"/>
      <c r="J525" s="425"/>
      <c r="K525" s="425"/>
      <c r="L525" s="425"/>
      <c r="M525" s="425"/>
      <c r="N525" s="425"/>
      <c r="O525" s="425"/>
      <c r="P525" s="425"/>
      <c r="Q525" s="425"/>
      <c r="R525" s="425"/>
      <c r="S525" s="425"/>
      <c r="T525" s="412"/>
      <c r="U525" s="412"/>
      <c r="V525" s="412"/>
      <c r="W525" s="412"/>
      <c r="X525" s="412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</row>
    <row r="526" spans="2:62" ht="15.75" customHeight="1">
      <c r="B526" s="181"/>
      <c r="C526" s="412"/>
      <c r="D526" s="412"/>
      <c r="E526" s="412"/>
      <c r="F526" s="412"/>
      <c r="G526" s="412"/>
      <c r="H526" s="412"/>
      <c r="I526" s="412"/>
      <c r="J526" s="412"/>
      <c r="K526" s="412"/>
      <c r="L526" s="412"/>
      <c r="M526" s="412"/>
      <c r="N526" s="412"/>
      <c r="O526" s="412"/>
      <c r="P526" s="412"/>
      <c r="Q526" s="426"/>
      <c r="R526" s="412"/>
      <c r="S526" s="412"/>
      <c r="T526" s="412"/>
      <c r="U526" s="412"/>
      <c r="V526" s="412"/>
      <c r="W526" s="412"/>
      <c r="X526" s="412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</row>
    <row r="527" spans="2:62" ht="15.75" customHeight="1">
      <c r="B527" s="181"/>
      <c r="C527" s="412"/>
      <c r="D527" s="412"/>
      <c r="E527" s="412"/>
      <c r="F527" s="412"/>
      <c r="G527" s="412"/>
      <c r="H527" s="412"/>
      <c r="I527" s="412"/>
      <c r="J527" s="412"/>
      <c r="K527" s="412"/>
      <c r="L527" s="427"/>
      <c r="M527" s="428"/>
      <c r="N527" s="428"/>
      <c r="O527" s="412"/>
      <c r="P527" s="427"/>
      <c r="Q527" s="428"/>
      <c r="R527" s="428"/>
      <c r="S527" s="427"/>
      <c r="T527" s="412"/>
      <c r="U527" s="412"/>
      <c r="V527" s="412"/>
      <c r="W527" s="412"/>
      <c r="X527" s="412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</row>
    <row r="528" spans="2:62" ht="15.75" customHeight="1">
      <c r="B528" s="181"/>
      <c r="C528" s="412"/>
      <c r="D528" s="412"/>
      <c r="E528" s="427"/>
      <c r="F528" s="429"/>
      <c r="G528" s="412"/>
      <c r="H528" s="427"/>
      <c r="I528" s="429"/>
      <c r="J528" s="428"/>
      <c r="K528" s="421"/>
      <c r="L528" s="427"/>
      <c r="M528" s="428"/>
      <c r="N528" s="428"/>
      <c r="O528" s="421"/>
      <c r="P528" s="427"/>
      <c r="Q528" s="428"/>
      <c r="R528" s="428"/>
      <c r="S528" s="427"/>
      <c r="T528" s="412"/>
      <c r="U528" s="412"/>
      <c r="V528" s="412"/>
      <c r="W528" s="412"/>
      <c r="X528" s="412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</row>
    <row r="529" spans="2:62" ht="15.75" customHeight="1">
      <c r="B529" s="181"/>
      <c r="C529" s="412"/>
      <c r="D529" s="430"/>
      <c r="E529" s="429"/>
      <c r="F529" s="429"/>
      <c r="G529" s="430"/>
      <c r="H529" s="429"/>
      <c r="I529" s="429"/>
      <c r="J529" s="429"/>
      <c r="K529" s="429"/>
      <c r="L529" s="429"/>
      <c r="M529" s="429"/>
      <c r="N529" s="429"/>
      <c r="O529" s="429"/>
      <c r="P529" s="429"/>
      <c r="Q529" s="429"/>
      <c r="R529" s="429"/>
      <c r="S529" s="429"/>
      <c r="T529" s="412"/>
      <c r="U529" s="412"/>
      <c r="V529" s="412"/>
      <c r="W529" s="412"/>
      <c r="X529" s="412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</row>
    <row r="530" spans="2:62" ht="15.75" customHeight="1">
      <c r="B530" s="181"/>
      <c r="C530" s="421"/>
      <c r="D530" s="412"/>
      <c r="E530" s="412"/>
      <c r="F530" s="412"/>
      <c r="G530" s="412"/>
      <c r="H530" s="412"/>
      <c r="I530" s="412"/>
      <c r="J530" s="412"/>
      <c r="K530" s="412"/>
      <c r="L530" s="412"/>
      <c r="M530" s="412"/>
      <c r="N530" s="412"/>
      <c r="O530" s="412"/>
      <c r="P530" s="412"/>
      <c r="Q530" s="412"/>
      <c r="R530" s="412"/>
      <c r="S530" s="412"/>
      <c r="T530" s="412"/>
      <c r="U530" s="412"/>
      <c r="V530" s="412"/>
      <c r="W530" s="412"/>
      <c r="X530" s="412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</row>
    <row r="531" spans="2:62" ht="15.75" customHeight="1">
      <c r="B531" s="181"/>
      <c r="C531" s="412"/>
      <c r="D531" s="412"/>
      <c r="E531" s="412"/>
      <c r="F531" s="412"/>
      <c r="G531" s="412"/>
      <c r="H531" s="412"/>
      <c r="I531" s="412"/>
      <c r="J531" s="412"/>
      <c r="K531" s="412"/>
      <c r="L531" s="412"/>
      <c r="M531" s="412"/>
      <c r="N531" s="412"/>
      <c r="O531" s="412"/>
      <c r="P531" s="412"/>
      <c r="Q531" s="412"/>
      <c r="R531" s="412"/>
      <c r="S531" s="412"/>
      <c r="T531" s="412"/>
      <c r="U531" s="412"/>
      <c r="V531" s="412"/>
      <c r="W531" s="412"/>
      <c r="X531" s="412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</row>
    <row r="532" spans="2:62" ht="15.75" customHeight="1">
      <c r="B532" s="181"/>
      <c r="C532" s="412"/>
      <c r="D532" s="412"/>
      <c r="E532" s="422"/>
      <c r="F532" s="431"/>
      <c r="G532" s="412"/>
      <c r="H532" s="422"/>
      <c r="I532" s="431"/>
      <c r="J532" s="431"/>
      <c r="K532" s="422"/>
      <c r="L532" s="431"/>
      <c r="M532" s="422"/>
      <c r="N532" s="431"/>
      <c r="O532" s="422"/>
      <c r="P532" s="431"/>
      <c r="Q532" s="422"/>
      <c r="R532" s="422"/>
      <c r="S532" s="422"/>
      <c r="T532" s="412"/>
      <c r="U532" s="412"/>
      <c r="V532" s="412"/>
      <c r="W532" s="412"/>
      <c r="X532" s="412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</row>
    <row r="533" spans="2:62" ht="15.75" customHeight="1">
      <c r="B533" s="181"/>
      <c r="C533" s="412"/>
      <c r="D533" s="412"/>
      <c r="E533" s="422"/>
      <c r="F533" s="431"/>
      <c r="G533" s="412"/>
      <c r="H533" s="422"/>
      <c r="I533" s="431"/>
      <c r="J533" s="431"/>
      <c r="K533" s="422"/>
      <c r="L533" s="431"/>
      <c r="M533" s="422"/>
      <c r="N533" s="431"/>
      <c r="O533" s="422"/>
      <c r="P533" s="431"/>
      <c r="Q533" s="422"/>
      <c r="R533" s="422"/>
      <c r="S533" s="422"/>
      <c r="T533" s="412"/>
      <c r="U533" s="412"/>
      <c r="V533" s="412"/>
      <c r="W533" s="412"/>
      <c r="X533" s="412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</row>
    <row r="534" spans="2:62" ht="15.75" customHeight="1">
      <c r="B534" s="181"/>
      <c r="C534" s="412"/>
      <c r="D534" s="412"/>
      <c r="E534" s="422"/>
      <c r="F534" s="431"/>
      <c r="G534" s="412"/>
      <c r="H534" s="422"/>
      <c r="I534" s="431"/>
      <c r="J534" s="431"/>
      <c r="K534" s="422"/>
      <c r="L534" s="431"/>
      <c r="M534" s="422"/>
      <c r="N534" s="431"/>
      <c r="O534" s="422"/>
      <c r="P534" s="431"/>
      <c r="Q534" s="422"/>
      <c r="R534" s="422"/>
      <c r="S534" s="422"/>
      <c r="T534" s="412"/>
      <c r="U534" s="412"/>
      <c r="V534" s="412"/>
      <c r="W534" s="412"/>
      <c r="X534" s="412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</row>
    <row r="535" spans="2:62" ht="15.75" customHeight="1">
      <c r="B535" s="181"/>
      <c r="C535" s="412"/>
      <c r="D535" s="412"/>
      <c r="E535" s="422"/>
      <c r="F535" s="431"/>
      <c r="G535" s="412"/>
      <c r="H535" s="422"/>
      <c r="I535" s="431"/>
      <c r="J535" s="431"/>
      <c r="K535" s="422"/>
      <c r="L535" s="431"/>
      <c r="M535" s="422"/>
      <c r="N535" s="431"/>
      <c r="O535" s="422"/>
      <c r="P535" s="431"/>
      <c r="Q535" s="422"/>
      <c r="R535" s="422"/>
      <c r="S535" s="422"/>
      <c r="T535" s="412"/>
      <c r="U535" s="412"/>
      <c r="V535" s="412"/>
      <c r="W535" s="412"/>
      <c r="X535" s="412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</row>
    <row r="536" spans="2:62" ht="15.75" customHeight="1">
      <c r="B536" s="181"/>
      <c r="C536" s="412"/>
      <c r="D536" s="412"/>
      <c r="E536" s="422"/>
      <c r="F536" s="431"/>
      <c r="G536" s="412"/>
      <c r="H536" s="422"/>
      <c r="I536" s="431"/>
      <c r="J536" s="431"/>
      <c r="K536" s="422"/>
      <c r="L536" s="431"/>
      <c r="M536" s="422"/>
      <c r="N536" s="431"/>
      <c r="O536" s="422"/>
      <c r="P536" s="431"/>
      <c r="Q536" s="422"/>
      <c r="R536" s="422"/>
      <c r="S536" s="412"/>
      <c r="T536" s="412"/>
      <c r="U536" s="412"/>
      <c r="V536" s="412"/>
      <c r="W536" s="412"/>
      <c r="X536" s="412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</row>
    <row r="537" spans="2:62" ht="15.75" customHeight="1">
      <c r="B537" s="181"/>
      <c r="C537" s="412"/>
      <c r="D537" s="412"/>
      <c r="E537" s="422"/>
      <c r="F537" s="431"/>
      <c r="G537" s="412"/>
      <c r="H537" s="422"/>
      <c r="I537" s="431"/>
      <c r="J537" s="431"/>
      <c r="K537" s="422"/>
      <c r="L537" s="431"/>
      <c r="M537" s="422"/>
      <c r="N537" s="431"/>
      <c r="O537" s="422"/>
      <c r="P537" s="431"/>
      <c r="Q537" s="422"/>
      <c r="R537" s="422"/>
      <c r="S537" s="422"/>
      <c r="T537" s="412"/>
      <c r="U537" s="412"/>
      <c r="V537" s="412"/>
      <c r="W537" s="412"/>
      <c r="X537" s="412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</row>
    <row r="538" spans="2:62" ht="15.75" customHeight="1">
      <c r="B538" s="181"/>
      <c r="C538" s="412"/>
      <c r="D538" s="412"/>
      <c r="E538" s="422"/>
      <c r="F538" s="432"/>
      <c r="G538" s="412"/>
      <c r="H538" s="422"/>
      <c r="I538" s="432"/>
      <c r="J538" s="431"/>
      <c r="K538" s="422"/>
      <c r="L538" s="431"/>
      <c r="M538" s="422"/>
      <c r="N538" s="431"/>
      <c r="O538" s="422"/>
      <c r="P538" s="412"/>
      <c r="Q538" s="412"/>
      <c r="R538" s="422"/>
      <c r="S538" s="422"/>
      <c r="T538" s="412"/>
      <c r="U538" s="412"/>
      <c r="V538" s="412"/>
      <c r="W538" s="412"/>
      <c r="X538" s="412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</row>
    <row r="539" spans="2:62" ht="15.75" customHeight="1">
      <c r="B539" s="181"/>
      <c r="C539" s="421"/>
      <c r="D539" s="421"/>
      <c r="E539" s="424"/>
      <c r="F539" s="433"/>
      <c r="G539" s="421"/>
      <c r="H539" s="424"/>
      <c r="I539" s="433"/>
      <c r="J539" s="433"/>
      <c r="K539" s="424"/>
      <c r="L539" s="433"/>
      <c r="M539" s="424"/>
      <c r="N539" s="433"/>
      <c r="O539" s="424"/>
      <c r="P539" s="433"/>
      <c r="Q539" s="424"/>
      <c r="R539" s="424"/>
      <c r="S539" s="421"/>
      <c r="T539" s="412"/>
      <c r="U539" s="412"/>
      <c r="V539" s="412"/>
      <c r="W539" s="412"/>
      <c r="X539" s="412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</row>
    <row r="540" spans="2:62" ht="15.75" customHeight="1">
      <c r="B540" s="181"/>
      <c r="C540" s="412"/>
      <c r="D540" s="412"/>
      <c r="E540" s="422"/>
      <c r="F540" s="412"/>
      <c r="G540" s="412"/>
      <c r="H540" s="422"/>
      <c r="I540" s="412"/>
      <c r="J540" s="431"/>
      <c r="K540" s="422"/>
      <c r="L540" s="431"/>
      <c r="M540" s="422"/>
      <c r="N540" s="431"/>
      <c r="O540" s="422"/>
      <c r="P540" s="421"/>
      <c r="Q540" s="433"/>
      <c r="R540" s="433"/>
      <c r="S540" s="412"/>
      <c r="T540" s="412"/>
      <c r="U540" s="412"/>
      <c r="V540" s="412"/>
      <c r="W540" s="412"/>
      <c r="X540" s="412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</row>
    <row r="541" spans="2:62" ht="15.75" customHeight="1">
      <c r="B541" s="181"/>
      <c r="C541" s="412"/>
      <c r="D541" s="412"/>
      <c r="E541" s="422"/>
      <c r="F541" s="412"/>
      <c r="G541" s="412"/>
      <c r="H541" s="422"/>
      <c r="I541" s="412"/>
      <c r="J541" s="431"/>
      <c r="K541" s="422"/>
      <c r="L541" s="431"/>
      <c r="M541" s="422"/>
      <c r="N541" s="431"/>
      <c r="O541" s="422"/>
      <c r="P541" s="412"/>
      <c r="Q541" s="412"/>
      <c r="R541" s="422"/>
      <c r="S541" s="412"/>
      <c r="T541" s="412"/>
      <c r="U541" s="412"/>
      <c r="V541" s="412"/>
      <c r="W541" s="412"/>
      <c r="X541" s="412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</row>
    <row r="542" spans="2:62" ht="15.75" customHeight="1">
      <c r="B542" s="181"/>
      <c r="C542" s="421"/>
      <c r="D542" s="412"/>
      <c r="E542" s="422"/>
      <c r="F542" s="412"/>
      <c r="G542" s="412"/>
      <c r="H542" s="422"/>
      <c r="I542" s="412"/>
      <c r="J542" s="431"/>
      <c r="K542" s="422"/>
      <c r="L542" s="431"/>
      <c r="M542" s="422"/>
      <c r="N542" s="431"/>
      <c r="O542" s="422"/>
      <c r="P542" s="412"/>
      <c r="Q542" s="412"/>
      <c r="R542" s="422"/>
      <c r="S542" s="412"/>
      <c r="T542" s="412"/>
      <c r="U542" s="412"/>
      <c r="V542" s="412"/>
      <c r="W542" s="412"/>
      <c r="X542" s="412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</row>
    <row r="543" spans="2:62" ht="15.75" customHeight="1">
      <c r="B543" s="181"/>
      <c r="C543" s="412"/>
      <c r="D543" s="412"/>
      <c r="E543" s="412"/>
      <c r="F543" s="412"/>
      <c r="G543" s="412"/>
      <c r="H543" s="412"/>
      <c r="I543" s="412"/>
      <c r="J543" s="412"/>
      <c r="K543" s="412"/>
      <c r="L543" s="412"/>
      <c r="M543" s="412"/>
      <c r="N543" s="412"/>
      <c r="O543" s="412"/>
      <c r="P543" s="412"/>
      <c r="Q543" s="412"/>
      <c r="R543" s="412"/>
      <c r="S543" s="412"/>
      <c r="T543" s="412"/>
      <c r="U543" s="412"/>
      <c r="V543" s="412"/>
      <c r="W543" s="412"/>
      <c r="X543" s="412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</row>
    <row r="544" spans="2:62" ht="15.75" customHeight="1">
      <c r="B544" s="181"/>
      <c r="C544" s="412"/>
      <c r="D544" s="412"/>
      <c r="E544" s="422"/>
      <c r="F544" s="431"/>
      <c r="G544" s="412"/>
      <c r="H544" s="422"/>
      <c r="I544" s="431"/>
      <c r="J544" s="431"/>
      <c r="K544" s="412"/>
      <c r="L544" s="431"/>
      <c r="M544" s="412"/>
      <c r="N544" s="431"/>
      <c r="O544" s="412"/>
      <c r="P544" s="431"/>
      <c r="Q544" s="422"/>
      <c r="R544" s="422"/>
      <c r="S544" s="412"/>
      <c r="T544" s="412"/>
      <c r="U544" s="412"/>
      <c r="V544" s="412"/>
      <c r="W544" s="412"/>
      <c r="X544" s="412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</row>
    <row r="545" spans="2:62" ht="15.75" customHeight="1">
      <c r="B545" s="181"/>
      <c r="C545" s="412"/>
      <c r="D545" s="412"/>
      <c r="E545" s="422"/>
      <c r="F545" s="432"/>
      <c r="G545" s="412"/>
      <c r="H545" s="422"/>
      <c r="I545" s="432"/>
      <c r="J545" s="431"/>
      <c r="K545" s="422"/>
      <c r="L545" s="431"/>
      <c r="M545" s="422"/>
      <c r="N545" s="431"/>
      <c r="O545" s="422"/>
      <c r="P545" s="412"/>
      <c r="Q545" s="431"/>
      <c r="R545" s="431"/>
      <c r="S545" s="422"/>
      <c r="T545" s="412"/>
      <c r="U545" s="412"/>
      <c r="V545" s="412"/>
      <c r="W545" s="412"/>
      <c r="X545" s="412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</row>
    <row r="546" spans="2:62" ht="15.75" customHeight="1">
      <c r="B546" s="181"/>
      <c r="C546" s="412"/>
      <c r="D546" s="412"/>
      <c r="E546" s="422"/>
      <c r="F546" s="432"/>
      <c r="G546" s="412"/>
      <c r="H546" s="422"/>
      <c r="I546" s="432"/>
      <c r="J546" s="431"/>
      <c r="K546" s="422"/>
      <c r="L546" s="431"/>
      <c r="M546" s="422"/>
      <c r="N546" s="431"/>
      <c r="O546" s="422"/>
      <c r="P546" s="412"/>
      <c r="Q546" s="412"/>
      <c r="R546" s="422"/>
      <c r="S546" s="422"/>
      <c r="T546" s="412"/>
      <c r="U546" s="412"/>
      <c r="V546" s="412"/>
      <c r="W546" s="412"/>
      <c r="X546" s="412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</row>
    <row r="547" spans="2:62" ht="15.75" customHeight="1">
      <c r="B547" s="181"/>
      <c r="C547" s="412"/>
      <c r="D547" s="412"/>
      <c r="E547" s="422"/>
      <c r="F547" s="431"/>
      <c r="G547" s="412"/>
      <c r="H547" s="422"/>
      <c r="I547" s="431"/>
      <c r="J547" s="431"/>
      <c r="K547" s="422"/>
      <c r="L547" s="431"/>
      <c r="M547" s="422"/>
      <c r="N547" s="431"/>
      <c r="O547" s="422"/>
      <c r="P547" s="412"/>
      <c r="Q547" s="412"/>
      <c r="R547" s="422"/>
      <c r="S547" s="412"/>
      <c r="T547" s="412"/>
      <c r="U547" s="412"/>
      <c r="V547" s="412"/>
      <c r="W547" s="412"/>
      <c r="X547" s="412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</row>
    <row r="548" spans="2:62" ht="15.75" customHeight="1">
      <c r="B548" s="181"/>
      <c r="C548" s="421"/>
      <c r="D548" s="421"/>
      <c r="E548" s="424"/>
      <c r="F548" s="433"/>
      <c r="G548" s="421"/>
      <c r="H548" s="424"/>
      <c r="I548" s="433"/>
      <c r="J548" s="433"/>
      <c r="K548" s="424"/>
      <c r="L548" s="433"/>
      <c r="M548" s="424"/>
      <c r="N548" s="433"/>
      <c r="O548" s="424"/>
      <c r="P548" s="433"/>
      <c r="Q548" s="421"/>
      <c r="R548" s="424"/>
      <c r="S548" s="421"/>
      <c r="T548" s="412"/>
      <c r="U548" s="412"/>
      <c r="V548" s="412"/>
      <c r="W548" s="412"/>
      <c r="X548" s="412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</row>
    <row r="549" spans="2:62" ht="15.75" customHeight="1">
      <c r="B549" s="181"/>
      <c r="C549" s="412"/>
      <c r="D549" s="412"/>
      <c r="E549" s="412"/>
      <c r="F549" s="412"/>
      <c r="G549" s="412"/>
      <c r="H549" s="412"/>
      <c r="I549" s="412"/>
      <c r="J549" s="412"/>
      <c r="K549" s="412"/>
      <c r="L549" s="412"/>
      <c r="M549" s="412"/>
      <c r="N549" s="412"/>
      <c r="O549" s="412"/>
      <c r="P549" s="421"/>
      <c r="Q549" s="433"/>
      <c r="R549" s="433"/>
      <c r="S549" s="412"/>
      <c r="T549" s="412"/>
      <c r="U549" s="412"/>
      <c r="V549" s="412"/>
      <c r="W549" s="412"/>
      <c r="X549" s="412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</row>
    <row r="550" spans="2:62" ht="15.75" customHeight="1">
      <c r="B550" s="181"/>
      <c r="C550" s="412"/>
      <c r="D550" s="412"/>
      <c r="E550" s="422"/>
      <c r="F550" s="431"/>
      <c r="G550" s="412"/>
      <c r="H550" s="422"/>
      <c r="I550" s="431"/>
      <c r="J550" s="431"/>
      <c r="K550" s="422"/>
      <c r="L550" s="431"/>
      <c r="M550" s="422"/>
      <c r="N550" s="431"/>
      <c r="O550" s="422"/>
      <c r="P550" s="412"/>
      <c r="Q550" s="412"/>
      <c r="R550" s="422"/>
      <c r="S550" s="412"/>
      <c r="T550" s="412"/>
      <c r="U550" s="412"/>
      <c r="V550" s="412"/>
      <c r="W550" s="412"/>
      <c r="X550" s="412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</row>
    <row r="551" spans="2:62" ht="15.75" customHeight="1">
      <c r="B551" s="181"/>
      <c r="C551" s="421"/>
      <c r="D551" s="412"/>
      <c r="E551" s="422"/>
      <c r="F551" s="431"/>
      <c r="G551" s="412"/>
      <c r="H551" s="422"/>
      <c r="I551" s="431"/>
      <c r="J551" s="431"/>
      <c r="K551" s="422"/>
      <c r="L551" s="431"/>
      <c r="M551" s="422"/>
      <c r="N551" s="431"/>
      <c r="O551" s="422"/>
      <c r="P551" s="412"/>
      <c r="Q551" s="412"/>
      <c r="R551" s="422"/>
      <c r="S551" s="412"/>
      <c r="T551" s="412"/>
      <c r="U551" s="412"/>
      <c r="V551" s="412"/>
      <c r="W551" s="412"/>
      <c r="X551" s="412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</row>
    <row r="552" spans="2:62" ht="15.75" customHeight="1">
      <c r="B552" s="181"/>
      <c r="C552" s="412"/>
      <c r="D552" s="412"/>
      <c r="E552" s="422"/>
      <c r="F552" s="431"/>
      <c r="G552" s="412"/>
      <c r="H552" s="422"/>
      <c r="I552" s="431"/>
      <c r="J552" s="431"/>
      <c r="K552" s="422"/>
      <c r="L552" s="431"/>
      <c r="M552" s="422"/>
      <c r="N552" s="431"/>
      <c r="O552" s="422"/>
      <c r="P552" s="412"/>
      <c r="Q552" s="412"/>
      <c r="R552" s="422"/>
      <c r="S552" s="412"/>
      <c r="T552" s="412"/>
      <c r="U552" s="412"/>
      <c r="V552" s="412"/>
      <c r="W552" s="412"/>
      <c r="X552" s="412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</row>
    <row r="553" spans="2:62" ht="15.75" customHeight="1">
      <c r="B553" s="181"/>
      <c r="C553" s="412"/>
      <c r="D553" s="412"/>
      <c r="E553" s="412"/>
      <c r="F553" s="412"/>
      <c r="G553" s="412"/>
      <c r="H553" s="412"/>
      <c r="I553" s="412"/>
      <c r="J553" s="412"/>
      <c r="K553" s="412"/>
      <c r="L553" s="412"/>
      <c r="M553" s="412"/>
      <c r="N553" s="412"/>
      <c r="O553" s="412"/>
      <c r="P553" s="431"/>
      <c r="Q553" s="422"/>
      <c r="R553" s="412"/>
      <c r="S553" s="422"/>
      <c r="T553" s="412"/>
      <c r="U553" s="412"/>
      <c r="V553" s="412"/>
      <c r="W553" s="412"/>
      <c r="X553" s="412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</row>
    <row r="554" spans="2:62" ht="15.75" customHeight="1">
      <c r="B554" s="181"/>
      <c r="C554" s="412"/>
      <c r="D554" s="412"/>
      <c r="E554" s="412"/>
      <c r="F554" s="412"/>
      <c r="G554" s="412"/>
      <c r="H554" s="412"/>
      <c r="I554" s="412"/>
      <c r="J554" s="412"/>
      <c r="K554" s="412"/>
      <c r="L554" s="412"/>
      <c r="M554" s="412"/>
      <c r="N554" s="412"/>
      <c r="O554" s="412"/>
      <c r="P554" s="431"/>
      <c r="Q554" s="422"/>
      <c r="R554" s="412"/>
      <c r="S554" s="422"/>
      <c r="T554" s="412"/>
      <c r="U554" s="412"/>
      <c r="V554" s="412"/>
      <c r="W554" s="412"/>
      <c r="X554" s="412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</row>
    <row r="555" spans="2:62" ht="15.75" customHeight="1">
      <c r="B555" s="181"/>
      <c r="C555" s="412"/>
      <c r="D555" s="412"/>
      <c r="E555" s="412"/>
      <c r="F555" s="412"/>
      <c r="G555" s="412"/>
      <c r="H555" s="412"/>
      <c r="I555" s="412"/>
      <c r="J555" s="412"/>
      <c r="K555" s="412"/>
      <c r="L555" s="412"/>
      <c r="M555" s="412"/>
      <c r="N555" s="412"/>
      <c r="O555" s="412"/>
      <c r="P555" s="431"/>
      <c r="Q555" s="422"/>
      <c r="R555" s="412"/>
      <c r="S555" s="422"/>
      <c r="T555" s="412"/>
      <c r="U555" s="412"/>
      <c r="V555" s="412"/>
      <c r="W555" s="412"/>
      <c r="X555" s="412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</row>
    <row r="556" spans="2:62" ht="15.75" customHeight="1">
      <c r="B556" s="181"/>
      <c r="C556" s="412"/>
      <c r="D556" s="412"/>
      <c r="E556" s="412"/>
      <c r="F556" s="412"/>
      <c r="G556" s="412"/>
      <c r="H556" s="412"/>
      <c r="I556" s="412"/>
      <c r="J556" s="412"/>
      <c r="K556" s="412"/>
      <c r="L556" s="412"/>
      <c r="M556" s="412"/>
      <c r="N556" s="412"/>
      <c r="O556" s="412"/>
      <c r="P556" s="431"/>
      <c r="Q556" s="422"/>
      <c r="R556" s="412"/>
      <c r="S556" s="422"/>
      <c r="T556" s="412"/>
      <c r="U556" s="412"/>
      <c r="V556" s="412"/>
      <c r="W556" s="412"/>
      <c r="X556" s="412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</row>
    <row r="557" spans="2:62" ht="15.75" customHeight="1">
      <c r="B557" s="181"/>
      <c r="C557" s="412"/>
      <c r="D557" s="412"/>
      <c r="E557" s="412"/>
      <c r="F557" s="412"/>
      <c r="G557" s="412"/>
      <c r="H557" s="412"/>
      <c r="I557" s="412"/>
      <c r="J557" s="412"/>
      <c r="K557" s="412"/>
      <c r="L557" s="412"/>
      <c r="M557" s="412"/>
      <c r="N557" s="412"/>
      <c r="O557" s="412"/>
      <c r="P557" s="431"/>
      <c r="Q557" s="422"/>
      <c r="R557" s="412"/>
      <c r="S557" s="422"/>
      <c r="T557" s="412"/>
      <c r="U557" s="412"/>
      <c r="V557" s="412"/>
      <c r="W557" s="412"/>
      <c r="X557" s="412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</row>
    <row r="558" spans="2:62" ht="15.75" customHeight="1">
      <c r="B558" s="181"/>
      <c r="C558" s="412"/>
      <c r="D558" s="412"/>
      <c r="E558" s="412"/>
      <c r="F558" s="412"/>
      <c r="G558" s="412"/>
      <c r="H558" s="412"/>
      <c r="I558" s="412"/>
      <c r="J558" s="412"/>
      <c r="K558" s="412"/>
      <c r="L558" s="412"/>
      <c r="M558" s="412"/>
      <c r="N558" s="412"/>
      <c r="O558" s="412"/>
      <c r="P558" s="431"/>
      <c r="Q558" s="422"/>
      <c r="R558" s="412"/>
      <c r="S558" s="422"/>
      <c r="T558" s="412"/>
      <c r="U558" s="412"/>
      <c r="V558" s="412"/>
      <c r="W558" s="412"/>
      <c r="X558" s="412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</row>
    <row r="559" spans="2:62" ht="15.75" customHeight="1">
      <c r="B559" s="181"/>
      <c r="C559" s="412"/>
      <c r="D559" s="412"/>
      <c r="E559" s="412"/>
      <c r="F559" s="412"/>
      <c r="G559" s="412"/>
      <c r="H559" s="412"/>
      <c r="I559" s="412"/>
      <c r="J559" s="412"/>
      <c r="K559" s="412"/>
      <c r="L559" s="412"/>
      <c r="M559" s="412"/>
      <c r="N559" s="412"/>
      <c r="O559" s="412"/>
      <c r="P559" s="431"/>
      <c r="Q559" s="422"/>
      <c r="R559" s="412"/>
      <c r="S559" s="422"/>
      <c r="T559" s="412"/>
      <c r="U559" s="412"/>
      <c r="V559" s="412"/>
      <c r="W559" s="412"/>
      <c r="X559" s="412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</row>
    <row r="560" spans="2:62" ht="15.75" customHeight="1">
      <c r="B560" s="181"/>
      <c r="C560" s="412"/>
      <c r="D560" s="412"/>
      <c r="E560" s="412"/>
      <c r="F560" s="412"/>
      <c r="G560" s="412"/>
      <c r="H560" s="412"/>
      <c r="I560" s="412"/>
      <c r="J560" s="412"/>
      <c r="K560" s="412"/>
      <c r="L560" s="412"/>
      <c r="M560" s="412"/>
      <c r="N560" s="412"/>
      <c r="O560" s="412"/>
      <c r="P560" s="431"/>
      <c r="Q560" s="422"/>
      <c r="R560" s="412"/>
      <c r="S560" s="422"/>
      <c r="T560" s="412"/>
      <c r="U560" s="412"/>
      <c r="V560" s="412"/>
      <c r="W560" s="412"/>
      <c r="X560" s="412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</row>
    <row r="561" spans="2:62" ht="15.75" customHeight="1">
      <c r="B561" s="181"/>
      <c r="C561" s="421"/>
      <c r="D561" s="421"/>
      <c r="E561" s="412"/>
      <c r="F561" s="412"/>
      <c r="G561" s="421"/>
      <c r="H561" s="412"/>
      <c r="I561" s="412"/>
      <c r="J561" s="412"/>
      <c r="K561" s="412"/>
      <c r="L561" s="412"/>
      <c r="M561" s="412"/>
      <c r="N561" s="412"/>
      <c r="O561" s="412"/>
      <c r="P561" s="433"/>
      <c r="Q561" s="424"/>
      <c r="R561" s="412"/>
      <c r="S561" s="424"/>
      <c r="T561" s="412"/>
      <c r="U561" s="412"/>
      <c r="V561" s="412"/>
      <c r="W561" s="412"/>
      <c r="X561" s="412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</row>
    <row r="562" spans="2:62" ht="15.75" customHeight="1">
      <c r="B562" s="181"/>
      <c r="C562" s="412"/>
      <c r="D562" s="412"/>
      <c r="E562" s="412"/>
      <c r="F562" s="412"/>
      <c r="G562" s="412"/>
      <c r="H562" s="412"/>
      <c r="I562" s="412"/>
      <c r="J562" s="412"/>
      <c r="K562" s="412"/>
      <c r="L562" s="412"/>
      <c r="M562" s="412"/>
      <c r="N562" s="412"/>
      <c r="O562" s="412"/>
      <c r="P562" s="433"/>
      <c r="Q562" s="433"/>
      <c r="R562" s="412"/>
      <c r="S562" s="412"/>
      <c r="T562" s="412"/>
      <c r="U562" s="412"/>
      <c r="V562" s="412"/>
      <c r="W562" s="412"/>
      <c r="X562" s="412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</row>
    <row r="563" spans="2:62" ht="15.75" customHeight="1">
      <c r="B563" s="181"/>
      <c r="C563" s="412"/>
      <c r="D563" s="412"/>
      <c r="E563" s="412"/>
      <c r="F563" s="412"/>
      <c r="G563" s="412"/>
      <c r="H563" s="412"/>
      <c r="I563" s="412"/>
      <c r="J563" s="412"/>
      <c r="K563" s="412"/>
      <c r="L563" s="412"/>
      <c r="M563" s="412"/>
      <c r="N563" s="412"/>
      <c r="O563" s="412"/>
      <c r="P563" s="431"/>
      <c r="Q563" s="422"/>
      <c r="R563" s="412"/>
      <c r="S563" s="422"/>
      <c r="T563" s="412"/>
      <c r="U563" s="412"/>
      <c r="V563" s="412"/>
      <c r="W563" s="412"/>
      <c r="X563" s="412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</row>
    <row r="564" spans="2:62" ht="15.75" customHeight="1">
      <c r="B564" s="181"/>
      <c r="C564" s="412"/>
      <c r="D564" s="412"/>
      <c r="E564" s="412"/>
      <c r="F564" s="412"/>
      <c r="G564" s="412"/>
      <c r="H564" s="412"/>
      <c r="I564" s="412"/>
      <c r="J564" s="412"/>
      <c r="K564" s="412"/>
      <c r="L564" s="412"/>
      <c r="M564" s="412"/>
      <c r="N564" s="412"/>
      <c r="O564" s="412"/>
      <c r="P564" s="431"/>
      <c r="Q564" s="422"/>
      <c r="R564" s="412"/>
      <c r="S564" s="422"/>
      <c r="T564" s="412"/>
      <c r="U564" s="412"/>
      <c r="V564" s="412"/>
      <c r="W564" s="412"/>
      <c r="X564" s="412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</row>
    <row r="565" spans="2:62" ht="15.75" customHeight="1">
      <c r="B565" s="181"/>
      <c r="C565" s="421"/>
      <c r="D565" s="412"/>
      <c r="E565" s="412"/>
      <c r="F565" s="412"/>
      <c r="G565" s="412"/>
      <c r="H565" s="412"/>
      <c r="I565" s="412"/>
      <c r="J565" s="412"/>
      <c r="K565" s="412"/>
      <c r="L565" s="412"/>
      <c r="M565" s="412"/>
      <c r="N565" s="412"/>
      <c r="O565" s="412"/>
      <c r="P565" s="433"/>
      <c r="Q565" s="424"/>
      <c r="R565" s="412"/>
      <c r="S565" s="424"/>
      <c r="T565" s="412"/>
      <c r="U565" s="412"/>
      <c r="V565" s="412"/>
      <c r="W565" s="412"/>
      <c r="X565" s="412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</row>
    <row r="566" spans="2:62" ht="15.75" customHeight="1">
      <c r="B566" s="181"/>
      <c r="C566" s="412"/>
      <c r="D566" s="412"/>
      <c r="E566" s="412"/>
      <c r="F566" s="412"/>
      <c r="G566" s="412"/>
      <c r="H566" s="412"/>
      <c r="I566" s="412"/>
      <c r="J566" s="412"/>
      <c r="K566" s="412"/>
      <c r="L566" s="412"/>
      <c r="M566" s="412"/>
      <c r="N566" s="412"/>
      <c r="O566" s="412"/>
      <c r="P566" s="433"/>
      <c r="Q566" s="433"/>
      <c r="R566" s="412"/>
      <c r="S566" s="412"/>
      <c r="T566" s="412"/>
      <c r="U566" s="412"/>
      <c r="V566" s="412"/>
      <c r="W566" s="412"/>
      <c r="X566" s="412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</row>
    <row r="567" spans="2:62" ht="15.75" customHeight="1">
      <c r="B567" s="181"/>
      <c r="C567" s="412"/>
      <c r="D567" s="412"/>
      <c r="E567" s="412"/>
      <c r="F567" s="412"/>
      <c r="G567" s="412"/>
      <c r="H567" s="412"/>
      <c r="I567" s="412"/>
      <c r="J567" s="412"/>
      <c r="K567" s="412"/>
      <c r="L567" s="412"/>
      <c r="M567" s="412"/>
      <c r="N567" s="412"/>
      <c r="O567" s="412"/>
      <c r="P567" s="431"/>
      <c r="Q567" s="422"/>
      <c r="R567" s="412"/>
      <c r="S567" s="422"/>
      <c r="T567" s="412"/>
      <c r="U567" s="412"/>
      <c r="V567" s="412"/>
      <c r="W567" s="412"/>
      <c r="X567" s="412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</row>
    <row r="568" spans="2:62" ht="15.75" customHeight="1">
      <c r="B568" s="181"/>
      <c r="C568" s="421"/>
      <c r="D568" s="421"/>
      <c r="E568" s="412"/>
      <c r="F568" s="412"/>
      <c r="G568" s="421"/>
      <c r="H568" s="412"/>
      <c r="I568" s="412"/>
      <c r="J568" s="412"/>
      <c r="K568" s="412"/>
      <c r="L568" s="412"/>
      <c r="M568" s="412"/>
      <c r="N568" s="412"/>
      <c r="O568" s="412"/>
      <c r="P568" s="433"/>
      <c r="Q568" s="424"/>
      <c r="R568" s="412"/>
      <c r="S568" s="424"/>
      <c r="T568" s="412"/>
      <c r="U568" s="412"/>
      <c r="V568" s="412"/>
      <c r="W568" s="412"/>
      <c r="X568" s="412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</row>
    <row r="569" spans="2:62" ht="15.75" customHeight="1">
      <c r="B569" s="181"/>
      <c r="C569" s="412"/>
      <c r="D569" s="412"/>
      <c r="E569" s="412"/>
      <c r="F569" s="412"/>
      <c r="G569" s="412"/>
      <c r="H569" s="412"/>
      <c r="I569" s="412"/>
      <c r="J569" s="412"/>
      <c r="K569" s="412"/>
      <c r="L569" s="412"/>
      <c r="M569" s="412"/>
      <c r="N569" s="412"/>
      <c r="O569" s="412"/>
      <c r="P569" s="433"/>
      <c r="Q569" s="433"/>
      <c r="R569" s="412"/>
      <c r="S569" s="412"/>
      <c r="T569" s="412"/>
      <c r="U569" s="412"/>
      <c r="V569" s="412"/>
      <c r="W569" s="412"/>
      <c r="X569" s="412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</row>
    <row r="570" spans="2:62" ht="15.75" customHeight="1">
      <c r="B570" s="181"/>
      <c r="C570" s="412"/>
      <c r="D570" s="412"/>
      <c r="E570" s="422"/>
      <c r="F570" s="431"/>
      <c r="G570" s="412"/>
      <c r="H570" s="422"/>
      <c r="I570" s="431"/>
      <c r="J570" s="431"/>
      <c r="K570" s="422"/>
      <c r="L570" s="431"/>
      <c r="M570" s="422"/>
      <c r="N570" s="431"/>
      <c r="O570" s="422"/>
      <c r="P570" s="431"/>
      <c r="Q570" s="422"/>
      <c r="R570" s="422"/>
      <c r="S570" s="412"/>
      <c r="T570" s="412"/>
      <c r="U570" s="412"/>
      <c r="V570" s="412"/>
      <c r="W570" s="412"/>
      <c r="X570" s="412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</row>
    <row r="571" spans="2:62" ht="15.75" customHeight="1">
      <c r="B571" s="181"/>
      <c r="C571" s="421"/>
      <c r="D571" s="421"/>
      <c r="E571" s="424"/>
      <c r="F571" s="433"/>
      <c r="G571" s="421"/>
      <c r="H571" s="424"/>
      <c r="I571" s="433"/>
      <c r="J571" s="433"/>
      <c r="K571" s="424"/>
      <c r="L571" s="433"/>
      <c r="M571" s="424"/>
      <c r="N571" s="433"/>
      <c r="O571" s="424"/>
      <c r="P571" s="433"/>
      <c r="Q571" s="424"/>
      <c r="R571" s="424"/>
      <c r="S571" s="424"/>
      <c r="T571" s="412"/>
      <c r="U571" s="412"/>
      <c r="V571" s="412"/>
      <c r="W571" s="412"/>
      <c r="X571" s="412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</row>
    <row r="572" spans="2:62" ht="15.75" customHeight="1">
      <c r="B572" s="181"/>
      <c r="C572" s="412"/>
      <c r="D572" s="412"/>
      <c r="E572" s="422"/>
      <c r="F572" s="431"/>
      <c r="G572" s="412"/>
      <c r="H572" s="422"/>
      <c r="I572" s="431"/>
      <c r="J572" s="422"/>
      <c r="K572" s="431"/>
      <c r="L572" s="422"/>
      <c r="M572" s="412"/>
      <c r="N572" s="422"/>
      <c r="O572" s="431"/>
      <c r="P572" s="424"/>
      <c r="Q572" s="433"/>
      <c r="R572" s="433"/>
      <c r="S572" s="422"/>
      <c r="T572" s="412"/>
      <c r="U572" s="412"/>
      <c r="V572" s="412"/>
      <c r="W572" s="412"/>
      <c r="X572" s="412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</row>
    <row r="573" spans="2:62" ht="15.75" customHeight="1">
      <c r="B573" s="181"/>
      <c r="C573" s="412"/>
      <c r="D573" s="412"/>
      <c r="E573" s="422"/>
      <c r="F573" s="431"/>
      <c r="G573" s="412"/>
      <c r="H573" s="422"/>
      <c r="I573" s="431"/>
      <c r="J573" s="422"/>
      <c r="K573" s="431"/>
      <c r="L573" s="422"/>
      <c r="M573" s="412"/>
      <c r="N573" s="422"/>
      <c r="O573" s="431"/>
      <c r="P573" s="422"/>
      <c r="Q573" s="412"/>
      <c r="R573" s="431"/>
      <c r="S573" s="422"/>
      <c r="T573" s="412"/>
      <c r="U573" s="412"/>
      <c r="V573" s="412"/>
      <c r="W573" s="412"/>
      <c r="X573" s="412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</row>
    <row r="574" spans="2:62" ht="15.75" customHeight="1">
      <c r="B574" s="181"/>
      <c r="C574" s="412"/>
      <c r="D574" s="412"/>
      <c r="E574" s="412"/>
      <c r="F574" s="412"/>
      <c r="G574" s="412"/>
      <c r="H574" s="412"/>
      <c r="I574" s="412"/>
      <c r="J574" s="412"/>
      <c r="K574" s="412"/>
      <c r="L574" s="412"/>
      <c r="M574" s="412"/>
      <c r="N574" s="412"/>
      <c r="O574" s="412"/>
      <c r="P574" s="412"/>
      <c r="Q574" s="412"/>
      <c r="R574" s="431"/>
      <c r="S574" s="422"/>
      <c r="T574" s="412"/>
      <c r="U574" s="412"/>
      <c r="V574" s="412"/>
      <c r="W574" s="412"/>
      <c r="X574" s="412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</row>
    <row r="575" spans="2:62" ht="15.75" customHeight="1">
      <c r="B575" s="181"/>
      <c r="C575" s="412"/>
      <c r="D575" s="412"/>
      <c r="E575" s="422"/>
      <c r="F575" s="431"/>
      <c r="G575" s="412"/>
      <c r="H575" s="422"/>
      <c r="I575" s="431"/>
      <c r="J575" s="422"/>
      <c r="K575" s="431"/>
      <c r="L575" s="422"/>
      <c r="M575" s="412"/>
      <c r="N575" s="422"/>
      <c r="O575" s="431"/>
      <c r="P575" s="422"/>
      <c r="Q575" s="412"/>
      <c r="R575" s="431"/>
      <c r="S575" s="422"/>
      <c r="T575" s="412"/>
      <c r="U575" s="412"/>
      <c r="V575" s="412"/>
      <c r="W575" s="412"/>
      <c r="X575" s="412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</row>
    <row r="576" spans="2:62" ht="15.75" customHeight="1">
      <c r="B576" s="181"/>
      <c r="C576" s="412"/>
      <c r="D576" s="412"/>
      <c r="E576" s="422"/>
      <c r="F576" s="431"/>
      <c r="G576" s="412"/>
      <c r="H576" s="422"/>
      <c r="I576" s="431"/>
      <c r="J576" s="422"/>
      <c r="K576" s="431"/>
      <c r="L576" s="422"/>
      <c r="M576" s="412"/>
      <c r="N576" s="422"/>
      <c r="O576" s="431"/>
      <c r="P576" s="422"/>
      <c r="Q576" s="412"/>
      <c r="R576" s="431"/>
      <c r="S576" s="422"/>
      <c r="T576" s="412"/>
      <c r="U576" s="412"/>
      <c r="V576" s="412"/>
      <c r="W576" s="412"/>
      <c r="X576" s="412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</row>
    <row r="577" spans="2:62" ht="15.75" customHeight="1">
      <c r="B577" s="181"/>
      <c r="C577" s="412"/>
      <c r="D577" s="412"/>
      <c r="E577" s="422"/>
      <c r="F577" s="431"/>
      <c r="G577" s="412"/>
      <c r="H577" s="422"/>
      <c r="I577" s="431"/>
      <c r="J577" s="422"/>
      <c r="K577" s="431"/>
      <c r="L577" s="422"/>
      <c r="M577" s="412"/>
      <c r="N577" s="422"/>
      <c r="O577" s="431"/>
      <c r="P577" s="422"/>
      <c r="Q577" s="412"/>
      <c r="R577" s="431"/>
      <c r="S577" s="422"/>
      <c r="T577" s="412"/>
      <c r="U577" s="412"/>
      <c r="V577" s="412"/>
      <c r="W577" s="412"/>
      <c r="X577" s="412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</row>
    <row r="578" spans="2:62" ht="15.75" customHeight="1">
      <c r="B578" s="181"/>
      <c r="C578" s="412"/>
      <c r="D578" s="412"/>
      <c r="E578" s="422"/>
      <c r="F578" s="431"/>
      <c r="G578" s="412"/>
      <c r="H578" s="422"/>
      <c r="I578" s="431"/>
      <c r="J578" s="422"/>
      <c r="K578" s="431"/>
      <c r="L578" s="422"/>
      <c r="M578" s="412"/>
      <c r="N578" s="422"/>
      <c r="O578" s="431"/>
      <c r="P578" s="422"/>
      <c r="Q578" s="412"/>
      <c r="R578" s="431"/>
      <c r="S578" s="422"/>
      <c r="T578" s="412"/>
      <c r="U578" s="412"/>
      <c r="V578" s="412"/>
      <c r="W578" s="412"/>
      <c r="X578" s="412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</row>
    <row r="579" spans="2:62" ht="15.75" customHeight="1">
      <c r="B579" s="181"/>
      <c r="C579" s="412"/>
      <c r="D579" s="412"/>
      <c r="E579" s="422"/>
      <c r="F579" s="431"/>
      <c r="G579" s="412"/>
      <c r="H579" s="422"/>
      <c r="I579" s="431"/>
      <c r="J579" s="422"/>
      <c r="K579" s="431"/>
      <c r="L579" s="422"/>
      <c r="M579" s="412"/>
      <c r="N579" s="422"/>
      <c r="O579" s="431"/>
      <c r="P579" s="422"/>
      <c r="Q579" s="412"/>
      <c r="R579" s="431"/>
      <c r="S579" s="422"/>
      <c r="T579" s="412"/>
      <c r="U579" s="412"/>
      <c r="V579" s="412"/>
      <c r="W579" s="412"/>
      <c r="X579" s="412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</row>
    <row r="580" spans="2:62" ht="15.75" customHeight="1">
      <c r="B580" s="181"/>
      <c r="C580" s="412"/>
      <c r="D580" s="412"/>
      <c r="E580" s="422"/>
      <c r="F580" s="431"/>
      <c r="G580" s="412"/>
      <c r="H580" s="422"/>
      <c r="I580" s="431"/>
      <c r="J580" s="422"/>
      <c r="K580" s="431"/>
      <c r="L580" s="422"/>
      <c r="M580" s="412"/>
      <c r="N580" s="422"/>
      <c r="O580" s="431"/>
      <c r="P580" s="422"/>
      <c r="Q580" s="412"/>
      <c r="R580" s="431"/>
      <c r="S580" s="422"/>
      <c r="T580" s="412"/>
      <c r="U580" s="412"/>
      <c r="V580" s="412"/>
      <c r="W580" s="412"/>
      <c r="X580" s="412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</row>
    <row r="581" spans="2:62" ht="15.75" customHeight="1">
      <c r="B581" s="181"/>
      <c r="C581" s="412"/>
      <c r="D581" s="412"/>
      <c r="E581" s="422"/>
      <c r="F581" s="431"/>
      <c r="G581" s="412"/>
      <c r="H581" s="422"/>
      <c r="I581" s="431"/>
      <c r="J581" s="422"/>
      <c r="K581" s="431"/>
      <c r="L581" s="422"/>
      <c r="M581" s="412"/>
      <c r="N581" s="422"/>
      <c r="O581" s="431"/>
      <c r="P581" s="422"/>
      <c r="Q581" s="412"/>
      <c r="R581" s="431"/>
      <c r="S581" s="422"/>
      <c r="T581" s="412"/>
      <c r="U581" s="412"/>
      <c r="V581" s="412"/>
      <c r="W581" s="412"/>
      <c r="X581" s="412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</row>
    <row r="582" spans="2:62" ht="15.75" customHeight="1">
      <c r="B582" s="181"/>
      <c r="C582" s="412"/>
      <c r="D582" s="412"/>
      <c r="E582" s="412"/>
      <c r="F582" s="412"/>
      <c r="G582" s="412"/>
      <c r="H582" s="412"/>
      <c r="I582" s="412"/>
      <c r="J582" s="412"/>
      <c r="K582" s="412"/>
      <c r="L582" s="412"/>
      <c r="M582" s="412"/>
      <c r="N582" s="412"/>
      <c r="O582" s="412"/>
      <c r="P582" s="412"/>
      <c r="Q582" s="412"/>
      <c r="R582" s="412"/>
      <c r="S582" s="412"/>
      <c r="T582" s="412"/>
      <c r="U582" s="412"/>
      <c r="V582" s="412"/>
      <c r="W582" s="412"/>
      <c r="X582" s="412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</row>
    <row r="583" spans="2:62" ht="15.75" customHeight="1">
      <c r="B583" s="181"/>
      <c r="C583" s="412"/>
      <c r="D583" s="412"/>
      <c r="E583" s="412"/>
      <c r="F583" s="412"/>
      <c r="G583" s="412"/>
      <c r="H583" s="412"/>
      <c r="I583" s="412"/>
      <c r="J583" s="412"/>
      <c r="K583" s="412"/>
      <c r="L583" s="412"/>
      <c r="M583" s="412"/>
      <c r="N583" s="412"/>
      <c r="O583" s="412"/>
      <c r="P583" s="412"/>
      <c r="Q583" s="412"/>
      <c r="R583" s="412"/>
      <c r="S583" s="412"/>
      <c r="T583" s="412"/>
      <c r="U583" s="412"/>
      <c r="V583" s="412"/>
      <c r="W583" s="412"/>
      <c r="X583" s="412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</row>
    <row r="584" spans="2:62" ht="15.75" customHeight="1">
      <c r="B584" s="181"/>
      <c r="C584" s="412"/>
      <c r="D584" s="412"/>
      <c r="E584" s="412"/>
      <c r="F584" s="412"/>
      <c r="G584" s="412"/>
      <c r="H584" s="412"/>
      <c r="I584" s="412"/>
      <c r="J584" s="412"/>
      <c r="K584" s="412"/>
      <c r="L584" s="412"/>
      <c r="M584" s="412"/>
      <c r="N584" s="412"/>
      <c r="O584" s="412"/>
      <c r="P584" s="412"/>
      <c r="Q584" s="412"/>
      <c r="R584" s="412"/>
      <c r="S584" s="412"/>
      <c r="T584" s="412"/>
      <c r="U584" s="412"/>
      <c r="V584" s="412"/>
      <c r="W584" s="412"/>
      <c r="X584" s="412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</row>
    <row r="585" spans="2:62" ht="15.75" customHeight="1">
      <c r="B585" s="181"/>
      <c r="C585" s="412"/>
      <c r="D585" s="412"/>
      <c r="E585" s="412"/>
      <c r="F585" s="412"/>
      <c r="G585" s="412"/>
      <c r="H585" s="412"/>
      <c r="I585" s="412"/>
      <c r="J585" s="412"/>
      <c r="K585" s="412"/>
      <c r="L585" s="412"/>
      <c r="M585" s="412"/>
      <c r="N585" s="412"/>
      <c r="O585" s="412"/>
      <c r="P585" s="412"/>
      <c r="Q585" s="412"/>
      <c r="R585" s="412"/>
      <c r="S585" s="412"/>
      <c r="T585" s="412"/>
      <c r="U585" s="412"/>
      <c r="V585" s="412"/>
      <c r="W585" s="412"/>
      <c r="X585" s="412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</row>
    <row r="586" spans="2:62" ht="15.75" customHeight="1">
      <c r="B586" s="181"/>
      <c r="C586" s="412"/>
      <c r="D586" s="412"/>
      <c r="E586" s="412"/>
      <c r="F586" s="412"/>
      <c r="G586" s="412"/>
      <c r="H586" s="412"/>
      <c r="I586" s="412"/>
      <c r="J586" s="412"/>
      <c r="K586" s="412"/>
      <c r="L586" s="412"/>
      <c r="M586" s="412"/>
      <c r="N586" s="412"/>
      <c r="O586" s="412"/>
      <c r="P586" s="412"/>
      <c r="Q586" s="412"/>
      <c r="R586" s="412"/>
      <c r="S586" s="412"/>
      <c r="T586" s="412"/>
      <c r="U586" s="412"/>
      <c r="V586" s="412"/>
      <c r="W586" s="412"/>
      <c r="X586" s="412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</row>
    <row r="587" spans="2:62" ht="15.75" customHeight="1">
      <c r="B587" s="181"/>
      <c r="C587" s="412"/>
      <c r="D587" s="412"/>
      <c r="E587" s="412"/>
      <c r="F587" s="412"/>
      <c r="G587" s="412"/>
      <c r="H587" s="412"/>
      <c r="I587" s="412"/>
      <c r="J587" s="412"/>
      <c r="K587" s="412"/>
      <c r="L587" s="412"/>
      <c r="M587" s="412"/>
      <c r="N587" s="412"/>
      <c r="O587" s="412"/>
      <c r="P587" s="412"/>
      <c r="Q587" s="412"/>
      <c r="R587" s="412"/>
      <c r="S587" s="412"/>
      <c r="T587" s="412"/>
      <c r="U587" s="412"/>
      <c r="V587" s="412"/>
      <c r="W587" s="412"/>
      <c r="X587" s="412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</row>
    <row r="588" spans="2:62" ht="15.75" customHeight="1">
      <c r="B588" s="181"/>
      <c r="C588" s="412"/>
      <c r="D588" s="412"/>
      <c r="E588" s="412"/>
      <c r="F588" s="412"/>
      <c r="G588" s="412"/>
      <c r="H588" s="412"/>
      <c r="I588" s="412"/>
      <c r="J588" s="412"/>
      <c r="K588" s="412"/>
      <c r="L588" s="412"/>
      <c r="M588" s="412"/>
      <c r="N588" s="412"/>
      <c r="O588" s="412"/>
      <c r="P588" s="412"/>
      <c r="Q588" s="412"/>
      <c r="R588" s="412"/>
      <c r="S588" s="412"/>
      <c r="T588" s="412"/>
      <c r="U588" s="412"/>
      <c r="V588" s="412"/>
      <c r="W588" s="412"/>
      <c r="X588" s="412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</row>
    <row r="589" spans="2:62" ht="15.75" customHeight="1">
      <c r="B589" s="181"/>
      <c r="C589" s="412"/>
      <c r="D589" s="412"/>
      <c r="E589" s="412"/>
      <c r="F589" s="412"/>
      <c r="G589" s="412"/>
      <c r="H589" s="412"/>
      <c r="I589" s="412"/>
      <c r="J589" s="412"/>
      <c r="K589" s="412"/>
      <c r="L589" s="412"/>
      <c r="M589" s="412"/>
      <c r="N589" s="412"/>
      <c r="O589" s="412"/>
      <c r="P589" s="412"/>
      <c r="Q589" s="412"/>
      <c r="R589" s="412"/>
      <c r="S589" s="412"/>
      <c r="T589" s="412"/>
      <c r="U589" s="412"/>
      <c r="V589" s="412"/>
      <c r="W589" s="412"/>
      <c r="X589" s="412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</row>
    <row r="590" spans="2:62" ht="15.75" customHeight="1">
      <c r="B590" s="181"/>
      <c r="C590" s="412"/>
      <c r="D590" s="412"/>
      <c r="E590" s="412"/>
      <c r="F590" s="412"/>
      <c r="G590" s="412"/>
      <c r="H590" s="412"/>
      <c r="I590" s="412"/>
      <c r="J590" s="412"/>
      <c r="K590" s="412"/>
      <c r="L590" s="412"/>
      <c r="M590" s="412"/>
      <c r="N590" s="412"/>
      <c r="O590" s="412"/>
      <c r="P590" s="412"/>
      <c r="Q590" s="412"/>
      <c r="R590" s="412"/>
      <c r="S590" s="412"/>
      <c r="T590" s="412"/>
      <c r="U590" s="412"/>
      <c r="V590" s="412"/>
      <c r="W590" s="412"/>
      <c r="X590" s="412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</row>
    <row r="591" spans="2:62" ht="15.75" customHeight="1">
      <c r="B591" s="181"/>
      <c r="C591" s="412"/>
      <c r="D591" s="412"/>
      <c r="E591" s="412"/>
      <c r="F591" s="412"/>
      <c r="G591" s="412"/>
      <c r="H591" s="412"/>
      <c r="I591" s="412"/>
      <c r="J591" s="412"/>
      <c r="K591" s="412"/>
      <c r="L591" s="412"/>
      <c r="M591" s="412"/>
      <c r="N591" s="412"/>
      <c r="O591" s="412"/>
      <c r="P591" s="412"/>
      <c r="Q591" s="412"/>
      <c r="R591" s="412"/>
      <c r="S591" s="412"/>
      <c r="T591" s="412"/>
      <c r="U591" s="412"/>
      <c r="V591" s="412"/>
      <c r="W591" s="412"/>
      <c r="X591" s="412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</row>
    <row r="592" spans="2:62" ht="15.75" customHeight="1">
      <c r="B592" s="181"/>
      <c r="C592" s="412"/>
      <c r="D592" s="412"/>
      <c r="E592" s="412"/>
      <c r="F592" s="412"/>
      <c r="G592" s="412"/>
      <c r="H592" s="412"/>
      <c r="I592" s="412"/>
      <c r="J592" s="412"/>
      <c r="K592" s="412"/>
      <c r="L592" s="412"/>
      <c r="M592" s="412"/>
      <c r="N592" s="412"/>
      <c r="O592" s="412"/>
      <c r="P592" s="412"/>
      <c r="Q592" s="412"/>
      <c r="R592" s="412"/>
      <c r="S592" s="412"/>
      <c r="T592" s="412"/>
      <c r="U592" s="412"/>
      <c r="V592" s="412"/>
      <c r="W592" s="412"/>
      <c r="X592" s="412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</row>
    <row r="593" spans="2:62" ht="15.75" customHeight="1">
      <c r="B593" s="181"/>
      <c r="C593" s="412"/>
      <c r="D593" s="412"/>
      <c r="E593" s="412"/>
      <c r="F593" s="412"/>
      <c r="G593" s="412"/>
      <c r="H593" s="412"/>
      <c r="I593" s="412"/>
      <c r="J593" s="412"/>
      <c r="K593" s="412"/>
      <c r="L593" s="412"/>
      <c r="M593" s="412"/>
      <c r="N593" s="412"/>
      <c r="O593" s="412"/>
      <c r="P593" s="412"/>
      <c r="Q593" s="412"/>
      <c r="R593" s="412"/>
      <c r="S593" s="412"/>
      <c r="T593" s="412"/>
      <c r="U593" s="412"/>
      <c r="V593" s="412"/>
      <c r="W593" s="412"/>
      <c r="X593" s="412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</row>
    <row r="594" spans="2:62" ht="15.75" customHeight="1">
      <c r="B594" s="181"/>
      <c r="C594" s="412"/>
      <c r="D594" s="412"/>
      <c r="E594" s="412"/>
      <c r="F594" s="412"/>
      <c r="G594" s="412"/>
      <c r="H594" s="412"/>
      <c r="I594" s="412"/>
      <c r="J594" s="412"/>
      <c r="K594" s="412"/>
      <c r="L594" s="412"/>
      <c r="M594" s="412"/>
      <c r="N594" s="412"/>
      <c r="O594" s="412"/>
      <c r="P594" s="412"/>
      <c r="Q594" s="412"/>
      <c r="R594" s="412"/>
      <c r="S594" s="412"/>
      <c r="T594" s="412"/>
      <c r="U594" s="412"/>
      <c r="V594" s="412"/>
      <c r="W594" s="412"/>
      <c r="X594" s="412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</row>
    <row r="595" spans="2:62" ht="15.75" customHeight="1">
      <c r="B595" s="181"/>
      <c r="C595" s="412"/>
      <c r="D595" s="412"/>
      <c r="E595" s="412"/>
      <c r="F595" s="412"/>
      <c r="G595" s="412"/>
      <c r="H595" s="412"/>
      <c r="I595" s="412"/>
      <c r="J595" s="412"/>
      <c r="K595" s="412"/>
      <c r="L595" s="412"/>
      <c r="M595" s="412"/>
      <c r="N595" s="412"/>
      <c r="O595" s="412"/>
      <c r="P595" s="412"/>
      <c r="Q595" s="412"/>
      <c r="R595" s="412"/>
      <c r="S595" s="412"/>
      <c r="T595" s="412"/>
      <c r="U595" s="412"/>
      <c r="V595" s="412"/>
      <c r="W595" s="412"/>
      <c r="X595" s="412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</row>
    <row r="596" spans="2:62" ht="15.75" customHeight="1">
      <c r="B596" s="181"/>
      <c r="C596" s="412"/>
      <c r="D596" s="412"/>
      <c r="E596" s="412"/>
      <c r="F596" s="412"/>
      <c r="G596" s="412"/>
      <c r="H596" s="412"/>
      <c r="I596" s="412"/>
      <c r="J596" s="412"/>
      <c r="K596" s="412"/>
      <c r="L596" s="412"/>
      <c r="M596" s="412"/>
      <c r="N596" s="412"/>
      <c r="O596" s="412"/>
      <c r="P596" s="412"/>
      <c r="Q596" s="412"/>
      <c r="R596" s="412"/>
      <c r="S596" s="412"/>
      <c r="T596" s="412"/>
      <c r="U596" s="412"/>
      <c r="V596" s="412"/>
      <c r="W596" s="412"/>
      <c r="X596" s="412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</row>
    <row r="597" spans="2:62" ht="15.75" customHeight="1">
      <c r="B597" s="181"/>
      <c r="C597" s="412"/>
      <c r="D597" s="412"/>
      <c r="E597" s="412"/>
      <c r="F597" s="412"/>
      <c r="G597" s="412"/>
      <c r="H597" s="412"/>
      <c r="I597" s="412"/>
      <c r="J597" s="412"/>
      <c r="K597" s="412"/>
      <c r="L597" s="412"/>
      <c r="M597" s="412"/>
      <c r="N597" s="412"/>
      <c r="O597" s="412"/>
      <c r="P597" s="412"/>
      <c r="Q597" s="412"/>
      <c r="R597" s="412"/>
      <c r="S597" s="412"/>
      <c r="T597" s="412"/>
      <c r="U597" s="412"/>
      <c r="V597" s="412"/>
      <c r="W597" s="412"/>
      <c r="X597" s="412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</row>
    <row r="598" spans="2:62" ht="15.75" customHeight="1">
      <c r="B598" s="181"/>
      <c r="C598" s="412"/>
      <c r="D598" s="412"/>
      <c r="E598" s="412"/>
      <c r="F598" s="412"/>
      <c r="G598" s="412"/>
      <c r="H598" s="412"/>
      <c r="I598" s="412"/>
      <c r="J598" s="412"/>
      <c r="K598" s="412"/>
      <c r="L598" s="412"/>
      <c r="M598" s="412"/>
      <c r="N598" s="412"/>
      <c r="O598" s="412"/>
      <c r="P598" s="412"/>
      <c r="Q598" s="412"/>
      <c r="R598" s="412"/>
      <c r="S598" s="412"/>
      <c r="T598" s="412"/>
      <c r="U598" s="412"/>
      <c r="V598" s="412"/>
      <c r="W598" s="412"/>
      <c r="X598" s="412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</row>
    <row r="599" spans="2:62" ht="15.75" customHeight="1">
      <c r="B599" s="181"/>
      <c r="C599" s="412"/>
      <c r="D599" s="412"/>
      <c r="E599" s="412"/>
      <c r="F599" s="412"/>
      <c r="G599" s="412"/>
      <c r="H599" s="412"/>
      <c r="I599" s="412"/>
      <c r="J599" s="412"/>
      <c r="K599" s="412"/>
      <c r="L599" s="412"/>
      <c r="M599" s="412"/>
      <c r="N599" s="412"/>
      <c r="O599" s="412"/>
      <c r="P599" s="412"/>
      <c r="Q599" s="412"/>
      <c r="R599" s="412"/>
      <c r="S599" s="412"/>
      <c r="T599" s="412"/>
      <c r="U599" s="412"/>
      <c r="V599" s="412"/>
      <c r="W599" s="412"/>
      <c r="X599" s="412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</row>
    <row r="600" spans="2:62" ht="15.75" customHeight="1">
      <c r="B600" s="181"/>
      <c r="C600" s="412"/>
      <c r="D600" s="412"/>
      <c r="E600" s="412"/>
      <c r="F600" s="412"/>
      <c r="G600" s="412"/>
      <c r="H600" s="412"/>
      <c r="I600" s="412"/>
      <c r="J600" s="412"/>
      <c r="K600" s="412"/>
      <c r="L600" s="412"/>
      <c r="M600" s="412"/>
      <c r="N600" s="412"/>
      <c r="O600" s="412"/>
      <c r="P600" s="412"/>
      <c r="Q600" s="412"/>
      <c r="R600" s="412"/>
      <c r="S600" s="412"/>
      <c r="T600" s="412"/>
      <c r="U600" s="412"/>
      <c r="V600" s="412"/>
      <c r="W600" s="412"/>
      <c r="X600" s="412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</row>
    <row r="601" spans="2:62" ht="15.75" customHeight="1">
      <c r="B601" s="181"/>
      <c r="C601" s="412"/>
      <c r="D601" s="412"/>
      <c r="E601" s="412"/>
      <c r="F601" s="412"/>
      <c r="G601" s="412"/>
      <c r="H601" s="412"/>
      <c r="I601" s="412"/>
      <c r="J601" s="412"/>
      <c r="K601" s="412"/>
      <c r="L601" s="412"/>
      <c r="M601" s="412"/>
      <c r="N601" s="412"/>
      <c r="O601" s="412"/>
      <c r="P601" s="412"/>
      <c r="Q601" s="412"/>
      <c r="R601" s="412"/>
      <c r="S601" s="412"/>
      <c r="T601" s="412"/>
      <c r="U601" s="412"/>
      <c r="V601" s="412"/>
      <c r="W601" s="412"/>
      <c r="X601" s="412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</row>
    <row r="602" spans="2:62" ht="15.75" customHeight="1">
      <c r="B602" s="181"/>
      <c r="C602" s="412"/>
      <c r="D602" s="412"/>
      <c r="E602" s="412"/>
      <c r="F602" s="412"/>
      <c r="G602" s="412"/>
      <c r="H602" s="412"/>
      <c r="I602" s="412"/>
      <c r="J602" s="412"/>
      <c r="K602" s="412"/>
      <c r="L602" s="412"/>
      <c r="M602" s="412"/>
      <c r="N602" s="412"/>
      <c r="O602" s="412"/>
      <c r="P602" s="412"/>
      <c r="Q602" s="412"/>
      <c r="R602" s="412"/>
      <c r="S602" s="412"/>
      <c r="T602" s="412"/>
      <c r="U602" s="412"/>
      <c r="V602" s="412"/>
      <c r="W602" s="412"/>
      <c r="X602" s="412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</row>
    <row r="603" spans="2:62" ht="15.75" customHeight="1">
      <c r="B603" s="181"/>
      <c r="C603" s="412"/>
      <c r="D603" s="412"/>
      <c r="E603" s="412"/>
      <c r="F603" s="412"/>
      <c r="G603" s="412"/>
      <c r="H603" s="412"/>
      <c r="I603" s="412"/>
      <c r="J603" s="412"/>
      <c r="K603" s="412"/>
      <c r="L603" s="412"/>
      <c r="M603" s="412"/>
      <c r="N603" s="412"/>
      <c r="O603" s="412"/>
      <c r="P603" s="412"/>
      <c r="Q603" s="412"/>
      <c r="R603" s="412"/>
      <c r="S603" s="412"/>
      <c r="T603" s="412"/>
      <c r="U603" s="412"/>
      <c r="V603" s="412"/>
      <c r="W603" s="412"/>
      <c r="X603" s="412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</row>
    <row r="604" spans="2:62" ht="15.75" customHeight="1">
      <c r="B604" s="181"/>
      <c r="C604" s="412"/>
      <c r="D604" s="412"/>
      <c r="E604" s="412"/>
      <c r="F604" s="412"/>
      <c r="G604" s="412"/>
      <c r="H604" s="412"/>
      <c r="I604" s="412"/>
      <c r="J604" s="412"/>
      <c r="K604" s="412"/>
      <c r="L604" s="412"/>
      <c r="M604" s="412"/>
      <c r="N604" s="412"/>
      <c r="O604" s="412"/>
      <c r="P604" s="412"/>
      <c r="Q604" s="412"/>
      <c r="R604" s="412"/>
      <c r="S604" s="412"/>
      <c r="T604" s="412"/>
      <c r="U604" s="412"/>
      <c r="V604" s="412"/>
      <c r="W604" s="412"/>
      <c r="X604" s="412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</row>
    <row r="605" spans="2:62" ht="15.75" customHeight="1">
      <c r="B605" s="181"/>
      <c r="C605" s="412"/>
      <c r="D605" s="412"/>
      <c r="E605" s="412"/>
      <c r="F605" s="412"/>
      <c r="G605" s="412"/>
      <c r="H605" s="412"/>
      <c r="I605" s="412"/>
      <c r="J605" s="412"/>
      <c r="K605" s="412"/>
      <c r="L605" s="412"/>
      <c r="M605" s="412"/>
      <c r="N605" s="412"/>
      <c r="O605" s="412"/>
      <c r="P605" s="412"/>
      <c r="Q605" s="412"/>
      <c r="R605" s="412"/>
      <c r="S605" s="412"/>
      <c r="T605" s="412"/>
      <c r="U605" s="412"/>
      <c r="V605" s="412"/>
      <c r="W605" s="412"/>
      <c r="X605" s="412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</row>
    <row r="606" spans="2:62" ht="15.75" customHeight="1">
      <c r="B606" s="181"/>
      <c r="C606" s="412"/>
      <c r="D606" s="412"/>
      <c r="E606" s="412"/>
      <c r="F606" s="412"/>
      <c r="G606" s="412"/>
      <c r="H606" s="412"/>
      <c r="I606" s="412"/>
      <c r="J606" s="412"/>
      <c r="K606" s="412"/>
      <c r="L606" s="412"/>
      <c r="M606" s="412"/>
      <c r="N606" s="412"/>
      <c r="O606" s="412"/>
      <c r="P606" s="412"/>
      <c r="Q606" s="412"/>
      <c r="R606" s="412"/>
      <c r="S606" s="412"/>
      <c r="T606" s="412"/>
      <c r="U606" s="412"/>
      <c r="V606" s="412"/>
      <c r="W606" s="412"/>
      <c r="X606" s="412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</row>
    <row r="607" spans="2:62" ht="15.75" customHeight="1">
      <c r="B607" s="181"/>
      <c r="C607" s="412"/>
      <c r="D607" s="412"/>
      <c r="E607" s="412"/>
      <c r="F607" s="412"/>
      <c r="G607" s="412"/>
      <c r="H607" s="412"/>
      <c r="I607" s="412"/>
      <c r="J607" s="412"/>
      <c r="K607" s="412"/>
      <c r="L607" s="412"/>
      <c r="M607" s="412"/>
      <c r="N607" s="412"/>
      <c r="O607" s="412"/>
      <c r="P607" s="412"/>
      <c r="Q607" s="412"/>
      <c r="R607" s="412"/>
      <c r="S607" s="412"/>
      <c r="T607" s="412"/>
      <c r="U607" s="412"/>
      <c r="V607" s="412"/>
      <c r="W607" s="412"/>
      <c r="X607" s="412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</row>
    <row r="608" spans="2:62" ht="15.75" customHeight="1">
      <c r="B608" s="181"/>
      <c r="C608" s="412"/>
      <c r="D608" s="412"/>
      <c r="E608" s="412"/>
      <c r="F608" s="412"/>
      <c r="G608" s="412"/>
      <c r="H608" s="412"/>
      <c r="I608" s="412"/>
      <c r="J608" s="412"/>
      <c r="K608" s="412"/>
      <c r="L608" s="412"/>
      <c r="M608" s="412"/>
      <c r="N608" s="412"/>
      <c r="O608" s="412"/>
      <c r="P608" s="412"/>
      <c r="Q608" s="412"/>
      <c r="R608" s="412"/>
      <c r="S608" s="412"/>
      <c r="T608" s="412"/>
      <c r="U608" s="412"/>
      <c r="V608" s="412"/>
      <c r="W608" s="412"/>
      <c r="X608" s="412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</row>
    <row r="609" spans="2:62" ht="15.75" customHeight="1">
      <c r="B609" s="181"/>
      <c r="C609" s="412"/>
      <c r="D609" s="412"/>
      <c r="E609" s="412"/>
      <c r="F609" s="412"/>
      <c r="G609" s="412"/>
      <c r="H609" s="412"/>
      <c r="I609" s="412"/>
      <c r="J609" s="412"/>
      <c r="K609" s="412"/>
      <c r="L609" s="412"/>
      <c r="M609" s="412"/>
      <c r="N609" s="412"/>
      <c r="O609" s="412"/>
      <c r="P609" s="412"/>
      <c r="Q609" s="412"/>
      <c r="R609" s="412"/>
      <c r="S609" s="412"/>
      <c r="T609" s="412"/>
      <c r="U609" s="412"/>
      <c r="V609" s="412"/>
      <c r="W609" s="412"/>
      <c r="X609" s="412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</row>
    <row r="610" spans="2:62" ht="15.75" customHeight="1">
      <c r="B610" s="181"/>
      <c r="C610" s="412"/>
      <c r="D610" s="412"/>
      <c r="E610" s="412"/>
      <c r="F610" s="412"/>
      <c r="G610" s="412"/>
      <c r="H610" s="412"/>
      <c r="I610" s="412"/>
      <c r="J610" s="412"/>
      <c r="K610" s="412"/>
      <c r="L610" s="412"/>
      <c r="M610" s="412"/>
      <c r="N610" s="412"/>
      <c r="O610" s="412"/>
      <c r="P610" s="412"/>
      <c r="Q610" s="412"/>
      <c r="R610" s="412"/>
      <c r="S610" s="412"/>
      <c r="T610" s="412"/>
      <c r="U610" s="412"/>
      <c r="V610" s="412"/>
      <c r="W610" s="412"/>
      <c r="X610" s="412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</row>
    <row r="611" spans="2:62" ht="15.75" customHeight="1">
      <c r="B611" s="181"/>
      <c r="C611" s="412"/>
      <c r="D611" s="412"/>
      <c r="E611" s="412"/>
      <c r="F611" s="412"/>
      <c r="G611" s="412"/>
      <c r="H611" s="412"/>
      <c r="I611" s="412"/>
      <c r="J611" s="412"/>
      <c r="K611" s="412"/>
      <c r="L611" s="412"/>
      <c r="M611" s="412"/>
      <c r="N611" s="412"/>
      <c r="O611" s="412"/>
      <c r="P611" s="412"/>
      <c r="Q611" s="412"/>
      <c r="R611" s="412"/>
      <c r="S611" s="412"/>
      <c r="T611" s="412"/>
      <c r="U611" s="412"/>
      <c r="V611" s="412"/>
      <c r="W611" s="412"/>
      <c r="X611" s="412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</row>
    <row r="612" spans="2:62" ht="15.75" customHeight="1">
      <c r="B612" s="181"/>
      <c r="C612" s="412"/>
      <c r="D612" s="412"/>
      <c r="E612" s="412"/>
      <c r="F612" s="412"/>
      <c r="G612" s="412"/>
      <c r="H612" s="412"/>
      <c r="I612" s="412"/>
      <c r="J612" s="412"/>
      <c r="K612" s="412"/>
      <c r="L612" s="412"/>
      <c r="M612" s="412"/>
      <c r="N612" s="412"/>
      <c r="O612" s="412"/>
      <c r="P612" s="412"/>
      <c r="Q612" s="412"/>
      <c r="R612" s="412"/>
      <c r="S612" s="412"/>
      <c r="T612" s="412"/>
      <c r="U612" s="412"/>
      <c r="V612" s="412"/>
      <c r="W612" s="412"/>
      <c r="X612" s="412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</row>
    <row r="613" spans="2:62" ht="15.75" customHeight="1">
      <c r="B613" s="181"/>
      <c r="C613" s="412"/>
      <c r="D613" s="412"/>
      <c r="E613" s="412"/>
      <c r="F613" s="412"/>
      <c r="G613" s="412"/>
      <c r="H613" s="412"/>
      <c r="I613" s="412"/>
      <c r="J613" s="412"/>
      <c r="K613" s="412"/>
      <c r="L613" s="412"/>
      <c r="M613" s="412"/>
      <c r="N613" s="412"/>
      <c r="O613" s="412"/>
      <c r="P613" s="412"/>
      <c r="Q613" s="412"/>
      <c r="R613" s="412"/>
      <c r="S613" s="412"/>
      <c r="T613" s="412"/>
      <c r="U613" s="412"/>
      <c r="V613" s="412"/>
      <c r="W613" s="412"/>
      <c r="X613" s="412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</row>
    <row r="614" spans="2:62" ht="15.75" customHeight="1">
      <c r="B614" s="181"/>
      <c r="C614" s="412"/>
      <c r="D614" s="412"/>
      <c r="E614" s="412"/>
      <c r="F614" s="412"/>
      <c r="G614" s="412"/>
      <c r="H614" s="412"/>
      <c r="I614" s="412"/>
      <c r="J614" s="412"/>
      <c r="K614" s="412"/>
      <c r="L614" s="412"/>
      <c r="M614" s="412"/>
      <c r="N614" s="412"/>
      <c r="O614" s="412"/>
      <c r="P614" s="412"/>
      <c r="Q614" s="412"/>
      <c r="R614" s="412"/>
      <c r="S614" s="412"/>
      <c r="T614" s="412"/>
      <c r="U614" s="412"/>
      <c r="V614" s="412"/>
      <c r="W614" s="412"/>
      <c r="X614" s="412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</row>
    <row r="615" spans="2:62" ht="15.75" customHeight="1">
      <c r="B615" s="181"/>
      <c r="C615" s="412"/>
      <c r="D615" s="412"/>
      <c r="E615" s="412"/>
      <c r="F615" s="412"/>
      <c r="G615" s="412"/>
      <c r="H615" s="412"/>
      <c r="I615" s="412"/>
      <c r="J615" s="412"/>
      <c r="K615" s="412"/>
      <c r="L615" s="412"/>
      <c r="M615" s="412"/>
      <c r="N615" s="412"/>
      <c r="O615" s="412"/>
      <c r="P615" s="412"/>
      <c r="Q615" s="412"/>
      <c r="R615" s="412"/>
      <c r="S615" s="412"/>
      <c r="T615" s="412"/>
      <c r="U615" s="412"/>
      <c r="V615" s="412"/>
      <c r="W615" s="412"/>
      <c r="X615" s="412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</row>
    <row r="616" spans="2:62" ht="15.75" customHeight="1">
      <c r="B616" s="181"/>
      <c r="C616" s="412"/>
      <c r="D616" s="412"/>
      <c r="E616" s="412"/>
      <c r="F616" s="412"/>
      <c r="G616" s="412"/>
      <c r="H616" s="412"/>
      <c r="I616" s="412"/>
      <c r="J616" s="412"/>
      <c r="K616" s="412"/>
      <c r="L616" s="412"/>
      <c r="M616" s="412"/>
      <c r="N616" s="412"/>
      <c r="O616" s="412"/>
      <c r="P616" s="412"/>
      <c r="Q616" s="412"/>
      <c r="R616" s="412"/>
      <c r="S616" s="412"/>
      <c r="T616" s="412"/>
      <c r="U616" s="412"/>
      <c r="V616" s="412"/>
      <c r="W616" s="412"/>
      <c r="X616" s="412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</row>
    <row r="617" spans="2:62" ht="15.75" customHeight="1">
      <c r="B617" s="181"/>
      <c r="C617" s="412"/>
      <c r="D617" s="412"/>
      <c r="E617" s="412"/>
      <c r="F617" s="412"/>
      <c r="G617" s="412"/>
      <c r="H617" s="412"/>
      <c r="I617" s="412"/>
      <c r="J617" s="412"/>
      <c r="K617" s="412"/>
      <c r="L617" s="412"/>
      <c r="M617" s="412"/>
      <c r="N617" s="412"/>
      <c r="O617" s="412"/>
      <c r="P617" s="412"/>
      <c r="Q617" s="412"/>
      <c r="R617" s="412"/>
      <c r="S617" s="412"/>
      <c r="T617" s="412"/>
      <c r="U617" s="412"/>
      <c r="V617" s="412"/>
      <c r="W617" s="412"/>
      <c r="X617" s="412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</row>
    <row r="618" spans="2:62" ht="15.75" customHeight="1">
      <c r="B618" s="181"/>
      <c r="C618" s="412"/>
      <c r="D618" s="412"/>
      <c r="E618" s="412"/>
      <c r="F618" s="412"/>
      <c r="G618" s="412"/>
      <c r="H618" s="412"/>
      <c r="I618" s="412"/>
      <c r="J618" s="412"/>
      <c r="K618" s="412"/>
      <c r="L618" s="412"/>
      <c r="M618" s="412"/>
      <c r="N618" s="412"/>
      <c r="O618" s="412"/>
      <c r="P618" s="412"/>
      <c r="Q618" s="412"/>
      <c r="R618" s="412"/>
      <c r="S618" s="412"/>
      <c r="T618" s="412"/>
      <c r="U618" s="412"/>
      <c r="V618" s="412"/>
      <c r="W618" s="412"/>
      <c r="X618" s="412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</row>
    <row r="619" spans="2:62" ht="15.75" customHeight="1">
      <c r="B619" s="181"/>
      <c r="C619" s="412"/>
      <c r="D619" s="412"/>
      <c r="E619" s="412"/>
      <c r="F619" s="412"/>
      <c r="G619" s="412"/>
      <c r="H619" s="412"/>
      <c r="I619" s="412"/>
      <c r="J619" s="412"/>
      <c r="K619" s="412"/>
      <c r="L619" s="412"/>
      <c r="M619" s="412"/>
      <c r="N619" s="412"/>
      <c r="O619" s="412"/>
      <c r="P619" s="412"/>
      <c r="Q619" s="412"/>
      <c r="R619" s="412"/>
      <c r="S619" s="412"/>
      <c r="T619" s="412"/>
      <c r="U619" s="412"/>
      <c r="V619" s="412"/>
      <c r="W619" s="412"/>
      <c r="X619" s="412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</row>
    <row r="620" spans="2:62" ht="15.75" customHeight="1">
      <c r="B620" s="181"/>
      <c r="C620" s="412"/>
      <c r="D620" s="412"/>
      <c r="E620" s="412"/>
      <c r="F620" s="412"/>
      <c r="G620" s="412"/>
      <c r="H620" s="412"/>
      <c r="I620" s="412"/>
      <c r="J620" s="412"/>
      <c r="K620" s="412"/>
      <c r="L620" s="412"/>
      <c r="M620" s="412"/>
      <c r="N620" s="412"/>
      <c r="O620" s="412"/>
      <c r="P620" s="412"/>
      <c r="Q620" s="412"/>
      <c r="R620" s="412"/>
      <c r="S620" s="412"/>
      <c r="T620" s="412"/>
      <c r="U620" s="412"/>
      <c r="V620" s="412"/>
      <c r="W620" s="412"/>
      <c r="X620" s="412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</row>
    <row r="621" spans="2:62" ht="15.75" customHeight="1">
      <c r="B621" s="181"/>
      <c r="C621" s="412"/>
      <c r="D621" s="412"/>
      <c r="E621" s="412"/>
      <c r="F621" s="412"/>
      <c r="G621" s="412"/>
      <c r="H621" s="412"/>
      <c r="I621" s="412"/>
      <c r="J621" s="412"/>
      <c r="K621" s="412"/>
      <c r="L621" s="412"/>
      <c r="M621" s="412"/>
      <c r="N621" s="412"/>
      <c r="O621" s="412"/>
      <c r="P621" s="412"/>
      <c r="Q621" s="412"/>
      <c r="R621" s="412"/>
      <c r="S621" s="412"/>
      <c r="T621" s="412"/>
      <c r="U621" s="412"/>
      <c r="V621" s="412"/>
      <c r="W621" s="412"/>
      <c r="X621" s="412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</row>
    <row r="622" spans="2:62" ht="15.75" customHeight="1">
      <c r="B622" s="181"/>
      <c r="C622" s="412"/>
      <c r="D622" s="412"/>
      <c r="E622" s="412"/>
      <c r="F622" s="412"/>
      <c r="G622" s="412"/>
      <c r="H622" s="412"/>
      <c r="I622" s="412"/>
      <c r="J622" s="412"/>
      <c r="K622" s="412"/>
      <c r="L622" s="412"/>
      <c r="M622" s="412"/>
      <c r="N622" s="412"/>
      <c r="O622" s="412"/>
      <c r="P622" s="412"/>
      <c r="Q622" s="412"/>
      <c r="R622" s="412"/>
      <c r="S622" s="412"/>
      <c r="T622" s="412"/>
      <c r="U622" s="412"/>
      <c r="V622" s="412"/>
      <c r="W622" s="412"/>
      <c r="X622" s="412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</row>
    <row r="623" spans="2:62" ht="15.75" customHeight="1">
      <c r="B623" s="181"/>
      <c r="C623" s="412"/>
      <c r="D623" s="412"/>
      <c r="E623" s="412"/>
      <c r="F623" s="412"/>
      <c r="G623" s="412"/>
      <c r="H623" s="412"/>
      <c r="I623" s="412"/>
      <c r="J623" s="412"/>
      <c r="K623" s="412"/>
      <c r="L623" s="412"/>
      <c r="M623" s="412"/>
      <c r="N623" s="412"/>
      <c r="O623" s="412"/>
      <c r="P623" s="412"/>
      <c r="Q623" s="412"/>
      <c r="R623" s="412"/>
      <c r="S623" s="412"/>
      <c r="T623" s="412"/>
      <c r="U623" s="412"/>
      <c r="V623" s="412"/>
      <c r="W623" s="412"/>
      <c r="X623" s="412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</row>
    <row r="624" spans="2:62" ht="15.75" customHeight="1">
      <c r="B624" s="181"/>
      <c r="C624" s="412"/>
      <c r="D624" s="412"/>
      <c r="E624" s="412"/>
      <c r="F624" s="412"/>
      <c r="G624" s="412"/>
      <c r="H624" s="412"/>
      <c r="I624" s="412"/>
      <c r="J624" s="412"/>
      <c r="K624" s="412"/>
      <c r="L624" s="412"/>
      <c r="M624" s="412"/>
      <c r="N624" s="412"/>
      <c r="O624" s="412"/>
      <c r="P624" s="412"/>
      <c r="Q624" s="412"/>
      <c r="R624" s="412"/>
      <c r="S624" s="412"/>
      <c r="T624" s="412"/>
      <c r="U624" s="412"/>
      <c r="V624" s="412"/>
      <c r="W624" s="412"/>
      <c r="X624" s="412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</row>
    <row r="625" spans="2:62" ht="15.75" customHeight="1">
      <c r="B625" s="181"/>
      <c r="C625" s="412"/>
      <c r="D625" s="412"/>
      <c r="E625" s="412"/>
      <c r="F625" s="412"/>
      <c r="G625" s="412"/>
      <c r="H625" s="412"/>
      <c r="I625" s="412"/>
      <c r="J625" s="412"/>
      <c r="K625" s="412"/>
      <c r="L625" s="412"/>
      <c r="M625" s="412"/>
      <c r="N625" s="412"/>
      <c r="O625" s="412"/>
      <c r="P625" s="412"/>
      <c r="Q625" s="412"/>
      <c r="R625" s="412"/>
      <c r="S625" s="412"/>
      <c r="T625" s="412"/>
      <c r="U625" s="412"/>
      <c r="V625" s="412"/>
      <c r="W625" s="412"/>
      <c r="X625" s="412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</row>
    <row r="626" spans="2:62" ht="15.75" customHeight="1">
      <c r="B626" s="181"/>
      <c r="C626" s="412"/>
      <c r="D626" s="412"/>
      <c r="E626" s="412"/>
      <c r="F626" s="412"/>
      <c r="G626" s="412"/>
      <c r="H626" s="412"/>
      <c r="I626" s="412"/>
      <c r="J626" s="412"/>
      <c r="K626" s="412"/>
      <c r="L626" s="412"/>
      <c r="M626" s="412"/>
      <c r="N626" s="412"/>
      <c r="O626" s="412"/>
      <c r="P626" s="412"/>
      <c r="Q626" s="412"/>
      <c r="R626" s="412"/>
      <c r="S626" s="412"/>
      <c r="T626" s="412"/>
      <c r="U626" s="412"/>
      <c r="V626" s="412"/>
      <c r="W626" s="412"/>
      <c r="X626" s="412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</row>
    <row r="627" spans="2:62" ht="15.75" customHeight="1">
      <c r="B627" s="181"/>
      <c r="C627" s="412"/>
      <c r="D627" s="412"/>
      <c r="E627" s="412"/>
      <c r="F627" s="412"/>
      <c r="G627" s="412"/>
      <c r="H627" s="412"/>
      <c r="I627" s="412"/>
      <c r="J627" s="412"/>
      <c r="K627" s="412"/>
      <c r="L627" s="412"/>
      <c r="M627" s="412"/>
      <c r="N627" s="412"/>
      <c r="O627" s="412"/>
      <c r="P627" s="412"/>
      <c r="Q627" s="412"/>
      <c r="R627" s="412"/>
      <c r="S627" s="412"/>
      <c r="T627" s="412"/>
      <c r="U627" s="412"/>
      <c r="V627" s="412"/>
      <c r="W627" s="412"/>
      <c r="X627" s="412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</row>
    <row r="628" spans="2:62" ht="15.75" customHeight="1">
      <c r="B628" s="181"/>
      <c r="C628" s="412"/>
      <c r="D628" s="412"/>
      <c r="E628" s="412"/>
      <c r="F628" s="412"/>
      <c r="G628" s="412"/>
      <c r="H628" s="412"/>
      <c r="I628" s="412"/>
      <c r="J628" s="412"/>
      <c r="K628" s="412"/>
      <c r="L628" s="412"/>
      <c r="M628" s="412"/>
      <c r="N628" s="412"/>
      <c r="O628" s="412"/>
      <c r="P628" s="412"/>
      <c r="Q628" s="412"/>
      <c r="R628" s="412"/>
      <c r="S628" s="412"/>
      <c r="T628" s="412"/>
      <c r="U628" s="412"/>
      <c r="V628" s="412"/>
      <c r="W628" s="412"/>
      <c r="X628" s="412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</row>
    <row r="629" spans="2:62" ht="15.75" customHeight="1">
      <c r="B629" s="181"/>
      <c r="C629" s="412"/>
      <c r="D629" s="412"/>
      <c r="E629" s="412"/>
      <c r="F629" s="412"/>
      <c r="G629" s="412"/>
      <c r="H629" s="412"/>
      <c r="I629" s="412"/>
      <c r="J629" s="412"/>
      <c r="K629" s="412"/>
      <c r="L629" s="412"/>
      <c r="M629" s="412"/>
      <c r="N629" s="412"/>
      <c r="O629" s="412"/>
      <c r="P629" s="412"/>
      <c r="Q629" s="412"/>
      <c r="R629" s="412"/>
      <c r="S629" s="412"/>
      <c r="T629" s="412"/>
      <c r="U629" s="412"/>
      <c r="V629" s="412"/>
      <c r="W629" s="412"/>
      <c r="X629" s="412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</row>
    <row r="630" spans="2:62" ht="15.75" customHeight="1">
      <c r="B630" s="181"/>
      <c r="C630" s="412"/>
      <c r="D630" s="412"/>
      <c r="E630" s="412"/>
      <c r="F630" s="412"/>
      <c r="G630" s="412"/>
      <c r="H630" s="412"/>
      <c r="I630" s="412"/>
      <c r="J630" s="412"/>
      <c r="K630" s="412"/>
      <c r="L630" s="412"/>
      <c r="M630" s="412"/>
      <c r="N630" s="412"/>
      <c r="O630" s="412"/>
      <c r="P630" s="412"/>
      <c r="Q630" s="412"/>
      <c r="R630" s="412"/>
      <c r="S630" s="412"/>
      <c r="T630" s="412"/>
      <c r="U630" s="412"/>
      <c r="V630" s="412"/>
      <c r="W630" s="412"/>
      <c r="X630" s="412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</row>
    <row r="631" spans="2:62" ht="15.75" customHeight="1">
      <c r="B631" s="181"/>
      <c r="C631" s="412"/>
      <c r="D631" s="412"/>
      <c r="E631" s="412"/>
      <c r="F631" s="412"/>
      <c r="G631" s="412"/>
      <c r="H631" s="412"/>
      <c r="I631" s="412"/>
      <c r="J631" s="412"/>
      <c r="K631" s="412"/>
      <c r="L631" s="412"/>
      <c r="M631" s="412"/>
      <c r="N631" s="412"/>
      <c r="O631" s="412"/>
      <c r="P631" s="412"/>
      <c r="Q631" s="412"/>
      <c r="R631" s="412"/>
      <c r="S631" s="412"/>
      <c r="T631" s="412"/>
      <c r="U631" s="412"/>
      <c r="V631" s="412"/>
      <c r="W631" s="412"/>
      <c r="X631" s="412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</row>
    <row r="632" spans="2:62" ht="15.75" customHeight="1">
      <c r="B632" s="181"/>
      <c r="C632" s="412"/>
      <c r="D632" s="412"/>
      <c r="E632" s="412"/>
      <c r="F632" s="412"/>
      <c r="G632" s="412"/>
      <c r="H632" s="412"/>
      <c r="I632" s="412"/>
      <c r="J632" s="412"/>
      <c r="K632" s="412"/>
      <c r="L632" s="412"/>
      <c r="M632" s="412"/>
      <c r="N632" s="412"/>
      <c r="O632" s="412"/>
      <c r="P632" s="412"/>
      <c r="Q632" s="412"/>
      <c r="R632" s="412"/>
      <c r="S632" s="412"/>
      <c r="T632" s="412"/>
      <c r="U632" s="412"/>
      <c r="V632" s="412"/>
      <c r="W632" s="412"/>
      <c r="X632" s="412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</row>
    <row r="633" spans="2:62" ht="15.75" customHeight="1">
      <c r="B633" s="181"/>
      <c r="C633" s="412"/>
      <c r="D633" s="412"/>
      <c r="E633" s="412"/>
      <c r="F633" s="412"/>
      <c r="G633" s="412"/>
      <c r="H633" s="412"/>
      <c r="I633" s="412"/>
      <c r="J633" s="412"/>
      <c r="K633" s="412"/>
      <c r="L633" s="412"/>
      <c r="M633" s="412"/>
      <c r="N633" s="412"/>
      <c r="O633" s="412"/>
      <c r="P633" s="412"/>
      <c r="Q633" s="412"/>
      <c r="R633" s="412"/>
      <c r="S633" s="412"/>
      <c r="T633" s="412"/>
      <c r="U633" s="412"/>
      <c r="V633" s="412"/>
      <c r="W633" s="412"/>
      <c r="X633" s="412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</row>
    <row r="634" spans="2:62" ht="15.75" customHeight="1">
      <c r="B634" s="181"/>
      <c r="C634" s="412"/>
      <c r="D634" s="412"/>
      <c r="E634" s="412"/>
      <c r="F634" s="412"/>
      <c r="G634" s="412"/>
      <c r="H634" s="412"/>
      <c r="I634" s="412"/>
      <c r="J634" s="412"/>
      <c r="K634" s="412"/>
      <c r="L634" s="412"/>
      <c r="M634" s="412"/>
      <c r="N634" s="412"/>
      <c r="O634" s="412"/>
      <c r="P634" s="412"/>
      <c r="Q634" s="412"/>
      <c r="R634" s="412"/>
      <c r="S634" s="412"/>
      <c r="T634" s="412"/>
      <c r="U634" s="412"/>
      <c r="V634" s="412"/>
      <c r="W634" s="412"/>
      <c r="X634" s="412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</row>
    <row r="635" spans="2:62" ht="15.75" customHeight="1">
      <c r="B635" s="181"/>
      <c r="C635" s="412"/>
      <c r="D635" s="412"/>
      <c r="E635" s="412"/>
      <c r="F635" s="412"/>
      <c r="G635" s="412"/>
      <c r="H635" s="412"/>
      <c r="I635" s="412"/>
      <c r="J635" s="412"/>
      <c r="K635" s="412"/>
      <c r="L635" s="412"/>
      <c r="M635" s="412"/>
      <c r="N635" s="412"/>
      <c r="O635" s="412"/>
      <c r="P635" s="412"/>
      <c r="Q635" s="412"/>
      <c r="R635" s="412"/>
      <c r="S635" s="412"/>
      <c r="T635" s="412"/>
      <c r="U635" s="412"/>
      <c r="V635" s="412"/>
      <c r="W635" s="412"/>
      <c r="X635" s="412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</row>
    <row r="636" spans="2:62" ht="15.75" customHeight="1">
      <c r="B636" s="181"/>
      <c r="C636" s="412"/>
      <c r="D636" s="412"/>
      <c r="E636" s="412"/>
      <c r="F636" s="412"/>
      <c r="G636" s="412"/>
      <c r="H636" s="412"/>
      <c r="I636" s="412"/>
      <c r="J636" s="412"/>
      <c r="K636" s="412"/>
      <c r="L636" s="412"/>
      <c r="M636" s="412"/>
      <c r="N636" s="412"/>
      <c r="O636" s="412"/>
      <c r="P636" s="412"/>
      <c r="Q636" s="412"/>
      <c r="R636" s="412"/>
      <c r="S636" s="412"/>
      <c r="T636" s="412"/>
      <c r="U636" s="412"/>
      <c r="V636" s="412"/>
      <c r="W636" s="412"/>
      <c r="X636" s="412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</row>
    <row r="637" spans="2:62" ht="15.75" customHeight="1">
      <c r="B637" s="181"/>
      <c r="C637" s="412"/>
      <c r="D637" s="412"/>
      <c r="E637" s="412"/>
      <c r="F637" s="412"/>
      <c r="G637" s="412"/>
      <c r="H637" s="412"/>
      <c r="I637" s="412"/>
      <c r="J637" s="412"/>
      <c r="K637" s="412"/>
      <c r="L637" s="412"/>
      <c r="M637" s="412"/>
      <c r="N637" s="412"/>
      <c r="O637" s="412"/>
      <c r="P637" s="412"/>
      <c r="Q637" s="412"/>
      <c r="R637" s="412"/>
      <c r="S637" s="412"/>
      <c r="T637" s="412"/>
      <c r="U637" s="412"/>
      <c r="V637" s="412"/>
      <c r="W637" s="412"/>
      <c r="X637" s="412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</row>
    <row r="638" spans="2:62" ht="15.75" customHeight="1">
      <c r="B638" s="181"/>
      <c r="C638" s="412"/>
      <c r="D638" s="412"/>
      <c r="E638" s="412"/>
      <c r="F638" s="412"/>
      <c r="G638" s="412"/>
      <c r="H638" s="412"/>
      <c r="I638" s="412"/>
      <c r="J638" s="412"/>
      <c r="K638" s="412"/>
      <c r="L638" s="412"/>
      <c r="M638" s="412"/>
      <c r="N638" s="412"/>
      <c r="O638" s="412"/>
      <c r="P638" s="412"/>
      <c r="Q638" s="412"/>
      <c r="R638" s="412"/>
      <c r="S638" s="412"/>
      <c r="T638" s="412"/>
      <c r="U638" s="412"/>
      <c r="V638" s="412"/>
      <c r="W638" s="412"/>
      <c r="X638" s="412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</row>
    <row r="639" spans="2:62" ht="15.75" customHeight="1">
      <c r="B639" s="181"/>
      <c r="C639" s="412"/>
      <c r="D639" s="412"/>
      <c r="E639" s="412"/>
      <c r="F639" s="412"/>
      <c r="G639" s="412"/>
      <c r="H639" s="412"/>
      <c r="I639" s="412"/>
      <c r="J639" s="412"/>
      <c r="K639" s="412"/>
      <c r="L639" s="412"/>
      <c r="M639" s="412"/>
      <c r="N639" s="412"/>
      <c r="O639" s="412"/>
      <c r="P639" s="412"/>
      <c r="Q639" s="412"/>
      <c r="R639" s="412"/>
      <c r="S639" s="412"/>
      <c r="T639" s="412"/>
      <c r="U639" s="412"/>
      <c r="V639" s="412"/>
      <c r="W639" s="412"/>
      <c r="X639" s="412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</row>
    <row r="640" spans="2:62" ht="15.75" customHeight="1">
      <c r="B640" s="181"/>
      <c r="C640" s="412"/>
      <c r="D640" s="412"/>
      <c r="E640" s="412"/>
      <c r="F640" s="412"/>
      <c r="G640" s="412"/>
      <c r="H640" s="412"/>
      <c r="I640" s="412"/>
      <c r="J640" s="412"/>
      <c r="K640" s="412"/>
      <c r="L640" s="412"/>
      <c r="M640" s="412"/>
      <c r="N640" s="412"/>
      <c r="O640" s="412"/>
      <c r="P640" s="412"/>
      <c r="Q640" s="412"/>
      <c r="R640" s="412"/>
      <c r="S640" s="412"/>
      <c r="T640" s="412"/>
      <c r="U640" s="412"/>
      <c r="V640" s="412"/>
      <c r="W640" s="412"/>
      <c r="X640" s="412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</row>
    <row r="641" spans="2:62" ht="15.75" customHeight="1">
      <c r="B641" s="181"/>
      <c r="C641" s="412"/>
      <c r="D641" s="412"/>
      <c r="E641" s="412"/>
      <c r="F641" s="412"/>
      <c r="G641" s="412"/>
      <c r="H641" s="412"/>
      <c r="I641" s="412"/>
      <c r="J641" s="412"/>
      <c r="K641" s="412"/>
      <c r="L641" s="412"/>
      <c r="M641" s="412"/>
      <c r="N641" s="412"/>
      <c r="O641" s="412"/>
      <c r="P641" s="412"/>
      <c r="Q641" s="412"/>
      <c r="R641" s="412"/>
      <c r="S641" s="412"/>
      <c r="T641" s="412"/>
      <c r="U641" s="412"/>
      <c r="V641" s="412"/>
      <c r="W641" s="412"/>
      <c r="X641" s="412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</row>
    <row r="642" spans="2:62" ht="15.75" customHeight="1">
      <c r="B642" s="181"/>
      <c r="C642" s="412"/>
      <c r="D642" s="412"/>
      <c r="E642" s="412"/>
      <c r="F642" s="412"/>
      <c r="G642" s="412"/>
      <c r="H642" s="412"/>
      <c r="I642" s="412"/>
      <c r="J642" s="412"/>
      <c r="K642" s="412"/>
      <c r="L642" s="412"/>
      <c r="M642" s="412"/>
      <c r="N642" s="412"/>
      <c r="O642" s="412"/>
      <c r="P642" s="412"/>
      <c r="Q642" s="412"/>
      <c r="R642" s="412"/>
      <c r="S642" s="412"/>
      <c r="T642" s="412"/>
      <c r="U642" s="412"/>
      <c r="V642" s="412"/>
      <c r="W642" s="412"/>
      <c r="X642" s="412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</row>
    <row r="643" spans="2:62" ht="15.75" customHeight="1">
      <c r="B643" s="181"/>
      <c r="C643" s="412"/>
      <c r="D643" s="412"/>
      <c r="E643" s="412"/>
      <c r="F643" s="412"/>
      <c r="G643" s="412"/>
      <c r="H643" s="412"/>
      <c r="I643" s="412"/>
      <c r="J643" s="412"/>
      <c r="K643" s="412"/>
      <c r="L643" s="412"/>
      <c r="M643" s="412"/>
      <c r="N643" s="412"/>
      <c r="O643" s="412"/>
      <c r="P643" s="412"/>
      <c r="Q643" s="412"/>
      <c r="R643" s="412"/>
      <c r="S643" s="412"/>
      <c r="T643" s="412"/>
      <c r="U643" s="412"/>
      <c r="V643" s="412"/>
      <c r="W643" s="412"/>
      <c r="X643" s="412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</row>
    <row r="644" spans="2:62" ht="15.75" customHeight="1">
      <c r="B644" s="181"/>
      <c r="C644" s="412"/>
      <c r="D644" s="412"/>
      <c r="E644" s="412"/>
      <c r="F644" s="412"/>
      <c r="G644" s="412"/>
      <c r="H644" s="412"/>
      <c r="I644" s="412"/>
      <c r="J644" s="412"/>
      <c r="K644" s="412"/>
      <c r="L644" s="412"/>
      <c r="M644" s="412"/>
      <c r="N644" s="412"/>
      <c r="O644" s="412"/>
      <c r="P644" s="412"/>
      <c r="Q644" s="412"/>
      <c r="R644" s="412"/>
      <c r="S644" s="412"/>
      <c r="T644" s="412"/>
      <c r="U644" s="412"/>
      <c r="V644" s="412"/>
      <c r="W644" s="412"/>
      <c r="X644" s="412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</row>
    <row r="645" spans="2:62" ht="15.75" customHeight="1">
      <c r="B645" s="181"/>
      <c r="C645" s="434"/>
      <c r="D645" s="412"/>
      <c r="E645" s="412"/>
      <c r="F645" s="412"/>
      <c r="G645" s="412"/>
      <c r="H645" s="412"/>
      <c r="I645" s="412"/>
      <c r="J645" s="412"/>
      <c r="K645" s="412"/>
      <c r="L645" s="412"/>
      <c r="M645" s="412"/>
      <c r="N645" s="412"/>
      <c r="O645" s="128"/>
      <c r="P645" s="412"/>
      <c r="Q645" s="412"/>
      <c r="R645" s="412"/>
      <c r="S645" s="412"/>
      <c r="T645" s="412"/>
      <c r="U645" s="412"/>
      <c r="V645" s="412"/>
      <c r="W645" s="412"/>
      <c r="X645" s="412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</row>
    <row r="646" spans="2:62" ht="15.75" customHeight="1">
      <c r="B646" s="181"/>
      <c r="C646" s="127"/>
      <c r="D646" s="428"/>
      <c r="E646" s="428"/>
      <c r="F646" s="428"/>
      <c r="G646" s="428"/>
      <c r="H646" s="428"/>
      <c r="I646" s="428"/>
      <c r="J646" s="428"/>
      <c r="K646" s="428"/>
      <c r="L646" s="428"/>
      <c r="M646" s="428"/>
      <c r="N646" s="428"/>
      <c r="O646" s="428"/>
      <c r="P646" s="428"/>
      <c r="Q646" s="435"/>
      <c r="R646" s="428"/>
      <c r="S646" s="428"/>
      <c r="T646" s="412"/>
      <c r="U646" s="412"/>
      <c r="V646" s="412"/>
      <c r="W646" s="412"/>
      <c r="X646" s="412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</row>
    <row r="647" spans="2:62" ht="15.75" customHeight="1">
      <c r="B647" s="181"/>
      <c r="C647" s="412"/>
      <c r="D647" s="425"/>
      <c r="E647" s="425"/>
      <c r="F647" s="128"/>
      <c r="G647" s="425"/>
      <c r="H647" s="425"/>
      <c r="I647" s="128"/>
      <c r="J647" s="429"/>
      <c r="K647" s="429"/>
      <c r="L647" s="436"/>
      <c r="M647" s="429"/>
      <c r="N647" s="429"/>
      <c r="O647" s="429"/>
      <c r="P647" s="429"/>
      <c r="Q647" s="426"/>
      <c r="R647" s="425"/>
      <c r="S647" s="128"/>
      <c r="T647" s="412"/>
      <c r="U647" s="412"/>
      <c r="V647" s="412"/>
      <c r="W647" s="412"/>
      <c r="X647" s="412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</row>
    <row r="648" spans="2:62" ht="15.75" customHeight="1">
      <c r="B648" s="181"/>
      <c r="C648" s="437"/>
      <c r="D648" s="412"/>
      <c r="E648" s="412"/>
      <c r="F648" s="428"/>
      <c r="G648" s="412"/>
      <c r="H648" s="412"/>
      <c r="I648" s="428"/>
      <c r="J648" s="428"/>
      <c r="K648" s="428"/>
      <c r="L648" s="412"/>
      <c r="M648" s="428"/>
      <c r="N648" s="428"/>
      <c r="O648" s="412"/>
      <c r="P648" s="428"/>
      <c r="Q648" s="428"/>
      <c r="R648" s="412"/>
      <c r="S648" s="428"/>
      <c r="T648" s="412"/>
      <c r="U648" s="412"/>
      <c r="V648" s="412"/>
      <c r="W648" s="412"/>
      <c r="X648" s="412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</row>
    <row r="649" spans="2:62" ht="15.75" customHeight="1">
      <c r="B649" s="181"/>
      <c r="C649" s="412"/>
      <c r="D649" s="412"/>
      <c r="E649" s="412"/>
      <c r="F649" s="422"/>
      <c r="G649" s="412"/>
      <c r="H649" s="412"/>
      <c r="I649" s="422"/>
      <c r="J649" s="422"/>
      <c r="K649" s="422"/>
      <c r="L649" s="422"/>
      <c r="M649" s="422"/>
      <c r="N649" s="422"/>
      <c r="O649" s="422"/>
      <c r="P649" s="422"/>
      <c r="Q649" s="422"/>
      <c r="R649" s="422"/>
      <c r="S649" s="422"/>
      <c r="T649" s="412"/>
      <c r="U649" s="412"/>
      <c r="V649" s="412"/>
      <c r="W649" s="412"/>
      <c r="X649" s="412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</row>
    <row r="650" spans="2:62" ht="15.75" customHeight="1">
      <c r="B650" s="181"/>
      <c r="C650" s="421"/>
      <c r="D650" s="421"/>
      <c r="E650" s="421"/>
      <c r="F650" s="424"/>
      <c r="G650" s="421"/>
      <c r="H650" s="421"/>
      <c r="I650" s="424"/>
      <c r="J650" s="424"/>
      <c r="K650" s="424"/>
      <c r="L650" s="424"/>
      <c r="M650" s="424"/>
      <c r="N650" s="424"/>
      <c r="O650" s="424"/>
      <c r="P650" s="424"/>
      <c r="Q650" s="424"/>
      <c r="R650" s="424"/>
      <c r="S650" s="424"/>
      <c r="T650" s="412"/>
      <c r="U650" s="412"/>
      <c r="V650" s="412"/>
      <c r="W650" s="412"/>
      <c r="X650" s="412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</row>
    <row r="651" spans="2:62" ht="15.75" customHeight="1">
      <c r="B651" s="181"/>
      <c r="C651" s="412"/>
      <c r="D651" s="412"/>
      <c r="E651" s="412"/>
      <c r="F651" s="412"/>
      <c r="G651" s="412"/>
      <c r="H651" s="412"/>
      <c r="I651" s="412"/>
      <c r="J651" s="422"/>
      <c r="K651" s="422"/>
      <c r="L651" s="422"/>
      <c r="M651" s="422"/>
      <c r="N651" s="422"/>
      <c r="O651" s="422"/>
      <c r="P651" s="422"/>
      <c r="Q651" s="422"/>
      <c r="R651" s="422"/>
      <c r="S651" s="422"/>
      <c r="T651" s="412"/>
      <c r="U651" s="412"/>
      <c r="V651" s="412"/>
      <c r="W651" s="412"/>
      <c r="X651" s="412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</row>
    <row r="652" spans="2:62" ht="15.75" customHeight="1">
      <c r="B652" s="181"/>
      <c r="C652" s="412"/>
      <c r="D652" s="412"/>
      <c r="E652" s="412"/>
      <c r="F652" s="412"/>
      <c r="G652" s="412"/>
      <c r="H652" s="412"/>
      <c r="I652" s="412"/>
      <c r="J652" s="412"/>
      <c r="K652" s="422"/>
      <c r="L652" s="422"/>
      <c r="M652" s="412"/>
      <c r="N652" s="422"/>
      <c r="O652" s="422"/>
      <c r="P652" s="412"/>
      <c r="Q652" s="422"/>
      <c r="R652" s="422"/>
      <c r="S652" s="412"/>
      <c r="T652" s="412"/>
      <c r="U652" s="412"/>
      <c r="V652" s="412"/>
      <c r="W652" s="412"/>
      <c r="X652" s="412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</row>
    <row r="653" spans="2:62" ht="15.75" customHeight="1">
      <c r="B653" s="181"/>
      <c r="C653" s="412"/>
      <c r="D653" s="412"/>
      <c r="E653" s="412"/>
      <c r="F653" s="412"/>
      <c r="G653" s="412"/>
      <c r="H653" s="412"/>
      <c r="I653" s="412"/>
      <c r="J653" s="412"/>
      <c r="K653" s="422"/>
      <c r="L653" s="422"/>
      <c r="M653" s="412"/>
      <c r="N653" s="422"/>
      <c r="O653" s="422"/>
      <c r="P653" s="412"/>
      <c r="Q653" s="422"/>
      <c r="R653" s="422"/>
      <c r="S653" s="412"/>
      <c r="T653" s="412"/>
      <c r="U653" s="412"/>
      <c r="V653" s="412"/>
      <c r="W653" s="412"/>
      <c r="X653" s="412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</row>
    <row r="654" spans="2:62" ht="15.75" customHeight="1">
      <c r="B654" s="181"/>
      <c r="C654" s="412"/>
      <c r="D654" s="412"/>
      <c r="E654" s="412"/>
      <c r="F654" s="412"/>
      <c r="G654" s="412"/>
      <c r="H654" s="412"/>
      <c r="I654" s="412"/>
      <c r="J654" s="412"/>
      <c r="K654" s="422"/>
      <c r="L654" s="422"/>
      <c r="M654" s="412"/>
      <c r="N654" s="422"/>
      <c r="O654" s="422"/>
      <c r="P654" s="412"/>
      <c r="Q654" s="422"/>
      <c r="R654" s="422"/>
      <c r="S654" s="412"/>
      <c r="T654" s="412"/>
      <c r="U654" s="412"/>
      <c r="V654" s="412"/>
      <c r="W654" s="412"/>
      <c r="X654" s="412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</row>
    <row r="655" spans="2:62" ht="15.75" customHeight="1">
      <c r="B655" s="181"/>
      <c r="C655" s="412"/>
      <c r="D655" s="412"/>
      <c r="E655" s="412"/>
      <c r="F655" s="412"/>
      <c r="G655" s="412"/>
      <c r="H655" s="412"/>
      <c r="I655" s="412"/>
      <c r="J655" s="412"/>
      <c r="K655" s="422"/>
      <c r="L655" s="422"/>
      <c r="M655" s="412"/>
      <c r="N655" s="422"/>
      <c r="O655" s="422"/>
      <c r="P655" s="412"/>
      <c r="Q655" s="422"/>
      <c r="R655" s="422"/>
      <c r="S655" s="412"/>
      <c r="T655" s="412"/>
      <c r="U655" s="412"/>
      <c r="V655" s="412"/>
      <c r="W655" s="412"/>
      <c r="X655" s="412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</row>
    <row r="656" spans="2:62" ht="15.75" customHeight="1">
      <c r="B656" s="181"/>
      <c r="C656" s="412"/>
      <c r="D656" s="412"/>
      <c r="E656" s="412"/>
      <c r="F656" s="412"/>
      <c r="G656" s="412"/>
      <c r="H656" s="412"/>
      <c r="I656" s="412"/>
      <c r="J656" s="412"/>
      <c r="K656" s="422"/>
      <c r="L656" s="422"/>
      <c r="M656" s="412"/>
      <c r="N656" s="422"/>
      <c r="O656" s="422"/>
      <c r="P656" s="412"/>
      <c r="Q656" s="422"/>
      <c r="R656" s="422"/>
      <c r="S656" s="412"/>
      <c r="T656" s="412"/>
      <c r="U656" s="412"/>
      <c r="V656" s="412"/>
      <c r="W656" s="412"/>
      <c r="X656" s="412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</row>
    <row r="657" spans="2:62" ht="15.75" customHeight="1">
      <c r="B657" s="181"/>
      <c r="C657" s="412"/>
      <c r="D657" s="412"/>
      <c r="E657" s="412"/>
      <c r="F657" s="412"/>
      <c r="G657" s="412"/>
      <c r="H657" s="412"/>
      <c r="I657" s="412"/>
      <c r="J657" s="412"/>
      <c r="K657" s="422"/>
      <c r="L657" s="424"/>
      <c r="M657" s="412"/>
      <c r="N657" s="422"/>
      <c r="O657" s="422"/>
      <c r="P657" s="412"/>
      <c r="Q657" s="422"/>
      <c r="R657" s="424"/>
      <c r="S657" s="412"/>
      <c r="T657" s="412"/>
      <c r="U657" s="412"/>
      <c r="V657" s="412"/>
      <c r="W657" s="412"/>
      <c r="X657" s="412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</row>
    <row r="658" spans="2:62" ht="15.75" customHeight="1">
      <c r="B658" s="181"/>
      <c r="C658" s="412"/>
      <c r="D658" s="412"/>
      <c r="E658" s="412"/>
      <c r="F658" s="412"/>
      <c r="G658" s="412"/>
      <c r="H658" s="412"/>
      <c r="I658" s="412"/>
      <c r="J658" s="412"/>
      <c r="K658" s="422"/>
      <c r="L658" s="422"/>
      <c r="M658" s="412"/>
      <c r="N658" s="422"/>
      <c r="O658" s="422"/>
      <c r="P658" s="412"/>
      <c r="Q658" s="422"/>
      <c r="R658" s="422"/>
      <c r="S658" s="412"/>
      <c r="T658" s="412"/>
      <c r="U658" s="412"/>
      <c r="V658" s="412"/>
      <c r="W658" s="412"/>
      <c r="X658" s="412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</row>
    <row r="659" spans="2:62" ht="15.75" customHeight="1">
      <c r="B659" s="181"/>
      <c r="C659" s="412"/>
      <c r="D659" s="412"/>
      <c r="E659" s="412"/>
      <c r="F659" s="412"/>
      <c r="G659" s="412"/>
      <c r="H659" s="412"/>
      <c r="I659" s="412"/>
      <c r="J659" s="412"/>
      <c r="K659" s="412"/>
      <c r="L659" s="412"/>
      <c r="M659" s="412"/>
      <c r="N659" s="424"/>
      <c r="O659" s="424"/>
      <c r="P659" s="412"/>
      <c r="Q659" s="424"/>
      <c r="R659" s="412"/>
      <c r="S659" s="412"/>
      <c r="T659" s="412"/>
      <c r="U659" s="412"/>
      <c r="V659" s="412"/>
      <c r="W659" s="412"/>
      <c r="X659" s="412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</row>
    <row r="660" spans="2:62" ht="15.75" customHeight="1">
      <c r="B660" s="181"/>
      <c r="C660" s="412"/>
      <c r="D660" s="412"/>
      <c r="E660" s="412"/>
      <c r="F660" s="412"/>
      <c r="G660" s="412"/>
      <c r="H660" s="412"/>
      <c r="I660" s="412"/>
      <c r="J660" s="412"/>
      <c r="K660" s="424"/>
      <c r="L660" s="424"/>
      <c r="M660" s="412"/>
      <c r="N660" s="422"/>
      <c r="O660" s="422"/>
      <c r="P660" s="412"/>
      <c r="Q660" s="422"/>
      <c r="R660" s="424"/>
      <c r="S660" s="412"/>
      <c r="T660" s="412"/>
      <c r="U660" s="412"/>
      <c r="V660" s="412"/>
      <c r="W660" s="412"/>
      <c r="X660" s="412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</row>
    <row r="661" spans="2:62" ht="15.75" customHeight="1">
      <c r="B661" s="181"/>
      <c r="C661" s="412"/>
      <c r="D661" s="412"/>
      <c r="E661" s="412"/>
      <c r="F661" s="412"/>
      <c r="G661" s="412"/>
      <c r="H661" s="412"/>
      <c r="I661" s="412"/>
      <c r="J661" s="412"/>
      <c r="K661" s="422"/>
      <c r="L661" s="422"/>
      <c r="M661" s="412"/>
      <c r="N661" s="422"/>
      <c r="O661" s="422"/>
      <c r="P661" s="412"/>
      <c r="Q661" s="422"/>
      <c r="R661" s="422"/>
      <c r="S661" s="412"/>
      <c r="T661" s="412"/>
      <c r="U661" s="412"/>
      <c r="V661" s="412"/>
      <c r="W661" s="412"/>
      <c r="X661" s="412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</row>
    <row r="662" spans="2:62" ht="15.75" customHeight="1">
      <c r="B662" s="181"/>
      <c r="C662" s="412"/>
      <c r="D662" s="412"/>
      <c r="E662" s="412"/>
      <c r="F662" s="412"/>
      <c r="G662" s="412"/>
      <c r="H662" s="412"/>
      <c r="I662" s="412"/>
      <c r="J662" s="412"/>
      <c r="K662" s="422"/>
      <c r="L662" s="422"/>
      <c r="M662" s="412"/>
      <c r="N662" s="422"/>
      <c r="O662" s="422"/>
      <c r="P662" s="412"/>
      <c r="Q662" s="422"/>
      <c r="R662" s="422"/>
      <c r="S662" s="412"/>
      <c r="T662" s="412"/>
      <c r="U662" s="412"/>
      <c r="V662" s="412"/>
      <c r="W662" s="412"/>
      <c r="X662" s="412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</row>
    <row r="663" spans="2:62" ht="15.75" customHeight="1">
      <c r="B663" s="181"/>
      <c r="C663" s="412"/>
      <c r="D663" s="412"/>
      <c r="E663" s="412"/>
      <c r="F663" s="412"/>
      <c r="G663" s="412"/>
      <c r="H663" s="412"/>
      <c r="I663" s="412"/>
      <c r="J663" s="412"/>
      <c r="K663" s="422"/>
      <c r="L663" s="422"/>
      <c r="M663" s="412"/>
      <c r="N663" s="422"/>
      <c r="O663" s="422"/>
      <c r="P663" s="412"/>
      <c r="Q663" s="422"/>
      <c r="R663" s="422"/>
      <c r="S663" s="412"/>
      <c r="T663" s="412"/>
      <c r="U663" s="412"/>
      <c r="V663" s="412"/>
      <c r="W663" s="412"/>
      <c r="X663" s="412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</row>
    <row r="664" spans="2:62" ht="15.75" customHeight="1">
      <c r="B664" s="181"/>
      <c r="C664" s="412"/>
      <c r="D664" s="412"/>
      <c r="E664" s="412"/>
      <c r="F664" s="412"/>
      <c r="G664" s="412"/>
      <c r="H664" s="412"/>
      <c r="I664" s="412"/>
      <c r="J664" s="412"/>
      <c r="K664" s="422"/>
      <c r="L664" s="422"/>
      <c r="M664" s="412"/>
      <c r="N664" s="422"/>
      <c r="O664" s="422"/>
      <c r="P664" s="412"/>
      <c r="Q664" s="422"/>
      <c r="R664" s="422"/>
      <c r="S664" s="412"/>
      <c r="T664" s="412"/>
      <c r="U664" s="412"/>
      <c r="V664" s="412"/>
      <c r="W664" s="412"/>
      <c r="X664" s="412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</row>
    <row r="665" spans="2:62" ht="15.75" customHeight="1">
      <c r="B665" s="181"/>
      <c r="C665" s="412"/>
      <c r="D665" s="412"/>
      <c r="E665" s="412"/>
      <c r="F665" s="412"/>
      <c r="G665" s="412"/>
      <c r="H665" s="412"/>
      <c r="I665" s="412"/>
      <c r="J665" s="412"/>
      <c r="K665" s="422"/>
      <c r="L665" s="422"/>
      <c r="M665" s="412"/>
      <c r="N665" s="422"/>
      <c r="O665" s="422"/>
      <c r="P665" s="412"/>
      <c r="Q665" s="422"/>
      <c r="R665" s="422"/>
      <c r="S665" s="412"/>
      <c r="T665" s="412"/>
      <c r="U665" s="412"/>
      <c r="V665" s="412"/>
      <c r="W665" s="412"/>
      <c r="X665" s="412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</row>
    <row r="666" spans="2:62" ht="15.75" customHeight="1">
      <c r="B666" s="181"/>
      <c r="C666" s="412"/>
      <c r="D666" s="412"/>
      <c r="E666" s="412"/>
      <c r="F666" s="412"/>
      <c r="G666" s="412"/>
      <c r="H666" s="412"/>
      <c r="I666" s="412"/>
      <c r="J666" s="412"/>
      <c r="K666" s="422"/>
      <c r="L666" s="422"/>
      <c r="M666" s="412"/>
      <c r="N666" s="422"/>
      <c r="O666" s="422"/>
      <c r="P666" s="412"/>
      <c r="Q666" s="422"/>
      <c r="R666" s="422"/>
      <c r="S666" s="412"/>
      <c r="T666" s="412"/>
      <c r="U666" s="412"/>
      <c r="V666" s="412"/>
      <c r="W666" s="412"/>
      <c r="X666" s="412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</row>
    <row r="667" spans="2:62" ht="15.75" customHeight="1">
      <c r="B667" s="181"/>
      <c r="C667" s="412"/>
      <c r="D667" s="412"/>
      <c r="E667" s="412"/>
      <c r="F667" s="412"/>
      <c r="G667" s="412"/>
      <c r="H667" s="412"/>
      <c r="I667" s="412"/>
      <c r="J667" s="412"/>
      <c r="K667" s="422"/>
      <c r="L667" s="422"/>
      <c r="M667" s="412"/>
      <c r="N667" s="422"/>
      <c r="O667" s="422"/>
      <c r="P667" s="412"/>
      <c r="Q667" s="422"/>
      <c r="R667" s="422"/>
      <c r="S667" s="412"/>
      <c r="T667" s="412"/>
      <c r="U667" s="412"/>
      <c r="V667" s="412"/>
      <c r="W667" s="412"/>
      <c r="X667" s="412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</row>
    <row r="668" spans="2:62" ht="15.75" customHeight="1">
      <c r="B668" s="181"/>
      <c r="C668" s="412"/>
      <c r="D668" s="412"/>
      <c r="E668" s="412"/>
      <c r="F668" s="412"/>
      <c r="G668" s="412"/>
      <c r="H668" s="412"/>
      <c r="I668" s="412"/>
      <c r="J668" s="412"/>
      <c r="K668" s="422"/>
      <c r="L668" s="422"/>
      <c r="M668" s="412"/>
      <c r="N668" s="422"/>
      <c r="O668" s="422"/>
      <c r="P668" s="412"/>
      <c r="Q668" s="422"/>
      <c r="R668" s="422"/>
      <c r="S668" s="412"/>
      <c r="T668" s="412"/>
      <c r="U668" s="412"/>
      <c r="V668" s="412"/>
      <c r="W668" s="412"/>
      <c r="X668" s="412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</row>
    <row r="669" spans="2:62" ht="15.75" customHeight="1">
      <c r="B669" s="181"/>
      <c r="C669" s="412"/>
      <c r="D669" s="412"/>
      <c r="E669" s="412"/>
      <c r="F669" s="412"/>
      <c r="G669" s="412"/>
      <c r="H669" s="412"/>
      <c r="I669" s="412"/>
      <c r="J669" s="412"/>
      <c r="K669" s="422"/>
      <c r="L669" s="422"/>
      <c r="M669" s="412"/>
      <c r="N669" s="424"/>
      <c r="O669" s="424"/>
      <c r="P669" s="412"/>
      <c r="Q669" s="424"/>
      <c r="R669" s="422"/>
      <c r="S669" s="412"/>
      <c r="T669" s="412"/>
      <c r="U669" s="412"/>
      <c r="V669" s="412"/>
      <c r="W669" s="412"/>
      <c r="X669" s="412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</row>
    <row r="670" spans="2:62" ht="15.75" customHeight="1">
      <c r="B670" s="181"/>
      <c r="C670" s="412"/>
      <c r="D670" s="412"/>
      <c r="E670" s="412"/>
      <c r="F670" s="412"/>
      <c r="G670" s="412"/>
      <c r="H670" s="412"/>
      <c r="I670" s="412"/>
      <c r="J670" s="412"/>
      <c r="K670" s="424"/>
      <c r="L670" s="424"/>
      <c r="M670" s="412"/>
      <c r="N670" s="422"/>
      <c r="O670" s="422"/>
      <c r="P670" s="412"/>
      <c r="Q670" s="422"/>
      <c r="R670" s="424"/>
      <c r="S670" s="412"/>
      <c r="T670" s="412"/>
      <c r="U670" s="412"/>
      <c r="V670" s="412"/>
      <c r="W670" s="412"/>
      <c r="X670" s="412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</row>
    <row r="671" spans="2:62" ht="15.75" customHeight="1">
      <c r="B671" s="181"/>
      <c r="C671" s="412"/>
      <c r="D671" s="412"/>
      <c r="E671" s="412"/>
      <c r="F671" s="412"/>
      <c r="G671" s="412"/>
      <c r="H671" s="412"/>
      <c r="I671" s="412"/>
      <c r="J671" s="412"/>
      <c r="K671" s="422"/>
      <c r="L671" s="422"/>
      <c r="M671" s="412"/>
      <c r="N671" s="422"/>
      <c r="O671" s="422"/>
      <c r="P671" s="412"/>
      <c r="Q671" s="422"/>
      <c r="R671" s="422"/>
      <c r="S671" s="412"/>
      <c r="T671" s="412"/>
      <c r="U671" s="412"/>
      <c r="V671" s="412"/>
      <c r="W671" s="412"/>
      <c r="X671" s="412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</row>
    <row r="672" spans="2:62" ht="15.75" customHeight="1">
      <c r="B672" s="181"/>
      <c r="C672" s="412"/>
      <c r="D672" s="412"/>
      <c r="E672" s="412"/>
      <c r="F672" s="412"/>
      <c r="G672" s="412"/>
      <c r="H672" s="412"/>
      <c r="I672" s="412"/>
      <c r="J672" s="412"/>
      <c r="K672" s="422"/>
      <c r="L672" s="422"/>
      <c r="M672" s="412"/>
      <c r="N672" s="422"/>
      <c r="O672" s="422"/>
      <c r="P672" s="412"/>
      <c r="Q672" s="422"/>
      <c r="R672" s="422"/>
      <c r="S672" s="412"/>
      <c r="T672" s="412"/>
      <c r="U672" s="412"/>
      <c r="V672" s="412"/>
      <c r="W672" s="412"/>
      <c r="X672" s="412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</row>
    <row r="673" spans="2:62" ht="15.75" customHeight="1">
      <c r="B673" s="181"/>
      <c r="C673" s="412"/>
      <c r="D673" s="412"/>
      <c r="E673" s="412"/>
      <c r="F673" s="412"/>
      <c r="G673" s="412"/>
      <c r="H673" s="412"/>
      <c r="I673" s="412"/>
      <c r="J673" s="412"/>
      <c r="K673" s="422"/>
      <c r="L673" s="422"/>
      <c r="M673" s="412"/>
      <c r="N673" s="422"/>
      <c r="O673" s="422"/>
      <c r="P673" s="412"/>
      <c r="Q673" s="422"/>
      <c r="R673" s="422"/>
      <c r="S673" s="412"/>
      <c r="T673" s="412"/>
      <c r="U673" s="412"/>
      <c r="V673" s="412"/>
      <c r="W673" s="412"/>
      <c r="X673" s="412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</row>
    <row r="674" spans="2:62" ht="15.75" customHeight="1">
      <c r="B674" s="181"/>
      <c r="C674" s="412"/>
      <c r="D674" s="412"/>
      <c r="E674" s="412"/>
      <c r="F674" s="412"/>
      <c r="G674" s="412"/>
      <c r="H674" s="412"/>
      <c r="I674" s="412"/>
      <c r="J674" s="412"/>
      <c r="K674" s="422"/>
      <c r="L674" s="422"/>
      <c r="M674" s="412"/>
      <c r="N674" s="422"/>
      <c r="O674" s="422"/>
      <c r="P674" s="412"/>
      <c r="Q674" s="422"/>
      <c r="R674" s="422"/>
      <c r="S674" s="412"/>
      <c r="T674" s="412"/>
      <c r="U674" s="412"/>
      <c r="V674" s="412"/>
      <c r="W674" s="412"/>
      <c r="X674" s="412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</row>
    <row r="675" spans="2:62" ht="15.75" customHeight="1">
      <c r="B675" s="181"/>
      <c r="C675" s="412"/>
      <c r="D675" s="412"/>
      <c r="E675" s="412"/>
      <c r="F675" s="412"/>
      <c r="G675" s="412"/>
      <c r="H675" s="412"/>
      <c r="I675" s="412"/>
      <c r="J675" s="412"/>
      <c r="K675" s="422"/>
      <c r="L675" s="422"/>
      <c r="M675" s="412"/>
      <c r="N675" s="422"/>
      <c r="O675" s="422"/>
      <c r="P675" s="412"/>
      <c r="Q675" s="422"/>
      <c r="R675" s="422"/>
      <c r="S675" s="412"/>
      <c r="T675" s="412"/>
      <c r="U675" s="412"/>
      <c r="V675" s="412"/>
      <c r="W675" s="412"/>
      <c r="X675" s="412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</row>
    <row r="676" spans="2:62" ht="15.75" customHeight="1">
      <c r="B676" s="181"/>
      <c r="C676" s="412"/>
      <c r="D676" s="412"/>
      <c r="E676" s="412"/>
      <c r="F676" s="412"/>
      <c r="G676" s="412"/>
      <c r="H676" s="412"/>
      <c r="I676" s="412"/>
      <c r="J676" s="412"/>
      <c r="K676" s="422"/>
      <c r="L676" s="422"/>
      <c r="M676" s="412"/>
      <c r="N676" s="422"/>
      <c r="O676" s="422"/>
      <c r="P676" s="412"/>
      <c r="Q676" s="422"/>
      <c r="R676" s="422"/>
      <c r="S676" s="412"/>
      <c r="T676" s="412"/>
      <c r="U676" s="412"/>
      <c r="V676" s="412"/>
      <c r="W676" s="412"/>
      <c r="X676" s="412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</row>
    <row r="677" spans="2:62" ht="15.75" customHeight="1">
      <c r="B677" s="181"/>
      <c r="C677" s="412"/>
      <c r="D677" s="412"/>
      <c r="E677" s="412"/>
      <c r="F677" s="412"/>
      <c r="G677" s="412"/>
      <c r="H677" s="412"/>
      <c r="I677" s="412"/>
      <c r="J677" s="412"/>
      <c r="K677" s="422"/>
      <c r="L677" s="422"/>
      <c r="M677" s="412"/>
      <c r="N677" s="422"/>
      <c r="O677" s="422"/>
      <c r="P677" s="412"/>
      <c r="Q677" s="422"/>
      <c r="R677" s="422"/>
      <c r="S677" s="412"/>
      <c r="T677" s="412"/>
      <c r="U677" s="412"/>
      <c r="V677" s="412"/>
      <c r="W677" s="412"/>
      <c r="X677" s="412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</row>
    <row r="678" spans="2:62" ht="15.75" customHeight="1">
      <c r="B678" s="181"/>
      <c r="C678" s="412"/>
      <c r="D678" s="412"/>
      <c r="E678" s="412"/>
      <c r="F678" s="412"/>
      <c r="G678" s="412"/>
      <c r="H678" s="412"/>
      <c r="I678" s="412"/>
      <c r="J678" s="412"/>
      <c r="K678" s="422"/>
      <c r="L678" s="422"/>
      <c r="M678" s="412"/>
      <c r="N678" s="422"/>
      <c r="O678" s="422"/>
      <c r="P678" s="412"/>
      <c r="Q678" s="422"/>
      <c r="R678" s="422"/>
      <c r="S678" s="412"/>
      <c r="T678" s="412"/>
      <c r="U678" s="412"/>
      <c r="V678" s="412"/>
      <c r="W678" s="412"/>
      <c r="X678" s="412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</row>
    <row r="679" spans="2:62" ht="15.75" customHeight="1">
      <c r="B679" s="181"/>
      <c r="C679" s="412"/>
      <c r="D679" s="412"/>
      <c r="E679" s="412"/>
      <c r="F679" s="412"/>
      <c r="G679" s="412"/>
      <c r="H679" s="412"/>
      <c r="I679" s="412"/>
      <c r="J679" s="412"/>
      <c r="K679" s="422"/>
      <c r="L679" s="422"/>
      <c r="M679" s="412"/>
      <c r="N679" s="422"/>
      <c r="O679" s="422"/>
      <c r="P679" s="412"/>
      <c r="Q679" s="422"/>
      <c r="R679" s="422"/>
      <c r="S679" s="412"/>
      <c r="T679" s="412"/>
      <c r="U679" s="412"/>
      <c r="V679" s="412"/>
      <c r="W679" s="412"/>
      <c r="X679" s="412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</row>
    <row r="680" spans="2:62" ht="15.75" customHeight="1">
      <c r="B680" s="181"/>
      <c r="C680" s="412"/>
      <c r="D680" s="412"/>
      <c r="E680" s="412"/>
      <c r="F680" s="412"/>
      <c r="G680" s="412"/>
      <c r="H680" s="412"/>
      <c r="I680" s="412"/>
      <c r="J680" s="412"/>
      <c r="K680" s="422"/>
      <c r="L680" s="422"/>
      <c r="M680" s="412"/>
      <c r="N680" s="422"/>
      <c r="O680" s="422"/>
      <c r="P680" s="412"/>
      <c r="Q680" s="422"/>
      <c r="R680" s="422"/>
      <c r="S680" s="412"/>
      <c r="T680" s="412"/>
      <c r="U680" s="412"/>
      <c r="V680" s="412"/>
      <c r="W680" s="412"/>
      <c r="X680" s="412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</row>
    <row r="681" spans="2:62" ht="15.75" customHeight="1">
      <c r="B681" s="181"/>
      <c r="C681" s="412"/>
      <c r="D681" s="412"/>
      <c r="E681" s="412"/>
      <c r="F681" s="412"/>
      <c r="G681" s="412"/>
      <c r="H681" s="412"/>
      <c r="I681" s="412"/>
      <c r="J681" s="412"/>
      <c r="K681" s="422"/>
      <c r="L681" s="422"/>
      <c r="M681" s="412"/>
      <c r="N681" s="422"/>
      <c r="O681" s="422"/>
      <c r="P681" s="412"/>
      <c r="Q681" s="422"/>
      <c r="R681" s="422"/>
      <c r="S681" s="412"/>
      <c r="T681" s="412"/>
      <c r="U681" s="412"/>
      <c r="V681" s="412"/>
      <c r="W681" s="412"/>
      <c r="X681" s="412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</row>
    <row r="682" spans="2:62" ht="15.75" customHeight="1">
      <c r="B682" s="181"/>
      <c r="C682" s="412"/>
      <c r="D682" s="412"/>
      <c r="E682" s="412"/>
      <c r="F682" s="412"/>
      <c r="G682" s="412"/>
      <c r="H682" s="412"/>
      <c r="I682" s="412"/>
      <c r="J682" s="412"/>
      <c r="K682" s="422"/>
      <c r="L682" s="422"/>
      <c r="M682" s="412"/>
      <c r="N682" s="422"/>
      <c r="O682" s="422"/>
      <c r="P682" s="412"/>
      <c r="Q682" s="422"/>
      <c r="R682" s="422"/>
      <c r="S682" s="412"/>
      <c r="T682" s="412"/>
      <c r="U682" s="412"/>
      <c r="V682" s="412"/>
      <c r="W682" s="412"/>
      <c r="X682" s="412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</row>
    <row r="683" spans="2:62" ht="15.75" customHeight="1">
      <c r="B683" s="181"/>
      <c r="C683" s="412"/>
      <c r="D683" s="412"/>
      <c r="E683" s="412"/>
      <c r="F683" s="412"/>
      <c r="G683" s="412"/>
      <c r="H683" s="412"/>
      <c r="I683" s="412"/>
      <c r="J683" s="412"/>
      <c r="K683" s="422"/>
      <c r="L683" s="422"/>
      <c r="M683" s="412"/>
      <c r="N683" s="422"/>
      <c r="O683" s="422"/>
      <c r="P683" s="412"/>
      <c r="Q683" s="422"/>
      <c r="R683" s="422"/>
      <c r="S683" s="412"/>
      <c r="T683" s="412"/>
      <c r="U683" s="412"/>
      <c r="V683" s="412"/>
      <c r="W683" s="412"/>
      <c r="X683" s="412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</row>
    <row r="684" spans="2:62" ht="15.75" customHeight="1">
      <c r="B684" s="181"/>
      <c r="C684" s="412"/>
      <c r="D684" s="412"/>
      <c r="E684" s="412"/>
      <c r="F684" s="412"/>
      <c r="G684" s="412"/>
      <c r="H684" s="412"/>
      <c r="I684" s="412"/>
      <c r="J684" s="412"/>
      <c r="K684" s="422"/>
      <c r="L684" s="422"/>
      <c r="M684" s="412"/>
      <c r="N684" s="412"/>
      <c r="O684" s="412"/>
      <c r="P684" s="412"/>
      <c r="Q684" s="412"/>
      <c r="R684" s="422"/>
      <c r="S684" s="412"/>
      <c r="T684" s="412"/>
      <c r="U684" s="412"/>
      <c r="V684" s="412"/>
      <c r="W684" s="412"/>
      <c r="X684" s="412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</row>
    <row r="685" spans="2:62" ht="15.75" customHeight="1">
      <c r="B685" s="181"/>
      <c r="C685" s="412"/>
      <c r="D685" s="412"/>
      <c r="E685" s="412"/>
      <c r="F685" s="412"/>
      <c r="G685" s="412"/>
      <c r="H685" s="412"/>
      <c r="I685" s="412"/>
      <c r="J685" s="412"/>
      <c r="K685" s="422"/>
      <c r="L685" s="422"/>
      <c r="M685" s="412"/>
      <c r="N685" s="424"/>
      <c r="O685" s="424"/>
      <c r="P685" s="412"/>
      <c r="Q685" s="424"/>
      <c r="R685" s="422"/>
      <c r="S685" s="412"/>
      <c r="T685" s="412"/>
      <c r="U685" s="412"/>
      <c r="V685" s="412"/>
      <c r="W685" s="412"/>
      <c r="X685" s="412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</row>
    <row r="686" spans="2:62" ht="15.75" customHeight="1">
      <c r="B686" s="181"/>
      <c r="C686" s="412"/>
      <c r="D686" s="412"/>
      <c r="E686" s="412"/>
      <c r="F686" s="412"/>
      <c r="G686" s="412"/>
      <c r="H686" s="412"/>
      <c r="I686" s="412"/>
      <c r="J686" s="412"/>
      <c r="K686" s="412"/>
      <c r="L686" s="412"/>
      <c r="M686" s="412"/>
      <c r="N686" s="422"/>
      <c r="O686" s="422"/>
      <c r="P686" s="412"/>
      <c r="Q686" s="422"/>
      <c r="R686" s="412"/>
      <c r="S686" s="412"/>
      <c r="T686" s="412"/>
      <c r="U686" s="412"/>
      <c r="V686" s="412"/>
      <c r="W686" s="412"/>
      <c r="X686" s="412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</row>
    <row r="687" spans="2:62" ht="15.75" customHeight="1">
      <c r="B687" s="181"/>
      <c r="C687" s="412"/>
      <c r="D687" s="412"/>
      <c r="E687" s="412"/>
      <c r="F687" s="412"/>
      <c r="G687" s="412"/>
      <c r="H687" s="412"/>
      <c r="I687" s="412"/>
      <c r="J687" s="412"/>
      <c r="K687" s="424"/>
      <c r="L687" s="424"/>
      <c r="M687" s="412"/>
      <c r="N687" s="422"/>
      <c r="O687" s="422"/>
      <c r="P687" s="412"/>
      <c r="Q687" s="422"/>
      <c r="R687" s="424"/>
      <c r="S687" s="412"/>
      <c r="T687" s="412"/>
      <c r="U687" s="412"/>
      <c r="V687" s="412"/>
      <c r="W687" s="412"/>
      <c r="X687" s="412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</row>
    <row r="688" spans="2:62" ht="15.75" customHeight="1">
      <c r="B688" s="181"/>
      <c r="C688" s="412"/>
      <c r="D688" s="412"/>
      <c r="E688" s="412"/>
      <c r="F688" s="412"/>
      <c r="G688" s="412"/>
      <c r="H688" s="412"/>
      <c r="I688" s="412"/>
      <c r="J688" s="412"/>
      <c r="K688" s="422"/>
      <c r="L688" s="422"/>
      <c r="M688" s="412"/>
      <c r="N688" s="422"/>
      <c r="O688" s="422"/>
      <c r="P688" s="412"/>
      <c r="Q688" s="422"/>
      <c r="R688" s="422"/>
      <c r="S688" s="412"/>
      <c r="T688" s="412"/>
      <c r="U688" s="412"/>
      <c r="V688" s="412"/>
      <c r="W688" s="412"/>
      <c r="X688" s="412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</row>
    <row r="689" spans="2:62" ht="15.75" customHeight="1">
      <c r="B689" s="181"/>
      <c r="C689" s="412"/>
      <c r="D689" s="412"/>
      <c r="E689" s="412"/>
      <c r="F689" s="412"/>
      <c r="G689" s="412"/>
      <c r="H689" s="412"/>
      <c r="I689" s="412"/>
      <c r="J689" s="412"/>
      <c r="K689" s="422"/>
      <c r="L689" s="422"/>
      <c r="M689" s="412"/>
      <c r="N689" s="422"/>
      <c r="O689" s="422"/>
      <c r="P689" s="412"/>
      <c r="Q689" s="422"/>
      <c r="R689" s="422"/>
      <c r="S689" s="412"/>
      <c r="T689" s="412"/>
      <c r="U689" s="412"/>
      <c r="V689" s="412"/>
      <c r="W689" s="412"/>
      <c r="X689" s="412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</row>
    <row r="690" spans="2:62" ht="15.75" customHeight="1">
      <c r="B690" s="181"/>
      <c r="C690" s="412"/>
      <c r="D690" s="412"/>
      <c r="E690" s="412"/>
      <c r="F690" s="412"/>
      <c r="G690" s="412"/>
      <c r="H690" s="412"/>
      <c r="I690" s="412"/>
      <c r="J690" s="412"/>
      <c r="K690" s="422"/>
      <c r="L690" s="422"/>
      <c r="M690" s="412"/>
      <c r="N690" s="422"/>
      <c r="O690" s="422"/>
      <c r="P690" s="412"/>
      <c r="Q690" s="422"/>
      <c r="R690" s="422"/>
      <c r="S690" s="412"/>
      <c r="T690" s="412"/>
      <c r="U690" s="412"/>
      <c r="V690" s="412"/>
      <c r="W690" s="412"/>
      <c r="X690" s="412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</row>
    <row r="691" spans="2:62" ht="15.75" customHeight="1">
      <c r="B691" s="181"/>
      <c r="C691" s="412"/>
      <c r="D691" s="412"/>
      <c r="E691" s="412"/>
      <c r="F691" s="412"/>
      <c r="G691" s="412"/>
      <c r="H691" s="412"/>
      <c r="I691" s="412"/>
      <c r="J691" s="412"/>
      <c r="K691" s="422"/>
      <c r="L691" s="422"/>
      <c r="M691" s="412"/>
      <c r="N691" s="422"/>
      <c r="O691" s="422"/>
      <c r="P691" s="412"/>
      <c r="Q691" s="422"/>
      <c r="R691" s="422"/>
      <c r="S691" s="412"/>
      <c r="T691" s="412"/>
      <c r="U691" s="412"/>
      <c r="V691" s="412"/>
      <c r="W691" s="412"/>
      <c r="X691" s="412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</row>
    <row r="692" spans="2:62" ht="15.75" customHeight="1">
      <c r="B692" s="181"/>
      <c r="C692" s="412"/>
      <c r="D692" s="412"/>
      <c r="E692" s="412"/>
      <c r="F692" s="412"/>
      <c r="G692" s="412"/>
      <c r="H692" s="412"/>
      <c r="I692" s="412"/>
      <c r="J692" s="412"/>
      <c r="K692" s="422"/>
      <c r="L692" s="422"/>
      <c r="M692" s="412"/>
      <c r="N692" s="422"/>
      <c r="O692" s="422"/>
      <c r="P692" s="412"/>
      <c r="Q692" s="422"/>
      <c r="R692" s="422"/>
      <c r="S692" s="412"/>
      <c r="T692" s="412"/>
      <c r="U692" s="412"/>
      <c r="V692" s="412"/>
      <c r="W692" s="412"/>
      <c r="X692" s="412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</row>
    <row r="693" spans="2:62" ht="15.75" customHeight="1">
      <c r="B693" s="181"/>
      <c r="C693" s="412"/>
      <c r="D693" s="412"/>
      <c r="E693" s="412"/>
      <c r="F693" s="412"/>
      <c r="G693" s="412"/>
      <c r="H693" s="412"/>
      <c r="I693" s="412"/>
      <c r="J693" s="412"/>
      <c r="K693" s="422"/>
      <c r="L693" s="422"/>
      <c r="M693" s="412"/>
      <c r="N693" s="422"/>
      <c r="O693" s="422"/>
      <c r="P693" s="412"/>
      <c r="Q693" s="422"/>
      <c r="R693" s="422"/>
      <c r="S693" s="412"/>
      <c r="T693" s="412"/>
      <c r="U693" s="412"/>
      <c r="V693" s="412"/>
      <c r="W693" s="412"/>
      <c r="X693" s="412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</row>
    <row r="694" spans="2:62" ht="15.75" customHeight="1">
      <c r="B694" s="181"/>
      <c r="C694" s="412"/>
      <c r="D694" s="412"/>
      <c r="E694" s="412"/>
      <c r="F694" s="412"/>
      <c r="G694" s="412"/>
      <c r="H694" s="412"/>
      <c r="I694" s="412"/>
      <c r="J694" s="412"/>
      <c r="K694" s="422"/>
      <c r="L694" s="424"/>
      <c r="M694" s="412"/>
      <c r="N694" s="422"/>
      <c r="O694" s="422"/>
      <c r="P694" s="412"/>
      <c r="Q694" s="422"/>
      <c r="R694" s="424"/>
      <c r="S694" s="412"/>
      <c r="T694" s="412"/>
      <c r="U694" s="412"/>
      <c r="V694" s="412"/>
      <c r="W694" s="412"/>
      <c r="X694" s="412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</row>
    <row r="695" spans="2:62" ht="15.75" customHeight="1">
      <c r="B695" s="181"/>
      <c r="C695" s="412"/>
      <c r="D695" s="412"/>
      <c r="E695" s="412"/>
      <c r="F695" s="412"/>
      <c r="G695" s="412"/>
      <c r="H695" s="412"/>
      <c r="I695" s="412"/>
      <c r="J695" s="412"/>
      <c r="K695" s="422"/>
      <c r="L695" s="422"/>
      <c r="M695" s="412"/>
      <c r="N695" s="422"/>
      <c r="O695" s="422"/>
      <c r="P695" s="412"/>
      <c r="Q695" s="422"/>
      <c r="R695" s="422"/>
      <c r="S695" s="412"/>
      <c r="T695" s="412"/>
      <c r="U695" s="412"/>
      <c r="V695" s="412"/>
      <c r="W695" s="412"/>
      <c r="X695" s="412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</row>
    <row r="696" spans="2:62" ht="15.75" customHeight="1">
      <c r="B696" s="181"/>
      <c r="C696" s="412"/>
      <c r="D696" s="412"/>
      <c r="E696" s="412"/>
      <c r="F696" s="412"/>
      <c r="G696" s="412"/>
      <c r="H696" s="412"/>
      <c r="I696" s="412"/>
      <c r="J696" s="412"/>
      <c r="K696" s="422"/>
      <c r="L696" s="422"/>
      <c r="M696" s="412"/>
      <c r="N696" s="422"/>
      <c r="O696" s="422"/>
      <c r="P696" s="412"/>
      <c r="Q696" s="422"/>
      <c r="R696" s="422"/>
      <c r="S696" s="412"/>
      <c r="T696" s="412"/>
      <c r="U696" s="412"/>
      <c r="V696" s="412"/>
      <c r="W696" s="412"/>
      <c r="X696" s="412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</row>
    <row r="697" spans="2:62" ht="15.75" customHeight="1">
      <c r="B697" s="181"/>
      <c r="C697" s="412"/>
      <c r="D697" s="412"/>
      <c r="E697" s="412"/>
      <c r="F697" s="412"/>
      <c r="G697" s="412"/>
      <c r="H697" s="412"/>
      <c r="I697" s="412"/>
      <c r="J697" s="412"/>
      <c r="K697" s="422"/>
      <c r="L697" s="422"/>
      <c r="M697" s="412"/>
      <c r="N697" s="424"/>
      <c r="O697" s="424"/>
      <c r="P697" s="412"/>
      <c r="Q697" s="424"/>
      <c r="R697" s="422"/>
      <c r="S697" s="412"/>
      <c r="T697" s="412"/>
      <c r="U697" s="412"/>
      <c r="V697" s="412"/>
      <c r="W697" s="412"/>
      <c r="X697" s="412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phoneticPr fontId="23" type="noConversion"/>
  <conditionalFormatting sqref="F5 H318:H347 J318:K347 O318:P347">
    <cfRule type="expression" dxfId="283" priority="255" stopIfTrue="1">
      <formula>"esterreur(reference)"</formula>
    </cfRule>
  </conditionalFormatting>
  <conditionalFormatting sqref="F171">
    <cfRule type="expression" dxfId="282" priority="15" stopIfTrue="1">
      <formula>"esterreur(reference)"</formula>
    </cfRule>
  </conditionalFormatting>
  <conditionalFormatting sqref="F184">
    <cfRule type="expression" dxfId="281" priority="12" stopIfTrue="1">
      <formula>"esterreur(reference)"</formula>
    </cfRule>
  </conditionalFormatting>
  <conditionalFormatting sqref="F232">
    <cfRule type="expression" dxfId="280" priority="13" stopIfTrue="1">
      <formula>"esterreur(reference)"</formula>
    </cfRule>
  </conditionalFormatting>
  <conditionalFormatting sqref="G112:G113">
    <cfRule type="expression" dxfId="279" priority="75" stopIfTrue="1">
      <formula>"esterreur(reference)"</formula>
    </cfRule>
  </conditionalFormatting>
  <conditionalFormatting sqref="H136:H152">
    <cfRule type="expression" dxfId="278" priority="113" stopIfTrue="1">
      <formula>"esterreur(reference)"</formula>
    </cfRule>
  </conditionalFormatting>
  <conditionalFormatting sqref="H359">
    <cfRule type="expression" dxfId="277" priority="407" stopIfTrue="1">
      <formula>"esterreur(reference)"</formula>
    </cfRule>
  </conditionalFormatting>
  <conditionalFormatting sqref="H395:L398">
    <cfRule type="expression" dxfId="276" priority="404" stopIfTrue="1">
      <formula>"esterreur(reference)"</formula>
    </cfRule>
  </conditionalFormatting>
  <conditionalFormatting sqref="I5">
    <cfRule type="expression" dxfId="275" priority="74" stopIfTrue="1">
      <formula>"esterreur(reference)"</formula>
    </cfRule>
  </conditionalFormatting>
  <conditionalFormatting sqref="I184">
    <cfRule type="expression" dxfId="274" priority="71" stopIfTrue="1">
      <formula>"esterreur(reference)"</formula>
    </cfRule>
  </conditionalFormatting>
  <conditionalFormatting sqref="I376:L376 H377:H394">
    <cfRule type="expression" dxfId="273" priority="405" stopIfTrue="1">
      <formula>"esterreur(reference)"</formula>
    </cfRule>
  </conditionalFormatting>
  <conditionalFormatting sqref="J3 I13:J14 I16:J16 I17 I18:J18 J19 I20:J20 J21:J23 I24:J24 H25:L30 J31:K48 H31:H72 F83:F85 H83:L85 H86:K88 L87:L90 H90:I90 K90 J90:J91 H98:L98 I101:L101 H101:H104 I105:L111 H106:H134 I122:L122 H135:L135 H153:L153 H156:H157 J156:K157 H164:L164 H165 J165:K165 H166:K167 L167:L169 H169:I169 K169 J169:J171 H171:I171 K171:L171 H229 J229:K229 H232:L232 H233 J233:K233 H234:K235 L235:L237 H237:I237 K237 J237:J240 H239:I239 J243:L243 J252:L253 J254:K283 J284:J285 J288:L288 J289:K289 H290:K290 L291:L292 H292:I292 K292 J292:J293 H294:L294 H304:L306 H309:L310 H313:L317 H348:L348 H351:L351 H352:H354 J352:K354 H360:L363 H364:H375 H399 J399:K399">
    <cfRule type="expression" dxfId="272" priority="390" stopIfTrue="1">
      <formula>"esterreur(reference)"</formula>
    </cfRule>
  </conditionalFormatting>
  <conditionalFormatting sqref="J49:L72">
    <cfRule type="expression" dxfId="271" priority="118" stopIfTrue="1">
      <formula>"esterreur(reference)"</formula>
    </cfRule>
  </conditionalFormatting>
  <conditionalFormatting sqref="J102:L104">
    <cfRule type="expression" dxfId="270" priority="363" stopIfTrue="1">
      <formula>"esterreur(reference)"</formula>
    </cfRule>
  </conditionalFormatting>
  <conditionalFormatting sqref="J112:L121">
    <cfRule type="expression" dxfId="269" priority="335" stopIfTrue="1">
      <formula>"esterreur(reference)"</formula>
    </cfRule>
  </conditionalFormatting>
  <conditionalFormatting sqref="J123:L134">
    <cfRule type="expression" dxfId="268" priority="263" stopIfTrue="1">
      <formula>"esterreur(reference)"</formula>
    </cfRule>
  </conditionalFormatting>
  <conditionalFormatting sqref="J136:L152">
    <cfRule type="expression" dxfId="267" priority="112" stopIfTrue="1">
      <formula>"esterreur(reference)"</formula>
    </cfRule>
  </conditionalFormatting>
  <conditionalFormatting sqref="J295:L303">
    <cfRule type="expression" dxfId="266" priority="85" stopIfTrue="1">
      <formula>"esterreur(reference)"</formula>
    </cfRule>
  </conditionalFormatting>
  <conditionalFormatting sqref="J307:L308">
    <cfRule type="expression" dxfId="265" priority="279" stopIfTrue="1">
      <formula>"esterreur(reference)"</formula>
    </cfRule>
  </conditionalFormatting>
  <conditionalFormatting sqref="J359:L359">
    <cfRule type="expression" dxfId="264" priority="268" stopIfTrue="1">
      <formula>"esterreur(reference)"</formula>
    </cfRule>
  </conditionalFormatting>
  <conditionalFormatting sqref="J364:L375">
    <cfRule type="expression" dxfId="263" priority="275" stopIfTrue="1">
      <formula>"esterreur(reference)"</formula>
    </cfRule>
  </conditionalFormatting>
  <conditionalFormatting sqref="J377:L393">
    <cfRule type="expression" dxfId="262" priority="274" stopIfTrue="1">
      <formula>"esterreur(reference)"</formula>
    </cfRule>
  </conditionalFormatting>
  <conditionalFormatting sqref="J311:M312">
    <cfRule type="expression" dxfId="261" priority="36" stopIfTrue="1">
      <formula>"esterreur(reference)"</formula>
    </cfRule>
  </conditionalFormatting>
  <conditionalFormatting sqref="K5">
    <cfRule type="expression" dxfId="260" priority="284" stopIfTrue="1">
      <formula>"esterreur(reference)"</formula>
    </cfRule>
  </conditionalFormatting>
  <conditionalFormatting sqref="K394">
    <cfRule type="expression" dxfId="259" priority="408" stopIfTrue="1">
      <formula>"esterreur(reference)"</formula>
    </cfRule>
  </conditionalFormatting>
  <conditionalFormatting sqref="K93:L93">
    <cfRule type="expression" dxfId="258" priority="105" stopIfTrue="1">
      <formula>"esterreur(reference)"</formula>
    </cfRule>
  </conditionalFormatting>
  <conditionalFormatting sqref="K239:L241">
    <cfRule type="expression" dxfId="257" priority="86" stopIfTrue="1">
      <formula>"esterreur(reference)"</formula>
    </cfRule>
  </conditionalFormatting>
  <conditionalFormatting sqref="K244:L244">
    <cfRule type="expression" dxfId="256" priority="281" stopIfTrue="1">
      <formula>"esterreur(reference)"</formula>
    </cfRule>
  </conditionalFormatting>
  <conditionalFormatting sqref="K247:L247">
    <cfRule type="expression" dxfId="255" priority="280" stopIfTrue="1">
      <formula>"esterreur(reference)"</formula>
    </cfRule>
  </conditionalFormatting>
  <conditionalFormatting sqref="K99:M100">
    <cfRule type="expression" dxfId="254" priority="21" stopIfTrue="1">
      <formula>"esterreur(reference)"</formula>
    </cfRule>
  </conditionalFormatting>
  <conditionalFormatting sqref="L5:L14">
    <cfRule type="expression" dxfId="253" priority="73" stopIfTrue="1">
      <formula>"esterreur(reference)"</formula>
    </cfRule>
  </conditionalFormatting>
  <conditionalFormatting sqref="L16:L24">
    <cfRule type="expression" dxfId="252" priority="387" stopIfTrue="1">
      <formula>"esterreur(reference)"</formula>
    </cfRule>
  </conditionalFormatting>
  <conditionalFormatting sqref="L42:L48">
    <cfRule type="expression" dxfId="251" priority="383" stopIfTrue="1">
      <formula>"esterreur(reference)"</formula>
    </cfRule>
  </conditionalFormatting>
  <conditionalFormatting sqref="L75:L82">
    <cfRule type="expression" dxfId="250" priority="258" stopIfTrue="1">
      <formula>"esterreur(reference)"</formula>
    </cfRule>
  </conditionalFormatting>
  <conditionalFormatting sqref="L156:L162">
    <cfRule type="expression" dxfId="249" priority="109" stopIfTrue="1">
      <formula>"esterreur(reference)"</formula>
    </cfRule>
  </conditionalFormatting>
  <conditionalFormatting sqref="L184">
    <cfRule type="expression" dxfId="248" priority="70" stopIfTrue="1">
      <formula>"esterreur(reference)"</formula>
    </cfRule>
  </conditionalFormatting>
  <conditionalFormatting sqref="L254:L265">
    <cfRule type="expression" dxfId="247" priority="305" stopIfTrue="1">
      <formula>"esterreur(reference)"</formula>
    </cfRule>
  </conditionalFormatting>
  <conditionalFormatting sqref="L267:L285">
    <cfRule type="expression" dxfId="246" priority="260" stopIfTrue="1">
      <formula>"esterreur(reference)"</formula>
    </cfRule>
  </conditionalFormatting>
  <conditionalFormatting sqref="L318:L328">
    <cfRule type="expression" dxfId="245" priority="286" stopIfTrue="1">
      <formula>"esterreur(reference)"</formula>
    </cfRule>
  </conditionalFormatting>
  <conditionalFormatting sqref="L330:L347">
    <cfRule type="expression" dxfId="244" priority="259" stopIfTrue="1">
      <formula>"esterreur(reference)"</formula>
    </cfRule>
  </conditionalFormatting>
  <conditionalFormatting sqref="L355:L356 H356:I356 K356 J356:J357 H358:L358">
    <cfRule type="expression" dxfId="243" priority="403" stopIfTrue="1">
      <formula>"esterreur(reference)"</formula>
    </cfRule>
  </conditionalFormatting>
  <conditionalFormatting sqref="M13">
    <cfRule type="expression" dxfId="242" priority="24" stopIfTrue="1">
      <formula>"esterreur(reference)"</formula>
    </cfRule>
  </conditionalFormatting>
  <conditionalFormatting sqref="M95:M96">
    <cfRule type="expression" dxfId="241" priority="391" stopIfTrue="1">
      <formula>"esterreur(reference)"</formula>
    </cfRule>
  </conditionalFormatting>
  <conditionalFormatting sqref="M24:N24">
    <cfRule type="expression" dxfId="240" priority="23" stopIfTrue="1">
      <formula>"esterreur(reference)"</formula>
    </cfRule>
  </conditionalFormatting>
  <conditionalFormatting sqref="M27:N27">
    <cfRule type="expression" dxfId="239" priority="22" stopIfTrue="1">
      <formula>"esterreur(reference)"</formula>
    </cfRule>
  </conditionalFormatting>
  <conditionalFormatting sqref="N54">
    <cfRule type="expression" dxfId="238" priority="28" stopIfTrue="1">
      <formula>"esterreur(reference)"</formula>
    </cfRule>
  </conditionalFormatting>
  <conditionalFormatting sqref="N72">
    <cfRule type="expression" dxfId="237" priority="27" stopIfTrue="1">
      <formula>"esterreur(reference)"</formula>
    </cfRule>
  </conditionalFormatting>
  <conditionalFormatting sqref="N83">
    <cfRule type="expression" dxfId="236" priority="26" stopIfTrue="1">
      <formula>"esterreur(reference)"</formula>
    </cfRule>
  </conditionalFormatting>
  <conditionalFormatting sqref="N85">
    <cfRule type="expression" dxfId="235" priority="25" stopIfTrue="1">
      <formula>"esterreur(reference)"</formula>
    </cfRule>
  </conditionalFormatting>
  <conditionalFormatting sqref="N105">
    <cfRule type="expression" dxfId="234" priority="20" stopIfTrue="1">
      <formula>"esterreur(reference)"</formula>
    </cfRule>
  </conditionalFormatting>
  <conditionalFormatting sqref="N108">
    <cfRule type="expression" dxfId="233" priority="19" stopIfTrue="1">
      <formula>"esterreur(reference)"</formula>
    </cfRule>
  </conditionalFormatting>
  <conditionalFormatting sqref="N122">
    <cfRule type="expression" dxfId="232" priority="18" stopIfTrue="1">
      <formula>"esterreur(reference)"</formula>
    </cfRule>
  </conditionalFormatting>
  <conditionalFormatting sqref="N135">
    <cfRule type="expression" dxfId="231" priority="17" stopIfTrue="1">
      <formula>"esterreur(reference)"</formula>
    </cfRule>
  </conditionalFormatting>
  <conditionalFormatting sqref="N153">
    <cfRule type="expression" dxfId="230" priority="16" stopIfTrue="1">
      <formula>"esterreur(reference)"</formula>
    </cfRule>
  </conditionalFormatting>
  <conditionalFormatting sqref="N304">
    <cfRule type="expression" dxfId="229" priority="8" stopIfTrue="1">
      <formula>"esterreur(reference)"</formula>
    </cfRule>
  </conditionalFormatting>
  <conditionalFormatting sqref="N309">
    <cfRule type="expression" dxfId="228" priority="7" stopIfTrue="1">
      <formula>"esterreur(reference)"</formula>
    </cfRule>
  </conditionalFormatting>
  <conditionalFormatting sqref="N314">
    <cfRule type="expression" dxfId="227" priority="6" stopIfTrue="1">
      <formula>"esterreur(reference)"</formula>
    </cfRule>
  </conditionalFormatting>
  <conditionalFormatting sqref="N361">
    <cfRule type="expression" dxfId="226" priority="3" stopIfTrue="1">
      <formula>"esterreur(reference)"</formula>
    </cfRule>
  </conditionalFormatting>
  <conditionalFormatting sqref="N376">
    <cfRule type="expression" dxfId="225" priority="2" stopIfTrue="1">
      <formula>"esterreur(reference)"</formula>
    </cfRule>
  </conditionalFormatting>
  <conditionalFormatting sqref="N232:Q232">
    <cfRule type="expression" dxfId="224" priority="11" stopIfTrue="1">
      <formula>"esterreur(reference)"</formula>
    </cfRule>
  </conditionalFormatting>
  <conditionalFormatting sqref="N288:Q288">
    <cfRule type="expression" dxfId="223" priority="10" stopIfTrue="1">
      <formula>"esterreur(reference)"</formula>
    </cfRule>
  </conditionalFormatting>
  <conditionalFormatting sqref="N348:Q348">
    <cfRule type="expression" dxfId="222" priority="5" stopIfTrue="1">
      <formula>"esterreur(reference)"</formula>
    </cfRule>
  </conditionalFormatting>
  <conditionalFormatting sqref="N351:Q351">
    <cfRule type="expression" dxfId="221" priority="4" stopIfTrue="1">
      <formula>"esterreur(reference)"</formula>
    </cfRule>
  </conditionalFormatting>
  <conditionalFormatting sqref="N395:Q398">
    <cfRule type="expression" dxfId="220" priority="1" stopIfTrue="1">
      <formula>"esterreur(reference)"</formula>
    </cfRule>
  </conditionalFormatting>
  <conditionalFormatting sqref="O13:O14 O16 O18:O24 O83:Q85">
    <cfRule type="expression" dxfId="219" priority="250" stopIfTrue="1">
      <formula>"esterreur(reference)"</formula>
    </cfRule>
  </conditionalFormatting>
  <conditionalFormatting sqref="O229:P229 O233:P233">
    <cfRule type="expression" dxfId="218" priority="181" stopIfTrue="1">
      <formula>"esterreur(reference)"</formula>
    </cfRule>
  </conditionalFormatting>
  <conditionalFormatting sqref="O25:Q72">
    <cfRule type="expression" dxfId="217" priority="119" stopIfTrue="1">
      <formula>"esterreur(reference)"</formula>
    </cfRule>
  </conditionalFormatting>
  <conditionalFormatting sqref="O101:Q153">
    <cfRule type="expression" dxfId="216" priority="31" stopIfTrue="1">
      <formula>"esterreur(reference)"</formula>
    </cfRule>
  </conditionalFormatting>
  <conditionalFormatting sqref="O243:Q243 O252:Q253 O254:P283 O284:O285 O289:P289">
    <cfRule type="expression" dxfId="215" priority="66" stopIfTrue="1">
      <formula>"esterreur(reference)"</formula>
    </cfRule>
  </conditionalFormatting>
  <conditionalFormatting sqref="O295:Q310">
    <cfRule type="expression" dxfId="214" priority="132" stopIfTrue="1">
      <formula>"esterreur(reference)"</formula>
    </cfRule>
  </conditionalFormatting>
  <conditionalFormatting sqref="O313:Q317 O352:P352">
    <cfRule type="expression" dxfId="213" priority="146" stopIfTrue="1">
      <formula>"esterreur(reference)"</formula>
    </cfRule>
  </conditionalFormatting>
  <conditionalFormatting sqref="O358:Q393">
    <cfRule type="expression" dxfId="212" priority="120" stopIfTrue="1">
      <formula>"esterreur(reference)"</formula>
    </cfRule>
  </conditionalFormatting>
  <conditionalFormatting sqref="O311:R312">
    <cfRule type="expression" dxfId="211" priority="33" stopIfTrue="1">
      <formula>"esterreur(reference)"</formula>
    </cfRule>
  </conditionalFormatting>
  <conditionalFormatting sqref="P5">
    <cfRule type="expression" dxfId="210" priority="227" stopIfTrue="1">
      <formula>"esterreur(reference)"</formula>
    </cfRule>
  </conditionalFormatting>
  <conditionalFormatting sqref="P97 O98:Q98 O156:P157 O164:Q164 O165:P165">
    <cfRule type="expression" dxfId="209" priority="218" stopIfTrue="1">
      <formula>"esterreur(reference)"</formula>
    </cfRule>
  </conditionalFormatting>
  <conditionalFormatting sqref="P394">
    <cfRule type="expression" dxfId="208" priority="129" stopIfTrue="1">
      <formula>"esterreur(reference)"</formula>
    </cfRule>
  </conditionalFormatting>
  <conditionalFormatting sqref="P93:Q93">
    <cfRule type="expression" dxfId="207" priority="104" stopIfTrue="1">
      <formula>"esterreur(reference)"</formula>
    </cfRule>
  </conditionalFormatting>
  <conditionalFormatting sqref="P99:Q100">
    <cfRule type="expression" dxfId="206" priority="106" stopIfTrue="1">
      <formula>"esterreur(reference)"</formula>
    </cfRule>
  </conditionalFormatting>
  <conditionalFormatting sqref="P241:Q241">
    <cfRule type="expression" dxfId="205" priority="41" stopIfTrue="1">
      <formula>"esterreur(reference)"</formula>
    </cfRule>
  </conditionalFormatting>
  <conditionalFormatting sqref="P244:Q244">
    <cfRule type="expression" dxfId="204" priority="45" stopIfTrue="1">
      <formula>"esterreur(reference)"</formula>
    </cfRule>
  </conditionalFormatting>
  <conditionalFormatting sqref="P247:Q247">
    <cfRule type="expression" dxfId="203" priority="44" stopIfTrue="1">
      <formula>"esterreur(reference)"</formula>
    </cfRule>
  </conditionalFormatting>
  <conditionalFormatting sqref="Q5:Q14">
    <cfRule type="expression" dxfId="202" priority="72" stopIfTrue="1">
      <formula>"esterreur(reference)"</formula>
    </cfRule>
  </conditionalFormatting>
  <conditionalFormatting sqref="Q16:Q24">
    <cfRule type="expression" dxfId="201" priority="247" stopIfTrue="1">
      <formula>"esterreur(reference)"</formula>
    </cfRule>
  </conditionalFormatting>
  <conditionalFormatting sqref="Q75:Q82">
    <cfRule type="expression" dxfId="200" priority="229" stopIfTrue="1">
      <formula>"esterreur(reference)"</formula>
    </cfRule>
  </conditionalFormatting>
  <conditionalFormatting sqref="Q156:Q162">
    <cfRule type="expression" dxfId="199" priority="189" stopIfTrue="1">
      <formula>"esterreur(reference)"</formula>
    </cfRule>
  </conditionalFormatting>
  <conditionalFormatting sqref="Q184">
    <cfRule type="expression" dxfId="198" priority="69" stopIfTrue="1">
      <formula>"esterreur(reference)"</formula>
    </cfRule>
  </conditionalFormatting>
  <conditionalFormatting sqref="Q254:Q265">
    <cfRule type="expression" dxfId="197" priority="53" stopIfTrue="1">
      <formula>"esterreur(reference)"</formula>
    </cfRule>
  </conditionalFormatting>
  <conditionalFormatting sqref="Q267:Q285">
    <cfRule type="expression" dxfId="196" priority="43" stopIfTrue="1">
      <formula>"esterreur(reference)"</formula>
    </cfRule>
  </conditionalFormatting>
  <conditionalFormatting sqref="Q318:Q328">
    <cfRule type="expression" dxfId="195" priority="134" stopIfTrue="1">
      <formula>"esterreur(reference)"</formula>
    </cfRule>
  </conditionalFormatting>
  <conditionalFormatting sqref="Q330:Q347">
    <cfRule type="expression" dxfId="194" priority="130" stopIfTrue="1">
      <formula>"esterreur(reference)"</formula>
    </cfRule>
  </conditionalFormatting>
  <conditionalFormatting sqref="S186">
    <cfRule type="expression" dxfId="193" priority="267" stopIfTrue="1">
      <formula>"esterreur(reference)"</formula>
    </cfRule>
  </conditionalFormatting>
  <conditionalFormatting sqref="AG408:AG417 AI408:AI417">
    <cfRule type="cellIs" dxfId="192" priority="108" operator="greaterThan">
      <formula>0</formula>
    </cfRule>
  </conditionalFormatting>
  <conditionalFormatting sqref="AI419:AI450 AG431 AI452:AI459 AI465:AI467 AI490:AI495 AH496:AI496">
    <cfRule type="cellIs" dxfId="191" priority="399" operator="greaterThan">
      <formula>0</formula>
    </cfRule>
  </conditionalFormatting>
  <conditionalFormatting sqref="AI468:AI479">
    <cfRule type="cellIs" dxfId="190" priority="400" operator="lessThan">
      <formula>0</formula>
    </cfRule>
  </conditionalFormatting>
  <conditionalFormatting sqref="AO408:AO417">
    <cfRule type="cellIs" dxfId="189" priority="107" operator="greaterThan">
      <formula>0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7" min="1" max="1" man="1"/>
    <brk id="88" min="1" max="1" man="1"/>
    <brk id="167" min="2" max="18" man="1"/>
    <brk id="233" min="2" max="18" man="1"/>
    <brk id="235" min="1" max="1" man="1"/>
    <brk id="290" min="2" max="18" man="1"/>
    <brk id="352" min="2" max="18" man="1"/>
    <brk id="398" min="1" max="1" man="1"/>
    <brk id="482" min="1" max="1" man="1"/>
    <brk id="290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ColWidth="11.19921875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7895-9937-4016-A78C-210C1CE175EC}">
  <sheetPr>
    <tabColor rgb="FFFFC000"/>
  </sheetPr>
  <dimension ref="A1:BJ693"/>
  <sheetViews>
    <sheetView topLeftCell="O455" zoomScale="70" zoomScaleNormal="70" workbookViewId="0">
      <selection activeCell="X527" sqref="X527"/>
    </sheetView>
  </sheetViews>
  <sheetFormatPr baseColWidth="10" defaultColWidth="12.59765625" defaultRowHeight="15" customHeight="1"/>
  <cols>
    <col min="1" max="1" width="37.5" style="495" hidden="1" customWidth="1"/>
    <col min="2" max="2" width="21.8984375" style="495" hidden="1" customWidth="1"/>
    <col min="3" max="3" width="31.19921875" style="495" customWidth="1"/>
    <col min="4" max="4" width="16.5" style="495" customWidth="1"/>
    <col min="5" max="5" width="14.59765625" style="495" customWidth="1"/>
    <col min="6" max="6" width="14" style="495" customWidth="1"/>
    <col min="7" max="7" width="17.69921875" style="495" hidden="1" customWidth="1"/>
    <col min="8" max="8" width="15.09765625" style="495" hidden="1" customWidth="1"/>
    <col min="9" max="9" width="14" style="495" hidden="1" customWidth="1"/>
    <col min="10" max="10" width="15.59765625" style="495" customWidth="1"/>
    <col min="11" max="11" width="15.5" style="495" customWidth="1"/>
    <col min="12" max="12" width="14.8984375" style="495" customWidth="1"/>
    <col min="13" max="14" width="16.19921875" style="495" customWidth="1"/>
    <col min="15" max="15" width="15.5" style="495" customWidth="1"/>
    <col min="16" max="16" width="14.59765625" style="495" customWidth="1"/>
    <col min="17" max="17" width="14.8984375" style="495" bestFit="1" customWidth="1"/>
    <col min="18" max="18" width="14.69921875" style="495" customWidth="1"/>
    <col min="19" max="19" width="19" style="495" customWidth="1"/>
    <col min="20" max="20" width="4.59765625" style="495" customWidth="1"/>
    <col min="21" max="21" width="31.69921875" style="495" customWidth="1"/>
    <col min="22" max="22" width="34" style="495" customWidth="1"/>
    <col min="23" max="23" width="12.19921875" style="495" customWidth="1"/>
    <col min="24" max="24" width="13.69921875" style="495" customWidth="1"/>
    <col min="25" max="25" width="15.09765625" style="495" customWidth="1"/>
    <col min="26" max="26" width="15" style="495" customWidth="1"/>
    <col min="27" max="27" width="11.09765625" style="495" hidden="1" customWidth="1"/>
    <col min="28" max="28" width="9.3984375" style="495" hidden="1" customWidth="1"/>
    <col min="29" max="29" width="14.5" style="495" hidden="1" customWidth="1"/>
    <col min="30" max="30" width="13.5" style="495" customWidth="1"/>
    <col min="31" max="31" width="14.19921875" style="495" customWidth="1"/>
    <col min="32" max="32" width="14.09765625" style="495" customWidth="1"/>
    <col min="33" max="33" width="9" style="495" customWidth="1"/>
    <col min="34" max="34" width="13.5" style="495" customWidth="1"/>
    <col min="35" max="35" width="11.5" style="495" bestFit="1" customWidth="1"/>
    <col min="36" max="36" width="10.8984375" style="495" customWidth="1"/>
    <col min="37" max="37" width="11.3984375" style="495" customWidth="1"/>
    <col min="38" max="38" width="12.69921875" style="495" customWidth="1"/>
    <col min="39" max="39" width="9" style="495" customWidth="1"/>
    <col min="40" max="40" width="11" style="495" customWidth="1"/>
    <col min="41" max="41" width="14.69921875" style="495" customWidth="1"/>
    <col min="42" max="42" width="11" style="495" customWidth="1"/>
    <col min="43" max="43" width="48.3984375" style="495" customWidth="1"/>
    <col min="44" max="62" width="11" style="495" customWidth="1"/>
    <col min="63" max="16384" width="12.59765625" style="495"/>
  </cols>
  <sheetData>
    <row r="1" spans="1:40" ht="36" thickBot="1">
      <c r="B1" s="496"/>
      <c r="C1" s="497" t="str">
        <f>[5]Parametres!B1</f>
        <v>Volks</v>
      </c>
      <c r="D1" s="498"/>
      <c r="E1" s="499"/>
      <c r="F1" s="498"/>
      <c r="G1" s="498"/>
      <c r="H1" s="496"/>
      <c r="I1" s="498"/>
      <c r="J1" s="496"/>
      <c r="K1" s="500" t="s">
        <v>0</v>
      </c>
      <c r="L1" s="498"/>
      <c r="M1" s="498"/>
      <c r="N1" s="501"/>
      <c r="O1" s="497"/>
      <c r="P1" s="502"/>
      <c r="Q1" s="497"/>
      <c r="R1" s="502"/>
      <c r="S1" s="503" t="str">
        <f>CONCATENATE("Réalisé,"," ",[5]Parametres!B3," ",[5]Parametres!B4)</f>
        <v>Réalisé, Octobre 2024</v>
      </c>
      <c r="T1" s="498" t="s">
        <v>1</v>
      </c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</row>
    <row r="2" spans="1:40" ht="15" customHeight="1" thickTop="1" thickBot="1">
      <c r="B2" s="504"/>
      <c r="C2" s="505"/>
      <c r="D2" s="506" t="s">
        <v>2</v>
      </c>
      <c r="E2" s="506" t="s">
        <v>3</v>
      </c>
      <c r="F2" s="506" t="s">
        <v>4</v>
      </c>
      <c r="G2" s="506"/>
      <c r="H2" s="506"/>
      <c r="I2" s="506"/>
      <c r="J2" s="506" t="s">
        <v>218</v>
      </c>
      <c r="K2" s="506"/>
      <c r="L2" s="506" t="s">
        <v>219</v>
      </c>
      <c r="M2" s="507"/>
      <c r="N2" s="507"/>
      <c r="O2" s="506" t="s">
        <v>2</v>
      </c>
      <c r="P2" s="506" t="s">
        <v>3</v>
      </c>
      <c r="Q2" s="506" t="s">
        <v>4</v>
      </c>
      <c r="R2" s="507"/>
      <c r="S2" s="507"/>
      <c r="T2" s="507"/>
      <c r="U2" s="507"/>
      <c r="V2" s="508" t="s">
        <v>470</v>
      </c>
      <c r="W2" s="509"/>
    </row>
    <row r="3" spans="1:40" ht="21.6" thickTop="1">
      <c r="B3" s="510"/>
      <c r="C3" s="511"/>
      <c r="D3" s="512" t="s">
        <v>5</v>
      </c>
      <c r="E3" s="513"/>
      <c r="F3" s="514"/>
      <c r="G3" s="515"/>
      <c r="H3" s="513"/>
      <c r="I3" s="514"/>
      <c r="J3" s="515" t="s">
        <v>7</v>
      </c>
      <c r="K3" s="513"/>
      <c r="L3" s="514"/>
      <c r="M3" s="515" t="s">
        <v>220</v>
      </c>
      <c r="N3" s="514"/>
      <c r="O3" s="512" t="s">
        <v>8</v>
      </c>
      <c r="P3" s="513"/>
      <c r="Q3" s="514"/>
      <c r="R3" s="515" t="s">
        <v>221</v>
      </c>
      <c r="S3" s="514"/>
      <c r="T3" s="510"/>
      <c r="U3" s="510"/>
      <c r="V3" s="516" t="s">
        <v>471</v>
      </c>
      <c r="W3" s="517">
        <v>0.45</v>
      </c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</row>
    <row r="4" spans="1:40" ht="20.399999999999999">
      <c r="B4" s="510"/>
      <c r="C4" s="518"/>
      <c r="D4" s="519" t="s">
        <v>10</v>
      </c>
      <c r="E4" s="520" t="s">
        <v>11</v>
      </c>
      <c r="F4" s="521" t="s">
        <v>12</v>
      </c>
      <c r="G4" s="522"/>
      <c r="H4" s="520"/>
      <c r="I4" s="521"/>
      <c r="J4" s="522" t="s">
        <v>472</v>
      </c>
      <c r="K4" s="520" t="s">
        <v>13</v>
      </c>
      <c r="L4" s="521" t="s">
        <v>12</v>
      </c>
      <c r="M4" s="522" t="s">
        <v>472</v>
      </c>
      <c r="N4" s="521" t="s">
        <v>12</v>
      </c>
      <c r="O4" s="520" t="s">
        <v>10</v>
      </c>
      <c r="P4" s="520" t="s">
        <v>11</v>
      </c>
      <c r="Q4" s="521" t="s">
        <v>12</v>
      </c>
      <c r="R4" s="522" t="s">
        <v>472</v>
      </c>
      <c r="S4" s="521" t="s">
        <v>12</v>
      </c>
      <c r="T4" s="510"/>
      <c r="U4" s="510"/>
      <c r="V4" s="516" t="s">
        <v>473</v>
      </c>
      <c r="W4" s="517">
        <v>0.1</v>
      </c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0"/>
      <c r="AI4" s="510"/>
      <c r="AJ4" s="510"/>
      <c r="AK4" s="510"/>
      <c r="AL4" s="510"/>
      <c r="AM4" s="510"/>
      <c r="AN4" s="510"/>
    </row>
    <row r="5" spans="1:40" ht="20.399999999999999">
      <c r="A5" s="523" t="s">
        <v>228</v>
      </c>
      <c r="B5" s="510" t="s">
        <v>0</v>
      </c>
      <c r="C5" s="524" t="s">
        <v>15</v>
      </c>
      <c r="D5" s="525"/>
      <c r="E5" s="525"/>
      <c r="F5" s="526">
        <f>+INDEX('[5]Budget original'!$A$2:$AO$501,MATCH($A5,'[5]Budget original'!$A$2:$A$501,0),MATCH(F$2,'[5]Budget original'!$A$2:$AO$2,0))</f>
        <v>3890933.1985374531</v>
      </c>
      <c r="G5" s="525"/>
      <c r="H5" s="525"/>
      <c r="I5" s="527"/>
      <c r="J5" s="524"/>
      <c r="K5" s="528"/>
      <c r="L5" s="526">
        <f>-SUMIFS([5]BV_Data_An_Cour!$O:$O,[5]BV_Data_An_Cour!$X:$X,"Oui",[5]BV_Data_An_Cour!$U:$U,$B5)</f>
        <v>2470113.9900000002</v>
      </c>
      <c r="M5" s="529"/>
      <c r="N5" s="530"/>
      <c r="O5" s="524"/>
      <c r="P5" s="528"/>
      <c r="Q5" s="526">
        <f t="array" ref="Q5">+INDEX('[5]Réel 2023'!$A$2:$AO$501,MATCH($A5,'[5]Réel 2023'!$A$2:$A$501,0),MATCH(Q$2,'[5]Réel 2023'!$A$2:$AO$2,0))</f>
        <v>8285274.8799999999</v>
      </c>
      <c r="R5" s="529"/>
      <c r="S5" s="530"/>
      <c r="T5" s="510"/>
      <c r="U5" s="510"/>
      <c r="V5" s="516" t="s">
        <v>222</v>
      </c>
      <c r="W5" s="517">
        <v>0.22500000000000001</v>
      </c>
      <c r="X5" s="510"/>
      <c r="Y5" s="510"/>
      <c r="Z5" s="510"/>
      <c r="AA5" s="510"/>
      <c r="AB5" s="510"/>
      <c r="AC5" s="510"/>
      <c r="AD5" s="510"/>
      <c r="AE5" s="510"/>
      <c r="AF5" s="510"/>
      <c r="AG5" s="510"/>
      <c r="AH5" s="510"/>
      <c r="AI5" s="510"/>
      <c r="AJ5" s="510"/>
      <c r="AK5" s="510"/>
      <c r="AL5" s="510"/>
      <c r="AM5" s="510"/>
      <c r="AN5" s="510"/>
    </row>
    <row r="6" spans="1:40" ht="20.399999999999999">
      <c r="A6" s="523" t="s">
        <v>229</v>
      </c>
      <c r="B6" s="510" t="s">
        <v>0</v>
      </c>
      <c r="C6" s="531" t="s">
        <v>16</v>
      </c>
      <c r="D6" s="532">
        <f>+INDEX('[5]Budget original'!$A$2:$AO$501,MATCH($A6,'[5]Budget original'!$A$2:$A$501,0),MATCH(D$2,'[5]Budget original'!$A$2:$AO$2,0))</f>
        <v>14.399999999999999</v>
      </c>
      <c r="E6" s="532">
        <f>IF(D6=0,0,F6/D6)</f>
        <v>2198.1219285498491</v>
      </c>
      <c r="F6" s="532">
        <f>+INDEX('[5]Budget original'!$A$2:$AO$501,MATCH($A6,'[5]Budget original'!$A$2:$A$501,0),MATCH(F$2,'[5]Budget original'!$A$2:$AO$2,0))</f>
        <v>31652.955771117824</v>
      </c>
      <c r="G6" s="533"/>
      <c r="H6" s="532"/>
      <c r="I6" s="532"/>
      <c r="J6" s="533">
        <f>-SUMIFS([5]BV_Data_An_Cour!$O:$O,[5]BV_Data_An_Cour!$U:$U,$B6,[5]BV_Data_An_Cour!$V:$V,$C6,[5]BV_Data_An_Cour!$W:$W,J$2)</f>
        <v>12</v>
      </c>
      <c r="K6" s="532">
        <f t="shared" ref="K6:K12" si="0">IF(J6=0,0,L6/J6)</f>
        <v>1802.258333333335</v>
      </c>
      <c r="L6" s="534">
        <f>-SUMIFS([5]BV_Data_An_Cour!$O:$O,[5]BV_Data_An_Cour!$U:$U,$B6,[5]BV_Data_An_Cour!$V:$V,$C6,[5]BV_Data_An_Cour!$W:$W,L$2)</f>
        <v>21627.10000000002</v>
      </c>
      <c r="M6" s="533">
        <f t="shared" ref="M6:M12" si="1">J6-D6</f>
        <v>-2.3999999999999986</v>
      </c>
      <c r="N6" s="534">
        <f t="shared" ref="N6:N12" si="2">L6-F6</f>
        <v>-10025.855771117804</v>
      </c>
      <c r="O6" s="533">
        <f>+INDEX('[5]Réel 2023'!$A$2:$AO$501,MATCH($A6,'[5]Réel 2023'!$A$2:$A$501,0),MATCH(O$2,'[5]Réel 2023'!$A$2:$AO$2,0))</f>
        <v>14</v>
      </c>
      <c r="P6" s="532">
        <f t="shared" ref="P6:P12" si="3">IF(O6=0,0,Q6/O6)</f>
        <v>2125.1657142857143</v>
      </c>
      <c r="Q6" s="534">
        <f t="array" ref="Q6">+INDEX('[5]Réel 2023'!$A$2:$AO$501,MATCH($A6,'[5]Réel 2023'!$A$2:$A$501,0),MATCH(Q$2,'[5]Réel 2023'!$A$2:$AO$2,0))</f>
        <v>29752.32</v>
      </c>
      <c r="R6" s="533">
        <f t="shared" ref="R6:R12" si="4">J6-O6</f>
        <v>-2</v>
      </c>
      <c r="S6" s="534">
        <f t="shared" ref="S6:S12" si="5">L6-Q6</f>
        <v>-8125.2199999999793</v>
      </c>
      <c r="T6" s="510"/>
      <c r="U6" s="510"/>
      <c r="V6" s="516" t="s">
        <v>474</v>
      </c>
      <c r="W6" s="517">
        <v>2.5000000000000001E-2</v>
      </c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</row>
    <row r="7" spans="1:40" ht="20.399999999999999">
      <c r="A7" s="523" t="s">
        <v>230</v>
      </c>
      <c r="B7" s="510" t="s">
        <v>0</v>
      </c>
      <c r="C7" s="531" t="s">
        <v>17</v>
      </c>
      <c r="D7" s="532">
        <f>+INDEX('[5]Budget original'!$A$2:$AO$501,MATCH($A7,'[5]Budget original'!$A$2:$A$501,0),MATCH(D$2,'[5]Budget original'!$A$2:$AO$2,0))</f>
        <v>59.519999999999996</v>
      </c>
      <c r="E7" s="532">
        <f t="shared" ref="E7:E12" si="6">IF(D7=0,0,F7/D7)</f>
        <v>2873.2446535640911</v>
      </c>
      <c r="F7" s="532">
        <f>+INDEX('[5]Budget original'!$A$2:$AO$501,MATCH($A7,'[5]Budget original'!$A$2:$A$501,0),MATCH(F$2,'[5]Budget original'!$A$2:$AO$2,0))</f>
        <v>171015.5217801347</v>
      </c>
      <c r="G7" s="533"/>
      <c r="H7" s="532"/>
      <c r="I7" s="532"/>
      <c r="J7" s="533">
        <f>-SUMIFS([5]BV_Data_An_Cour!$O:$O,[5]BV_Data_An_Cour!$U:$U,$B7,[5]BV_Data_An_Cour!$V:$V,$C7,[5]BV_Data_An_Cour!$W:$W,J$2)</f>
        <v>32</v>
      </c>
      <c r="K7" s="532">
        <f t="shared" si="0"/>
        <v>1508.538750000007</v>
      </c>
      <c r="L7" s="534">
        <f>-SUMIFS([5]BV_Data_An_Cour!$O:$O,[5]BV_Data_An_Cour!$U:$U,$B7,[5]BV_Data_An_Cour!$V:$V,$C7,[5]BV_Data_An_Cour!$W:$W,L$2)</f>
        <v>48273.240000000224</v>
      </c>
      <c r="M7" s="533">
        <f t="shared" si="1"/>
        <v>-27.519999999999996</v>
      </c>
      <c r="N7" s="534">
        <f t="shared" si="2"/>
        <v>-122742.28178013448</v>
      </c>
      <c r="O7" s="533">
        <f t="array" ref="O7">+INDEX('[5]Réel 2023'!$A$2:$AO$501,MATCH($A7,'[5]Réel 2023'!$A$2:$A$501,0),MATCH(O$2,'[5]Réel 2023'!$A$2:$AO$2,0))</f>
        <v>45</v>
      </c>
      <c r="P7" s="532">
        <f t="shared" si="3"/>
        <v>2647.1666666666442</v>
      </c>
      <c r="Q7" s="534">
        <f t="array" ref="Q7">+INDEX('[5]Réel 2023'!$A$2:$AO$501,MATCH($A7,'[5]Réel 2023'!$A$2:$A$501,0),MATCH(Q$2,'[5]Réel 2023'!$A$2:$AO$2,0))</f>
        <v>119122.499999999</v>
      </c>
      <c r="R7" s="533">
        <f t="shared" si="4"/>
        <v>-13</v>
      </c>
      <c r="S7" s="534">
        <f t="shared" si="5"/>
        <v>-70849.259999998772</v>
      </c>
      <c r="T7" s="510"/>
      <c r="U7" s="510"/>
      <c r="V7" s="516" t="s">
        <v>475</v>
      </c>
      <c r="W7" s="517">
        <v>0.2</v>
      </c>
      <c r="X7" s="510"/>
      <c r="Y7" s="510"/>
      <c r="Z7" s="510"/>
      <c r="AA7" s="510"/>
      <c r="AB7" s="510"/>
      <c r="AC7" s="510"/>
      <c r="AD7" s="510"/>
      <c r="AE7" s="510"/>
      <c r="AF7" s="510"/>
      <c r="AG7" s="510"/>
      <c r="AH7" s="510"/>
      <c r="AI7" s="510"/>
      <c r="AJ7" s="510"/>
      <c r="AK7" s="510"/>
      <c r="AL7" s="510"/>
      <c r="AM7" s="510"/>
      <c r="AN7" s="510"/>
    </row>
    <row r="8" spans="1:40" ht="21" thickBot="1">
      <c r="A8" s="523" t="s">
        <v>231</v>
      </c>
      <c r="B8" s="510" t="s">
        <v>0</v>
      </c>
      <c r="C8" s="531" t="s">
        <v>18</v>
      </c>
      <c r="D8" s="532">
        <f>+INDEX('[5]Budget original'!$A$2:$AO$501,MATCH($A8,'[5]Budget original'!$A$2:$A$501,0),MATCH(D$2,'[5]Budget original'!$A$2:$AO$2,0))</f>
        <v>0</v>
      </c>
      <c r="E8" s="532">
        <f t="shared" si="6"/>
        <v>0</v>
      </c>
      <c r="F8" s="532">
        <f>+INDEX('[5]Budget original'!$A$2:$AO$501,MATCH($A8,'[5]Budget original'!$A$2:$A$501,0),MATCH(F$2,'[5]Budget original'!$A$2:$AO$2,0))</f>
        <v>0</v>
      </c>
      <c r="G8" s="533"/>
      <c r="H8" s="532"/>
      <c r="I8" s="532"/>
      <c r="J8" s="533">
        <f>-SUMIFS([5]BV_Data_An_Cour!$O:$O,[5]BV_Data_An_Cour!$U:$U,$B8,[5]BV_Data_An_Cour!$V:$V,$C8,[5]BV_Data_An_Cour!$W:$W,J$2)</f>
        <v>0</v>
      </c>
      <c r="K8" s="532">
        <f t="shared" si="0"/>
        <v>0</v>
      </c>
      <c r="L8" s="534">
        <f>-SUMIFS([5]BV_Data_An_Cour!$O:$O,[5]BV_Data_An_Cour!$U:$U,$B8,[5]BV_Data_An_Cour!$V:$V,$C8,[5]BV_Data_An_Cour!$W:$W,L$2)</f>
        <v>0</v>
      </c>
      <c r="M8" s="533">
        <f t="shared" si="1"/>
        <v>0</v>
      </c>
      <c r="N8" s="534">
        <f t="shared" si="2"/>
        <v>0</v>
      </c>
      <c r="O8" s="533">
        <f t="array" ref="O8">+INDEX('[5]Réel 2023'!$A$2:$AO$501,MATCH($A8,'[5]Réel 2023'!$A$2:$A$501,0),MATCH(O$2,'[5]Réel 2023'!$A$2:$AO$2,0))</f>
        <v>0</v>
      </c>
      <c r="P8" s="532">
        <f t="shared" si="3"/>
        <v>0</v>
      </c>
      <c r="Q8" s="534">
        <f t="array" ref="Q8">+INDEX('[5]Réel 2023'!$A$2:$AO$501,MATCH($A8,'[5]Réel 2023'!$A$2:$A$501,0),MATCH(Q$2,'[5]Réel 2023'!$A$2:$AO$2,0))</f>
        <v>0</v>
      </c>
      <c r="R8" s="533">
        <f t="shared" si="4"/>
        <v>0</v>
      </c>
      <c r="S8" s="534">
        <f t="shared" si="5"/>
        <v>0</v>
      </c>
      <c r="T8" s="510"/>
      <c r="U8" s="510"/>
      <c r="V8" s="535"/>
      <c r="W8" s="536">
        <f>SUM(W3:W7)</f>
        <v>1</v>
      </c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</row>
    <row r="9" spans="1:40" ht="21" thickTop="1">
      <c r="A9" s="523" t="s">
        <v>232</v>
      </c>
      <c r="B9" s="510" t="s">
        <v>0</v>
      </c>
      <c r="C9" s="531" t="s">
        <v>19</v>
      </c>
      <c r="D9" s="532">
        <f>+INDEX('[5]Budget original'!$A$2:$AO$501,MATCH($A9,'[5]Budget original'!$A$2:$A$501,0),MATCH(D$2,'[5]Budget original'!$A$2:$AO$2,0))</f>
        <v>0</v>
      </c>
      <c r="E9" s="532">
        <f t="shared" si="6"/>
        <v>0</v>
      </c>
      <c r="F9" s="532">
        <f>+INDEX('[5]Budget original'!$A$2:$AO$501,MATCH($A9,'[5]Budget original'!$A$2:$A$501,0),MATCH(F$2,'[5]Budget original'!$A$2:$AO$2,0))</f>
        <v>0</v>
      </c>
      <c r="G9" s="533"/>
      <c r="H9" s="532"/>
      <c r="I9" s="532"/>
      <c r="J9" s="533">
        <f>-SUMIFS([5]BV_Data_An_Cour!$O:$O,[5]BV_Data_An_Cour!$U:$U,$B9,[5]BV_Data_An_Cour!$V:$V,$C9,[5]BV_Data_An_Cour!$W:$W,J$2)</f>
        <v>0</v>
      </c>
      <c r="K9" s="532">
        <f t="shared" si="0"/>
        <v>0</v>
      </c>
      <c r="L9" s="534">
        <f>-SUMIFS([5]BV_Data_An_Cour!$O:$O,[5]BV_Data_An_Cour!$U:$U,$B9,[5]BV_Data_An_Cour!$V:$V,$C9,[5]BV_Data_An_Cour!$W:$W,L$2)</f>
        <v>0</v>
      </c>
      <c r="M9" s="533">
        <f t="shared" si="1"/>
        <v>0</v>
      </c>
      <c r="N9" s="534">
        <f t="shared" si="2"/>
        <v>0</v>
      </c>
      <c r="O9" s="533">
        <f t="array" ref="O9">+INDEX('[5]Réel 2023'!$A$2:$AO$501,MATCH($A9,'[5]Réel 2023'!$A$2:$A$501,0),MATCH(O$2,'[5]Réel 2023'!$A$2:$AO$2,0))</f>
        <v>0</v>
      </c>
      <c r="P9" s="532">
        <f t="shared" si="3"/>
        <v>0</v>
      </c>
      <c r="Q9" s="534">
        <f t="array" ref="Q9">+INDEX('[5]Réel 2023'!$A$2:$AO$501,MATCH($A9,'[5]Réel 2023'!$A$2:$A$501,0),MATCH(Q$2,'[5]Réel 2023'!$A$2:$AO$2,0))</f>
        <v>0</v>
      </c>
      <c r="R9" s="533">
        <f t="shared" si="4"/>
        <v>0</v>
      </c>
      <c r="S9" s="534">
        <f t="shared" si="5"/>
        <v>0</v>
      </c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</row>
    <row r="10" spans="1:40" ht="20.25" hidden="1" customHeight="1">
      <c r="A10" s="523" t="s">
        <v>233</v>
      </c>
      <c r="B10" s="510" t="s">
        <v>0</v>
      </c>
      <c r="C10" s="531" t="s">
        <v>20</v>
      </c>
      <c r="D10" s="532">
        <f>+INDEX('[5]Budget original'!$A$2:$AO$501,MATCH($A10,'[5]Budget original'!$A$2:$A$501,0),MATCH(D$2,'[5]Budget original'!$A$2:$AO$2,0))</f>
        <v>0</v>
      </c>
      <c r="E10" s="532">
        <f t="shared" si="6"/>
        <v>0</v>
      </c>
      <c r="F10" s="532">
        <f>+INDEX('[5]Budget original'!$A$2:$AO$501,MATCH($A10,'[5]Budget original'!$A$2:$A$501,0),MATCH(F$2,'[5]Budget original'!$A$2:$AO$2,0))</f>
        <v>0</v>
      </c>
      <c r="G10" s="533"/>
      <c r="H10" s="532"/>
      <c r="I10" s="532"/>
      <c r="J10" s="533">
        <f>-SUMIFS([5]BV_Data_An_Cour!$O:$O,[5]BV_Data_An_Cour!$U:$U,$B10,[5]BV_Data_An_Cour!$V:$V,$C10,[5]BV_Data_An_Cour!$W:$W,J$2)</f>
        <v>0</v>
      </c>
      <c r="K10" s="532">
        <f t="shared" si="0"/>
        <v>0</v>
      </c>
      <c r="L10" s="534">
        <f>-SUMIFS([5]BV_Data_An_Cour!$O:$O,[5]BV_Data_An_Cour!$U:$U,$B10,[5]BV_Data_An_Cour!$V:$V,$C10,[5]BV_Data_An_Cour!$W:$W,L$2)</f>
        <v>0</v>
      </c>
      <c r="M10" s="533">
        <f t="shared" si="1"/>
        <v>0</v>
      </c>
      <c r="N10" s="534">
        <f t="shared" si="2"/>
        <v>0</v>
      </c>
      <c r="O10" s="533">
        <f t="array" ref="O10">+INDEX('[5]Réel 2023'!$A$2:$AO$501,MATCH($A10,'[5]Réel 2023'!$A$2:$A$501,0),MATCH(O$2,'[5]Réel 2023'!$A$2:$AO$2,0))</f>
        <v>0</v>
      </c>
      <c r="P10" s="532">
        <f t="shared" si="3"/>
        <v>0</v>
      </c>
      <c r="Q10" s="534">
        <f t="array" ref="Q10">+INDEX('[5]Réel 2023'!$A$2:$AO$501,MATCH($A10,'[5]Réel 2023'!$A$2:$A$501,0),MATCH(Q$2,'[5]Réel 2023'!$A$2:$AO$2,0))</f>
        <v>0</v>
      </c>
      <c r="R10" s="533">
        <f t="shared" si="4"/>
        <v>0</v>
      </c>
      <c r="S10" s="534">
        <f t="shared" si="5"/>
        <v>0</v>
      </c>
      <c r="T10" s="510"/>
      <c r="U10" s="510"/>
      <c r="V10" s="510"/>
      <c r="W10" s="510"/>
      <c r="X10" s="510"/>
      <c r="Y10" s="510"/>
      <c r="Z10" s="510"/>
      <c r="AA10" s="510"/>
      <c r="AB10" s="510"/>
      <c r="AC10" s="510"/>
      <c r="AD10" s="510"/>
      <c r="AE10" s="510"/>
      <c r="AF10" s="510"/>
      <c r="AG10" s="510"/>
      <c r="AH10" s="510"/>
      <c r="AI10" s="510"/>
      <c r="AJ10" s="510"/>
      <c r="AK10" s="510"/>
      <c r="AL10" s="510"/>
      <c r="AM10" s="510"/>
      <c r="AN10" s="510"/>
    </row>
    <row r="11" spans="1:40" ht="20.25" hidden="1" customHeight="1">
      <c r="A11" s="523" t="s">
        <v>233</v>
      </c>
      <c r="B11" s="510" t="s">
        <v>0</v>
      </c>
      <c r="C11" s="531" t="s">
        <v>20</v>
      </c>
      <c r="D11" s="532">
        <f>+INDEX('[5]Budget original'!$A$2:$AO$501,MATCH($A11,'[5]Budget original'!$A$2:$A$501,0),MATCH(D$2,'[5]Budget original'!$A$2:$AO$2,0))</f>
        <v>0</v>
      </c>
      <c r="E11" s="532">
        <f t="shared" si="6"/>
        <v>0</v>
      </c>
      <c r="F11" s="532">
        <f>+INDEX('[5]Budget original'!$A$2:$AO$501,MATCH($A11,'[5]Budget original'!$A$2:$A$501,0),MATCH(F$2,'[5]Budget original'!$A$2:$AO$2,0))</f>
        <v>0</v>
      </c>
      <c r="G11" s="533"/>
      <c r="H11" s="532"/>
      <c r="I11" s="532"/>
      <c r="J11" s="533">
        <f>-SUMIFS([5]BV_Data_An_Cour!$O:$O,[5]BV_Data_An_Cour!$U:$U,$B11,[5]BV_Data_An_Cour!$V:$V,$C11,[5]BV_Data_An_Cour!$W:$W,J$2)</f>
        <v>0</v>
      </c>
      <c r="K11" s="532">
        <f t="shared" si="0"/>
        <v>0</v>
      </c>
      <c r="L11" s="534">
        <f>-SUMIFS([5]BV_Data_An_Cour!$O:$O,[5]BV_Data_An_Cour!$U:$U,$B11,[5]BV_Data_An_Cour!$V:$V,$C11,[5]BV_Data_An_Cour!$W:$W,L$2)</f>
        <v>0</v>
      </c>
      <c r="M11" s="533">
        <f t="shared" si="1"/>
        <v>0</v>
      </c>
      <c r="N11" s="534">
        <f t="shared" si="2"/>
        <v>0</v>
      </c>
      <c r="O11" s="533">
        <f t="array" ref="O11">+INDEX('[5]Réel 2023'!$A$2:$AO$501,MATCH($A11,'[5]Réel 2023'!$A$2:$A$501,0),MATCH(O$2,'[5]Réel 2023'!$A$2:$AO$2,0))</f>
        <v>0</v>
      </c>
      <c r="P11" s="532">
        <f t="shared" si="3"/>
        <v>0</v>
      </c>
      <c r="Q11" s="534">
        <f t="array" ref="Q11">+INDEX('[5]Réel 2023'!$A$2:$AO$501,MATCH($A11,'[5]Réel 2023'!$A$2:$A$501,0),MATCH(Q$2,'[5]Réel 2023'!$A$2:$AO$2,0))</f>
        <v>0</v>
      </c>
      <c r="R11" s="533">
        <f t="shared" si="4"/>
        <v>0</v>
      </c>
      <c r="S11" s="534">
        <f t="shared" si="5"/>
        <v>0</v>
      </c>
      <c r="T11" s="510"/>
      <c r="U11" s="510"/>
      <c r="V11" s="510"/>
      <c r="W11" s="510"/>
      <c r="X11" s="510"/>
      <c r="Y11" s="510"/>
      <c r="Z11" s="510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</row>
    <row r="12" spans="1:40" ht="20.25" hidden="1" customHeight="1">
      <c r="A12" s="523" t="s">
        <v>233</v>
      </c>
      <c r="B12" s="510" t="s">
        <v>0</v>
      </c>
      <c r="C12" s="531" t="s">
        <v>20</v>
      </c>
      <c r="D12" s="532">
        <f>+INDEX('[5]Budget original'!$A$2:$AO$501,MATCH($A12,'[5]Budget original'!$A$2:$A$501,0),MATCH(D$2,'[5]Budget original'!$A$2:$AO$2,0))</f>
        <v>0</v>
      </c>
      <c r="E12" s="532">
        <f t="shared" si="6"/>
        <v>0</v>
      </c>
      <c r="F12" s="532">
        <f>+INDEX('[5]Budget original'!$A$2:$AO$501,MATCH($A12,'[5]Budget original'!$A$2:$A$501,0),MATCH(F$2,'[5]Budget original'!$A$2:$AO$2,0))</f>
        <v>0</v>
      </c>
      <c r="G12" s="533"/>
      <c r="H12" s="532"/>
      <c r="I12" s="532"/>
      <c r="J12" s="533">
        <f>-SUMIFS([5]BV_Data_An_Cour!$O:$O,[5]BV_Data_An_Cour!$U:$U,$B12,[5]BV_Data_An_Cour!$V:$V,$C12,[5]BV_Data_An_Cour!$W:$W,J$2)</f>
        <v>0</v>
      </c>
      <c r="K12" s="532">
        <f t="shared" si="0"/>
        <v>0</v>
      </c>
      <c r="L12" s="534">
        <f>-SUMIFS([5]BV_Data_An_Cour!$O:$O,[5]BV_Data_An_Cour!$U:$U,$B12,[5]BV_Data_An_Cour!$V:$V,$C12,[5]BV_Data_An_Cour!$W:$W,L$2)</f>
        <v>0</v>
      </c>
      <c r="M12" s="533">
        <f t="shared" si="1"/>
        <v>0</v>
      </c>
      <c r="N12" s="534">
        <f t="shared" si="2"/>
        <v>0</v>
      </c>
      <c r="O12" s="533">
        <f t="array" ref="O12">+INDEX('[5]Réel 2023'!$A$2:$AO$501,MATCH($A12,'[5]Réel 2023'!$A$2:$A$501,0),MATCH(O$2,'[5]Réel 2023'!$A$2:$AO$2,0))</f>
        <v>0</v>
      </c>
      <c r="P12" s="532">
        <f t="shared" si="3"/>
        <v>0</v>
      </c>
      <c r="Q12" s="534">
        <f t="array" ref="Q12">+INDEX('[5]Réel 2023'!$A$2:$AO$501,MATCH($A12,'[5]Réel 2023'!$A$2:$A$501,0),MATCH(Q$2,'[5]Réel 2023'!$A$2:$AO$2,0))</f>
        <v>0</v>
      </c>
      <c r="R12" s="533">
        <f t="shared" si="4"/>
        <v>0</v>
      </c>
      <c r="S12" s="534">
        <f t="shared" si="5"/>
        <v>0</v>
      </c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</row>
    <row r="13" spans="1:40" ht="21">
      <c r="A13" s="523" t="s">
        <v>234</v>
      </c>
      <c r="B13" s="510" t="s">
        <v>0</v>
      </c>
      <c r="C13" s="537" t="s">
        <v>21</v>
      </c>
      <c r="D13" s="538">
        <f>+SUM(D6:D12)</f>
        <v>73.919999999999987</v>
      </c>
      <c r="E13" s="538">
        <f>IF(D13&lt;=0,0,F13/D13)</f>
        <v>2741.7272396002782</v>
      </c>
      <c r="F13" s="539">
        <f>+SUM(F6:F12)</f>
        <v>202668.47755125252</v>
      </c>
      <c r="G13" s="540"/>
      <c r="H13" s="538"/>
      <c r="I13" s="539"/>
      <c r="J13" s="540">
        <f t="shared" ref="J13" si="7">+SUM(J6:J12)</f>
        <v>44</v>
      </c>
      <c r="K13" s="538">
        <f>IF(J13&lt;=0,0,L13/J13)</f>
        <v>1588.6440909090963</v>
      </c>
      <c r="L13" s="539">
        <f t="shared" ref="L13" si="8">+SUM(L6:L12)</f>
        <v>69900.340000000244</v>
      </c>
      <c r="M13" s="540">
        <f>+SUM(M6:M12)</f>
        <v>-29.919999999999995</v>
      </c>
      <c r="N13" s="539">
        <f t="shared" ref="N13" si="9">+SUM(N6:N12)</f>
        <v>-132768.13755125229</v>
      </c>
      <c r="O13" s="540">
        <f>+SUM(O6:O12)</f>
        <v>59</v>
      </c>
      <c r="P13" s="538">
        <f>IF(O13&lt;=0,0,Q13/O13)</f>
        <v>2523.3020338982878</v>
      </c>
      <c r="Q13" s="539">
        <f t="shared" ref="Q13" si="10">+SUM(Q6:Q12)</f>
        <v>148874.81999999899</v>
      </c>
      <c r="R13" s="540">
        <f t="shared" ref="R13:S13" si="11">+SUM(R6:R12)</f>
        <v>-15</v>
      </c>
      <c r="S13" s="539">
        <f t="shared" si="11"/>
        <v>-78974.479999998759</v>
      </c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</row>
    <row r="14" spans="1:40" ht="20.399999999999999">
      <c r="A14" s="523" t="s">
        <v>0</v>
      </c>
      <c r="B14" s="510" t="s">
        <v>0</v>
      </c>
      <c r="C14" s="531"/>
      <c r="D14" s="510"/>
      <c r="E14" s="532"/>
      <c r="F14" s="541"/>
      <c r="G14" s="531"/>
      <c r="H14" s="532"/>
      <c r="I14" s="541"/>
      <c r="J14" s="531"/>
      <c r="K14" s="532"/>
      <c r="L14" s="541"/>
      <c r="M14" s="542">
        <f>IF(D13=0,0,M13/D13)</f>
        <v>-0.40476190476190477</v>
      </c>
      <c r="N14" s="543">
        <f>IF(F13=0,0,N13/F13)</f>
        <v>-0.65510008835822409</v>
      </c>
      <c r="O14" s="531"/>
      <c r="P14" s="532"/>
      <c r="Q14" s="541"/>
      <c r="R14" s="542">
        <f>R13/O13</f>
        <v>-0.25423728813559321</v>
      </c>
      <c r="S14" s="543">
        <f>IF(Q13=0,0,(S13/Q13))</f>
        <v>-0.5304757379387548</v>
      </c>
      <c r="T14" s="510"/>
      <c r="U14" s="510"/>
      <c r="V14" s="510"/>
      <c r="W14" s="532"/>
      <c r="X14" s="532"/>
      <c r="Y14" s="510"/>
      <c r="Z14" s="510"/>
      <c r="AA14" s="510"/>
      <c r="AB14" s="510"/>
      <c r="AC14" s="510"/>
      <c r="AD14" s="510">
        <v>20</v>
      </c>
      <c r="AE14" s="510">
        <v>1000</v>
      </c>
      <c r="AF14" s="510">
        <f>AD14*AE14</f>
        <v>20000</v>
      </c>
      <c r="AG14" s="510"/>
      <c r="AH14" s="510"/>
      <c r="AI14" s="510"/>
      <c r="AJ14" s="510"/>
      <c r="AK14" s="510"/>
      <c r="AL14" s="510"/>
      <c r="AM14" s="510"/>
      <c r="AN14" s="510"/>
    </row>
    <row r="15" spans="1:40" ht="21">
      <c r="A15" s="523" t="s">
        <v>235</v>
      </c>
      <c r="B15" s="510" t="s">
        <v>0</v>
      </c>
      <c r="C15" s="544" t="s">
        <v>22</v>
      </c>
      <c r="D15" s="528">
        <f>+INDEX('[5]Budget original'!$A$2:$AO$501,MATCH($A15,'[5]Budget original'!$A$2:$A$501,0),MATCH(D$2,'[5]Budget original'!$A$2:$AO$2,0))</f>
        <v>5.88</v>
      </c>
      <c r="E15" s="528">
        <f>IF(D15=0,0,F15/D15)</f>
        <v>2535.1215876200376</v>
      </c>
      <c r="F15" s="526">
        <f>+INDEX('[5]Budget original'!$A$2:$AO$501,MATCH($A15,'[5]Budget original'!$A$2:$A$501,0),MATCH(F$2,'[5]Budget original'!$A$2:$AO$2,0))</f>
        <v>14906.514935205822</v>
      </c>
      <c r="G15" s="545"/>
      <c r="H15" s="528"/>
      <c r="I15" s="526"/>
      <c r="J15" s="546">
        <f>-SUMIFS([5]BV_Data_An_Cour!$O:$O,[5]BV_Data_An_Cour!$U:$U,$B15,[5]BV_Data_An_Cour!$V:$V,$C15,[5]BV_Data_An_Cour!$W:$W,J$2)</f>
        <v>6</v>
      </c>
      <c r="K15" s="547">
        <f>IF(J15=0,0,L15/J15)</f>
        <v>1038.8833333333314</v>
      </c>
      <c r="L15" s="547">
        <f>-SUMIFS([5]BV_Data_An_Cour!$O:$O,[5]BV_Data_An_Cour!$U:$U,$B15,[5]BV_Data_An_Cour!$V:$V,$C15,[5]BV_Data_An_Cour!$W:$W,L$2)</f>
        <v>6233.2999999999884</v>
      </c>
      <c r="M15" s="545">
        <f>J15-D15</f>
        <v>0.12000000000000011</v>
      </c>
      <c r="N15" s="526">
        <f>L15-F15</f>
        <v>-8673.2149352058332</v>
      </c>
      <c r="O15" s="546">
        <f t="array" ref="O15">+INDEX('[5]Réel 2023'!$A$2:$AO$501,MATCH($A15,'[5]Réel 2023'!$A$2:$A$501,0),MATCH(O$2,'[5]Réel 2023'!$A$2:$AO$2,0))</f>
        <v>0</v>
      </c>
      <c r="P15" s="547">
        <f>IF(O15=0,0,Q15/O15)</f>
        <v>0</v>
      </c>
      <c r="Q15" s="547">
        <f t="array" ref="Q15">+INDEX('[5]Réel 2023'!$A$2:$AO$501,MATCH($A15,'[5]Réel 2023'!$A$2:$A$501,0),MATCH(Q$2,'[5]Réel 2023'!$A$2:$AO$2,0))</f>
        <v>3550</v>
      </c>
      <c r="R15" s="545">
        <f>J15-O15</f>
        <v>6</v>
      </c>
      <c r="S15" s="526">
        <f>L15-Q15</f>
        <v>2683.2999999999884</v>
      </c>
      <c r="T15" s="510"/>
      <c r="U15" s="523"/>
      <c r="V15" s="532"/>
      <c r="W15" s="510"/>
      <c r="X15" s="510"/>
      <c r="Y15" s="510"/>
      <c r="Z15" s="510"/>
      <c r="AA15" s="510"/>
      <c r="AB15" s="510"/>
      <c r="AC15" s="510"/>
      <c r="AD15" s="510">
        <v>25</v>
      </c>
      <c r="AE15" s="510">
        <f>AF15/AD15</f>
        <v>800</v>
      </c>
      <c r="AF15" s="510">
        <f>AF14</f>
        <v>20000</v>
      </c>
      <c r="AG15" s="510"/>
      <c r="AH15" s="510"/>
      <c r="AI15" s="510"/>
      <c r="AJ15" s="510"/>
      <c r="AK15" s="510"/>
      <c r="AL15" s="510"/>
      <c r="AM15" s="510"/>
      <c r="AN15" s="510"/>
    </row>
    <row r="16" spans="1:40" ht="21">
      <c r="A16" s="523" t="s">
        <v>0</v>
      </c>
      <c r="B16" s="510" t="s">
        <v>0</v>
      </c>
      <c r="C16" s="531"/>
      <c r="D16" s="510"/>
      <c r="E16" s="532"/>
      <c r="F16" s="541"/>
      <c r="G16" s="531"/>
      <c r="H16" s="532"/>
      <c r="I16" s="541"/>
      <c r="J16" s="531"/>
      <c r="K16" s="532"/>
      <c r="L16" s="534"/>
      <c r="M16" s="548"/>
      <c r="N16" s="549"/>
      <c r="O16" s="531"/>
      <c r="P16" s="532"/>
      <c r="Q16" s="534"/>
      <c r="R16" s="548"/>
      <c r="S16" s="549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</row>
    <row r="17" spans="1:40" ht="21">
      <c r="A17" s="523" t="s">
        <v>236</v>
      </c>
      <c r="B17" s="510" t="s">
        <v>0</v>
      </c>
      <c r="C17" s="550" t="s">
        <v>23</v>
      </c>
      <c r="D17" s="532">
        <f>+INDEX('[5]Budget original'!$A$2:$AO$501,MATCH($A17,'[5]Budget original'!$A$2:$A$501,0),MATCH(D$2,'[5]Budget original'!$A$2:$AO$2,0))</f>
        <v>5.3999999999999995</v>
      </c>
      <c r="E17" s="532">
        <f>IF(D17=0,0,F17/D17)</f>
        <v>2664.4640678584237</v>
      </c>
      <c r="F17" s="532">
        <f>+INDEX('[5]Budget original'!$A$2:$AO$501,MATCH($A17,'[5]Budget original'!$A$2:$A$501,0),MATCH(F$2,'[5]Budget original'!$A$2:$AO$2,0))</f>
        <v>14388.105966435487</v>
      </c>
      <c r="G17" s="533"/>
      <c r="H17" s="532"/>
      <c r="I17" s="532"/>
      <c r="J17" s="545">
        <f>-SUMIFS([5]BV_Data_An_Cour!$O:$O,[5]BV_Data_An_Cour!$U:$U,$B17,[5]BV_Data_An_Cour!$V:$V,$C17,[5]BV_Data_An_Cour!$W:$W,J$2)</f>
        <v>2</v>
      </c>
      <c r="K17" s="532">
        <f>IF(J17=0,0,L17/J17)</f>
        <v>383.47999999999593</v>
      </c>
      <c r="L17" s="534">
        <f>-SUMIFS([5]BV_Data_An_Cour!$O:$O,[5]BV_Data_An_Cour!$U:$U,$B17,[5]BV_Data_An_Cour!$V:$V,$C17,[5]BV_Data_An_Cour!$W:$W,L$2)</f>
        <v>766.95999999999185</v>
      </c>
      <c r="M17" s="545">
        <f>J17-D17</f>
        <v>-3.3999999999999995</v>
      </c>
      <c r="N17" s="534">
        <f>L17-F17</f>
        <v>-13621.145966435495</v>
      </c>
      <c r="O17" s="545">
        <f t="array" ref="O17">+INDEX('[5]Réel 2023'!$A$2:$AO$501,MATCH($A17,'[5]Réel 2023'!$A$2:$A$501,0),MATCH(O$2,'[5]Réel 2023'!$A$2:$AO$2,0))</f>
        <v>8</v>
      </c>
      <c r="P17" s="532">
        <f>IF(O17=0,0,Q17/O17)</f>
        <v>3193.38</v>
      </c>
      <c r="Q17" s="534">
        <f t="array" ref="Q17">+INDEX('[5]Réel 2023'!$A$2:$AO$501,MATCH($A17,'[5]Réel 2023'!$A$2:$A$501,0),MATCH(Q$2,'[5]Réel 2023'!$A$2:$AO$2,0))</f>
        <v>25547.040000000001</v>
      </c>
      <c r="R17" s="533">
        <f>J17-O17</f>
        <v>-6</v>
      </c>
      <c r="S17" s="534">
        <f>L17-Q17</f>
        <v>-24780.080000000009</v>
      </c>
      <c r="T17" s="510"/>
      <c r="U17" s="507"/>
      <c r="V17" s="551"/>
      <c r="W17" s="510"/>
      <c r="X17" s="510"/>
      <c r="Y17" s="510"/>
      <c r="Z17" s="510"/>
      <c r="AA17" s="532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</row>
    <row r="18" spans="1:40" ht="21">
      <c r="A18" s="523" t="s">
        <v>0</v>
      </c>
      <c r="B18" s="510" t="s">
        <v>0</v>
      </c>
      <c r="C18" s="537"/>
      <c r="D18" s="552"/>
      <c r="E18" s="552"/>
      <c r="F18" s="553"/>
      <c r="G18" s="554"/>
      <c r="H18" s="552"/>
      <c r="I18" s="553"/>
      <c r="J18" s="533"/>
      <c r="K18" s="552"/>
      <c r="L18" s="553"/>
      <c r="M18" s="533"/>
      <c r="N18" s="553"/>
      <c r="O18" s="533"/>
      <c r="P18" s="552"/>
      <c r="Q18" s="553"/>
      <c r="R18" s="554"/>
      <c r="S18" s="553"/>
      <c r="T18" s="510"/>
      <c r="U18" s="510"/>
      <c r="W18" s="510"/>
      <c r="X18" s="510"/>
      <c r="Y18" s="510"/>
      <c r="Z18" s="510"/>
      <c r="AA18" s="510"/>
      <c r="AB18" s="510"/>
      <c r="AC18" s="510"/>
      <c r="AD18" s="510"/>
      <c r="AE18" s="510"/>
      <c r="AF18" s="510"/>
      <c r="AG18" s="510"/>
      <c r="AH18" s="510"/>
      <c r="AI18" s="510"/>
      <c r="AJ18" s="510"/>
      <c r="AK18" s="510"/>
      <c r="AL18" s="510"/>
      <c r="AM18" s="510"/>
      <c r="AN18" s="510"/>
    </row>
    <row r="19" spans="1:40" ht="21">
      <c r="A19" s="523" t="s">
        <v>237</v>
      </c>
      <c r="B19" s="510" t="s">
        <v>0</v>
      </c>
      <c r="C19" s="544" t="s">
        <v>24</v>
      </c>
      <c r="D19" s="532">
        <f>+INDEX('[5]Budget original'!$A$2:$AO$501,MATCH($A19,'[5]Budget original'!$A$2:$A$501,0),MATCH(D$2,'[5]Budget original'!$A$2:$AO$2,0))</f>
        <v>0</v>
      </c>
      <c r="E19" s="532">
        <f>IF(D19=0,0,F19/D19)</f>
        <v>0</v>
      </c>
      <c r="F19" s="532">
        <f>+INDEX('[5]Budget original'!$A$2:$AO$501,MATCH($A19,'[5]Budget original'!$A$2:$A$501,0),MATCH(F$2,'[5]Budget original'!$A$2:$AO$2,0))</f>
        <v>10200</v>
      </c>
      <c r="G19" s="533"/>
      <c r="H19" s="532"/>
      <c r="I19" s="532"/>
      <c r="J19" s="545"/>
      <c r="K19" s="532"/>
      <c r="L19" s="534">
        <f>-SUMIFS([5]BV_Data_An_Cour!$O:$O,[5]BV_Data_An_Cour!$U:$U,$B19,[5]BV_Data_An_Cour!$V:$V,$C19,[5]BV_Data_An_Cour!$W:$W,L$2)</f>
        <v>10100</v>
      </c>
      <c r="M19" s="533"/>
      <c r="N19" s="534">
        <f>L19-F19</f>
        <v>-100</v>
      </c>
      <c r="O19" s="545"/>
      <c r="P19" s="532"/>
      <c r="Q19" s="534">
        <f t="array" ref="Q19">+INDEX('[5]Réel 2023'!$A$2:$AO$501,MATCH($A19,'[5]Réel 2023'!$A$2:$A$501,0),MATCH(Q$2,'[5]Réel 2023'!$A$2:$AO$2,0))</f>
        <v>8229.7100000000191</v>
      </c>
      <c r="R19" s="533">
        <f>O19-K19</f>
        <v>0</v>
      </c>
      <c r="S19" s="534">
        <f>L19-Q19</f>
        <v>1870.2899999999809</v>
      </c>
      <c r="T19" s="510"/>
      <c r="W19" s="532"/>
      <c r="X19" s="555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0"/>
      <c r="AL19" s="510"/>
      <c r="AM19" s="510"/>
      <c r="AN19" s="510"/>
    </row>
    <row r="20" spans="1:40" ht="21">
      <c r="A20" s="523" t="s">
        <v>0</v>
      </c>
      <c r="B20" s="510" t="s">
        <v>0</v>
      </c>
      <c r="C20" s="537"/>
      <c r="D20" s="552"/>
      <c r="E20" s="552"/>
      <c r="F20" s="553"/>
      <c r="G20" s="554"/>
      <c r="H20" s="552"/>
      <c r="I20" s="553"/>
      <c r="J20" s="533"/>
      <c r="K20" s="552"/>
      <c r="L20" s="553"/>
      <c r="M20" s="554"/>
      <c r="N20" s="553"/>
      <c r="O20" s="533"/>
      <c r="P20" s="552"/>
      <c r="Q20" s="553"/>
      <c r="R20" s="554"/>
      <c r="S20" s="553"/>
      <c r="T20" s="510"/>
      <c r="U20" s="510"/>
      <c r="W20" s="532"/>
      <c r="X20" s="555"/>
      <c r="Y20" s="510"/>
      <c r="Z20" s="510"/>
      <c r="AA20" s="510"/>
      <c r="AB20" s="510"/>
      <c r="AC20" s="510"/>
      <c r="AD20" s="510"/>
      <c r="AE20" s="510"/>
      <c r="AF20" s="510"/>
      <c r="AG20" s="510"/>
      <c r="AH20" s="510"/>
      <c r="AI20" s="510"/>
      <c r="AJ20" s="510"/>
      <c r="AK20" s="510"/>
      <c r="AL20" s="510"/>
      <c r="AM20" s="510"/>
      <c r="AN20" s="510"/>
    </row>
    <row r="21" spans="1:40" ht="15.75" customHeight="1">
      <c r="A21" s="523" t="s">
        <v>238</v>
      </c>
      <c r="B21" s="510" t="s">
        <v>0</v>
      </c>
      <c r="C21" s="531" t="s">
        <v>25</v>
      </c>
      <c r="D21" s="532">
        <f>+INDEX('[5]Budget original'!$A$2:$AO$501,MATCH($A21,'[5]Budget original'!$A$2:$A$501,0),MATCH(D$2,'[5]Budget original'!$A$2:$AO$2,0))</f>
        <v>0</v>
      </c>
      <c r="E21" s="532">
        <f>IF(D21=0,0,F21/D21)</f>
        <v>0</v>
      </c>
      <c r="F21" s="532">
        <f>+INDEX('[5]Budget original'!$A$2:$AO$501,MATCH($A21,'[5]Budget original'!$A$2:$A$501,0),MATCH(F$2,'[5]Budget original'!$A$2:$AO$2,0))</f>
        <v>15959.999999999996</v>
      </c>
      <c r="G21" s="533"/>
      <c r="H21" s="532"/>
      <c r="I21" s="532"/>
      <c r="J21" s="533"/>
      <c r="K21" s="532">
        <f>IF(J13=0,0,L21/(J13+J15))</f>
        <v>0</v>
      </c>
      <c r="L21" s="534">
        <f>-SUMIFS([5]BV_Data_An_Cour!$O:$O,[5]BV_Data_An_Cour!$U:$U,$B21,[5]BV_Data_An_Cour!$V:$V,$C21,[5]BV_Data_An_Cour!$W:$W,L$2)</f>
        <v>0</v>
      </c>
      <c r="M21" s="533"/>
      <c r="N21" s="534">
        <f>L21-F21</f>
        <v>-15959.999999999996</v>
      </c>
      <c r="O21" s="533"/>
      <c r="P21" s="532"/>
      <c r="Q21" s="534">
        <f t="array" ref="Q21">+INDEX('[5]Réel 2023'!$A$2:$AO$501,MATCH($A21,'[5]Réel 2023'!$A$2:$A$501,0),MATCH(Q$2,'[5]Réel 2023'!$A$2:$AO$2,0))</f>
        <v>3481.61</v>
      </c>
      <c r="R21" s="533">
        <f t="shared" ref="R21:R23" si="12">O21-K21</f>
        <v>0</v>
      </c>
      <c r="S21" s="534">
        <f t="shared" ref="S21:S24" si="13">L21-Q21</f>
        <v>-3481.61</v>
      </c>
      <c r="T21" s="510"/>
      <c r="U21" s="510"/>
      <c r="W21" s="510"/>
      <c r="X21" s="555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  <c r="AJ21" s="510"/>
      <c r="AK21" s="510"/>
      <c r="AL21" s="510"/>
      <c r="AM21" s="510"/>
      <c r="AN21" s="510"/>
    </row>
    <row r="22" spans="1:40" ht="18" customHeight="1">
      <c r="A22" s="523" t="s">
        <v>239</v>
      </c>
      <c r="B22" s="510" t="s">
        <v>0</v>
      </c>
      <c r="C22" s="531" t="s">
        <v>26</v>
      </c>
      <c r="D22" s="532">
        <f>+INDEX('[5]Budget original'!$A$2:$AO$501,MATCH($A22,'[5]Budget original'!$A$2:$A$501,0),MATCH(D$2,'[5]Budget original'!$A$2:$AO$2,0))</f>
        <v>0</v>
      </c>
      <c r="E22" s="532">
        <f>IF(D22=0,0,F22/D22)</f>
        <v>0</v>
      </c>
      <c r="F22" s="532">
        <f>+INDEX('[5]Budget original'!$A$2:$AO$501,MATCH($A22,'[5]Budget original'!$A$2:$A$501,0),MATCH(F$2,'[5]Budget original'!$A$2:$AO$2,0))</f>
        <v>86183.999999999985</v>
      </c>
      <c r="G22" s="533"/>
      <c r="H22" s="532"/>
      <c r="I22" s="532"/>
      <c r="J22" s="533"/>
      <c r="K22" s="532">
        <f>IF(J13=0,0,L22/(J13+J15))</f>
        <v>844.52660000000003</v>
      </c>
      <c r="L22" s="534">
        <f>-SUMIFS([5]BV_Data_An_Cour!$O:$O,[5]BV_Data_An_Cour!$U:$U,$B22,[5]BV_Data_An_Cour!$V:$V,$C22,[5]BV_Data_An_Cour!$W:$W,L$2)</f>
        <v>42226.33</v>
      </c>
      <c r="M22" s="533"/>
      <c r="N22" s="534">
        <f>L22-F22</f>
        <v>-43957.669999999984</v>
      </c>
      <c r="O22" s="533"/>
      <c r="P22" s="532"/>
      <c r="Q22" s="534">
        <f t="array" ref="Q22">+INDEX('[5]Réel 2023'!$A$2:$AO$501,MATCH($A22,'[5]Réel 2023'!$A$2:$A$501,0),MATCH(Q$2,'[5]Réel 2023'!$A$2:$AO$2,0))</f>
        <v>55582.9</v>
      </c>
      <c r="R22" s="533">
        <f t="shared" si="12"/>
        <v>-844.52660000000003</v>
      </c>
      <c r="S22" s="534">
        <f t="shared" si="13"/>
        <v>-13356.57</v>
      </c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J22" s="510"/>
      <c r="AK22" s="510"/>
      <c r="AL22" s="510"/>
      <c r="AM22" s="510"/>
      <c r="AN22" s="510"/>
    </row>
    <row r="23" spans="1:40" ht="19.5" customHeight="1">
      <c r="A23" s="523" t="s">
        <v>240</v>
      </c>
      <c r="B23" s="510" t="s">
        <v>0</v>
      </c>
      <c r="C23" s="531" t="s">
        <v>27</v>
      </c>
      <c r="D23" s="532">
        <f>+INDEX('[5]Budget original'!$A$2:$AO$501,MATCH($A23,'[5]Budget original'!$A$2:$A$501,0),MATCH(D$2,'[5]Budget original'!$A$2:$AO$2,0))</f>
        <v>0</v>
      </c>
      <c r="E23" s="532">
        <f>IF(D23=0,0,F23/D23)</f>
        <v>0</v>
      </c>
      <c r="F23" s="532">
        <f>+INDEX('[5]Budget original'!$A$2:$AO$501,MATCH($A23,'[5]Budget original'!$A$2:$A$501,0),MATCH(F$2,'[5]Budget original'!$A$2:$AO$2,0))</f>
        <v>1595.9999999999995</v>
      </c>
      <c r="G23" s="533"/>
      <c r="H23" s="532"/>
      <c r="I23" s="532"/>
      <c r="J23" s="533"/>
      <c r="K23" s="532">
        <f>IF(J13=0,0,L23/(J13+J15))</f>
        <v>12.8804</v>
      </c>
      <c r="L23" s="534">
        <f>-SUMIFS([5]BV_Data_An_Cour!$O:$O,[5]BV_Data_An_Cour!$U:$U,$B23,[5]BV_Data_An_Cour!$V:$V,$C23,[5]BV_Data_An_Cour!$W:$W,L$2)</f>
        <v>644.02</v>
      </c>
      <c r="M23" s="545"/>
      <c r="N23" s="534">
        <f>L23-F23</f>
        <v>-951.97999999999956</v>
      </c>
      <c r="O23" s="533"/>
      <c r="P23" s="532"/>
      <c r="Q23" s="534">
        <f t="array" ref="Q23">+INDEX('[5]Réel 2023'!$A$2:$AO$501,MATCH($A23,'[5]Réel 2023'!$A$2:$A$501,0),MATCH(Q$2,'[5]Réel 2023'!$A$2:$AO$2,0))</f>
        <v>398.21</v>
      </c>
      <c r="R23" s="533">
        <f t="shared" si="12"/>
        <v>-12.8804</v>
      </c>
      <c r="S23" s="534">
        <f t="shared" si="13"/>
        <v>245.81</v>
      </c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</row>
    <row r="24" spans="1:40" ht="18" customHeight="1">
      <c r="A24" s="523" t="s">
        <v>241</v>
      </c>
      <c r="B24" s="510" t="s">
        <v>0</v>
      </c>
      <c r="C24" s="537" t="s">
        <v>28</v>
      </c>
      <c r="D24" s="538">
        <f>+D15+D13</f>
        <v>79.799999999999983</v>
      </c>
      <c r="E24" s="538">
        <f>IF(D24&lt;=0,0,F24/D24)</f>
        <v>1300</v>
      </c>
      <c r="F24" s="539">
        <f>F21+F22+F23</f>
        <v>103739.99999999999</v>
      </c>
      <c r="G24" s="540"/>
      <c r="H24" s="538"/>
      <c r="I24" s="539"/>
      <c r="J24" s="540">
        <f>+J15+J13</f>
        <v>50</v>
      </c>
      <c r="K24" s="538">
        <f>IF(J24&lt;=0,0,L24/J24)</f>
        <v>857.40699999999993</v>
      </c>
      <c r="L24" s="539">
        <f>L21+L22+L23</f>
        <v>42870.35</v>
      </c>
      <c r="M24" s="556">
        <f>J24-D24</f>
        <v>-29.799999999999983</v>
      </c>
      <c r="N24" s="539">
        <f>L24-F24</f>
        <v>-60869.649999999987</v>
      </c>
      <c r="O24" s="540">
        <f>+O15+O13</f>
        <v>59</v>
      </c>
      <c r="P24" s="538">
        <f>IF(O24&lt;=0,0,Q24/O24)</f>
        <v>1007.8427118644069</v>
      </c>
      <c r="Q24" s="539">
        <f>Q21+Q22+Q23</f>
        <v>59462.720000000001</v>
      </c>
      <c r="R24" s="554"/>
      <c r="S24" s="539">
        <f t="shared" si="13"/>
        <v>-16592.370000000003</v>
      </c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  <c r="AJ24" s="510"/>
      <c r="AK24" s="510"/>
      <c r="AL24" s="510"/>
      <c r="AM24" s="510"/>
      <c r="AN24" s="510"/>
    </row>
    <row r="25" spans="1:40" ht="15.75" customHeight="1">
      <c r="A25" s="523" t="s">
        <v>0</v>
      </c>
      <c r="B25" s="510" t="s">
        <v>0</v>
      </c>
      <c r="C25" s="531"/>
      <c r="D25" s="510"/>
      <c r="E25" s="510"/>
      <c r="F25" s="557"/>
      <c r="G25" s="531"/>
      <c r="H25" s="510"/>
      <c r="I25" s="557"/>
      <c r="J25" s="531"/>
      <c r="K25" s="510"/>
      <c r="L25" s="557"/>
      <c r="M25" s="548"/>
      <c r="N25" s="549">
        <f>IF(N24=0,0,N24/F24)</f>
        <v>-0.58675197609408136</v>
      </c>
      <c r="O25" s="531"/>
      <c r="P25" s="510"/>
      <c r="Q25" s="557"/>
      <c r="R25" s="558"/>
      <c r="S25" s="549">
        <f>IF(Q24=0,0,(S24/Q24))</f>
        <v>-0.27903819401467006</v>
      </c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  <c r="AJ25" s="510"/>
      <c r="AK25" s="510"/>
      <c r="AL25" s="510"/>
      <c r="AM25" s="510"/>
      <c r="AN25" s="510"/>
    </row>
    <row r="26" spans="1:40" ht="15.75" customHeight="1" thickBot="1">
      <c r="A26" s="523" t="s">
        <v>0</v>
      </c>
      <c r="B26" s="510" t="s">
        <v>0</v>
      </c>
      <c r="C26" s="531"/>
      <c r="D26" s="510"/>
      <c r="E26" s="510"/>
      <c r="F26" s="541"/>
      <c r="G26" s="531"/>
      <c r="H26" s="510"/>
      <c r="I26" s="541"/>
      <c r="J26" s="531"/>
      <c r="K26" s="510"/>
      <c r="L26" s="541"/>
      <c r="M26" s="531"/>
      <c r="N26" s="541"/>
      <c r="O26" s="531"/>
      <c r="P26" s="510"/>
      <c r="Q26" s="541"/>
      <c r="R26" s="531"/>
      <c r="S26" s="541"/>
      <c r="T26" s="510"/>
      <c r="U26" s="510"/>
      <c r="V26" s="510"/>
      <c r="W26" s="510"/>
      <c r="X26" s="510"/>
      <c r="Y26" s="510"/>
      <c r="Z26" s="510"/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10"/>
      <c r="AN26" s="510"/>
    </row>
    <row r="27" spans="1:40" ht="18" customHeight="1" thickTop="1">
      <c r="A27" s="523" t="s">
        <v>242</v>
      </c>
      <c r="B27" s="510" t="s">
        <v>0</v>
      </c>
      <c r="C27" s="559" t="s">
        <v>29</v>
      </c>
      <c r="D27" s="560">
        <f>+D13+D15+D17</f>
        <v>85.199999999999989</v>
      </c>
      <c r="E27" s="561">
        <f>IF(D27&lt;=0,0,F27/D27)</f>
        <v>4059.89552174758</v>
      </c>
      <c r="F27" s="562">
        <f>F13+F17+F24+F19+F15</f>
        <v>345903.09845289378</v>
      </c>
      <c r="G27" s="563"/>
      <c r="H27" s="561"/>
      <c r="I27" s="562"/>
      <c r="J27" s="563">
        <f>+J13+J15+J17</f>
        <v>52</v>
      </c>
      <c r="K27" s="561">
        <f>IF(J27&lt;=0,0,L27/J27)</f>
        <v>2497.5182692307735</v>
      </c>
      <c r="L27" s="562">
        <f>L13+L17+L24+L19+L15</f>
        <v>129870.95000000022</v>
      </c>
      <c r="M27" s="563">
        <f>J27-D27</f>
        <v>-33.199999999999989</v>
      </c>
      <c r="N27" s="562">
        <f>L27-F27</f>
        <v>-216032.14845289357</v>
      </c>
      <c r="O27" s="563">
        <f>+O13+O15+O17</f>
        <v>67</v>
      </c>
      <c r="P27" s="561">
        <f>IF(O27&lt;=0,0,Q27/O27)</f>
        <v>3666.631194029836</v>
      </c>
      <c r="Q27" s="562">
        <f>Q13+Q17+Q24+Q19+Q15</f>
        <v>245664.28999999902</v>
      </c>
      <c r="R27" s="563">
        <f>J27-O27</f>
        <v>-15</v>
      </c>
      <c r="S27" s="562">
        <f>L27-Q27</f>
        <v>-115793.3399999988</v>
      </c>
      <c r="T27" s="510"/>
      <c r="U27" s="510"/>
      <c r="V27" s="510"/>
      <c r="W27" s="510"/>
      <c r="X27" s="510"/>
      <c r="Y27" s="510"/>
      <c r="Z27" s="510"/>
      <c r="AA27" s="510"/>
      <c r="AB27" s="510"/>
      <c r="AC27" s="510"/>
      <c r="AD27" s="510"/>
      <c r="AE27" s="510"/>
      <c r="AF27" s="510"/>
      <c r="AG27" s="510"/>
      <c r="AH27" s="510"/>
      <c r="AI27" s="510"/>
      <c r="AJ27" s="510"/>
      <c r="AK27" s="510"/>
      <c r="AL27" s="510"/>
      <c r="AM27" s="510"/>
      <c r="AN27" s="510"/>
    </row>
    <row r="28" spans="1:40" ht="22.5" customHeight="1" thickBot="1">
      <c r="A28" s="523" t="s">
        <v>0</v>
      </c>
      <c r="B28" s="510" t="s">
        <v>0</v>
      </c>
      <c r="C28" s="564"/>
      <c r="D28" s="565"/>
      <c r="E28" s="565"/>
      <c r="F28" s="566"/>
      <c r="G28" s="564"/>
      <c r="H28" s="565"/>
      <c r="I28" s="566"/>
      <c r="J28" s="564"/>
      <c r="K28" s="567"/>
      <c r="L28" s="568">
        <f>L27/F27</f>
        <v>0.37545471717619339</v>
      </c>
      <c r="M28" s="569">
        <f>M27/D27</f>
        <v>-0.38967136150234732</v>
      </c>
      <c r="N28" s="570">
        <f>N27/F27</f>
        <v>-0.62454528282380661</v>
      </c>
      <c r="O28" s="564"/>
      <c r="P28" s="565"/>
      <c r="Q28" s="566"/>
      <c r="R28" s="569">
        <f>R27/O27</f>
        <v>-0.22388059701492538</v>
      </c>
      <c r="S28" s="570">
        <f>IF(Q27=0,0,S27/Q27)</f>
        <v>-0.47134787070599177</v>
      </c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</row>
    <row r="29" spans="1:40" ht="15.75" customHeight="1" thickTop="1">
      <c r="A29" s="523" t="s">
        <v>0</v>
      </c>
      <c r="B29" s="510" t="s">
        <v>0</v>
      </c>
      <c r="C29" s="550"/>
      <c r="D29" s="571"/>
      <c r="E29" s="571"/>
      <c r="F29" s="572"/>
      <c r="G29" s="550"/>
      <c r="H29" s="571"/>
      <c r="I29" s="572"/>
      <c r="J29" s="550"/>
      <c r="K29" s="571"/>
      <c r="L29" s="572"/>
      <c r="M29" s="548"/>
      <c r="N29" s="549"/>
      <c r="O29" s="550"/>
      <c r="P29" s="571"/>
      <c r="Q29" s="572"/>
      <c r="R29" s="548"/>
      <c r="S29" s="549"/>
      <c r="T29" s="510"/>
      <c r="U29" s="573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</row>
    <row r="30" spans="1:40" ht="15.75" customHeight="1">
      <c r="A30" s="523" t="s">
        <v>243</v>
      </c>
      <c r="B30" s="510" t="s">
        <v>0</v>
      </c>
      <c r="C30" s="574" t="s">
        <v>30</v>
      </c>
      <c r="D30" s="510"/>
      <c r="E30" s="575"/>
      <c r="F30" s="557"/>
      <c r="G30" s="531"/>
      <c r="H30" s="575"/>
      <c r="I30" s="557"/>
      <c r="J30" s="531"/>
      <c r="K30" s="575"/>
      <c r="L30" s="541"/>
      <c r="M30" s="531"/>
      <c r="N30" s="541"/>
      <c r="O30" s="531"/>
      <c r="P30" s="575"/>
      <c r="Q30" s="541"/>
      <c r="R30" s="531"/>
      <c r="S30" s="541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</row>
    <row r="31" spans="1:40" ht="15.75" customHeight="1">
      <c r="A31" s="523" t="s">
        <v>244</v>
      </c>
      <c r="B31" s="510" t="s">
        <v>0</v>
      </c>
      <c r="C31" s="531" t="s">
        <v>31</v>
      </c>
      <c r="D31" s="576">
        <f>F31/(F13+F15)</f>
        <v>0.34</v>
      </c>
      <c r="E31" s="573">
        <f t="shared" ref="E31:E36" si="14">F31/D$24</f>
        <v>927.01124618290544</v>
      </c>
      <c r="F31" s="532">
        <f>+INDEX('[5]Budget original'!$A$2:$AO$501,MATCH($A31,'[5]Budget original'!$A$2:$A$501,0),MATCH(F$2,'[5]Budget original'!$A$2:$AO$2,0))</f>
        <v>73975.497445395842</v>
      </c>
      <c r="G31" s="577"/>
      <c r="H31" s="573"/>
      <c r="I31" s="532"/>
      <c r="J31" s="577">
        <f>L31/(L15+L13+L17)</f>
        <v>0.3653803741453242</v>
      </c>
      <c r="K31" s="573">
        <f t="shared" ref="K31:K40" si="15">IF(L31=0,0,L31/J$24)</f>
        <v>561.95940000000007</v>
      </c>
      <c r="L31" s="532">
        <f>SUMIFS([5]BV_Data_An_Cour!$O:$O,[5]BV_Data_An_Cour!$U:$U,$B31,[5]BV_Data_An_Cour!$V:$V,$C31,[5]BV_Data_An_Cour!$W:$W,L$2)</f>
        <v>28097.97</v>
      </c>
      <c r="M31" s="531"/>
      <c r="N31" s="557">
        <f t="shared" ref="N31:N53" si="16">L31-F31</f>
        <v>-45877.527445395841</v>
      </c>
      <c r="O31" s="578">
        <f>Q31/(Q13+Q15+Q17)</f>
        <v>0.23546952872212626</v>
      </c>
      <c r="P31" s="573">
        <f t="shared" ref="P31:P40" si="17">Q31/O$24</f>
        <v>710.28728813559314</v>
      </c>
      <c r="Q31" s="534">
        <f t="array" ref="Q31">+INDEX('[5]Réel 2023'!$A$2:$AO$501,MATCH($A31,'[5]Réel 2023'!$A$2:$A$501,0),MATCH(Q$2,'[5]Réel 2023'!$A$2:$AO$2,0))</f>
        <v>41906.949999999997</v>
      </c>
      <c r="R31" s="531"/>
      <c r="S31" s="557">
        <f t="shared" ref="S31:S53" si="18">L31-Q31</f>
        <v>-13808.979999999996</v>
      </c>
      <c r="T31" s="510"/>
      <c r="U31" s="510"/>
      <c r="V31" s="510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  <c r="AN31" s="510"/>
    </row>
    <row r="32" spans="1:40" ht="15.75" customHeight="1">
      <c r="A32" s="523" t="s">
        <v>245</v>
      </c>
      <c r="B32" s="510" t="s">
        <v>0</v>
      </c>
      <c r="C32" s="524" t="s">
        <v>32</v>
      </c>
      <c r="D32" s="579">
        <f>F32/F24</f>
        <v>0.3</v>
      </c>
      <c r="E32" s="580">
        <f t="shared" si="14"/>
        <v>390</v>
      </c>
      <c r="F32" s="526">
        <f>+INDEX('[5]Budget original'!$A$2:$AO$501,MATCH($A32,'[5]Budget original'!$A$2:$A$501,0),MATCH(F$2,'[5]Budget original'!$A$2:$AO$2,0))</f>
        <v>31121.999999999993</v>
      </c>
      <c r="G32" s="581"/>
      <c r="H32" s="580"/>
      <c r="I32" s="526"/>
      <c r="J32" s="581">
        <f>L32/L24</f>
        <v>0.26999336371174948</v>
      </c>
      <c r="K32" s="580">
        <f t="shared" si="15"/>
        <v>231.49419999999998</v>
      </c>
      <c r="L32" s="526">
        <f>SUMIFS([5]BV_Data_An_Cour!$O:$O,[5]BV_Data_An_Cour!$U:$U,$B32,[5]BV_Data_An_Cour!$V:$V,$C32,[5]BV_Data_An_Cour!$W:$W,L$2)</f>
        <v>11574.71</v>
      </c>
      <c r="M32" s="524"/>
      <c r="N32" s="582">
        <f t="shared" si="16"/>
        <v>-19547.289999999994</v>
      </c>
      <c r="O32" s="583">
        <f>Q32/Q24</f>
        <v>0.29873305492920604</v>
      </c>
      <c r="P32" s="580">
        <f t="shared" si="17"/>
        <v>301.07593220338981</v>
      </c>
      <c r="Q32" s="526">
        <f t="array" ref="Q32">+INDEX('[5]Réel 2023'!$A$2:$AO$501,MATCH($A32,'[5]Réel 2023'!$A$2:$A$501,0),MATCH(Q$2,'[5]Réel 2023'!$A$2:$AO$2,0))</f>
        <v>17763.48</v>
      </c>
      <c r="R32" s="524"/>
      <c r="S32" s="582">
        <f t="shared" si="18"/>
        <v>-6188.77</v>
      </c>
      <c r="T32" s="510"/>
      <c r="Z32" s="510"/>
      <c r="AA32" s="510"/>
      <c r="AB32" s="510"/>
      <c r="AC32" s="510"/>
      <c r="AD32" s="510"/>
      <c r="AE32" s="510"/>
      <c r="AF32" s="510"/>
      <c r="AG32" s="510"/>
      <c r="AH32" s="510"/>
      <c r="AI32" s="510"/>
      <c r="AJ32" s="510"/>
      <c r="AK32" s="510"/>
      <c r="AL32" s="510"/>
      <c r="AM32" s="510"/>
      <c r="AN32" s="510"/>
    </row>
    <row r="33" spans="1:40" ht="15.75" customHeight="1">
      <c r="A33" s="523" t="s">
        <v>246</v>
      </c>
      <c r="B33" s="510" t="s">
        <v>0</v>
      </c>
      <c r="C33" s="531" t="s">
        <v>33</v>
      </c>
      <c r="D33" s="584"/>
      <c r="E33" s="573">
        <f t="shared" si="14"/>
        <v>115</v>
      </c>
      <c r="F33" s="532">
        <f>+INDEX('[5]Budget original'!$A$2:$AO$501,MATCH($A33,'[5]Budget original'!$A$2:$A$501,0),MATCH(F$2,'[5]Budget original'!$A$2:$AO$2,0))</f>
        <v>9176.9999999999982</v>
      </c>
      <c r="G33" s="585"/>
      <c r="H33" s="573"/>
      <c r="I33" s="532"/>
      <c r="J33" s="531"/>
      <c r="K33" s="573">
        <f t="shared" si="15"/>
        <v>156.3466</v>
      </c>
      <c r="L33" s="532">
        <f>SUMIFS([5]BV_Data_An_Cour!$O:$O,[5]BV_Data_An_Cour!$U:$U,$B33,[5]BV_Data_An_Cour!$V:$V,$C33,[5]BV_Data_An_Cour!$W:$W,L$2)</f>
        <v>7817.33</v>
      </c>
      <c r="M33" s="531"/>
      <c r="N33" s="557">
        <f t="shared" si="16"/>
        <v>-1359.6699999999983</v>
      </c>
      <c r="O33" s="531"/>
      <c r="P33" s="573">
        <f t="shared" si="17"/>
        <v>131.92101694915254</v>
      </c>
      <c r="Q33" s="534">
        <f t="array" ref="Q33">+INDEX('[5]Réel 2023'!$A$2:$AO$501,MATCH($A33,'[5]Réel 2023'!$A$2:$A$501,0),MATCH(Q$2,'[5]Réel 2023'!$A$2:$AO$2,0))</f>
        <v>7783.34</v>
      </c>
      <c r="R33" s="531"/>
      <c r="S33" s="557">
        <f t="shared" si="18"/>
        <v>33.989999999999782</v>
      </c>
      <c r="T33" s="510"/>
      <c r="U33" s="586"/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</row>
    <row r="34" spans="1:40" ht="15.75" customHeight="1">
      <c r="A34" s="523" t="s">
        <v>247</v>
      </c>
      <c r="B34" s="510" t="s">
        <v>0</v>
      </c>
      <c r="C34" s="531" t="s">
        <v>34</v>
      </c>
      <c r="D34" s="584"/>
      <c r="E34" s="573">
        <f t="shared" si="14"/>
        <v>3</v>
      </c>
      <c r="F34" s="532">
        <f>+INDEX('[5]Budget original'!$A$2:$AO$501,MATCH($A34,'[5]Budget original'!$A$2:$A$501,0),MATCH(F$2,'[5]Budget original'!$A$2:$AO$2,0))</f>
        <v>239.39999999999995</v>
      </c>
      <c r="G34" s="585"/>
      <c r="H34" s="573"/>
      <c r="I34" s="532"/>
      <c r="J34" s="531"/>
      <c r="K34" s="573">
        <f t="shared" si="15"/>
        <v>16.863599999999998</v>
      </c>
      <c r="L34" s="532">
        <f>SUMIFS([5]BV_Data_An_Cour!$O:$O,[5]BV_Data_An_Cour!$U:$U,$B34,[5]BV_Data_An_Cour!$V:$V,$C34,[5]BV_Data_An_Cour!$W:$W,L$2)</f>
        <v>843.18</v>
      </c>
      <c r="M34" s="531"/>
      <c r="N34" s="557">
        <f t="shared" si="16"/>
        <v>603.78</v>
      </c>
      <c r="O34" s="531"/>
      <c r="P34" s="573">
        <f t="shared" si="17"/>
        <v>9.4247457627118632</v>
      </c>
      <c r="Q34" s="534">
        <f t="array" ref="Q34">+INDEX('[5]Réel 2023'!$A$2:$AO$501,MATCH($A34,'[5]Réel 2023'!$A$2:$A$501,0),MATCH(Q$2,'[5]Réel 2023'!$A$2:$AO$2,0))</f>
        <v>556.05999999999995</v>
      </c>
      <c r="R34" s="531"/>
      <c r="S34" s="557">
        <f t="shared" si="18"/>
        <v>287.12</v>
      </c>
      <c r="T34" s="510"/>
      <c r="Z34" s="510"/>
      <c r="AA34" s="510"/>
      <c r="AB34" s="510"/>
      <c r="AC34" s="510"/>
      <c r="AD34" s="510"/>
      <c r="AE34" s="510"/>
      <c r="AF34" s="510"/>
      <c r="AG34" s="510"/>
      <c r="AH34" s="510"/>
      <c r="AI34" s="510"/>
      <c r="AJ34" s="510"/>
      <c r="AK34" s="510"/>
      <c r="AL34" s="510"/>
      <c r="AM34" s="510"/>
      <c r="AN34" s="510"/>
    </row>
    <row r="35" spans="1:40" ht="15.75" customHeight="1">
      <c r="A35" s="523" t="s">
        <v>248</v>
      </c>
      <c r="B35" s="510" t="s">
        <v>0</v>
      </c>
      <c r="C35" s="524" t="s">
        <v>35</v>
      </c>
      <c r="D35" s="587"/>
      <c r="E35" s="580">
        <f t="shared" si="14"/>
        <v>85.05</v>
      </c>
      <c r="F35" s="526">
        <f>+INDEX('[5]Budget original'!$A$2:$AO$501,MATCH($A35,'[5]Budget original'!$A$2:$A$501,0),MATCH(F$2,'[5]Budget original'!$A$2:$AO$2,0))</f>
        <v>6786.989999999998</v>
      </c>
      <c r="G35" s="588"/>
      <c r="H35" s="580"/>
      <c r="I35" s="526"/>
      <c r="J35" s="524"/>
      <c r="K35" s="580">
        <f t="shared" si="15"/>
        <v>159.8588</v>
      </c>
      <c r="L35" s="526">
        <f>SUMIFS([5]BV_Data_An_Cour!$O:$O,[5]BV_Data_An_Cour!$U:$U,$B35,[5]BV_Data_An_Cour!$V:$V,$C35,[5]BV_Data_An_Cour!$W:$W,L$2)</f>
        <v>7992.94</v>
      </c>
      <c r="M35" s="524"/>
      <c r="N35" s="582">
        <f t="shared" si="16"/>
        <v>1205.9500000000016</v>
      </c>
      <c r="O35" s="524"/>
      <c r="P35" s="580">
        <f t="shared" si="17"/>
        <v>92.110169491525426</v>
      </c>
      <c r="Q35" s="534">
        <f t="array" ref="Q35">+INDEX('[5]Réel 2023'!$A$2:$AO$501,MATCH($A35,'[5]Réel 2023'!$A$2:$A$501,0),MATCH(Q$2,'[5]Réel 2023'!$A$2:$AO$2,0))</f>
        <v>5434.5</v>
      </c>
      <c r="R35" s="524"/>
      <c r="S35" s="582">
        <f t="shared" si="18"/>
        <v>2558.4399999999996</v>
      </c>
      <c r="T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0"/>
      <c r="AJ35" s="510"/>
      <c r="AK35" s="510"/>
      <c r="AL35" s="510"/>
      <c r="AM35" s="510"/>
      <c r="AN35" s="510"/>
    </row>
    <row r="36" spans="1:40" ht="15.75" customHeight="1">
      <c r="A36" s="523" t="s">
        <v>249</v>
      </c>
      <c r="B36" s="510" t="s">
        <v>0</v>
      </c>
      <c r="C36" s="531" t="s">
        <v>36</v>
      </c>
      <c r="D36" s="584"/>
      <c r="E36" s="573">
        <f t="shared" si="14"/>
        <v>78.395989974937379</v>
      </c>
      <c r="F36" s="532">
        <f>+INDEX('[5]Budget original'!$A$2:$AO$501,MATCH($A36,'[5]Budget original'!$A$2:$A$501,0),MATCH(F$2,'[5]Budget original'!$A$2:$AO$2,0))</f>
        <v>6256.0000000000018</v>
      </c>
      <c r="G36" s="585"/>
      <c r="H36" s="573"/>
      <c r="I36" s="532"/>
      <c r="J36" s="531"/>
      <c r="K36" s="573">
        <f t="shared" si="15"/>
        <v>224.68360000000001</v>
      </c>
      <c r="L36" s="589">
        <f>SUMIFS([5]BV_Data_An_Cour!$O:$O,[5]BV_Data_An_Cour!$U:$U,$B36,[5]BV_Data_An_Cour!$V:$V,$C36,[5]BV_Data_An_Cour!$W:$W,L$2)</f>
        <v>11234.18</v>
      </c>
      <c r="M36" s="510"/>
      <c r="N36" s="557">
        <f t="shared" si="16"/>
        <v>4978.1799999999985</v>
      </c>
      <c r="O36" s="531"/>
      <c r="P36" s="573">
        <f t="shared" si="17"/>
        <v>155.86983050847456</v>
      </c>
      <c r="Q36" s="553">
        <f t="array" ref="Q36">+INDEX('[5]Réel 2023'!$A$2:$AO$501,MATCH($A36,'[5]Réel 2023'!$A$2:$A$501,0),MATCH(Q$2,'[5]Réel 2023'!$A$2:$AO$2,0))</f>
        <v>9196.32</v>
      </c>
      <c r="R36" s="531"/>
      <c r="S36" s="557">
        <f t="shared" si="18"/>
        <v>2037.8600000000006</v>
      </c>
      <c r="T36" s="510"/>
      <c r="U36" s="523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</row>
    <row r="37" spans="1:40" ht="15.75" customHeight="1">
      <c r="A37" s="523" t="s">
        <v>250</v>
      </c>
      <c r="B37" s="510" t="s">
        <v>0</v>
      </c>
      <c r="C37" s="531" t="s">
        <v>37</v>
      </c>
      <c r="D37" s="584"/>
      <c r="E37" s="573">
        <f>F37/D$24</f>
        <v>242.16209411842112</v>
      </c>
      <c r="F37" s="532">
        <f>+INDEX('[5]Budget original'!$A$2:$AO$501,MATCH($A37,'[5]Budget original'!$A$2:$A$501,0),MATCH(F$2,'[5]Budget original'!$A$2:$AO$2,0))</f>
        <v>19324.535110650002</v>
      </c>
      <c r="G37" s="585"/>
      <c r="H37" s="573"/>
      <c r="I37" s="532"/>
      <c r="J37" s="531"/>
      <c r="K37" s="573">
        <f t="shared" si="15"/>
        <v>530.40699999999993</v>
      </c>
      <c r="L37" s="590">
        <f>SUMIFS([5]BV_Data_An_Cour!$O:$O,[5]BV_Data_An_Cour!$U:$U,$B37,[5]BV_Data_An_Cour!$V:$V,$C37,[5]BV_Data_An_Cour!$W:$W,L$2)</f>
        <v>26520.35</v>
      </c>
      <c r="M37" s="510"/>
      <c r="N37" s="557">
        <f t="shared" si="16"/>
        <v>7195.8148893499965</v>
      </c>
      <c r="O37" s="531"/>
      <c r="P37" s="573">
        <f t="shared" si="17"/>
        <v>0</v>
      </c>
      <c r="Q37" s="534">
        <f t="array" ref="Q37">+INDEX('[5]Réel 2023'!$A$2:$AO$501,MATCH($A37,'[5]Réel 2023'!$A$2:$A$501,0),MATCH(Q$2,'[5]Réel 2023'!$A$2:$AO$2,0))</f>
        <v>0</v>
      </c>
      <c r="R37" s="531"/>
      <c r="S37" s="557">
        <f t="shared" si="18"/>
        <v>26520.35</v>
      </c>
      <c r="T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</row>
    <row r="38" spans="1:40" ht="15.75" hidden="1" customHeight="1">
      <c r="A38" s="523" t="s">
        <v>233</v>
      </c>
      <c r="B38" s="510" t="s">
        <v>0</v>
      </c>
      <c r="C38" s="531" t="s">
        <v>20</v>
      </c>
      <c r="D38" s="584"/>
      <c r="E38" s="573">
        <f>F38/D$24</f>
        <v>0</v>
      </c>
      <c r="F38" s="532">
        <f>+INDEX('[5]Budget original'!$A$2:$AO$501,MATCH($A38,'[5]Budget original'!$A$2:$A$501,0),MATCH(F$2,'[5]Budget original'!$A$2:$AO$2,0))</f>
        <v>0</v>
      </c>
      <c r="G38" s="585"/>
      <c r="H38" s="573"/>
      <c r="I38" s="532"/>
      <c r="J38" s="531"/>
      <c r="K38" s="573">
        <f t="shared" si="15"/>
        <v>0</v>
      </c>
      <c r="L38" s="590">
        <f>SUMIFS([5]BV_Data_An_Cour!$O:$O,[5]BV_Data_An_Cour!$U:$U,$B38,[5]BV_Data_An_Cour!$V:$V,$C38,[5]BV_Data_An_Cour!$W:$W,L$2)</f>
        <v>0</v>
      </c>
      <c r="M38" s="510"/>
      <c r="N38" s="557">
        <f t="shared" si="16"/>
        <v>0</v>
      </c>
      <c r="O38" s="531"/>
      <c r="P38" s="573">
        <f t="shared" si="17"/>
        <v>0</v>
      </c>
      <c r="Q38" s="534">
        <f t="array" ref="Q38">+INDEX('[5]Réel 2023'!$A$2:$AO$501,MATCH($A38,'[5]Réel 2023'!$A$2:$A$501,0),MATCH(Q$2,'[5]Réel 2023'!$A$2:$AO$2,0))</f>
        <v>0</v>
      </c>
      <c r="R38" s="531"/>
      <c r="S38" s="557">
        <f t="shared" si="18"/>
        <v>0</v>
      </c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</row>
    <row r="39" spans="1:40" ht="15.75" hidden="1" customHeight="1">
      <c r="A39" s="523" t="s">
        <v>233</v>
      </c>
      <c r="B39" s="510" t="s">
        <v>0</v>
      </c>
      <c r="C39" s="531" t="s">
        <v>20</v>
      </c>
      <c r="D39" s="584"/>
      <c r="E39" s="573">
        <f>F39/D$24</f>
        <v>0</v>
      </c>
      <c r="F39" s="532">
        <f>+INDEX('[5]Budget original'!$A$2:$AO$501,MATCH($A39,'[5]Budget original'!$A$2:$A$501,0),MATCH(F$2,'[5]Budget original'!$A$2:$AO$2,0))</f>
        <v>0</v>
      </c>
      <c r="G39" s="585"/>
      <c r="H39" s="573"/>
      <c r="I39" s="532"/>
      <c r="J39" s="531"/>
      <c r="K39" s="573">
        <f t="shared" si="15"/>
        <v>0</v>
      </c>
      <c r="L39" s="590">
        <f>SUMIFS([5]BV_Data_An_Cour!$O:$O,[5]BV_Data_An_Cour!$U:$U,$B39,[5]BV_Data_An_Cour!$V:$V,$C39,[5]BV_Data_An_Cour!$W:$W,L$2)</f>
        <v>0</v>
      </c>
      <c r="M39" s="510"/>
      <c r="N39" s="557">
        <f t="shared" si="16"/>
        <v>0</v>
      </c>
      <c r="O39" s="531"/>
      <c r="P39" s="573">
        <f t="shared" si="17"/>
        <v>0</v>
      </c>
      <c r="Q39" s="534">
        <f t="array" ref="Q39">+INDEX('[5]Réel 2023'!$A$2:$AO$501,MATCH($A39,'[5]Réel 2023'!$A$2:$A$501,0),MATCH(Q$2,'[5]Réel 2023'!$A$2:$AO$2,0))</f>
        <v>0</v>
      </c>
      <c r="R39" s="531"/>
      <c r="S39" s="557">
        <f t="shared" si="18"/>
        <v>0</v>
      </c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510"/>
      <c r="AL39" s="510"/>
      <c r="AM39" s="510"/>
      <c r="AN39" s="510"/>
    </row>
    <row r="40" spans="1:40" ht="15.75" hidden="1" customHeight="1">
      <c r="A40" s="523" t="s">
        <v>233</v>
      </c>
      <c r="B40" s="510" t="s">
        <v>0</v>
      </c>
      <c r="C40" s="531" t="s">
        <v>20</v>
      </c>
      <c r="D40" s="584"/>
      <c r="E40" s="573">
        <f>F40/D$24</f>
        <v>0</v>
      </c>
      <c r="F40" s="532">
        <f>+INDEX('[5]Budget original'!$A$2:$AO$501,MATCH($A40,'[5]Budget original'!$A$2:$A$501,0),MATCH(F$2,'[5]Budget original'!$A$2:$AO$2,0))</f>
        <v>0</v>
      </c>
      <c r="G40" s="585"/>
      <c r="H40" s="573"/>
      <c r="I40" s="532"/>
      <c r="J40" s="531"/>
      <c r="K40" s="573">
        <f t="shared" si="15"/>
        <v>0</v>
      </c>
      <c r="L40" s="591">
        <f>SUMIFS([5]BV_Data_An_Cour!$O:$O,[5]BV_Data_An_Cour!$U:$U,$B40,[5]BV_Data_An_Cour!$V:$V,$C40,[5]BV_Data_An_Cour!$W:$W,L$2)</f>
        <v>0</v>
      </c>
      <c r="M40" s="510"/>
      <c r="N40" s="557">
        <f t="shared" si="16"/>
        <v>0</v>
      </c>
      <c r="O40" s="531"/>
      <c r="P40" s="573">
        <f t="shared" si="17"/>
        <v>0</v>
      </c>
      <c r="Q40" s="534">
        <f t="array" ref="Q40">+INDEX('[5]Réel 2023'!$A$2:$AO$501,MATCH($A40,'[5]Réel 2023'!$A$2:$A$501,0),MATCH(Q$2,'[5]Réel 2023'!$A$2:$AO$2,0))</f>
        <v>0</v>
      </c>
      <c r="R40" s="531"/>
      <c r="S40" s="557">
        <f t="shared" si="18"/>
        <v>0</v>
      </c>
      <c r="T40" s="510"/>
      <c r="U40" s="510"/>
      <c r="V40" s="510"/>
      <c r="W40" s="510"/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0"/>
      <c r="AK40" s="510"/>
      <c r="AL40" s="510"/>
      <c r="AM40" s="510"/>
      <c r="AN40" s="510"/>
    </row>
    <row r="41" spans="1:40" ht="15.75" customHeight="1">
      <c r="A41" s="523" t="s">
        <v>251</v>
      </c>
      <c r="B41" s="510" t="s">
        <v>0</v>
      </c>
      <c r="C41" s="592" t="s">
        <v>38</v>
      </c>
      <c r="D41" s="593" t="s">
        <v>39</v>
      </c>
      <c r="E41" s="594">
        <f>F41/F$27</f>
        <v>0.4246317052752524</v>
      </c>
      <c r="F41" s="595">
        <f>SUM(F31:F40)</f>
        <v>146881.42255604581</v>
      </c>
      <c r="G41" s="596"/>
      <c r="H41" s="594"/>
      <c r="I41" s="595"/>
      <c r="J41" s="596" t="s">
        <v>39</v>
      </c>
      <c r="K41" s="594">
        <f>L41/L$27</f>
        <v>0.72441650730975515</v>
      </c>
      <c r="L41" s="595">
        <f>SUM(L31:L40)</f>
        <v>94080.66</v>
      </c>
      <c r="M41" s="597"/>
      <c r="N41" s="595">
        <f t="shared" si="16"/>
        <v>-52800.762556045811</v>
      </c>
      <c r="O41" s="596" t="s">
        <v>39</v>
      </c>
      <c r="P41" s="594">
        <f>Q41/Q$27</f>
        <v>0.33639667368830989</v>
      </c>
      <c r="Q41" s="598">
        <f>SUM(Q31:Q40)</f>
        <v>82640.649999999994</v>
      </c>
      <c r="R41" s="599"/>
      <c r="S41" s="595">
        <f t="shared" si="18"/>
        <v>11440.010000000009</v>
      </c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</row>
    <row r="42" spans="1:40" ht="15.75" customHeight="1">
      <c r="A42" s="523" t="s">
        <v>252</v>
      </c>
      <c r="B42" s="510" t="s">
        <v>0</v>
      </c>
      <c r="C42" s="600" t="s">
        <v>41</v>
      </c>
      <c r="D42" s="510"/>
      <c r="E42" s="510"/>
      <c r="F42" s="532">
        <f>+INDEX('[5]Budget original'!$A$2:$AO$501,MATCH($A42,'[5]Budget original'!$A$2:$A$501,0),MATCH(F$2,'[5]Budget original'!$A$2:$AO$2,0))</f>
        <v>18197.116666666669</v>
      </c>
      <c r="G42" s="531"/>
      <c r="H42" s="510"/>
      <c r="I42" s="532"/>
      <c r="J42" s="531"/>
      <c r="K42" s="510"/>
      <c r="L42" s="534">
        <f>SUMIFS([5]BV_Data_An_Cour!$O:$O,[5]BV_Data_An_Cour!$U:$U,$B42,[5]BV_Data_An_Cour!$V:$V,$C42,[5]BV_Data_An_Cour!$W:$W,L$2)</f>
        <v>12188.2</v>
      </c>
      <c r="M42" s="531"/>
      <c r="N42" s="557">
        <f t="shared" si="16"/>
        <v>-6008.9166666666679</v>
      </c>
      <c r="O42" s="531"/>
      <c r="P42" s="601">
        <f>Q42/Q27</f>
        <v>4.7233726969434772E-2</v>
      </c>
      <c r="Q42" s="534">
        <f t="array" ref="Q42">+INDEX('[5]Réel 2023'!$A$2:$AO$501,MATCH($A42,'[5]Réel 2023'!$A$2:$A$501,0),MATCH(Q$2,'[5]Réel 2023'!$A$2:$AO$2,0))</f>
        <v>11603.64</v>
      </c>
      <c r="R42" s="531"/>
      <c r="S42" s="557">
        <f t="shared" si="18"/>
        <v>584.56000000000131</v>
      </c>
      <c r="T42" s="510"/>
      <c r="U42" s="510"/>
      <c r="V42" s="510"/>
      <c r="W42" s="510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510"/>
      <c r="AL42" s="510"/>
      <c r="AM42" s="510"/>
      <c r="AN42" s="510"/>
    </row>
    <row r="43" spans="1:40" ht="15.75" customHeight="1">
      <c r="A43" s="523" t="s">
        <v>253</v>
      </c>
      <c r="B43" s="510" t="s">
        <v>0</v>
      </c>
      <c r="C43" s="602" t="s">
        <v>42</v>
      </c>
      <c r="D43" s="584"/>
      <c r="E43" s="510"/>
      <c r="F43" s="526">
        <f>+INDEX('[5]Budget original'!$A$2:$AO$501,MATCH($A43,'[5]Budget original'!$A$2:$A$501,0),MATCH(F$2,'[5]Budget original'!$A$2:$AO$2,0))</f>
        <v>11267.511076923076</v>
      </c>
      <c r="G43" s="585"/>
      <c r="H43" s="510"/>
      <c r="I43" s="526"/>
      <c r="J43" s="531"/>
      <c r="K43" s="510"/>
      <c r="L43" s="534">
        <f>SUMIFS([5]BV_Data_An_Cour!$O:$O,[5]BV_Data_An_Cour!$U:$U,$B43,[5]BV_Data_An_Cour!$V:$V,$C43,[5]BV_Data_An_Cour!$W:$W,L$2)</f>
        <v>8630.7199999999993</v>
      </c>
      <c r="M43" s="531"/>
      <c r="N43" s="557">
        <f t="shared" si="16"/>
        <v>-2636.7910769230766</v>
      </c>
      <c r="O43" s="531"/>
      <c r="P43" s="510"/>
      <c r="Q43" s="534">
        <f t="array" ref="Q43">+INDEX('[5]Réel 2023'!$A$2:$AO$501,MATCH($A43,'[5]Réel 2023'!$A$2:$A$501,0),MATCH(Q$2,'[5]Réel 2023'!$A$2:$AO$2,0))</f>
        <v>11332.89</v>
      </c>
      <c r="R43" s="531"/>
      <c r="S43" s="557">
        <f t="shared" si="18"/>
        <v>-2702.17</v>
      </c>
      <c r="T43" s="510"/>
      <c r="U43" s="510"/>
      <c r="V43" s="510"/>
      <c r="W43" s="510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10"/>
      <c r="AL43" s="510"/>
      <c r="AM43" s="510"/>
      <c r="AN43" s="510"/>
    </row>
    <row r="44" spans="1:40" ht="15.75" customHeight="1">
      <c r="A44" s="523" t="s">
        <v>254</v>
      </c>
      <c r="B44" s="510" t="s">
        <v>0</v>
      </c>
      <c r="C44" s="600" t="s">
        <v>43</v>
      </c>
      <c r="D44" s="603"/>
      <c r="E44" s="604"/>
      <c r="F44" s="532">
        <f>+INDEX('[5]Budget original'!$A$2:$AO$501,MATCH($A44,'[5]Budget original'!$A$2:$A$501,0),MATCH(F$2,'[5]Budget original'!$A$2:$AO$2,0))</f>
        <v>2664.3538461538465</v>
      </c>
      <c r="G44" s="605"/>
      <c r="H44" s="604"/>
      <c r="I44" s="532"/>
      <c r="J44" s="518"/>
      <c r="K44" s="604"/>
      <c r="L44" s="553">
        <f>SUMIFS([5]BV_Data_An_Cour!$O:$O,[5]BV_Data_An_Cour!$U:$U,$B44,[5]BV_Data_An_Cour!$V:$V,$C44,[5]BV_Data_An_Cour!$W:$W,L$2)</f>
        <v>2146.12</v>
      </c>
      <c r="M44" s="518"/>
      <c r="N44" s="606">
        <f t="shared" si="16"/>
        <v>-518.23384615384657</v>
      </c>
      <c r="O44" s="518"/>
      <c r="P44" s="604"/>
      <c r="Q44" s="553">
        <f t="array" ref="Q44">+INDEX('[5]Réel 2023'!$A$2:$AO$501,MATCH($A44,'[5]Réel 2023'!$A$2:$A$501,0),MATCH(Q$2,'[5]Réel 2023'!$A$2:$AO$2,0))</f>
        <v>3994.82</v>
      </c>
      <c r="R44" s="518"/>
      <c r="S44" s="606">
        <f t="shared" si="18"/>
        <v>-1848.7000000000003</v>
      </c>
      <c r="T44" s="510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510"/>
      <c r="AN44" s="510"/>
    </row>
    <row r="45" spans="1:40" ht="15.75" customHeight="1">
      <c r="A45" s="523" t="s">
        <v>255</v>
      </c>
      <c r="B45" s="510" t="s">
        <v>0</v>
      </c>
      <c r="C45" s="600" t="s">
        <v>44</v>
      </c>
      <c r="D45" s="584"/>
      <c r="E45" s="510"/>
      <c r="F45" s="532">
        <f>+INDEX('[5]Budget original'!$A$2:$AO$501,MATCH($A45,'[5]Budget original'!$A$2:$A$501,0),MATCH(F$2,'[5]Budget original'!$A$2:$AO$2,0))</f>
        <v>0</v>
      </c>
      <c r="G45" s="585"/>
      <c r="H45" s="510"/>
      <c r="I45" s="532"/>
      <c r="J45" s="531"/>
      <c r="K45" s="510"/>
      <c r="L45" s="534">
        <f>SUMIFS([5]BV_Data_An_Cour!$O:$O,[5]BV_Data_An_Cour!$U:$U,$B45,[5]BV_Data_An_Cour!$V:$V,$C45,[5]BV_Data_An_Cour!$W:$W,L$2)</f>
        <v>0</v>
      </c>
      <c r="M45" s="531"/>
      <c r="N45" s="557">
        <f t="shared" si="16"/>
        <v>0</v>
      </c>
      <c r="O45" s="531"/>
      <c r="P45" s="510"/>
      <c r="Q45" s="534">
        <f t="array" ref="Q45">+INDEX('[5]Réel 2023'!$A$2:$AO$501,MATCH($A45,'[5]Réel 2023'!$A$2:$A$501,0),MATCH(Q$2,'[5]Réel 2023'!$A$2:$AO$2,0))</f>
        <v>0</v>
      </c>
      <c r="R45" s="531"/>
      <c r="S45" s="557">
        <f t="shared" si="18"/>
        <v>0</v>
      </c>
      <c r="T45" s="510"/>
      <c r="U45" s="510"/>
      <c r="V45" s="510"/>
      <c r="W45" s="510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510"/>
      <c r="AL45" s="510"/>
      <c r="AM45" s="510"/>
      <c r="AN45" s="510"/>
    </row>
    <row r="46" spans="1:40" ht="15.75" hidden="1" customHeight="1">
      <c r="A46" s="523" t="s">
        <v>233</v>
      </c>
      <c r="B46" s="510" t="s">
        <v>0</v>
      </c>
      <c r="C46" s="600" t="s">
        <v>20</v>
      </c>
      <c r="D46" s="584"/>
      <c r="E46" s="510"/>
      <c r="F46" s="532">
        <f>+INDEX('[5]Budget original'!$A$2:$AO$501,MATCH($A46,'[5]Budget original'!$A$2:$A$501,0),MATCH(F$2,'[5]Budget original'!$A$2:$AO$2,0))</f>
        <v>0</v>
      </c>
      <c r="G46" s="585"/>
      <c r="H46" s="510"/>
      <c r="I46" s="532"/>
      <c r="J46" s="531"/>
      <c r="K46" s="510"/>
      <c r="L46" s="534">
        <f>SUMIFS([5]BV_Data_An_Cour!$O:$O,[5]BV_Data_An_Cour!$U:$U,$B46,[5]BV_Data_An_Cour!$V:$V,$C46,[5]BV_Data_An_Cour!$W:$W,L$2)</f>
        <v>0</v>
      </c>
      <c r="M46" s="531"/>
      <c r="N46" s="557">
        <f t="shared" si="16"/>
        <v>0</v>
      </c>
      <c r="O46" s="531"/>
      <c r="P46" s="510"/>
      <c r="Q46" s="534">
        <f t="array" ref="Q46">+INDEX('[5]Réel 2023'!$A$2:$AO$501,MATCH($A46,'[5]Réel 2023'!$A$2:$A$501,0),MATCH(Q$2,'[5]Réel 2023'!$A$2:$AO$2,0))</f>
        <v>0</v>
      </c>
      <c r="R46" s="531"/>
      <c r="S46" s="557">
        <f t="shared" si="18"/>
        <v>0</v>
      </c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10"/>
      <c r="AM46" s="510"/>
      <c r="AN46" s="510"/>
    </row>
    <row r="47" spans="1:40" ht="15.75" hidden="1" customHeight="1">
      <c r="A47" s="523" t="s">
        <v>233</v>
      </c>
      <c r="B47" s="510" t="s">
        <v>0</v>
      </c>
      <c r="C47" s="600" t="s">
        <v>20</v>
      </c>
      <c r="D47" s="584"/>
      <c r="E47" s="510"/>
      <c r="F47" s="532">
        <f>+INDEX('[5]Budget original'!$A$2:$AO$501,MATCH($A47,'[5]Budget original'!$A$2:$A$501,0),MATCH(F$2,'[5]Budget original'!$A$2:$AO$2,0))</f>
        <v>0</v>
      </c>
      <c r="G47" s="585"/>
      <c r="H47" s="510"/>
      <c r="I47" s="532"/>
      <c r="J47" s="531"/>
      <c r="K47" s="510"/>
      <c r="L47" s="534">
        <f>SUMIFS([5]BV_Data_An_Cour!$O:$O,[5]BV_Data_An_Cour!$U:$U,$B47,[5]BV_Data_An_Cour!$V:$V,$C47,[5]BV_Data_An_Cour!$W:$W,L$2)</f>
        <v>0</v>
      </c>
      <c r="M47" s="531"/>
      <c r="N47" s="557">
        <f t="shared" si="16"/>
        <v>0</v>
      </c>
      <c r="O47" s="531"/>
      <c r="P47" s="510"/>
      <c r="Q47" s="534">
        <f t="array" ref="Q47">+INDEX('[5]Réel 2023'!$A$2:$AO$501,MATCH($A47,'[5]Réel 2023'!$A$2:$A$501,0),MATCH(Q$2,'[5]Réel 2023'!$A$2:$AO$2,0))</f>
        <v>0</v>
      </c>
      <c r="R47" s="531"/>
      <c r="S47" s="557">
        <f t="shared" si="18"/>
        <v>0</v>
      </c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</row>
    <row r="48" spans="1:40" ht="15.75" hidden="1" customHeight="1">
      <c r="A48" s="523" t="s">
        <v>233</v>
      </c>
      <c r="B48" s="510" t="s">
        <v>0</v>
      </c>
      <c r="C48" s="600" t="s">
        <v>20</v>
      </c>
      <c r="D48" s="584"/>
      <c r="E48" s="510"/>
      <c r="F48" s="532">
        <f>+INDEX('[5]Budget original'!$A$2:$AO$501,MATCH($A48,'[5]Budget original'!$A$2:$A$501,0),MATCH(F$2,'[5]Budget original'!$A$2:$AO$2,0))</f>
        <v>0</v>
      </c>
      <c r="G48" s="585"/>
      <c r="H48" s="510"/>
      <c r="I48" s="532"/>
      <c r="J48" s="531"/>
      <c r="K48" s="510"/>
      <c r="L48" s="534">
        <f>SUMIFS([5]BV_Data_An_Cour!$O:$O,[5]BV_Data_An_Cour!$U:$U,$B48,[5]BV_Data_An_Cour!$V:$V,$C48,[5]BV_Data_An_Cour!$W:$W,L$2)</f>
        <v>0</v>
      </c>
      <c r="M48" s="531"/>
      <c r="N48" s="557">
        <f t="shared" si="16"/>
        <v>0</v>
      </c>
      <c r="O48" s="531"/>
      <c r="P48" s="510"/>
      <c r="Q48" s="534">
        <f t="array" ref="Q48">+INDEX('[5]Réel 2023'!$A$2:$AO$501,MATCH($A48,'[5]Réel 2023'!$A$2:$A$501,0),MATCH(Q$2,'[5]Réel 2023'!$A$2:$AO$2,0))</f>
        <v>0</v>
      </c>
      <c r="R48" s="531"/>
      <c r="S48" s="557">
        <f t="shared" si="18"/>
        <v>0</v>
      </c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</row>
    <row r="49" spans="1:40" ht="15.75" customHeight="1">
      <c r="A49" s="523" t="s">
        <v>256</v>
      </c>
      <c r="B49" s="510" t="s">
        <v>0</v>
      </c>
      <c r="C49" s="602" t="s">
        <v>45</v>
      </c>
      <c r="D49" s="584"/>
      <c r="E49" s="510"/>
      <c r="F49" s="526">
        <f>+INDEX('[5]Budget original'!$A$2:$AO$501,MATCH($A49,'[5]Budget original'!$A$2:$A$501,0),MATCH(F$2,'[5]Budget original'!$A$2:$AO$2,0))</f>
        <v>12326.504989296576</v>
      </c>
      <c r="G49" s="585"/>
      <c r="H49" s="510"/>
      <c r="I49" s="526"/>
      <c r="J49" s="531"/>
      <c r="K49" s="510"/>
      <c r="L49" s="526">
        <f>SUMIFS([5]BV_Data_An_Cour!$O:$O,[5]BV_Data_An_Cour!$U:$U,$B49,[5]BV_Data_An_Cour!$V:$V,$C49,[5]BV_Data_An_Cour!$W:$W,L$2)</f>
        <v>10528.2</v>
      </c>
      <c r="M49" s="531"/>
      <c r="N49" s="557">
        <f t="shared" si="16"/>
        <v>-1798.3049892965755</v>
      </c>
      <c r="O49" s="531"/>
      <c r="P49" s="510"/>
      <c r="Q49" s="526">
        <f t="array" ref="Q49">+INDEX('[5]Réel 2023'!$A$2:$AO$501,MATCH($A49,'[5]Réel 2023'!$A$2:$A$501,0),MATCH(Q$2,'[5]Réel 2023'!$A$2:$AO$2,0))</f>
        <v>9419.91</v>
      </c>
      <c r="R49" s="531"/>
      <c r="S49" s="557">
        <f t="shared" si="18"/>
        <v>1108.2900000000009</v>
      </c>
      <c r="T49" s="510"/>
      <c r="U49" s="510"/>
      <c r="V49" s="510"/>
      <c r="W49" s="510"/>
      <c r="X49" s="507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</row>
    <row r="50" spans="1:40" ht="15.75" customHeight="1">
      <c r="A50" s="523" t="s">
        <v>257</v>
      </c>
      <c r="B50" s="510" t="s">
        <v>0</v>
      </c>
      <c r="C50" s="600" t="s">
        <v>46</v>
      </c>
      <c r="D50" s="603"/>
      <c r="E50" s="604"/>
      <c r="F50" s="532">
        <f>+INDEX('[5]Budget original'!$A$2:$AO$501,MATCH($A50,'[5]Budget original'!$A$2:$A$501,0),MATCH(F$2,'[5]Budget original'!$A$2:$AO$2,0))</f>
        <v>14987.292409893635</v>
      </c>
      <c r="G50" s="605"/>
      <c r="H50" s="604"/>
      <c r="I50" s="532"/>
      <c r="J50" s="518"/>
      <c r="K50" s="604"/>
      <c r="L50" s="534">
        <f>SUMIFS([5]BV_Data_An_Cour!$O:$O,[5]BV_Data_An_Cour!$U:$U,$B50,[5]BV_Data_An_Cour!$V:$V,$C50,[5]BV_Data_An_Cour!$W:$W,L$2)</f>
        <v>14036.34</v>
      </c>
      <c r="M50" s="518"/>
      <c r="N50" s="606">
        <f t="shared" si="16"/>
        <v>-950.95240989363447</v>
      </c>
      <c r="O50" s="518"/>
      <c r="P50" s="604"/>
      <c r="Q50" s="534">
        <f t="array" ref="Q50">+INDEX('[5]Réel 2023'!$A$2:$AO$501,MATCH($A50,'[5]Réel 2023'!$A$2:$A$501,0),MATCH(Q$2,'[5]Réel 2023'!$A$2:$AO$2,0))</f>
        <v>8905.2099999999991</v>
      </c>
      <c r="R50" s="518"/>
      <c r="S50" s="606">
        <f t="shared" si="18"/>
        <v>5131.130000000001</v>
      </c>
      <c r="T50" s="510"/>
      <c r="U50" s="510"/>
      <c r="V50" s="510"/>
      <c r="W50" s="510"/>
      <c r="X50" s="507"/>
      <c r="Y50" s="510"/>
      <c r="Z50" s="510"/>
      <c r="AA50" s="510"/>
      <c r="AB50" s="510"/>
      <c r="AC50" s="510"/>
      <c r="AD50" s="510"/>
      <c r="AE50" s="510"/>
      <c r="AF50" s="510"/>
      <c r="AG50" s="510"/>
      <c r="AH50" s="510"/>
      <c r="AI50" s="510"/>
      <c r="AJ50" s="510"/>
      <c r="AK50" s="510"/>
      <c r="AL50" s="510"/>
      <c r="AM50" s="510"/>
      <c r="AN50" s="510"/>
    </row>
    <row r="51" spans="1:40" ht="15.75" customHeight="1">
      <c r="A51" s="523" t="s">
        <v>258</v>
      </c>
      <c r="B51" s="510" t="s">
        <v>0</v>
      </c>
      <c r="C51" s="600" t="s">
        <v>47</v>
      </c>
      <c r="D51" s="584"/>
      <c r="E51" s="510"/>
      <c r="F51" s="532">
        <f>+INDEX('[5]Budget original'!$A$2:$AO$501,MATCH($A51,'[5]Budget original'!$A$2:$A$501,0),MATCH(F$2,'[5]Budget original'!$A$2:$AO$2,0))</f>
        <v>7721.7136981408503</v>
      </c>
      <c r="G51" s="585"/>
      <c r="H51" s="510"/>
      <c r="I51" s="532"/>
      <c r="J51" s="531"/>
      <c r="K51" s="510"/>
      <c r="L51" s="534">
        <f>SUMIFS([5]BV_Data_An_Cour!$O:$O,[5]BV_Data_An_Cour!$U:$U,$B51,[5]BV_Data_An_Cour!$V:$V,$C51,[5]BV_Data_An_Cour!$W:$W,L$2)</f>
        <v>6769.08</v>
      </c>
      <c r="M51" s="531"/>
      <c r="N51" s="557">
        <f t="shared" si="16"/>
        <v>-952.63369814085036</v>
      </c>
      <c r="O51" s="531"/>
      <c r="P51" s="510"/>
      <c r="Q51" s="534">
        <f t="array" ref="Q51">+INDEX('[5]Réel 2023'!$A$2:$AO$501,MATCH($A51,'[5]Réel 2023'!$A$2:$A$501,0),MATCH(Q$2,'[5]Réel 2023'!$A$2:$AO$2,0))</f>
        <v>5383.41</v>
      </c>
      <c r="R51" s="531"/>
      <c r="S51" s="557">
        <f t="shared" si="18"/>
        <v>1385.67</v>
      </c>
      <c r="T51" s="510"/>
      <c r="U51" s="510"/>
      <c r="V51" s="510"/>
      <c r="W51" s="510"/>
      <c r="X51" s="507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</row>
    <row r="52" spans="1:40" ht="15.75" customHeight="1">
      <c r="A52" s="523" t="s">
        <v>259</v>
      </c>
      <c r="B52" s="510" t="s">
        <v>0</v>
      </c>
      <c r="C52" s="600" t="s">
        <v>48</v>
      </c>
      <c r="D52" s="584"/>
      <c r="E52" s="510"/>
      <c r="F52" s="532">
        <f>+INDEX('[5]Budget original'!$A$2:$AO$501,MATCH($A52,'[5]Budget original'!$A$2:$A$501,0),MATCH(F$2,'[5]Budget original'!$A$2:$AO$2,0))</f>
        <v>3366.710613816686</v>
      </c>
      <c r="G52" s="585"/>
      <c r="H52" s="510"/>
      <c r="I52" s="532"/>
      <c r="J52" s="531"/>
      <c r="K52" s="510"/>
      <c r="L52" s="534">
        <f>SUMIFS([5]BV_Data_An_Cour!$O:$O,[5]BV_Data_An_Cour!$U:$U,$B52,[5]BV_Data_An_Cour!$V:$V,$C52,[5]BV_Data_An_Cour!$W:$W,L$2)</f>
        <v>1167.3399999999999</v>
      </c>
      <c r="M52" s="531"/>
      <c r="N52" s="557">
        <f t="shared" si="16"/>
        <v>-2199.3706138166863</v>
      </c>
      <c r="O52" s="531"/>
      <c r="P52" s="510"/>
      <c r="Q52" s="534">
        <f t="array" ref="Q52">+INDEX('[5]Réel 2023'!$A$2:$AO$501,MATCH($A52,'[5]Réel 2023'!$A$2:$A$501,0),MATCH(Q$2,'[5]Réel 2023'!$A$2:$AO$2,0))</f>
        <v>686.07</v>
      </c>
      <c r="R52" s="531"/>
      <c r="S52" s="557">
        <f t="shared" si="18"/>
        <v>481.26999999999987</v>
      </c>
      <c r="T52" s="510"/>
      <c r="U52" s="510"/>
      <c r="V52" s="510"/>
      <c r="W52" s="510"/>
      <c r="X52" s="507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</row>
    <row r="53" spans="1:40" ht="15.75" hidden="1" customHeight="1">
      <c r="A53" s="523" t="s">
        <v>233</v>
      </c>
      <c r="B53" s="510" t="s">
        <v>0</v>
      </c>
      <c r="C53" s="531" t="s">
        <v>20</v>
      </c>
      <c r="D53" s="587" t="e">
        <f>VLOOKUP(C53,$B$2:$B$46,1,FALSE)</f>
        <v>#N/A</v>
      </c>
      <c r="E53" s="607"/>
      <c r="F53" s="532">
        <f>+INDEX('[5]Budget original'!$A$2:$AO$501,MATCH($A53,'[5]Budget original'!$A$2:$A$501,0),MATCH(F$2,'[5]Budget original'!$A$2:$AO$2,0))</f>
        <v>0</v>
      </c>
      <c r="G53" s="588"/>
      <c r="H53" s="607"/>
      <c r="I53" s="532"/>
      <c r="J53" s="524"/>
      <c r="K53" s="607"/>
      <c r="L53" s="534">
        <f>SUMIFS([5]BV_Data_An_Cour!$O:$O,[5]BV_Data_An_Cour!$U:$U,$B53,[5]BV_Data_An_Cour!$V:$V,$C53,[5]BV_Data_An_Cour!$W:$W,L$2)</f>
        <v>0</v>
      </c>
      <c r="M53" s="524"/>
      <c r="N53" s="582">
        <f t="shared" si="16"/>
        <v>0</v>
      </c>
      <c r="O53" s="524"/>
      <c r="P53" s="607"/>
      <c r="Q53" s="534">
        <f t="array" ref="Q53">+INDEX('[5]Réel 2023'!$A$2:$AO$501,MATCH($A53,'[5]Réel 2023'!$A$2:$A$501,0),MATCH(Q$2,'[5]Réel 2023'!$A$2:$AO$2,0))</f>
        <v>0</v>
      </c>
      <c r="R53" s="524"/>
      <c r="S53" s="582">
        <f t="shared" si="18"/>
        <v>0</v>
      </c>
      <c r="T53" s="510"/>
      <c r="U53" s="510"/>
      <c r="V53" s="510"/>
      <c r="W53" s="510"/>
      <c r="X53" s="507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</row>
    <row r="54" spans="1:40" ht="15.75" customHeight="1">
      <c r="A54" s="523" t="s">
        <v>260</v>
      </c>
      <c r="B54" s="510" t="s">
        <v>0</v>
      </c>
      <c r="C54" s="592" t="s">
        <v>49</v>
      </c>
      <c r="D54" s="593" t="s">
        <v>39</v>
      </c>
      <c r="E54" s="594">
        <f>F54/F$27</f>
        <v>0.20390451434622378</v>
      </c>
      <c r="F54" s="595">
        <f>+SUM(F42:F53)</f>
        <v>70531.203300891342</v>
      </c>
      <c r="G54" s="596"/>
      <c r="H54" s="594"/>
      <c r="I54" s="595"/>
      <c r="J54" s="596" t="s">
        <v>39</v>
      </c>
      <c r="K54" s="594">
        <f>L54/L$27</f>
        <v>0.42708550295504816</v>
      </c>
      <c r="L54" s="595">
        <f>+SUM(L42:L53)</f>
        <v>55466</v>
      </c>
      <c r="M54" s="599"/>
      <c r="N54" s="595">
        <f>+SUM(N42:N53)</f>
        <v>-15065.203300891335</v>
      </c>
      <c r="O54" s="596" t="s">
        <v>39</v>
      </c>
      <c r="P54" s="594">
        <f>Q54/Q$27</f>
        <v>0.20892719084243053</v>
      </c>
      <c r="Q54" s="595">
        <f>+SUM(Q42:Q53)</f>
        <v>51325.94999999999</v>
      </c>
      <c r="R54" s="599"/>
      <c r="S54" s="595">
        <f>+SUM(S42:S53)</f>
        <v>4140.0500000000029</v>
      </c>
      <c r="T54" s="573"/>
      <c r="U54" s="510"/>
      <c r="V54" s="510"/>
      <c r="W54" s="510"/>
      <c r="X54" s="507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</row>
    <row r="55" spans="1:40" ht="15.75" hidden="1" customHeight="1">
      <c r="A55" s="523" t="s">
        <v>261</v>
      </c>
      <c r="B55" s="510" t="s">
        <v>0</v>
      </c>
      <c r="C55" s="531" t="s">
        <v>50</v>
      </c>
      <c r="D55" s="584"/>
      <c r="E55" s="510"/>
      <c r="F55" s="532">
        <f>+INDEX('[5]Budget original'!$A$2:$AO$501,MATCH($A55,'[5]Budget original'!$A$2:$A$501,0),MATCH(F$2,'[5]Budget original'!$A$2:$AO$2,0))</f>
        <v>0</v>
      </c>
      <c r="G55" s="585"/>
      <c r="H55" s="510"/>
      <c r="I55" s="532"/>
      <c r="J55" s="531"/>
      <c r="K55" s="510"/>
      <c r="L55" s="534">
        <f>SUMIFS([5]BV_Data_An_Cour!$O:$O,[5]BV_Data_An_Cour!$U:$U,$B55,[5]BV_Data_An_Cour!$V:$V,$C55,[5]BV_Data_An_Cour!$W:$W,L$2)</f>
        <v>0</v>
      </c>
      <c r="M55" s="531"/>
      <c r="N55" s="557">
        <f t="shared" ref="N55:N71" si="19">L55-F55</f>
        <v>0</v>
      </c>
      <c r="O55" s="531"/>
      <c r="P55" s="510"/>
      <c r="Q55" s="534">
        <f t="array" ref="Q55">+INDEX('[5]Réel 2023'!$A$2:$AO$501,MATCH($A55,'[5]Réel 2023'!$A$2:$A$501,0),MATCH(Q$2,'[5]Réel 2023'!$A$2:$AO$2,0))</f>
        <v>0</v>
      </c>
      <c r="R55" s="531"/>
      <c r="S55" s="557">
        <f t="shared" ref="S55:S71" si="20">L55-Q55</f>
        <v>0</v>
      </c>
      <c r="T55" s="573"/>
      <c r="U55" s="510"/>
      <c r="V55" s="510"/>
      <c r="W55" s="510"/>
      <c r="X55" s="507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</row>
    <row r="56" spans="1:40" ht="15.75" hidden="1" customHeight="1">
      <c r="A56" s="523" t="s">
        <v>262</v>
      </c>
      <c r="B56" s="510" t="s">
        <v>0</v>
      </c>
      <c r="C56" s="531" t="s">
        <v>51</v>
      </c>
      <c r="D56" s="584"/>
      <c r="E56" s="510"/>
      <c r="F56" s="532">
        <f>+INDEX('[5]Budget original'!$A$2:$AO$501,MATCH($A56,'[5]Budget original'!$A$2:$A$501,0),MATCH(F$2,'[5]Budget original'!$A$2:$AO$2,0))</f>
        <v>0</v>
      </c>
      <c r="G56" s="585"/>
      <c r="H56" s="510"/>
      <c r="I56" s="532"/>
      <c r="J56" s="531"/>
      <c r="K56" s="510"/>
      <c r="L56" s="534">
        <f>SUMIFS([5]BV_Data_An_Cour!$O:$O,[5]BV_Data_An_Cour!$U:$U,$B56,[5]BV_Data_An_Cour!$V:$V,$C56,[5]BV_Data_An_Cour!$W:$W,L$2)</f>
        <v>0</v>
      </c>
      <c r="M56" s="531"/>
      <c r="N56" s="557">
        <f t="shared" si="19"/>
        <v>0</v>
      </c>
      <c r="O56" s="531"/>
      <c r="P56" s="510"/>
      <c r="Q56" s="534">
        <f t="array" ref="Q56">+INDEX('[5]Réel 2023'!$A$2:$AO$501,MATCH($A56,'[5]Réel 2023'!$A$2:$A$501,0),MATCH(Q$2,'[5]Réel 2023'!$A$2:$AO$2,0))</f>
        <v>0</v>
      </c>
      <c r="R56" s="531"/>
      <c r="S56" s="557">
        <f t="shared" si="20"/>
        <v>0</v>
      </c>
      <c r="T56" s="573"/>
      <c r="U56" s="510"/>
      <c r="V56" s="510"/>
      <c r="W56" s="510"/>
      <c r="X56" s="507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</row>
    <row r="57" spans="1:40" ht="15.75" customHeight="1">
      <c r="A57" s="523" t="s">
        <v>263</v>
      </c>
      <c r="B57" s="510" t="s">
        <v>0</v>
      </c>
      <c r="C57" s="524" t="s">
        <v>52</v>
      </c>
      <c r="D57" s="587"/>
      <c r="E57" s="607"/>
      <c r="F57" s="526">
        <f>+INDEX('[5]Budget original'!$A$2:$AO$501,MATCH($A57,'[5]Budget original'!$A$2:$A$501,0),MATCH(F$2,'[5]Budget original'!$A$2:$AO$2,0))</f>
        <v>9200</v>
      </c>
      <c r="G57" s="588"/>
      <c r="H57" s="607"/>
      <c r="I57" s="526"/>
      <c r="J57" s="524"/>
      <c r="K57" s="607"/>
      <c r="L57" s="526">
        <f>SUMIFS([5]BV_Data_An_Cour!$O:$O,[5]BV_Data_An_Cour!$U:$U,$B57,[5]BV_Data_An_Cour!$V:$V,$C57,[5]BV_Data_An_Cour!$W:$W,L$2)</f>
        <v>8473.11</v>
      </c>
      <c r="M57" s="524"/>
      <c r="N57" s="582">
        <f t="shared" si="19"/>
        <v>-726.88999999999942</v>
      </c>
      <c r="O57" s="524"/>
      <c r="P57" s="607"/>
      <c r="Q57" s="526">
        <f t="array" ref="Q57">+INDEX('[5]Réel 2023'!$A$2:$AO$501,MATCH($A57,'[5]Réel 2023'!$A$2:$A$501,0),MATCH(Q$2,'[5]Réel 2023'!$A$2:$AO$2,0))</f>
        <v>10080.58</v>
      </c>
      <c r="R57" s="524"/>
      <c r="S57" s="582">
        <f t="shared" si="20"/>
        <v>-1607.4699999999993</v>
      </c>
      <c r="T57" s="608"/>
      <c r="U57" s="510"/>
      <c r="V57" s="510"/>
      <c r="W57" s="510"/>
      <c r="X57" s="507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</row>
    <row r="58" spans="1:40" ht="15.75" customHeight="1">
      <c r="A58" s="523" t="s">
        <v>264</v>
      </c>
      <c r="B58" s="510" t="s">
        <v>0</v>
      </c>
      <c r="C58" s="531" t="s">
        <v>53</v>
      </c>
      <c r="D58" s="584"/>
      <c r="E58" s="510"/>
      <c r="F58" s="532">
        <f>+INDEX('[5]Budget original'!$A$2:$AO$501,MATCH($A58,'[5]Budget original'!$A$2:$A$501,0),MATCH(F$2,'[5]Budget original'!$A$2:$AO$2,0))</f>
        <v>9039.6954662222215</v>
      </c>
      <c r="G58" s="585"/>
      <c r="H58" s="510"/>
      <c r="I58" s="532"/>
      <c r="J58" s="531"/>
      <c r="K58" s="510"/>
      <c r="L58" s="534">
        <f>SUMIFS([5]BV_Data_An_Cour!$O:$O,[5]BV_Data_An_Cour!$U:$U,$B58,[5]BV_Data_An_Cour!$V:$V,$C58,[5]BV_Data_An_Cour!$W:$W,L$2)</f>
        <v>7015.5</v>
      </c>
      <c r="M58" s="531"/>
      <c r="N58" s="557">
        <f t="shared" si="19"/>
        <v>-2024.1954662222215</v>
      </c>
      <c r="O58" s="531"/>
      <c r="P58" s="510"/>
      <c r="Q58" s="534">
        <f t="array" ref="Q58">+INDEX('[5]Réel 2023'!$A$2:$AO$501,MATCH($A58,'[5]Réel 2023'!$A$2:$A$501,0),MATCH(Q$2,'[5]Réel 2023'!$A$2:$AO$2,0))</f>
        <v>6701.59</v>
      </c>
      <c r="R58" s="531"/>
      <c r="S58" s="557">
        <f t="shared" si="20"/>
        <v>313.90999999999985</v>
      </c>
      <c r="T58" s="573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</row>
    <row r="59" spans="1:40" ht="15.75" customHeight="1">
      <c r="A59" s="523" t="s">
        <v>265</v>
      </c>
      <c r="B59" s="510" t="s">
        <v>0</v>
      </c>
      <c r="C59" s="531" t="s">
        <v>54</v>
      </c>
      <c r="D59" s="584"/>
      <c r="E59" s="510"/>
      <c r="F59" s="532">
        <f>+INDEX('[5]Budget original'!$A$2:$AO$501,MATCH($A59,'[5]Budget original'!$A$2:$A$501,0),MATCH(F$2,'[5]Budget original'!$A$2:$AO$2,0))</f>
        <v>1105.2258848911197</v>
      </c>
      <c r="G59" s="585"/>
      <c r="H59" s="510"/>
      <c r="I59" s="532"/>
      <c r="J59" s="531"/>
      <c r="K59" s="510"/>
      <c r="L59" s="534">
        <f>SUMIFS([5]BV_Data_An_Cour!$O:$O,[5]BV_Data_An_Cour!$U:$U,$B59,[5]BV_Data_An_Cour!$V:$V,$C59,[5]BV_Data_An_Cour!$W:$W,L$2)</f>
        <v>2344.34</v>
      </c>
      <c r="M59" s="531"/>
      <c r="N59" s="557">
        <f t="shared" si="19"/>
        <v>1239.1141151088805</v>
      </c>
      <c r="O59" s="531"/>
      <c r="P59" s="510"/>
      <c r="Q59" s="534">
        <f t="array" ref="Q59">+INDEX('[5]Réel 2023'!$A$2:$AO$501,MATCH($A59,'[5]Réel 2023'!$A$2:$A$501,0),MATCH(Q$2,'[5]Réel 2023'!$A$2:$AO$2,0))</f>
        <v>1507.17</v>
      </c>
      <c r="R59" s="531"/>
      <c r="S59" s="557">
        <f t="shared" si="20"/>
        <v>837.17000000000007</v>
      </c>
      <c r="T59" s="510"/>
      <c r="U59" s="510"/>
      <c r="V59" s="510"/>
      <c r="W59" s="510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0"/>
      <c r="AK59" s="510"/>
      <c r="AL59" s="510"/>
      <c r="AM59" s="510"/>
      <c r="AN59" s="510"/>
    </row>
    <row r="60" spans="1:40" ht="15.75" customHeight="1">
      <c r="A60" s="523" t="s">
        <v>266</v>
      </c>
      <c r="B60" s="510" t="s">
        <v>0</v>
      </c>
      <c r="C60" s="524" t="s">
        <v>55</v>
      </c>
      <c r="D60" s="587"/>
      <c r="E60" s="607"/>
      <c r="F60" s="526">
        <f>+INDEX('[5]Budget original'!$A$2:$AO$501,MATCH($A60,'[5]Budget original'!$A$2:$A$501,0),MATCH(F$2,'[5]Budget original'!$A$2:$AO$2,0))</f>
        <v>6711.4186422074081</v>
      </c>
      <c r="G60" s="588"/>
      <c r="H60" s="607"/>
      <c r="I60" s="526"/>
      <c r="J60" s="524"/>
      <c r="K60" s="607"/>
      <c r="L60" s="526">
        <f>SUMIFS([5]BV_Data_An_Cour!$O:$O,[5]BV_Data_An_Cour!$U:$U,$B60,[5]BV_Data_An_Cour!$V:$V,$C60,[5]BV_Data_An_Cour!$W:$W,L$2)</f>
        <v>8179.53</v>
      </c>
      <c r="M60" s="524"/>
      <c r="N60" s="582">
        <f t="shared" si="19"/>
        <v>1468.1113577925917</v>
      </c>
      <c r="O60" s="524"/>
      <c r="P60" s="607"/>
      <c r="Q60" s="526">
        <f t="array" ref="Q60">+INDEX('[5]Réel 2023'!$A$2:$AO$501,MATCH($A60,'[5]Réel 2023'!$A$2:$A$501,0),MATCH(Q$2,'[5]Réel 2023'!$A$2:$AO$2,0))</f>
        <v>8041.2</v>
      </c>
      <c r="R60" s="524"/>
      <c r="S60" s="582">
        <f t="shared" si="20"/>
        <v>138.32999999999993</v>
      </c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510"/>
      <c r="AG60" s="510"/>
      <c r="AH60" s="510"/>
      <c r="AI60" s="510"/>
      <c r="AJ60" s="510"/>
      <c r="AK60" s="510"/>
      <c r="AL60" s="510"/>
      <c r="AM60" s="510"/>
      <c r="AN60" s="510"/>
    </row>
    <row r="61" spans="1:40" ht="15.75" customHeight="1">
      <c r="A61" s="523" t="s">
        <v>267</v>
      </c>
      <c r="B61" s="510" t="s">
        <v>0</v>
      </c>
      <c r="C61" s="531" t="s">
        <v>56</v>
      </c>
      <c r="D61" s="584"/>
      <c r="E61" s="510"/>
      <c r="F61" s="532">
        <f>+INDEX('[5]Budget original'!$A$2:$AO$501,MATCH($A61,'[5]Budget original'!$A$2:$A$501,0),MATCH(F$2,'[5]Budget original'!$A$2:$AO$2,0))</f>
        <v>125</v>
      </c>
      <c r="G61" s="585"/>
      <c r="H61" s="510"/>
      <c r="I61" s="532"/>
      <c r="J61" s="531"/>
      <c r="K61" s="510"/>
      <c r="L61" s="534">
        <f>SUMIFS([5]BV_Data_An_Cour!$O:$O,[5]BV_Data_An_Cour!$U:$U,$B61,[5]BV_Data_An_Cour!$V:$V,$C61,[5]BV_Data_An_Cour!$W:$W,L$2)</f>
        <v>0</v>
      </c>
      <c r="M61" s="531"/>
      <c r="N61" s="557">
        <f t="shared" si="19"/>
        <v>-125</v>
      </c>
      <c r="O61" s="531"/>
      <c r="P61" s="510"/>
      <c r="Q61" s="534">
        <f t="array" ref="Q61">+INDEX('[5]Réel 2023'!$A$2:$AO$501,MATCH($A61,'[5]Réel 2023'!$A$2:$A$501,0),MATCH(Q$2,'[5]Réel 2023'!$A$2:$AO$2,0))</f>
        <v>0</v>
      </c>
      <c r="R61" s="531"/>
      <c r="S61" s="557">
        <f t="shared" si="20"/>
        <v>0</v>
      </c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</row>
    <row r="62" spans="1:40" ht="15.75" customHeight="1">
      <c r="A62" s="523" t="s">
        <v>268</v>
      </c>
      <c r="B62" s="510" t="s">
        <v>0</v>
      </c>
      <c r="C62" s="531" t="s">
        <v>57</v>
      </c>
      <c r="D62" s="584"/>
      <c r="E62" s="510"/>
      <c r="F62" s="532">
        <f>+INDEX('[5]Budget original'!$A$2:$AO$501,MATCH($A62,'[5]Budget original'!$A$2:$A$501,0),MATCH(F$2,'[5]Budget original'!$A$2:$AO$2,0))</f>
        <v>83.333333333333329</v>
      </c>
      <c r="G62" s="585"/>
      <c r="H62" s="510"/>
      <c r="I62" s="532"/>
      <c r="J62" s="531"/>
      <c r="K62" s="510"/>
      <c r="L62" s="534">
        <f>SUMIFS([5]BV_Data_An_Cour!$O:$O,[5]BV_Data_An_Cour!$U:$U,$B62,[5]BV_Data_An_Cour!$V:$V,$C62,[5]BV_Data_An_Cour!$W:$W,L$2)</f>
        <v>434.88</v>
      </c>
      <c r="M62" s="531"/>
      <c r="N62" s="557">
        <f t="shared" si="19"/>
        <v>351.54666666666668</v>
      </c>
      <c r="O62" s="531"/>
      <c r="P62" s="510"/>
      <c r="Q62" s="534">
        <f t="array" ref="Q62">+INDEX('[5]Réel 2023'!$A$2:$AO$501,MATCH($A62,'[5]Réel 2023'!$A$2:$A$501,0),MATCH(Q$2,'[5]Réel 2023'!$A$2:$AO$2,0))</f>
        <v>0</v>
      </c>
      <c r="R62" s="531"/>
      <c r="S62" s="557">
        <f t="shared" si="20"/>
        <v>434.88</v>
      </c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</row>
    <row r="63" spans="1:40" ht="15.75" customHeight="1">
      <c r="A63" s="523" t="s">
        <v>269</v>
      </c>
      <c r="B63" s="510" t="s">
        <v>0</v>
      </c>
      <c r="C63" s="531" t="s">
        <v>58</v>
      </c>
      <c r="D63" s="584"/>
      <c r="E63" s="510"/>
      <c r="F63" s="532">
        <f>+INDEX('[5]Budget original'!$A$2:$AO$501,MATCH($A63,'[5]Budget original'!$A$2:$A$501,0),MATCH(F$2,'[5]Budget original'!$A$2:$AO$2,0))</f>
        <v>756.94660196799998</v>
      </c>
      <c r="G63" s="585"/>
      <c r="H63" s="510"/>
      <c r="I63" s="532"/>
      <c r="J63" s="531"/>
      <c r="K63" s="510"/>
      <c r="L63" s="534">
        <f>SUMIFS([5]BV_Data_An_Cour!$O:$O,[5]BV_Data_An_Cour!$U:$U,$B63,[5]BV_Data_An_Cour!$V:$V,$C63,[5]BV_Data_An_Cour!$W:$W,L$2)</f>
        <v>377.56</v>
      </c>
      <c r="M63" s="531"/>
      <c r="N63" s="557">
        <f t="shared" si="19"/>
        <v>-379.38660196799998</v>
      </c>
      <c r="O63" s="531"/>
      <c r="P63" s="510"/>
      <c r="Q63" s="534">
        <f t="array" ref="Q63">+INDEX('[5]Réel 2023'!$A$2:$AO$501,MATCH($A63,'[5]Réel 2023'!$A$2:$A$501,0),MATCH(Q$2,'[5]Réel 2023'!$A$2:$AO$2,0))</f>
        <v>281.8</v>
      </c>
      <c r="R63" s="531"/>
      <c r="S63" s="557">
        <f t="shared" si="20"/>
        <v>95.759999999999991</v>
      </c>
      <c r="T63" s="510"/>
      <c r="U63" s="510"/>
      <c r="V63" s="510"/>
      <c r="W63" s="510"/>
      <c r="X63" s="510"/>
      <c r="Y63" s="510"/>
      <c r="Z63" s="510"/>
      <c r="AA63" s="510"/>
      <c r="AB63" s="510"/>
      <c r="AC63" s="510"/>
      <c r="AD63" s="510"/>
      <c r="AE63" s="510"/>
      <c r="AF63" s="510"/>
      <c r="AG63" s="510"/>
      <c r="AH63" s="510"/>
      <c r="AI63" s="510"/>
      <c r="AJ63" s="510"/>
      <c r="AK63" s="510"/>
      <c r="AL63" s="510"/>
      <c r="AM63" s="510"/>
      <c r="AN63" s="510"/>
    </row>
    <row r="64" spans="1:40" ht="15.75" customHeight="1">
      <c r="A64" s="523" t="s">
        <v>270</v>
      </c>
      <c r="B64" s="510" t="s">
        <v>0</v>
      </c>
      <c r="C64" s="531" t="s">
        <v>59</v>
      </c>
      <c r="D64" s="584"/>
      <c r="E64" s="510"/>
      <c r="F64" s="532">
        <f>+INDEX('[5]Budget original'!$A$2:$AO$501,MATCH($A64,'[5]Budget original'!$A$2:$A$501,0),MATCH(F$2,'[5]Budget original'!$A$2:$AO$2,0))</f>
        <v>309.40348505288893</v>
      </c>
      <c r="G64" s="585"/>
      <c r="H64" s="510"/>
      <c r="I64" s="532"/>
      <c r="J64" s="531"/>
      <c r="K64" s="510"/>
      <c r="L64" s="534">
        <f>SUMIFS([5]BV_Data_An_Cour!$O:$O,[5]BV_Data_An_Cour!$U:$U,$B64,[5]BV_Data_An_Cour!$V:$V,$C64,[5]BV_Data_An_Cour!$W:$W,L$2)</f>
        <v>393.48</v>
      </c>
      <c r="M64" s="531"/>
      <c r="N64" s="557">
        <f t="shared" si="19"/>
        <v>84.076514947111093</v>
      </c>
      <c r="O64" s="531"/>
      <c r="P64" s="510"/>
      <c r="Q64" s="534">
        <f t="array" ref="Q64">+INDEX('[5]Réel 2023'!$A$2:$AO$501,MATCH($A64,'[5]Réel 2023'!$A$2:$A$501,0),MATCH(Q$2,'[5]Réel 2023'!$A$2:$AO$2,0))</f>
        <v>303.89</v>
      </c>
      <c r="R64" s="531"/>
      <c r="S64" s="557">
        <f t="shared" si="20"/>
        <v>89.590000000000032</v>
      </c>
      <c r="T64" s="510"/>
      <c r="U64" s="510"/>
      <c r="V64" s="510"/>
      <c r="W64" s="510"/>
      <c r="X64" s="510"/>
      <c r="Y64" s="510"/>
      <c r="Z64" s="510"/>
      <c r="AA64" s="510"/>
      <c r="AB64" s="510"/>
      <c r="AC64" s="510"/>
      <c r="AD64" s="510"/>
      <c r="AE64" s="510"/>
      <c r="AF64" s="510"/>
      <c r="AG64" s="510"/>
      <c r="AH64" s="510"/>
      <c r="AI64" s="510"/>
      <c r="AJ64" s="510"/>
      <c r="AK64" s="510"/>
      <c r="AL64" s="510"/>
      <c r="AM64" s="510"/>
      <c r="AN64" s="510"/>
    </row>
    <row r="65" spans="1:40" ht="15.75" customHeight="1">
      <c r="A65" s="523" t="s">
        <v>271</v>
      </c>
      <c r="B65" s="510" t="s">
        <v>0</v>
      </c>
      <c r="C65" s="531" t="s">
        <v>60</v>
      </c>
      <c r="D65" s="584"/>
      <c r="E65" s="510"/>
      <c r="F65" s="532">
        <f>+INDEX('[5]Budget original'!$A$2:$AO$501,MATCH($A65,'[5]Budget original'!$A$2:$A$501,0),MATCH(F$2,'[5]Budget original'!$A$2:$AO$2,0))</f>
        <v>113.12880990711112</v>
      </c>
      <c r="G65" s="585"/>
      <c r="H65" s="510"/>
      <c r="I65" s="532"/>
      <c r="J65" s="531"/>
      <c r="K65" s="510"/>
      <c r="L65" s="534">
        <f>SUMIFS([5]BV_Data_An_Cour!$O:$O,[5]BV_Data_An_Cour!$U:$U,$B65,[5]BV_Data_An_Cour!$V:$V,$C65,[5]BV_Data_An_Cour!$W:$W,L$2)</f>
        <v>32.96</v>
      </c>
      <c r="M65" s="531"/>
      <c r="N65" s="557">
        <f t="shared" si="19"/>
        <v>-80.168809907111125</v>
      </c>
      <c r="O65" s="531"/>
      <c r="P65" s="510"/>
      <c r="Q65" s="534">
        <f t="array" ref="Q65">+INDEX('[5]Réel 2023'!$A$2:$AO$501,MATCH($A65,'[5]Réel 2023'!$A$2:$A$501,0),MATCH(Q$2,'[5]Réel 2023'!$A$2:$AO$2,0))</f>
        <v>252.96</v>
      </c>
      <c r="R65" s="531"/>
      <c r="S65" s="557">
        <f t="shared" si="20"/>
        <v>-220</v>
      </c>
      <c r="T65" s="510"/>
      <c r="U65" s="510"/>
      <c r="V65" s="510"/>
      <c r="W65" s="510"/>
      <c r="X65" s="510"/>
      <c r="Y65" s="510"/>
      <c r="Z65" s="510"/>
      <c r="AA65" s="510"/>
      <c r="AB65" s="510"/>
      <c r="AC65" s="510"/>
      <c r="AD65" s="510"/>
      <c r="AE65" s="510"/>
      <c r="AF65" s="510"/>
      <c r="AG65" s="510"/>
      <c r="AH65" s="510"/>
      <c r="AI65" s="510"/>
      <c r="AJ65" s="510"/>
      <c r="AK65" s="510"/>
      <c r="AL65" s="510"/>
      <c r="AM65" s="510"/>
      <c r="AN65" s="510"/>
    </row>
    <row r="66" spans="1:40" ht="15.75" customHeight="1">
      <c r="A66" s="523" t="s">
        <v>272</v>
      </c>
      <c r="B66" s="510" t="s">
        <v>0</v>
      </c>
      <c r="C66" s="531" t="s">
        <v>61</v>
      </c>
      <c r="D66" s="584"/>
      <c r="E66" s="510"/>
      <c r="F66" s="532">
        <f>+INDEX('[5]Budget original'!$A$2:$AO$501,MATCH($A66,'[5]Budget original'!$A$2:$A$501,0),MATCH(F$2,'[5]Budget original'!$A$2:$AO$2,0))</f>
        <v>282.46260343511113</v>
      </c>
      <c r="G66" s="585"/>
      <c r="H66" s="510"/>
      <c r="I66" s="532"/>
      <c r="J66" s="531"/>
      <c r="K66" s="510"/>
      <c r="L66" s="534">
        <f>SUMIFS([5]BV_Data_An_Cour!$O:$O,[5]BV_Data_An_Cour!$U:$U,$B66,[5]BV_Data_An_Cour!$V:$V,$C66,[5]BV_Data_An_Cour!$W:$W,L$2)</f>
        <v>234.47</v>
      </c>
      <c r="M66" s="531"/>
      <c r="N66" s="557">
        <f t="shared" si="19"/>
        <v>-47.992603435111135</v>
      </c>
      <c r="O66" s="531"/>
      <c r="P66" s="510"/>
      <c r="Q66" s="534">
        <f t="array" ref="Q66">+INDEX('[5]Réel 2023'!$A$2:$AO$501,MATCH($A66,'[5]Réel 2023'!$A$2:$A$501,0),MATCH(Q$2,'[5]Réel 2023'!$A$2:$AO$2,0))</f>
        <v>120</v>
      </c>
      <c r="R66" s="531"/>
      <c r="S66" s="557">
        <f t="shared" si="20"/>
        <v>114.47</v>
      </c>
      <c r="T66" s="510"/>
      <c r="U66" s="510"/>
      <c r="V66" s="510"/>
      <c r="W66" s="510"/>
      <c r="X66" s="510"/>
      <c r="Y66" s="510"/>
      <c r="Z66" s="510"/>
      <c r="AA66" s="510"/>
      <c r="AB66" s="510"/>
      <c r="AC66" s="510"/>
      <c r="AD66" s="510"/>
      <c r="AE66" s="510"/>
      <c r="AF66" s="510"/>
      <c r="AG66" s="510"/>
      <c r="AH66" s="510"/>
      <c r="AI66" s="510"/>
      <c r="AJ66" s="510"/>
      <c r="AK66" s="510"/>
      <c r="AL66" s="510"/>
      <c r="AM66" s="510"/>
      <c r="AN66" s="510"/>
    </row>
    <row r="67" spans="1:40" ht="15.75" customHeight="1">
      <c r="A67" s="523" t="s">
        <v>273</v>
      </c>
      <c r="B67" s="510" t="s">
        <v>0</v>
      </c>
      <c r="C67" s="531" t="s">
        <v>62</v>
      </c>
      <c r="D67" s="584"/>
      <c r="E67" s="510"/>
      <c r="F67" s="532">
        <f>+INDEX('[5]Budget original'!$A$2:$AO$501,MATCH($A67,'[5]Budget original'!$A$2:$A$501,0),MATCH(F$2,'[5]Budget original'!$A$2:$AO$2,0))</f>
        <v>1899.1075000000001</v>
      </c>
      <c r="G67" s="585"/>
      <c r="H67" s="510"/>
      <c r="I67" s="532"/>
      <c r="J67" s="531"/>
      <c r="K67" s="510"/>
      <c r="L67" s="534">
        <f>SUMIFS([5]BV_Data_An_Cour!$O:$O,[5]BV_Data_An_Cour!$U:$U,$B67,[5]BV_Data_An_Cour!$V:$V,$C67,[5]BV_Data_An_Cour!$W:$W,L$2)</f>
        <v>2366.96</v>
      </c>
      <c r="M67" s="531"/>
      <c r="N67" s="557">
        <f t="shared" si="19"/>
        <v>467.85249999999996</v>
      </c>
      <c r="O67" s="531"/>
      <c r="P67" s="510"/>
      <c r="Q67" s="534">
        <f t="array" ref="Q67">+INDEX('[5]Réel 2023'!$A$2:$AO$501,MATCH($A67,'[5]Réel 2023'!$A$2:$A$501,0),MATCH(Q$2,'[5]Réel 2023'!$A$2:$AO$2,0))</f>
        <v>2106.41</v>
      </c>
      <c r="R67" s="531"/>
      <c r="S67" s="557">
        <f t="shared" si="20"/>
        <v>260.55000000000018</v>
      </c>
      <c r="T67" s="510"/>
      <c r="U67" s="523"/>
      <c r="X67" s="510"/>
      <c r="Y67" s="510"/>
      <c r="Z67" s="510"/>
      <c r="AA67" s="510"/>
      <c r="AB67" s="510"/>
      <c r="AC67" s="510"/>
      <c r="AD67" s="510"/>
      <c r="AE67" s="510"/>
      <c r="AF67" s="510"/>
      <c r="AG67" s="510"/>
      <c r="AH67" s="510"/>
      <c r="AI67" s="510"/>
      <c r="AJ67" s="510"/>
      <c r="AK67" s="510"/>
      <c r="AL67" s="510"/>
      <c r="AM67" s="510"/>
      <c r="AN67" s="510"/>
    </row>
    <row r="68" spans="1:40" ht="15.75" customHeight="1">
      <c r="A68" s="523" t="s">
        <v>274</v>
      </c>
      <c r="B68" s="510" t="s">
        <v>0</v>
      </c>
      <c r="C68" s="531" t="s">
        <v>63</v>
      </c>
      <c r="D68" s="584"/>
      <c r="E68" s="510"/>
      <c r="F68" s="532">
        <f>+INDEX('[5]Budget original'!$A$2:$AO$501,MATCH($A68,'[5]Budget original'!$A$2:$A$501,0),MATCH(F$2,'[5]Budget original'!$A$2:$AO$2,0))</f>
        <v>3363.2959290092826</v>
      </c>
      <c r="G68" s="585"/>
      <c r="H68" s="510"/>
      <c r="I68" s="532"/>
      <c r="J68" s="531"/>
      <c r="K68" s="510"/>
      <c r="L68" s="534">
        <f>SUMIFS([5]BV_Data_An_Cour!$O:$O,[5]BV_Data_An_Cour!$U:$U,$B68,[5]BV_Data_An_Cour!$V:$V,$C68,[5]BV_Data_An_Cour!$W:$W,L$2)</f>
        <v>4782.88</v>
      </c>
      <c r="M68" s="531"/>
      <c r="N68" s="557">
        <f t="shared" si="19"/>
        <v>1419.5840709907175</v>
      </c>
      <c r="O68" s="531"/>
      <c r="P68" s="510"/>
      <c r="Q68" s="534">
        <f t="array" ref="Q68">+INDEX('[5]Réel 2023'!$A$2:$AO$501,MATCH($A68,'[5]Réel 2023'!$A$2:$A$501,0),MATCH(Q$2,'[5]Réel 2023'!$A$2:$AO$2,0))</f>
        <v>4006.58</v>
      </c>
      <c r="R68" s="531"/>
      <c r="S68" s="557">
        <f t="shared" si="20"/>
        <v>776.30000000000018</v>
      </c>
      <c r="T68" s="510"/>
      <c r="X68" s="510"/>
      <c r="Y68" s="510"/>
      <c r="Z68" s="510"/>
      <c r="AA68" s="510"/>
      <c r="AB68" s="510"/>
      <c r="AC68" s="510"/>
      <c r="AD68" s="510"/>
      <c r="AE68" s="510"/>
      <c r="AF68" s="510"/>
      <c r="AG68" s="510"/>
      <c r="AH68" s="510"/>
      <c r="AI68" s="510"/>
      <c r="AJ68" s="510"/>
      <c r="AK68" s="510"/>
      <c r="AL68" s="510"/>
      <c r="AM68" s="510"/>
      <c r="AN68" s="510"/>
    </row>
    <row r="69" spans="1:40" ht="15.75" hidden="1" customHeight="1">
      <c r="A69" s="523" t="s">
        <v>233</v>
      </c>
      <c r="B69" s="510" t="s">
        <v>0</v>
      </c>
      <c r="C69" s="531" t="s">
        <v>20</v>
      </c>
      <c r="D69" s="584"/>
      <c r="E69" s="510"/>
      <c r="F69" s="532">
        <f>+INDEX('[5]Budget original'!$A$2:$AO$501,MATCH($A69,'[5]Budget original'!$A$2:$A$501,0),MATCH(F$2,'[5]Budget original'!$A$2:$AO$2,0))</f>
        <v>0</v>
      </c>
      <c r="G69" s="585"/>
      <c r="H69" s="510"/>
      <c r="I69" s="532"/>
      <c r="J69" s="531"/>
      <c r="K69" s="510"/>
      <c r="L69" s="534"/>
      <c r="M69" s="531"/>
      <c r="N69" s="557">
        <f t="shared" si="19"/>
        <v>0</v>
      </c>
      <c r="O69" s="531"/>
      <c r="P69" s="510"/>
      <c r="Q69" s="534">
        <f t="array" ref="Q69">+INDEX('[5]Réel 2023'!$A$2:$AO$501,MATCH($A69,'[5]Réel 2023'!$A$2:$A$501,0),MATCH(Q$2,'[5]Réel 2023'!$A$2:$AO$2,0))</f>
        <v>0</v>
      </c>
      <c r="R69" s="531"/>
      <c r="S69" s="557">
        <f t="shared" si="20"/>
        <v>0</v>
      </c>
      <c r="T69" s="510"/>
      <c r="X69" s="510"/>
      <c r="Y69" s="510"/>
      <c r="Z69" s="510"/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  <c r="AK69" s="510"/>
      <c r="AL69" s="510"/>
      <c r="AM69" s="510"/>
      <c r="AN69" s="510"/>
    </row>
    <row r="70" spans="1:40" ht="15.75" hidden="1" customHeight="1">
      <c r="A70" s="523" t="s">
        <v>233</v>
      </c>
      <c r="B70" s="510" t="s">
        <v>0</v>
      </c>
      <c r="C70" s="531" t="s">
        <v>20</v>
      </c>
      <c r="D70" s="584"/>
      <c r="E70" s="510"/>
      <c r="F70" s="532">
        <f>+INDEX('[5]Budget original'!$A$2:$AO$501,MATCH($A70,'[5]Budget original'!$A$2:$A$501,0),MATCH(F$2,'[5]Budget original'!$A$2:$AO$2,0))</f>
        <v>0</v>
      </c>
      <c r="G70" s="585"/>
      <c r="H70" s="510"/>
      <c r="I70" s="532"/>
      <c r="J70" s="531"/>
      <c r="K70" s="510"/>
      <c r="L70" s="534">
        <f>SUMIFS([5]BV_Data_An_Cour!$O:$O,[5]BV_Data_An_Cour!$U:$U,$B70,[5]BV_Data_An_Cour!$V:$V,$C70,[5]BV_Data_An_Cour!$W:$W,L$2)</f>
        <v>0</v>
      </c>
      <c r="M70" s="531"/>
      <c r="N70" s="557">
        <f t="shared" si="19"/>
        <v>0</v>
      </c>
      <c r="O70" s="531"/>
      <c r="P70" s="510"/>
      <c r="Q70" s="534">
        <f t="array" ref="Q70">+INDEX('[5]Réel 2023'!$A$2:$AO$501,MATCH($A70,'[5]Réel 2023'!$A$2:$A$501,0),MATCH(Q$2,'[5]Réel 2023'!$A$2:$AO$2,0))</f>
        <v>0</v>
      </c>
      <c r="R70" s="531"/>
      <c r="S70" s="557">
        <f t="shared" si="20"/>
        <v>0</v>
      </c>
      <c r="T70" s="510"/>
      <c r="X70" s="510"/>
      <c r="Y70" s="510"/>
      <c r="Z70" s="510"/>
      <c r="AA70" s="510"/>
      <c r="AB70" s="510"/>
      <c r="AC70" s="510"/>
      <c r="AD70" s="510"/>
      <c r="AE70" s="510"/>
      <c r="AF70" s="510"/>
      <c r="AG70" s="510"/>
      <c r="AH70" s="510"/>
      <c r="AI70" s="510"/>
      <c r="AJ70" s="510"/>
      <c r="AK70" s="510"/>
      <c r="AL70" s="510"/>
      <c r="AM70" s="510"/>
      <c r="AN70" s="510"/>
    </row>
    <row r="71" spans="1:40" ht="15.75" hidden="1" customHeight="1">
      <c r="A71" s="523" t="s">
        <v>233</v>
      </c>
      <c r="B71" s="510" t="s">
        <v>0</v>
      </c>
      <c r="C71" s="531" t="s">
        <v>20</v>
      </c>
      <c r="D71" s="584"/>
      <c r="E71" s="510"/>
      <c r="F71" s="532">
        <f>+INDEX('[5]Budget original'!$A$2:$AO$501,MATCH($A71,'[5]Budget original'!$A$2:$A$501,0),MATCH(F$2,'[5]Budget original'!$A$2:$AO$2,0))</f>
        <v>0</v>
      </c>
      <c r="G71" s="585"/>
      <c r="H71" s="510"/>
      <c r="I71" s="532"/>
      <c r="J71" s="531"/>
      <c r="K71" s="510"/>
      <c r="L71" s="534">
        <f>SUMIFS([5]BV_Data_An_Cour!$O:$O,[5]BV_Data_An_Cour!$U:$U,$B71,[5]BV_Data_An_Cour!$V:$V,$C71,[5]BV_Data_An_Cour!$W:$W,L$2)*0.32</f>
        <v>0</v>
      </c>
      <c r="M71" s="531"/>
      <c r="N71" s="557">
        <f t="shared" si="19"/>
        <v>0</v>
      </c>
      <c r="O71" s="531"/>
      <c r="P71" s="510"/>
      <c r="Q71" s="534">
        <f t="array" ref="Q71">+INDEX('[5]Réel 2023'!$A$2:$AO$501,MATCH($A71,'[5]Réel 2023'!$A$2:$A$501,0),MATCH(Q$2,'[5]Réel 2023'!$A$2:$AO$2,0))</f>
        <v>0</v>
      </c>
      <c r="R71" s="531"/>
      <c r="S71" s="557">
        <f t="shared" si="20"/>
        <v>0</v>
      </c>
      <c r="T71" s="510"/>
      <c r="X71" s="510"/>
      <c r="Y71" s="510"/>
      <c r="Z71" s="510"/>
      <c r="AA71" s="510"/>
      <c r="AB71" s="510"/>
      <c r="AC71" s="510"/>
      <c r="AD71" s="510"/>
      <c r="AE71" s="510"/>
      <c r="AF71" s="510"/>
      <c r="AG71" s="510"/>
      <c r="AH71" s="510"/>
      <c r="AI71" s="510"/>
      <c r="AJ71" s="510"/>
      <c r="AK71" s="510"/>
      <c r="AL71" s="510"/>
      <c r="AM71" s="510"/>
      <c r="AN71" s="510"/>
    </row>
    <row r="72" spans="1:40" ht="15.75" customHeight="1">
      <c r="A72" s="523" t="s">
        <v>275</v>
      </c>
      <c r="B72" s="510" t="s">
        <v>0</v>
      </c>
      <c r="C72" s="592" t="s">
        <v>64</v>
      </c>
      <c r="D72" s="593" t="s">
        <v>39</v>
      </c>
      <c r="E72" s="594">
        <f>F72/F$27</f>
        <v>9.5370693132195303E-2</v>
      </c>
      <c r="F72" s="595">
        <f>+SUM(F55:F71)</f>
        <v>32989.018256026473</v>
      </c>
      <c r="G72" s="596"/>
      <c r="H72" s="594"/>
      <c r="I72" s="595"/>
      <c r="J72" s="596" t="s">
        <v>39</v>
      </c>
      <c r="K72" s="594">
        <f>L72/L$27</f>
        <v>0.26669297483386345</v>
      </c>
      <c r="L72" s="595">
        <f>+SUM(L55:L71)</f>
        <v>34635.67</v>
      </c>
      <c r="M72" s="599"/>
      <c r="N72" s="595">
        <f>+SUM(N55:N71)</f>
        <v>1646.6517439735242</v>
      </c>
      <c r="O72" s="596" t="s">
        <v>39</v>
      </c>
      <c r="P72" s="594">
        <f>Q72/Q$27</f>
        <v>0.13596676993632298</v>
      </c>
      <c r="Q72" s="595">
        <f>+SUM(Q55:Q71)</f>
        <v>33402.179999999993</v>
      </c>
      <c r="R72" s="599"/>
      <c r="S72" s="595">
        <f>+SUM(S55:S71)</f>
        <v>1233.4900000000009</v>
      </c>
      <c r="T72" s="510"/>
      <c r="X72" s="510"/>
      <c r="Y72" s="510"/>
      <c r="Z72" s="510"/>
      <c r="AA72" s="510"/>
      <c r="AB72" s="510"/>
      <c r="AC72" s="510"/>
      <c r="AD72" s="510"/>
      <c r="AE72" s="510"/>
      <c r="AF72" s="510"/>
      <c r="AG72" s="510"/>
      <c r="AH72" s="510"/>
      <c r="AI72" s="510"/>
      <c r="AJ72" s="510"/>
      <c r="AK72" s="510"/>
      <c r="AL72" s="510"/>
      <c r="AM72" s="510"/>
      <c r="AN72" s="510"/>
    </row>
    <row r="73" spans="1:40" ht="15.75" customHeight="1">
      <c r="A73" s="523" t="s">
        <v>0</v>
      </c>
      <c r="B73" s="510" t="s">
        <v>0</v>
      </c>
      <c r="C73" s="524"/>
      <c r="D73" s="587"/>
      <c r="E73" s="607"/>
      <c r="F73" s="557"/>
      <c r="G73" s="588"/>
      <c r="H73" s="607"/>
      <c r="I73" s="557"/>
      <c r="J73" s="524"/>
      <c r="K73" s="607"/>
      <c r="L73" s="582"/>
      <c r="M73" s="524"/>
      <c r="N73" s="582"/>
      <c r="O73" s="524"/>
      <c r="P73" s="607"/>
      <c r="Q73" s="582"/>
      <c r="R73" s="524"/>
      <c r="S73" s="582"/>
      <c r="T73" s="510"/>
      <c r="U73" s="510"/>
      <c r="V73" s="510"/>
      <c r="W73" s="510"/>
      <c r="X73" s="510"/>
      <c r="Y73" s="510"/>
      <c r="Z73" s="510"/>
      <c r="AA73" s="510"/>
      <c r="AB73" s="510"/>
      <c r="AC73" s="510"/>
      <c r="AD73" s="510"/>
      <c r="AE73" s="510"/>
      <c r="AF73" s="510"/>
      <c r="AG73" s="510"/>
      <c r="AH73" s="510"/>
      <c r="AI73" s="510"/>
      <c r="AJ73" s="510"/>
      <c r="AK73" s="510"/>
      <c r="AL73" s="510"/>
      <c r="AM73" s="510"/>
      <c r="AN73" s="510"/>
    </row>
    <row r="74" spans="1:40" ht="15.75" customHeight="1">
      <c r="A74" s="523" t="s">
        <v>276</v>
      </c>
      <c r="B74" s="510" t="s">
        <v>0</v>
      </c>
      <c r="C74" s="592" t="s">
        <v>65</v>
      </c>
      <c r="D74" s="593" t="s">
        <v>39</v>
      </c>
      <c r="E74" s="594">
        <f>F74/F$27</f>
        <v>0.72390691275367147</v>
      </c>
      <c r="F74" s="595">
        <f>F41+F54+F72</f>
        <v>250401.64411296361</v>
      </c>
      <c r="G74" s="596"/>
      <c r="H74" s="594"/>
      <c r="I74" s="595"/>
      <c r="J74" s="596" t="s">
        <v>39</v>
      </c>
      <c r="K74" s="594">
        <f>L74/L$27</f>
        <v>1.4181949850986668</v>
      </c>
      <c r="L74" s="595">
        <f>L41+L54+L72</f>
        <v>184182.33000000002</v>
      </c>
      <c r="M74" s="599"/>
      <c r="N74" s="609">
        <f t="shared" ref="N74:N82" si="21">L74-F74</f>
        <v>-66219.314112963591</v>
      </c>
      <c r="O74" s="596" t="s">
        <v>39</v>
      </c>
      <c r="P74" s="594">
        <f>Q74/Q$27</f>
        <v>0.68129063446706328</v>
      </c>
      <c r="Q74" s="595">
        <f>Q41+Q54+Q72</f>
        <v>167368.77999999997</v>
      </c>
      <c r="R74" s="599"/>
      <c r="S74" s="609">
        <f>L74-Q74</f>
        <v>16813.550000000047</v>
      </c>
      <c r="T74" s="510"/>
      <c r="U74" s="510"/>
      <c r="V74" s="510"/>
      <c r="W74" s="510"/>
      <c r="X74" s="510"/>
      <c r="Y74" s="510"/>
      <c r="Z74" s="510"/>
      <c r="AA74" s="510"/>
      <c r="AB74" s="510"/>
      <c r="AC74" s="510"/>
      <c r="AD74" s="510"/>
      <c r="AE74" s="510"/>
      <c r="AF74" s="510"/>
      <c r="AG74" s="510"/>
      <c r="AH74" s="510"/>
      <c r="AI74" s="510"/>
      <c r="AJ74" s="510"/>
      <c r="AK74" s="510"/>
      <c r="AL74" s="510"/>
      <c r="AM74" s="510"/>
      <c r="AN74" s="510"/>
    </row>
    <row r="75" spans="1:40" ht="15.75" customHeight="1">
      <c r="A75" s="523" t="s">
        <v>277</v>
      </c>
      <c r="B75" s="510" t="s">
        <v>0</v>
      </c>
      <c r="C75" s="531" t="s">
        <v>197</v>
      </c>
      <c r="D75" s="584"/>
      <c r="E75" s="510"/>
      <c r="F75" s="532">
        <f>+INDEX('[5]Budget original'!$A$2:$AO$501,MATCH($A75,'[5]Budget original'!$A$2:$A$501,0),MATCH(F$2,'[5]Budget original'!$A$2:$AO$2,0))</f>
        <v>0</v>
      </c>
      <c r="G75" s="585"/>
      <c r="H75" s="510"/>
      <c r="I75" s="532"/>
      <c r="J75" s="531"/>
      <c r="K75" s="510"/>
      <c r="L75" s="534">
        <f>-SUMIFS([5]BV_Data_An_Cour!$O:$O,[5]BV_Data_An_Cour!$U:$U,$B75,[5]BV_Data_An_Cour!$V:$V,$C75,[5]BV_Data_An_Cour!$W:$W,L$2)-L156</f>
        <v>0</v>
      </c>
      <c r="M75" s="531"/>
      <c r="N75" s="557">
        <f t="shared" si="21"/>
        <v>0</v>
      </c>
      <c r="O75" s="531"/>
      <c r="P75" s="510"/>
      <c r="Q75" s="534">
        <f>+INDEX('[5]Réel 2023'!$A$2:$AO$501,MATCH($A75,'[5]Réel 2023'!$A$2:$A$501,0),MATCH(Q$2,'[5]Réel 2023'!$A$2:$AO$2,0))</f>
        <v>0</v>
      </c>
      <c r="R75" s="531"/>
      <c r="S75" s="557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510"/>
      <c r="AG75" s="510"/>
      <c r="AH75" s="510"/>
      <c r="AI75" s="510"/>
      <c r="AJ75" s="510"/>
      <c r="AK75" s="510"/>
      <c r="AL75" s="510"/>
      <c r="AM75" s="510"/>
      <c r="AN75" s="510"/>
    </row>
    <row r="76" spans="1:40" ht="15.75" customHeight="1">
      <c r="A76" s="523" t="s">
        <v>278</v>
      </c>
      <c r="B76" s="510" t="s">
        <v>0</v>
      </c>
      <c r="C76" s="531" t="s">
        <v>194</v>
      </c>
      <c r="D76" s="584"/>
      <c r="E76" s="510"/>
      <c r="F76" s="532">
        <f>+INDEX('[5]Budget original'!$A$2:$AO$501,MATCH($A76,'[5]Budget original'!$A$2:$A$501,0),MATCH(F$2,'[5]Budget original'!$A$2:$AO$2,0))</f>
        <v>0</v>
      </c>
      <c r="G76" s="585"/>
      <c r="H76" s="510"/>
      <c r="I76" s="532"/>
      <c r="J76" s="531"/>
      <c r="K76" s="510"/>
      <c r="L76" s="534">
        <f>-SUMIFS([5]BV_Data_An_Cour!$O:$O,[5]BV_Data_An_Cour!$U:$U,$B76,[5]BV_Data_An_Cour!$V:$V,$C76,[5]BV_Data_An_Cour!$W:$W,L$2)</f>
        <v>0</v>
      </c>
      <c r="M76" s="531"/>
      <c r="N76" s="557">
        <f t="shared" si="21"/>
        <v>0</v>
      </c>
      <c r="O76" s="531"/>
      <c r="P76" s="510"/>
      <c r="Q76" s="534">
        <f t="array" ref="Q76">+INDEX('[5]Réel 2023'!$A$2:$AO$501,MATCH($A76,'[5]Réel 2023'!$A$2:$A$501,0),MATCH(Q$2,'[5]Réel 2023'!$A$2:$AO$2,0))</f>
        <v>0</v>
      </c>
      <c r="R76" s="531"/>
      <c r="S76" s="557">
        <f t="shared" ref="S76:S82" si="22">L76-Q76</f>
        <v>0</v>
      </c>
      <c r="T76" s="510"/>
      <c r="U76" s="510"/>
      <c r="V76" s="510"/>
      <c r="W76" s="510"/>
      <c r="X76" s="510"/>
      <c r="Y76" s="510"/>
      <c r="Z76" s="510"/>
      <c r="AA76" s="510"/>
      <c r="AB76" s="510"/>
      <c r="AC76" s="510"/>
      <c r="AD76" s="510"/>
      <c r="AE76" s="510"/>
      <c r="AF76" s="510"/>
      <c r="AG76" s="510"/>
      <c r="AH76" s="510"/>
      <c r="AI76" s="510"/>
      <c r="AJ76" s="510"/>
      <c r="AK76" s="510"/>
      <c r="AL76" s="510"/>
      <c r="AM76" s="510"/>
      <c r="AN76" s="510"/>
    </row>
    <row r="77" spans="1:40" ht="15.75" customHeight="1">
      <c r="A77" s="523" t="s">
        <v>279</v>
      </c>
      <c r="B77" s="510" t="s">
        <v>0</v>
      </c>
      <c r="C77" s="531" t="s">
        <v>68</v>
      </c>
      <c r="D77" s="584"/>
      <c r="E77" s="510"/>
      <c r="F77" s="532">
        <f>+INDEX('[5]Budget original'!$A$2:$AO$501,MATCH($A77,'[5]Budget original'!$A$2:$A$501,0),MATCH(F$2,'[5]Budget original'!$A$2:$AO$2,0))</f>
        <v>0</v>
      </c>
      <c r="G77" s="585"/>
      <c r="H77" s="510"/>
      <c r="I77" s="532"/>
      <c r="J77" s="531"/>
      <c r="K77" s="510"/>
      <c r="L77" s="534">
        <f>-SUMIFS([5]BV_Data_An_Cour!$O:$O,[5]BV_Data_An_Cour!$U:$U,$B77,[5]BV_Data_An_Cour!$V:$V,$C77,[5]BV_Data_An_Cour!$W:$W,L$2)</f>
        <v>0</v>
      </c>
      <c r="M77" s="531"/>
      <c r="N77" s="557">
        <f t="shared" si="21"/>
        <v>0</v>
      </c>
      <c r="O77" s="531"/>
      <c r="P77" s="510"/>
      <c r="Q77" s="534">
        <f t="array" ref="Q77">+INDEX('[5]Réel 2023'!$A$2:$AO$501,MATCH($A77,'[5]Réel 2023'!$A$2:$A$501,0),MATCH(Q$2,'[5]Réel 2023'!$A$2:$AO$2,0))</f>
        <v>0</v>
      </c>
      <c r="R77" s="531"/>
      <c r="S77" s="557">
        <f t="shared" si="22"/>
        <v>0</v>
      </c>
      <c r="T77" s="510"/>
      <c r="U77" s="510"/>
      <c r="V77" s="510"/>
      <c r="W77" s="510"/>
      <c r="X77" s="510"/>
      <c r="Y77" s="510"/>
      <c r="Z77" s="510"/>
      <c r="AA77" s="510"/>
      <c r="AB77" s="510"/>
      <c r="AC77" s="510"/>
      <c r="AD77" s="510"/>
      <c r="AE77" s="510"/>
      <c r="AF77" s="510"/>
      <c r="AG77" s="510"/>
      <c r="AH77" s="510"/>
      <c r="AI77" s="510"/>
      <c r="AJ77" s="510"/>
      <c r="AK77" s="510"/>
      <c r="AL77" s="510"/>
      <c r="AM77" s="510"/>
      <c r="AN77" s="510"/>
    </row>
    <row r="78" spans="1:40" ht="15.75" customHeight="1">
      <c r="A78" s="523" t="s">
        <v>280</v>
      </c>
      <c r="B78" s="510" t="s">
        <v>0</v>
      </c>
      <c r="C78" s="531" t="s">
        <v>69</v>
      </c>
      <c r="D78" s="584"/>
      <c r="E78" s="610">
        <f>+F78/D27</f>
        <v>1320.486135222965</v>
      </c>
      <c r="F78" s="532">
        <f>+INDEX('[5]Budget original'!$A$2:$AO$501,MATCH($A78,'[5]Budget original'!$A$2:$A$501,0),MATCH(F$2,'[5]Budget original'!$A$2:$AO$2,0))</f>
        <v>112505.4187209966</v>
      </c>
      <c r="G78" s="585"/>
      <c r="H78" s="510"/>
      <c r="I78" s="532"/>
      <c r="J78" s="611"/>
      <c r="K78" s="610">
        <f>+L78/J27</f>
        <v>1283.6701923076923</v>
      </c>
      <c r="L78" s="534">
        <f>-SUMIFS([5]BV_Data_An_Cour!$O:$O,[5]BV_Data_An_Cour!$U:$U,$B78,[5]BV_Data_An_Cour!$V:$V,$C78,[5]BV_Data_An_Cour!$W:$W,L$2)</f>
        <v>66750.850000000006</v>
      </c>
      <c r="M78" s="531"/>
      <c r="N78" s="557">
        <f t="shared" si="21"/>
        <v>-45754.568720996598</v>
      </c>
      <c r="O78" s="531"/>
      <c r="P78" s="510"/>
      <c r="Q78" s="534">
        <f t="array" ref="Q78">+INDEX('[5]Réel 2023'!$A$2:$AO$501,MATCH($A78,'[5]Réel 2023'!$A$2:$A$501,0),MATCH(Q$2,'[5]Réel 2023'!$A$2:$AO$2,0))</f>
        <v>77258.09</v>
      </c>
      <c r="R78" s="531"/>
      <c r="S78" s="557">
        <f t="shared" si="22"/>
        <v>-10507.239999999991</v>
      </c>
      <c r="T78" s="510"/>
      <c r="U78" s="510"/>
      <c r="V78" s="510"/>
      <c r="W78" s="510"/>
      <c r="X78" s="510"/>
      <c r="Y78" s="510"/>
      <c r="Z78" s="510"/>
      <c r="AA78" s="510"/>
      <c r="AB78" s="510"/>
      <c r="AC78" s="510"/>
      <c r="AD78" s="510"/>
      <c r="AE78" s="510"/>
      <c r="AF78" s="510"/>
      <c r="AG78" s="510"/>
      <c r="AH78" s="510"/>
      <c r="AI78" s="510"/>
      <c r="AJ78" s="510"/>
      <c r="AK78" s="510"/>
      <c r="AL78" s="510"/>
      <c r="AM78" s="510"/>
      <c r="AN78" s="510"/>
    </row>
    <row r="79" spans="1:40" ht="15.75" hidden="1" customHeight="1">
      <c r="A79" s="523" t="s">
        <v>233</v>
      </c>
      <c r="B79" s="510" t="s">
        <v>0</v>
      </c>
      <c r="C79" s="531" t="s">
        <v>20</v>
      </c>
      <c r="D79" s="584"/>
      <c r="E79" s="510"/>
      <c r="F79" s="532">
        <f>+INDEX('[5]Budget original'!$A$2:$AO$501,MATCH($A79,'[5]Budget original'!$A$2:$A$501,0),MATCH(F$2,'[5]Budget original'!$A$2:$AO$2,0))</f>
        <v>0</v>
      </c>
      <c r="G79" s="585"/>
      <c r="H79" s="510"/>
      <c r="I79" s="532"/>
      <c r="J79" s="531"/>
      <c r="K79" s="510"/>
      <c r="L79" s="534">
        <f>-SUMIFS([5]BV_Data_An_Cour!$O:$O,[5]BV_Data_An_Cour!$U:$U,$B79,[5]BV_Data_An_Cour!$V:$V,$C79,[5]BV_Data_An_Cour!$W:$W,L$2)</f>
        <v>0</v>
      </c>
      <c r="M79" s="531"/>
      <c r="N79" s="557">
        <f t="shared" si="21"/>
        <v>0</v>
      </c>
      <c r="O79" s="531"/>
      <c r="P79" s="510"/>
      <c r="Q79" s="534">
        <f t="array" ref="Q79">+INDEX('[5]Réel 2023'!$A$2:$AO$501,MATCH($A79,'[5]Réel 2023'!$A$2:$A$501,0),MATCH(Q$2,'[5]Réel 2023'!$A$2:$AO$2,0))</f>
        <v>0</v>
      </c>
      <c r="R79" s="531"/>
      <c r="S79" s="557">
        <f t="shared" si="22"/>
        <v>0</v>
      </c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510"/>
      <c r="AG79" s="510"/>
      <c r="AH79" s="510"/>
      <c r="AI79" s="510"/>
      <c r="AJ79" s="510"/>
      <c r="AK79" s="510"/>
      <c r="AL79" s="510"/>
      <c r="AM79" s="510"/>
      <c r="AN79" s="510"/>
    </row>
    <row r="80" spans="1:40" ht="15.75" hidden="1" customHeight="1">
      <c r="A80" s="523" t="s">
        <v>233</v>
      </c>
      <c r="B80" s="510" t="s">
        <v>0</v>
      </c>
      <c r="C80" s="531" t="s">
        <v>20</v>
      </c>
      <c r="D80" s="584"/>
      <c r="E80" s="510"/>
      <c r="F80" s="532">
        <f>+INDEX('[5]Budget original'!$A$2:$AO$501,MATCH($A80,'[5]Budget original'!$A$2:$A$501,0),MATCH(F$2,'[5]Budget original'!$A$2:$AO$2,0))</f>
        <v>0</v>
      </c>
      <c r="G80" s="585"/>
      <c r="H80" s="510"/>
      <c r="I80" s="532"/>
      <c r="J80" s="531"/>
      <c r="K80" s="510"/>
      <c r="L80" s="534">
        <f>-SUMIFS([5]BV_Data_An_Cour!$O:$O,[5]BV_Data_An_Cour!$U:$U,$B80,[5]BV_Data_An_Cour!$V:$V,$C80,[5]BV_Data_An_Cour!$W:$W,L$2)</f>
        <v>0</v>
      </c>
      <c r="M80" s="531"/>
      <c r="N80" s="557">
        <f t="shared" si="21"/>
        <v>0</v>
      </c>
      <c r="O80" s="531"/>
      <c r="P80" s="510"/>
      <c r="Q80" s="534">
        <f t="array" ref="Q80">+INDEX('[5]Réel 2023'!$A$2:$AO$501,MATCH($A80,'[5]Réel 2023'!$A$2:$A$501,0),MATCH(Q$2,'[5]Réel 2023'!$A$2:$AO$2,0))</f>
        <v>0</v>
      </c>
      <c r="R80" s="531"/>
      <c r="S80" s="557">
        <f t="shared" si="22"/>
        <v>0</v>
      </c>
      <c r="T80" s="510"/>
      <c r="U80" s="510"/>
      <c r="V80" s="510"/>
      <c r="W80" s="510"/>
      <c r="X80" s="510"/>
      <c r="Y80" s="510"/>
      <c r="Z80" s="510"/>
      <c r="AA80" s="510"/>
      <c r="AB80" s="510"/>
      <c r="AC80" s="510"/>
      <c r="AD80" s="510"/>
      <c r="AE80" s="510"/>
      <c r="AF80" s="510"/>
      <c r="AG80" s="510"/>
      <c r="AH80" s="510"/>
      <c r="AI80" s="510"/>
      <c r="AJ80" s="510"/>
      <c r="AK80" s="510"/>
      <c r="AL80" s="510"/>
      <c r="AM80" s="510"/>
      <c r="AN80" s="510"/>
    </row>
    <row r="81" spans="1:40" ht="15.75" hidden="1" customHeight="1">
      <c r="A81" s="523" t="s">
        <v>233</v>
      </c>
      <c r="B81" s="510" t="s">
        <v>0</v>
      </c>
      <c r="C81" s="531" t="s">
        <v>20</v>
      </c>
      <c r="D81" s="584"/>
      <c r="E81" s="510"/>
      <c r="F81" s="532">
        <f>+INDEX('[5]Budget original'!$A$2:$AO$501,MATCH($A81,'[5]Budget original'!$A$2:$A$501,0),MATCH(F$2,'[5]Budget original'!$A$2:$AO$2,0))</f>
        <v>0</v>
      </c>
      <c r="G81" s="585"/>
      <c r="H81" s="510"/>
      <c r="I81" s="532"/>
      <c r="J81" s="531"/>
      <c r="K81" s="510"/>
      <c r="L81" s="534">
        <f>-SUMIFS([5]BV_Data_An_Cour!$O:$O,[5]BV_Data_An_Cour!$U:$U,$B81,[5]BV_Data_An_Cour!$V:$V,$C81,[5]BV_Data_An_Cour!$W:$W,L$2)</f>
        <v>0</v>
      </c>
      <c r="M81" s="531"/>
      <c r="N81" s="557">
        <f t="shared" si="21"/>
        <v>0</v>
      </c>
      <c r="O81" s="531"/>
      <c r="P81" s="510"/>
      <c r="Q81" s="534">
        <f t="array" ref="Q81">+INDEX('[5]Réel 2023'!$A$2:$AO$501,MATCH($A81,'[5]Réel 2023'!$A$2:$A$501,0),MATCH(Q$2,'[5]Réel 2023'!$A$2:$AO$2,0))</f>
        <v>0</v>
      </c>
      <c r="R81" s="531"/>
      <c r="S81" s="557">
        <f t="shared" si="22"/>
        <v>0</v>
      </c>
      <c r="T81" s="510"/>
      <c r="U81" s="510"/>
      <c r="V81" s="510"/>
      <c r="W81" s="510"/>
      <c r="X81" s="510"/>
      <c r="Y81" s="510"/>
      <c r="Z81" s="510"/>
      <c r="AA81" s="510"/>
      <c r="AB81" s="510"/>
      <c r="AC81" s="510"/>
      <c r="AD81" s="510"/>
      <c r="AE81" s="510"/>
      <c r="AF81" s="510"/>
      <c r="AG81" s="510"/>
      <c r="AH81" s="510"/>
      <c r="AI81" s="510"/>
      <c r="AJ81" s="510"/>
      <c r="AK81" s="510"/>
      <c r="AL81" s="510"/>
      <c r="AM81" s="510"/>
      <c r="AN81" s="510"/>
    </row>
    <row r="82" spans="1:40" ht="15.75" customHeight="1">
      <c r="A82" s="612" t="s">
        <v>281</v>
      </c>
      <c r="B82" s="613" t="s">
        <v>0</v>
      </c>
      <c r="C82" s="531" t="s">
        <v>70</v>
      </c>
      <c r="D82" s="614">
        <f>E82/499</f>
        <v>0.95</v>
      </c>
      <c r="E82" s="615">
        <f>+F82/D24</f>
        <v>474.04999999999995</v>
      </c>
      <c r="F82" s="532">
        <f>+INDEX('[5]Budget original'!$A$2:$AO$501,MATCH($A82,'[5]Budget original'!$A$2:$A$501,0),MATCH(F$2,'[5]Budget original'!$A$2:$AO$2,0))</f>
        <v>37829.189999999988</v>
      </c>
      <c r="G82" s="585"/>
      <c r="H82" s="510"/>
      <c r="I82" s="532"/>
      <c r="J82" s="616">
        <f>K82/474</f>
        <v>1.0286075949367088</v>
      </c>
      <c r="K82" s="615">
        <f>+L82/J24</f>
        <v>487.56</v>
      </c>
      <c r="L82" s="534">
        <f>-SUMIFS([5]BV_Data_An_Cour!$O:$O,[5]BV_Data_An_Cour!$U:$U,$B82,[5]BV_Data_An_Cour!$V:$V,$C82,[5]BV_Data_An_Cour!$W:$W,L$2)</f>
        <v>24378</v>
      </c>
      <c r="M82" s="531"/>
      <c r="N82" s="557">
        <f t="shared" si="21"/>
        <v>-13451.189999999988</v>
      </c>
      <c r="O82" s="531"/>
      <c r="P82" s="510"/>
      <c r="Q82" s="534">
        <f t="array" ref="Q82">+INDEX('[5]Réel 2023'!$A$2:$AO$501,MATCH($A82,'[5]Réel 2023'!$A$2:$A$501,0),MATCH(Q$2,'[5]Réel 2023'!$A$2:$AO$2,0))</f>
        <v>29179</v>
      </c>
      <c r="R82" s="531"/>
      <c r="S82" s="557">
        <f t="shared" si="22"/>
        <v>-4801</v>
      </c>
      <c r="T82" s="510"/>
      <c r="U82" s="510"/>
      <c r="V82" s="510"/>
      <c r="W82" s="510"/>
      <c r="X82" s="510"/>
      <c r="Y82" s="510"/>
      <c r="Z82" s="510"/>
      <c r="AA82" s="510"/>
      <c r="AB82" s="510"/>
      <c r="AC82" s="510"/>
      <c r="AD82" s="510"/>
      <c r="AE82" s="510"/>
      <c r="AF82" s="510"/>
      <c r="AG82" s="510"/>
      <c r="AH82" s="510"/>
      <c r="AI82" s="510"/>
      <c r="AJ82" s="510"/>
      <c r="AK82" s="510"/>
      <c r="AL82" s="510"/>
      <c r="AM82" s="510"/>
      <c r="AN82" s="510"/>
    </row>
    <row r="83" spans="1:40" ht="15.75" customHeight="1">
      <c r="A83" s="523" t="s">
        <v>282</v>
      </c>
      <c r="B83" s="510" t="s">
        <v>0</v>
      </c>
      <c r="C83" s="592" t="s">
        <v>71</v>
      </c>
      <c r="D83" s="593"/>
      <c r="E83" s="594"/>
      <c r="F83" s="595">
        <f>+SUM(F75:F82)</f>
        <v>150334.60872099659</v>
      </c>
      <c r="G83" s="596"/>
      <c r="H83" s="594"/>
      <c r="I83" s="595"/>
      <c r="J83" s="596"/>
      <c r="K83" s="594"/>
      <c r="L83" s="595">
        <f>+SUM(L75:L82)</f>
        <v>91128.85</v>
      </c>
      <c r="M83" s="599"/>
      <c r="N83" s="595">
        <f>+SUM(N75:N82)</f>
        <v>-59205.758720996586</v>
      </c>
      <c r="O83" s="596"/>
      <c r="P83" s="594"/>
      <c r="Q83" s="595">
        <f>+SUM(Q75:Q82)</f>
        <v>106437.09</v>
      </c>
      <c r="R83" s="599"/>
      <c r="S83" s="595">
        <f>+SUM(S75:S82)</f>
        <v>-15308.239999999991</v>
      </c>
      <c r="T83" s="510"/>
      <c r="U83" s="510"/>
      <c r="V83" s="510"/>
      <c r="W83" s="510"/>
      <c r="X83" s="510"/>
      <c r="Y83" s="510"/>
      <c r="Z83" s="510"/>
      <c r="AA83" s="510"/>
      <c r="AB83" s="510"/>
      <c r="AC83" s="510"/>
      <c r="AD83" s="510"/>
      <c r="AE83" s="510"/>
      <c r="AF83" s="510"/>
      <c r="AG83" s="510"/>
      <c r="AH83" s="510"/>
      <c r="AI83" s="510"/>
      <c r="AJ83" s="510"/>
      <c r="AK83" s="510"/>
      <c r="AL83" s="510"/>
      <c r="AM83" s="510"/>
      <c r="AN83" s="510"/>
    </row>
    <row r="84" spans="1:40" ht="15.75" customHeight="1">
      <c r="A84" s="523" t="s">
        <v>0</v>
      </c>
      <c r="B84" s="510" t="s">
        <v>0</v>
      </c>
      <c r="C84" s="617"/>
      <c r="D84" s="618"/>
      <c r="E84" s="619"/>
      <c r="F84" s="620"/>
      <c r="G84" s="621"/>
      <c r="H84" s="619"/>
      <c r="I84" s="620"/>
      <c r="J84" s="622"/>
      <c r="K84" s="623"/>
      <c r="L84" s="620"/>
      <c r="M84" s="622"/>
      <c r="N84" s="624"/>
      <c r="O84" s="622"/>
      <c r="P84" s="623"/>
      <c r="Q84" s="620"/>
      <c r="R84" s="622"/>
      <c r="S84" s="624"/>
      <c r="T84" s="510"/>
      <c r="U84" s="510"/>
      <c r="V84" s="510"/>
      <c r="W84" s="510"/>
      <c r="X84" s="510"/>
      <c r="Y84" s="510"/>
      <c r="Z84" s="510"/>
      <c r="AA84" s="510"/>
      <c r="AB84" s="510"/>
      <c r="AC84" s="510"/>
      <c r="AD84" s="510"/>
      <c r="AE84" s="510"/>
      <c r="AF84" s="510"/>
      <c r="AG84" s="510"/>
      <c r="AH84" s="510"/>
      <c r="AI84" s="510"/>
      <c r="AJ84" s="510"/>
      <c r="AK84" s="510"/>
      <c r="AL84" s="510"/>
      <c r="AM84" s="510"/>
      <c r="AN84" s="510"/>
    </row>
    <row r="85" spans="1:40" ht="22.5" customHeight="1" thickBot="1">
      <c r="A85" s="523" t="s">
        <v>283</v>
      </c>
      <c r="B85" s="510" t="s">
        <v>0</v>
      </c>
      <c r="C85" s="625" t="s">
        <v>72</v>
      </c>
      <c r="D85" s="626"/>
      <c r="E85" s="627"/>
      <c r="F85" s="628">
        <f>F27-F74+F83</f>
        <v>245836.06306092677</v>
      </c>
      <c r="G85" s="629"/>
      <c r="H85" s="627"/>
      <c r="I85" s="628"/>
      <c r="J85" s="629"/>
      <c r="K85" s="626"/>
      <c r="L85" s="628">
        <f>L27-L74+L83</f>
        <v>36817.470000000205</v>
      </c>
      <c r="M85" s="629"/>
      <c r="N85" s="628">
        <f>N27-N41-N54-N72+N83</f>
        <v>-209018.59306092653</v>
      </c>
      <c r="O85" s="629"/>
      <c r="P85" s="630">
        <f>Q85/Q5</f>
        <v>2.2296496214739836E-2</v>
      </c>
      <c r="Q85" s="628">
        <f>Q27-Q74+Q83</f>
        <v>184732.59999999905</v>
      </c>
      <c r="R85" s="629"/>
      <c r="S85" s="628">
        <f>S27-S41-S54-S72+S83</f>
        <v>-147915.12999999878</v>
      </c>
      <c r="T85" s="510"/>
      <c r="U85" s="510"/>
      <c r="V85" s="510"/>
      <c r="W85" s="510"/>
      <c r="X85" s="510"/>
      <c r="Y85" s="510"/>
      <c r="Z85" s="510"/>
      <c r="AA85" s="510"/>
      <c r="AB85" s="510"/>
      <c r="AC85" s="510"/>
      <c r="AD85" s="510"/>
      <c r="AE85" s="510"/>
      <c r="AF85" s="510"/>
      <c r="AG85" s="510"/>
      <c r="AH85" s="510"/>
      <c r="AI85" s="510"/>
      <c r="AJ85" s="510"/>
      <c r="AK85" s="510"/>
      <c r="AL85" s="510"/>
      <c r="AM85" s="510"/>
      <c r="AN85" s="510"/>
    </row>
    <row r="86" spans="1:40" ht="15.75" customHeight="1" thickTop="1">
      <c r="B86" s="631"/>
      <c r="C86" s="631"/>
      <c r="D86" s="631"/>
      <c r="E86" s="631"/>
      <c r="F86" s="631"/>
      <c r="G86" s="631"/>
      <c r="H86" s="631"/>
      <c r="I86" s="631"/>
      <c r="J86" s="632"/>
      <c r="K86" s="631"/>
      <c r="L86" s="633"/>
      <c r="M86" s="631"/>
      <c r="N86" s="631"/>
      <c r="O86" s="631"/>
      <c r="P86" s="631"/>
      <c r="Q86" s="631"/>
      <c r="R86" s="631"/>
      <c r="S86" s="631"/>
      <c r="T86" s="631"/>
      <c r="U86" s="631"/>
      <c r="V86" s="631"/>
      <c r="W86" s="631"/>
      <c r="X86" s="631"/>
      <c r="Y86" s="631"/>
      <c r="Z86" s="631"/>
      <c r="AA86" s="631"/>
      <c r="AB86" s="631"/>
      <c r="AC86" s="631"/>
      <c r="AD86" s="631"/>
      <c r="AE86" s="631"/>
      <c r="AF86" s="631"/>
      <c r="AG86" s="631"/>
      <c r="AH86" s="631"/>
      <c r="AI86" s="631"/>
      <c r="AJ86" s="631"/>
      <c r="AK86" s="631"/>
      <c r="AL86" s="631"/>
      <c r="AM86" s="631"/>
      <c r="AN86" s="631"/>
    </row>
    <row r="87" spans="1:40" ht="12.75" customHeight="1">
      <c r="B87" s="631"/>
      <c r="C87" s="631"/>
      <c r="D87" s="631"/>
      <c r="E87" s="631"/>
      <c r="F87" s="631"/>
      <c r="G87" s="631"/>
      <c r="H87" s="631"/>
      <c r="I87" s="634"/>
      <c r="J87" s="631"/>
      <c r="K87" s="631"/>
      <c r="L87" s="631"/>
      <c r="M87" s="631"/>
      <c r="N87" s="631"/>
      <c r="O87" s="631"/>
      <c r="P87" s="631"/>
      <c r="Q87" s="631"/>
      <c r="R87" s="631"/>
      <c r="S87" s="631"/>
      <c r="T87" s="631"/>
      <c r="U87" s="631"/>
      <c r="V87" s="631"/>
      <c r="W87" s="631"/>
      <c r="X87" s="631"/>
      <c r="Y87" s="631"/>
      <c r="Z87" s="631"/>
      <c r="AA87" s="631"/>
      <c r="AB87" s="631"/>
      <c r="AC87" s="631"/>
      <c r="AD87" s="631"/>
      <c r="AE87" s="631"/>
      <c r="AF87" s="631"/>
      <c r="AG87" s="631"/>
      <c r="AH87" s="631"/>
      <c r="AI87" s="631"/>
      <c r="AJ87" s="631"/>
      <c r="AK87" s="631"/>
      <c r="AL87" s="631"/>
      <c r="AM87" s="631"/>
      <c r="AN87" s="631"/>
    </row>
    <row r="88" spans="1:40" ht="15.75" hidden="1" customHeight="1">
      <c r="B88" s="504"/>
      <c r="C88" s="507"/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</row>
    <row r="89" spans="1:40" ht="33" customHeight="1">
      <c r="B89" s="496"/>
      <c r="C89" s="635" t="str">
        <f>C1</f>
        <v>Volks</v>
      </c>
      <c r="D89" s="498"/>
      <c r="E89" s="498"/>
      <c r="F89" s="498"/>
      <c r="G89" s="498"/>
      <c r="H89" s="496"/>
      <c r="I89" s="496"/>
      <c r="J89" s="496"/>
      <c r="K89" s="500" t="s">
        <v>73</v>
      </c>
      <c r="L89" s="498"/>
      <c r="M89" s="498"/>
      <c r="N89" s="496"/>
      <c r="O89" s="496"/>
      <c r="P89" s="498"/>
      <c r="Q89" s="496"/>
      <c r="R89" s="498"/>
      <c r="S89" s="636" t="str">
        <f>$S$1</f>
        <v>Réalisé, Octobre 2024</v>
      </c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  <c r="AI89" s="496"/>
      <c r="AJ89" s="496"/>
      <c r="AK89" s="496"/>
      <c r="AL89" s="496"/>
      <c r="AM89" s="496"/>
      <c r="AN89" s="496"/>
    </row>
    <row r="90" spans="1:40" ht="15.75" customHeight="1" thickBot="1">
      <c r="B90" s="504"/>
      <c r="C90" s="505"/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</row>
    <row r="91" spans="1:40" ht="15.75" customHeight="1" thickTop="1">
      <c r="B91" s="510"/>
      <c r="C91" s="511"/>
      <c r="D91" s="512" t="s">
        <v>5</v>
      </c>
      <c r="E91" s="513"/>
      <c r="F91" s="514"/>
      <c r="G91" s="515"/>
      <c r="H91" s="513"/>
      <c r="I91" s="514"/>
      <c r="J91" s="515" t="s">
        <v>7</v>
      </c>
      <c r="K91" s="513"/>
      <c r="L91" s="514"/>
      <c r="M91" s="515" t="s">
        <v>220</v>
      </c>
      <c r="N91" s="514"/>
      <c r="O91" s="512" t="s">
        <v>8</v>
      </c>
      <c r="P91" s="513"/>
      <c r="Q91" s="514"/>
      <c r="R91" s="515" t="s">
        <v>221</v>
      </c>
      <c r="S91" s="514"/>
      <c r="T91" s="510"/>
      <c r="U91" s="510"/>
      <c r="V91" s="510"/>
      <c r="W91" s="510"/>
      <c r="X91" s="510"/>
      <c r="Y91" s="510"/>
      <c r="Z91" s="510"/>
      <c r="AA91" s="510"/>
      <c r="AB91" s="510"/>
      <c r="AC91" s="510"/>
      <c r="AD91" s="510"/>
      <c r="AE91" s="510"/>
      <c r="AF91" s="510"/>
      <c r="AG91" s="510"/>
      <c r="AH91" s="510"/>
      <c r="AI91" s="510"/>
      <c r="AJ91" s="510"/>
      <c r="AK91" s="510"/>
      <c r="AL91" s="510"/>
      <c r="AM91" s="510"/>
      <c r="AN91" s="510"/>
    </row>
    <row r="92" spans="1:40" ht="15.75" customHeight="1">
      <c r="B92" s="510"/>
      <c r="C92" s="531"/>
      <c r="D92" s="519" t="s">
        <v>10</v>
      </c>
      <c r="E92" s="520" t="s">
        <v>11</v>
      </c>
      <c r="F92" s="521" t="s">
        <v>12</v>
      </c>
      <c r="G92" s="522"/>
      <c r="H92" s="520"/>
      <c r="I92" s="521"/>
      <c r="J92" s="522" t="s">
        <v>472</v>
      </c>
      <c r="K92" s="520" t="s">
        <v>13</v>
      </c>
      <c r="L92" s="521" t="s">
        <v>12</v>
      </c>
      <c r="M92" s="522" t="s">
        <v>472</v>
      </c>
      <c r="N92" s="521" t="s">
        <v>12</v>
      </c>
      <c r="O92" s="520" t="s">
        <v>10</v>
      </c>
      <c r="P92" s="520" t="s">
        <v>11</v>
      </c>
      <c r="Q92" s="521" t="s">
        <v>12</v>
      </c>
      <c r="R92" s="522" t="s">
        <v>472</v>
      </c>
      <c r="S92" s="521" t="s">
        <v>12</v>
      </c>
      <c r="T92" s="510"/>
      <c r="U92" s="510"/>
      <c r="V92" s="510"/>
      <c r="W92" s="510"/>
      <c r="X92" s="510"/>
      <c r="Y92" s="510"/>
      <c r="Z92" s="510"/>
      <c r="AA92" s="510"/>
      <c r="AB92" s="510"/>
      <c r="AC92" s="510"/>
      <c r="AD92" s="510"/>
      <c r="AE92" s="510"/>
      <c r="AF92" s="510"/>
      <c r="AG92" s="510"/>
      <c r="AH92" s="510"/>
      <c r="AI92" s="510"/>
      <c r="AJ92" s="510"/>
      <c r="AK92" s="510"/>
      <c r="AL92" s="510"/>
      <c r="AM92" s="510"/>
      <c r="AN92" s="510"/>
    </row>
    <row r="93" spans="1:40" ht="24" customHeight="1">
      <c r="A93" s="523" t="s">
        <v>284</v>
      </c>
      <c r="B93" s="510" t="s">
        <v>73</v>
      </c>
      <c r="C93" s="524" t="s">
        <v>15</v>
      </c>
      <c r="D93" s="528"/>
      <c r="E93" s="528"/>
      <c r="F93" s="526">
        <f>+INDEX('[5]Budget original'!$A$2:$AO$501,MATCH($A93,'[5]Budget original'!$A$2:$A$501,0),MATCH(F$2,'[5]Budget original'!$A$2:$AO$2,0))</f>
        <v>1872889.1292405881</v>
      </c>
      <c r="G93" s="545"/>
      <c r="H93" s="528"/>
      <c r="I93" s="526"/>
      <c r="J93" s="524"/>
      <c r="K93" s="528"/>
      <c r="L93" s="526">
        <f>-SUMIFS([5]BV_Data_An_Cour!$O:$O,[5]BV_Data_An_Cour!$X:$X,"Oui",[5]BV_Data_An_Cour!$U:$U,$B93)</f>
        <v>1341799.54</v>
      </c>
      <c r="M93" s="637"/>
      <c r="N93" s="638"/>
      <c r="O93" s="524"/>
      <c r="P93" s="528"/>
      <c r="Q93" s="526">
        <f t="array" ref="Q93">+INDEX('[5]Réel 2023'!$A$2:$AO$501,MATCH($A93,'[5]Réel 2023'!$A$2:$A$501,0),MATCH(Q$2,'[5]Réel 2023'!$A$2:$AO$2,0))</f>
        <v>1412113.8299999901</v>
      </c>
      <c r="R93" s="637"/>
      <c r="S93" s="638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510"/>
      <c r="AM93" s="510"/>
      <c r="AN93" s="510"/>
    </row>
    <row r="94" spans="1:40" ht="21.75" customHeight="1">
      <c r="A94" s="523" t="s">
        <v>285</v>
      </c>
      <c r="B94" s="510" t="s">
        <v>73</v>
      </c>
      <c r="C94" s="531" t="s">
        <v>75</v>
      </c>
      <c r="D94" s="532">
        <f>+INDEX('[5]Budget original'!$A$2:$AO$501,MATCH($A94,'[5]Budget original'!$A$2:$A$501,0),MATCH(D$2,'[5]Budget original'!$A$2:$AO$2,0))</f>
        <v>34.554000000000002</v>
      </c>
      <c r="E94" s="532">
        <f>IF(D94=0,0,F94/D94)</f>
        <v>1799.9999999999998</v>
      </c>
      <c r="F94" s="532">
        <f>+INDEX('[5]Budget original'!$A$2:$AO$501,MATCH($A94,'[5]Budget original'!$A$2:$A$501,0),MATCH(F$2,'[5]Budget original'!$A$2:$AO$2,0))</f>
        <v>62197.2</v>
      </c>
      <c r="G94" s="533"/>
      <c r="H94" s="532"/>
      <c r="I94" s="532"/>
      <c r="J94" s="533">
        <f>-SUMIFS([5]BV_Data_An_Cour!$O:$O,[5]BV_Data_An_Cour!$U:$U,$B94,[5]BV_Data_An_Cour!$V:$V,$C94,[5]BV_Data_An_Cour!$W:$W,J$2)</f>
        <v>37</v>
      </c>
      <c r="K94" s="532">
        <f t="shared" ref="K94:K96" si="23">IF(J94=0,0,L94/J94)</f>
        <v>1033.9343243243256</v>
      </c>
      <c r="L94" s="534">
        <f>-SUMIFS([5]BV_Data_An_Cour!$O:$O,[5]BV_Data_An_Cour!$U:$U,$B94,[5]BV_Data_An_Cour!$V:$V,$C94,[5]BV_Data_An_Cour!$W:$W,$L2)</f>
        <v>38255.570000000051</v>
      </c>
      <c r="M94" s="533">
        <f>J94-D94</f>
        <v>2.445999999999998</v>
      </c>
      <c r="N94" s="534">
        <f>L94-F94</f>
        <v>-23941.629999999946</v>
      </c>
      <c r="O94" s="533">
        <f t="array" ref="O94">+INDEX('[5]Réel 2023'!$A$2:$AO$501,MATCH($A94,'[5]Réel 2023'!$A$2:$A$501,0),MATCH(O$2,'[5]Réel 2023'!$A$2:$AO$2,0))</f>
        <v>21</v>
      </c>
      <c r="P94" s="532">
        <f t="shared" ref="P94:P96" si="24">IF(O94=0,0,Q94/O94)</f>
        <v>1924.4195238095238</v>
      </c>
      <c r="Q94" s="534">
        <f t="array" ref="Q94">+INDEX('[5]Réel 2023'!$A$2:$AO$501,MATCH($A94,'[5]Réel 2023'!$A$2:$A$501,0),MATCH(Q$2,'[5]Réel 2023'!$A$2:$AO$2,0))</f>
        <v>40412.81</v>
      </c>
      <c r="R94" s="533">
        <f t="shared" ref="R94:R95" si="25">J94-O94</f>
        <v>16</v>
      </c>
      <c r="S94" s="534">
        <f t="shared" ref="S94:S95" si="26">L94-Q94</f>
        <v>-2157.239999999947</v>
      </c>
      <c r="T94" s="510"/>
      <c r="U94" s="510"/>
      <c r="V94" s="510"/>
      <c r="W94" s="510"/>
      <c r="X94" s="510"/>
      <c r="Y94" s="510"/>
      <c r="Z94" s="510"/>
      <c r="AA94" s="510"/>
      <c r="AB94" s="510"/>
      <c r="AC94" s="510"/>
      <c r="AD94" s="510"/>
      <c r="AE94" s="510"/>
      <c r="AF94" s="510"/>
      <c r="AG94" s="510"/>
      <c r="AH94" s="510"/>
      <c r="AI94" s="510"/>
      <c r="AJ94" s="510"/>
      <c r="AK94" s="510"/>
      <c r="AL94" s="510"/>
      <c r="AM94" s="510"/>
      <c r="AN94" s="510"/>
    </row>
    <row r="95" spans="1:40" ht="18.75" customHeight="1">
      <c r="A95" s="523" t="s">
        <v>286</v>
      </c>
      <c r="B95" s="510" t="s">
        <v>73</v>
      </c>
      <c r="C95" s="531" t="s">
        <v>76</v>
      </c>
      <c r="D95" s="532">
        <f>+INDEX('[5]Budget original'!$A$2:$AO$501,MATCH($A95,'[5]Budget original'!$A$2:$A$501,0),MATCH(D$2,'[5]Budget original'!$A$2:$AO$2,0))</f>
        <v>1.9492</v>
      </c>
      <c r="E95" s="532">
        <f t="shared" ref="E95:E105" si="27">IF(D95=0,0,F95/D95)</f>
        <v>1800</v>
      </c>
      <c r="F95" s="532">
        <f>+INDEX('[5]Budget original'!$A$2:$AO$501,MATCH($A95,'[5]Budget original'!$A$2:$A$501,0),MATCH(F$2,'[5]Budget original'!$A$2:$AO$2,0))</f>
        <v>3508.56</v>
      </c>
      <c r="G95" s="533"/>
      <c r="H95" s="532"/>
      <c r="I95" s="532"/>
      <c r="J95" s="533">
        <f>-SUMIFS([5]BV_Data_An_Cour!$O:$O,[5]BV_Data_An_Cour!$U:$U,$B95,[5]BV_Data_An_Cour!$V:$V,$C95,[5]BV_Data_An_Cour!$W:$W,J$2)</f>
        <v>3</v>
      </c>
      <c r="K95" s="532">
        <f t="shared" si="23"/>
        <v>-1128.6233333333341</v>
      </c>
      <c r="L95" s="534">
        <f>-SUMIFS([5]BV_Data_An_Cour!$O:$O,[5]BV_Data_An_Cour!$U:$U,$B95,[5]BV_Data_An_Cour!$V:$V,$C95,[5]BV_Data_An_Cour!$W:$W,$L2)</f>
        <v>-3385.8700000000026</v>
      </c>
      <c r="M95" s="533">
        <f>J95-D95</f>
        <v>1.0508</v>
      </c>
      <c r="N95" s="534">
        <f>L95-F95</f>
        <v>-6894.4300000000021</v>
      </c>
      <c r="O95" s="533">
        <f t="array" ref="O95">+INDEX('[5]Réel 2023'!$A$2:$AO$501,MATCH($A95,'[5]Réel 2023'!$A$2:$A$501,0),MATCH(O$2,'[5]Réel 2023'!$A$2:$AO$2,0))</f>
        <v>5</v>
      </c>
      <c r="P95" s="532">
        <f t="shared" si="24"/>
        <v>2390.0219999999799</v>
      </c>
      <c r="Q95" s="534">
        <f t="array" ref="Q95">+INDEX('[5]Réel 2023'!$A$2:$AO$501,MATCH($A95,'[5]Réel 2023'!$A$2:$A$501,0),MATCH(Q$2,'[5]Réel 2023'!$A$2:$AO$2,0))</f>
        <v>11950.109999999901</v>
      </c>
      <c r="R95" s="533">
        <f t="shared" si="25"/>
        <v>-2</v>
      </c>
      <c r="S95" s="534">
        <f t="shared" si="26"/>
        <v>-15335.979999999903</v>
      </c>
      <c r="T95" s="510"/>
      <c r="U95" s="510"/>
      <c r="V95" s="639"/>
      <c r="W95" s="510"/>
      <c r="X95" s="510"/>
      <c r="Y95" s="510"/>
      <c r="Z95" s="510"/>
      <c r="AA95" s="510"/>
      <c r="AB95" s="510"/>
      <c r="AC95" s="510"/>
      <c r="AD95" s="510"/>
      <c r="AE95" s="510"/>
      <c r="AF95" s="510"/>
      <c r="AG95" s="510"/>
      <c r="AH95" s="510"/>
      <c r="AI95" s="510"/>
      <c r="AJ95" s="510"/>
      <c r="AK95" s="510"/>
      <c r="AL95" s="510"/>
      <c r="AM95" s="510"/>
      <c r="AN95" s="510"/>
    </row>
    <row r="96" spans="1:40" ht="18.75" customHeight="1">
      <c r="A96" s="523" t="str">
        <f>B96&amp;C96</f>
        <v>Véhicules usagésAutres Marques</v>
      </c>
      <c r="B96" s="510" t="s">
        <v>73</v>
      </c>
      <c r="C96" s="531" t="s">
        <v>224</v>
      </c>
      <c r="D96" s="532">
        <f>+INDEX('[5]Budget original'!$A$2:$AO$501,MATCH($A96,'[5]Budget original'!$A$2:$A$501,0),MATCH(D$2,'[5]Budget original'!$A$2:$AO$2,0))</f>
        <v>1.1517999999999999</v>
      </c>
      <c r="E96" s="528">
        <f t="shared" si="27"/>
        <v>1800</v>
      </c>
      <c r="F96" s="532">
        <f>+INDEX('[5]Budget original'!$A$2:$AO$501,MATCH($A96,'[5]Budget original'!$A$2:$A$501,0),MATCH(F$2,'[5]Budget original'!$A$2:$AO$2,0))</f>
        <v>2073.2399999999998</v>
      </c>
      <c r="G96" s="533"/>
      <c r="H96" s="532"/>
      <c r="I96" s="532"/>
      <c r="J96" s="533">
        <f>-SUMIFS([5]BV_Data_An_Cour!$O:$O,[5]BV_Data_An_Cour!$U:$U,$B96,[5]BV_Data_An_Cour!$V:$V,$C96,[5]BV_Data_An_Cour!$W:$W,J$2)</f>
        <v>3</v>
      </c>
      <c r="K96" s="532">
        <f t="shared" si="23"/>
        <v>2230.9333333333343</v>
      </c>
      <c r="L96" s="534">
        <f>-SUMIFS([5]BV_Data_An_Cour!$O:$O,[5]BV_Data_An_Cour!$U:$U,$B96,[5]BV_Data_An_Cour!$V:$V,$C96,[5]BV_Data_An_Cour!$W:$W,$L2)</f>
        <v>6692.8000000000029</v>
      </c>
      <c r="M96" s="533">
        <f>J96-D96</f>
        <v>1.8482000000000001</v>
      </c>
      <c r="N96" s="534">
        <f>L96-F96</f>
        <v>4619.5600000000031</v>
      </c>
      <c r="O96" s="533">
        <f>+INDEX('[5]Réel 2023'!$A$2:$AO$501,MATCH($A96,'[5]Réel 2023'!$A$2:$A$501,0),MATCH(O$2,'[5]Réel 2023'!$A$2:$AO$2,0))</f>
        <v>0</v>
      </c>
      <c r="P96" s="532">
        <f t="shared" si="24"/>
        <v>0</v>
      </c>
      <c r="Q96" s="534">
        <f>+INDEX('[5]Réel 2023'!$A$2:$AO$501,MATCH($A96,'[5]Réel 2023'!$A$2:$A$501,0),MATCH(Q$2,'[5]Réel 2023'!$A$2:$AO$2,0))</f>
        <v>0</v>
      </c>
      <c r="R96" s="533">
        <f>J96-O96</f>
        <v>3</v>
      </c>
      <c r="S96" s="534">
        <f>L96-Q96</f>
        <v>6692.8000000000029</v>
      </c>
      <c r="T96" s="510"/>
      <c r="U96" s="510"/>
      <c r="V96" s="639"/>
      <c r="W96" s="510"/>
      <c r="X96" s="510"/>
      <c r="Y96" s="510"/>
      <c r="Z96" s="510"/>
      <c r="AA96" s="510"/>
      <c r="AB96" s="510"/>
      <c r="AC96" s="510"/>
      <c r="AD96" s="510"/>
      <c r="AE96" s="510"/>
      <c r="AF96" s="510"/>
      <c r="AG96" s="510"/>
      <c r="AH96" s="510"/>
      <c r="AI96" s="510"/>
      <c r="AJ96" s="510"/>
      <c r="AK96" s="510"/>
      <c r="AL96" s="510"/>
      <c r="AM96" s="510"/>
      <c r="AN96" s="510"/>
    </row>
    <row r="97" spans="1:40" ht="15.75" customHeight="1">
      <c r="A97" s="523" t="str">
        <f t="shared" ref="A97:A99" si="28">B97&amp;C97</f>
        <v>Véhicules usagésTotal Usagés</v>
      </c>
      <c r="B97" s="510" t="s">
        <v>73</v>
      </c>
      <c r="C97" s="537" t="s">
        <v>77</v>
      </c>
      <c r="D97" s="538">
        <f>+D95+D94+D96</f>
        <v>37.655000000000001</v>
      </c>
      <c r="E97" s="532">
        <f t="shared" si="27"/>
        <v>1800</v>
      </c>
      <c r="F97" s="539">
        <f>+F94+F95+F96</f>
        <v>67779</v>
      </c>
      <c r="G97" s="540"/>
      <c r="H97" s="538"/>
      <c r="I97" s="539"/>
      <c r="J97" s="540">
        <f>+J94+J95+J96</f>
        <v>43</v>
      </c>
      <c r="K97" s="538">
        <f>IF(J97&lt;=0,0,L97/J97)</f>
        <v>966.5697674418617</v>
      </c>
      <c r="L97" s="539">
        <f>+L94+L95+L96</f>
        <v>41562.500000000051</v>
      </c>
      <c r="M97" s="540">
        <f>J97-D97</f>
        <v>5.3449999999999989</v>
      </c>
      <c r="N97" s="539">
        <f>L97-F97</f>
        <v>-26216.499999999949</v>
      </c>
      <c r="O97" s="540">
        <f>+O95+O94+O96</f>
        <v>26</v>
      </c>
      <c r="P97" s="538">
        <f>IF(O97=0,0,Q97/O97)</f>
        <v>2013.9584615384576</v>
      </c>
      <c r="Q97" s="539">
        <f>+Q94+Q95+Q96</f>
        <v>52362.919999999896</v>
      </c>
      <c r="R97" s="540">
        <f>R94+R95</f>
        <v>14</v>
      </c>
      <c r="S97" s="539">
        <f>S94+S95</f>
        <v>-17493.219999999848</v>
      </c>
      <c r="T97" s="510"/>
      <c r="U97" s="510"/>
      <c r="V97" s="510"/>
      <c r="W97" s="510"/>
      <c r="X97" s="510"/>
      <c r="Y97" s="510"/>
      <c r="Z97" s="510"/>
      <c r="AA97" s="510"/>
      <c r="AB97" s="510"/>
      <c r="AC97" s="573"/>
      <c r="AD97" s="510"/>
      <c r="AE97" s="510"/>
      <c r="AF97" s="573"/>
      <c r="AG97" s="510"/>
      <c r="AH97" s="510"/>
      <c r="AI97" s="510"/>
      <c r="AJ97" s="510"/>
      <c r="AK97" s="510"/>
      <c r="AL97" s="510"/>
      <c r="AM97" s="510"/>
      <c r="AN97" s="510"/>
    </row>
    <row r="98" spans="1:40" ht="15.75" customHeight="1">
      <c r="A98" s="523" t="str">
        <f t="shared" si="28"/>
        <v>Véhicules usagés</v>
      </c>
      <c r="B98" s="510" t="s">
        <v>73</v>
      </c>
      <c r="C98" s="531"/>
      <c r="D98" s="510"/>
      <c r="E98" s="532">
        <f t="shared" si="27"/>
        <v>0</v>
      </c>
      <c r="F98" s="541"/>
      <c r="G98" s="531"/>
      <c r="H98" s="510"/>
      <c r="I98" s="541"/>
      <c r="J98" s="531"/>
      <c r="K98" s="510"/>
      <c r="L98" s="541"/>
      <c r="M98" s="640">
        <f>M97/D97</f>
        <v>0.14194662063470984</v>
      </c>
      <c r="N98" s="641">
        <f>N97/F97</f>
        <v>-0.38679384470116035</v>
      </c>
      <c r="O98" s="531"/>
      <c r="P98" s="510">
        <f t="shared" ref="P98" si="29">IF(O98=0,0,Q98/O98)</f>
        <v>0</v>
      </c>
      <c r="Q98" s="541"/>
      <c r="R98" s="640">
        <f>R97/O97</f>
        <v>0.53846153846153844</v>
      </c>
      <c r="S98" s="641">
        <f>IF(Q97=0,0,(S97/Q97))</f>
        <v>-0.33407648007406543</v>
      </c>
      <c r="T98" s="510"/>
      <c r="U98" s="510"/>
      <c r="V98" s="510"/>
      <c r="W98" s="510"/>
      <c r="X98" s="510"/>
      <c r="Y98" s="510"/>
      <c r="Z98" s="510"/>
      <c r="AA98" s="510"/>
      <c r="AB98" s="510"/>
      <c r="AC98" s="510"/>
      <c r="AD98" s="510"/>
      <c r="AE98" s="510"/>
      <c r="AF98" s="510"/>
      <c r="AG98" s="510"/>
      <c r="AH98" s="510"/>
      <c r="AI98" s="510"/>
      <c r="AJ98" s="510"/>
      <c r="AK98" s="510"/>
      <c r="AL98" s="510"/>
      <c r="AM98" s="510"/>
      <c r="AN98" s="510"/>
    </row>
    <row r="99" spans="1:40" ht="15.75" customHeight="1">
      <c r="A99" s="523" t="str">
        <f t="shared" si="28"/>
        <v>Véhicules usagés</v>
      </c>
      <c r="B99" s="510" t="s">
        <v>73</v>
      </c>
      <c r="C99" s="531"/>
      <c r="D99" s="532">
        <f>+INDEX('[5]Budget original'!$A$2:$AO$501,MATCH($A99,'[5]Budget original'!$A$2:$A$501,0),MATCH(D$2,'[5]Budget original'!$A$2:$AO$2,0))</f>
        <v>0</v>
      </c>
      <c r="E99" s="532">
        <f>IF(D99=0,0,F99/D99)</f>
        <v>0</v>
      </c>
      <c r="F99" s="532">
        <f>+INDEX('[5]Budget original'!$A$2:$AO$501,MATCH($A99,'[5]Budget original'!$A$2:$A$501,0),MATCH(F$2,'[5]Budget original'!$A$2:$AO$2,0))</f>
        <v>0</v>
      </c>
      <c r="G99" s="533"/>
      <c r="H99" s="532"/>
      <c r="I99" s="532"/>
      <c r="J99" s="533"/>
      <c r="K99" s="532"/>
      <c r="L99" s="534"/>
      <c r="M99" s="533"/>
      <c r="N99" s="534"/>
      <c r="O99" s="533"/>
      <c r="P99" s="532"/>
      <c r="Q99" s="534"/>
      <c r="R99" s="533"/>
      <c r="S99" s="534"/>
      <c r="T99" s="510"/>
      <c r="U99" s="510"/>
      <c r="V99" s="510"/>
      <c r="W99" s="532"/>
      <c r="X99" s="532"/>
      <c r="Y99" s="510"/>
      <c r="Z99" s="510"/>
      <c r="AA99" s="510"/>
      <c r="AB99" s="510"/>
      <c r="AC99" s="510"/>
      <c r="AD99" s="510"/>
      <c r="AE99" s="510"/>
      <c r="AF99" s="510"/>
      <c r="AG99" s="510"/>
      <c r="AH99" s="510"/>
      <c r="AI99" s="510"/>
      <c r="AJ99" s="510"/>
      <c r="AK99" s="510"/>
      <c r="AL99" s="510"/>
      <c r="AM99" s="510"/>
      <c r="AN99" s="510"/>
    </row>
    <row r="100" spans="1:40" ht="15.75" customHeight="1">
      <c r="A100" s="523" t="s">
        <v>289</v>
      </c>
      <c r="B100" s="510" t="s">
        <v>73</v>
      </c>
      <c r="C100" s="531" t="s">
        <v>78</v>
      </c>
      <c r="D100" s="532">
        <f>+INDEX('[5]Budget original'!$A$2:$AO$501,MATCH($A100,'[5]Budget original'!$A$2:$A$501,0),MATCH(D$2,'[5]Budget original'!$A$2:$AO$2,0))</f>
        <v>38.540999999999997</v>
      </c>
      <c r="E100" s="532">
        <f t="shared" si="27"/>
        <v>400</v>
      </c>
      <c r="F100" s="532">
        <f>+INDEX('[5]Budget original'!$A$2:$AO$501,MATCH($A100,'[5]Budget original'!$A$2:$A$501,0),MATCH(F$2,'[5]Budget original'!$A$2:$AO$2,0))</f>
        <v>15416.4</v>
      </c>
      <c r="G100" s="533"/>
      <c r="H100" s="532"/>
      <c r="I100" s="532"/>
      <c r="J100" s="533">
        <f>-SUMIFS([5]BV_Data_An_Cour!$O:$O,[5]BV_Data_An_Cour!$U:$U,$B100,[5]BV_Data_An_Cour!$V:$V,$C100,[5]BV_Data_An_Cour!$W:$W,J$2)</f>
        <v>23</v>
      </c>
      <c r="K100" s="532">
        <f>IF(J100=0,0,L100/J100)</f>
        <v>251.70434782608746</v>
      </c>
      <c r="L100" s="534">
        <f>-SUMIFS([5]BV_Data_An_Cour!$O:$O,[5]BV_Data_An_Cour!$U:$U,$B100,[5]BV_Data_An_Cour!$V:$V,$C100,[5]BV_Data_An_Cour!$W:$W,L$2)</f>
        <v>5789.2000000000116</v>
      </c>
      <c r="M100" s="533">
        <f>J100-D100</f>
        <v>-15.540999999999997</v>
      </c>
      <c r="N100" s="534">
        <f>L100-F100</f>
        <v>-9627.199999999988</v>
      </c>
      <c r="O100" s="533">
        <f t="array" ref="O100">+INDEX('[5]Réel 2023'!$A$2:$AO$501,MATCH($A100,'[5]Réel 2023'!$A$2:$A$501,0),MATCH(O$2,'[5]Réel 2023'!$A$2:$AO$2,0))</f>
        <v>38</v>
      </c>
      <c r="P100" s="532">
        <f>IF(O100=0,0,Q100/O100)</f>
        <v>362.24263157894472</v>
      </c>
      <c r="Q100" s="534">
        <f t="array" ref="Q100">+INDEX('[5]Réel 2023'!$A$2:$AO$501,MATCH($A100,'[5]Réel 2023'!$A$2:$A$501,0),MATCH(Q$2,'[5]Réel 2023'!$A$2:$AO$2,0))</f>
        <v>13765.219999999899</v>
      </c>
      <c r="R100" s="533">
        <f>J100-O100</f>
        <v>-15</v>
      </c>
      <c r="S100" s="534">
        <f>L100-Q100</f>
        <v>-7976.0199999998877</v>
      </c>
      <c r="T100" s="510"/>
      <c r="U100" s="532"/>
      <c r="V100" s="510"/>
      <c r="W100" s="510"/>
      <c r="X100" s="510"/>
      <c r="Y100" s="510"/>
      <c r="Z100" s="510"/>
      <c r="AA100" s="510"/>
      <c r="AB100" s="510"/>
      <c r="AC100" s="573"/>
      <c r="AD100" s="510"/>
      <c r="AE100" s="510"/>
      <c r="AF100" s="642"/>
      <c r="AG100" s="510"/>
      <c r="AH100" s="510"/>
      <c r="AI100" s="510"/>
      <c r="AJ100" s="510"/>
      <c r="AK100" s="510"/>
      <c r="AL100" s="510"/>
      <c r="AM100" s="510"/>
      <c r="AN100" s="510"/>
    </row>
    <row r="101" spans="1:40" ht="15.75" customHeight="1">
      <c r="A101" s="523" t="s">
        <v>73</v>
      </c>
      <c r="B101" s="510" t="s">
        <v>73</v>
      </c>
      <c r="C101" s="524"/>
      <c r="D101" s="528"/>
      <c r="E101" s="528"/>
      <c r="F101" s="526"/>
      <c r="G101" s="545"/>
      <c r="H101" s="528"/>
      <c r="I101" s="526"/>
      <c r="J101" s="545"/>
      <c r="K101" s="528"/>
      <c r="L101" s="526"/>
      <c r="M101" s="546"/>
      <c r="N101" s="643"/>
      <c r="O101" s="545"/>
      <c r="P101" s="528"/>
      <c r="Q101" s="526"/>
      <c r="R101" s="546"/>
      <c r="S101" s="643"/>
      <c r="T101" s="510"/>
      <c r="U101" s="510"/>
      <c r="V101" s="510"/>
      <c r="W101" s="532"/>
      <c r="X101" s="510"/>
      <c r="Y101" s="510"/>
      <c r="Z101" s="510"/>
      <c r="AA101" s="510"/>
      <c r="AB101" s="510"/>
      <c r="AC101" s="510"/>
      <c r="AD101" s="510"/>
      <c r="AE101" s="510"/>
      <c r="AF101" s="642"/>
      <c r="AG101" s="510"/>
      <c r="AH101" s="510"/>
      <c r="AI101" s="510"/>
      <c r="AJ101" s="510"/>
      <c r="AK101" s="510"/>
      <c r="AL101" s="510"/>
      <c r="AM101" s="510"/>
      <c r="AN101" s="510"/>
    </row>
    <row r="102" spans="1:40" ht="15.75" customHeight="1">
      <c r="A102" s="523" t="s">
        <v>290</v>
      </c>
      <c r="B102" s="510" t="s">
        <v>73</v>
      </c>
      <c r="C102" s="531" t="s">
        <v>25</v>
      </c>
      <c r="D102" s="532">
        <f>+INDEX('[5]Budget original'!$A$2:$AO$501,MATCH($A102,'[5]Budget original'!$A$2:$A$501,0),MATCH(D$2,'[5]Budget original'!$A$2:$AO$2,0))</f>
        <v>0</v>
      </c>
      <c r="E102" s="532">
        <f t="shared" ref="E102:E112" si="30">IF(D102=0,0,F102/D102)</f>
        <v>0</v>
      </c>
      <c r="F102" s="534">
        <f>+INDEX('[5]Budget original'!$A$2:$AO$501,MATCH($A102,'[5]Budget original'!$A$2:$A$501,0),MATCH(F$2,'[5]Budget original'!$A$2:$AO$2,0))</f>
        <v>26358.5</v>
      </c>
      <c r="G102" s="533"/>
      <c r="H102" s="532"/>
      <c r="I102" s="532"/>
      <c r="J102" s="533"/>
      <c r="K102" s="532">
        <f>IF(J97=0,0,L102/J97)</f>
        <v>354.06837209302324</v>
      </c>
      <c r="L102" s="534">
        <f>-SUMIFS([5]BV_Data_An_Cour!$O:$O,[5]BV_Data_An_Cour!$U:$U,$B102,[5]BV_Data_An_Cour!$V:$V,$C102,[5]BV_Data_An_Cour!$W:$W,$L2)</f>
        <v>15224.94</v>
      </c>
      <c r="M102" s="533"/>
      <c r="N102" s="534">
        <f>L102-F102</f>
        <v>-11133.56</v>
      </c>
      <c r="O102" s="533"/>
      <c r="P102" s="532"/>
      <c r="Q102" s="534">
        <f t="array" ref="Q102">+INDEX('[5]Réel 2023'!$A$2:$AO$501,MATCH($A102,'[5]Réel 2023'!$A$2:$A$501,0),MATCH(Q$2,'[5]Réel 2023'!$A$2:$AO$2,0))</f>
        <v>19677.13</v>
      </c>
      <c r="R102" s="533">
        <f t="shared" ref="R102:R104" si="31">O102-K102</f>
        <v>-354.06837209302324</v>
      </c>
      <c r="S102" s="534">
        <f t="shared" ref="S102:S105" si="32">L102-Q102</f>
        <v>-4452.1900000000005</v>
      </c>
      <c r="T102" s="510"/>
      <c r="U102" s="510"/>
      <c r="V102" s="510"/>
      <c r="W102" s="510"/>
      <c r="X102" s="510"/>
      <c r="Y102" s="510"/>
      <c r="Z102" s="510"/>
      <c r="AA102" s="510"/>
      <c r="AB102" s="510"/>
      <c r="AC102" s="510"/>
      <c r="AD102" s="510"/>
      <c r="AE102" s="510"/>
      <c r="AF102" s="510"/>
      <c r="AG102" s="510"/>
      <c r="AH102" s="510"/>
      <c r="AI102" s="510"/>
      <c r="AJ102" s="510"/>
      <c r="AK102" s="510"/>
      <c r="AL102" s="510"/>
      <c r="AM102" s="510"/>
      <c r="AN102" s="510"/>
    </row>
    <row r="103" spans="1:40" ht="15.75" customHeight="1">
      <c r="A103" s="523" t="s">
        <v>291</v>
      </c>
      <c r="B103" s="510" t="s">
        <v>73</v>
      </c>
      <c r="C103" s="531" t="s">
        <v>26</v>
      </c>
      <c r="D103" s="532">
        <f>+INDEX('[5]Budget original'!$A$2:$AO$501,MATCH($A103,'[5]Budget original'!$A$2:$A$501,0),MATCH(D$2,'[5]Budget original'!$A$2:$AO$2,0))</f>
        <v>0</v>
      </c>
      <c r="E103" s="532">
        <f t="shared" si="30"/>
        <v>0</v>
      </c>
      <c r="F103" s="534">
        <f>+INDEX('[5]Budget original'!$A$2:$AO$501,MATCH($A103,'[5]Budget original'!$A$2:$A$501,0),MATCH(F$2,'[5]Budget original'!$A$2:$AO$2,0))</f>
        <v>54599.75</v>
      </c>
      <c r="G103" s="533"/>
      <c r="H103" s="532"/>
      <c r="I103" s="532"/>
      <c r="J103" s="533"/>
      <c r="K103" s="532">
        <f>IF(J97=0,0,L103/J97)</f>
        <v>1561.193953488372</v>
      </c>
      <c r="L103" s="534">
        <f>-SUMIFS([5]BV_Data_An_Cour!$O:$O,[5]BV_Data_An_Cour!$U:$U,$B103,[5]BV_Data_An_Cour!$V:$V,$C103,[5]BV_Data_An_Cour!$W:$W,$L2)</f>
        <v>67131.34</v>
      </c>
      <c r="M103" s="533"/>
      <c r="N103" s="534">
        <f>L103-F103</f>
        <v>12531.589999999997</v>
      </c>
      <c r="O103" s="533"/>
      <c r="P103" s="532"/>
      <c r="Q103" s="534">
        <f t="array" ref="Q103">+INDEX('[5]Réel 2023'!$A$2:$AO$501,MATCH($A103,'[5]Réel 2023'!$A$2:$A$501,0),MATCH(Q$2,'[5]Réel 2023'!$A$2:$AO$2,0))</f>
        <v>43319.66</v>
      </c>
      <c r="R103" s="533">
        <f t="shared" si="31"/>
        <v>-1561.193953488372</v>
      </c>
      <c r="S103" s="534">
        <f t="shared" si="32"/>
        <v>23811.679999999993</v>
      </c>
      <c r="T103" s="510"/>
      <c r="U103" s="510"/>
      <c r="V103" s="510"/>
      <c r="W103" s="510"/>
      <c r="X103" s="510"/>
      <c r="Y103" s="510"/>
      <c r="Z103" s="510"/>
      <c r="AA103" s="510"/>
      <c r="AB103" s="510"/>
      <c r="AC103" s="510"/>
      <c r="AD103" s="510"/>
      <c r="AE103" s="510"/>
      <c r="AF103" s="510"/>
      <c r="AG103" s="510"/>
      <c r="AH103" s="510"/>
      <c r="AI103" s="510"/>
      <c r="AJ103" s="510"/>
      <c r="AK103" s="510"/>
      <c r="AL103" s="510"/>
      <c r="AM103" s="510"/>
      <c r="AN103" s="510"/>
    </row>
    <row r="104" spans="1:40" ht="15.75" customHeight="1">
      <c r="A104" s="523" t="s">
        <v>292</v>
      </c>
      <c r="B104" s="510" t="s">
        <v>73</v>
      </c>
      <c r="C104" s="531" t="s">
        <v>27</v>
      </c>
      <c r="D104" s="532">
        <f>+INDEX('[5]Budget original'!$A$2:$AO$501,MATCH($A104,'[5]Budget original'!$A$2:$A$501,0),MATCH(D$2,'[5]Budget original'!$A$2:$AO$2,0))</f>
        <v>0</v>
      </c>
      <c r="E104" s="528">
        <f t="shared" si="30"/>
        <v>0</v>
      </c>
      <c r="F104" s="534">
        <f>+INDEX('[5]Budget original'!$A$2:$AO$501,MATCH($A104,'[5]Budget original'!$A$2:$A$501,0),MATCH(F$2,'[5]Budget original'!$A$2:$AO$2,0))</f>
        <v>1882.75</v>
      </c>
      <c r="G104" s="533"/>
      <c r="H104" s="528"/>
      <c r="I104" s="532"/>
      <c r="J104" s="533"/>
      <c r="K104" s="528">
        <f>IF(J97=0,0,L104/J97)</f>
        <v>26.634651162790696</v>
      </c>
      <c r="L104" s="534">
        <f>-SUMIFS([5]BV_Data_An_Cour!$O:$O,[5]BV_Data_An_Cour!$U:$U,$B104,[5]BV_Data_An_Cour!$V:$V,$C104,[5]BV_Data_An_Cour!$W:$W,$L$2)</f>
        <v>1145.29</v>
      </c>
      <c r="M104" s="545"/>
      <c r="N104" s="534">
        <f>L104-F104</f>
        <v>-737.46</v>
      </c>
      <c r="O104" s="533"/>
      <c r="P104" s="528"/>
      <c r="Q104" s="534">
        <f t="array" ref="Q104">+INDEX('[5]Réel 2023'!$A$2:$AO$501,MATCH($A104,'[5]Réel 2023'!$A$2:$A$501,0),MATCH(Q$2,'[5]Réel 2023'!$A$2:$AO$2,0))</f>
        <v>1552.27</v>
      </c>
      <c r="R104" s="533">
        <f t="shared" si="31"/>
        <v>-26.634651162790696</v>
      </c>
      <c r="S104" s="534">
        <f t="shared" si="32"/>
        <v>-406.98</v>
      </c>
      <c r="T104" s="510"/>
      <c r="U104" s="510"/>
      <c r="V104" s="510"/>
      <c r="W104" s="510"/>
      <c r="X104" s="510"/>
      <c r="Y104" s="510"/>
      <c r="Z104" s="510"/>
      <c r="AA104" s="510"/>
      <c r="AB104" s="510"/>
      <c r="AC104" s="510"/>
      <c r="AD104" s="510"/>
      <c r="AE104" s="510"/>
      <c r="AF104" s="510"/>
      <c r="AG104" s="510"/>
      <c r="AH104" s="510"/>
      <c r="AI104" s="510"/>
      <c r="AJ104" s="510"/>
      <c r="AK104" s="510"/>
      <c r="AL104" s="510"/>
      <c r="AM104" s="510"/>
      <c r="AN104" s="510"/>
    </row>
    <row r="105" spans="1:40" ht="15.75" customHeight="1">
      <c r="A105" s="523" t="s">
        <v>293</v>
      </c>
      <c r="B105" s="510" t="s">
        <v>73</v>
      </c>
      <c r="C105" s="537" t="s">
        <v>28</v>
      </c>
      <c r="D105" s="538">
        <f>D97</f>
        <v>37.655000000000001</v>
      </c>
      <c r="E105" s="532">
        <f t="shared" si="30"/>
        <v>2200</v>
      </c>
      <c r="F105" s="539">
        <f>F102+F103+F104</f>
        <v>82841</v>
      </c>
      <c r="G105" s="540"/>
      <c r="H105" s="538"/>
      <c r="I105" s="539"/>
      <c r="J105" s="540">
        <f>J97</f>
        <v>43</v>
      </c>
      <c r="K105" s="538">
        <f>IF(J105&lt;=0,0,L105/J105)</f>
        <v>1941.8969767441858</v>
      </c>
      <c r="L105" s="539">
        <f>L102+L103+L104</f>
        <v>83501.569999999992</v>
      </c>
      <c r="M105" s="533">
        <f>J105-D105</f>
        <v>5.3449999999999989</v>
      </c>
      <c r="N105" s="539">
        <f>L105-F105</f>
        <v>660.56999999999243</v>
      </c>
      <c r="O105" s="540">
        <f>O97</f>
        <v>26</v>
      </c>
      <c r="P105" s="538">
        <f t="shared" ref="P105" si="33">IF(O105=0,0,Q105/O105)</f>
        <v>2482.6561538461542</v>
      </c>
      <c r="Q105" s="539">
        <f>Q102+Q103+Q104</f>
        <v>64549.060000000005</v>
      </c>
      <c r="R105" s="554"/>
      <c r="S105" s="539">
        <f t="shared" si="32"/>
        <v>18952.509999999987</v>
      </c>
      <c r="T105" s="510"/>
      <c r="U105" s="510"/>
      <c r="V105" s="510"/>
      <c r="W105" s="510"/>
      <c r="X105" s="510"/>
      <c r="Y105" s="510"/>
      <c r="Z105" s="510"/>
      <c r="AA105" s="510"/>
      <c r="AB105" s="510"/>
      <c r="AC105" s="510"/>
      <c r="AD105" s="510"/>
      <c r="AE105" s="510"/>
      <c r="AF105" s="510"/>
      <c r="AG105" s="510"/>
      <c r="AH105" s="510"/>
      <c r="AI105" s="510"/>
      <c r="AJ105" s="510"/>
      <c r="AK105" s="510"/>
      <c r="AL105" s="510"/>
      <c r="AM105" s="510"/>
      <c r="AN105" s="510"/>
    </row>
    <row r="106" spans="1:40" ht="15.75" customHeight="1">
      <c r="A106" s="523" t="s">
        <v>73</v>
      </c>
      <c r="B106" s="510" t="s">
        <v>73</v>
      </c>
      <c r="C106" s="531"/>
      <c r="D106" s="510"/>
      <c r="E106" s="510"/>
      <c r="F106" s="557"/>
      <c r="G106" s="531"/>
      <c r="H106" s="644"/>
      <c r="I106" s="557"/>
      <c r="J106" s="531"/>
      <c r="K106" s="510"/>
      <c r="L106" s="557"/>
      <c r="M106" s="548"/>
      <c r="N106" s="549">
        <f>N105/F105</f>
        <v>7.9739500971740141E-3</v>
      </c>
      <c r="O106" s="531"/>
      <c r="P106" s="510"/>
      <c r="Q106" s="557"/>
      <c r="R106" s="558"/>
      <c r="S106" s="549">
        <f>IF(Q105=0,0,(S105/Q105))</f>
        <v>0.29361403558781468</v>
      </c>
      <c r="T106" s="510"/>
      <c r="U106" s="510"/>
      <c r="V106" s="510"/>
      <c r="W106" s="510"/>
      <c r="X106" s="510"/>
      <c r="Y106" s="510"/>
      <c r="Z106" s="510"/>
      <c r="AA106" s="510"/>
      <c r="AB106" s="510"/>
      <c r="AC106" s="510"/>
      <c r="AD106" s="510"/>
      <c r="AE106" s="510"/>
      <c r="AF106" s="510"/>
      <c r="AG106" s="510"/>
      <c r="AH106" s="510"/>
      <c r="AI106" s="510"/>
      <c r="AJ106" s="510"/>
      <c r="AK106" s="510"/>
      <c r="AL106" s="510"/>
      <c r="AM106" s="510"/>
      <c r="AN106" s="510"/>
    </row>
    <row r="107" spans="1:40" ht="15.75" customHeight="1" thickBot="1">
      <c r="A107" s="523" t="s">
        <v>73</v>
      </c>
      <c r="B107" s="510" t="s">
        <v>73</v>
      </c>
      <c r="C107" s="531"/>
      <c r="D107" s="510"/>
      <c r="E107" s="510"/>
      <c r="F107" s="557"/>
      <c r="G107" s="531"/>
      <c r="H107" s="644"/>
      <c r="I107" s="557"/>
      <c r="J107" s="531"/>
      <c r="K107" s="510"/>
      <c r="L107" s="557"/>
      <c r="M107" s="548"/>
      <c r="N107" s="549"/>
      <c r="O107" s="531"/>
      <c r="P107" s="510"/>
      <c r="Q107" s="557"/>
      <c r="R107" s="558"/>
      <c r="S107" s="549"/>
      <c r="T107" s="510"/>
      <c r="U107" s="510"/>
      <c r="V107" s="510"/>
      <c r="W107" s="510"/>
      <c r="X107" s="510"/>
      <c r="Y107" s="510"/>
      <c r="Z107" s="510"/>
      <c r="AA107" s="510"/>
      <c r="AB107" s="510"/>
      <c r="AC107" s="510"/>
      <c r="AD107" s="510"/>
      <c r="AE107" s="510"/>
      <c r="AF107" s="510"/>
      <c r="AG107" s="510"/>
      <c r="AH107" s="510"/>
      <c r="AI107" s="510"/>
      <c r="AJ107" s="510"/>
      <c r="AK107" s="510"/>
      <c r="AL107" s="510"/>
      <c r="AM107" s="510"/>
      <c r="AN107" s="510"/>
    </row>
    <row r="108" spans="1:40" ht="23.25" customHeight="1" thickTop="1">
      <c r="A108" s="523" t="s">
        <v>294</v>
      </c>
      <c r="B108" s="510" t="s">
        <v>73</v>
      </c>
      <c r="C108" s="559" t="s">
        <v>79</v>
      </c>
      <c r="D108" s="560">
        <f>D97+D100</f>
        <v>76.195999999999998</v>
      </c>
      <c r="E108" s="561">
        <f>IF(D108&lt;=0,0,F108/D108)</f>
        <v>2179.0697674418602</v>
      </c>
      <c r="F108" s="562">
        <f>F97+F105+F100</f>
        <v>166036.4</v>
      </c>
      <c r="G108" s="563"/>
      <c r="H108" s="645"/>
      <c r="I108" s="562"/>
      <c r="J108" s="563">
        <f>J97+J100</f>
        <v>66</v>
      </c>
      <c r="K108" s="561">
        <f>IF(J108&lt;=0,0,L108/J108)</f>
        <v>1982.6253030303037</v>
      </c>
      <c r="L108" s="562">
        <f>L97+L105+L100</f>
        <v>130853.27000000005</v>
      </c>
      <c r="M108" s="563">
        <f>J108-D108</f>
        <v>-10.195999999999998</v>
      </c>
      <c r="N108" s="562">
        <f>L108-F108</f>
        <v>-35183.129999999946</v>
      </c>
      <c r="O108" s="563">
        <f>O97+O100</f>
        <v>64</v>
      </c>
      <c r="P108" s="561">
        <f>IF(O108&lt;=0,0,Q108/O108)</f>
        <v>2041.8312499999968</v>
      </c>
      <c r="Q108" s="562">
        <f>Q97+Q105+Q100</f>
        <v>130677.19999999979</v>
      </c>
      <c r="R108" s="563">
        <f>J108-O108</f>
        <v>2</v>
      </c>
      <c r="S108" s="562">
        <f>L108-Q108</f>
        <v>176.07000000025437</v>
      </c>
      <c r="T108" s="510"/>
      <c r="U108" s="510"/>
      <c r="V108" s="510"/>
      <c r="W108" s="510"/>
      <c r="X108" s="510"/>
      <c r="Y108" s="510"/>
      <c r="Z108" s="510"/>
      <c r="AA108" s="510"/>
      <c r="AB108" s="510"/>
      <c r="AC108" s="510"/>
      <c r="AD108" s="510"/>
      <c r="AE108" s="510"/>
      <c r="AF108" s="510"/>
      <c r="AG108" s="510"/>
      <c r="AH108" s="510"/>
      <c r="AI108" s="510"/>
      <c r="AJ108" s="510"/>
      <c r="AK108" s="510"/>
      <c r="AL108" s="510"/>
      <c r="AM108" s="510"/>
      <c r="AN108" s="510"/>
    </row>
    <row r="109" spans="1:40" ht="19.5" customHeight="1" thickBot="1">
      <c r="A109" s="523" t="s">
        <v>73</v>
      </c>
      <c r="B109" s="510" t="s">
        <v>73</v>
      </c>
      <c r="C109" s="564"/>
      <c r="D109" s="565"/>
      <c r="E109" s="565"/>
      <c r="F109" s="566"/>
      <c r="G109" s="564"/>
      <c r="H109" s="565"/>
      <c r="I109" s="566"/>
      <c r="J109" s="564"/>
      <c r="K109" s="565"/>
      <c r="L109" s="568">
        <f>L108/F108</f>
        <v>0.78809989857645701</v>
      </c>
      <c r="M109" s="569">
        <f>M108/D108</f>
        <v>-0.13381279857210349</v>
      </c>
      <c r="N109" s="570">
        <f>N108/F108</f>
        <v>-0.21190010142354296</v>
      </c>
      <c r="O109" s="564"/>
      <c r="P109" s="565"/>
      <c r="Q109" s="566"/>
      <c r="R109" s="646">
        <f>O108/R108</f>
        <v>32</v>
      </c>
      <c r="S109" s="647">
        <f>IF(Q108=0,0,(S108/Q108))</f>
        <v>1.3473658756099354E-3</v>
      </c>
      <c r="T109" s="510"/>
      <c r="U109" s="510"/>
      <c r="V109" s="510"/>
      <c r="W109" s="510"/>
      <c r="X109" s="510"/>
      <c r="Y109" s="510"/>
      <c r="Z109" s="510"/>
      <c r="AA109" s="510"/>
      <c r="AB109" s="510"/>
      <c r="AC109" s="510"/>
      <c r="AD109" s="510"/>
      <c r="AE109" s="510"/>
      <c r="AF109" s="510"/>
      <c r="AG109" s="510"/>
      <c r="AH109" s="510"/>
      <c r="AI109" s="510"/>
      <c r="AJ109" s="510"/>
      <c r="AK109" s="510"/>
      <c r="AL109" s="510"/>
      <c r="AM109" s="510"/>
      <c r="AN109" s="510"/>
    </row>
    <row r="110" spans="1:40" ht="15.75" customHeight="1" thickTop="1">
      <c r="A110" s="523" t="s">
        <v>73</v>
      </c>
      <c r="B110" s="510" t="s">
        <v>73</v>
      </c>
      <c r="C110" s="550"/>
      <c r="D110" s="571"/>
      <c r="E110" s="571"/>
      <c r="F110" s="572"/>
      <c r="G110" s="550"/>
      <c r="H110" s="571"/>
      <c r="I110" s="572"/>
      <c r="J110" s="550"/>
      <c r="K110" s="571"/>
      <c r="L110" s="572"/>
      <c r="M110" s="548"/>
      <c r="N110" s="549"/>
      <c r="O110" s="550"/>
      <c r="P110" s="571"/>
      <c r="Q110" s="572"/>
      <c r="R110" s="548"/>
      <c r="S110" s="549"/>
      <c r="T110" s="510"/>
      <c r="U110" s="510"/>
      <c r="V110" s="510"/>
      <c r="W110" s="510"/>
      <c r="X110" s="510"/>
      <c r="Y110" s="510"/>
      <c r="Z110" s="510"/>
      <c r="AA110" s="510"/>
      <c r="AB110" s="510"/>
      <c r="AC110" s="510"/>
      <c r="AD110" s="510"/>
      <c r="AE110" s="510"/>
      <c r="AF110" s="510"/>
      <c r="AG110" s="510"/>
      <c r="AH110" s="510"/>
      <c r="AI110" s="510"/>
      <c r="AJ110" s="510"/>
      <c r="AK110" s="510"/>
      <c r="AL110" s="510"/>
      <c r="AM110" s="510"/>
      <c r="AN110" s="510"/>
    </row>
    <row r="111" spans="1:40" ht="15.75" customHeight="1">
      <c r="A111" s="523" t="s">
        <v>295</v>
      </c>
      <c r="B111" s="510" t="s">
        <v>73</v>
      </c>
      <c r="C111" s="574" t="s">
        <v>30</v>
      </c>
      <c r="D111" s="510"/>
      <c r="E111" s="575"/>
      <c r="F111" s="557"/>
      <c r="G111" s="531"/>
      <c r="H111" s="575"/>
      <c r="I111" s="557"/>
      <c r="J111" s="531"/>
      <c r="K111" s="575"/>
      <c r="L111" s="541"/>
      <c r="M111" s="531"/>
      <c r="N111" s="541"/>
      <c r="O111" s="531"/>
      <c r="P111" s="575"/>
      <c r="Q111" s="541"/>
      <c r="R111" s="531"/>
      <c r="S111" s="541"/>
      <c r="T111" s="510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0"/>
      <c r="AF111" s="510"/>
      <c r="AG111" s="510"/>
      <c r="AH111" s="510"/>
      <c r="AI111" s="510"/>
      <c r="AJ111" s="510"/>
      <c r="AK111" s="510"/>
      <c r="AL111" s="510"/>
      <c r="AM111" s="510"/>
      <c r="AN111" s="510"/>
    </row>
    <row r="112" spans="1:40" ht="15.75" customHeight="1">
      <c r="A112" s="523" t="s">
        <v>296</v>
      </c>
      <c r="B112" s="510" t="s">
        <v>73</v>
      </c>
      <c r="C112" s="531" t="s">
        <v>31</v>
      </c>
      <c r="D112" s="648">
        <f>F112/(F97+F105)</f>
        <v>0.14849999999999999</v>
      </c>
      <c r="E112" s="573">
        <f t="shared" ref="E112:E121" si="34">F112/D$97</f>
        <v>594</v>
      </c>
      <c r="F112" s="532">
        <f>+INDEX('[5]Budget original'!$A$2:$AO$501,MATCH($A112,'[5]Budget original'!$A$2:$A$501,0),MATCH(F$2,'[5]Budget original'!$A$2:$AO$2,0))</f>
        <v>22367.07</v>
      </c>
      <c r="G112" s="577"/>
      <c r="H112" s="573"/>
      <c r="I112" s="532"/>
      <c r="J112" s="577">
        <f>L112/L97</f>
        <v>0.61366472180451048</v>
      </c>
      <c r="K112" s="573">
        <f>IF($J$97=0,0,L112/(J$94+J$95+J96))</f>
        <v>593.14976744186049</v>
      </c>
      <c r="L112" s="534">
        <f>SUMIFS([5]BV_Data_An_Cour!$O:$O,[5]BV_Data_An_Cour!$U:$U,$B112,[5]BV_Data_An_Cour!$V:$V,$C112,[5]BV_Data_An_Cour!$W:$W,$L$2)</f>
        <v>25505.439999999999</v>
      </c>
      <c r="M112" s="531"/>
      <c r="N112" s="557">
        <f t="shared" ref="N112:N153" si="35">L112-F112</f>
        <v>3138.369999999999</v>
      </c>
      <c r="O112" s="578">
        <f>Q112/Q97</f>
        <v>0.50307011144527569</v>
      </c>
      <c r="P112" s="573">
        <f t="shared" ref="P112:P121" si="36">Q112/O$97</f>
        <v>1013.1623076923078</v>
      </c>
      <c r="Q112" s="534">
        <f t="array" ref="Q112">+INDEX('[5]Réel 2023'!$A$2:$AO$501,MATCH($A112,'[5]Réel 2023'!$A$2:$A$501,0),MATCH(Q$2,'[5]Réel 2023'!$A$2:$AO$2,0))</f>
        <v>26342.22</v>
      </c>
      <c r="R112" s="531"/>
      <c r="S112" s="557">
        <f t="shared" ref="S112:S153" si="37">L112-Q112</f>
        <v>-836.78000000000247</v>
      </c>
      <c r="T112" s="510"/>
      <c r="U112" s="510"/>
      <c r="V112" s="510"/>
      <c r="W112" s="510"/>
      <c r="X112" s="510"/>
      <c r="Y112" s="510"/>
      <c r="Z112" s="510"/>
      <c r="AA112" s="510"/>
      <c r="AB112" s="510"/>
      <c r="AC112" s="510"/>
      <c r="AD112" s="510"/>
      <c r="AE112" s="510"/>
      <c r="AF112" s="510"/>
      <c r="AG112" s="510"/>
      <c r="AH112" s="510"/>
      <c r="AI112" s="510"/>
      <c r="AJ112" s="510"/>
      <c r="AK112" s="510"/>
      <c r="AL112" s="510"/>
      <c r="AM112" s="510"/>
      <c r="AN112" s="510"/>
    </row>
    <row r="113" spans="1:40" ht="15.75" customHeight="1">
      <c r="A113" s="523" t="s">
        <v>297</v>
      </c>
      <c r="B113" s="510" t="s">
        <v>73</v>
      </c>
      <c r="C113" s="524" t="s">
        <v>32</v>
      </c>
      <c r="D113" s="649">
        <f>F113/(F105)</f>
        <v>0.3</v>
      </c>
      <c r="E113" s="580">
        <f t="shared" si="34"/>
        <v>660</v>
      </c>
      <c r="F113" s="526">
        <f>+INDEX('[5]Budget original'!$A$2:$AO$501,MATCH($A113,'[5]Budget original'!$A$2:$A$501,0),MATCH(F$2,'[5]Budget original'!$A$2:$AO$2,0))</f>
        <v>24852.3</v>
      </c>
      <c r="G113" s="581"/>
      <c r="H113" s="580"/>
      <c r="I113" s="526"/>
      <c r="J113" s="581">
        <f>L113/(L105)</f>
        <v>0.29999855092544969</v>
      </c>
      <c r="K113" s="580">
        <f>IF($J$97=0,0,L113/(J$94+J$95+J96))</f>
        <v>582.56627906976746</v>
      </c>
      <c r="L113" s="534">
        <f>SUMIFS([5]BV_Data_An_Cour!$O:$O,[5]BV_Data_An_Cour!$U:$U,$B113,[5]BV_Data_An_Cour!$V:$V,$C113,[5]BV_Data_An_Cour!$W:$W,$L$2)</f>
        <v>25050.35</v>
      </c>
      <c r="M113" s="524"/>
      <c r="N113" s="582">
        <f t="shared" si="35"/>
        <v>198.04999999999927</v>
      </c>
      <c r="O113" s="583">
        <f>Q113/(Q105+Q19)</f>
        <v>0.26586324555911012</v>
      </c>
      <c r="P113" s="580">
        <f t="shared" si="36"/>
        <v>744.2</v>
      </c>
      <c r="Q113" s="534">
        <f t="array" ref="Q113">+INDEX('[5]Réel 2023'!$A$2:$AO$501,MATCH($A113,'[5]Réel 2023'!$A$2:$A$501,0),MATCH(Q$2,'[5]Réel 2023'!$A$2:$AO$2,0))</f>
        <v>19349.2</v>
      </c>
      <c r="R113" s="524"/>
      <c r="S113" s="582">
        <f t="shared" si="37"/>
        <v>5701.1499999999978</v>
      </c>
      <c r="T113" s="510"/>
      <c r="U113" s="510"/>
      <c r="V113" s="510"/>
      <c r="W113" s="510"/>
      <c r="X113" s="510"/>
      <c r="Y113" s="510"/>
      <c r="Z113" s="510"/>
      <c r="AA113" s="510"/>
      <c r="AB113" s="510"/>
      <c r="AC113" s="510"/>
      <c r="AD113" s="510"/>
      <c r="AE113" s="510"/>
      <c r="AF113" s="510"/>
      <c r="AG113" s="510"/>
      <c r="AH113" s="510"/>
      <c r="AI113" s="510"/>
      <c r="AJ113" s="510"/>
      <c r="AK113" s="510"/>
      <c r="AL113" s="510"/>
      <c r="AM113" s="510"/>
      <c r="AN113" s="510"/>
    </row>
    <row r="114" spans="1:40" ht="15.75" customHeight="1">
      <c r="A114" s="523" t="s">
        <v>298</v>
      </c>
      <c r="B114" s="510" t="s">
        <v>73</v>
      </c>
      <c r="C114" s="531" t="s">
        <v>33</v>
      </c>
      <c r="D114" s="584"/>
      <c r="E114" s="573">
        <f t="shared" si="34"/>
        <v>10</v>
      </c>
      <c r="F114" s="532">
        <f>+INDEX('[5]Budget original'!$A$2:$AO$501,MATCH($A114,'[5]Budget original'!$A$2:$A$501,0),MATCH(F$2,'[5]Budget original'!$A$2:$AO$2,0))</f>
        <v>376.55</v>
      </c>
      <c r="G114" s="585"/>
      <c r="H114" s="573"/>
      <c r="I114" s="532"/>
      <c r="J114" s="531"/>
      <c r="K114" s="573">
        <f>IF($J$97=0,0,L114/(J$94+J$95+J96))</f>
        <v>-46.540465116279073</v>
      </c>
      <c r="L114" s="553">
        <f>SUMIFS([5]BV_Data_An_Cour!$O:$O,[5]BV_Data_An_Cour!$U:$U,$B114,[5]BV_Data_An_Cour!$V:$V,$C114,[5]BV_Data_An_Cour!$W:$W,$L$2)</f>
        <v>-2001.24</v>
      </c>
      <c r="M114" s="531"/>
      <c r="N114" s="557">
        <f t="shared" si="35"/>
        <v>-2377.79</v>
      </c>
      <c r="O114" s="531"/>
      <c r="P114" s="573">
        <f t="shared" si="36"/>
        <v>5.3234615384615385</v>
      </c>
      <c r="Q114" s="553">
        <f t="array" ref="Q114">+INDEX('[5]Réel 2023'!$A$2:$AO$501,MATCH($A114,'[5]Réel 2023'!$A$2:$A$501,0),MATCH(Q$2,'[5]Réel 2023'!$A$2:$AO$2,0))</f>
        <v>138.41</v>
      </c>
      <c r="R114" s="531"/>
      <c r="S114" s="557">
        <f t="shared" si="37"/>
        <v>-2139.65</v>
      </c>
      <c r="T114" s="510"/>
      <c r="U114" s="510"/>
      <c r="V114" s="510"/>
      <c r="W114" s="532"/>
      <c r="X114" s="510"/>
      <c r="Y114" s="510"/>
      <c r="Z114" s="510"/>
      <c r="AA114" s="510"/>
      <c r="AB114" s="510"/>
      <c r="AC114" s="510"/>
      <c r="AD114" s="510"/>
      <c r="AE114" s="510"/>
      <c r="AF114" s="510"/>
      <c r="AG114" s="510"/>
      <c r="AH114" s="510"/>
      <c r="AI114" s="510"/>
      <c r="AJ114" s="510"/>
      <c r="AK114" s="510"/>
      <c r="AL114" s="510"/>
      <c r="AM114" s="510"/>
      <c r="AN114" s="510"/>
    </row>
    <row r="115" spans="1:40" ht="15.75" customHeight="1">
      <c r="A115" s="523" t="s">
        <v>299</v>
      </c>
      <c r="B115" s="510" t="s">
        <v>73</v>
      </c>
      <c r="C115" s="531" t="s">
        <v>34</v>
      </c>
      <c r="D115" s="584"/>
      <c r="E115" s="573">
        <f t="shared" si="34"/>
        <v>7.0000000000000009</v>
      </c>
      <c r="F115" s="532">
        <f>+INDEX('[5]Budget original'!$A$2:$AO$501,MATCH($A115,'[5]Budget original'!$A$2:$A$501,0),MATCH(F$2,'[5]Budget original'!$A$2:$AO$2,0))</f>
        <v>263.58500000000004</v>
      </c>
      <c r="G115" s="585"/>
      <c r="H115" s="573"/>
      <c r="I115" s="532"/>
      <c r="J115" s="531"/>
      <c r="K115" s="573">
        <f>IF($J$97=0,0,L115/(J$94+J$95+J96))</f>
        <v>54.457906976744191</v>
      </c>
      <c r="L115" s="534">
        <f>SUMIFS([5]BV_Data_An_Cour!$O:$O,[5]BV_Data_An_Cour!$U:$U,$B115,[5]BV_Data_An_Cour!$V:$V,$C115,[5]BV_Data_An_Cour!$W:$W,$L$2)</f>
        <v>2341.69</v>
      </c>
      <c r="M115" s="531"/>
      <c r="N115" s="557">
        <f t="shared" si="35"/>
        <v>2078.105</v>
      </c>
      <c r="O115" s="531"/>
      <c r="P115" s="573">
        <f t="shared" si="36"/>
        <v>67.09346153846154</v>
      </c>
      <c r="Q115" s="534">
        <f t="array" ref="Q115">+INDEX('[5]Réel 2023'!$A$2:$AO$501,MATCH($A115,'[5]Réel 2023'!$A$2:$A$501,0),MATCH(Q$2,'[5]Réel 2023'!$A$2:$AO$2,0))</f>
        <v>1744.43</v>
      </c>
      <c r="R115" s="531"/>
      <c r="S115" s="557">
        <f t="shared" si="37"/>
        <v>597.26</v>
      </c>
      <c r="T115" s="510"/>
      <c r="U115" s="510"/>
      <c r="V115" s="510"/>
      <c r="W115" s="532"/>
      <c r="X115" s="510"/>
      <c r="Y115" s="510"/>
      <c r="Z115" s="510"/>
      <c r="AA115" s="510"/>
      <c r="AB115" s="510"/>
      <c r="AC115" s="510"/>
      <c r="AD115" s="510"/>
      <c r="AE115" s="510"/>
      <c r="AF115" s="510"/>
      <c r="AG115" s="510"/>
      <c r="AH115" s="510"/>
      <c r="AI115" s="510"/>
      <c r="AJ115" s="510"/>
      <c r="AK115" s="510"/>
      <c r="AL115" s="510"/>
      <c r="AM115" s="510"/>
      <c r="AN115" s="510"/>
    </row>
    <row r="116" spans="1:40" ht="15.75" customHeight="1">
      <c r="A116" s="523" t="s">
        <v>300</v>
      </c>
      <c r="B116" s="510" t="s">
        <v>73</v>
      </c>
      <c r="C116" s="524" t="s">
        <v>35</v>
      </c>
      <c r="D116" s="587"/>
      <c r="E116" s="580">
        <f t="shared" si="34"/>
        <v>162</v>
      </c>
      <c r="F116" s="526">
        <f>+INDEX('[5]Budget original'!$A$2:$AO$501,MATCH($A116,'[5]Budget original'!$A$2:$A$501,0),MATCH(F$2,'[5]Budget original'!$A$2:$AO$2,0))</f>
        <v>6100.1100000000006</v>
      </c>
      <c r="G116" s="588"/>
      <c r="H116" s="580"/>
      <c r="I116" s="526"/>
      <c r="J116" s="524"/>
      <c r="K116" s="580">
        <f>IF($J$97=0,0,L116/(J$94+J$95+J96))</f>
        <v>136.26488372093024</v>
      </c>
      <c r="L116" s="526">
        <f>SUMIFS([5]BV_Data_An_Cour!$O:$O,[5]BV_Data_An_Cour!$U:$U,$B116,[5]BV_Data_An_Cour!$V:$V,$C116,[5]BV_Data_An_Cour!$W:$W,$L$2)</f>
        <v>5859.39</v>
      </c>
      <c r="M116" s="524"/>
      <c r="N116" s="582">
        <f t="shared" si="35"/>
        <v>-240.72000000000025</v>
      </c>
      <c r="O116" s="524"/>
      <c r="P116" s="580">
        <f t="shared" si="36"/>
        <v>155.28461538461539</v>
      </c>
      <c r="Q116" s="526">
        <f t="array" ref="Q116">+INDEX('[5]Réel 2023'!$A$2:$AO$501,MATCH($A116,'[5]Réel 2023'!$A$2:$A$501,0),MATCH(Q$2,'[5]Réel 2023'!$A$2:$AO$2,0))</f>
        <v>4037.4</v>
      </c>
      <c r="R116" s="524"/>
      <c r="S116" s="582">
        <f t="shared" si="37"/>
        <v>1821.9900000000002</v>
      </c>
      <c r="T116" s="510"/>
      <c r="U116" s="573"/>
      <c r="V116" s="510"/>
      <c r="W116" s="532"/>
      <c r="X116" s="510"/>
      <c r="Y116" s="510"/>
      <c r="Z116" s="510"/>
      <c r="AA116" s="510"/>
      <c r="AB116" s="510"/>
      <c r="AC116" s="510"/>
      <c r="AD116" s="510"/>
      <c r="AE116" s="510"/>
      <c r="AF116" s="510"/>
      <c r="AG116" s="510"/>
      <c r="AH116" s="510"/>
      <c r="AI116" s="510"/>
      <c r="AJ116" s="510"/>
      <c r="AK116" s="510"/>
      <c r="AL116" s="510"/>
      <c r="AM116" s="510"/>
      <c r="AN116" s="510"/>
    </row>
    <row r="117" spans="1:40" ht="19.5" customHeight="1">
      <c r="A117" s="523" t="s">
        <v>301</v>
      </c>
      <c r="B117" s="510" t="s">
        <v>73</v>
      </c>
      <c r="C117" s="531" t="s">
        <v>36</v>
      </c>
      <c r="D117" s="584"/>
      <c r="E117" s="573">
        <f t="shared" si="34"/>
        <v>302.39012083388661</v>
      </c>
      <c r="F117" s="532">
        <f>+INDEX('[5]Budget original'!$A$2:$AO$501,MATCH($A117,'[5]Budget original'!$A$2:$A$501,0),MATCH(F$2,'[5]Budget original'!$A$2:$AO$2,0))</f>
        <v>11386.5</v>
      </c>
      <c r="G117" s="585"/>
      <c r="H117" s="573"/>
      <c r="I117" s="532"/>
      <c r="J117" s="531"/>
      <c r="K117" s="573">
        <f>IF($J$97=0,0,L117/(J$94+J$95+J96))</f>
        <v>302.94023255813954</v>
      </c>
      <c r="L117" s="534">
        <f>SUMIFS([5]BV_Data_An_Cour!$O:$O,[5]BV_Data_An_Cour!$U:$U,$B117,[5]BV_Data_An_Cour!$V:$V,$C117,[5]BV_Data_An_Cour!$W:$W,$L$2)</f>
        <v>13026.43</v>
      </c>
      <c r="M117" s="531"/>
      <c r="N117" s="557">
        <f t="shared" si="35"/>
        <v>1639.9300000000003</v>
      </c>
      <c r="O117" s="531"/>
      <c r="P117" s="573">
        <f t="shared" si="36"/>
        <v>601.99384615384611</v>
      </c>
      <c r="Q117" s="534">
        <f t="array" ref="Q117">+INDEX('[5]Réel 2023'!$A$2:$AO$501,MATCH($A117,'[5]Réel 2023'!$A$2:$A$501,0),MATCH(Q$2,'[5]Réel 2023'!$A$2:$AO$2,0))</f>
        <v>15651.84</v>
      </c>
      <c r="R117" s="531"/>
      <c r="S117" s="557">
        <f t="shared" si="37"/>
        <v>-2625.41</v>
      </c>
      <c r="T117" s="510"/>
      <c r="U117" s="510"/>
      <c r="V117" s="510"/>
      <c r="W117" s="532"/>
      <c r="Z117" s="510"/>
      <c r="AA117" s="510"/>
      <c r="AB117" s="510"/>
      <c r="AC117" s="510"/>
      <c r="AD117" s="510"/>
      <c r="AE117" s="510"/>
      <c r="AF117" s="510"/>
      <c r="AG117" s="510"/>
      <c r="AH117" s="510"/>
      <c r="AI117" s="510"/>
      <c r="AJ117" s="510"/>
      <c r="AK117" s="510"/>
      <c r="AL117" s="510"/>
      <c r="AM117" s="510"/>
      <c r="AN117" s="510"/>
    </row>
    <row r="118" spans="1:40" ht="15.75" customHeight="1">
      <c r="A118" s="523" t="s">
        <v>302</v>
      </c>
      <c r="B118" s="510" t="s">
        <v>73</v>
      </c>
      <c r="C118" s="531" t="s">
        <v>37</v>
      </c>
      <c r="D118" s="584"/>
      <c r="E118" s="573">
        <f t="shared" si="34"/>
        <v>207.66568659624119</v>
      </c>
      <c r="F118" s="532">
        <f>+INDEX('[5]Budget original'!$A$2:$AO$501,MATCH($A118,'[5]Budget original'!$A$2:$A$501,0),MATCH(F$2,'[5]Budget original'!$A$2:$AO$2,0))</f>
        <v>7819.6514287814616</v>
      </c>
      <c r="G118" s="585"/>
      <c r="H118" s="573"/>
      <c r="I118" s="532"/>
      <c r="J118" s="531"/>
      <c r="K118" s="573">
        <f>IF($J$97=0,0,L118/(J$94+J$95+J96))</f>
        <v>74.765116279069773</v>
      </c>
      <c r="L118" s="534">
        <f>SUMIFS([5]BV_Data_An_Cour!$O:$O,[5]BV_Data_An_Cour!$U:$U,$B118,[5]BV_Data_An_Cour!$V:$V,$C118,[5]BV_Data_An_Cour!$W:$W,$L$2)</f>
        <v>3214.9</v>
      </c>
      <c r="M118" s="531"/>
      <c r="N118" s="557">
        <f t="shared" si="35"/>
        <v>-4604.7514287814611</v>
      </c>
      <c r="O118" s="531"/>
      <c r="P118" s="573">
        <f t="shared" si="36"/>
        <v>0</v>
      </c>
      <c r="Q118" s="534">
        <f t="array" ref="Q118">+INDEX('[5]Réel 2023'!$A$2:$AO$501,MATCH($A118,'[5]Réel 2023'!$A$2:$A$501,0),MATCH(Q$2,'[5]Réel 2023'!$A$2:$AO$2,0))</f>
        <v>0</v>
      </c>
      <c r="R118" s="531"/>
      <c r="S118" s="557">
        <f t="shared" si="37"/>
        <v>3214.9</v>
      </c>
      <c r="T118" s="510"/>
      <c r="U118" s="510"/>
      <c r="V118" s="510"/>
      <c r="W118" s="532"/>
      <c r="X118" s="510"/>
      <c r="Y118" s="510"/>
      <c r="Z118" s="510"/>
      <c r="AA118" s="510"/>
      <c r="AB118" s="510"/>
      <c r="AC118" s="510"/>
      <c r="AD118" s="510"/>
      <c r="AE118" s="510"/>
      <c r="AF118" s="510"/>
      <c r="AG118" s="510"/>
      <c r="AH118" s="510"/>
      <c r="AI118" s="510"/>
      <c r="AJ118" s="510"/>
      <c r="AK118" s="510"/>
      <c r="AL118" s="510"/>
      <c r="AM118" s="510"/>
      <c r="AN118" s="510"/>
    </row>
    <row r="119" spans="1:40" ht="15.75" hidden="1" customHeight="1">
      <c r="A119" s="523" t="s">
        <v>303</v>
      </c>
      <c r="B119" s="510" t="s">
        <v>73</v>
      </c>
      <c r="C119" s="531" t="s">
        <v>20</v>
      </c>
      <c r="D119" s="584"/>
      <c r="E119" s="573">
        <f t="shared" si="34"/>
        <v>0</v>
      </c>
      <c r="F119" s="532">
        <f>+INDEX('[5]Budget original'!$A$2:$AO$501,MATCH($A119,'[5]Budget original'!$A$2:$A$501,0),MATCH(F$2,'[5]Budget original'!$A$2:$AO$2,0))</f>
        <v>0</v>
      </c>
      <c r="G119" s="585"/>
      <c r="H119" s="573"/>
      <c r="I119" s="532"/>
      <c r="J119" s="531"/>
      <c r="K119" s="573">
        <f t="shared" ref="K119:K121" si="38">IF($J$97=0,0,L119/(J$94+J$95))</f>
        <v>0</v>
      </c>
      <c r="L119" s="534">
        <f>SUMIFS([5]BV_Data_An_Cour!$O:$O,[5]BV_Data_An_Cour!$U:$U,$B119,[5]BV_Data_An_Cour!$V:$V,$C119,[5]BV_Data_An_Cour!$W:$W,$L$2)</f>
        <v>0</v>
      </c>
      <c r="M119" s="531"/>
      <c r="N119" s="557">
        <f t="shared" si="35"/>
        <v>0</v>
      </c>
      <c r="O119" s="531"/>
      <c r="P119" s="573">
        <f t="shared" si="36"/>
        <v>0</v>
      </c>
      <c r="Q119" s="534">
        <f t="array" ref="Q119">+INDEX('[5]Réel 2023'!$A$2:$AO$501,MATCH($A119,'[5]Réel 2023'!$A$2:$A$501,0),MATCH(Q$2,'[5]Réel 2023'!$A$2:$AO$2,0))</f>
        <v>0</v>
      </c>
      <c r="R119" s="531"/>
      <c r="S119" s="557">
        <f t="shared" si="37"/>
        <v>0</v>
      </c>
      <c r="T119" s="510"/>
      <c r="U119" s="510"/>
      <c r="V119" s="510"/>
      <c r="W119" s="510"/>
      <c r="X119" s="510"/>
      <c r="Y119" s="510"/>
      <c r="Z119" s="510"/>
      <c r="AA119" s="510"/>
      <c r="AB119" s="510"/>
      <c r="AC119" s="510"/>
      <c r="AD119" s="510"/>
      <c r="AE119" s="510"/>
      <c r="AF119" s="510"/>
      <c r="AG119" s="510"/>
      <c r="AH119" s="510"/>
      <c r="AI119" s="510"/>
      <c r="AJ119" s="510"/>
      <c r="AK119" s="510"/>
      <c r="AL119" s="510"/>
      <c r="AM119" s="510"/>
      <c r="AN119" s="510"/>
    </row>
    <row r="120" spans="1:40" ht="15.75" hidden="1" customHeight="1">
      <c r="A120" s="523" t="s">
        <v>303</v>
      </c>
      <c r="B120" s="510" t="s">
        <v>73</v>
      </c>
      <c r="C120" s="531" t="s">
        <v>20</v>
      </c>
      <c r="D120" s="584"/>
      <c r="E120" s="573">
        <f t="shared" si="34"/>
        <v>0</v>
      </c>
      <c r="F120" s="532">
        <f>+INDEX('[5]Budget original'!$A$2:$AO$501,MATCH($A120,'[5]Budget original'!$A$2:$A$501,0),MATCH(F$2,'[5]Budget original'!$A$2:$AO$2,0))</f>
        <v>0</v>
      </c>
      <c r="G120" s="585"/>
      <c r="H120" s="573"/>
      <c r="I120" s="532"/>
      <c r="J120" s="531"/>
      <c r="K120" s="573">
        <f t="shared" si="38"/>
        <v>0</v>
      </c>
      <c r="L120" s="534">
        <f>SUMIFS([5]BV_Data_An_Cour!$O:$O,[5]BV_Data_An_Cour!$U:$U,$B120,[5]BV_Data_An_Cour!$V:$V,$C120,[5]BV_Data_An_Cour!$W:$W,$L$2)</f>
        <v>0</v>
      </c>
      <c r="M120" s="531"/>
      <c r="N120" s="557">
        <f t="shared" si="35"/>
        <v>0</v>
      </c>
      <c r="O120" s="531"/>
      <c r="P120" s="573">
        <f t="shared" si="36"/>
        <v>0</v>
      </c>
      <c r="Q120" s="534">
        <f t="array" ref="Q120">+INDEX('[5]Réel 2023'!$A$2:$AO$501,MATCH($A120,'[5]Réel 2023'!$A$2:$A$501,0),MATCH(Q$2,'[5]Réel 2023'!$A$2:$AO$2,0))</f>
        <v>0</v>
      </c>
      <c r="R120" s="531"/>
      <c r="S120" s="557">
        <f t="shared" si="37"/>
        <v>0</v>
      </c>
      <c r="T120" s="510"/>
      <c r="U120" s="510"/>
      <c r="V120" s="510"/>
      <c r="W120" s="510"/>
      <c r="X120" s="510"/>
      <c r="Y120" s="510"/>
      <c r="Z120" s="510"/>
      <c r="AA120" s="510"/>
      <c r="AB120" s="510"/>
      <c r="AC120" s="510"/>
      <c r="AD120" s="510"/>
      <c r="AE120" s="510"/>
      <c r="AF120" s="510"/>
      <c r="AG120" s="510"/>
      <c r="AH120" s="510"/>
      <c r="AI120" s="510"/>
      <c r="AJ120" s="510"/>
      <c r="AK120" s="510"/>
      <c r="AL120" s="510"/>
      <c r="AM120" s="510"/>
      <c r="AN120" s="510"/>
    </row>
    <row r="121" spans="1:40" ht="15.75" hidden="1" customHeight="1">
      <c r="A121" s="523" t="s">
        <v>303</v>
      </c>
      <c r="B121" s="510" t="s">
        <v>73</v>
      </c>
      <c r="C121" s="531" t="s">
        <v>20</v>
      </c>
      <c r="D121" s="584"/>
      <c r="E121" s="573">
        <f t="shared" si="34"/>
        <v>0</v>
      </c>
      <c r="F121" s="532">
        <f>+INDEX('[5]Budget original'!$A$2:$AO$501,MATCH($A121,'[5]Budget original'!$A$2:$A$501,0),MATCH(F$2,'[5]Budget original'!$A$2:$AO$2,0))</f>
        <v>0</v>
      </c>
      <c r="G121" s="585"/>
      <c r="H121" s="573"/>
      <c r="I121" s="532"/>
      <c r="J121" s="531"/>
      <c r="K121" s="573">
        <f t="shared" si="38"/>
        <v>0</v>
      </c>
      <c r="L121" s="534">
        <f>SUMIFS([5]BV_Data_An_Cour!$O:$O,[5]BV_Data_An_Cour!$U:$U,$B121,[5]BV_Data_An_Cour!$V:$V,$C121,[5]BV_Data_An_Cour!$W:$W,$L$2)</f>
        <v>0</v>
      </c>
      <c r="M121" s="531"/>
      <c r="N121" s="557">
        <f t="shared" si="35"/>
        <v>0</v>
      </c>
      <c r="O121" s="531"/>
      <c r="P121" s="573">
        <f t="shared" si="36"/>
        <v>0</v>
      </c>
      <c r="Q121" s="534">
        <f t="array" ref="Q121">+INDEX('[5]Réel 2023'!$A$2:$AO$501,MATCH($A121,'[5]Réel 2023'!$A$2:$A$501,0),MATCH(Q$2,'[5]Réel 2023'!$A$2:$AO$2,0))</f>
        <v>0</v>
      </c>
      <c r="R121" s="531"/>
      <c r="S121" s="557">
        <f t="shared" si="37"/>
        <v>0</v>
      </c>
      <c r="T121" s="510"/>
      <c r="U121" s="510"/>
      <c r="V121" s="510"/>
      <c r="W121" s="510"/>
      <c r="X121" s="510"/>
      <c r="Y121" s="510"/>
      <c r="Z121" s="510"/>
      <c r="AA121" s="510"/>
      <c r="AB121" s="510"/>
      <c r="AC121" s="510"/>
      <c r="AD121" s="510"/>
      <c r="AE121" s="510"/>
      <c r="AF121" s="510"/>
      <c r="AG121" s="510"/>
      <c r="AH121" s="510"/>
      <c r="AI121" s="510"/>
      <c r="AJ121" s="510"/>
      <c r="AK121" s="510"/>
      <c r="AL121" s="510"/>
      <c r="AM121" s="510"/>
      <c r="AN121" s="510"/>
    </row>
    <row r="122" spans="1:40" ht="15.75" customHeight="1">
      <c r="A122" s="523" t="s">
        <v>304</v>
      </c>
      <c r="B122" s="510" t="s">
        <v>73</v>
      </c>
      <c r="C122" s="592" t="s">
        <v>38</v>
      </c>
      <c r="D122" s="593" t="s">
        <v>39</v>
      </c>
      <c r="E122" s="594">
        <f>F122/F$108</f>
        <v>0.44066100221867888</v>
      </c>
      <c r="F122" s="595">
        <f>SUM(F112:F121)</f>
        <v>73165.766428781455</v>
      </c>
      <c r="G122" s="596"/>
      <c r="H122" s="594"/>
      <c r="I122" s="595"/>
      <c r="J122" s="596" t="s">
        <v>39</v>
      </c>
      <c r="K122" s="594">
        <f>L122/L$108</f>
        <v>0.55785354084005667</v>
      </c>
      <c r="L122" s="595">
        <f>SUM(L112:L121)</f>
        <v>72996.959999999992</v>
      </c>
      <c r="M122" s="599"/>
      <c r="N122" s="595">
        <f t="shared" si="35"/>
        <v>-168.80642878146318</v>
      </c>
      <c r="O122" s="596" t="s">
        <v>39</v>
      </c>
      <c r="P122" s="594">
        <f>Q122/Q$108</f>
        <v>0.51473019011732812</v>
      </c>
      <c r="Q122" s="595">
        <f>SUM(Q112:Q121)</f>
        <v>67263.5</v>
      </c>
      <c r="R122" s="599"/>
      <c r="S122" s="595">
        <f t="shared" si="37"/>
        <v>5733.4599999999919</v>
      </c>
      <c r="T122" s="510"/>
      <c r="U122" s="510"/>
      <c r="X122" s="510"/>
      <c r="Y122" s="510"/>
      <c r="Z122" s="510"/>
      <c r="AA122" s="510"/>
      <c r="AB122" s="510"/>
      <c r="AC122" s="510"/>
      <c r="AD122" s="510"/>
      <c r="AE122" s="510"/>
      <c r="AF122" s="510"/>
      <c r="AG122" s="510"/>
      <c r="AH122" s="510"/>
      <c r="AI122" s="510"/>
      <c r="AJ122" s="510"/>
      <c r="AK122" s="510"/>
      <c r="AL122" s="510"/>
      <c r="AM122" s="510"/>
      <c r="AN122" s="510"/>
    </row>
    <row r="123" spans="1:40" ht="15.75" customHeight="1">
      <c r="A123" s="523" t="s">
        <v>305</v>
      </c>
      <c r="B123" s="510" t="s">
        <v>73</v>
      </c>
      <c r="C123" s="600" t="s">
        <v>41</v>
      </c>
      <c r="D123" s="510"/>
      <c r="E123" s="510"/>
      <c r="F123" s="532">
        <f>+INDEX('[5]Budget original'!$A$2:$AO$501,MATCH($A123,'[5]Budget original'!$A$2:$A$501,0),MATCH(F$2,'[5]Budget original'!$A$2:$AO$2,0))</f>
        <v>12590.7</v>
      </c>
      <c r="G123" s="531"/>
      <c r="H123" s="510"/>
      <c r="I123" s="532"/>
      <c r="J123" s="531"/>
      <c r="K123" s="510"/>
      <c r="L123" s="534">
        <f>SUMIFS([5]BV_Data_An_Cour!$O:$O,[5]BV_Data_An_Cour!$U:$U,$B123,[5]BV_Data_An_Cour!$V:$V,$C123,[5]BV_Data_An_Cour!$W:$W,$L$2)</f>
        <v>8898.24</v>
      </c>
      <c r="M123" s="531"/>
      <c r="N123" s="557">
        <f t="shared" si="35"/>
        <v>-3692.4600000000009</v>
      </c>
      <c r="O123" s="531"/>
      <c r="P123" s="510"/>
      <c r="Q123" s="534">
        <f t="array" ref="Q123">+INDEX('[5]Réel 2023'!$A$2:$AO$501,MATCH($A123,'[5]Réel 2023'!$A$2:$A$501,0),MATCH(Q$2,'[5]Réel 2023'!$A$2:$AO$2,0))</f>
        <v>9570.15</v>
      </c>
      <c r="R123" s="531"/>
      <c r="S123" s="557">
        <f t="shared" si="37"/>
        <v>-671.90999999999985</v>
      </c>
      <c r="T123" s="510"/>
      <c r="U123" s="510"/>
      <c r="V123" s="510"/>
      <c r="W123" s="510"/>
      <c r="X123" s="510"/>
      <c r="Y123" s="510"/>
      <c r="Z123" s="510"/>
      <c r="AA123" s="510"/>
      <c r="AB123" s="510"/>
      <c r="AC123" s="510"/>
      <c r="AD123" s="510"/>
      <c r="AE123" s="510"/>
      <c r="AF123" s="510"/>
      <c r="AG123" s="510"/>
      <c r="AH123" s="510"/>
      <c r="AI123" s="510"/>
      <c r="AJ123" s="510"/>
      <c r="AK123" s="510"/>
      <c r="AL123" s="510"/>
      <c r="AM123" s="510"/>
      <c r="AN123" s="510"/>
    </row>
    <row r="124" spans="1:40" ht="15.75" customHeight="1">
      <c r="A124" s="523" t="s">
        <v>306</v>
      </c>
      <c r="B124" s="510" t="s">
        <v>73</v>
      </c>
      <c r="C124" s="602" t="s">
        <v>42</v>
      </c>
      <c r="D124" s="584"/>
      <c r="E124" s="510"/>
      <c r="F124" s="526">
        <f>+INDEX('[5]Budget original'!$A$2:$AO$501,MATCH($A124,'[5]Budget original'!$A$2:$A$501,0),MATCH(F$2,'[5]Budget original'!$A$2:$AO$2,0))</f>
        <v>4255.0024615384618</v>
      </c>
      <c r="G124" s="585"/>
      <c r="H124" s="510"/>
      <c r="I124" s="526"/>
      <c r="J124" s="531"/>
      <c r="K124" s="510"/>
      <c r="L124" s="526">
        <f>SUMIFS([5]BV_Data_An_Cour!$O:$O,[5]BV_Data_An_Cour!$U:$U,$B124,[5]BV_Data_An_Cour!$V:$V,$C124,[5]BV_Data_An_Cour!$W:$W,$L$2)</f>
        <v>1857.41</v>
      </c>
      <c r="M124" s="531"/>
      <c r="N124" s="557">
        <f t="shared" si="35"/>
        <v>-2397.592461538462</v>
      </c>
      <c r="O124" s="531"/>
      <c r="P124" s="510"/>
      <c r="Q124" s="526">
        <f t="array" ref="Q124">+INDEX('[5]Réel 2023'!$A$2:$AO$501,MATCH($A124,'[5]Réel 2023'!$A$2:$A$501,0),MATCH(Q$2,'[5]Réel 2023'!$A$2:$AO$2,0))</f>
        <v>5660.15</v>
      </c>
      <c r="R124" s="531"/>
      <c r="S124" s="557">
        <f t="shared" si="37"/>
        <v>-3802.74</v>
      </c>
      <c r="T124" s="510"/>
      <c r="U124" s="510"/>
      <c r="V124" s="510"/>
      <c r="W124" s="510"/>
      <c r="X124" s="510"/>
      <c r="Y124" s="510"/>
      <c r="Z124" s="510"/>
      <c r="AA124" s="510"/>
      <c r="AB124" s="510"/>
      <c r="AC124" s="510"/>
      <c r="AD124" s="510"/>
      <c r="AE124" s="510"/>
      <c r="AF124" s="510"/>
      <c r="AG124" s="510"/>
      <c r="AH124" s="510"/>
      <c r="AI124" s="510"/>
      <c r="AJ124" s="510"/>
      <c r="AK124" s="510"/>
      <c r="AL124" s="510"/>
      <c r="AM124" s="510"/>
      <c r="AN124" s="510"/>
    </row>
    <row r="125" spans="1:40" ht="15.75" customHeight="1">
      <c r="A125" s="523" t="s">
        <v>307</v>
      </c>
      <c r="B125" s="510" t="s">
        <v>73</v>
      </c>
      <c r="C125" s="600" t="s">
        <v>43</v>
      </c>
      <c r="D125" s="603"/>
      <c r="E125" s="604"/>
      <c r="F125" s="532">
        <f>+INDEX('[5]Budget original'!$A$2:$AO$501,MATCH($A125,'[5]Budget original'!$A$2:$A$501,0),MATCH(F$2,'[5]Budget original'!$A$2:$AO$2,0))</f>
        <v>5693.6923076923076</v>
      </c>
      <c r="G125" s="605"/>
      <c r="H125" s="604"/>
      <c r="I125" s="532"/>
      <c r="J125" s="518"/>
      <c r="K125" s="604"/>
      <c r="L125" s="534">
        <f>SUMIFS([5]BV_Data_An_Cour!$O:$O,[5]BV_Data_An_Cour!$U:$U,$B125,[5]BV_Data_An_Cour!$V:$V,$C125,[5]BV_Data_An_Cour!$W:$W,$L$2)</f>
        <v>5694.09</v>
      </c>
      <c r="M125" s="518"/>
      <c r="N125" s="606">
        <f t="shared" si="35"/>
        <v>0.39769230769252317</v>
      </c>
      <c r="O125" s="518"/>
      <c r="P125" s="604"/>
      <c r="Q125" s="534">
        <f t="array" ref="Q125">+INDEX('[5]Réel 2023'!$A$2:$AO$501,MATCH($A125,'[5]Réel 2023'!$A$2:$A$501,0),MATCH(Q$2,'[5]Réel 2023'!$A$2:$AO$2,0))</f>
        <v>5342.79</v>
      </c>
      <c r="R125" s="518"/>
      <c r="S125" s="606">
        <f t="shared" si="37"/>
        <v>351.30000000000018</v>
      </c>
      <c r="T125" s="510"/>
      <c r="U125" s="510"/>
      <c r="V125" s="510"/>
      <c r="W125" s="510"/>
      <c r="X125" s="510"/>
      <c r="Y125" s="510"/>
      <c r="Z125" s="510"/>
      <c r="AA125" s="510"/>
      <c r="AB125" s="510"/>
      <c r="AC125" s="510"/>
      <c r="AD125" s="510"/>
      <c r="AE125" s="510"/>
      <c r="AF125" s="510"/>
      <c r="AG125" s="510"/>
      <c r="AH125" s="510"/>
      <c r="AI125" s="510"/>
      <c r="AJ125" s="510"/>
      <c r="AK125" s="510"/>
      <c r="AL125" s="510"/>
      <c r="AM125" s="510"/>
      <c r="AN125" s="510"/>
    </row>
    <row r="126" spans="1:40" ht="15.75" customHeight="1">
      <c r="A126" s="523" t="s">
        <v>308</v>
      </c>
      <c r="B126" s="510" t="s">
        <v>73</v>
      </c>
      <c r="C126" s="600" t="s">
        <v>44</v>
      </c>
      <c r="D126" s="584"/>
      <c r="E126" s="510"/>
      <c r="F126" s="532">
        <f>+INDEX('[5]Budget original'!$A$2:$AO$501,MATCH($A126,'[5]Budget original'!$A$2:$A$501,0),MATCH(F$2,'[5]Budget original'!$A$2:$AO$2,0))</f>
        <v>0</v>
      </c>
      <c r="G126" s="585"/>
      <c r="H126" s="510"/>
      <c r="I126" s="532"/>
      <c r="J126" s="531"/>
      <c r="K126" s="510"/>
      <c r="L126" s="534">
        <f>SUMIFS([5]BV_Data_An_Cour!$O:$O,[5]BV_Data_An_Cour!$U:$U,$B126,[5]BV_Data_An_Cour!$V:$V,$C126,[5]BV_Data_An_Cour!$W:$W,$L$2)</f>
        <v>0</v>
      </c>
      <c r="M126" s="531"/>
      <c r="N126" s="557">
        <f t="shared" si="35"/>
        <v>0</v>
      </c>
      <c r="O126" s="531"/>
      <c r="P126" s="510"/>
      <c r="Q126" s="534">
        <f t="array" ref="Q126">+INDEX('[5]Réel 2023'!$A$2:$AO$501,MATCH($A126,'[5]Réel 2023'!$A$2:$A$501,0),MATCH(Q$2,'[5]Réel 2023'!$A$2:$AO$2,0))</f>
        <v>0</v>
      </c>
      <c r="R126" s="531"/>
      <c r="S126" s="557">
        <f t="shared" si="37"/>
        <v>0</v>
      </c>
      <c r="T126" s="510"/>
      <c r="U126" s="510"/>
      <c r="V126" s="510"/>
      <c r="W126" s="510"/>
      <c r="X126" s="510"/>
      <c r="Y126" s="510"/>
      <c r="Z126" s="510"/>
      <c r="AA126" s="510"/>
      <c r="AB126" s="510"/>
      <c r="AC126" s="510"/>
      <c r="AD126" s="510"/>
      <c r="AE126" s="510"/>
      <c r="AF126" s="510"/>
      <c r="AG126" s="510"/>
      <c r="AH126" s="510"/>
      <c r="AI126" s="510"/>
      <c r="AJ126" s="510"/>
      <c r="AK126" s="510"/>
      <c r="AL126" s="510"/>
      <c r="AM126" s="510"/>
      <c r="AN126" s="510"/>
    </row>
    <row r="127" spans="1:40" ht="15.75" hidden="1" customHeight="1">
      <c r="A127" s="523" t="s">
        <v>303</v>
      </c>
      <c r="B127" s="510" t="s">
        <v>73</v>
      </c>
      <c r="C127" s="600" t="s">
        <v>20</v>
      </c>
      <c r="D127" s="584"/>
      <c r="E127" s="510"/>
      <c r="F127" s="532">
        <f>+INDEX('[5]Budget original'!$A$2:$AO$501,MATCH($A127,'[5]Budget original'!$A$2:$A$501,0),MATCH(F$2,'[5]Budget original'!$A$2:$AO$2,0))</f>
        <v>0</v>
      </c>
      <c r="G127" s="585"/>
      <c r="H127" s="510"/>
      <c r="I127" s="532"/>
      <c r="J127" s="531"/>
      <c r="K127" s="510"/>
      <c r="L127" s="534">
        <f>SUMIFS([5]BV_Data_An_Cour!$O:$O,[5]BV_Data_An_Cour!$U:$U,$B127,[5]BV_Data_An_Cour!$V:$V,$C127,[5]BV_Data_An_Cour!$W:$W,$L$2)</f>
        <v>0</v>
      </c>
      <c r="M127" s="531"/>
      <c r="N127" s="557">
        <f t="shared" si="35"/>
        <v>0</v>
      </c>
      <c r="O127" s="531"/>
      <c r="P127" s="510"/>
      <c r="Q127" s="534">
        <f t="array" ref="Q127">+INDEX('[5]Réel 2023'!$A$2:$AO$501,MATCH($A127,'[5]Réel 2023'!$A$2:$A$501,0),MATCH(Q$2,'[5]Réel 2023'!$A$2:$AO$2,0))</f>
        <v>0</v>
      </c>
      <c r="R127" s="531"/>
      <c r="S127" s="557">
        <f t="shared" si="37"/>
        <v>0</v>
      </c>
      <c r="T127" s="510"/>
      <c r="U127" s="510"/>
      <c r="V127" s="510"/>
      <c r="W127" s="510"/>
      <c r="X127" s="510"/>
      <c r="Y127" s="510"/>
      <c r="Z127" s="510"/>
      <c r="AA127" s="510"/>
      <c r="AB127" s="510"/>
      <c r="AC127" s="510"/>
      <c r="AD127" s="510"/>
      <c r="AE127" s="510"/>
      <c r="AF127" s="510"/>
      <c r="AG127" s="510"/>
      <c r="AH127" s="510"/>
      <c r="AI127" s="510"/>
      <c r="AJ127" s="510"/>
      <c r="AK127" s="510"/>
      <c r="AL127" s="510"/>
      <c r="AM127" s="510"/>
      <c r="AN127" s="510"/>
    </row>
    <row r="128" spans="1:40" ht="15.75" hidden="1" customHeight="1">
      <c r="A128" s="523" t="s">
        <v>303</v>
      </c>
      <c r="B128" s="510" t="s">
        <v>73</v>
      </c>
      <c r="C128" s="600" t="s">
        <v>20</v>
      </c>
      <c r="D128" s="584"/>
      <c r="E128" s="510"/>
      <c r="F128" s="532">
        <f>+INDEX('[5]Budget original'!$A$2:$AO$501,MATCH($A128,'[5]Budget original'!$A$2:$A$501,0),MATCH(F$2,'[5]Budget original'!$A$2:$AO$2,0))</f>
        <v>0</v>
      </c>
      <c r="G128" s="585"/>
      <c r="H128" s="510"/>
      <c r="I128" s="532"/>
      <c r="J128" s="531"/>
      <c r="K128" s="510"/>
      <c r="L128" s="534">
        <f>SUMIFS([5]BV_Data_An_Cour!$O:$O,[5]BV_Data_An_Cour!$U:$U,$B128,[5]BV_Data_An_Cour!$V:$V,$C128,[5]BV_Data_An_Cour!$W:$W,$L$2)</f>
        <v>0</v>
      </c>
      <c r="M128" s="531"/>
      <c r="N128" s="557">
        <f t="shared" si="35"/>
        <v>0</v>
      </c>
      <c r="O128" s="531"/>
      <c r="P128" s="510"/>
      <c r="Q128" s="534">
        <f t="array" ref="Q128">+INDEX('[5]Réel 2023'!$A$2:$AO$501,MATCH($A128,'[5]Réel 2023'!$A$2:$A$501,0),MATCH(Q$2,'[5]Réel 2023'!$A$2:$AO$2,0))</f>
        <v>0</v>
      </c>
      <c r="R128" s="531"/>
      <c r="S128" s="557">
        <f t="shared" si="37"/>
        <v>0</v>
      </c>
      <c r="T128" s="510"/>
      <c r="U128" s="510"/>
      <c r="V128" s="510"/>
      <c r="W128" s="510"/>
      <c r="X128" s="510"/>
      <c r="Y128" s="510"/>
      <c r="Z128" s="510"/>
      <c r="AA128" s="510"/>
      <c r="AB128" s="510"/>
      <c r="AC128" s="510"/>
      <c r="AD128" s="510"/>
      <c r="AE128" s="510"/>
      <c r="AF128" s="510"/>
      <c r="AG128" s="510"/>
      <c r="AH128" s="510"/>
      <c r="AI128" s="510"/>
      <c r="AJ128" s="510"/>
      <c r="AK128" s="510"/>
      <c r="AL128" s="510"/>
      <c r="AM128" s="510"/>
      <c r="AN128" s="510"/>
    </row>
    <row r="129" spans="1:40" ht="15.75" hidden="1" customHeight="1">
      <c r="A129" s="523" t="s">
        <v>303</v>
      </c>
      <c r="B129" s="510" t="s">
        <v>73</v>
      </c>
      <c r="C129" s="600" t="s">
        <v>20</v>
      </c>
      <c r="D129" s="584"/>
      <c r="E129" s="510"/>
      <c r="F129" s="532">
        <f>+INDEX('[5]Budget original'!$A$2:$AO$501,MATCH($A129,'[5]Budget original'!$A$2:$A$501,0),MATCH(F$2,'[5]Budget original'!$A$2:$AO$2,0))</f>
        <v>0</v>
      </c>
      <c r="G129" s="585"/>
      <c r="H129" s="510"/>
      <c r="I129" s="532"/>
      <c r="J129" s="531"/>
      <c r="K129" s="510"/>
      <c r="L129" s="534">
        <f>SUMIFS([5]BV_Data_An_Cour!$O:$O,[5]BV_Data_An_Cour!$U:$U,$B129,[5]BV_Data_An_Cour!$V:$V,$C129,[5]BV_Data_An_Cour!$W:$W,$L$2)</f>
        <v>0</v>
      </c>
      <c r="M129" s="531"/>
      <c r="N129" s="557">
        <f t="shared" si="35"/>
        <v>0</v>
      </c>
      <c r="O129" s="531"/>
      <c r="P129" s="510"/>
      <c r="Q129" s="534">
        <f t="array" ref="Q129">+INDEX('[5]Réel 2023'!$A$2:$AO$501,MATCH($A129,'[5]Réel 2023'!$A$2:$A$501,0),MATCH(Q$2,'[5]Réel 2023'!$A$2:$AO$2,0))</f>
        <v>0</v>
      </c>
      <c r="R129" s="531"/>
      <c r="S129" s="557">
        <f t="shared" si="37"/>
        <v>0</v>
      </c>
      <c r="T129" s="510"/>
      <c r="U129" s="510"/>
      <c r="V129" s="510"/>
      <c r="W129" s="510"/>
      <c r="X129" s="510"/>
      <c r="Y129" s="510"/>
      <c r="Z129" s="510"/>
      <c r="AA129" s="510"/>
      <c r="AB129" s="510"/>
      <c r="AC129" s="510"/>
      <c r="AD129" s="510"/>
      <c r="AE129" s="510"/>
      <c r="AF129" s="510"/>
      <c r="AG129" s="510"/>
      <c r="AH129" s="510"/>
      <c r="AI129" s="510"/>
      <c r="AJ129" s="510"/>
      <c r="AK129" s="510"/>
      <c r="AL129" s="510"/>
      <c r="AM129" s="510"/>
      <c r="AN129" s="510"/>
    </row>
    <row r="130" spans="1:40" ht="15.75" customHeight="1">
      <c r="A130" s="523" t="s">
        <v>309</v>
      </c>
      <c r="B130" s="510" t="s">
        <v>73</v>
      </c>
      <c r="C130" s="602" t="s">
        <v>45</v>
      </c>
      <c r="D130" s="584"/>
      <c r="E130" s="510"/>
      <c r="F130" s="532">
        <f>+INDEX('[5]Budget original'!$A$2:$AO$501,MATCH($A130,'[5]Budget original'!$A$2:$A$501,0),MATCH(F$2,'[5]Budget original'!$A$2:$AO$2,0))</f>
        <v>8324.9330896410265</v>
      </c>
      <c r="G130" s="585"/>
      <c r="H130" s="510"/>
      <c r="I130" s="532"/>
      <c r="J130" s="531"/>
      <c r="K130" s="510"/>
      <c r="L130" s="534">
        <f>SUMIFS([5]BV_Data_An_Cour!$O:$O,[5]BV_Data_An_Cour!$U:$U,$B130,[5]BV_Data_An_Cour!$V:$V,$C130,[5]BV_Data_An_Cour!$W:$W,$L$2)</f>
        <v>6393.9</v>
      </c>
      <c r="M130" s="531"/>
      <c r="N130" s="557">
        <f t="shared" si="35"/>
        <v>-1931.0330896410269</v>
      </c>
      <c r="O130" s="531"/>
      <c r="P130" s="510"/>
      <c r="Q130" s="534">
        <f t="array" ref="Q130">+INDEX('[5]Réel 2023'!$A$2:$AO$501,MATCH($A130,'[5]Réel 2023'!$A$2:$A$501,0),MATCH(Q$2,'[5]Réel 2023'!$A$2:$AO$2,0))</f>
        <v>4412.51</v>
      </c>
      <c r="R130" s="531"/>
      <c r="S130" s="557">
        <f t="shared" si="37"/>
        <v>1981.3899999999994</v>
      </c>
      <c r="T130" s="510"/>
      <c r="U130" s="510"/>
      <c r="V130" s="510"/>
      <c r="W130" s="510"/>
      <c r="X130" s="510"/>
      <c r="Y130" s="510"/>
      <c r="Z130" s="510"/>
      <c r="AA130" s="510"/>
      <c r="AB130" s="510"/>
      <c r="AC130" s="510"/>
      <c r="AD130" s="510"/>
      <c r="AE130" s="510"/>
      <c r="AF130" s="510"/>
      <c r="AG130" s="510"/>
      <c r="AH130" s="510"/>
      <c r="AI130" s="510"/>
      <c r="AJ130" s="510"/>
      <c r="AK130" s="510"/>
      <c r="AL130" s="510"/>
      <c r="AM130" s="510"/>
      <c r="AN130" s="510"/>
    </row>
    <row r="131" spans="1:40" ht="15.75" customHeight="1">
      <c r="A131" s="523" t="s">
        <v>310</v>
      </c>
      <c r="B131" s="510" t="s">
        <v>73</v>
      </c>
      <c r="C131" s="600" t="s">
        <v>46</v>
      </c>
      <c r="D131" s="603"/>
      <c r="E131" s="604"/>
      <c r="F131" s="552">
        <f>+INDEX('[5]Budget original'!$A$2:$AO$501,MATCH($A131,'[5]Budget original'!$A$2:$A$501,0),MATCH(F$2,'[5]Budget original'!$A$2:$AO$2,0))</f>
        <v>10121.945078153849</v>
      </c>
      <c r="G131" s="605"/>
      <c r="H131" s="604"/>
      <c r="I131" s="552"/>
      <c r="J131" s="518"/>
      <c r="K131" s="604"/>
      <c r="L131" s="553">
        <f>SUMIFS([5]BV_Data_An_Cour!$O:$O,[5]BV_Data_An_Cour!$U:$U,$B131,[5]BV_Data_An_Cour!$V:$V,$C131,[5]BV_Data_An_Cour!$W:$W,$L$2)</f>
        <v>9019.32</v>
      </c>
      <c r="M131" s="518"/>
      <c r="N131" s="606">
        <f t="shared" si="35"/>
        <v>-1102.6250781538492</v>
      </c>
      <c r="O131" s="518"/>
      <c r="P131" s="604"/>
      <c r="Q131" s="553">
        <f t="array" ref="Q131">+INDEX('[5]Réel 2023'!$A$2:$AO$501,MATCH($A131,'[5]Réel 2023'!$A$2:$A$501,0),MATCH(Q$2,'[5]Réel 2023'!$A$2:$AO$2,0))</f>
        <v>6323.94</v>
      </c>
      <c r="R131" s="518"/>
      <c r="S131" s="606">
        <f t="shared" si="37"/>
        <v>2695.38</v>
      </c>
      <c r="T131" s="510"/>
      <c r="U131" s="510"/>
      <c r="V131" s="510"/>
      <c r="W131" s="510"/>
      <c r="X131" s="510"/>
      <c r="Y131" s="510"/>
      <c r="Z131" s="510"/>
      <c r="AA131" s="510"/>
      <c r="AB131" s="510"/>
      <c r="AC131" s="510"/>
      <c r="AD131" s="510"/>
      <c r="AE131" s="510"/>
      <c r="AF131" s="510"/>
      <c r="AG131" s="510"/>
      <c r="AH131" s="510"/>
      <c r="AI131" s="510"/>
      <c r="AJ131" s="510"/>
      <c r="AK131" s="510"/>
      <c r="AL131" s="510"/>
      <c r="AM131" s="510"/>
      <c r="AN131" s="510"/>
    </row>
    <row r="132" spans="1:40" ht="15.75" customHeight="1">
      <c r="A132" s="523" t="s">
        <v>311</v>
      </c>
      <c r="B132" s="510" t="s">
        <v>73</v>
      </c>
      <c r="C132" s="600" t="s">
        <v>47</v>
      </c>
      <c r="D132" s="584"/>
      <c r="E132" s="510"/>
      <c r="F132" s="532">
        <f>+INDEX('[5]Budget original'!$A$2:$AO$501,MATCH($A132,'[5]Budget original'!$A$2:$A$501,0),MATCH(F$2,'[5]Budget original'!$A$2:$AO$2,0))</f>
        <v>5215.0021380923081</v>
      </c>
      <c r="G132" s="585"/>
      <c r="H132" s="510"/>
      <c r="I132" s="532"/>
      <c r="J132" s="531"/>
      <c r="K132" s="510"/>
      <c r="L132" s="534">
        <f>SUMIFS([5]BV_Data_An_Cour!$O:$O,[5]BV_Data_An_Cour!$U:$U,$B132,[5]BV_Data_An_Cour!$V:$V,$C132,[5]BV_Data_An_Cour!$W:$W,$L$2)</f>
        <v>4744.38</v>
      </c>
      <c r="M132" s="531"/>
      <c r="N132" s="557">
        <f t="shared" si="35"/>
        <v>-470.62213809230798</v>
      </c>
      <c r="O132" s="531"/>
      <c r="P132" s="510"/>
      <c r="Q132" s="534">
        <f t="array" ref="Q132">+INDEX('[5]Réel 2023'!$A$2:$AO$501,MATCH($A132,'[5]Réel 2023'!$A$2:$A$501,0),MATCH(Q$2,'[5]Réel 2023'!$A$2:$AO$2,0))</f>
        <v>2622.87</v>
      </c>
      <c r="R132" s="531"/>
      <c r="S132" s="557">
        <f t="shared" si="37"/>
        <v>2121.5100000000002</v>
      </c>
      <c r="T132" s="510"/>
      <c r="U132" s="510"/>
      <c r="V132" s="510"/>
      <c r="W132" s="510"/>
      <c r="X132" s="510"/>
      <c r="Y132" s="510"/>
      <c r="Z132" s="510"/>
      <c r="AA132" s="510"/>
      <c r="AB132" s="510"/>
      <c r="AC132" s="510"/>
      <c r="AD132" s="510"/>
      <c r="AE132" s="510"/>
      <c r="AF132" s="510"/>
      <c r="AG132" s="510"/>
      <c r="AH132" s="510"/>
      <c r="AI132" s="510"/>
      <c r="AJ132" s="510"/>
      <c r="AK132" s="510"/>
      <c r="AL132" s="510"/>
      <c r="AM132" s="510"/>
      <c r="AN132" s="510"/>
    </row>
    <row r="133" spans="1:40" ht="15.75" customHeight="1">
      <c r="A133" s="523" t="s">
        <v>312</v>
      </c>
      <c r="B133" s="510" t="s">
        <v>73</v>
      </c>
      <c r="C133" s="600" t="s">
        <v>48</v>
      </c>
      <c r="D133" s="584"/>
      <c r="E133" s="510"/>
      <c r="F133" s="532">
        <f>+INDEX('[5]Budget original'!$A$2:$AO$501,MATCH($A133,'[5]Budget original'!$A$2:$A$501,0),MATCH(F$2,'[5]Budget original'!$A$2:$AO$2,0))</f>
        <v>2273.7702711794873</v>
      </c>
      <c r="G133" s="585"/>
      <c r="H133" s="510"/>
      <c r="I133" s="532"/>
      <c r="J133" s="531"/>
      <c r="K133" s="510"/>
      <c r="L133" s="534">
        <f>SUMIFS([5]BV_Data_An_Cour!$O:$O,[5]BV_Data_An_Cour!$U:$U,$B133,[5]BV_Data_An_Cour!$V:$V,$C133,[5]BV_Data_An_Cour!$W:$W,$L$2)</f>
        <v>590.89</v>
      </c>
      <c r="M133" s="531"/>
      <c r="N133" s="557">
        <f t="shared" si="35"/>
        <v>-1682.8802711794874</v>
      </c>
      <c r="O133" s="531"/>
      <c r="P133" s="510"/>
      <c r="Q133" s="534">
        <f t="array" ref="Q133">+INDEX('[5]Réel 2023'!$A$2:$AO$501,MATCH($A133,'[5]Réel 2023'!$A$2:$A$501,0),MATCH(Q$2,'[5]Réel 2023'!$A$2:$AO$2,0))</f>
        <v>1281.49</v>
      </c>
      <c r="R133" s="531"/>
      <c r="S133" s="557">
        <f t="shared" si="37"/>
        <v>-690.6</v>
      </c>
      <c r="T133" s="510"/>
      <c r="U133" s="510"/>
      <c r="V133" s="510"/>
      <c r="W133" s="510"/>
      <c r="X133" s="510"/>
      <c r="Y133" s="510"/>
      <c r="Z133" s="510"/>
      <c r="AA133" s="510"/>
      <c r="AB133" s="510"/>
      <c r="AC133" s="510"/>
      <c r="AD133" s="510"/>
      <c r="AE133" s="510"/>
      <c r="AF133" s="510"/>
      <c r="AG133" s="510"/>
      <c r="AH133" s="510"/>
      <c r="AI133" s="510"/>
      <c r="AJ133" s="510"/>
      <c r="AK133" s="510"/>
      <c r="AL133" s="510"/>
      <c r="AM133" s="510"/>
      <c r="AN133" s="510"/>
    </row>
    <row r="134" spans="1:40" ht="15.75" hidden="1" customHeight="1">
      <c r="A134" s="523" t="s">
        <v>303</v>
      </c>
      <c r="B134" s="510" t="s">
        <v>73</v>
      </c>
      <c r="C134" s="531" t="s">
        <v>20</v>
      </c>
      <c r="D134" s="587"/>
      <c r="E134" s="607"/>
      <c r="F134" s="532">
        <f>+INDEX('[5]Budget original'!$A$2:$AO$501,MATCH($A134,'[5]Budget original'!$A$2:$A$501,0),MATCH(F$2,'[5]Budget original'!$A$2:$AO$2,0))</f>
        <v>0</v>
      </c>
      <c r="G134" s="588"/>
      <c r="H134" s="607"/>
      <c r="I134" s="532"/>
      <c r="J134" s="524"/>
      <c r="K134" s="607"/>
      <c r="L134" s="534">
        <f>SUMIFS([5]BV_Data_An_Cour!$O:$O,[5]BV_Data_An_Cour!$U:$U,$B134,[5]BV_Data_An_Cour!$V:$V,$C134,[5]BV_Data_An_Cour!$W:$W,$L$2)</f>
        <v>0</v>
      </c>
      <c r="M134" s="524"/>
      <c r="N134" s="582">
        <f t="shared" si="35"/>
        <v>0</v>
      </c>
      <c r="O134" s="524"/>
      <c r="P134" s="607"/>
      <c r="Q134" s="534">
        <f t="array" ref="Q134">+INDEX('[5]Réel 2023'!$A$2:$AO$501,MATCH($A134,'[5]Réel 2023'!$A$2:$A$501,0),MATCH(Q$2,'[5]Réel 2023'!$A$2:$AO$2,0))</f>
        <v>0</v>
      </c>
      <c r="R134" s="524"/>
      <c r="S134" s="582">
        <f t="shared" si="37"/>
        <v>0</v>
      </c>
      <c r="T134" s="510"/>
      <c r="U134" s="510"/>
      <c r="V134" s="510"/>
      <c r="W134" s="510"/>
      <c r="X134" s="510"/>
      <c r="Y134" s="510"/>
      <c r="Z134" s="510"/>
      <c r="AA134" s="510"/>
      <c r="AB134" s="510"/>
      <c r="AC134" s="510"/>
      <c r="AD134" s="510"/>
      <c r="AE134" s="510"/>
      <c r="AF134" s="510"/>
      <c r="AG134" s="510"/>
      <c r="AH134" s="510"/>
      <c r="AI134" s="510"/>
      <c r="AJ134" s="510"/>
      <c r="AK134" s="510"/>
      <c r="AL134" s="510"/>
      <c r="AM134" s="510"/>
      <c r="AN134" s="510"/>
    </row>
    <row r="135" spans="1:40" ht="15.75" customHeight="1">
      <c r="A135" s="523" t="s">
        <v>313</v>
      </c>
      <c r="B135" s="510" t="s">
        <v>73</v>
      </c>
      <c r="C135" s="592" t="s">
        <v>49</v>
      </c>
      <c r="D135" s="593" t="s">
        <v>39</v>
      </c>
      <c r="E135" s="594">
        <f>F135/F$108</f>
        <v>0.29195432655910047</v>
      </c>
      <c r="F135" s="595">
        <f>+SUM(F123:F134)</f>
        <v>48475.045346297433</v>
      </c>
      <c r="G135" s="596"/>
      <c r="H135" s="594"/>
      <c r="I135" s="595"/>
      <c r="J135" s="596" t="s">
        <v>39</v>
      </c>
      <c r="K135" s="594">
        <f>L135/L$108</f>
        <v>0.28427436318557409</v>
      </c>
      <c r="L135" s="595">
        <f>SUM(L123:L134)</f>
        <v>37198.229999999996</v>
      </c>
      <c r="M135" s="650"/>
      <c r="N135" s="609">
        <f t="shared" si="35"/>
        <v>-11276.815346297437</v>
      </c>
      <c r="O135" s="596" t="s">
        <v>39</v>
      </c>
      <c r="P135" s="594">
        <f>Q135/Q$108</f>
        <v>0.26947240987716337</v>
      </c>
      <c r="Q135" s="595">
        <f>+SUM(Q123:Q134)</f>
        <v>35213.899999999994</v>
      </c>
      <c r="R135" s="650"/>
      <c r="S135" s="609">
        <f t="shared" si="37"/>
        <v>1984.3300000000017</v>
      </c>
      <c r="T135" s="510"/>
      <c r="U135" s="510"/>
      <c r="V135" s="510"/>
      <c r="W135" s="510"/>
      <c r="X135" s="510"/>
      <c r="Y135" s="510"/>
      <c r="Z135" s="510"/>
      <c r="AA135" s="510"/>
      <c r="AB135" s="510"/>
      <c r="AC135" s="510"/>
      <c r="AD135" s="510"/>
      <c r="AE135" s="510"/>
      <c r="AF135" s="510"/>
      <c r="AG135" s="510"/>
      <c r="AH135" s="510"/>
      <c r="AI135" s="510"/>
      <c r="AJ135" s="510"/>
      <c r="AK135" s="510"/>
      <c r="AL135" s="510"/>
      <c r="AM135" s="510"/>
      <c r="AN135" s="510"/>
    </row>
    <row r="136" spans="1:40" ht="15.75" hidden="1" customHeight="1">
      <c r="A136" s="523" t="s">
        <v>314</v>
      </c>
      <c r="B136" s="510" t="s">
        <v>73</v>
      </c>
      <c r="C136" s="531" t="s">
        <v>50</v>
      </c>
      <c r="D136" s="584"/>
      <c r="E136" s="510"/>
      <c r="F136" s="532">
        <f>+INDEX('[5]Budget original'!$A$2:$AO$501,MATCH($A136,'[5]Budget original'!$A$2:$A$501,0),MATCH(F$2,'[5]Budget original'!$A$2:$AO$2,0))</f>
        <v>0</v>
      </c>
      <c r="G136" s="585"/>
      <c r="H136" s="510"/>
      <c r="I136" s="532"/>
      <c r="J136" s="531"/>
      <c r="K136" s="510"/>
      <c r="L136" s="534">
        <f>SUMIFS([5]BV_Data_An_Cour!$O:$O,[5]BV_Data_An_Cour!$U:$U,$B136,[5]BV_Data_An_Cour!$V:$V,$C136,[5]BV_Data_An_Cour!$W:$W,$L$2)</f>
        <v>0</v>
      </c>
      <c r="M136" s="531"/>
      <c r="N136" s="557">
        <f t="shared" si="35"/>
        <v>0</v>
      </c>
      <c r="O136" s="531"/>
      <c r="P136" s="510"/>
      <c r="Q136" s="534">
        <f t="array" ref="Q136">+INDEX('[5]Réel 2023'!$A$2:$AO$501,MATCH($A136,'[5]Réel 2023'!$A$2:$A$501,0),MATCH(Q$2,'[5]Réel 2023'!$A$2:$AO$2,0))</f>
        <v>0</v>
      </c>
      <c r="R136" s="531"/>
      <c r="S136" s="557">
        <f t="shared" si="37"/>
        <v>0</v>
      </c>
      <c r="T136" s="510"/>
      <c r="U136" s="510"/>
      <c r="V136" s="510"/>
      <c r="W136" s="510"/>
      <c r="X136" s="510"/>
      <c r="Y136" s="510"/>
      <c r="Z136" s="510"/>
      <c r="AA136" s="510"/>
      <c r="AB136" s="510"/>
      <c r="AC136" s="510"/>
      <c r="AD136" s="510"/>
      <c r="AE136" s="510"/>
      <c r="AF136" s="510"/>
      <c r="AG136" s="510"/>
      <c r="AH136" s="510"/>
      <c r="AI136" s="510"/>
      <c r="AJ136" s="510"/>
      <c r="AK136" s="510"/>
      <c r="AL136" s="510"/>
      <c r="AM136" s="510"/>
      <c r="AN136" s="510"/>
    </row>
    <row r="137" spans="1:40" ht="15.75" hidden="1" customHeight="1">
      <c r="A137" s="523" t="s">
        <v>315</v>
      </c>
      <c r="B137" s="510" t="s">
        <v>73</v>
      </c>
      <c r="C137" s="531" t="s">
        <v>51</v>
      </c>
      <c r="D137" s="584"/>
      <c r="E137" s="510"/>
      <c r="F137" s="532">
        <f>+INDEX('[5]Budget original'!$A$2:$AO$501,MATCH($A137,'[5]Budget original'!$A$2:$A$501,0),MATCH(F$2,'[5]Budget original'!$A$2:$AO$2,0))</f>
        <v>0</v>
      </c>
      <c r="G137" s="585"/>
      <c r="H137" s="510"/>
      <c r="I137" s="532"/>
      <c r="J137" s="531"/>
      <c r="K137" s="510"/>
      <c r="L137" s="534">
        <f>SUMIFS([5]BV_Data_An_Cour!$O:$O,[5]BV_Data_An_Cour!$U:$U,$B137,[5]BV_Data_An_Cour!$V:$V,$C137,[5]BV_Data_An_Cour!$W:$W,$L$2)</f>
        <v>0</v>
      </c>
      <c r="M137" s="531"/>
      <c r="N137" s="557">
        <f t="shared" si="35"/>
        <v>0</v>
      </c>
      <c r="O137" s="531"/>
      <c r="P137" s="510"/>
      <c r="Q137" s="534">
        <f t="array" ref="Q137">+INDEX('[5]Réel 2023'!$A$2:$AO$501,MATCH($A137,'[5]Réel 2023'!$A$2:$A$501,0),MATCH(Q$2,'[5]Réel 2023'!$A$2:$AO$2,0))</f>
        <v>0</v>
      </c>
      <c r="R137" s="531"/>
      <c r="S137" s="557">
        <f t="shared" si="37"/>
        <v>0</v>
      </c>
      <c r="T137" s="510"/>
      <c r="U137" s="510"/>
      <c r="V137" s="510"/>
      <c r="W137" s="510"/>
      <c r="X137" s="510"/>
      <c r="Y137" s="510"/>
      <c r="Z137" s="510"/>
      <c r="AA137" s="510"/>
      <c r="AB137" s="510"/>
      <c r="AC137" s="510"/>
      <c r="AD137" s="510"/>
      <c r="AE137" s="510"/>
      <c r="AF137" s="510"/>
      <c r="AG137" s="510"/>
      <c r="AH137" s="510"/>
      <c r="AI137" s="510"/>
      <c r="AJ137" s="510"/>
      <c r="AK137" s="510"/>
      <c r="AL137" s="510"/>
      <c r="AM137" s="510"/>
      <c r="AN137" s="510"/>
    </row>
    <row r="138" spans="1:40" ht="15.75" customHeight="1">
      <c r="A138" s="523" t="s">
        <v>316</v>
      </c>
      <c r="B138" s="510" t="s">
        <v>73</v>
      </c>
      <c r="C138" s="524" t="s">
        <v>52</v>
      </c>
      <c r="D138" s="587"/>
      <c r="E138" s="607"/>
      <c r="F138" s="526">
        <f>+INDEX('[5]Budget original'!$A$2:$AO$501,MATCH($A138,'[5]Budget original'!$A$2:$A$501,0),MATCH(F$2,'[5]Budget original'!$A$2:$AO$2,0))</f>
        <v>2458.3333333333335</v>
      </c>
      <c r="G138" s="588"/>
      <c r="H138" s="607"/>
      <c r="I138" s="526"/>
      <c r="J138" s="524"/>
      <c r="K138" s="607"/>
      <c r="L138" s="526">
        <f>SUMIFS([5]BV_Data_An_Cour!$O:$O,[5]BV_Data_An_Cour!$U:$U,$B138,[5]BV_Data_An_Cour!$V:$V,$C138,[5]BV_Data_An_Cour!$W:$W,$L$2)</f>
        <v>1048.82</v>
      </c>
      <c r="M138" s="524"/>
      <c r="N138" s="582">
        <f t="shared" si="35"/>
        <v>-1409.5133333333335</v>
      </c>
      <c r="O138" s="524"/>
      <c r="P138" s="607"/>
      <c r="Q138" s="526">
        <f t="array" ref="Q138">+INDEX('[5]Réel 2023'!$A$2:$AO$501,MATCH($A138,'[5]Réel 2023'!$A$2:$A$501,0),MATCH(Q$2,'[5]Réel 2023'!$A$2:$AO$2,0))</f>
        <v>1470.58</v>
      </c>
      <c r="R138" s="524"/>
      <c r="S138" s="582">
        <f t="shared" si="37"/>
        <v>-421.76</v>
      </c>
      <c r="T138" s="510"/>
      <c r="U138" s="510"/>
      <c r="V138" s="510"/>
      <c r="W138" s="510"/>
      <c r="X138" s="510"/>
      <c r="Y138" s="510"/>
      <c r="Z138" s="510"/>
      <c r="AA138" s="510"/>
      <c r="AB138" s="510"/>
      <c r="AC138" s="510"/>
      <c r="AD138" s="510"/>
      <c r="AE138" s="510"/>
      <c r="AF138" s="510"/>
      <c r="AG138" s="510"/>
      <c r="AH138" s="510"/>
      <c r="AI138" s="510"/>
      <c r="AJ138" s="510"/>
      <c r="AK138" s="510"/>
      <c r="AL138" s="510"/>
      <c r="AM138" s="510"/>
      <c r="AN138" s="510"/>
    </row>
    <row r="139" spans="1:40" ht="15.75" customHeight="1">
      <c r="A139" s="523" t="s">
        <v>317</v>
      </c>
      <c r="B139" s="510" t="s">
        <v>73</v>
      </c>
      <c r="C139" s="531" t="s">
        <v>53</v>
      </c>
      <c r="D139" s="584"/>
      <c r="E139" s="510"/>
      <c r="F139" s="532">
        <f>+INDEX('[5]Budget original'!$A$2:$AO$501,MATCH($A139,'[5]Budget original'!$A$2:$A$501,0),MATCH(F$2,'[5]Budget original'!$A$2:$AO$2,0))</f>
        <v>3627.0415373333331</v>
      </c>
      <c r="G139" s="585"/>
      <c r="H139" s="510"/>
      <c r="I139" s="532"/>
      <c r="J139" s="531"/>
      <c r="K139" s="510"/>
      <c r="L139" s="534">
        <f>SUMIFS([5]BV_Data_An_Cour!$O:$O,[5]BV_Data_An_Cour!$U:$U,$B139,[5]BV_Data_An_Cour!$V:$V,$C139,[5]BV_Data_An_Cour!$W:$W,$L$2)</f>
        <v>3313.84</v>
      </c>
      <c r="M139" s="531"/>
      <c r="N139" s="557">
        <f t="shared" si="35"/>
        <v>-313.20153733333291</v>
      </c>
      <c r="O139" s="531"/>
      <c r="P139" s="510"/>
      <c r="Q139" s="534">
        <f t="array" ref="Q139">+INDEX('[5]Réel 2023'!$A$2:$AO$501,MATCH($A139,'[5]Réel 2023'!$A$2:$A$501,0),MATCH(Q$2,'[5]Réel 2023'!$A$2:$AO$2,0))</f>
        <v>3537.97</v>
      </c>
      <c r="R139" s="531"/>
      <c r="S139" s="557">
        <f t="shared" si="37"/>
        <v>-224.12999999999965</v>
      </c>
      <c r="T139" s="510"/>
      <c r="U139" s="510"/>
      <c r="V139" s="510"/>
      <c r="W139" s="510"/>
      <c r="X139" s="510"/>
      <c r="Y139" s="510"/>
      <c r="Z139" s="510"/>
      <c r="AA139" s="510"/>
      <c r="AB139" s="510"/>
      <c r="AC139" s="510"/>
      <c r="AD139" s="510"/>
      <c r="AE139" s="510"/>
      <c r="AF139" s="510"/>
      <c r="AG139" s="510"/>
      <c r="AH139" s="510"/>
      <c r="AI139" s="510"/>
      <c r="AJ139" s="510"/>
      <c r="AK139" s="510"/>
      <c r="AL139" s="510"/>
      <c r="AM139" s="510"/>
      <c r="AN139" s="510"/>
    </row>
    <row r="140" spans="1:40" ht="15.75" customHeight="1">
      <c r="A140" s="523" t="s">
        <v>318</v>
      </c>
      <c r="B140" s="510" t="s">
        <v>73</v>
      </c>
      <c r="C140" s="531" t="s">
        <v>54</v>
      </c>
      <c r="D140" s="584"/>
      <c r="E140" s="510"/>
      <c r="F140" s="532">
        <f>+INDEX('[5]Budget original'!$A$2:$AO$501,MATCH($A140,'[5]Budget original'!$A$2:$A$501,0),MATCH(F$2,'[5]Budget original'!$A$2:$AO$2,0))</f>
        <v>521.10924639426287</v>
      </c>
      <c r="G140" s="585"/>
      <c r="H140" s="510"/>
      <c r="I140" s="532"/>
      <c r="J140" s="531"/>
      <c r="K140" s="510"/>
      <c r="L140" s="534">
        <f>SUMIFS([5]BV_Data_An_Cour!$O:$O,[5]BV_Data_An_Cour!$U:$U,$B140,[5]BV_Data_An_Cour!$V:$V,$C140,[5]BV_Data_An_Cour!$W:$W,$L$2)</f>
        <v>615.11</v>
      </c>
      <c r="M140" s="531"/>
      <c r="N140" s="557">
        <f t="shared" si="35"/>
        <v>94.000753605737145</v>
      </c>
      <c r="O140" s="531"/>
      <c r="P140" s="510"/>
      <c r="Q140" s="534">
        <f t="array" ref="Q140">+INDEX('[5]Réel 2023'!$A$2:$AO$501,MATCH($A140,'[5]Réel 2023'!$A$2:$A$501,0),MATCH(Q$2,'[5]Réel 2023'!$A$2:$AO$2,0))</f>
        <v>565.19000000000005</v>
      </c>
      <c r="R140" s="531"/>
      <c r="S140" s="557">
        <f t="shared" si="37"/>
        <v>49.919999999999959</v>
      </c>
      <c r="T140" s="648"/>
      <c r="U140" s="510"/>
      <c r="V140" s="510"/>
      <c r="W140" s="510"/>
      <c r="X140" s="510"/>
      <c r="Y140" s="510"/>
      <c r="Z140" s="510"/>
      <c r="AA140" s="510"/>
      <c r="AB140" s="510"/>
      <c r="AC140" s="510"/>
      <c r="AD140" s="510"/>
      <c r="AE140" s="510"/>
      <c r="AF140" s="510"/>
      <c r="AG140" s="510"/>
      <c r="AH140" s="510"/>
      <c r="AI140" s="510"/>
      <c r="AJ140" s="510"/>
      <c r="AK140" s="510"/>
      <c r="AL140" s="510"/>
      <c r="AM140" s="510"/>
      <c r="AN140" s="510"/>
    </row>
    <row r="141" spans="1:40" ht="15.75" customHeight="1">
      <c r="A141" s="523" t="s">
        <v>319</v>
      </c>
      <c r="B141" s="510" t="s">
        <v>73</v>
      </c>
      <c r="C141" s="524" t="s">
        <v>55</v>
      </c>
      <c r="D141" s="587"/>
      <c r="E141" s="607"/>
      <c r="F141" s="526">
        <f>+INDEX('[5]Budget original'!$A$2:$AO$501,MATCH($A141,'[5]Budget original'!$A$2:$A$501,0),MATCH(F$2,'[5]Budget original'!$A$2:$AO$2,0))</f>
        <v>1489.5910533277777</v>
      </c>
      <c r="G141" s="588"/>
      <c r="H141" s="607"/>
      <c r="I141" s="526"/>
      <c r="J141" s="524"/>
      <c r="K141" s="607"/>
      <c r="L141" s="526">
        <f>SUMIFS([5]BV_Data_An_Cour!$O:$O,[5]BV_Data_An_Cour!$U:$U,$B141,[5]BV_Data_An_Cour!$V:$V,$C141,[5]BV_Data_An_Cour!$W:$W,$L$2)</f>
        <v>1598.14</v>
      </c>
      <c r="M141" s="524"/>
      <c r="N141" s="582">
        <f t="shared" si="35"/>
        <v>108.54894667222243</v>
      </c>
      <c r="O141" s="524"/>
      <c r="P141" s="607"/>
      <c r="Q141" s="526">
        <f t="array" ref="Q141">+INDEX('[5]Réel 2023'!$A$2:$AO$501,MATCH($A141,'[5]Réel 2023'!$A$2:$A$501,0),MATCH(Q$2,'[5]Réel 2023'!$A$2:$AO$2,0))</f>
        <v>1543.92</v>
      </c>
      <c r="R141" s="524"/>
      <c r="S141" s="582">
        <f t="shared" si="37"/>
        <v>54.220000000000027</v>
      </c>
      <c r="T141" s="510"/>
      <c r="U141" s="510"/>
      <c r="V141" s="510"/>
      <c r="W141" s="510"/>
      <c r="X141" s="510"/>
      <c r="Y141" s="510"/>
      <c r="Z141" s="510"/>
      <c r="AA141" s="510"/>
      <c r="AB141" s="510"/>
      <c r="AC141" s="510"/>
      <c r="AD141" s="510"/>
      <c r="AE141" s="510"/>
      <c r="AF141" s="510"/>
      <c r="AG141" s="510"/>
      <c r="AH141" s="510"/>
      <c r="AI141" s="510"/>
      <c r="AJ141" s="510"/>
      <c r="AK141" s="510"/>
      <c r="AL141" s="510"/>
      <c r="AM141" s="510"/>
      <c r="AN141" s="510"/>
    </row>
    <row r="142" spans="1:40" ht="15.75" customHeight="1">
      <c r="A142" s="523" t="s">
        <v>320</v>
      </c>
      <c r="B142" s="510" t="s">
        <v>73</v>
      </c>
      <c r="C142" s="531" t="s">
        <v>56</v>
      </c>
      <c r="D142" s="584"/>
      <c r="E142" s="510"/>
      <c r="F142" s="532">
        <f>+INDEX('[5]Budget original'!$A$2:$AO$501,MATCH($A142,'[5]Budget original'!$A$2:$A$501,0),MATCH(F$2,'[5]Budget original'!$A$2:$AO$2,0))</f>
        <v>125</v>
      </c>
      <c r="G142" s="585"/>
      <c r="H142" s="510"/>
      <c r="I142" s="532"/>
      <c r="J142" s="531"/>
      <c r="K142" s="510"/>
      <c r="L142" s="534">
        <f>SUMIFS([5]BV_Data_An_Cour!$O:$O,[5]BV_Data_An_Cour!$U:$U,$B142,[5]BV_Data_An_Cour!$V:$V,$C142,[5]BV_Data_An_Cour!$W:$W,$L$2)</f>
        <v>0</v>
      </c>
      <c r="M142" s="531"/>
      <c r="N142" s="557">
        <f t="shared" si="35"/>
        <v>-125</v>
      </c>
      <c r="O142" s="531"/>
      <c r="P142" s="510"/>
      <c r="Q142" s="534">
        <f t="array" ref="Q142">+INDEX('[5]Réel 2023'!$A$2:$AO$501,MATCH($A142,'[5]Réel 2023'!$A$2:$A$501,0),MATCH(Q$2,'[5]Réel 2023'!$A$2:$AO$2,0))</f>
        <v>0</v>
      </c>
      <c r="R142" s="531"/>
      <c r="S142" s="557">
        <f t="shared" si="37"/>
        <v>0</v>
      </c>
      <c r="T142" s="510"/>
      <c r="U142" s="510"/>
      <c r="V142" s="510"/>
      <c r="W142" s="510"/>
      <c r="X142" s="510"/>
      <c r="Y142" s="510"/>
      <c r="Z142" s="510"/>
      <c r="AA142" s="510"/>
      <c r="AB142" s="510"/>
      <c r="AC142" s="510"/>
      <c r="AD142" s="510"/>
      <c r="AE142" s="510"/>
      <c r="AF142" s="510"/>
      <c r="AG142" s="510"/>
      <c r="AH142" s="510"/>
      <c r="AI142" s="510"/>
      <c r="AJ142" s="510"/>
      <c r="AK142" s="510"/>
      <c r="AL142" s="510"/>
      <c r="AM142" s="510"/>
      <c r="AN142" s="510"/>
    </row>
    <row r="143" spans="1:40" ht="15.75" customHeight="1">
      <c r="A143" s="523" t="s">
        <v>321</v>
      </c>
      <c r="B143" s="510" t="s">
        <v>73</v>
      </c>
      <c r="C143" s="531" t="s">
        <v>57</v>
      </c>
      <c r="D143" s="584"/>
      <c r="E143" s="510"/>
      <c r="F143" s="532">
        <f>+INDEX('[5]Budget original'!$A$2:$AO$501,MATCH($A143,'[5]Budget original'!$A$2:$A$501,0),MATCH(F$2,'[5]Budget original'!$A$2:$AO$2,0))</f>
        <v>83.333333333333329</v>
      </c>
      <c r="G143" s="585"/>
      <c r="H143" s="510"/>
      <c r="I143" s="532"/>
      <c r="J143" s="531"/>
      <c r="K143" s="510"/>
      <c r="L143" s="534">
        <f>SUMIFS([5]BV_Data_An_Cour!$O:$O,[5]BV_Data_An_Cour!$U:$U,$B143,[5]BV_Data_An_Cour!$V:$V,$C143,[5]BV_Data_An_Cour!$W:$W,$L$2)</f>
        <v>434.88</v>
      </c>
      <c r="M143" s="531"/>
      <c r="N143" s="557">
        <f t="shared" si="35"/>
        <v>351.54666666666668</v>
      </c>
      <c r="O143" s="531"/>
      <c r="P143" s="510"/>
      <c r="Q143" s="534">
        <f t="array" ref="Q143">+INDEX('[5]Réel 2023'!$A$2:$AO$501,MATCH($A143,'[5]Réel 2023'!$A$2:$A$501,0),MATCH(Q$2,'[5]Réel 2023'!$A$2:$AO$2,0))</f>
        <v>0</v>
      </c>
      <c r="R143" s="531"/>
      <c r="S143" s="557">
        <f t="shared" si="37"/>
        <v>434.88</v>
      </c>
      <c r="T143" s="510"/>
      <c r="U143" s="510"/>
      <c r="V143" s="510"/>
      <c r="W143" s="510"/>
      <c r="X143" s="510"/>
      <c r="Y143" s="510"/>
      <c r="Z143" s="510"/>
      <c r="AA143" s="510"/>
      <c r="AB143" s="510"/>
      <c r="AC143" s="510"/>
      <c r="AD143" s="510"/>
      <c r="AE143" s="510"/>
      <c r="AF143" s="510"/>
      <c r="AG143" s="510"/>
      <c r="AH143" s="510"/>
      <c r="AI143" s="510"/>
      <c r="AJ143" s="510"/>
      <c r="AK143" s="510"/>
      <c r="AL143" s="510"/>
      <c r="AM143" s="510"/>
      <c r="AN143" s="510"/>
    </row>
    <row r="144" spans="1:40" ht="15.75" customHeight="1">
      <c r="A144" s="523" t="s">
        <v>322</v>
      </c>
      <c r="B144" s="510" t="s">
        <v>73</v>
      </c>
      <c r="C144" s="531" t="s">
        <v>58</v>
      </c>
      <c r="D144" s="584"/>
      <c r="E144" s="510"/>
      <c r="F144" s="532">
        <f>+INDEX('[5]Budget original'!$A$2:$AO$501,MATCH($A144,'[5]Budget original'!$A$2:$A$501,0),MATCH(F$2,'[5]Budget original'!$A$2:$AO$2,0))</f>
        <v>306.78425698799998</v>
      </c>
      <c r="G144" s="585"/>
      <c r="H144" s="510"/>
      <c r="I144" s="532"/>
      <c r="J144" s="531"/>
      <c r="K144" s="510"/>
      <c r="L144" s="534">
        <f>SUMIFS([5]BV_Data_An_Cour!$O:$O,[5]BV_Data_An_Cour!$U:$U,$B144,[5]BV_Data_An_Cour!$V:$V,$C144,[5]BV_Data_An_Cour!$W:$W,$L$2)</f>
        <v>141.58000000000001</v>
      </c>
      <c r="M144" s="531"/>
      <c r="N144" s="557">
        <f t="shared" si="35"/>
        <v>-165.20425698799997</v>
      </c>
      <c r="O144" s="531"/>
      <c r="P144" s="510"/>
      <c r="Q144" s="534">
        <f t="array" ref="Q144">+INDEX('[5]Réel 2023'!$A$2:$AO$501,MATCH($A144,'[5]Réel 2023'!$A$2:$A$501,0),MATCH(Q$2,'[5]Réel 2023'!$A$2:$AO$2,0))</f>
        <v>85.82</v>
      </c>
      <c r="R144" s="531"/>
      <c r="S144" s="557">
        <f t="shared" si="37"/>
        <v>55.760000000000019</v>
      </c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510"/>
      <c r="AH144" s="510"/>
      <c r="AI144" s="510"/>
      <c r="AJ144" s="510"/>
      <c r="AK144" s="510"/>
      <c r="AL144" s="510"/>
      <c r="AM144" s="510"/>
      <c r="AN144" s="510"/>
    </row>
    <row r="145" spans="1:40" ht="15.75" customHeight="1">
      <c r="A145" s="523" t="s">
        <v>323</v>
      </c>
      <c r="B145" s="510" t="s">
        <v>73</v>
      </c>
      <c r="C145" s="531" t="s">
        <v>59</v>
      </c>
      <c r="D145" s="584"/>
      <c r="E145" s="510"/>
      <c r="F145" s="532">
        <f>+INDEX('[5]Budget original'!$A$2:$AO$501,MATCH($A145,'[5]Budget original'!$A$2:$A$501,0),MATCH(F$2,'[5]Budget original'!$A$2:$AO$2,0))</f>
        <v>84.486631894833309</v>
      </c>
      <c r="G145" s="585"/>
      <c r="H145" s="510"/>
      <c r="I145" s="532"/>
      <c r="J145" s="531"/>
      <c r="K145" s="510"/>
      <c r="L145" s="534">
        <f>SUMIFS([5]BV_Data_An_Cour!$O:$O,[5]BV_Data_An_Cour!$U:$U,$B145,[5]BV_Data_An_Cour!$V:$V,$C145,[5]BV_Data_An_Cour!$W:$W,$L$2)</f>
        <v>105.42</v>
      </c>
      <c r="M145" s="531"/>
      <c r="N145" s="557">
        <f t="shared" si="35"/>
        <v>20.933368105166693</v>
      </c>
      <c r="O145" s="531"/>
      <c r="P145" s="510"/>
      <c r="Q145" s="534">
        <f t="array" ref="Q145">+INDEX('[5]Réel 2023'!$A$2:$AO$501,MATCH($A145,'[5]Réel 2023'!$A$2:$A$501,0),MATCH(Q$2,'[5]Réel 2023'!$A$2:$AO$2,0))</f>
        <v>122.59</v>
      </c>
      <c r="R145" s="531"/>
      <c r="S145" s="557">
        <f t="shared" si="37"/>
        <v>-17.170000000000002</v>
      </c>
      <c r="T145" s="510"/>
      <c r="U145" s="510"/>
      <c r="V145" s="510"/>
      <c r="W145" s="510"/>
      <c r="X145" s="510"/>
      <c r="Y145" s="510"/>
      <c r="Z145" s="510"/>
      <c r="AA145" s="510"/>
      <c r="AB145" s="510"/>
      <c r="AC145" s="510"/>
      <c r="AD145" s="510"/>
      <c r="AE145" s="510"/>
      <c r="AF145" s="510"/>
      <c r="AG145" s="510"/>
      <c r="AH145" s="510"/>
      <c r="AI145" s="510"/>
      <c r="AJ145" s="510"/>
      <c r="AK145" s="510"/>
      <c r="AL145" s="510"/>
      <c r="AM145" s="510"/>
      <c r="AN145" s="510"/>
    </row>
    <row r="146" spans="1:40" ht="15.75" customHeight="1">
      <c r="A146" s="523" t="s">
        <v>324</v>
      </c>
      <c r="B146" s="510" t="s">
        <v>73</v>
      </c>
      <c r="C146" s="531" t="s">
        <v>60</v>
      </c>
      <c r="D146" s="584"/>
      <c r="E146" s="510"/>
      <c r="F146" s="532">
        <f>+INDEX('[5]Budget original'!$A$2:$AO$501,MATCH($A146,'[5]Budget original'!$A$2:$A$501,0),MATCH(F$2,'[5]Budget original'!$A$2:$AO$2,0))</f>
        <v>60.326747465166655</v>
      </c>
      <c r="G146" s="585"/>
      <c r="H146" s="510"/>
      <c r="I146" s="532"/>
      <c r="J146" s="531"/>
      <c r="K146" s="510"/>
      <c r="L146" s="534">
        <f>SUMIFS([5]BV_Data_An_Cour!$O:$O,[5]BV_Data_An_Cour!$U:$U,$B146,[5]BV_Data_An_Cour!$V:$V,$C146,[5]BV_Data_An_Cour!$W:$W,$L$2)</f>
        <v>12.36</v>
      </c>
      <c r="M146" s="531"/>
      <c r="N146" s="557">
        <f t="shared" si="35"/>
        <v>-47.966747465166655</v>
      </c>
      <c r="O146" s="531"/>
      <c r="P146" s="510"/>
      <c r="Q146" s="534">
        <f t="array" ref="Q146">+INDEX('[5]Réel 2023'!$A$2:$AO$501,MATCH($A146,'[5]Réel 2023'!$A$2:$A$501,0),MATCH(Q$2,'[5]Réel 2023'!$A$2:$AO$2,0))</f>
        <v>133.26</v>
      </c>
      <c r="R146" s="531"/>
      <c r="S146" s="557">
        <f t="shared" si="37"/>
        <v>-120.89999999999999</v>
      </c>
      <c r="T146" s="510"/>
      <c r="U146" s="510"/>
      <c r="V146" s="510"/>
      <c r="W146" s="510"/>
      <c r="X146" s="510"/>
      <c r="Y146" s="510"/>
      <c r="Z146" s="510"/>
      <c r="AA146" s="510"/>
      <c r="AB146" s="510"/>
      <c r="AC146" s="510"/>
      <c r="AD146" s="510"/>
      <c r="AE146" s="510"/>
      <c r="AF146" s="510"/>
      <c r="AG146" s="510"/>
      <c r="AH146" s="510"/>
      <c r="AI146" s="510"/>
      <c r="AJ146" s="510"/>
      <c r="AK146" s="510"/>
      <c r="AL146" s="510"/>
      <c r="AM146" s="510"/>
      <c r="AN146" s="510"/>
    </row>
    <row r="147" spans="1:40" ht="15.75" customHeight="1">
      <c r="A147" s="523" t="s">
        <v>325</v>
      </c>
      <c r="B147" s="510" t="s">
        <v>73</v>
      </c>
      <c r="C147" s="531" t="s">
        <v>61</v>
      </c>
      <c r="D147" s="584"/>
      <c r="E147" s="510"/>
      <c r="F147" s="532">
        <f>+INDEX('[5]Budget original'!$A$2:$AO$501,MATCH($A147,'[5]Budget original'!$A$2:$A$501,0),MATCH(F$2,'[5]Budget original'!$A$2:$AO$2,0))</f>
        <v>199.78005128816665</v>
      </c>
      <c r="G147" s="585"/>
      <c r="H147" s="510"/>
      <c r="I147" s="532"/>
      <c r="J147" s="531"/>
      <c r="K147" s="510"/>
      <c r="L147" s="534">
        <f>SUMIFS([5]BV_Data_An_Cour!$O:$O,[5]BV_Data_An_Cour!$U:$U,$B147,[5]BV_Data_An_Cour!$V:$V,$C147,[5]BV_Data_An_Cour!$W:$W,$L$2)</f>
        <v>87.91</v>
      </c>
      <c r="M147" s="531"/>
      <c r="N147" s="557">
        <f t="shared" si="35"/>
        <v>-111.87005128816665</v>
      </c>
      <c r="O147" s="531"/>
      <c r="P147" s="510"/>
      <c r="Q147" s="534">
        <f t="array" ref="Q147">+INDEX('[5]Réel 2023'!$A$2:$AO$501,MATCH($A147,'[5]Réel 2023'!$A$2:$A$501,0),MATCH(Q$2,'[5]Réel 2023'!$A$2:$AO$2,0))</f>
        <v>45.01</v>
      </c>
      <c r="R147" s="531"/>
      <c r="S147" s="557">
        <f t="shared" si="37"/>
        <v>42.9</v>
      </c>
      <c r="T147" s="510"/>
      <c r="U147" s="510"/>
      <c r="V147" s="510"/>
      <c r="W147" s="510"/>
      <c r="X147" s="510"/>
      <c r="Y147" s="510"/>
      <c r="Z147" s="510"/>
      <c r="AA147" s="510"/>
      <c r="AB147" s="510"/>
      <c r="AC147" s="510"/>
      <c r="AD147" s="510"/>
      <c r="AE147" s="510"/>
      <c r="AF147" s="510"/>
      <c r="AG147" s="510"/>
      <c r="AH147" s="510"/>
      <c r="AI147" s="510"/>
      <c r="AJ147" s="510"/>
      <c r="AK147" s="510"/>
      <c r="AL147" s="510"/>
      <c r="AM147" s="510"/>
      <c r="AN147" s="510"/>
    </row>
    <row r="148" spans="1:40" ht="15.75" customHeight="1">
      <c r="A148" s="523" t="s">
        <v>326</v>
      </c>
      <c r="B148" s="510" t="s">
        <v>73</v>
      </c>
      <c r="C148" s="531" t="s">
        <v>62</v>
      </c>
      <c r="D148" s="584"/>
      <c r="E148" s="510"/>
      <c r="F148" s="532">
        <f>+INDEX('[5]Budget original'!$A$2:$AO$501,MATCH($A148,'[5]Budget original'!$A$2:$A$501,0),MATCH(F$2,'[5]Budget original'!$A$2:$AO$2,0))</f>
        <v>502.23226969701432</v>
      </c>
      <c r="G148" s="585"/>
      <c r="H148" s="510"/>
      <c r="I148" s="532"/>
      <c r="J148" s="531"/>
      <c r="K148" s="510"/>
      <c r="L148" s="534">
        <f>SUMIFS([5]BV_Data_An_Cour!$O:$O,[5]BV_Data_An_Cour!$U:$U,$B148,[5]BV_Data_An_Cour!$V:$V,$C148,[5]BV_Data_An_Cour!$W:$W,$L$2)</f>
        <v>498.39</v>
      </c>
      <c r="M148" s="531"/>
      <c r="N148" s="557">
        <f t="shared" si="35"/>
        <v>-3.8422696970143306</v>
      </c>
      <c r="O148" s="531"/>
      <c r="P148" s="510"/>
      <c r="Q148" s="534">
        <f t="array" ref="Q148">+INDEX('[5]Réel 2023'!$A$2:$AO$501,MATCH($A148,'[5]Réel 2023'!$A$2:$A$501,0),MATCH(Q$2,'[5]Réel 2023'!$A$2:$AO$2,0))</f>
        <v>1082.42</v>
      </c>
      <c r="R148" s="531"/>
      <c r="S148" s="557">
        <f t="shared" si="37"/>
        <v>-584.03000000000009</v>
      </c>
      <c r="T148" s="510"/>
      <c r="X148" s="510"/>
      <c r="Y148" s="510"/>
      <c r="Z148" s="510"/>
      <c r="AA148" s="510"/>
      <c r="AB148" s="510"/>
      <c r="AC148" s="510"/>
      <c r="AD148" s="510"/>
      <c r="AE148" s="510"/>
      <c r="AF148" s="510"/>
      <c r="AG148" s="510"/>
      <c r="AH148" s="510"/>
      <c r="AI148" s="510"/>
      <c r="AJ148" s="510"/>
      <c r="AK148" s="510"/>
      <c r="AL148" s="510"/>
      <c r="AM148" s="510"/>
      <c r="AN148" s="510"/>
    </row>
    <row r="149" spans="1:40" ht="15.75" customHeight="1">
      <c r="A149" s="523" t="s">
        <v>327</v>
      </c>
      <c r="B149" s="510" t="s">
        <v>73</v>
      </c>
      <c r="C149" s="531" t="s">
        <v>63</v>
      </c>
      <c r="D149" s="584"/>
      <c r="E149" s="510"/>
      <c r="F149" s="532">
        <f>+INDEX('[5]Budget original'!$A$2:$AO$501,MATCH($A149,'[5]Budget original'!$A$2:$A$501,0),MATCH(F$2,'[5]Budget original'!$A$2:$AO$2,0))</f>
        <v>782.17457105829214</v>
      </c>
      <c r="G149" s="585"/>
      <c r="H149" s="510"/>
      <c r="I149" s="532"/>
      <c r="J149" s="531"/>
      <c r="K149" s="510"/>
      <c r="L149" s="534">
        <f>SUMIFS([5]BV_Data_An_Cour!$O:$O,[5]BV_Data_An_Cour!$U:$U,$B149,[5]BV_Data_An_Cour!$V:$V,$C149,[5]BV_Data_An_Cour!$W:$W,$L$2)</f>
        <v>1077.6600000000001</v>
      </c>
      <c r="M149" s="531"/>
      <c r="N149" s="557">
        <f t="shared" si="35"/>
        <v>295.48542894170794</v>
      </c>
      <c r="O149" s="531"/>
      <c r="P149" s="510"/>
      <c r="Q149" s="534">
        <f t="array" ref="Q149">+INDEX('[5]Réel 2023'!$A$2:$AO$501,MATCH($A149,'[5]Réel 2023'!$A$2:$A$501,0),MATCH(Q$2,'[5]Réel 2023'!$A$2:$AO$2,0))</f>
        <v>905.16</v>
      </c>
      <c r="R149" s="531"/>
      <c r="S149" s="557">
        <f t="shared" si="37"/>
        <v>172.50000000000011</v>
      </c>
      <c r="T149" s="573"/>
      <c r="X149" s="510"/>
      <c r="Y149" s="510"/>
      <c r="Z149" s="510"/>
      <c r="AA149" s="510"/>
      <c r="AB149" s="510"/>
      <c r="AC149" s="510"/>
      <c r="AD149" s="510"/>
      <c r="AE149" s="510"/>
      <c r="AF149" s="510"/>
      <c r="AG149" s="510"/>
      <c r="AH149" s="510"/>
      <c r="AI149" s="510"/>
      <c r="AJ149" s="510"/>
      <c r="AK149" s="510"/>
      <c r="AL149" s="510"/>
      <c r="AM149" s="510"/>
      <c r="AN149" s="510"/>
    </row>
    <row r="150" spans="1:40" ht="15.75" hidden="1" customHeight="1">
      <c r="A150" s="523" t="s">
        <v>303</v>
      </c>
      <c r="B150" s="510" t="s">
        <v>73</v>
      </c>
      <c r="C150" s="531" t="s">
        <v>20</v>
      </c>
      <c r="D150" s="584"/>
      <c r="E150" s="510"/>
      <c r="F150" s="532">
        <f>+INDEX('[5]Budget original'!$A$2:$AO$501,MATCH($A150,'[5]Budget original'!$A$2:$A$501,0),MATCH(F$2,'[5]Budget original'!$A$2:$AO$2,0))</f>
        <v>0</v>
      </c>
      <c r="G150" s="585"/>
      <c r="H150" s="510"/>
      <c r="I150" s="532"/>
      <c r="J150" s="531"/>
      <c r="K150" s="510"/>
      <c r="L150" s="534">
        <f>SUMIFS([5]BV_Data_An_Cour!$O:$O,[5]BV_Data_An_Cour!$U:$U,$B150,[5]BV_Data_An_Cour!$V:$V,$C150,[5]BV_Data_An_Cour!$W:$W,$L$2)</f>
        <v>0</v>
      </c>
      <c r="M150" s="531"/>
      <c r="N150" s="557">
        <f t="shared" si="35"/>
        <v>0</v>
      </c>
      <c r="O150" s="531"/>
      <c r="P150" s="510"/>
      <c r="Q150" s="534">
        <f t="array" ref="Q150">+INDEX('[5]Réel 2023'!$A$2:$AO$501,MATCH($A150,'[5]Réel 2023'!$A$2:$A$501,0),MATCH(Q$2,'[5]Réel 2023'!$A$2:$AO$2,0))</f>
        <v>0</v>
      </c>
      <c r="R150" s="531"/>
      <c r="S150" s="557">
        <f t="shared" si="37"/>
        <v>0</v>
      </c>
      <c r="T150" s="510"/>
      <c r="X150" s="510"/>
      <c r="Y150" s="510"/>
      <c r="Z150" s="510"/>
      <c r="AA150" s="510"/>
      <c r="AB150" s="510"/>
      <c r="AC150" s="510"/>
      <c r="AD150" s="510"/>
      <c r="AE150" s="510"/>
      <c r="AF150" s="510"/>
      <c r="AG150" s="510"/>
      <c r="AH150" s="510"/>
      <c r="AI150" s="510"/>
      <c r="AJ150" s="510"/>
      <c r="AK150" s="510"/>
      <c r="AL150" s="510"/>
      <c r="AM150" s="510"/>
      <c r="AN150" s="510"/>
    </row>
    <row r="151" spans="1:40" ht="15.75" hidden="1" customHeight="1">
      <c r="A151" s="523" t="s">
        <v>303</v>
      </c>
      <c r="B151" s="510" t="s">
        <v>73</v>
      </c>
      <c r="C151" s="531" t="s">
        <v>20</v>
      </c>
      <c r="D151" s="584"/>
      <c r="E151" s="510"/>
      <c r="F151" s="532">
        <f>+INDEX('[5]Budget original'!$A$2:$AO$501,MATCH($A151,'[5]Budget original'!$A$2:$A$501,0),MATCH(F$2,'[5]Budget original'!$A$2:$AO$2,0))</f>
        <v>0</v>
      </c>
      <c r="G151" s="585"/>
      <c r="H151" s="510"/>
      <c r="I151" s="532"/>
      <c r="J151" s="531"/>
      <c r="K151" s="510"/>
      <c r="L151" s="534">
        <f>SUMIFS([5]BV_Data_An_Cour!$O:$O,[5]BV_Data_An_Cour!$U:$U,$B151,[5]BV_Data_An_Cour!$V:$V,$C151,[5]BV_Data_An_Cour!$W:$W,$L$2)</f>
        <v>0</v>
      </c>
      <c r="M151" s="531"/>
      <c r="N151" s="557">
        <f t="shared" si="35"/>
        <v>0</v>
      </c>
      <c r="O151" s="531"/>
      <c r="P151" s="510"/>
      <c r="Q151" s="534">
        <f t="array" ref="Q151">+INDEX('[5]Réel 2023'!$A$2:$AO$501,MATCH($A151,'[5]Réel 2023'!$A$2:$A$501,0),MATCH(Q$2,'[5]Réel 2023'!$A$2:$AO$2,0))</f>
        <v>0</v>
      </c>
      <c r="R151" s="531"/>
      <c r="S151" s="557">
        <f t="shared" si="37"/>
        <v>0</v>
      </c>
      <c r="T151" s="510"/>
      <c r="X151" s="510"/>
      <c r="Y151" s="510"/>
      <c r="Z151" s="510"/>
      <c r="AA151" s="510"/>
      <c r="AB151" s="510"/>
      <c r="AC151" s="510"/>
      <c r="AD151" s="510"/>
      <c r="AE151" s="510"/>
      <c r="AF151" s="510"/>
      <c r="AG151" s="510"/>
      <c r="AH151" s="510"/>
      <c r="AI151" s="510"/>
      <c r="AJ151" s="510"/>
      <c r="AK151" s="510"/>
      <c r="AL151" s="510"/>
      <c r="AM151" s="510"/>
      <c r="AN151" s="510"/>
    </row>
    <row r="152" spans="1:40" ht="15.75" hidden="1" customHeight="1">
      <c r="A152" s="523" t="s">
        <v>303</v>
      </c>
      <c r="B152" s="510" t="s">
        <v>73</v>
      </c>
      <c r="C152" s="531" t="s">
        <v>20</v>
      </c>
      <c r="D152" s="584"/>
      <c r="E152" s="510"/>
      <c r="F152" s="532">
        <f>+INDEX('[5]Budget original'!$A$2:$AO$501,MATCH($A152,'[5]Budget original'!$A$2:$A$501,0),MATCH(F$2,'[5]Budget original'!$A$2:$AO$2,0))</f>
        <v>0</v>
      </c>
      <c r="G152" s="585"/>
      <c r="H152" s="510"/>
      <c r="I152" s="532"/>
      <c r="J152" s="531"/>
      <c r="K152" s="510"/>
      <c r="L152" s="534">
        <f>SUMIFS([5]BV_Data_An_Cour!$O:$O,[5]BV_Data_An_Cour!$U:$U,$B152,[5]BV_Data_An_Cour!$V:$V,$C152,[5]BV_Data_An_Cour!$W:$W,$L$2)</f>
        <v>0</v>
      </c>
      <c r="M152" s="531"/>
      <c r="N152" s="557">
        <f t="shared" si="35"/>
        <v>0</v>
      </c>
      <c r="O152" s="531"/>
      <c r="P152" s="510"/>
      <c r="Q152" s="534">
        <f t="array" ref="Q152">+INDEX('[5]Réel 2023'!$A$2:$AO$501,MATCH($A152,'[5]Réel 2023'!$A$2:$A$501,0),MATCH(Q$2,'[5]Réel 2023'!$A$2:$AO$2,0))</f>
        <v>0</v>
      </c>
      <c r="R152" s="531"/>
      <c r="S152" s="557">
        <f t="shared" si="37"/>
        <v>0</v>
      </c>
      <c r="T152" s="573"/>
      <c r="X152" s="510"/>
      <c r="Y152" s="510"/>
      <c r="Z152" s="510"/>
      <c r="AA152" s="510"/>
      <c r="AB152" s="510"/>
      <c r="AC152" s="510"/>
      <c r="AD152" s="510"/>
      <c r="AE152" s="510"/>
      <c r="AF152" s="510"/>
      <c r="AG152" s="510"/>
      <c r="AH152" s="510"/>
      <c r="AI152" s="510"/>
      <c r="AJ152" s="510"/>
      <c r="AK152" s="510"/>
      <c r="AL152" s="510"/>
      <c r="AM152" s="510"/>
      <c r="AN152" s="510"/>
    </row>
    <row r="153" spans="1:40" ht="15.75" customHeight="1">
      <c r="A153" s="523" t="s">
        <v>328</v>
      </c>
      <c r="B153" s="510" t="s">
        <v>73</v>
      </c>
      <c r="C153" s="592" t="s">
        <v>64</v>
      </c>
      <c r="D153" s="593" t="s">
        <v>39</v>
      </c>
      <c r="E153" s="594">
        <f>F153/F$108</f>
        <v>6.1674386050971447E-2</v>
      </c>
      <c r="F153" s="595">
        <f>+SUM(F136:F152)</f>
        <v>10240.193032113515</v>
      </c>
      <c r="G153" s="596"/>
      <c r="H153" s="594"/>
      <c r="I153" s="595"/>
      <c r="J153" s="596" t="s">
        <v>39</v>
      </c>
      <c r="K153" s="594">
        <f>L153/L$108</f>
        <v>6.8275787070510324E-2</v>
      </c>
      <c r="L153" s="595">
        <f>+SUM(L136:L152)</f>
        <v>8934.11</v>
      </c>
      <c r="M153" s="599"/>
      <c r="N153" s="595">
        <f t="shared" si="35"/>
        <v>-1306.0830321135145</v>
      </c>
      <c r="O153" s="596" t="s">
        <v>39</v>
      </c>
      <c r="P153" s="594">
        <f>Q153/Q$108</f>
        <v>7.2636389515539163E-2</v>
      </c>
      <c r="Q153" s="595">
        <f>+SUM(Q136:Q152)</f>
        <v>9491.92</v>
      </c>
      <c r="R153" s="599"/>
      <c r="S153" s="595">
        <f t="shared" si="37"/>
        <v>-557.80999999999949</v>
      </c>
      <c r="T153" s="608"/>
      <c r="X153" s="510"/>
      <c r="Y153" s="510"/>
      <c r="Z153" s="510"/>
      <c r="AA153" s="510"/>
      <c r="AB153" s="510"/>
      <c r="AC153" s="510"/>
      <c r="AD153" s="510"/>
      <c r="AE153" s="510"/>
      <c r="AF153" s="510"/>
      <c r="AG153" s="510"/>
      <c r="AH153" s="510"/>
      <c r="AI153" s="510"/>
      <c r="AJ153" s="510"/>
      <c r="AK153" s="510"/>
      <c r="AL153" s="510"/>
      <c r="AM153" s="510"/>
      <c r="AN153" s="510"/>
    </row>
    <row r="154" spans="1:40" ht="15.75" customHeight="1">
      <c r="A154" s="523" t="s">
        <v>73</v>
      </c>
      <c r="B154" s="510" t="s">
        <v>73</v>
      </c>
      <c r="C154" s="524"/>
      <c r="D154" s="587"/>
      <c r="E154" s="607"/>
      <c r="F154" s="557"/>
      <c r="G154" s="588"/>
      <c r="H154" s="607"/>
      <c r="I154" s="557"/>
      <c r="J154" s="524"/>
      <c r="K154" s="607"/>
      <c r="L154" s="582"/>
      <c r="M154" s="524"/>
      <c r="N154" s="582"/>
      <c r="O154" s="524"/>
      <c r="P154" s="607"/>
      <c r="Q154" s="582"/>
      <c r="R154" s="524"/>
      <c r="S154" s="582"/>
      <c r="T154" s="608"/>
      <c r="U154" s="510"/>
      <c r="V154" s="510"/>
      <c r="W154" s="510"/>
      <c r="X154" s="510"/>
      <c r="Y154" s="510"/>
      <c r="Z154" s="510"/>
      <c r="AA154" s="510"/>
      <c r="AB154" s="510"/>
      <c r="AC154" s="510"/>
      <c r="AD154" s="510"/>
      <c r="AE154" s="510"/>
      <c r="AF154" s="510"/>
      <c r="AG154" s="510"/>
      <c r="AH154" s="510"/>
      <c r="AI154" s="510"/>
      <c r="AJ154" s="510"/>
      <c r="AK154" s="510"/>
      <c r="AL154" s="510"/>
      <c r="AM154" s="510"/>
      <c r="AN154" s="510"/>
    </row>
    <row r="155" spans="1:40" ht="15.75" customHeight="1">
      <c r="A155" s="523" t="s">
        <v>329</v>
      </c>
      <c r="B155" s="510" t="s">
        <v>73</v>
      </c>
      <c r="C155" s="592" t="s">
        <v>65</v>
      </c>
      <c r="D155" s="593" t="s">
        <v>39</v>
      </c>
      <c r="E155" s="594">
        <f>F155/F$108</f>
        <v>0.79428971482875077</v>
      </c>
      <c r="F155" s="595">
        <f>F122+F135+F153</f>
        <v>131881.0048071924</v>
      </c>
      <c r="G155" s="596"/>
      <c r="H155" s="594"/>
      <c r="I155" s="595"/>
      <c r="J155" s="596" t="s">
        <v>39</v>
      </c>
      <c r="K155" s="594">
        <f>L155/L$108</f>
        <v>0.91040369109614105</v>
      </c>
      <c r="L155" s="595">
        <f>L122+L135+L153</f>
        <v>119129.29999999999</v>
      </c>
      <c r="M155" s="599"/>
      <c r="N155" s="609">
        <f t="shared" ref="N155:N162" si="39">L155-F155</f>
        <v>-12751.704807192407</v>
      </c>
      <c r="O155" s="596" t="s">
        <v>39</v>
      </c>
      <c r="P155" s="594">
        <f>Q155/Q$108</f>
        <v>0.85683898951003057</v>
      </c>
      <c r="Q155" s="595">
        <f>Q122+Q135+Q153</f>
        <v>111969.31999999999</v>
      </c>
      <c r="R155" s="599"/>
      <c r="S155" s="609">
        <f t="shared" ref="S155:S162" si="40">L155-Q155</f>
        <v>7159.9799999999959</v>
      </c>
      <c r="T155" s="608"/>
      <c r="U155" s="510"/>
      <c r="V155" s="510"/>
      <c r="W155" s="510"/>
      <c r="X155" s="510"/>
      <c r="Y155" s="510"/>
      <c r="Z155" s="510"/>
      <c r="AA155" s="510"/>
      <c r="AB155" s="510"/>
      <c r="AC155" s="510"/>
      <c r="AD155" s="510"/>
      <c r="AE155" s="510"/>
      <c r="AF155" s="510"/>
      <c r="AG155" s="510"/>
      <c r="AH155" s="510"/>
      <c r="AI155" s="510"/>
      <c r="AJ155" s="510"/>
      <c r="AK155" s="510"/>
      <c r="AL155" s="510"/>
      <c r="AM155" s="510"/>
      <c r="AN155" s="510"/>
    </row>
    <row r="156" spans="1:40" ht="15.75" customHeight="1">
      <c r="A156" s="523" t="s">
        <v>330</v>
      </c>
      <c r="B156" s="510" t="s">
        <v>73</v>
      </c>
      <c r="C156" s="531" t="s">
        <v>225</v>
      </c>
      <c r="D156" s="651"/>
      <c r="E156" s="652"/>
      <c r="F156" s="532">
        <f>+INDEX('[5]Budget original'!$A$2:$AO$501,MATCH($A156,'[5]Budget original'!$A$2:$A$501,0),MATCH(F$2,'[5]Budget original'!$A$2:$AO$2,0))</f>
        <v>0</v>
      </c>
      <c r="G156" s="653"/>
      <c r="H156" s="652"/>
      <c r="I156" s="532"/>
      <c r="J156" s="653"/>
      <c r="K156" s="652"/>
      <c r="L156" s="534">
        <v>0</v>
      </c>
      <c r="M156" s="531"/>
      <c r="N156" s="557">
        <f t="shared" si="39"/>
        <v>0</v>
      </c>
      <c r="O156" s="653"/>
      <c r="P156" s="652"/>
      <c r="Q156" s="534">
        <f t="array" ref="Q156">+INDEX('[5]Réel 2023'!$A$2:$AO$501,MATCH($A156,'[5]Réel 2023'!$A$2:$A$501,0),MATCH(Q$2,'[5]Réel 2023'!$A$2:$AO$2,0))</f>
        <v>0</v>
      </c>
      <c r="R156" s="531"/>
      <c r="S156" s="557">
        <f t="shared" si="40"/>
        <v>0</v>
      </c>
      <c r="T156" s="608"/>
      <c r="U156" s="510"/>
      <c r="V156" s="510"/>
      <c r="W156" s="510"/>
      <c r="X156" s="510"/>
      <c r="Y156" s="510"/>
      <c r="Z156" s="510"/>
      <c r="AA156" s="510"/>
      <c r="AB156" s="510"/>
      <c r="AC156" s="510"/>
      <c r="AD156" s="510"/>
      <c r="AE156" s="510"/>
      <c r="AF156" s="510"/>
      <c r="AG156" s="510"/>
      <c r="AH156" s="510"/>
      <c r="AI156" s="510"/>
      <c r="AJ156" s="510"/>
      <c r="AK156" s="510"/>
      <c r="AL156" s="510"/>
      <c r="AM156" s="510"/>
      <c r="AN156" s="510"/>
    </row>
    <row r="157" spans="1:40" ht="15.75" customHeight="1">
      <c r="A157" s="523" t="s">
        <v>331</v>
      </c>
      <c r="B157" s="510" t="s">
        <v>73</v>
      </c>
      <c r="C157" s="531" t="s">
        <v>81</v>
      </c>
      <c r="D157" s="651"/>
      <c r="E157" s="652"/>
      <c r="F157" s="532">
        <f>+INDEX('[5]Budget original'!$A$2:$AO$501,MATCH($A157,'[5]Budget original'!$A$2:$A$501,0),MATCH(F$2,'[5]Budget original'!$A$2:$AO$2,0))</f>
        <v>0</v>
      </c>
      <c r="G157" s="653"/>
      <c r="H157" s="652"/>
      <c r="I157" s="532"/>
      <c r="J157" s="653"/>
      <c r="K157" s="652"/>
      <c r="L157" s="534">
        <f>-SUMIFS([5]BV_Data_An_Cour!$O:$O,[5]BV_Data_An_Cour!$U:$U,$B157,[5]BV_Data_An_Cour!$V:$V,$C157,[5]BV_Data_An_Cour!$W:$W,$L$2)</f>
        <v>0</v>
      </c>
      <c r="M157" s="531"/>
      <c r="N157" s="557">
        <f t="shared" si="39"/>
        <v>0</v>
      </c>
      <c r="O157" s="653"/>
      <c r="P157" s="652"/>
      <c r="Q157" s="534">
        <f t="array" ref="Q157">+INDEX('[5]Réel 2023'!$A$2:$AO$501,MATCH($A157,'[5]Réel 2023'!$A$2:$A$501,0),MATCH(Q$2,'[5]Réel 2023'!$A$2:$AO$2,0))</f>
        <v>0</v>
      </c>
      <c r="R157" s="531"/>
      <c r="S157" s="557">
        <f t="shared" si="40"/>
        <v>0</v>
      </c>
      <c r="T157" s="608"/>
      <c r="U157" s="510"/>
      <c r="V157" s="510"/>
      <c r="W157" s="510"/>
      <c r="X157" s="510"/>
      <c r="Y157" s="510"/>
      <c r="Z157" s="510"/>
      <c r="AA157" s="510"/>
      <c r="AB157" s="510"/>
      <c r="AC157" s="510"/>
      <c r="AD157" s="510"/>
      <c r="AE157" s="510"/>
      <c r="AF157" s="510"/>
      <c r="AG157" s="510"/>
      <c r="AH157" s="510"/>
      <c r="AI157" s="510"/>
      <c r="AJ157" s="510"/>
      <c r="AK157" s="510"/>
      <c r="AL157" s="510"/>
      <c r="AM157" s="510"/>
      <c r="AN157" s="510"/>
    </row>
    <row r="158" spans="1:40" ht="15.75" customHeight="1">
      <c r="A158" s="523" t="s">
        <v>332</v>
      </c>
      <c r="B158" s="510" t="s">
        <v>73</v>
      </c>
      <c r="C158" s="531" t="s">
        <v>82</v>
      </c>
      <c r="D158" s="584"/>
      <c r="E158" s="510"/>
      <c r="F158" s="532">
        <f>+INDEX('[5]Budget original'!$A$2:$AO$501,MATCH($A158,'[5]Budget original'!$A$2:$A$501,0),MATCH(F$2,'[5]Budget original'!$A$2:$AO$2,0))</f>
        <v>0</v>
      </c>
      <c r="G158" s="585"/>
      <c r="H158" s="510"/>
      <c r="I158" s="532"/>
      <c r="J158" s="531"/>
      <c r="K158" s="510"/>
      <c r="L158" s="534">
        <f>-SUMIFS([5]BV_Data_An_Cour!$O:$O,[5]BV_Data_An_Cour!$U:$U,$B158,[5]BV_Data_An_Cour!$V:$V,$C158,[5]BV_Data_An_Cour!$W:$W,$L$2)</f>
        <v>0</v>
      </c>
      <c r="M158" s="531"/>
      <c r="N158" s="557">
        <f t="shared" si="39"/>
        <v>0</v>
      </c>
      <c r="O158" s="531"/>
      <c r="P158" s="510"/>
      <c r="Q158" s="534">
        <f t="array" ref="Q158">+INDEX('[5]Réel 2023'!$A$2:$AO$501,MATCH($A158,'[5]Réel 2023'!$A$2:$A$501,0),MATCH(Q$2,'[5]Réel 2023'!$A$2:$AO$2,0))</f>
        <v>0</v>
      </c>
      <c r="R158" s="531"/>
      <c r="S158" s="557">
        <f t="shared" si="40"/>
        <v>0</v>
      </c>
      <c r="T158" s="608"/>
      <c r="U158" s="510"/>
      <c r="V158" s="510"/>
      <c r="W158" s="510"/>
      <c r="X158" s="510"/>
      <c r="Y158" s="510"/>
      <c r="Z158" s="510"/>
      <c r="AA158" s="510"/>
      <c r="AB158" s="510"/>
      <c r="AC158" s="510"/>
      <c r="AD158" s="510"/>
      <c r="AE158" s="510"/>
      <c r="AF158" s="510"/>
      <c r="AG158" s="510"/>
      <c r="AH158" s="510"/>
      <c r="AI158" s="510"/>
      <c r="AJ158" s="510"/>
      <c r="AK158" s="510"/>
      <c r="AL158" s="510"/>
      <c r="AM158" s="510"/>
      <c r="AN158" s="510"/>
    </row>
    <row r="159" spans="1:40" ht="15.75" customHeight="1">
      <c r="A159" s="523" t="s">
        <v>333</v>
      </c>
      <c r="B159" s="510" t="s">
        <v>73</v>
      </c>
      <c r="C159" s="531" t="s">
        <v>70</v>
      </c>
      <c r="D159" s="654">
        <f>E159/474</f>
        <v>1.0001054852320674</v>
      </c>
      <c r="E159" s="615">
        <f>F159/D97</f>
        <v>474.05</v>
      </c>
      <c r="F159" s="532">
        <f>+INDEX('[5]Budget original'!$A$2:$AO$501,MATCH($A159,'[5]Budget original'!$A$2:$A$501,0),MATCH(F$2,'[5]Budget original'!$A$2:$AO$2,0))</f>
        <v>17850.352750000002</v>
      </c>
      <c r="G159" s="585"/>
      <c r="H159" s="510"/>
      <c r="I159" s="532"/>
      <c r="J159" s="616">
        <f>K159/474</f>
        <v>0.99735060347365323</v>
      </c>
      <c r="K159" s="615">
        <f>L159/J97</f>
        <v>472.74418604651163</v>
      </c>
      <c r="L159" s="534">
        <f>-SUMIFS([5]BV_Data_An_Cour!$O:$O,[5]BV_Data_An_Cour!$U:$U,$B159,[5]BV_Data_An_Cour!$V:$V,$C159,[5]BV_Data_An_Cour!$W:$W,L$2)</f>
        <v>20328</v>
      </c>
      <c r="M159" s="531"/>
      <c r="N159" s="557">
        <f t="shared" si="39"/>
        <v>2477.6472499999982</v>
      </c>
      <c r="O159" s="531"/>
      <c r="P159" s="510"/>
      <c r="Q159" s="534">
        <f t="array" ref="Q159">+INDEX('[5]Réel 2023'!$A$2:$AO$501,MATCH($A159,'[5]Réel 2023'!$A$2:$A$501,0),MATCH(Q$2,'[5]Réel 2023'!$A$2:$AO$2,0))</f>
        <v>10119</v>
      </c>
      <c r="R159" s="531"/>
      <c r="S159" s="557">
        <f t="shared" si="40"/>
        <v>10209</v>
      </c>
      <c r="T159" s="608"/>
      <c r="U159" s="510"/>
      <c r="V159" s="510"/>
      <c r="W159" s="510"/>
      <c r="X159" s="510"/>
      <c r="Y159" s="510"/>
      <c r="Z159" s="510"/>
      <c r="AA159" s="510"/>
      <c r="AB159" s="510"/>
      <c r="AC159" s="510"/>
      <c r="AD159" s="510"/>
      <c r="AE159" s="510"/>
      <c r="AF159" s="510"/>
      <c r="AG159" s="510"/>
      <c r="AH159" s="510"/>
      <c r="AI159" s="510"/>
      <c r="AJ159" s="510"/>
      <c r="AK159" s="510"/>
      <c r="AL159" s="510"/>
      <c r="AM159" s="510"/>
      <c r="AN159" s="510"/>
    </row>
    <row r="160" spans="1:40" ht="15.75" hidden="1" customHeight="1">
      <c r="A160" s="523" t="s">
        <v>303</v>
      </c>
      <c r="B160" s="510" t="s">
        <v>73</v>
      </c>
      <c r="C160" s="531" t="s">
        <v>20</v>
      </c>
      <c r="D160" s="584"/>
      <c r="E160" s="510"/>
      <c r="F160" s="532">
        <f>+INDEX('[5]Budget original'!$A$2:$AO$501,MATCH($A160,'[5]Budget original'!$A$2:$A$501,0),MATCH(F$2,'[5]Budget original'!$A$2:$AO$2,0))</f>
        <v>0</v>
      </c>
      <c r="G160" s="585"/>
      <c r="H160" s="510"/>
      <c r="I160" s="532"/>
      <c r="J160" s="531"/>
      <c r="K160" s="510"/>
      <c r="L160" s="534">
        <f>-SUMIFS([5]BV_Data_An_Cour!$O:$O,[5]BV_Data_An_Cour!$U:$U,$B160,[5]BV_Data_An_Cour!$V:$V,$C160,[5]BV_Data_An_Cour!$W:$W,$L$2)</f>
        <v>0</v>
      </c>
      <c r="M160" s="531"/>
      <c r="N160" s="557">
        <f t="shared" si="39"/>
        <v>0</v>
      </c>
      <c r="O160" s="531"/>
      <c r="P160" s="510"/>
      <c r="Q160" s="534">
        <f t="array" ref="Q160">+INDEX('[5]Réel 2023'!$A$2:$AO$501,MATCH($A160,'[5]Réel 2023'!$A$2:$A$501,0),MATCH(Q$2,'[5]Réel 2023'!$A$2:$AO$2,0))</f>
        <v>0</v>
      </c>
      <c r="R160" s="531"/>
      <c r="S160" s="557">
        <f t="shared" si="40"/>
        <v>0</v>
      </c>
      <c r="T160" s="608"/>
      <c r="U160" s="510"/>
      <c r="V160" s="510"/>
      <c r="W160" s="510"/>
      <c r="X160" s="510"/>
      <c r="Y160" s="510"/>
      <c r="Z160" s="510"/>
      <c r="AA160" s="510"/>
      <c r="AB160" s="510"/>
      <c r="AC160" s="510"/>
      <c r="AD160" s="510"/>
      <c r="AE160" s="510"/>
      <c r="AF160" s="510"/>
      <c r="AG160" s="510"/>
      <c r="AH160" s="510"/>
      <c r="AI160" s="510"/>
      <c r="AJ160" s="510"/>
      <c r="AK160" s="510"/>
      <c r="AL160" s="510"/>
      <c r="AM160" s="510"/>
      <c r="AN160" s="510"/>
    </row>
    <row r="161" spans="1:40" ht="15.75" hidden="1" customHeight="1">
      <c r="A161" s="523" t="s">
        <v>303</v>
      </c>
      <c r="B161" s="510" t="s">
        <v>73</v>
      </c>
      <c r="C161" s="531" t="s">
        <v>20</v>
      </c>
      <c r="D161" s="584"/>
      <c r="E161" s="510"/>
      <c r="F161" s="532">
        <f>+INDEX('[5]Budget original'!$A$2:$AO$501,MATCH($A161,'[5]Budget original'!$A$2:$A$501,0),MATCH(F$2,'[5]Budget original'!$A$2:$AO$2,0))</f>
        <v>0</v>
      </c>
      <c r="G161" s="585"/>
      <c r="H161" s="510"/>
      <c r="I161" s="532"/>
      <c r="J161" s="531"/>
      <c r="K161" s="510"/>
      <c r="L161" s="534">
        <f>-SUMIFS([5]BV_Data_An_Cour!$O:$O,[5]BV_Data_An_Cour!$U:$U,$B161,[5]BV_Data_An_Cour!$V:$V,$C161,[5]BV_Data_An_Cour!$W:$W,$L$2)</f>
        <v>0</v>
      </c>
      <c r="M161" s="531"/>
      <c r="N161" s="557">
        <f t="shared" si="39"/>
        <v>0</v>
      </c>
      <c r="O161" s="531"/>
      <c r="P161" s="510"/>
      <c r="Q161" s="534">
        <f t="array" ref="Q161">+INDEX('[5]Réel 2023'!$A$2:$AO$501,MATCH($A161,'[5]Réel 2023'!$A$2:$A$501,0),MATCH(Q$2,'[5]Réel 2023'!$A$2:$AO$2,0))</f>
        <v>0</v>
      </c>
      <c r="R161" s="531"/>
      <c r="S161" s="557">
        <f t="shared" si="40"/>
        <v>0</v>
      </c>
      <c r="T161" s="608"/>
      <c r="U161" s="510"/>
      <c r="V161" s="510"/>
      <c r="W161" s="510"/>
      <c r="X161" s="510"/>
      <c r="Y161" s="510"/>
      <c r="Z161" s="510"/>
      <c r="AA161" s="510"/>
      <c r="AB161" s="510"/>
      <c r="AC161" s="510"/>
      <c r="AD161" s="510"/>
      <c r="AE161" s="510"/>
      <c r="AF161" s="510"/>
      <c r="AG161" s="510"/>
      <c r="AH161" s="510"/>
      <c r="AI161" s="510"/>
      <c r="AJ161" s="510"/>
      <c r="AK161" s="510"/>
      <c r="AL161" s="510"/>
      <c r="AM161" s="510"/>
      <c r="AN161" s="510"/>
    </row>
    <row r="162" spans="1:40" ht="15.75" hidden="1" customHeight="1">
      <c r="A162" s="523" t="s">
        <v>303</v>
      </c>
      <c r="B162" s="510" t="s">
        <v>73</v>
      </c>
      <c r="C162" s="524" t="s">
        <v>20</v>
      </c>
      <c r="D162" s="587"/>
      <c r="E162" s="607"/>
      <c r="F162" s="532">
        <f>+INDEX('[5]Budget original'!$A$2:$AO$501,MATCH($A162,'[5]Budget original'!$A$2:$A$501,0),MATCH(F$2,'[5]Budget original'!$A$2:$AO$2,0))</f>
        <v>0</v>
      </c>
      <c r="G162" s="585"/>
      <c r="H162" s="510"/>
      <c r="I162" s="532"/>
      <c r="J162" s="531"/>
      <c r="K162" s="510"/>
      <c r="L162" s="534">
        <f>-SUMIFS([5]BV_Data_An_Cour!$O:$O,[5]BV_Data_An_Cour!$U:$U,$B162,[5]BV_Data_An_Cour!$V:$V,$C162,[5]BV_Data_An_Cour!$W:$W,$L$2)</f>
        <v>0</v>
      </c>
      <c r="M162" s="531"/>
      <c r="N162" s="557">
        <f t="shared" si="39"/>
        <v>0</v>
      </c>
      <c r="O162" s="531"/>
      <c r="P162" s="510"/>
      <c r="Q162" s="534">
        <f t="array" ref="Q162">+INDEX('[5]Réel 2023'!$A$2:$AO$501,MATCH($A162,'[5]Réel 2023'!$A$2:$A$501,0),MATCH(Q$2,'[5]Réel 2023'!$A$2:$AO$2,0))</f>
        <v>0</v>
      </c>
      <c r="R162" s="531"/>
      <c r="S162" s="557">
        <f t="shared" si="40"/>
        <v>0</v>
      </c>
      <c r="T162" s="608"/>
      <c r="U162" s="510"/>
      <c r="V162" s="510"/>
      <c r="W162" s="510"/>
      <c r="X162" s="510"/>
      <c r="Y162" s="510"/>
      <c r="Z162" s="510"/>
      <c r="AA162" s="510"/>
      <c r="AB162" s="510"/>
      <c r="AC162" s="510"/>
      <c r="AD162" s="510"/>
      <c r="AE162" s="510"/>
      <c r="AF162" s="510"/>
      <c r="AG162" s="510"/>
      <c r="AH162" s="510"/>
      <c r="AI162" s="510"/>
      <c r="AJ162" s="510"/>
      <c r="AK162" s="510"/>
      <c r="AL162" s="510"/>
      <c r="AM162" s="510"/>
      <c r="AN162" s="510"/>
    </row>
    <row r="163" spans="1:40" ht="15.75" customHeight="1">
      <c r="B163" s="510"/>
      <c r="C163" s="592" t="s">
        <v>71</v>
      </c>
      <c r="D163" s="593"/>
      <c r="E163" s="594"/>
      <c r="F163" s="595">
        <f>+SUM(F156:F162)</f>
        <v>17850.352750000002</v>
      </c>
      <c r="G163" s="596"/>
      <c r="H163" s="594"/>
      <c r="I163" s="595"/>
      <c r="J163" s="596"/>
      <c r="K163" s="594"/>
      <c r="L163" s="595">
        <f>+SUM(L156:L162)</f>
        <v>20328</v>
      </c>
      <c r="M163" s="599"/>
      <c r="N163" s="595">
        <f>SUM(N156:N159)</f>
        <v>2477.6472499999982</v>
      </c>
      <c r="O163" s="596"/>
      <c r="P163" s="594"/>
      <c r="Q163" s="595">
        <f>+SUM(Q156:Q162)</f>
        <v>10119</v>
      </c>
      <c r="R163" s="599"/>
      <c r="S163" s="595">
        <f>+SUM(S156:S162)</f>
        <v>10209</v>
      </c>
      <c r="T163" s="608"/>
      <c r="U163" s="510"/>
      <c r="V163" s="510"/>
      <c r="W163" s="510"/>
      <c r="X163" s="510"/>
      <c r="Y163" s="510"/>
      <c r="Z163" s="510"/>
      <c r="AA163" s="510"/>
      <c r="AB163" s="510"/>
      <c r="AC163" s="510"/>
      <c r="AD163" s="510"/>
      <c r="AE163" s="510"/>
      <c r="AF163" s="510"/>
      <c r="AG163" s="510"/>
      <c r="AH163" s="510"/>
      <c r="AI163" s="510"/>
      <c r="AJ163" s="510"/>
      <c r="AK163" s="510"/>
      <c r="AL163" s="510"/>
      <c r="AM163" s="510"/>
      <c r="AN163" s="510"/>
    </row>
    <row r="164" spans="1:40" ht="15.75" customHeight="1">
      <c r="B164" s="510"/>
      <c r="C164" s="531"/>
      <c r="D164" s="584"/>
      <c r="E164" s="510"/>
      <c r="F164" s="557"/>
      <c r="G164" s="585"/>
      <c r="H164" s="510"/>
      <c r="I164" s="557"/>
      <c r="J164" s="531"/>
      <c r="K164" s="510"/>
      <c r="L164" s="557"/>
      <c r="M164" s="531"/>
      <c r="N164" s="557"/>
      <c r="O164" s="531"/>
      <c r="P164" s="510"/>
      <c r="Q164" s="557"/>
      <c r="R164" s="531"/>
      <c r="S164" s="557"/>
      <c r="T164" s="652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510"/>
      <c r="AE164" s="510"/>
      <c r="AF164" s="510"/>
      <c r="AG164" s="510"/>
      <c r="AH164" s="510"/>
      <c r="AI164" s="510"/>
      <c r="AJ164" s="510"/>
      <c r="AK164" s="510"/>
      <c r="AL164" s="510"/>
      <c r="AM164" s="510"/>
      <c r="AN164" s="510"/>
    </row>
    <row r="165" spans="1:40" ht="15.75" customHeight="1" thickBot="1">
      <c r="B165" s="510"/>
      <c r="C165" s="625" t="s">
        <v>72</v>
      </c>
      <c r="D165" s="655"/>
      <c r="E165" s="626"/>
      <c r="F165" s="628">
        <f>F108-F155+F163</f>
        <v>52005.747942807604</v>
      </c>
      <c r="G165" s="656"/>
      <c r="H165" s="626"/>
      <c r="I165" s="628"/>
      <c r="J165" s="625"/>
      <c r="K165" s="627"/>
      <c r="L165" s="628">
        <f>L108-L155+L163</f>
        <v>32051.970000000059</v>
      </c>
      <c r="M165" s="625"/>
      <c r="N165" s="628">
        <f>L165-F165</f>
        <v>-19953.777942807545</v>
      </c>
      <c r="O165" s="625"/>
      <c r="P165" s="630">
        <f>+Q165/Q93</f>
        <v>2.041399169640595E-2</v>
      </c>
      <c r="Q165" s="628">
        <f>Q108-Q155+Q163</f>
        <v>28826.879999999801</v>
      </c>
      <c r="R165" s="625"/>
      <c r="S165" s="628">
        <f>L165-Q165</f>
        <v>3225.0900000002584</v>
      </c>
      <c r="T165" s="573"/>
      <c r="U165" s="510"/>
      <c r="V165" s="510"/>
      <c r="W165" s="510"/>
      <c r="X165" s="510"/>
      <c r="Y165" s="510"/>
      <c r="Z165" s="510"/>
      <c r="AA165" s="510"/>
      <c r="AB165" s="510"/>
      <c r="AC165" s="510"/>
      <c r="AD165" s="510"/>
      <c r="AE165" s="510"/>
      <c r="AF165" s="510"/>
      <c r="AG165" s="510"/>
      <c r="AH165" s="510"/>
      <c r="AI165" s="510"/>
      <c r="AJ165" s="510"/>
      <c r="AK165" s="510"/>
      <c r="AL165" s="510"/>
      <c r="AM165" s="510"/>
      <c r="AN165" s="510"/>
    </row>
    <row r="166" spans="1:40" ht="15.75" customHeight="1" thickTop="1">
      <c r="B166" s="510"/>
      <c r="C166" s="507"/>
      <c r="D166" s="507"/>
      <c r="E166" s="507"/>
      <c r="F166" s="657"/>
      <c r="G166" s="507"/>
      <c r="H166" s="507"/>
      <c r="I166" s="507"/>
      <c r="J166" s="507"/>
      <c r="K166" s="507"/>
      <c r="L166" s="657"/>
      <c r="M166" s="507"/>
      <c r="N166" s="507"/>
      <c r="O166" s="507"/>
      <c r="P166" s="507"/>
      <c r="Q166" s="507"/>
      <c r="R166" s="507"/>
      <c r="S166" s="507"/>
      <c r="T166" s="657"/>
      <c r="U166" s="507"/>
      <c r="V166" s="510"/>
      <c r="W166" s="510"/>
      <c r="X166" s="510"/>
      <c r="Y166" s="510"/>
      <c r="Z166" s="510"/>
      <c r="AA166" s="510"/>
      <c r="AB166" s="510"/>
      <c r="AC166" s="510"/>
      <c r="AD166" s="510"/>
      <c r="AE166" s="510"/>
      <c r="AF166" s="510"/>
      <c r="AG166" s="510"/>
      <c r="AH166" s="510"/>
      <c r="AI166" s="510"/>
      <c r="AJ166" s="510"/>
      <c r="AK166" s="510"/>
      <c r="AL166" s="510"/>
      <c r="AM166" s="510"/>
      <c r="AN166" s="510"/>
    </row>
    <row r="167" spans="1:40" ht="8.25" customHeight="1">
      <c r="B167" s="510"/>
      <c r="C167" s="507"/>
      <c r="D167" s="507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657"/>
      <c r="U167" s="507"/>
      <c r="V167" s="507"/>
      <c r="W167" s="507"/>
      <c r="X167" s="507"/>
      <c r="Y167" s="507"/>
      <c r="Z167" s="507"/>
      <c r="AA167" s="507"/>
      <c r="AB167" s="507"/>
      <c r="AC167" s="507"/>
      <c r="AD167" s="507"/>
      <c r="AE167" s="507"/>
      <c r="AF167" s="507"/>
      <c r="AG167" s="507"/>
      <c r="AH167" s="507"/>
      <c r="AI167" s="507"/>
      <c r="AJ167" s="507"/>
      <c r="AK167" s="507"/>
      <c r="AL167" s="507"/>
      <c r="AM167" s="507"/>
      <c r="AN167" s="507"/>
    </row>
    <row r="168" spans="1:40" ht="33.75" customHeight="1">
      <c r="B168" s="510"/>
      <c r="C168" s="635" t="str">
        <f>C1</f>
        <v>Volks</v>
      </c>
      <c r="D168" s="498"/>
      <c r="E168" s="498"/>
      <c r="F168" s="498"/>
      <c r="G168" s="498"/>
      <c r="H168" s="496"/>
      <c r="I168" s="496"/>
      <c r="J168" s="496"/>
      <c r="K168" s="500" t="s">
        <v>83</v>
      </c>
      <c r="L168" s="498"/>
      <c r="M168" s="498"/>
      <c r="N168" s="496"/>
      <c r="O168" s="496"/>
      <c r="P168" s="498"/>
      <c r="Q168" s="496"/>
      <c r="R168" s="498"/>
      <c r="S168" s="636" t="str">
        <f>$S$1</f>
        <v>Réalisé, Octobre 2024</v>
      </c>
      <c r="T168" s="498"/>
      <c r="U168" s="496"/>
      <c r="V168" s="507"/>
      <c r="W168" s="507"/>
      <c r="X168" s="507"/>
      <c r="Y168" s="507"/>
      <c r="Z168" s="507"/>
      <c r="AA168" s="507"/>
      <c r="AB168" s="507"/>
      <c r="AC168" s="507"/>
      <c r="AD168" s="507"/>
      <c r="AE168" s="507"/>
      <c r="AF168" s="507"/>
      <c r="AG168" s="507"/>
      <c r="AH168" s="507"/>
      <c r="AI168" s="507"/>
      <c r="AJ168" s="507"/>
      <c r="AK168" s="507"/>
      <c r="AL168" s="507"/>
      <c r="AM168" s="507"/>
      <c r="AN168" s="507"/>
    </row>
    <row r="169" spans="1:40" ht="15.75" customHeight="1" thickBot="1">
      <c r="B169" s="510"/>
      <c r="C169" s="505"/>
      <c r="D169" s="507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496"/>
      <c r="W169" s="496"/>
      <c r="X169" s="496"/>
      <c r="Y169" s="496"/>
      <c r="Z169" s="496"/>
      <c r="AA169" s="496"/>
      <c r="AB169" s="496"/>
      <c r="AC169" s="496"/>
      <c r="AD169" s="496"/>
      <c r="AE169" s="496"/>
      <c r="AF169" s="496"/>
      <c r="AG169" s="496"/>
      <c r="AH169" s="496"/>
      <c r="AI169" s="496"/>
      <c r="AJ169" s="496"/>
      <c r="AK169" s="496"/>
      <c r="AL169" s="496"/>
      <c r="AM169" s="496"/>
      <c r="AN169" s="496"/>
    </row>
    <row r="170" spans="1:40" ht="15.75" customHeight="1" thickTop="1">
      <c r="B170" s="510"/>
      <c r="C170" s="511"/>
      <c r="D170" s="512" t="s">
        <v>5</v>
      </c>
      <c r="E170" s="513"/>
      <c r="F170" s="514"/>
      <c r="G170" s="515"/>
      <c r="H170" s="513"/>
      <c r="I170" s="514"/>
      <c r="J170" s="515" t="s">
        <v>7</v>
      </c>
      <c r="K170" s="513"/>
      <c r="L170" s="514"/>
      <c r="M170" s="515" t="s">
        <v>220</v>
      </c>
      <c r="N170" s="514"/>
      <c r="O170" s="512" t="s">
        <v>8</v>
      </c>
      <c r="P170" s="513"/>
      <c r="Q170" s="514"/>
      <c r="R170" s="515" t="s">
        <v>221</v>
      </c>
      <c r="S170" s="514"/>
      <c r="T170" s="651"/>
      <c r="AA170" s="507"/>
      <c r="AB170" s="507"/>
      <c r="AC170" s="507"/>
      <c r="AD170" s="507"/>
      <c r="AE170" s="507"/>
      <c r="AF170" s="507"/>
      <c r="AG170" s="507"/>
      <c r="AH170" s="507"/>
      <c r="AI170" s="507"/>
      <c r="AJ170" s="507"/>
      <c r="AK170" s="507"/>
      <c r="AL170" s="507"/>
      <c r="AM170" s="507"/>
      <c r="AN170" s="507"/>
    </row>
    <row r="171" spans="1:40" ht="15.75" customHeight="1">
      <c r="A171" s="523" t="s">
        <v>83</v>
      </c>
      <c r="B171" s="510" t="s">
        <v>83</v>
      </c>
      <c r="C171" s="531"/>
      <c r="D171" s="575" t="s">
        <v>40</v>
      </c>
      <c r="E171" s="575" t="s">
        <v>84</v>
      </c>
      <c r="F171" s="658" t="s">
        <v>12</v>
      </c>
      <c r="G171" s="659"/>
      <c r="H171" s="575"/>
      <c r="I171" s="658"/>
      <c r="J171" s="659" t="s">
        <v>40</v>
      </c>
      <c r="K171" s="575" t="s">
        <v>84</v>
      </c>
      <c r="L171" s="658" t="s">
        <v>12</v>
      </c>
      <c r="M171" s="659" t="s">
        <v>226</v>
      </c>
      <c r="N171" s="658" t="s">
        <v>223</v>
      </c>
      <c r="O171" s="575" t="s">
        <v>40</v>
      </c>
      <c r="P171" s="575" t="s">
        <v>84</v>
      </c>
      <c r="Q171" s="658" t="s">
        <v>12</v>
      </c>
      <c r="R171" s="659" t="s">
        <v>85</v>
      </c>
      <c r="S171" s="658" t="s">
        <v>12</v>
      </c>
      <c r="T171" s="575"/>
      <c r="AA171" s="510"/>
      <c r="AB171" s="510"/>
      <c r="AC171" s="510"/>
      <c r="AD171" s="510"/>
      <c r="AE171" s="510"/>
      <c r="AF171" s="510"/>
      <c r="AG171" s="510"/>
      <c r="AH171" s="510"/>
      <c r="AI171" s="510"/>
      <c r="AJ171" s="510"/>
      <c r="AK171" s="510"/>
      <c r="AL171" s="510"/>
      <c r="AM171" s="510"/>
      <c r="AN171" s="510"/>
    </row>
    <row r="172" spans="1:40" ht="15.75" customHeight="1">
      <c r="A172" s="523" t="s">
        <v>334</v>
      </c>
      <c r="B172" s="510" t="s">
        <v>83</v>
      </c>
      <c r="C172" s="531" t="s">
        <v>86</v>
      </c>
      <c r="D172" s="573">
        <f>+INDEX('[5]Budget original'!$A$2:$AO$501,MATCH($A172,'[5]Budget original'!$A$2:$A$501,0),MATCH(D$2,'[5]Budget original'!$A$2:$AO$2,0))</f>
        <v>720.66300000000001</v>
      </c>
      <c r="E172" s="573">
        <f>+INDEX('[5]Budget original'!$A$2:$AO$501,MATCH($A172,'[5]Budget original'!$A$2:$A$501,0),MATCH(E$2,'[5]Budget original'!$A$2:$AO$2,0))</f>
        <v>237818.79</v>
      </c>
      <c r="F172" s="573">
        <f>+INDEX('[5]Budget original'!$A$2:$AO$501,MATCH($A172,'[5]Budget original'!$A$2:$A$501,0),MATCH(F$2,'[5]Budget original'!$A$2:$AO$2,0))</f>
        <v>180742.28040000002</v>
      </c>
      <c r="G172" s="558"/>
      <c r="H172" s="573"/>
      <c r="I172" s="573"/>
      <c r="J172" s="558">
        <f>-SUMIFS([5]BV_Data_An_Cour!$O:$O,[5]BV_Data_An_Cour!$U:$U,$B172,[5]BV_Data_An_Cour!$V:$V,$C172,[5]BV_Data_An_Cour!$W:$W,J$2)</f>
        <v>551</v>
      </c>
      <c r="K172" s="532">
        <f>-SUMIFS([5]BV_Data_An_Cour!$O:$O,[5]BV_Data_An_Cour!$X:$X,"Oui",[5]BV_Data_An_Cour!$U:$U,$B172,[5]BV_Data_An_Cour!$V:$V,$C172)</f>
        <v>205605.56999999998</v>
      </c>
      <c r="L172" s="534">
        <f>-SUMIFS([5]BV_Data_An_Cour!$O:$O,[5]BV_Data_An_Cour!$U:$U,$B172,[5]BV_Data_An_Cour!$V:$V,$C172,[5]BV_Data_An_Cour!$W:$W,$L$2)</f>
        <v>166621.21999999997</v>
      </c>
      <c r="M172" s="577">
        <f>(K172-E172)/E172</f>
        <v>-0.13545279580305672</v>
      </c>
      <c r="N172" s="557">
        <f>L172-F172</f>
        <v>-14121.060400000046</v>
      </c>
      <c r="O172" s="558">
        <f t="array" ref="O172">+INDEX('[5]Réel 2023'!$A$2:$AO$501,MATCH($A172,'[5]Réel 2023'!$A$2:$A$501,0),MATCH(O$2,'[5]Réel 2023'!$A$2:$AO$2,0))</f>
        <v>584</v>
      </c>
      <c r="P172" s="532">
        <f t="array" ref="P172">+INDEX('[5]Réel 2023'!$A$2:$AO$501,MATCH($A172,'[5]Réel 2023'!$A$2:$A$501,0),MATCH(P$2,'[5]Réel 2023'!$A$2:$AO$2,0))</f>
        <v>160196.75</v>
      </c>
      <c r="Q172" s="534">
        <f t="array" ref="Q172">+INDEX('[5]Réel 2023'!$A$2:$AO$501,MATCH($A172,'[5]Réel 2023'!$A$2:$A$501,0),MATCH(Q$2,'[5]Réel 2023'!$A$2:$AO$2,0))</f>
        <v>122881.74</v>
      </c>
      <c r="R172" s="577">
        <f>IF(O172=0,0,J172/O172)</f>
        <v>0.94349315068493156</v>
      </c>
      <c r="S172" s="557">
        <f>L172-Q172</f>
        <v>43739.479999999967</v>
      </c>
      <c r="T172" s="573"/>
      <c r="AA172" s="510"/>
      <c r="AB172" s="510"/>
      <c r="AC172" s="510"/>
      <c r="AD172" s="510"/>
      <c r="AE172" s="510"/>
      <c r="AF172" s="510"/>
      <c r="AG172" s="510"/>
      <c r="AH172" s="510"/>
      <c r="AI172" s="510"/>
      <c r="AJ172" s="510"/>
      <c r="AK172" s="510"/>
      <c r="AL172" s="510"/>
      <c r="AM172" s="510"/>
      <c r="AN172" s="510"/>
    </row>
    <row r="173" spans="1:40" ht="15.75" customHeight="1">
      <c r="A173" s="523" t="s">
        <v>335</v>
      </c>
      <c r="B173" s="510" t="s">
        <v>83</v>
      </c>
      <c r="C173" s="531" t="s">
        <v>87</v>
      </c>
      <c r="D173" s="573"/>
      <c r="E173" s="644"/>
      <c r="F173" s="660">
        <f>F172/E172</f>
        <v>0.76</v>
      </c>
      <c r="G173" s="558"/>
      <c r="H173" s="644"/>
      <c r="I173" s="660"/>
      <c r="J173" s="558"/>
      <c r="K173" s="510"/>
      <c r="L173" s="660">
        <f>IF(L172=0,0,L172/K172)</f>
        <v>0.81039253946281709</v>
      </c>
      <c r="M173" s="577"/>
      <c r="N173" s="557"/>
      <c r="O173" s="558"/>
      <c r="P173" s="510"/>
      <c r="Q173" s="660">
        <f>Q172/P172</f>
        <v>0.76706762153414476</v>
      </c>
      <c r="R173" s="558"/>
      <c r="S173" s="557"/>
      <c r="T173" s="573"/>
      <c r="AA173" s="510"/>
      <c r="AB173" s="510"/>
      <c r="AC173" s="510"/>
      <c r="AD173" s="510"/>
      <c r="AE173" s="510"/>
      <c r="AF173" s="510"/>
      <c r="AG173" s="510"/>
      <c r="AH173" s="510"/>
      <c r="AI173" s="510"/>
      <c r="AJ173" s="510"/>
      <c r="AK173" s="510"/>
      <c r="AL173" s="510"/>
      <c r="AM173" s="510"/>
      <c r="AN173" s="510"/>
    </row>
    <row r="174" spans="1:40" ht="15.75" customHeight="1">
      <c r="A174" s="523" t="s">
        <v>83</v>
      </c>
      <c r="B174" s="510" t="s">
        <v>83</v>
      </c>
      <c r="C174" s="524"/>
      <c r="D174" s="580"/>
      <c r="E174" s="661">
        <f>IFERROR(E172/D172,0)</f>
        <v>330</v>
      </c>
      <c r="F174" s="662"/>
      <c r="G174" s="663"/>
      <c r="H174" s="661"/>
      <c r="I174" s="662"/>
      <c r="J174" s="663"/>
      <c r="K174" s="661">
        <f>IFERROR(K172/J172,0)</f>
        <v>373.14985480943733</v>
      </c>
      <c r="L174" s="662"/>
      <c r="M174" s="581"/>
      <c r="N174" s="582"/>
      <c r="O174" s="663"/>
      <c r="P174" s="661">
        <f>IFERROR(P172/O172,0)</f>
        <v>274.30950342465752</v>
      </c>
      <c r="Q174" s="662"/>
      <c r="R174" s="663"/>
      <c r="S174" s="582"/>
      <c r="T174" s="573"/>
      <c r="AA174" s="510"/>
      <c r="AB174" s="510"/>
      <c r="AC174" s="510"/>
      <c r="AD174" s="510"/>
      <c r="AE174" s="510"/>
      <c r="AF174" s="510"/>
      <c r="AG174" s="510"/>
      <c r="AH174" s="510"/>
      <c r="AI174" s="510"/>
      <c r="AJ174" s="510"/>
      <c r="AK174" s="510"/>
      <c r="AL174" s="510"/>
      <c r="AM174" s="510"/>
      <c r="AN174" s="510"/>
    </row>
    <row r="175" spans="1:40" ht="18" customHeight="1">
      <c r="A175" s="523" t="s">
        <v>336</v>
      </c>
      <c r="B175" s="510" t="s">
        <v>83</v>
      </c>
      <c r="C175" s="518" t="s">
        <v>88</v>
      </c>
      <c r="D175" s="664">
        <f>+INDEX('[5]Budget original'!$A$2:$AO$501,MATCH($A175,'[5]Budget original'!$A$2:$A$501,0),MATCH(D$2,'[5]Budget original'!$A$2:$AO$2,0))</f>
        <v>152.6285</v>
      </c>
      <c r="E175" s="573">
        <f>+INDEX('[5]Budget original'!$A$2:$AO$501,MATCH($A175,'[5]Budget original'!$A$2:$A$501,0),MATCH(E$2,'[5]Budget original'!$A$2:$AO$2,0))</f>
        <v>41209.695</v>
      </c>
      <c r="F175" s="573">
        <f>+INDEX('[5]Budget original'!$A$2:$AO$501,MATCH($A175,'[5]Budget original'!$A$2:$A$501,0),MATCH(F$2,'[5]Budget original'!$A$2:$AO$2,0))</f>
        <v>26374.2048</v>
      </c>
      <c r="G175" s="665"/>
      <c r="H175" s="573"/>
      <c r="I175" s="573"/>
      <c r="J175" s="665">
        <f>-SUMIFS([5]BV_Data_An_Cour!$O:$O,[5]BV_Data_An_Cour!$U:$U,$B175,[5]BV_Data_An_Cour!$V:$V,$C175,[5]BV_Data_An_Cour!$W:$W,J$2)</f>
        <v>182</v>
      </c>
      <c r="K175" s="552">
        <f>-SUMIFS([5]BV_Data_An_Cour!$O:$O,[5]BV_Data_An_Cour!$X:$X,"Oui",[5]BV_Data_An_Cour!$U:$U,$B175,[5]BV_Data_An_Cour!$V:$V,$C175)</f>
        <v>48010.05</v>
      </c>
      <c r="L175" s="534">
        <f>-SUMIFS([5]BV_Data_An_Cour!$O:$O,[5]BV_Data_An_Cour!$U:$U,$B175,[5]BV_Data_An_Cour!$V:$V,$C175,[5]BV_Data_An_Cour!$W:$W,$L$2)</f>
        <v>31856.11</v>
      </c>
      <c r="M175" s="577">
        <f>(K175-E175)/E175</f>
        <v>0.16501832881801246</v>
      </c>
      <c r="N175" s="606">
        <f>L175-F175</f>
        <v>5481.9052000000011</v>
      </c>
      <c r="O175" s="665">
        <f t="array" ref="O175">+INDEX('[5]Réel 2023'!$A$2:$AO$501,MATCH($A175,'[5]Réel 2023'!$A$2:$A$501,0),MATCH(O$2,'[5]Réel 2023'!$A$2:$AO$2,0))</f>
        <v>98</v>
      </c>
      <c r="P175" s="552">
        <f t="array" ref="P175">+INDEX('[5]Réel 2023'!$A$2:$AO$501,MATCH($A175,'[5]Réel 2023'!$A$2:$A$501,0),MATCH(P$2,'[5]Réel 2023'!$A$2:$AO$2,0))</f>
        <v>29283.51</v>
      </c>
      <c r="Q175" s="534">
        <f t="array" ref="Q175">+INDEX('[5]Réel 2023'!$A$2:$AO$501,MATCH($A175,'[5]Réel 2023'!$A$2:$A$501,0),MATCH(Q$2,'[5]Réel 2023'!$A$2:$AO$2,0))</f>
        <v>17174.5</v>
      </c>
      <c r="R175" s="577">
        <f>IF(O175=0,0,J175/O175)</f>
        <v>1.8571428571428572</v>
      </c>
      <c r="S175" s="557">
        <f>L175-Q175</f>
        <v>14681.61</v>
      </c>
      <c r="T175" s="573"/>
      <c r="U175" s="510"/>
      <c r="V175" s="532"/>
      <c r="W175" s="510"/>
      <c r="AA175" s="510"/>
      <c r="AB175" s="510"/>
      <c r="AC175" s="510"/>
      <c r="AD175" s="510"/>
      <c r="AE175" s="510"/>
      <c r="AF175" s="510"/>
      <c r="AG175" s="510"/>
      <c r="AH175" s="510"/>
      <c r="AI175" s="510"/>
      <c r="AJ175" s="510"/>
      <c r="AK175" s="510"/>
      <c r="AL175" s="510"/>
      <c r="AM175" s="510"/>
      <c r="AN175" s="510"/>
    </row>
    <row r="176" spans="1:40" ht="15.75" customHeight="1">
      <c r="A176" s="523" t="s">
        <v>335</v>
      </c>
      <c r="B176" s="510" t="s">
        <v>83</v>
      </c>
      <c r="C176" s="531" t="s">
        <v>87</v>
      </c>
      <c r="D176" s="510"/>
      <c r="E176" s="510"/>
      <c r="F176" s="660">
        <f>F175/E175</f>
        <v>0.64</v>
      </c>
      <c r="G176" s="531"/>
      <c r="H176" s="510"/>
      <c r="I176" s="660"/>
      <c r="J176" s="531"/>
      <c r="K176" s="510"/>
      <c r="L176" s="660">
        <f>IF(L175=0,0,L175/K175)</f>
        <v>0.66353003173293923</v>
      </c>
      <c r="M176" s="548"/>
      <c r="N176" s="549"/>
      <c r="O176" s="531"/>
      <c r="P176" s="510"/>
      <c r="Q176" s="660">
        <f>Q175/P175</f>
        <v>0.58649048560094064</v>
      </c>
      <c r="R176" s="548"/>
      <c r="S176" s="549"/>
      <c r="T176" s="510"/>
      <c r="U176" s="510"/>
      <c r="V176" s="532"/>
      <c r="W176" s="666"/>
      <c r="AA176" s="510"/>
      <c r="AB176" s="510"/>
      <c r="AC176" s="510"/>
      <c r="AD176" s="510"/>
      <c r="AE176" s="510"/>
      <c r="AF176" s="510"/>
      <c r="AG176" s="510"/>
      <c r="AH176" s="510"/>
      <c r="AI176" s="510"/>
      <c r="AJ176" s="510"/>
      <c r="AK176" s="510"/>
      <c r="AL176" s="510"/>
      <c r="AM176" s="510"/>
      <c r="AN176" s="510"/>
    </row>
    <row r="177" spans="1:40" ht="15.75" customHeight="1">
      <c r="A177" s="523" t="s">
        <v>83</v>
      </c>
      <c r="B177" s="510" t="s">
        <v>83</v>
      </c>
      <c r="C177" s="524"/>
      <c r="D177" s="607"/>
      <c r="E177" s="661">
        <f>IFERROR(E175/D175,0)</f>
        <v>270</v>
      </c>
      <c r="F177" s="662"/>
      <c r="G177" s="663"/>
      <c r="H177" s="661"/>
      <c r="I177" s="662"/>
      <c r="J177" s="663"/>
      <c r="K177" s="661">
        <f>IFERROR(K175/J175,0)</f>
        <v>263.79148351648354</v>
      </c>
      <c r="L177" s="662"/>
      <c r="M177" s="581"/>
      <c r="N177" s="582"/>
      <c r="O177" s="663"/>
      <c r="P177" s="661">
        <f>IFERROR(P175/O175,0)</f>
        <v>298.81132653061223</v>
      </c>
      <c r="Q177" s="662"/>
      <c r="R177" s="667"/>
      <c r="S177" s="668"/>
      <c r="T177" s="510"/>
      <c r="AA177" s="510"/>
      <c r="AB177" s="510"/>
      <c r="AC177" s="510"/>
      <c r="AD177" s="510"/>
      <c r="AE177" s="510"/>
      <c r="AF177" s="510"/>
      <c r="AG177" s="510"/>
      <c r="AH177" s="510"/>
      <c r="AI177" s="510"/>
      <c r="AJ177" s="510"/>
      <c r="AK177" s="510"/>
      <c r="AL177" s="510"/>
      <c r="AM177" s="510"/>
      <c r="AN177" s="510"/>
    </row>
    <row r="178" spans="1:40" ht="15.75" customHeight="1">
      <c r="A178" s="523" t="s">
        <v>337</v>
      </c>
      <c r="B178" s="510" t="s">
        <v>83</v>
      </c>
      <c r="C178" s="531" t="s">
        <v>89</v>
      </c>
      <c r="D178" s="573">
        <f>+INDEX('[5]Budget original'!$A$2:$AO$501,MATCH($A178,'[5]Budget original'!$A$2:$A$501,0),MATCH(D$2,'[5]Budget original'!$A$2:$AO$2,0))</f>
        <v>315</v>
      </c>
      <c r="E178" s="573">
        <f>+INDEX('[5]Budget original'!$A$2:$AO$501,MATCH($A178,'[5]Budget original'!$A$2:$A$501,0),MATCH(E$2,'[5]Budget original'!$A$2:$AO$2,0))</f>
        <v>92610</v>
      </c>
      <c r="F178" s="573">
        <f>+INDEX('[5]Budget original'!$A$2:$AO$501,MATCH($A178,'[5]Budget original'!$A$2:$A$501,0),MATCH(F$2,'[5]Budget original'!$A$2:$AO$2,0))</f>
        <v>68531.399999999994</v>
      </c>
      <c r="G178" s="558"/>
      <c r="H178" s="573"/>
      <c r="I178" s="573"/>
      <c r="J178" s="558">
        <f>-SUMIFS([5]BV_Data_An_Cour!$O:$O,[5]BV_Data_An_Cour!$U:$U,$B178,[5]BV_Data_An_Cour!$V:$V,$C178,[5]BV_Data_An_Cour!$W:$W,J$2)</f>
        <v>214</v>
      </c>
      <c r="K178" s="552">
        <f>-SUMIFS([5]BV_Data_An_Cour!$O:$O,[5]BV_Data_An_Cour!$X:$X,"Oui",[5]BV_Data_An_Cour!$U:$U,$B178,[5]BV_Data_An_Cour!$V:$V,$C178)</f>
        <v>69981.490000000005</v>
      </c>
      <c r="L178" s="534">
        <f>-SUMIFS([5]BV_Data_An_Cour!$O:$O,[5]BV_Data_An_Cour!$U:$U,$B178,[5]BV_Data_An_Cour!$V:$V,$C178,[5]BV_Data_An_Cour!$W:$W,$L$2)</f>
        <v>54592.47</v>
      </c>
      <c r="M178" s="577">
        <f>(K178-E178)/E178</f>
        <v>-0.24434197170931859</v>
      </c>
      <c r="N178" s="557">
        <f>L178-F178</f>
        <v>-13938.929999999993</v>
      </c>
      <c r="O178" s="558">
        <f t="array" ref="O178">+INDEX('[5]Réel 2023'!$A$2:$AO$501,MATCH($A178,'[5]Réel 2023'!$A$2:$A$501,0),MATCH(O$2,'[5]Réel 2023'!$A$2:$AO$2,0))</f>
        <v>319</v>
      </c>
      <c r="P178" s="552">
        <f t="array" ref="P178">+INDEX('[5]Réel 2023'!$A$2:$AO$501,MATCH($A178,'[5]Réel 2023'!$A$2:$A$501,0),MATCH(P$2,'[5]Réel 2023'!$A$2:$AO$2,0))</f>
        <v>100162.52</v>
      </c>
      <c r="Q178" s="534">
        <f t="array" ref="Q178">+INDEX('[5]Réel 2023'!$A$2:$AO$501,MATCH($A178,'[5]Réel 2023'!$A$2:$A$501,0),MATCH(Q$2,'[5]Réel 2023'!$A$2:$AO$2,0))</f>
        <v>59641.43</v>
      </c>
      <c r="R178" s="577">
        <f>IF(O178=0,0,J178/O178)</f>
        <v>0.67084639498432597</v>
      </c>
      <c r="S178" s="557">
        <f>L178-Q178</f>
        <v>-5048.9599999999991</v>
      </c>
      <c r="T178" s="573"/>
      <c r="AA178" s="510"/>
      <c r="AB178" s="510"/>
      <c r="AC178" s="510"/>
      <c r="AD178" s="510"/>
      <c r="AE178" s="510"/>
      <c r="AF178" s="510"/>
      <c r="AG178" s="510"/>
      <c r="AH178" s="510"/>
      <c r="AI178" s="510"/>
      <c r="AJ178" s="510"/>
      <c r="AK178" s="510"/>
      <c r="AL178" s="510"/>
      <c r="AM178" s="510"/>
      <c r="AN178" s="510"/>
    </row>
    <row r="179" spans="1:40" ht="15.75" customHeight="1">
      <c r="A179" s="523" t="s">
        <v>335</v>
      </c>
      <c r="B179" s="510" t="s">
        <v>83</v>
      </c>
      <c r="C179" s="531" t="s">
        <v>87</v>
      </c>
      <c r="D179" s="573"/>
      <c r="E179" s="644"/>
      <c r="F179" s="660">
        <f>F178/E178</f>
        <v>0.74</v>
      </c>
      <c r="G179" s="558"/>
      <c r="H179" s="644"/>
      <c r="I179" s="660"/>
      <c r="J179" s="558"/>
      <c r="K179" s="644"/>
      <c r="L179" s="660">
        <f>IF(L178=0,0,L178/K178)</f>
        <v>0.78009870895861178</v>
      </c>
      <c r="M179" s="577"/>
      <c r="N179" s="557">
        <f>L179-F179</f>
        <v>4.0098708958611784E-2</v>
      </c>
      <c r="O179" s="558"/>
      <c r="P179" s="644"/>
      <c r="Q179" s="660">
        <f>Q178/P178</f>
        <v>0.59544658021782992</v>
      </c>
      <c r="R179" s="558">
        <f>O179-K179</f>
        <v>0</v>
      </c>
      <c r="S179" s="557"/>
      <c r="T179" s="573"/>
      <c r="AA179" s="510"/>
      <c r="AB179" s="510"/>
      <c r="AC179" s="510"/>
      <c r="AD179" s="510"/>
      <c r="AE179" s="510"/>
      <c r="AF179" s="510"/>
      <c r="AG179" s="510"/>
      <c r="AH179" s="510"/>
      <c r="AI179" s="510"/>
      <c r="AJ179" s="510"/>
      <c r="AK179" s="510"/>
      <c r="AL179" s="510"/>
      <c r="AM179" s="510"/>
      <c r="AN179" s="510"/>
    </row>
    <row r="180" spans="1:40" ht="15.75" customHeight="1">
      <c r="A180" s="523" t="s">
        <v>83</v>
      </c>
      <c r="B180" s="510" t="s">
        <v>83</v>
      </c>
      <c r="C180" s="531"/>
      <c r="D180" s="573"/>
      <c r="E180" s="661">
        <f>IFERROR(E178/D178,0)</f>
        <v>294</v>
      </c>
      <c r="F180" s="662"/>
      <c r="G180" s="663"/>
      <c r="H180" s="661"/>
      <c r="I180" s="662"/>
      <c r="J180" s="663"/>
      <c r="K180" s="661">
        <f>IFERROR(K178/J178,0)</f>
        <v>327.01630841121499</v>
      </c>
      <c r="L180" s="662"/>
      <c r="M180" s="581"/>
      <c r="N180" s="582"/>
      <c r="O180" s="663"/>
      <c r="P180" s="661">
        <f>IFERROR(P178/O178,0)</f>
        <v>313.98909090909092</v>
      </c>
      <c r="Q180" s="660"/>
      <c r="R180" s="663"/>
      <c r="S180" s="557"/>
      <c r="T180" s="573"/>
      <c r="U180" s="551"/>
      <c r="AA180" s="510"/>
      <c r="AB180" s="510"/>
      <c r="AC180" s="510"/>
      <c r="AD180" s="510"/>
      <c r="AE180" s="510"/>
      <c r="AF180" s="510"/>
      <c r="AG180" s="510"/>
      <c r="AH180" s="510"/>
      <c r="AI180" s="510"/>
      <c r="AJ180" s="510"/>
      <c r="AK180" s="510"/>
      <c r="AL180" s="510"/>
      <c r="AM180" s="510"/>
      <c r="AN180" s="510"/>
    </row>
    <row r="181" spans="1:40" ht="15.75" customHeight="1">
      <c r="A181" s="523" t="s">
        <v>338</v>
      </c>
      <c r="B181" s="510" t="s">
        <v>83</v>
      </c>
      <c r="C181" s="518" t="s">
        <v>90</v>
      </c>
      <c r="D181" s="664">
        <f>+INDEX('[5]Budget original'!$A$2:$AO$501,MATCH($A181,'[5]Budget original'!$A$2:$A$501,0),MATCH(D$2,'[5]Budget original'!$A$2:$AO$2,0))</f>
        <v>200.16216642329189</v>
      </c>
      <c r="E181" s="573">
        <f>+INDEX('[5]Budget original'!$A$2:$AO$501,MATCH($A181,'[5]Budget original'!$A$2:$A$501,0),MATCH(E$2,'[5]Budget original'!$A$2:$AO$2,0))</f>
        <v>20016.216642329189</v>
      </c>
      <c r="F181" s="573">
        <f>+INDEX('[5]Budget original'!$A$2:$AO$501,MATCH($A181,'[5]Budget original'!$A$2:$A$501,0),MATCH(F$2,'[5]Budget original'!$A$2:$AO$2,0))</f>
        <v>15212.324648170184</v>
      </c>
      <c r="G181" s="665"/>
      <c r="H181" s="573"/>
      <c r="I181" s="573"/>
      <c r="J181" s="665">
        <f>-SUMIFS([5]BV_Data_An_Cour!$O:$O,[5]BV_Data_An_Cour!$U:$U,$B181,[5]BV_Data_An_Cour!$V:$V,$C181,[5]BV_Data_An_Cour!$W:$W,J$2)</f>
        <v>0</v>
      </c>
      <c r="K181" s="552">
        <f>-SUMIFS([5]BV_Data_An_Cour!$O:$O,[5]BV_Data_An_Cour!$X:$X,"Oui",[5]BV_Data_An_Cour!$U:$U,$B181,[5]BV_Data_An_Cour!$V:$V,$C181)</f>
        <v>11017.45</v>
      </c>
      <c r="L181" s="553">
        <f>-SUMIFS([5]BV_Data_An_Cour!$O:$O,[5]BV_Data_An_Cour!$U:$U,$B181,[5]BV_Data_An_Cour!$V:$V,$C181,[5]BV_Data_An_Cour!$W:$W,$L$2)</f>
        <v>8671.2100000000009</v>
      </c>
      <c r="M181" s="669">
        <f>IF(E181=0,0,(K181-E181)/E181)</f>
        <v>-0.44957380323807516</v>
      </c>
      <c r="N181" s="606">
        <f>L181-F181</f>
        <v>-6541.1146481701835</v>
      </c>
      <c r="O181" s="665">
        <f t="array" ref="O181">+INDEX('[5]Réel 2023'!$A$2:$AO$501,MATCH($A181,'[5]Réel 2023'!$A$2:$A$501,0),MATCH(O$2,'[5]Réel 2023'!$A$2:$AO$2,0))</f>
        <v>0</v>
      </c>
      <c r="P181" s="552">
        <f t="array" ref="P181">+INDEX('[5]Réel 2023'!$A$2:$AO$501,MATCH($A181,'[5]Réel 2023'!$A$2:$A$501,0),MATCH(P$2,'[5]Réel 2023'!$A$2:$AO$2,0))</f>
        <v>14474.65</v>
      </c>
      <c r="Q181" s="553">
        <f t="array" ref="Q181">+INDEX('[5]Réel 2023'!$A$2:$AO$501,MATCH($A181,'[5]Réel 2023'!$A$2:$A$501,0),MATCH(Q$2,'[5]Réel 2023'!$A$2:$AO$2,0))</f>
        <v>11844.48</v>
      </c>
      <c r="R181" s="577">
        <f>IF(O181=0,0,J181/O181)</f>
        <v>0</v>
      </c>
      <c r="S181" s="606">
        <f>L181-Q181</f>
        <v>-3173.2699999999986</v>
      </c>
      <c r="T181" s="573"/>
      <c r="U181" s="551"/>
      <c r="AA181" s="510"/>
      <c r="AB181" s="510"/>
      <c r="AC181" s="510"/>
      <c r="AD181" s="510"/>
      <c r="AE181" s="510"/>
      <c r="AF181" s="510"/>
      <c r="AG181" s="510"/>
      <c r="AH181" s="510"/>
      <c r="AI181" s="510"/>
      <c r="AJ181" s="510"/>
      <c r="AK181" s="510"/>
      <c r="AL181" s="510"/>
      <c r="AM181" s="510"/>
      <c r="AN181" s="510"/>
    </row>
    <row r="182" spans="1:40" ht="15.75" customHeight="1">
      <c r="A182" s="523" t="s">
        <v>335</v>
      </c>
      <c r="B182" s="510" t="s">
        <v>83</v>
      </c>
      <c r="C182" s="531" t="s">
        <v>87</v>
      </c>
      <c r="D182" s="571"/>
      <c r="E182" s="670"/>
      <c r="F182" s="660">
        <f>IFERROR(F181/E181,0)</f>
        <v>0.76</v>
      </c>
      <c r="G182" s="550"/>
      <c r="H182" s="670"/>
      <c r="I182" s="660"/>
      <c r="J182" s="671"/>
      <c r="K182" s="670">
        <f>IF(J182&lt;=0,0,L182/J182)</f>
        <v>0</v>
      </c>
      <c r="L182" s="660">
        <f>IF(L181=0,0,L181/K181)</f>
        <v>0.78704328134005608</v>
      </c>
      <c r="M182" s="558">
        <f>J182-D182</f>
        <v>0</v>
      </c>
      <c r="N182" s="672"/>
      <c r="O182" s="671"/>
      <c r="P182" s="670"/>
      <c r="Q182" s="660">
        <f>IFERROR(Q181/P181,0)</f>
        <v>0.81829128856310862</v>
      </c>
      <c r="R182" s="531"/>
      <c r="S182" s="672"/>
      <c r="T182" s="608"/>
      <c r="U182" s="551"/>
      <c r="AA182" s="510"/>
      <c r="AB182" s="510"/>
      <c r="AC182" s="510"/>
      <c r="AD182" s="510"/>
      <c r="AE182" s="510"/>
      <c r="AF182" s="510"/>
      <c r="AG182" s="510"/>
      <c r="AH182" s="510"/>
      <c r="AI182" s="510"/>
      <c r="AJ182" s="510"/>
      <c r="AK182" s="510"/>
      <c r="AL182" s="510"/>
      <c r="AM182" s="510"/>
      <c r="AN182" s="510"/>
    </row>
    <row r="183" spans="1:40" ht="15.75" customHeight="1">
      <c r="A183" s="523" t="s">
        <v>83</v>
      </c>
      <c r="B183" s="510" t="s">
        <v>83</v>
      </c>
      <c r="C183" s="524"/>
      <c r="D183" s="673"/>
      <c r="E183" s="674"/>
      <c r="F183" s="662"/>
      <c r="G183" s="544"/>
      <c r="H183" s="674"/>
      <c r="I183" s="662"/>
      <c r="J183" s="675"/>
      <c r="K183" s="528"/>
      <c r="L183" s="662"/>
      <c r="M183" s="663"/>
      <c r="N183" s="676"/>
      <c r="O183" s="675"/>
      <c r="P183" s="528">
        <f>IFERROR(P181/O181,0)</f>
        <v>0</v>
      </c>
      <c r="Q183" s="662"/>
      <c r="R183" s="524"/>
      <c r="S183" s="676"/>
      <c r="T183" s="608"/>
      <c r="AA183" s="510"/>
      <c r="AB183" s="510"/>
      <c r="AC183" s="510"/>
      <c r="AD183" s="510"/>
      <c r="AE183" s="510"/>
      <c r="AF183" s="510"/>
      <c r="AG183" s="510"/>
      <c r="AH183" s="510"/>
      <c r="AI183" s="510"/>
      <c r="AJ183" s="510"/>
      <c r="AK183" s="510"/>
      <c r="AL183" s="510"/>
      <c r="AM183" s="510"/>
      <c r="AN183" s="510"/>
    </row>
    <row r="184" spans="1:40" ht="26.25" customHeight="1" thickBot="1">
      <c r="A184" s="523" t="s">
        <v>339</v>
      </c>
      <c r="B184" s="510" t="s">
        <v>83</v>
      </c>
      <c r="C184" s="531" t="s">
        <v>91</v>
      </c>
      <c r="D184" s="510"/>
      <c r="E184" s="510"/>
      <c r="F184" s="557">
        <f>+INDEX('[5]Budget original'!$A$2:$AO$501,MATCH($A184,'[5]Budget original'!$A$2:$A$501,0),MATCH(F$2,'[5]Budget original'!$A$2:$AO$2,0))</f>
        <v>-4528.6893081736907</v>
      </c>
      <c r="G184" s="531"/>
      <c r="H184" s="573"/>
      <c r="I184" s="573"/>
      <c r="J184" s="558"/>
      <c r="K184" s="573"/>
      <c r="L184" s="573">
        <f>-SUMIFS([5]BV_Data_An_Cour!$O:$O,[5]BV_Data_An_Cour!$U:$U,$B184,[5]BV_Data_An_Cour!$V:$V,$C184,[5]BV_Data_An_Cour!$W:$W,$L$2)</f>
        <v>-3610.57</v>
      </c>
      <c r="M184" s="671"/>
      <c r="N184" s="557">
        <f>L184-F184</f>
        <v>918.11930817369057</v>
      </c>
      <c r="O184" s="558"/>
      <c r="P184" s="573"/>
      <c r="Q184" s="534">
        <f t="array" ref="Q184">+INDEX('[5]Réel 2023'!$A$2:$AO$501,MATCH($A184,'[5]Réel 2023'!$A$2:$A$501,0),MATCH(Q$2,'[5]Réel 2023'!$A$2:$AO$2,0))</f>
        <v>-3152.12</v>
      </c>
      <c r="R184" s="677"/>
      <c r="S184" s="557">
        <f t="shared" ref="S184:S185" si="41">L184-Q184</f>
        <v>-458.45000000000027</v>
      </c>
      <c r="T184" s="510"/>
      <c r="U184" s="510"/>
      <c r="V184" s="510"/>
      <c r="W184" s="510"/>
      <c r="X184" s="510"/>
      <c r="Y184" s="510"/>
      <c r="Z184" s="510"/>
      <c r="AA184" s="510"/>
      <c r="AB184" s="510"/>
      <c r="AC184" s="510"/>
      <c r="AD184" s="510"/>
      <c r="AE184" s="510"/>
      <c r="AF184" s="510"/>
      <c r="AG184" s="510"/>
      <c r="AH184" s="510"/>
      <c r="AI184" s="510"/>
      <c r="AJ184" s="510"/>
      <c r="AK184" s="510"/>
      <c r="AL184" s="510"/>
      <c r="AM184" s="510"/>
      <c r="AN184" s="510"/>
    </row>
    <row r="185" spans="1:40" ht="15.75" customHeight="1" thickTop="1">
      <c r="A185" s="523" t="s">
        <v>340</v>
      </c>
      <c r="B185" s="510" t="s">
        <v>83</v>
      </c>
      <c r="C185" s="678" t="s">
        <v>92</v>
      </c>
      <c r="D185" s="679">
        <f>D172+D175+D178+D181+D184</f>
        <v>1388.4536664232919</v>
      </c>
      <c r="E185" s="679">
        <f>E172+E175+E178+E181+E184</f>
        <v>391654.70164232916</v>
      </c>
      <c r="F185" s="680">
        <f>F172+F175+F178+F181+F184</f>
        <v>286331.52053999656</v>
      </c>
      <c r="G185" s="681"/>
      <c r="H185" s="679"/>
      <c r="I185" s="680"/>
      <c r="J185" s="681">
        <f t="shared" ref="J185:L185" si="42">J172+J175+J178+J181+J184</f>
        <v>947</v>
      </c>
      <c r="K185" s="679">
        <f t="shared" si="42"/>
        <v>334614.56</v>
      </c>
      <c r="L185" s="680">
        <f t="shared" si="42"/>
        <v>258130.43999999994</v>
      </c>
      <c r="M185" s="682">
        <f>(K185-E185)/E185</f>
        <v>-0.1456388533142644</v>
      </c>
      <c r="N185" s="680">
        <f>L185-F185</f>
        <v>-28201.080539996619</v>
      </c>
      <c r="O185" s="681">
        <f t="shared" ref="O185:Q185" si="43">O172+O175+O178+O181+O184</f>
        <v>1001</v>
      </c>
      <c r="P185" s="679">
        <f t="shared" si="43"/>
        <v>304117.43000000005</v>
      </c>
      <c r="Q185" s="680">
        <f t="shared" si="43"/>
        <v>208390.03</v>
      </c>
      <c r="R185" s="548">
        <f>IF(O185=0,0,J185/O185)</f>
        <v>0.9460539460539461</v>
      </c>
      <c r="S185" s="680">
        <f t="shared" si="41"/>
        <v>49740.409999999945</v>
      </c>
      <c r="T185" s="608"/>
      <c r="U185" s="510"/>
      <c r="V185" s="510"/>
      <c r="W185" s="510"/>
      <c r="X185" s="510"/>
      <c r="Y185" s="510"/>
      <c r="Z185" s="510"/>
      <c r="AA185" s="510"/>
      <c r="AB185" s="510"/>
      <c r="AC185" s="510"/>
      <c r="AD185" s="510"/>
      <c r="AE185" s="510"/>
      <c r="AF185" s="510"/>
      <c r="AG185" s="510"/>
      <c r="AH185" s="510"/>
      <c r="AI185" s="510"/>
      <c r="AJ185" s="510"/>
      <c r="AK185" s="510"/>
      <c r="AL185" s="510"/>
      <c r="AM185" s="510"/>
      <c r="AN185" s="510"/>
    </row>
    <row r="186" spans="1:40" ht="15.75" customHeight="1">
      <c r="A186" s="523" t="s">
        <v>341</v>
      </c>
      <c r="B186" s="510" t="s">
        <v>83</v>
      </c>
      <c r="C186" s="683" t="s">
        <v>93</v>
      </c>
      <c r="D186" s="684"/>
      <c r="E186" s="685"/>
      <c r="F186" s="686">
        <f>F185/E185</f>
        <v>0.73108153518729646</v>
      </c>
      <c r="G186" s="687"/>
      <c r="H186" s="685"/>
      <c r="I186" s="549"/>
      <c r="J186" s="687"/>
      <c r="K186" s="685">
        <f>IF(J185=0,0,K185/J185)</f>
        <v>353.34166842661034</v>
      </c>
      <c r="L186" s="549">
        <f>IF(L185=0,0,L185/K185)</f>
        <v>0.7714262045261866</v>
      </c>
      <c r="M186" s="687"/>
      <c r="N186" s="686">
        <f>N185/F185</f>
        <v>-9.8491009605969376E-2</v>
      </c>
      <c r="O186" s="687"/>
      <c r="P186" s="685">
        <f>IF(O185=0,0,P185/O185)</f>
        <v>303.81361638361642</v>
      </c>
      <c r="Q186" s="549">
        <f>Q185/P185</f>
        <v>0.68522882756177428</v>
      </c>
      <c r="R186" s="687"/>
      <c r="S186" s="549">
        <f>S185/Q185</f>
        <v>0.23868901021800298</v>
      </c>
      <c r="T186" s="608"/>
      <c r="U186" s="510"/>
      <c r="V186" s="510"/>
      <c r="W186" s="510"/>
      <c r="X186" s="510"/>
      <c r="Y186" s="510"/>
      <c r="Z186" s="510"/>
      <c r="AA186" s="510"/>
      <c r="AB186" s="510"/>
      <c r="AC186" s="510"/>
      <c r="AD186" s="510"/>
      <c r="AE186" s="510"/>
      <c r="AF186" s="510"/>
      <c r="AG186" s="510"/>
      <c r="AH186" s="510"/>
      <c r="AI186" s="510"/>
      <c r="AJ186" s="510"/>
      <c r="AK186" s="510"/>
      <c r="AL186" s="510"/>
      <c r="AM186" s="510"/>
      <c r="AN186" s="510"/>
    </row>
    <row r="187" spans="1:40" ht="15.75" customHeight="1">
      <c r="A187" s="523" t="s">
        <v>83</v>
      </c>
      <c r="B187" s="510" t="s">
        <v>83</v>
      </c>
      <c r="C187" s="537"/>
      <c r="D187" s="688"/>
      <c r="E187" s="689"/>
      <c r="F187" s="690"/>
      <c r="G187" s="691"/>
      <c r="H187" s="689"/>
      <c r="I187" s="690"/>
      <c r="J187" s="691"/>
      <c r="K187" s="689"/>
      <c r="L187" s="690"/>
      <c r="M187" s="691"/>
      <c r="N187" s="690"/>
      <c r="O187" s="691"/>
      <c r="P187" s="689"/>
      <c r="Q187" s="690"/>
      <c r="R187" s="691"/>
      <c r="S187" s="690"/>
      <c r="T187" s="608"/>
      <c r="U187" s="510"/>
      <c r="V187" s="510"/>
      <c r="W187" s="510"/>
      <c r="X187" s="510"/>
      <c r="Y187" s="510"/>
      <c r="Z187" s="510"/>
      <c r="AA187" s="510"/>
      <c r="AB187" s="510"/>
      <c r="AC187" s="510"/>
      <c r="AD187" s="510"/>
      <c r="AE187" s="510"/>
      <c r="AF187" s="510"/>
      <c r="AG187" s="510"/>
      <c r="AH187" s="510"/>
      <c r="AI187" s="510"/>
      <c r="AJ187" s="510"/>
      <c r="AK187" s="510"/>
      <c r="AL187" s="510"/>
      <c r="AM187" s="510"/>
      <c r="AN187" s="510"/>
    </row>
    <row r="188" spans="1:40" ht="19.5" customHeight="1">
      <c r="A188" s="523" t="s">
        <v>342</v>
      </c>
      <c r="B188" s="510" t="s">
        <v>83</v>
      </c>
      <c r="C188" s="531" t="s">
        <v>94</v>
      </c>
      <c r="D188" s="573"/>
      <c r="E188" s="573">
        <f>+INDEX('[5]Budget original'!$A$2:$AO$501,MATCH($A188,'[5]Budget original'!$A$2:$A$501,0),MATCH(E$2,'[5]Budget original'!$A$2:$AO$2,0))</f>
        <v>17175</v>
      </c>
      <c r="F188" s="573">
        <f>+INDEX('[5]Budget original'!$A$2:$AO$501,MATCH($A188,'[5]Budget original'!$A$2:$A$501,0),MATCH(F$2,'[5]Budget original'!$A$2:$AO$2,0))</f>
        <v>3778.5</v>
      </c>
      <c r="G188" s="558"/>
      <c r="H188" s="573"/>
      <c r="I188" s="573"/>
      <c r="J188" s="558"/>
      <c r="K188" s="532">
        <f>-SUMIFS([5]BV_Data_An_Cour!$O:$O,[5]BV_Data_An_Cour!$X:$X,"Oui",[5]BV_Data_An_Cour!$U:$U,$B188,[5]BV_Data_An_Cour!$V:$V,$C188)</f>
        <v>17305.09</v>
      </c>
      <c r="L188" s="534">
        <f>-SUMIFS([5]BV_Data_An_Cour!$O:$O,[5]BV_Data_An_Cour!$U:$U,$B188,[5]BV_Data_An_Cour!$V:$V,$C188,[5]BV_Data_An_Cour!$W:$W,$L$2)</f>
        <v>3325.7</v>
      </c>
      <c r="M188" s="577">
        <f>IF(E188=0,0,(K188-E188)/E188)</f>
        <v>7.5743813682678397E-3</v>
      </c>
      <c r="N188" s="557">
        <f>L188-F188</f>
        <v>-452.80000000000018</v>
      </c>
      <c r="O188" s="558"/>
      <c r="P188" s="532">
        <f t="array" ref="P188">+INDEX('[5]Réel 2023'!$A$2:$AO$501,MATCH($A188,'[5]Réel 2023'!$A$2:$A$501,0),MATCH(P$2,'[5]Réel 2023'!$A$2:$AO$2,0))</f>
        <v>12600.7</v>
      </c>
      <c r="Q188" s="534">
        <f t="array" ref="Q188">+INDEX('[5]Réel 2023'!$A$2:$AO$501,MATCH($A188,'[5]Réel 2023'!$A$2:$A$501,0),MATCH(Q$2,'[5]Réel 2023'!$A$2:$AO$2,0))</f>
        <v>2662.37</v>
      </c>
      <c r="R188" s="577">
        <f>IF(O188=0,0,J188/O188)</f>
        <v>0</v>
      </c>
      <c r="S188" s="557">
        <f>L188-Q188</f>
        <v>663.32999999999993</v>
      </c>
      <c r="T188" s="608"/>
      <c r="U188" s="510"/>
      <c r="V188" s="510"/>
      <c r="W188" s="510"/>
      <c r="X188" s="510"/>
      <c r="Y188" s="510"/>
      <c r="Z188" s="510"/>
      <c r="AA188" s="510"/>
      <c r="AB188" s="510"/>
      <c r="AC188" s="510"/>
      <c r="AD188" s="510"/>
      <c r="AE188" s="510"/>
      <c r="AF188" s="510"/>
      <c r="AG188" s="510"/>
      <c r="AH188" s="510"/>
      <c r="AI188" s="510"/>
      <c r="AJ188" s="510"/>
      <c r="AK188" s="510"/>
      <c r="AL188" s="510"/>
      <c r="AM188" s="510"/>
      <c r="AN188" s="510"/>
    </row>
    <row r="189" spans="1:40" ht="21" customHeight="1">
      <c r="A189" s="523" t="s">
        <v>335</v>
      </c>
      <c r="B189" s="510" t="s">
        <v>83</v>
      </c>
      <c r="C189" s="531" t="s">
        <v>87</v>
      </c>
      <c r="D189" s="510"/>
      <c r="E189" s="644"/>
      <c r="F189" s="660">
        <f>IFERROR(F188/E188,0)</f>
        <v>0.22</v>
      </c>
      <c r="G189" s="531"/>
      <c r="H189" s="644"/>
      <c r="I189" s="660"/>
      <c r="J189" s="671"/>
      <c r="K189" s="670"/>
      <c r="L189" s="660">
        <f>IF(L188=0,0,L188/K188)</f>
        <v>0.19218045095402567</v>
      </c>
      <c r="M189" s="671"/>
      <c r="N189" s="672"/>
      <c r="O189" s="671"/>
      <c r="P189" s="670"/>
      <c r="Q189" s="660">
        <f>IFERROR(Q188/P188,0)</f>
        <v>0.21128746815653096</v>
      </c>
      <c r="R189" s="671"/>
      <c r="S189" s="672"/>
      <c r="T189" s="608"/>
      <c r="U189" s="510"/>
      <c r="V189" s="510"/>
      <c r="W189" s="510"/>
      <c r="X189" s="510"/>
      <c r="Y189" s="510"/>
      <c r="Z189" s="510"/>
      <c r="AA189" s="510"/>
      <c r="AB189" s="510"/>
      <c r="AC189" s="510"/>
      <c r="AD189" s="510"/>
      <c r="AE189" s="510"/>
      <c r="AF189" s="510"/>
      <c r="AG189" s="510"/>
      <c r="AH189" s="510"/>
      <c r="AI189" s="510"/>
      <c r="AJ189" s="510"/>
      <c r="AK189" s="510"/>
      <c r="AL189" s="510"/>
      <c r="AM189" s="510"/>
      <c r="AN189" s="510"/>
    </row>
    <row r="190" spans="1:40" ht="15.75" customHeight="1">
      <c r="A190" s="523" t="s">
        <v>83</v>
      </c>
      <c r="B190" s="510" t="s">
        <v>83</v>
      </c>
      <c r="C190" s="531"/>
      <c r="D190" s="510"/>
      <c r="E190" s="644"/>
      <c r="F190" s="660"/>
      <c r="G190" s="531"/>
      <c r="H190" s="644"/>
      <c r="I190" s="660"/>
      <c r="J190" s="671"/>
      <c r="K190" s="670"/>
      <c r="L190" s="660"/>
      <c r="M190" s="671"/>
      <c r="N190" s="672"/>
      <c r="O190" s="671"/>
      <c r="P190" s="670"/>
      <c r="Q190" s="660"/>
      <c r="R190" s="671"/>
      <c r="S190" s="672"/>
      <c r="T190" s="608"/>
      <c r="U190" s="510"/>
      <c r="V190" s="510"/>
      <c r="W190" s="510"/>
      <c r="X190" s="510"/>
      <c r="Y190" s="510"/>
      <c r="Z190" s="510"/>
      <c r="AA190" s="510"/>
      <c r="AB190" s="510"/>
      <c r="AC190" s="510"/>
      <c r="AD190" s="510"/>
      <c r="AE190" s="510"/>
      <c r="AF190" s="510"/>
      <c r="AG190" s="510"/>
      <c r="AH190" s="510"/>
      <c r="AI190" s="510"/>
      <c r="AJ190" s="510"/>
      <c r="AK190" s="510"/>
      <c r="AL190" s="510"/>
      <c r="AM190" s="510"/>
      <c r="AN190" s="510"/>
    </row>
    <row r="191" spans="1:40" ht="15.75" customHeight="1">
      <c r="A191" s="523" t="s">
        <v>343</v>
      </c>
      <c r="B191" s="510" t="s">
        <v>83</v>
      </c>
      <c r="C191" s="531" t="s">
        <v>95</v>
      </c>
      <c r="D191" s="510"/>
      <c r="E191" s="573">
        <f>+INDEX('[5]Budget original'!$A$2:$AO$501,MATCH($A191,'[5]Budget original'!$A$2:$A$501,0),MATCH(E$2,'[5]Budget original'!$A$2:$AO$2,0))</f>
        <v>20016.216642329189</v>
      </c>
      <c r="F191" s="573">
        <f>+INDEX('[5]Budget original'!$A$2:$AO$501,MATCH($A191,'[5]Budget original'!$A$2:$A$501,0),MATCH(F$2,'[5]Budget original'!$A$2:$AO$2,0))</f>
        <v>14011.351649630431</v>
      </c>
      <c r="G191" s="531"/>
      <c r="H191" s="573"/>
      <c r="I191" s="573"/>
      <c r="J191" s="558">
        <f>-SUMIFS([5]BV_Data_An_Cour!$O:$O,[5]BV_Data_An_Cour!$U:$U,$B191,[5]BV_Data_An_Cour!$V:$V,$C191,[5]BV_Data_An_Cour!$W:$W,J$2)</f>
        <v>43</v>
      </c>
      <c r="K191" s="532">
        <f>-SUMIFS([5]BV_Data_An_Cour!$O:$O,[5]BV_Data_An_Cour!$X:$X,"Oui",[5]BV_Data_An_Cour!$U:$U,$B191,[5]BV_Data_An_Cour!$V:$V,$C191)</f>
        <v>10359.950000000001</v>
      </c>
      <c r="L191" s="534">
        <f>-SUMIFS([5]BV_Data_An_Cour!$O:$O,[5]BV_Data_An_Cour!$U:$U,$B191,[5]BV_Data_An_Cour!$V:$V,$C191,[5]BV_Data_An_Cour!$W:$W,$L$2)</f>
        <v>7081.85</v>
      </c>
      <c r="M191" s="577">
        <f>IF(E191=0,0,(K191-E191)/E191)</f>
        <v>-0.48242216872836247</v>
      </c>
      <c r="N191" s="557">
        <f>L191-F191</f>
        <v>-6929.5016496304306</v>
      </c>
      <c r="O191" s="671"/>
      <c r="P191" s="532">
        <f t="array" ref="P191">+INDEX('[5]Réel 2023'!$A$2:$AO$501,MATCH($A191,'[5]Réel 2023'!$A$2:$A$501,0),MATCH(P$2,'[5]Réel 2023'!$A$2:$AO$2,0))</f>
        <v>12649.56</v>
      </c>
      <c r="Q191" s="534">
        <f t="array" ref="Q191">+INDEX('[5]Réel 2023'!$A$2:$AO$501,MATCH($A191,'[5]Réel 2023'!$A$2:$A$501,0),MATCH(Q$2,'[5]Réel 2023'!$A$2:$AO$2,0))</f>
        <v>9369.09</v>
      </c>
      <c r="R191" s="671"/>
      <c r="S191" s="672"/>
      <c r="T191" s="608"/>
      <c r="U191" s="510"/>
      <c r="V191" s="510"/>
      <c r="W191" s="510"/>
      <c r="X191" s="510"/>
      <c r="Y191" s="510"/>
      <c r="Z191" s="510"/>
      <c r="AA191" s="510"/>
      <c r="AB191" s="510"/>
      <c r="AC191" s="510"/>
      <c r="AD191" s="510"/>
      <c r="AE191" s="510"/>
      <c r="AF191" s="510"/>
      <c r="AG191" s="510"/>
      <c r="AH191" s="510"/>
      <c r="AI191" s="510"/>
      <c r="AJ191" s="510"/>
      <c r="AK191" s="510"/>
      <c r="AL191" s="510"/>
      <c r="AM191" s="510"/>
      <c r="AN191" s="510"/>
    </row>
    <row r="192" spans="1:40" ht="15.75" customHeight="1">
      <c r="A192" s="523" t="s">
        <v>335</v>
      </c>
      <c r="B192" s="510" t="s">
        <v>83</v>
      </c>
      <c r="C192" s="531" t="s">
        <v>87</v>
      </c>
      <c r="D192" s="510"/>
      <c r="E192" s="644"/>
      <c r="F192" s="660">
        <f>IF(F191=0,0,F191/E191)</f>
        <v>0.7</v>
      </c>
      <c r="G192" s="531"/>
      <c r="H192" s="644"/>
      <c r="I192" s="660"/>
      <c r="J192" s="671"/>
      <c r="K192" s="670"/>
      <c r="L192" s="660">
        <f>IF(L191=0,0,L191/K191)</f>
        <v>0.68357955395537617</v>
      </c>
      <c r="M192" s="671"/>
      <c r="N192" s="672"/>
      <c r="O192" s="671"/>
      <c r="P192" s="670"/>
      <c r="Q192" s="660">
        <f>IF(Q191=0,0,Q191/P191)</f>
        <v>0.74066528796258535</v>
      </c>
      <c r="R192" s="671"/>
      <c r="S192" s="672"/>
      <c r="T192" s="608"/>
      <c r="U192" s="532"/>
      <c r="V192" s="510"/>
      <c r="W192" s="510"/>
      <c r="X192" s="510"/>
      <c r="Y192" s="510"/>
      <c r="Z192" s="510"/>
      <c r="AA192" s="510"/>
      <c r="AB192" s="510"/>
      <c r="AC192" s="510"/>
      <c r="AD192" s="510"/>
      <c r="AE192" s="510"/>
      <c r="AF192" s="510"/>
      <c r="AG192" s="510"/>
      <c r="AH192" s="510"/>
      <c r="AI192" s="510"/>
      <c r="AJ192" s="510"/>
      <c r="AK192" s="510"/>
      <c r="AL192" s="510"/>
      <c r="AM192" s="510"/>
      <c r="AN192" s="510"/>
    </row>
    <row r="193" spans="1:40" ht="15.75" customHeight="1" thickBot="1">
      <c r="A193" s="523" t="s">
        <v>83</v>
      </c>
      <c r="B193" s="510" t="s">
        <v>83</v>
      </c>
      <c r="C193" s="692"/>
      <c r="D193" s="693"/>
      <c r="E193" s="694"/>
      <c r="F193" s="695"/>
      <c r="G193" s="696"/>
      <c r="H193" s="694"/>
      <c r="I193" s="695"/>
      <c r="J193" s="696"/>
      <c r="K193" s="694"/>
      <c r="L193" s="695"/>
      <c r="M193" s="696"/>
      <c r="N193" s="695"/>
      <c r="O193" s="696"/>
      <c r="P193" s="694"/>
      <c r="Q193" s="695"/>
      <c r="R193" s="696"/>
      <c r="S193" s="695"/>
      <c r="T193" s="608"/>
      <c r="U193" s="510"/>
      <c r="V193" s="510"/>
      <c r="W193" s="510"/>
      <c r="X193" s="510"/>
      <c r="Y193" s="510"/>
      <c r="Z193" s="510"/>
      <c r="AA193" s="510"/>
      <c r="AB193" s="510"/>
      <c r="AC193" s="510"/>
      <c r="AD193" s="510"/>
      <c r="AE193" s="510"/>
      <c r="AF193" s="510"/>
      <c r="AG193" s="510"/>
      <c r="AH193" s="510"/>
      <c r="AI193" s="510"/>
      <c r="AJ193" s="510"/>
      <c r="AK193" s="510"/>
      <c r="AL193" s="510"/>
      <c r="AM193" s="510"/>
      <c r="AN193" s="510"/>
    </row>
    <row r="194" spans="1:40" ht="24.75" customHeight="1" thickTop="1">
      <c r="A194" s="523" t="s">
        <v>344</v>
      </c>
      <c r="B194" s="510" t="s">
        <v>83</v>
      </c>
      <c r="C194" s="559" t="s">
        <v>96</v>
      </c>
      <c r="D194" s="560"/>
      <c r="E194" s="560">
        <f>E185+E188+E191</f>
        <v>428845.91828465834</v>
      </c>
      <c r="F194" s="562">
        <f>F185+F188+F191</f>
        <v>304121.37218962697</v>
      </c>
      <c r="G194" s="563"/>
      <c r="H194" s="560"/>
      <c r="I194" s="562"/>
      <c r="J194" s="563"/>
      <c r="K194" s="560">
        <f t="shared" ref="K194:L194" si="44">K185+K188+K191</f>
        <v>362279.60000000003</v>
      </c>
      <c r="L194" s="562">
        <f t="shared" si="44"/>
        <v>268537.98999999993</v>
      </c>
      <c r="M194" s="697">
        <f>L195-F195</f>
        <v>3.2082798556732683E-2</v>
      </c>
      <c r="N194" s="562">
        <f>L194-F194</f>
        <v>-35583.382189627038</v>
      </c>
      <c r="O194" s="563"/>
      <c r="P194" s="560">
        <f t="shared" ref="P194:Q194" si="45">P185+P188+P191</f>
        <v>329367.69000000006</v>
      </c>
      <c r="Q194" s="562">
        <f t="shared" si="45"/>
        <v>220421.49</v>
      </c>
      <c r="R194" s="697"/>
      <c r="S194" s="562">
        <f>L194-Q194</f>
        <v>48116.499999999942</v>
      </c>
      <c r="T194" s="608"/>
      <c r="U194" s="654"/>
      <c r="V194" s="510"/>
      <c r="W194" s="510"/>
      <c r="X194" s="510"/>
      <c r="Y194" s="510"/>
      <c r="Z194" s="510"/>
      <c r="AA194" s="510"/>
      <c r="AB194" s="510"/>
      <c r="AC194" s="510"/>
      <c r="AD194" s="510"/>
      <c r="AE194" s="510"/>
      <c r="AF194" s="510"/>
      <c r="AG194" s="510"/>
      <c r="AH194" s="510"/>
      <c r="AI194" s="510"/>
      <c r="AJ194" s="510"/>
      <c r="AK194" s="510"/>
      <c r="AL194" s="510"/>
      <c r="AM194" s="510"/>
      <c r="AN194" s="510"/>
    </row>
    <row r="195" spans="1:40" ht="24" customHeight="1" thickBot="1">
      <c r="A195" s="523" t="s">
        <v>83</v>
      </c>
      <c r="B195" s="510" t="s">
        <v>83</v>
      </c>
      <c r="C195" s="564"/>
      <c r="D195" s="565"/>
      <c r="E195" s="565"/>
      <c r="F195" s="570">
        <f>F194/E194</f>
        <v>0.70916233365606618</v>
      </c>
      <c r="G195" s="564"/>
      <c r="H195" s="565"/>
      <c r="I195" s="570"/>
      <c r="J195" s="564"/>
      <c r="K195" s="565"/>
      <c r="L195" s="570">
        <f>L194/K194</f>
        <v>0.74124513221279886</v>
      </c>
      <c r="M195" s="569"/>
      <c r="N195" s="570">
        <f>N194/F194</f>
        <v>-0.11700388543374041</v>
      </c>
      <c r="O195" s="564"/>
      <c r="P195" s="565"/>
      <c r="Q195" s="570">
        <f>Q194/P194</f>
        <v>0.66922620734292415</v>
      </c>
      <c r="R195" s="569"/>
      <c r="S195" s="570">
        <f>L194/S194</f>
        <v>5.5809959161618208</v>
      </c>
      <c r="T195" s="571"/>
      <c r="U195" s="510"/>
      <c r="V195" s="510"/>
      <c r="W195" s="510"/>
      <c r="X195" s="510"/>
      <c r="Y195" s="510"/>
      <c r="Z195" s="510"/>
      <c r="AA195" s="510"/>
      <c r="AB195" s="510"/>
      <c r="AC195" s="510"/>
      <c r="AD195" s="510"/>
      <c r="AE195" s="510"/>
      <c r="AF195" s="510"/>
      <c r="AG195" s="510"/>
      <c r="AH195" s="510"/>
      <c r="AI195" s="510"/>
      <c r="AJ195" s="510"/>
      <c r="AK195" s="510"/>
      <c r="AL195" s="510"/>
      <c r="AM195" s="510"/>
      <c r="AN195" s="510"/>
    </row>
    <row r="196" spans="1:40" ht="15.75" customHeight="1" thickTop="1">
      <c r="A196" s="523" t="s">
        <v>83</v>
      </c>
      <c r="B196" s="510" t="s">
        <v>83</v>
      </c>
      <c r="C196" s="550"/>
      <c r="D196" s="571"/>
      <c r="E196" s="571"/>
      <c r="F196" s="549"/>
      <c r="G196" s="550"/>
      <c r="H196" s="571"/>
      <c r="I196" s="549"/>
      <c r="J196" s="550"/>
      <c r="K196" s="608"/>
      <c r="L196" s="549"/>
      <c r="M196" s="548"/>
      <c r="N196" s="549"/>
      <c r="O196" s="550"/>
      <c r="P196" s="571"/>
      <c r="Q196" s="549"/>
      <c r="R196" s="548"/>
      <c r="S196" s="549"/>
      <c r="T196" s="571"/>
      <c r="U196" s="510"/>
      <c r="V196" s="510"/>
      <c r="W196" s="510"/>
      <c r="X196" s="510"/>
      <c r="Y196" s="510"/>
      <c r="Z196" s="510"/>
      <c r="AA196" s="510"/>
      <c r="AB196" s="510"/>
      <c r="AC196" s="510"/>
      <c r="AD196" s="510"/>
      <c r="AE196" s="510"/>
      <c r="AF196" s="510"/>
      <c r="AG196" s="510"/>
      <c r="AH196" s="510"/>
      <c r="AI196" s="510"/>
      <c r="AJ196" s="510"/>
      <c r="AK196" s="510"/>
      <c r="AL196" s="510"/>
      <c r="AM196" s="510"/>
      <c r="AN196" s="510"/>
    </row>
    <row r="197" spans="1:40" ht="15.75" customHeight="1">
      <c r="A197" s="523" t="s">
        <v>345</v>
      </c>
      <c r="B197" s="510" t="s">
        <v>83</v>
      </c>
      <c r="C197" s="574" t="s">
        <v>30</v>
      </c>
      <c r="D197" s="510"/>
      <c r="E197" s="510"/>
      <c r="F197" s="557"/>
      <c r="G197" s="531"/>
      <c r="H197" s="510"/>
      <c r="I197" s="557"/>
      <c r="J197" s="531"/>
      <c r="K197" s="510"/>
      <c r="L197" s="541"/>
      <c r="M197" s="531"/>
      <c r="N197" s="541"/>
      <c r="O197" s="531"/>
      <c r="P197" s="510"/>
      <c r="Q197" s="541"/>
      <c r="R197" s="531"/>
      <c r="S197" s="541"/>
      <c r="T197" s="510"/>
      <c r="U197" s="510"/>
      <c r="V197" s="510"/>
      <c r="W197" s="510"/>
      <c r="X197" s="510"/>
      <c r="Y197" s="510"/>
      <c r="Z197" s="510"/>
      <c r="AA197" s="510"/>
      <c r="AB197" s="510"/>
      <c r="AC197" s="510"/>
      <c r="AD197" s="510"/>
      <c r="AE197" s="510"/>
      <c r="AF197" s="510"/>
      <c r="AG197" s="510"/>
      <c r="AH197" s="510"/>
      <c r="AI197" s="510"/>
      <c r="AJ197" s="510"/>
      <c r="AK197" s="510"/>
      <c r="AL197" s="510"/>
      <c r="AM197" s="510"/>
      <c r="AN197" s="510"/>
    </row>
    <row r="198" spans="1:40" ht="15.75" customHeight="1">
      <c r="A198" s="523" t="s">
        <v>346</v>
      </c>
      <c r="B198" s="510" t="s">
        <v>83</v>
      </c>
      <c r="C198" s="600" t="s">
        <v>41</v>
      </c>
      <c r="D198" s="510"/>
      <c r="E198" s="510"/>
      <c r="F198" s="532">
        <f>+INDEX('[5]Budget original'!$A$2:$AO$501,MATCH($A198,'[5]Budget original'!$A$2:$A$501,0),MATCH(F$2,'[5]Budget original'!$A$2:$AO$2,0))</f>
        <v>15728.762179487177</v>
      </c>
      <c r="G198" s="531"/>
      <c r="H198" s="510"/>
      <c r="I198" s="532"/>
      <c r="J198" s="531"/>
      <c r="K198" s="510"/>
      <c r="L198" s="534">
        <f>SUMIFS([5]BV_Data_An_Cour!$O:$O,[5]BV_Data_An_Cour!$U:$U,$B198,[5]BV_Data_An_Cour!$V:$V,$C198,[5]BV_Data_An_Cour!$W:$W,$L$2)</f>
        <v>11607.04</v>
      </c>
      <c r="M198" s="531"/>
      <c r="N198" s="534">
        <f t="shared" ref="N198:N229" si="46">L198-F198</f>
        <v>-4121.7221794871766</v>
      </c>
      <c r="O198" s="531"/>
      <c r="P198" s="510"/>
      <c r="Q198" s="534">
        <f t="array" ref="Q198">+INDEX('[5]Réel 2023'!$A$2:$AO$501,MATCH($A198,'[5]Réel 2023'!$A$2:$A$501,0),MATCH(Q$2,'[5]Réel 2023'!$A$2:$AO$2,0))</f>
        <v>8835.52</v>
      </c>
      <c r="R198" s="531"/>
      <c r="S198" s="534">
        <f t="shared" ref="S198:S229" si="47">L198-Q198</f>
        <v>2771.5200000000004</v>
      </c>
      <c r="T198" s="510"/>
      <c r="U198" s="510"/>
      <c r="V198" s="510"/>
      <c r="W198" s="510"/>
      <c r="X198" s="510"/>
      <c r="Y198" s="510"/>
      <c r="Z198" s="510"/>
      <c r="AA198" s="510"/>
      <c r="AB198" s="510"/>
      <c r="AC198" s="510"/>
      <c r="AD198" s="510"/>
      <c r="AE198" s="510"/>
      <c r="AF198" s="510"/>
      <c r="AG198" s="510"/>
      <c r="AH198" s="510"/>
      <c r="AI198" s="510"/>
      <c r="AJ198" s="510"/>
      <c r="AK198" s="510"/>
      <c r="AL198" s="510"/>
      <c r="AM198" s="510"/>
      <c r="AN198" s="510"/>
    </row>
    <row r="199" spans="1:40" ht="15.75" customHeight="1">
      <c r="A199" s="523" t="s">
        <v>347</v>
      </c>
      <c r="B199" s="510" t="s">
        <v>83</v>
      </c>
      <c r="C199" s="602" t="s">
        <v>42</v>
      </c>
      <c r="D199" s="584"/>
      <c r="E199" s="510"/>
      <c r="F199" s="526">
        <f>+INDEX('[5]Budget original'!$A$2:$AO$501,MATCH($A199,'[5]Budget original'!$A$2:$A$501,0),MATCH(F$2,'[5]Budget original'!$A$2:$AO$2,0))</f>
        <v>8540.9555384615378</v>
      </c>
      <c r="G199" s="585"/>
      <c r="H199" s="510"/>
      <c r="I199" s="526"/>
      <c r="J199" s="531"/>
      <c r="K199" s="510"/>
      <c r="L199" s="534">
        <f>SUMIFS([5]BV_Data_An_Cour!$O:$O,[5]BV_Data_An_Cour!$U:$U,$B199,[5]BV_Data_An_Cour!$V:$V,$C199,[5]BV_Data_An_Cour!$W:$W,$L$2)</f>
        <v>7162.09</v>
      </c>
      <c r="M199" s="531"/>
      <c r="N199" s="534">
        <f t="shared" si="46"/>
        <v>-1378.8655384615377</v>
      </c>
      <c r="O199" s="531"/>
      <c r="P199" s="510"/>
      <c r="Q199" s="534">
        <f t="array" ref="Q199">+INDEX('[5]Réel 2023'!$A$2:$AO$501,MATCH($A199,'[5]Réel 2023'!$A$2:$A$501,0),MATCH(Q$2,'[5]Réel 2023'!$A$2:$AO$2,0))</f>
        <v>8026.69</v>
      </c>
      <c r="R199" s="531"/>
      <c r="S199" s="557">
        <f t="shared" si="47"/>
        <v>-864.59999999999945</v>
      </c>
      <c r="T199" s="510"/>
      <c r="U199" s="510"/>
      <c r="V199" s="510"/>
      <c r="W199" s="510"/>
      <c r="X199" s="510"/>
      <c r="Y199" s="510"/>
      <c r="Z199" s="510"/>
      <c r="AA199" s="510"/>
      <c r="AB199" s="510"/>
      <c r="AC199" s="510"/>
      <c r="AD199" s="510"/>
      <c r="AE199" s="510"/>
      <c r="AF199" s="510"/>
      <c r="AG199" s="510"/>
      <c r="AH199" s="510"/>
      <c r="AI199" s="510"/>
      <c r="AJ199" s="510"/>
      <c r="AK199" s="510"/>
      <c r="AL199" s="510"/>
      <c r="AM199" s="510"/>
      <c r="AN199" s="510"/>
    </row>
    <row r="200" spans="1:40" ht="20.399999999999999">
      <c r="A200" s="523" t="s">
        <v>348</v>
      </c>
      <c r="B200" s="510" t="s">
        <v>83</v>
      </c>
      <c r="C200" s="600" t="s">
        <v>43</v>
      </c>
      <c r="D200" s="603"/>
      <c r="E200" s="604"/>
      <c r="F200" s="532">
        <f>+INDEX('[5]Budget original'!$A$2:$AO$501,MATCH($A200,'[5]Budget original'!$A$2:$A$501,0),MATCH(F$2,'[5]Budget original'!$A$2:$AO$2,0))</f>
        <v>17386.576923076926</v>
      </c>
      <c r="G200" s="605"/>
      <c r="H200" s="604"/>
      <c r="I200" s="532"/>
      <c r="J200" s="518"/>
      <c r="K200" s="604"/>
      <c r="L200" s="553">
        <f>SUMIFS([5]BV_Data_An_Cour!$O:$O,[5]BV_Data_An_Cour!$U:$U,$B200,[5]BV_Data_An_Cour!$V:$V,$C200,[5]BV_Data_An_Cour!$W:$W,$L$2)</f>
        <v>17131.98</v>
      </c>
      <c r="M200" s="518"/>
      <c r="N200" s="553">
        <f t="shared" si="46"/>
        <v>-254.59692307692603</v>
      </c>
      <c r="O200" s="518"/>
      <c r="P200" s="604"/>
      <c r="Q200" s="553">
        <f t="array" ref="Q200">+INDEX('[5]Réel 2023'!$A$2:$AO$501,MATCH($A200,'[5]Réel 2023'!$A$2:$A$501,0),MATCH(Q$2,'[5]Réel 2023'!$A$2:$AO$2,0))</f>
        <v>18675.060000000001</v>
      </c>
      <c r="R200" s="518"/>
      <c r="S200" s="606">
        <f t="shared" si="47"/>
        <v>-1543.0800000000017</v>
      </c>
      <c r="T200" s="510"/>
      <c r="U200" s="510"/>
      <c r="V200" s="510"/>
      <c r="W200" s="510"/>
      <c r="X200" s="510"/>
      <c r="Y200" s="510"/>
      <c r="Z200" s="510"/>
      <c r="AA200" s="510"/>
      <c r="AB200" s="510"/>
      <c r="AC200" s="510"/>
      <c r="AD200" s="510"/>
      <c r="AE200" s="510"/>
      <c r="AF200" s="510"/>
      <c r="AG200" s="510"/>
      <c r="AH200" s="510"/>
      <c r="AI200" s="510"/>
      <c r="AJ200" s="510"/>
      <c r="AK200" s="510"/>
      <c r="AL200" s="510"/>
      <c r="AM200" s="510"/>
      <c r="AN200" s="510"/>
    </row>
    <row r="201" spans="1:40" ht="20.399999999999999">
      <c r="A201" s="523" t="s">
        <v>349</v>
      </c>
      <c r="B201" s="510" t="s">
        <v>83</v>
      </c>
      <c r="C201" s="600" t="s">
        <v>44</v>
      </c>
      <c r="D201" s="584"/>
      <c r="E201" s="601">
        <f>F201/E172</f>
        <v>0.14903716709684714</v>
      </c>
      <c r="F201" s="532">
        <f>+INDEX('[5]Budget original'!$A$2:$AO$501,MATCH($A201,'[5]Budget original'!$A$2:$A$501,0),MATCH(F$2,'[5]Budget original'!$A$2:$AO$2,0))</f>
        <v>35443.838744000001</v>
      </c>
      <c r="G201" s="585"/>
      <c r="H201" s="510"/>
      <c r="I201" s="532"/>
      <c r="J201" s="531"/>
      <c r="K201" s="698">
        <f>L201/K172</f>
        <v>0.1425924891042592</v>
      </c>
      <c r="L201" s="534">
        <f>SUMIFS([5]BV_Data_An_Cour!$O:$O,[5]BV_Data_An_Cour!$U:$U,$B201,[5]BV_Data_An_Cour!$V:$V,$C201,[5]BV_Data_An_Cour!$W:$W,$L$2)</f>
        <v>29317.81</v>
      </c>
      <c r="M201" s="531"/>
      <c r="N201" s="534">
        <f t="shared" si="46"/>
        <v>-6126.0287439999993</v>
      </c>
      <c r="O201" s="531"/>
      <c r="P201" s="510"/>
      <c r="Q201" s="534">
        <f t="array" ref="Q201">+INDEX('[5]Réel 2023'!$A$2:$AO$501,MATCH($A201,'[5]Réel 2023'!$A$2:$A$501,0),MATCH(Q$2,'[5]Réel 2023'!$A$2:$AO$2,0))</f>
        <v>34817.24</v>
      </c>
      <c r="R201" s="531"/>
      <c r="S201" s="557">
        <f t="shared" si="47"/>
        <v>-5499.4299999999967</v>
      </c>
      <c r="T201" s="510"/>
      <c r="U201" s="510"/>
      <c r="V201" s="510"/>
      <c r="W201" s="510"/>
      <c r="X201" s="510"/>
      <c r="Y201" s="510"/>
      <c r="Z201" s="510"/>
      <c r="AA201" s="510"/>
      <c r="AB201" s="510"/>
      <c r="AC201" s="510"/>
      <c r="AD201" s="510"/>
      <c r="AE201" s="510"/>
      <c r="AF201" s="510"/>
      <c r="AG201" s="510"/>
      <c r="AH201" s="510"/>
      <c r="AI201" s="510"/>
      <c r="AJ201" s="510"/>
      <c r="AK201" s="510"/>
      <c r="AL201" s="510"/>
      <c r="AM201" s="510"/>
      <c r="AN201" s="510"/>
    </row>
    <row r="202" spans="1:40" ht="15.75" hidden="1" customHeight="1">
      <c r="A202" s="523" t="s">
        <v>350</v>
      </c>
      <c r="B202" s="510" t="s">
        <v>83</v>
      </c>
      <c r="C202" s="531" t="s">
        <v>20</v>
      </c>
      <c r="D202" s="584"/>
      <c r="E202" s="510"/>
      <c r="F202" s="532">
        <f>+INDEX('[5]Budget original'!$A$2:$AO$501,MATCH($A202,'[5]Budget original'!$A$2:$A$501,0),MATCH(F$2,'[5]Budget original'!$A$2:$AO$2,0))</f>
        <v>0</v>
      </c>
      <c r="G202" s="585"/>
      <c r="H202" s="510"/>
      <c r="I202" s="532"/>
      <c r="J202" s="531"/>
      <c r="K202" s="510"/>
      <c r="L202" s="534">
        <f>SUMIFS([5]BV_Data_An_Cour!$O:$O,[5]BV_Data_An_Cour!$U:$U,$B202,[5]BV_Data_An_Cour!$V:$V,$C202,[5]BV_Data_An_Cour!$W:$W,$L$2)</f>
        <v>0</v>
      </c>
      <c r="M202" s="531"/>
      <c r="N202" s="534">
        <f t="shared" si="46"/>
        <v>0</v>
      </c>
      <c r="O202" s="531"/>
      <c r="P202" s="510"/>
      <c r="Q202" s="534">
        <f t="array" ref="Q202">+INDEX('[5]Réel 2023'!$A$2:$AO$501,MATCH($A202,'[5]Réel 2023'!$A$2:$A$501,0),MATCH(Q$2,'[5]Réel 2023'!$A$2:$AO$2,0))</f>
        <v>0</v>
      </c>
      <c r="R202" s="531"/>
      <c r="S202" s="557">
        <f t="shared" si="47"/>
        <v>0</v>
      </c>
      <c r="T202" s="510"/>
      <c r="U202" s="510"/>
      <c r="V202" s="510"/>
      <c r="W202" s="510"/>
      <c r="X202" s="510"/>
      <c r="Y202" s="510"/>
      <c r="Z202" s="510"/>
      <c r="AA202" s="510"/>
      <c r="AB202" s="510"/>
      <c r="AC202" s="510"/>
      <c r="AD202" s="510"/>
      <c r="AE202" s="510"/>
      <c r="AF202" s="510"/>
      <c r="AG202" s="510"/>
      <c r="AH202" s="510"/>
      <c r="AI202" s="510"/>
      <c r="AJ202" s="510"/>
      <c r="AK202" s="510"/>
      <c r="AL202" s="510"/>
      <c r="AM202" s="510"/>
      <c r="AN202" s="510"/>
    </row>
    <row r="203" spans="1:40" ht="15.75" hidden="1" customHeight="1">
      <c r="A203" s="523" t="s">
        <v>350</v>
      </c>
      <c r="B203" s="510" t="s">
        <v>83</v>
      </c>
      <c r="C203" s="531" t="s">
        <v>20</v>
      </c>
      <c r="D203" s="584"/>
      <c r="E203" s="510"/>
      <c r="F203" s="532">
        <f>+INDEX('[5]Budget original'!$A$2:$AO$501,MATCH($A203,'[5]Budget original'!$A$2:$A$501,0),MATCH(F$2,'[5]Budget original'!$A$2:$AO$2,0))</f>
        <v>0</v>
      </c>
      <c r="G203" s="585"/>
      <c r="H203" s="510"/>
      <c r="I203" s="532"/>
      <c r="J203" s="531"/>
      <c r="K203" s="510"/>
      <c r="L203" s="534">
        <f>SUMIFS([5]BV_Data_An_Cour!$O:$O,[5]BV_Data_An_Cour!$U:$U,$B203,[5]BV_Data_An_Cour!$V:$V,$C203,[5]BV_Data_An_Cour!$W:$W,$L$2)</f>
        <v>0</v>
      </c>
      <c r="M203" s="531"/>
      <c r="N203" s="534">
        <f t="shared" si="46"/>
        <v>0</v>
      </c>
      <c r="O203" s="531"/>
      <c r="P203" s="510"/>
      <c r="Q203" s="534">
        <f t="array" ref="Q203">+INDEX('[5]Réel 2023'!$A$2:$AO$501,MATCH($A203,'[5]Réel 2023'!$A$2:$A$501,0),MATCH(Q$2,'[5]Réel 2023'!$A$2:$AO$2,0))</f>
        <v>0</v>
      </c>
      <c r="R203" s="531"/>
      <c r="S203" s="557">
        <f t="shared" si="47"/>
        <v>0</v>
      </c>
      <c r="T203" s="510"/>
      <c r="U203" s="510"/>
      <c r="V203" s="510"/>
      <c r="W203" s="510"/>
      <c r="X203" s="510"/>
      <c r="Y203" s="510"/>
      <c r="Z203" s="510"/>
      <c r="AA203" s="510"/>
      <c r="AB203" s="510"/>
      <c r="AC203" s="510"/>
      <c r="AD203" s="510"/>
      <c r="AE203" s="510"/>
      <c r="AF203" s="510"/>
      <c r="AG203" s="510"/>
      <c r="AH203" s="510"/>
      <c r="AI203" s="510"/>
      <c r="AJ203" s="510"/>
      <c r="AK203" s="510"/>
      <c r="AL203" s="510"/>
      <c r="AM203" s="510"/>
      <c r="AN203" s="510"/>
    </row>
    <row r="204" spans="1:40" ht="15.75" hidden="1" customHeight="1">
      <c r="A204" s="523" t="s">
        <v>350</v>
      </c>
      <c r="B204" s="510" t="s">
        <v>83</v>
      </c>
      <c r="C204" s="531" t="s">
        <v>20</v>
      </c>
      <c r="D204" s="584"/>
      <c r="E204" s="510"/>
      <c r="F204" s="532">
        <f>+INDEX('[5]Budget original'!$A$2:$AO$501,MATCH($A204,'[5]Budget original'!$A$2:$A$501,0),MATCH(F$2,'[5]Budget original'!$A$2:$AO$2,0))</f>
        <v>0</v>
      </c>
      <c r="G204" s="585"/>
      <c r="H204" s="510"/>
      <c r="I204" s="532"/>
      <c r="J204" s="531"/>
      <c r="K204" s="510"/>
      <c r="L204" s="534">
        <f>SUMIFS([5]BV_Data_An_Cour!$O:$O,[5]BV_Data_An_Cour!$U:$U,$B204,[5]BV_Data_An_Cour!$V:$V,$C204,[5]BV_Data_An_Cour!$W:$W,$L$2)</f>
        <v>0</v>
      </c>
      <c r="M204" s="531"/>
      <c r="N204" s="534">
        <f t="shared" si="46"/>
        <v>0</v>
      </c>
      <c r="O204" s="531"/>
      <c r="P204" s="510"/>
      <c r="Q204" s="534">
        <f t="array" ref="Q204">+INDEX('[5]Réel 2023'!$A$2:$AO$501,MATCH($A204,'[5]Réel 2023'!$A$2:$A$501,0),MATCH(Q$2,'[5]Réel 2023'!$A$2:$AO$2,0))</f>
        <v>0</v>
      </c>
      <c r="R204" s="531"/>
      <c r="S204" s="557">
        <f t="shared" si="47"/>
        <v>0</v>
      </c>
      <c r="T204" s="510"/>
      <c r="U204" s="510"/>
      <c r="V204" s="510"/>
      <c r="W204" s="510"/>
      <c r="X204" s="510"/>
      <c r="Y204" s="510"/>
      <c r="Z204" s="510"/>
      <c r="AA204" s="510"/>
      <c r="AB204" s="510"/>
      <c r="AC204" s="510"/>
      <c r="AD204" s="510"/>
      <c r="AE204" s="510"/>
      <c r="AF204" s="510"/>
      <c r="AG204" s="510"/>
      <c r="AH204" s="510"/>
      <c r="AI204" s="510"/>
      <c r="AJ204" s="510"/>
      <c r="AK204" s="510"/>
      <c r="AL204" s="510"/>
      <c r="AM204" s="510"/>
      <c r="AN204" s="510"/>
    </row>
    <row r="205" spans="1:40" ht="20.399999999999999">
      <c r="A205" s="523" t="s">
        <v>351</v>
      </c>
      <c r="B205" s="510" t="s">
        <v>83</v>
      </c>
      <c r="C205" s="602" t="s">
        <v>45</v>
      </c>
      <c r="D205" s="584"/>
      <c r="E205" s="510"/>
      <c r="F205" s="532">
        <f>+INDEX('[5]Budget original'!$A$2:$AO$501,MATCH($A205,'[5]Budget original'!$A$2:$A$501,0),MATCH(F$2,'[5]Budget original'!$A$2:$AO$2,0))</f>
        <v>21053.513894315158</v>
      </c>
      <c r="G205" s="585"/>
      <c r="H205" s="510"/>
      <c r="I205" s="532"/>
      <c r="J205" s="531"/>
      <c r="K205" s="510"/>
      <c r="L205" s="534">
        <f>SUMIFS([5]BV_Data_An_Cour!$O:$O,[5]BV_Data_An_Cour!$U:$U,$B205,[5]BV_Data_An_Cour!$V:$V,$C205,[5]BV_Data_An_Cour!$W:$W,$L$2)</f>
        <v>20132.439999999999</v>
      </c>
      <c r="M205" s="531"/>
      <c r="N205" s="534">
        <f t="shared" si="46"/>
        <v>-921.07389431515912</v>
      </c>
      <c r="O205" s="531"/>
      <c r="P205" s="510"/>
      <c r="Q205" s="534">
        <f t="array" ref="Q205">+INDEX('[5]Réel 2023'!$A$2:$AO$501,MATCH($A205,'[5]Réel 2023'!$A$2:$A$501,0),MATCH(Q$2,'[5]Réel 2023'!$A$2:$AO$2,0))</f>
        <v>20926.18</v>
      </c>
      <c r="R205" s="531"/>
      <c r="S205" s="557">
        <f t="shared" si="47"/>
        <v>-793.7400000000016</v>
      </c>
      <c r="T205" s="510"/>
      <c r="U205" s="510"/>
      <c r="V205" s="510"/>
      <c r="W205" s="510"/>
      <c r="X205" s="510"/>
      <c r="Y205" s="510"/>
      <c r="Z205" s="510"/>
      <c r="AA205" s="510"/>
      <c r="AB205" s="510"/>
      <c r="AC205" s="510"/>
      <c r="AD205" s="510"/>
      <c r="AE205" s="510"/>
      <c r="AF205" s="510"/>
      <c r="AG205" s="510"/>
      <c r="AH205" s="510"/>
      <c r="AI205" s="510"/>
      <c r="AJ205" s="510"/>
      <c r="AK205" s="510"/>
      <c r="AL205" s="510"/>
      <c r="AM205" s="510"/>
      <c r="AN205" s="510"/>
    </row>
    <row r="206" spans="1:40" ht="15.75" customHeight="1">
      <c r="A206" s="523" t="s">
        <v>352</v>
      </c>
      <c r="B206" s="510" t="s">
        <v>83</v>
      </c>
      <c r="C206" s="600" t="s">
        <v>46</v>
      </c>
      <c r="D206" s="603"/>
      <c r="E206" s="604"/>
      <c r="F206" s="553">
        <f>+INDEX('[5]Budget original'!$A$2:$AO$501,MATCH($A206,'[5]Budget original'!$A$2:$A$501,0),MATCH(F$2,'[5]Budget original'!$A$2:$AO$2,0))</f>
        <v>25598.104999255436</v>
      </c>
      <c r="G206" s="605"/>
      <c r="H206" s="604"/>
      <c r="I206" s="553"/>
      <c r="J206" s="518"/>
      <c r="K206" s="604"/>
      <c r="L206" s="553">
        <f>SUMIFS([5]BV_Data_An_Cour!$O:$O,[5]BV_Data_An_Cour!$U:$U,$B206,[5]BV_Data_An_Cour!$V:$V,$C206,[5]BV_Data_An_Cour!$W:$W,$L$2)</f>
        <v>24038.78</v>
      </c>
      <c r="M206" s="518"/>
      <c r="N206" s="553">
        <f t="shared" si="46"/>
        <v>-1559.3249992554374</v>
      </c>
      <c r="O206" s="518"/>
      <c r="P206" s="604"/>
      <c r="Q206" s="553">
        <f t="array" ref="Q206">+INDEX('[5]Réel 2023'!$A$2:$AO$501,MATCH($A206,'[5]Réel 2023'!$A$2:$A$501,0),MATCH(Q$2,'[5]Réel 2023'!$A$2:$AO$2,0))</f>
        <v>21642.75</v>
      </c>
      <c r="R206" s="518"/>
      <c r="S206" s="606">
        <f t="shared" si="47"/>
        <v>2396.0299999999988</v>
      </c>
      <c r="T206" s="510"/>
      <c r="U206" s="510"/>
      <c r="V206" s="510"/>
      <c r="W206" s="510"/>
      <c r="X206" s="510"/>
      <c r="Y206" s="510"/>
      <c r="Z206" s="510"/>
      <c r="AA206" s="510"/>
      <c r="AB206" s="510"/>
      <c r="AC206" s="510"/>
      <c r="AD206" s="510"/>
      <c r="AE206" s="510"/>
      <c r="AF206" s="510"/>
      <c r="AG206" s="510"/>
      <c r="AH206" s="510"/>
      <c r="AI206" s="510"/>
      <c r="AJ206" s="510"/>
      <c r="AK206" s="510"/>
      <c r="AL206" s="510"/>
      <c r="AM206" s="510"/>
      <c r="AN206" s="510"/>
    </row>
    <row r="207" spans="1:40" ht="15.75" customHeight="1">
      <c r="A207" s="523" t="s">
        <v>353</v>
      </c>
      <c r="B207" s="510" t="s">
        <v>83</v>
      </c>
      <c r="C207" s="600" t="s">
        <v>47</v>
      </c>
      <c r="D207" s="584"/>
      <c r="E207" s="510"/>
      <c r="F207" s="532">
        <f>+INDEX('[5]Budget original'!$A$2:$AO$501,MATCH($A207,'[5]Budget original'!$A$2:$A$501,0),MATCH(F$2,'[5]Budget original'!$A$2:$AO$2,0))</f>
        <v>13188.588880051169</v>
      </c>
      <c r="G207" s="585"/>
      <c r="H207" s="510"/>
      <c r="I207" s="532"/>
      <c r="J207" s="531"/>
      <c r="K207" s="510"/>
      <c r="L207" s="534">
        <f>SUMIFS([5]BV_Data_An_Cour!$O:$O,[5]BV_Data_An_Cour!$U:$U,$B207,[5]BV_Data_An_Cour!$V:$V,$C207,[5]BV_Data_An_Cour!$W:$W,$L$2)</f>
        <v>11427.23</v>
      </c>
      <c r="M207" s="531"/>
      <c r="N207" s="534">
        <f t="shared" si="46"/>
        <v>-1761.3588800511698</v>
      </c>
      <c r="O207" s="531"/>
      <c r="P207" s="510"/>
      <c r="Q207" s="534">
        <f t="array" ref="Q207">+INDEX('[5]Réel 2023'!$A$2:$AO$501,MATCH($A207,'[5]Réel 2023'!$A$2:$A$501,0),MATCH(Q$2,'[5]Réel 2023'!$A$2:$AO$2,0))</f>
        <v>12794.84</v>
      </c>
      <c r="R207" s="531"/>
      <c r="S207" s="557">
        <f t="shared" si="47"/>
        <v>-1367.6100000000006</v>
      </c>
      <c r="T207" s="510"/>
      <c r="U207" s="510"/>
      <c r="V207" s="510"/>
      <c r="W207" s="510"/>
      <c r="X207" s="510"/>
      <c r="Y207" s="510"/>
      <c r="Z207" s="510"/>
      <c r="AA207" s="510"/>
      <c r="AB207" s="510"/>
      <c r="AC207" s="510"/>
      <c r="AD207" s="510"/>
      <c r="AE207" s="510"/>
      <c r="AF207" s="510"/>
      <c r="AG207" s="510"/>
      <c r="AH207" s="510"/>
      <c r="AI207" s="510"/>
      <c r="AJ207" s="510"/>
      <c r="AK207" s="510"/>
      <c r="AL207" s="510"/>
      <c r="AM207" s="510"/>
      <c r="AN207" s="510"/>
    </row>
    <row r="208" spans="1:40" ht="15.75" customHeight="1">
      <c r="A208" s="523" t="s">
        <v>354</v>
      </c>
      <c r="B208" s="510" t="s">
        <v>83</v>
      </c>
      <c r="C208" s="600" t="s">
        <v>48</v>
      </c>
      <c r="D208" s="584"/>
      <c r="E208" s="510"/>
      <c r="F208" s="532">
        <f>+INDEX('[5]Budget original'!$A$2:$AO$501,MATCH($A208,'[5]Budget original'!$A$2:$A$501,0),MATCH(F$2,'[5]Budget original'!$A$2:$AO$2,0))</f>
        <v>5750.2989491081044</v>
      </c>
      <c r="G208" s="585"/>
      <c r="H208" s="510"/>
      <c r="I208" s="532"/>
      <c r="J208" s="531"/>
      <c r="K208" s="510"/>
      <c r="L208" s="534">
        <f>SUMIFS([5]BV_Data_An_Cour!$O:$O,[5]BV_Data_An_Cour!$U:$U,$B208,[5]BV_Data_An_Cour!$V:$V,$C208,[5]BV_Data_An_Cour!$W:$W,$L$2)</f>
        <v>3283.11</v>
      </c>
      <c r="M208" s="531"/>
      <c r="N208" s="534">
        <f t="shared" si="46"/>
        <v>-2467.1889491081042</v>
      </c>
      <c r="O208" s="531"/>
      <c r="P208" s="510"/>
      <c r="Q208" s="534">
        <f t="array" ref="Q208">+INDEX('[5]Réel 2023'!$A$2:$AO$501,MATCH($A208,'[5]Réel 2023'!$A$2:$A$501,0),MATCH(Q$2,'[5]Réel 2023'!$A$2:$AO$2,0))</f>
        <v>4122.1000000000004</v>
      </c>
      <c r="R208" s="531"/>
      <c r="S208" s="557">
        <f t="shared" si="47"/>
        <v>-838.99000000000024</v>
      </c>
      <c r="T208" s="510"/>
      <c r="U208" s="510"/>
      <c r="V208" s="510"/>
      <c r="W208" s="510"/>
      <c r="X208" s="510"/>
      <c r="Y208" s="510"/>
      <c r="Z208" s="510"/>
      <c r="AA208" s="510"/>
      <c r="AB208" s="510"/>
      <c r="AC208" s="510"/>
      <c r="AD208" s="510"/>
      <c r="AE208" s="510"/>
      <c r="AF208" s="510"/>
      <c r="AG208" s="510"/>
      <c r="AH208" s="510"/>
      <c r="AI208" s="510"/>
      <c r="AJ208" s="510"/>
      <c r="AK208" s="510"/>
      <c r="AL208" s="510"/>
      <c r="AM208" s="510"/>
      <c r="AN208" s="510"/>
    </row>
    <row r="209" spans="1:40" ht="15.75" hidden="1" customHeight="1">
      <c r="A209" s="523" t="s">
        <v>350</v>
      </c>
      <c r="B209" s="510" t="s">
        <v>83</v>
      </c>
      <c r="C209" s="531" t="s">
        <v>20</v>
      </c>
      <c r="D209" s="587"/>
      <c r="E209" s="607"/>
      <c r="F209" s="532">
        <f>+INDEX('[5]Budget original'!$A$2:$AO$501,MATCH($A209,'[5]Budget original'!$A$2:$A$501,0),MATCH(F$2,'[5]Budget original'!$A$2:$AO$2,0))</f>
        <v>0</v>
      </c>
      <c r="G209" s="588"/>
      <c r="H209" s="607"/>
      <c r="I209" s="532"/>
      <c r="J209" s="524"/>
      <c r="K209" s="607"/>
      <c r="L209" s="534">
        <f>SUMIFS([5]BV_Data_An_Cour!$O:$O,[5]BV_Data_An_Cour!$U:$U,$B209,[5]BV_Data_An_Cour!$V:$V,$C209,[5]BV_Data_An_Cour!$W:$W,$L$2)</f>
        <v>0</v>
      </c>
      <c r="M209" s="524"/>
      <c r="N209" s="534">
        <f t="shared" si="46"/>
        <v>0</v>
      </c>
      <c r="O209" s="524"/>
      <c r="P209" s="607"/>
      <c r="Q209" s="534">
        <f t="array" ref="Q209">+INDEX('[5]Réel 2023'!$A$2:$AO$501,MATCH($A209,'[5]Réel 2023'!$A$2:$A$501,0),MATCH(Q$2,'[5]Réel 2023'!$A$2:$AO$2,0))</f>
        <v>0</v>
      </c>
      <c r="R209" s="524"/>
      <c r="S209" s="582">
        <f t="shared" si="47"/>
        <v>0</v>
      </c>
      <c r="T209" s="510"/>
      <c r="U209" s="510"/>
      <c r="V209" s="510"/>
      <c r="W209" s="510"/>
      <c r="X209" s="510"/>
      <c r="Y209" s="510"/>
      <c r="Z209" s="510"/>
      <c r="AA209" s="510"/>
      <c r="AB209" s="510"/>
      <c r="AC209" s="510"/>
      <c r="AD209" s="510"/>
      <c r="AE209" s="510"/>
      <c r="AF209" s="510"/>
      <c r="AG209" s="510"/>
      <c r="AH209" s="510"/>
      <c r="AI209" s="510"/>
      <c r="AJ209" s="510"/>
      <c r="AK209" s="510"/>
      <c r="AL209" s="510"/>
      <c r="AM209" s="510"/>
      <c r="AN209" s="510"/>
    </row>
    <row r="210" spans="1:40" ht="15.75" customHeight="1">
      <c r="A210" s="523" t="s">
        <v>355</v>
      </c>
      <c r="B210" s="510" t="s">
        <v>83</v>
      </c>
      <c r="C210" s="592" t="s">
        <v>49</v>
      </c>
      <c r="D210" s="593" t="s">
        <v>97</v>
      </c>
      <c r="E210" s="594">
        <f>F210/F$194</f>
        <v>0.46918978130476291</v>
      </c>
      <c r="F210" s="595">
        <f>+SUM(F198:F209)</f>
        <v>142690.64010775549</v>
      </c>
      <c r="G210" s="596"/>
      <c r="H210" s="594"/>
      <c r="I210" s="595"/>
      <c r="J210" s="596" t="s">
        <v>97</v>
      </c>
      <c r="K210" s="594">
        <f>L210/L$194</f>
        <v>0.4621337934345901</v>
      </c>
      <c r="L210" s="595">
        <f>+SUM(L198:L209)</f>
        <v>124100.48</v>
      </c>
      <c r="M210" s="650"/>
      <c r="N210" s="595">
        <f t="shared" si="46"/>
        <v>-18590.160107755495</v>
      </c>
      <c r="O210" s="596" t="s">
        <v>97</v>
      </c>
      <c r="P210" s="594">
        <f>Q210/Q$194</f>
        <v>0.58905499640711079</v>
      </c>
      <c r="Q210" s="595">
        <f>+SUM(Q198:Q209)</f>
        <v>129840.38</v>
      </c>
      <c r="R210" s="650"/>
      <c r="S210" s="609">
        <f t="shared" si="47"/>
        <v>-5739.9000000000087</v>
      </c>
      <c r="T210" s="510"/>
      <c r="U210" s="510"/>
      <c r="V210" s="510"/>
      <c r="W210" s="510"/>
      <c r="X210" s="510"/>
      <c r="Y210" s="510"/>
      <c r="Z210" s="510"/>
      <c r="AA210" s="510"/>
      <c r="AB210" s="510"/>
      <c r="AC210" s="510"/>
      <c r="AD210" s="510"/>
      <c r="AE210" s="510"/>
      <c r="AF210" s="510"/>
      <c r="AG210" s="510"/>
      <c r="AH210" s="510"/>
      <c r="AI210" s="510"/>
      <c r="AJ210" s="510"/>
      <c r="AK210" s="510"/>
      <c r="AL210" s="510"/>
      <c r="AM210" s="510"/>
      <c r="AN210" s="510"/>
    </row>
    <row r="211" spans="1:40" ht="15.75" customHeight="1">
      <c r="A211" s="523" t="s">
        <v>356</v>
      </c>
      <c r="B211" s="510" t="s">
        <v>83</v>
      </c>
      <c r="C211" s="531" t="s">
        <v>50</v>
      </c>
      <c r="D211" s="584"/>
      <c r="E211" s="510"/>
      <c r="F211" s="532">
        <f>+INDEX('[5]Budget original'!$A$2:$AO$501,MATCH($A211,'[5]Budget original'!$A$2:$A$501,0),MATCH(F$2,'[5]Budget original'!$A$2:$AO$2,0))</f>
        <v>10386.992319131941</v>
      </c>
      <c r="G211" s="585"/>
      <c r="H211" s="510"/>
      <c r="I211" s="532"/>
      <c r="J211" s="531"/>
      <c r="K211" s="510"/>
      <c r="L211" s="534">
        <f>SUMIFS([5]BV_Data_An_Cour!$O:$O,[5]BV_Data_An_Cour!$U:$U,$B211,[5]BV_Data_An_Cour!$V:$V,$C211,[5]BV_Data_An_Cour!$W:$W,$L$2)</f>
        <v>11040.12</v>
      </c>
      <c r="M211" s="531"/>
      <c r="N211" s="557">
        <f t="shared" si="46"/>
        <v>653.12768086805954</v>
      </c>
      <c r="O211" s="531"/>
      <c r="P211" s="510"/>
      <c r="Q211" s="534">
        <f t="array" ref="Q211">+INDEX('[5]Réel 2023'!$A$2:$AO$501,MATCH($A211,'[5]Réel 2023'!$A$2:$A$501,0),MATCH(Q$2,'[5]Réel 2023'!$A$2:$AO$2,0))</f>
        <v>9632.07</v>
      </c>
      <c r="R211" s="531"/>
      <c r="S211" s="557">
        <f t="shared" si="47"/>
        <v>1408.0500000000011</v>
      </c>
      <c r="T211" s="510"/>
      <c r="U211" s="510"/>
      <c r="V211" s="510"/>
      <c r="W211" s="510"/>
      <c r="X211" s="510"/>
      <c r="Y211" s="510"/>
      <c r="Z211" s="510"/>
      <c r="AA211" s="510"/>
      <c r="AB211" s="510"/>
      <c r="AC211" s="510"/>
      <c r="AD211" s="510"/>
      <c r="AE211" s="510"/>
      <c r="AF211" s="510"/>
      <c r="AG211" s="510"/>
      <c r="AH211" s="510"/>
      <c r="AI211" s="510"/>
      <c r="AJ211" s="510"/>
      <c r="AK211" s="510"/>
      <c r="AL211" s="510"/>
      <c r="AM211" s="510"/>
      <c r="AN211" s="510"/>
    </row>
    <row r="212" spans="1:40" ht="15.75" customHeight="1">
      <c r="A212" s="523" t="s">
        <v>357</v>
      </c>
      <c r="B212" s="510" t="s">
        <v>83</v>
      </c>
      <c r="C212" s="531" t="s">
        <v>51</v>
      </c>
      <c r="D212" s="584"/>
      <c r="E212" s="510"/>
      <c r="F212" s="532">
        <f>+INDEX('[5]Budget original'!$A$2:$AO$501,MATCH($A212,'[5]Budget original'!$A$2:$A$501,0),MATCH(F$2,'[5]Budget original'!$A$2:$AO$2,0))</f>
        <v>3860.3926568344446</v>
      </c>
      <c r="G212" s="585"/>
      <c r="H212" s="510"/>
      <c r="I212" s="532"/>
      <c r="J212" s="531"/>
      <c r="K212" s="510"/>
      <c r="L212" s="534">
        <f>SUMIFS([5]BV_Data_An_Cour!$O:$O,[5]BV_Data_An_Cour!$U:$U,$B212,[5]BV_Data_An_Cour!$V:$V,$C212,[5]BV_Data_An_Cour!$W:$W,$L$2)</f>
        <v>7866.81</v>
      </c>
      <c r="M212" s="531"/>
      <c r="N212" s="557">
        <f t="shared" si="46"/>
        <v>4006.4173431655558</v>
      </c>
      <c r="O212" s="531"/>
      <c r="P212" s="510"/>
      <c r="Q212" s="534">
        <f t="array" ref="Q212">+INDEX('[5]Réel 2023'!$A$2:$AO$501,MATCH($A212,'[5]Réel 2023'!$A$2:$A$501,0),MATCH(Q$2,'[5]Réel 2023'!$A$2:$AO$2,0))</f>
        <v>7925.8499999999904</v>
      </c>
      <c r="R212" s="531"/>
      <c r="S212" s="557">
        <f t="shared" si="47"/>
        <v>-59.039999999989959</v>
      </c>
      <c r="T212" s="510"/>
      <c r="U212" s="523"/>
      <c r="V212" s="510"/>
      <c r="W212" s="510"/>
      <c r="X212" s="510"/>
      <c r="Y212" s="510"/>
      <c r="Z212" s="510"/>
      <c r="AA212" s="510"/>
      <c r="AB212" s="510"/>
      <c r="AC212" s="510"/>
      <c r="AD212" s="510"/>
      <c r="AE212" s="510"/>
      <c r="AF212" s="510"/>
      <c r="AG212" s="510"/>
      <c r="AH212" s="510"/>
      <c r="AI212" s="510"/>
      <c r="AJ212" s="510"/>
      <c r="AK212" s="510"/>
      <c r="AL212" s="510"/>
      <c r="AM212" s="510"/>
      <c r="AN212" s="510"/>
    </row>
    <row r="213" spans="1:40" ht="15.75" customHeight="1">
      <c r="A213" s="523" t="s">
        <v>358</v>
      </c>
      <c r="B213" s="510" t="s">
        <v>83</v>
      </c>
      <c r="C213" s="524" t="s">
        <v>52</v>
      </c>
      <c r="D213" s="587"/>
      <c r="E213" s="607"/>
      <c r="F213" s="526">
        <f>+INDEX('[5]Budget original'!$A$2:$AO$501,MATCH($A213,'[5]Budget original'!$A$2:$A$501,0),MATCH(F$2,'[5]Budget original'!$A$2:$AO$2,0))</f>
        <v>13333.333333333334</v>
      </c>
      <c r="G213" s="588"/>
      <c r="H213" s="607"/>
      <c r="I213" s="526"/>
      <c r="J213" s="524"/>
      <c r="K213" s="607"/>
      <c r="L213" s="534">
        <f>SUMIFS([5]BV_Data_An_Cour!$O:$O,[5]BV_Data_An_Cour!$U:$U,$B213,[5]BV_Data_An_Cour!$V:$V,$C213,[5]BV_Data_An_Cour!$W:$W,$L$2)</f>
        <v>9794.68</v>
      </c>
      <c r="M213" s="524"/>
      <c r="N213" s="582">
        <f t="shared" si="46"/>
        <v>-3538.6533333333336</v>
      </c>
      <c r="O213" s="524"/>
      <c r="P213" s="607"/>
      <c r="Q213" s="534">
        <f t="array" ref="Q213">+INDEX('[5]Réel 2023'!$A$2:$AO$501,MATCH($A213,'[5]Réel 2023'!$A$2:$A$501,0),MATCH(Q$2,'[5]Réel 2023'!$A$2:$AO$2,0))</f>
        <v>11694.57</v>
      </c>
      <c r="R213" s="524"/>
      <c r="S213" s="582">
        <f t="shared" si="47"/>
        <v>-1899.8899999999994</v>
      </c>
      <c r="T213" s="510"/>
      <c r="U213" s="510"/>
      <c r="V213" s="510"/>
      <c r="W213" s="510"/>
      <c r="X213" s="510"/>
      <c r="Y213" s="510"/>
      <c r="Z213" s="510"/>
      <c r="AA213" s="510"/>
      <c r="AB213" s="510"/>
      <c r="AC213" s="510"/>
      <c r="AD213" s="510"/>
      <c r="AE213" s="510"/>
      <c r="AF213" s="510"/>
      <c r="AG213" s="510"/>
      <c r="AH213" s="510"/>
      <c r="AI213" s="510"/>
      <c r="AJ213" s="510"/>
      <c r="AK213" s="510"/>
      <c r="AL213" s="510"/>
      <c r="AM213" s="510"/>
      <c r="AN213" s="510"/>
    </row>
    <row r="214" spans="1:40" ht="15.75" customHeight="1">
      <c r="A214" s="523" t="s">
        <v>359</v>
      </c>
      <c r="B214" s="510" t="s">
        <v>83</v>
      </c>
      <c r="C214" s="531" t="s">
        <v>53</v>
      </c>
      <c r="D214" s="584"/>
      <c r="E214" s="510"/>
      <c r="F214" s="532">
        <f>+INDEX('[5]Budget original'!$A$2:$AO$501,MATCH($A214,'[5]Budget original'!$A$2:$A$501,0),MATCH(F$2,'[5]Budget original'!$A$2:$AO$2,0))</f>
        <v>4360.8818746666657</v>
      </c>
      <c r="G214" s="585"/>
      <c r="H214" s="510"/>
      <c r="I214" s="532"/>
      <c r="J214" s="531"/>
      <c r="K214" s="510"/>
      <c r="L214" s="553">
        <f>SUMIFS([5]BV_Data_An_Cour!$O:$O,[5]BV_Data_An_Cour!$U:$U,$B214,[5]BV_Data_An_Cour!$V:$V,$C214,[5]BV_Data_An_Cour!$W:$W,$L$2)</f>
        <v>5132.66</v>
      </c>
      <c r="M214" s="531"/>
      <c r="N214" s="557">
        <f t="shared" si="46"/>
        <v>771.77812533333417</v>
      </c>
      <c r="O214" s="531"/>
      <c r="P214" s="510"/>
      <c r="Q214" s="553">
        <f t="array" ref="Q214">+INDEX('[5]Réel 2023'!$A$2:$AO$501,MATCH($A214,'[5]Réel 2023'!$A$2:$A$501,0),MATCH(Q$2,'[5]Réel 2023'!$A$2:$AO$2,0))</f>
        <v>10021.040000000001</v>
      </c>
      <c r="R214" s="531"/>
      <c r="S214" s="557">
        <f t="shared" si="47"/>
        <v>-4888.380000000001</v>
      </c>
      <c r="T214" s="510"/>
      <c r="U214" s="510"/>
      <c r="V214" s="510"/>
      <c r="W214" s="510"/>
      <c r="X214" s="510"/>
      <c r="Y214" s="510"/>
      <c r="Z214" s="510"/>
      <c r="AA214" s="510"/>
      <c r="AB214" s="510"/>
      <c r="AC214" s="510"/>
      <c r="AD214" s="510"/>
      <c r="AE214" s="510"/>
      <c r="AF214" s="510"/>
      <c r="AG214" s="510"/>
      <c r="AH214" s="510"/>
      <c r="AI214" s="510"/>
      <c r="AJ214" s="510"/>
      <c r="AK214" s="510"/>
      <c r="AL214" s="510"/>
      <c r="AM214" s="510"/>
      <c r="AN214" s="510"/>
    </row>
    <row r="215" spans="1:40" ht="15.75" customHeight="1">
      <c r="A215" s="523" t="s">
        <v>360</v>
      </c>
      <c r="B215" s="510" t="s">
        <v>83</v>
      </c>
      <c r="C215" s="531" t="s">
        <v>54</v>
      </c>
      <c r="D215" s="584"/>
      <c r="E215" s="510"/>
      <c r="F215" s="532">
        <f>+INDEX('[5]Budget original'!$A$2:$AO$501,MATCH($A215,'[5]Budget original'!$A$2:$A$501,0),MATCH(F$2,'[5]Budget original'!$A$2:$AO$2,0))</f>
        <v>1099.3818546873238</v>
      </c>
      <c r="G215" s="585"/>
      <c r="H215" s="510"/>
      <c r="I215" s="532"/>
      <c r="J215" s="531"/>
      <c r="K215" s="510"/>
      <c r="L215" s="534">
        <f>SUMIFS([5]BV_Data_An_Cour!$O:$O,[5]BV_Data_An_Cour!$U:$U,$B215,[5]BV_Data_An_Cour!$V:$V,$C215,[5]BV_Data_An_Cour!$W:$W,$L$2)</f>
        <v>997.62</v>
      </c>
      <c r="M215" s="531"/>
      <c r="N215" s="557">
        <f t="shared" si="46"/>
        <v>-101.76185468732376</v>
      </c>
      <c r="O215" s="531"/>
      <c r="P215" s="510"/>
      <c r="Q215" s="534">
        <f t="array" ref="Q215">+INDEX('[5]Réel 2023'!$A$2:$AO$501,MATCH($A215,'[5]Réel 2023'!$A$2:$A$501,0),MATCH(Q$2,'[5]Réel 2023'!$A$2:$AO$2,0))</f>
        <v>1980.16</v>
      </c>
      <c r="R215" s="531"/>
      <c r="S215" s="557">
        <f t="shared" si="47"/>
        <v>-982.54000000000008</v>
      </c>
      <c r="T215" s="510"/>
      <c r="U215" s="510"/>
      <c r="V215" s="510"/>
      <c r="W215" s="510"/>
      <c r="X215" s="510"/>
      <c r="Y215" s="510"/>
      <c r="Z215" s="510"/>
      <c r="AA215" s="510"/>
      <c r="AB215" s="510"/>
      <c r="AC215" s="510"/>
      <c r="AD215" s="510"/>
      <c r="AE215" s="510"/>
      <c r="AF215" s="510"/>
      <c r="AG215" s="510"/>
      <c r="AH215" s="510"/>
      <c r="AI215" s="510"/>
      <c r="AJ215" s="510"/>
      <c r="AK215" s="510"/>
      <c r="AL215" s="510"/>
      <c r="AM215" s="510"/>
      <c r="AN215" s="510"/>
    </row>
    <row r="216" spans="1:40" ht="15.75" customHeight="1">
      <c r="A216" s="523" t="s">
        <v>361</v>
      </c>
      <c r="B216" s="510" t="s">
        <v>83</v>
      </c>
      <c r="C216" s="524" t="s">
        <v>55</v>
      </c>
      <c r="D216" s="587"/>
      <c r="E216" s="607"/>
      <c r="F216" s="526">
        <f>+INDEX('[5]Budget original'!$A$2:$AO$501,MATCH($A216,'[5]Budget original'!$A$2:$A$501,0),MATCH(F$2,'[5]Budget original'!$A$2:$AO$2,0))</f>
        <v>10141.772002488889</v>
      </c>
      <c r="G216" s="588"/>
      <c r="H216" s="607"/>
      <c r="I216" s="526"/>
      <c r="J216" s="524"/>
      <c r="K216" s="607"/>
      <c r="L216" s="534">
        <f>SUMIFS([5]BV_Data_An_Cour!$O:$O,[5]BV_Data_An_Cour!$U:$U,$B216,[5]BV_Data_An_Cour!$V:$V,$C216,[5]BV_Data_An_Cour!$W:$W,$L$2)</f>
        <v>18813.41</v>
      </c>
      <c r="M216" s="524"/>
      <c r="N216" s="582">
        <f t="shared" si="46"/>
        <v>8671.6379975111104</v>
      </c>
      <c r="O216" s="524"/>
      <c r="P216" s="607"/>
      <c r="Q216" s="534">
        <f t="array" ref="Q216">+INDEX('[5]Réel 2023'!$A$2:$AO$501,MATCH($A216,'[5]Réel 2023'!$A$2:$A$501,0),MATCH(Q$2,'[5]Réel 2023'!$A$2:$AO$2,0))</f>
        <v>8980.36</v>
      </c>
      <c r="R216" s="524"/>
      <c r="S216" s="582">
        <f t="shared" si="47"/>
        <v>9833.0499999999993</v>
      </c>
      <c r="T216" s="510"/>
      <c r="U216" s="507" t="s">
        <v>476</v>
      </c>
      <c r="V216" s="510"/>
      <c r="W216" s="510"/>
      <c r="X216" s="510"/>
      <c r="Y216" s="510"/>
      <c r="Z216" s="510"/>
      <c r="AA216" s="510"/>
      <c r="AB216" s="510"/>
      <c r="AC216" s="510"/>
      <c r="AD216" s="510"/>
      <c r="AE216" s="510"/>
      <c r="AF216" s="510"/>
      <c r="AG216" s="510"/>
      <c r="AH216" s="510"/>
      <c r="AI216" s="510"/>
      <c r="AJ216" s="510"/>
      <c r="AK216" s="510"/>
      <c r="AL216" s="510"/>
      <c r="AM216" s="510"/>
      <c r="AN216" s="510"/>
    </row>
    <row r="217" spans="1:40" ht="15.75" customHeight="1">
      <c r="A217" s="523" t="s">
        <v>362</v>
      </c>
      <c r="B217" s="510" t="s">
        <v>83</v>
      </c>
      <c r="C217" s="531" t="s">
        <v>98</v>
      </c>
      <c r="D217" s="584"/>
      <c r="E217" s="510"/>
      <c r="F217" s="532"/>
      <c r="G217" s="585"/>
      <c r="H217" s="510"/>
      <c r="I217" s="532"/>
      <c r="J217" s="531"/>
      <c r="K217" s="510"/>
      <c r="L217" s="553">
        <f>SUMIFS([5]BV_Data_An_Cour!$O:$O,[5]BV_Data_An_Cour!$U:$U,$B217,[5]BV_Data_An_Cour!$V:$V,$C217,[5]BV_Data_An_Cour!$W:$W,$L$2)</f>
        <v>0</v>
      </c>
      <c r="M217" s="531"/>
      <c r="N217" s="557">
        <f t="shared" si="46"/>
        <v>0</v>
      </c>
      <c r="O217" s="531"/>
      <c r="P217" s="510"/>
      <c r="Q217" s="553">
        <f t="array" ref="Q217">+INDEX('[5]Réel 2023'!$A$2:$AO$501,MATCH($A217,'[5]Réel 2023'!$A$2:$A$501,0),MATCH(Q$2,'[5]Réel 2023'!$A$2:$AO$2,0))</f>
        <v>0</v>
      </c>
      <c r="R217" s="531"/>
      <c r="S217" s="557">
        <f t="shared" si="47"/>
        <v>0</v>
      </c>
      <c r="T217" s="510"/>
      <c r="U217" s="510"/>
      <c r="V217" s="510"/>
      <c r="W217" s="510"/>
      <c r="X217" s="510"/>
      <c r="Y217" s="510"/>
      <c r="Z217" s="510"/>
      <c r="AA217" s="510"/>
      <c r="AB217" s="510"/>
      <c r="AC217" s="510"/>
      <c r="AD217" s="510"/>
      <c r="AE217" s="510"/>
      <c r="AF217" s="510"/>
      <c r="AG217" s="510"/>
      <c r="AH217" s="510"/>
      <c r="AI217" s="510"/>
      <c r="AJ217" s="510"/>
      <c r="AK217" s="510"/>
      <c r="AL217" s="510"/>
      <c r="AM217" s="510"/>
      <c r="AN217" s="510"/>
    </row>
    <row r="218" spans="1:40" ht="15.75" customHeight="1">
      <c r="A218" s="523" t="s">
        <v>363</v>
      </c>
      <c r="B218" s="510" t="s">
        <v>83</v>
      </c>
      <c r="C218" s="531" t="s">
        <v>56</v>
      </c>
      <c r="D218" s="584"/>
      <c r="E218" s="510"/>
      <c r="F218" s="532">
        <f>+INDEX('[5]Budget original'!$A$2:$AO$501,MATCH($A218,'[5]Budget original'!$A$2:$A$501,0),MATCH(F$2,'[5]Budget original'!$A$2:$AO$2,0))</f>
        <v>5583.333333333333</v>
      </c>
      <c r="G218" s="585"/>
      <c r="H218" s="510"/>
      <c r="I218" s="532"/>
      <c r="J218" s="531"/>
      <c r="K218" s="510"/>
      <c r="L218" s="534">
        <f>SUMIFS([5]BV_Data_An_Cour!$O:$O,[5]BV_Data_An_Cour!$U:$U,$B218,[5]BV_Data_An_Cour!$V:$V,$C218,[5]BV_Data_An_Cour!$W:$W,$L$2)</f>
        <v>6845.96</v>
      </c>
      <c r="M218" s="531"/>
      <c r="N218" s="557">
        <f t="shared" si="46"/>
        <v>1262.626666666667</v>
      </c>
      <c r="O218" s="531"/>
      <c r="P218" s="510"/>
      <c r="Q218" s="534">
        <f t="array" ref="Q218">+INDEX('[5]Réel 2023'!$A$2:$AO$501,MATCH($A218,'[5]Réel 2023'!$A$2:$A$501,0),MATCH(Q$2,'[5]Réel 2023'!$A$2:$AO$2,0))</f>
        <v>13015.97</v>
      </c>
      <c r="R218" s="531"/>
      <c r="S218" s="557">
        <f t="shared" si="47"/>
        <v>-6170.0099999999993</v>
      </c>
      <c r="T218" s="510"/>
      <c r="U218" s="510"/>
      <c r="V218" s="510"/>
      <c r="W218" s="510"/>
      <c r="X218" s="510"/>
      <c r="Y218" s="510"/>
      <c r="Z218" s="510"/>
      <c r="AA218" s="510"/>
      <c r="AB218" s="510"/>
      <c r="AC218" s="510"/>
      <c r="AD218" s="510"/>
      <c r="AE218" s="510"/>
      <c r="AF218" s="510"/>
      <c r="AG218" s="510"/>
      <c r="AH218" s="510"/>
      <c r="AI218" s="510"/>
      <c r="AJ218" s="510"/>
      <c r="AK218" s="510"/>
      <c r="AL218" s="510"/>
      <c r="AM218" s="510"/>
      <c r="AN218" s="510"/>
    </row>
    <row r="219" spans="1:40" ht="15.75" customHeight="1">
      <c r="A219" s="523" t="s">
        <v>364</v>
      </c>
      <c r="B219" s="510" t="s">
        <v>83</v>
      </c>
      <c r="C219" s="531" t="s">
        <v>57</v>
      </c>
      <c r="D219" s="584"/>
      <c r="E219" s="510"/>
      <c r="F219" s="532">
        <f>+INDEX('[5]Budget original'!$A$2:$AO$501,MATCH($A219,'[5]Budget original'!$A$2:$A$501,0),MATCH(F$2,'[5]Budget original'!$A$2:$AO$2,0))</f>
        <v>1221.9416376071097</v>
      </c>
      <c r="G219" s="585"/>
      <c r="H219" s="510"/>
      <c r="I219" s="532"/>
      <c r="J219" s="531"/>
      <c r="K219" s="510"/>
      <c r="L219" s="534">
        <f>SUMIFS([5]BV_Data_An_Cour!$O:$O,[5]BV_Data_An_Cour!$U:$U,$B219,[5]BV_Data_An_Cour!$V:$V,$C219,[5]BV_Data_An_Cour!$W:$W,$L$2)</f>
        <v>2261.06</v>
      </c>
      <c r="M219" s="531"/>
      <c r="N219" s="557">
        <f t="shared" si="46"/>
        <v>1039.1183623928903</v>
      </c>
      <c r="O219" s="531"/>
      <c r="P219" s="510"/>
      <c r="Q219" s="534">
        <f t="array" ref="Q219">+INDEX('[5]Réel 2023'!$A$2:$AO$501,MATCH($A219,'[5]Réel 2023'!$A$2:$A$501,0),MATCH(Q$2,'[5]Réel 2023'!$A$2:$AO$2,0))</f>
        <v>679.32</v>
      </c>
      <c r="R219" s="531"/>
      <c r="S219" s="557">
        <f t="shared" si="47"/>
        <v>1581.7399999999998</v>
      </c>
      <c r="T219" s="510"/>
      <c r="U219" s="510"/>
      <c r="V219" s="510"/>
      <c r="W219" s="510"/>
      <c r="X219" s="510"/>
      <c r="Y219" s="510"/>
      <c r="Z219" s="510"/>
      <c r="AA219" s="510"/>
      <c r="AB219" s="510"/>
      <c r="AC219" s="510"/>
      <c r="AD219" s="510"/>
      <c r="AE219" s="510"/>
      <c r="AF219" s="510"/>
      <c r="AG219" s="510"/>
      <c r="AH219" s="510"/>
      <c r="AI219" s="510"/>
      <c r="AJ219" s="510"/>
      <c r="AK219" s="510"/>
      <c r="AL219" s="510"/>
      <c r="AM219" s="510"/>
      <c r="AN219" s="510"/>
    </row>
    <row r="220" spans="1:40" ht="15.75" customHeight="1">
      <c r="A220" s="523" t="s">
        <v>365</v>
      </c>
      <c r="B220" s="510" t="s">
        <v>83</v>
      </c>
      <c r="C220" s="531" t="s">
        <v>58</v>
      </c>
      <c r="D220" s="584"/>
      <c r="E220" s="510"/>
      <c r="F220" s="532">
        <f>+INDEX('[5]Budget original'!$A$2:$AO$501,MATCH($A220,'[5]Budget original'!$A$2:$A$501,0),MATCH(F$2,'[5]Budget original'!$A$2:$AO$2,0))</f>
        <v>748.20426397599988</v>
      </c>
      <c r="G220" s="585"/>
      <c r="H220" s="510"/>
      <c r="I220" s="532"/>
      <c r="J220" s="531"/>
      <c r="K220" s="510"/>
      <c r="L220" s="534">
        <f>SUMIFS([5]BV_Data_An_Cour!$O:$O,[5]BV_Data_An_Cour!$U:$U,$B220,[5]BV_Data_An_Cour!$V:$V,$C220,[5]BV_Data_An_Cour!$W:$W,$L$2)</f>
        <v>669.02</v>
      </c>
      <c r="M220" s="531"/>
      <c r="N220" s="557">
        <f t="shared" si="46"/>
        <v>-79.184263975999897</v>
      </c>
      <c r="O220" s="531"/>
      <c r="P220" s="510"/>
      <c r="Q220" s="534">
        <f t="array" ref="Q220">+INDEX('[5]Réel 2023'!$A$2:$AO$501,MATCH($A220,'[5]Réel 2023'!$A$2:$A$501,0),MATCH(Q$2,'[5]Réel 2023'!$A$2:$AO$2,0))</f>
        <v>1502.42</v>
      </c>
      <c r="R220" s="531"/>
      <c r="S220" s="557">
        <f t="shared" si="47"/>
        <v>-833.40000000000009</v>
      </c>
      <c r="T220" s="510"/>
      <c r="U220" s="510"/>
      <c r="V220" s="510"/>
      <c r="W220" s="510"/>
      <c r="X220" s="510"/>
      <c r="Y220" s="510"/>
      <c r="Z220" s="510"/>
      <c r="AA220" s="510"/>
      <c r="AB220" s="510"/>
      <c r="AC220" s="510"/>
      <c r="AD220" s="510"/>
      <c r="AE220" s="510"/>
      <c r="AF220" s="510"/>
      <c r="AG220" s="510"/>
      <c r="AH220" s="510"/>
      <c r="AI220" s="510"/>
      <c r="AJ220" s="510"/>
      <c r="AK220" s="510"/>
      <c r="AL220" s="510"/>
      <c r="AM220" s="510"/>
      <c r="AN220" s="510"/>
    </row>
    <row r="221" spans="1:40" ht="15.75" customHeight="1">
      <c r="A221" s="523" t="s">
        <v>366</v>
      </c>
      <c r="B221" s="510" t="s">
        <v>83</v>
      </c>
      <c r="C221" s="531" t="s">
        <v>59</v>
      </c>
      <c r="D221" s="584"/>
      <c r="E221" s="510"/>
      <c r="F221" s="532">
        <f>+INDEX('[5]Budget original'!$A$2:$AO$501,MATCH($A221,'[5]Budget original'!$A$2:$A$501,0),MATCH(F$2,'[5]Budget original'!$A$2:$AO$2,0))</f>
        <v>216.08706378966664</v>
      </c>
      <c r="G221" s="585"/>
      <c r="H221" s="510"/>
      <c r="I221" s="532"/>
      <c r="J221" s="531"/>
      <c r="K221" s="510"/>
      <c r="L221" s="534">
        <f>SUMIFS([5]BV_Data_An_Cour!$O:$O,[5]BV_Data_An_Cour!$U:$U,$B221,[5]BV_Data_An_Cour!$V:$V,$C221,[5]BV_Data_An_Cour!$W:$W,$L$2)</f>
        <v>450.83</v>
      </c>
      <c r="M221" s="531"/>
      <c r="N221" s="557">
        <f t="shared" si="46"/>
        <v>234.74293621033334</v>
      </c>
      <c r="O221" s="531"/>
      <c r="P221" s="510"/>
      <c r="Q221" s="534">
        <f t="array" ref="Q221">+INDEX('[5]Réel 2023'!$A$2:$AO$501,MATCH($A221,'[5]Réel 2023'!$A$2:$A$501,0),MATCH(Q$2,'[5]Réel 2023'!$A$2:$AO$2,0))</f>
        <v>115.96</v>
      </c>
      <c r="R221" s="531"/>
      <c r="S221" s="557">
        <f t="shared" si="47"/>
        <v>334.87</v>
      </c>
      <c r="T221" s="510"/>
      <c r="U221" s="510"/>
      <c r="V221" s="510"/>
      <c r="W221" s="510"/>
      <c r="X221" s="510"/>
      <c r="Y221" s="510"/>
      <c r="Z221" s="510"/>
      <c r="AA221" s="510"/>
      <c r="AB221" s="510"/>
      <c r="AC221" s="510"/>
      <c r="AD221" s="510"/>
      <c r="AE221" s="510"/>
      <c r="AF221" s="510"/>
      <c r="AG221" s="510"/>
      <c r="AH221" s="510"/>
      <c r="AI221" s="510"/>
      <c r="AJ221" s="510"/>
      <c r="AK221" s="510"/>
      <c r="AL221" s="510"/>
      <c r="AM221" s="510"/>
      <c r="AN221" s="510"/>
    </row>
    <row r="222" spans="1:40" ht="15.75" customHeight="1">
      <c r="A222" s="523" t="s">
        <v>367</v>
      </c>
      <c r="B222" s="510" t="s">
        <v>83</v>
      </c>
      <c r="C222" s="531" t="s">
        <v>60</v>
      </c>
      <c r="D222" s="584"/>
      <c r="E222" s="510"/>
      <c r="F222" s="532">
        <f>+INDEX('[5]Budget original'!$A$2:$AO$501,MATCH($A222,'[5]Budget original'!$A$2:$A$501,0),MATCH(F$2,'[5]Budget original'!$A$2:$AO$2,0))</f>
        <v>103.77844493033332</v>
      </c>
      <c r="G222" s="585"/>
      <c r="H222" s="510"/>
      <c r="I222" s="532"/>
      <c r="J222" s="531"/>
      <c r="K222" s="510"/>
      <c r="L222" s="534">
        <f>SUMIFS([5]BV_Data_An_Cour!$O:$O,[5]BV_Data_An_Cour!$U:$U,$B222,[5]BV_Data_An_Cour!$V:$V,$C222,[5]BV_Data_An_Cour!$W:$W,$L$2)</f>
        <v>124.72</v>
      </c>
      <c r="M222" s="531"/>
      <c r="N222" s="557">
        <f t="shared" si="46"/>
        <v>20.941555069666677</v>
      </c>
      <c r="O222" s="531"/>
      <c r="P222" s="510"/>
      <c r="Q222" s="534">
        <f t="array" ref="Q222">+INDEX('[5]Réel 2023'!$A$2:$AO$501,MATCH($A222,'[5]Réel 2023'!$A$2:$A$501,0),MATCH(Q$2,'[5]Réel 2023'!$A$2:$AO$2,0))</f>
        <v>203.61</v>
      </c>
      <c r="R222" s="531"/>
      <c r="S222" s="557">
        <f t="shared" si="47"/>
        <v>-78.890000000000015</v>
      </c>
      <c r="T222" s="510"/>
      <c r="U222" s="510"/>
      <c r="V222" s="510"/>
      <c r="W222" s="510"/>
      <c r="X222" s="510"/>
      <c r="Y222" s="510"/>
      <c r="Z222" s="510"/>
      <c r="AA222" s="510"/>
      <c r="AB222" s="510"/>
      <c r="AC222" s="510"/>
      <c r="AD222" s="510"/>
      <c r="AE222" s="510"/>
      <c r="AF222" s="510"/>
      <c r="AG222" s="510"/>
      <c r="AH222" s="510"/>
      <c r="AI222" s="510"/>
      <c r="AJ222" s="510"/>
      <c r="AK222" s="510"/>
      <c r="AL222" s="510"/>
      <c r="AM222" s="510"/>
      <c r="AN222" s="510"/>
    </row>
    <row r="223" spans="1:40" ht="15.75" customHeight="1">
      <c r="A223" s="523" t="s">
        <v>368</v>
      </c>
      <c r="B223" s="510" t="s">
        <v>83</v>
      </c>
      <c r="C223" s="531" t="s">
        <v>61</v>
      </c>
      <c r="D223" s="584"/>
      <c r="E223" s="510"/>
      <c r="F223" s="532">
        <f>+INDEX('[5]Budget original'!$A$2:$AO$501,MATCH($A223,'[5]Budget original'!$A$2:$A$501,0),MATCH(F$2,'[5]Budget original'!$A$2:$AO$2,0))</f>
        <v>216.4726525763333</v>
      </c>
      <c r="G223" s="585"/>
      <c r="H223" s="510"/>
      <c r="I223" s="532"/>
      <c r="J223" s="531"/>
      <c r="K223" s="510"/>
      <c r="L223" s="534">
        <f>SUMIFS([5]BV_Data_An_Cour!$O:$O,[5]BV_Data_An_Cour!$U:$U,$B223,[5]BV_Data_An_Cour!$V:$V,$C223,[5]BV_Data_An_Cour!$W:$W,$L$2)</f>
        <v>175.86</v>
      </c>
      <c r="M223" s="531"/>
      <c r="N223" s="557">
        <f t="shared" si="46"/>
        <v>-40.612652576333289</v>
      </c>
      <c r="O223" s="531"/>
      <c r="P223" s="510"/>
      <c r="Q223" s="534">
        <f t="array" ref="Q223">+INDEX('[5]Réel 2023'!$A$2:$AO$501,MATCH($A223,'[5]Réel 2023'!$A$2:$A$501,0),MATCH(Q$2,'[5]Réel 2023'!$A$2:$AO$2,0))</f>
        <v>90</v>
      </c>
      <c r="R223" s="531"/>
      <c r="S223" s="557">
        <f t="shared" si="47"/>
        <v>85.860000000000014</v>
      </c>
      <c r="T223" s="510"/>
      <c r="U223" s="510"/>
      <c r="V223" s="510"/>
      <c r="W223" s="510"/>
      <c r="X223" s="510"/>
      <c r="Y223" s="510"/>
      <c r="Z223" s="510"/>
      <c r="AA223" s="510"/>
      <c r="AB223" s="510"/>
      <c r="AC223" s="510"/>
      <c r="AD223" s="510"/>
      <c r="AE223" s="510"/>
      <c r="AF223" s="510"/>
      <c r="AG223" s="510"/>
      <c r="AH223" s="510"/>
      <c r="AI223" s="510"/>
      <c r="AJ223" s="510"/>
      <c r="AK223" s="510"/>
      <c r="AL223" s="510"/>
      <c r="AM223" s="510"/>
      <c r="AN223" s="510"/>
    </row>
    <row r="224" spans="1:40" ht="15.75" customHeight="1">
      <c r="A224" s="523" t="s">
        <v>369</v>
      </c>
      <c r="B224" s="510" t="s">
        <v>83</v>
      </c>
      <c r="C224" s="531" t="s">
        <v>62</v>
      </c>
      <c r="D224" s="584"/>
      <c r="E224" s="510"/>
      <c r="F224" s="532">
        <f>+INDEX('[5]Budget original'!$A$2:$AO$501,MATCH($A224,'[5]Budget original'!$A$2:$A$501,0),MATCH(F$2,'[5]Budget original'!$A$2:$AO$2,0))</f>
        <v>3986.4545554484885</v>
      </c>
      <c r="G224" s="585"/>
      <c r="H224" s="510"/>
      <c r="I224" s="532"/>
      <c r="J224" s="531"/>
      <c r="K224" s="510"/>
      <c r="L224" s="534">
        <f>SUMIFS([5]BV_Data_An_Cour!$O:$O,[5]BV_Data_An_Cour!$U:$U,$B224,[5]BV_Data_An_Cour!$V:$V,$C224,[5]BV_Data_An_Cour!$W:$W,$L$2)</f>
        <v>1357.17</v>
      </c>
      <c r="M224" s="531"/>
      <c r="N224" s="557">
        <f t="shared" si="46"/>
        <v>-2629.2845554484884</v>
      </c>
      <c r="O224" s="531"/>
      <c r="P224" s="510"/>
      <c r="Q224" s="534">
        <f t="array" ref="Q224">+INDEX('[5]Réel 2023'!$A$2:$AO$501,MATCH($A224,'[5]Réel 2023'!$A$2:$A$501,0),MATCH(Q$2,'[5]Réel 2023'!$A$2:$AO$2,0))</f>
        <v>2578.59</v>
      </c>
      <c r="R224" s="531"/>
      <c r="S224" s="557">
        <f t="shared" si="47"/>
        <v>-1221.42</v>
      </c>
      <c r="T224" s="510"/>
      <c r="X224" s="510"/>
      <c r="Y224" s="510"/>
      <c r="Z224" s="510"/>
      <c r="AA224" s="510"/>
      <c r="AB224" s="510"/>
      <c r="AC224" s="510"/>
      <c r="AD224" s="510"/>
      <c r="AE224" s="510"/>
      <c r="AF224" s="510"/>
      <c r="AG224" s="510"/>
      <c r="AH224" s="510"/>
      <c r="AI224" s="510"/>
      <c r="AJ224" s="510"/>
      <c r="AK224" s="510"/>
      <c r="AL224" s="510"/>
      <c r="AM224" s="510"/>
      <c r="AN224" s="510"/>
    </row>
    <row r="225" spans="1:40" ht="15.75" customHeight="1">
      <c r="A225" s="523" t="s">
        <v>370</v>
      </c>
      <c r="B225" s="510" t="s">
        <v>83</v>
      </c>
      <c r="C225" s="531" t="s">
        <v>63</v>
      </c>
      <c r="D225" s="584"/>
      <c r="E225" s="510"/>
      <c r="F225" s="532">
        <f>+INDEX('[5]Budget original'!$A$2:$AO$501,MATCH($A225,'[5]Budget original'!$A$2:$A$501,0),MATCH(F$2,'[5]Budget original'!$A$2:$AO$2,0))</f>
        <v>1949.8633978543896</v>
      </c>
      <c r="G225" s="585"/>
      <c r="H225" s="510"/>
      <c r="I225" s="532"/>
      <c r="J225" s="531"/>
      <c r="K225" s="510"/>
      <c r="L225" s="534">
        <f>SUMIFS([5]BV_Data_An_Cour!$O:$O,[5]BV_Data_An_Cour!$U:$U,$B225,[5]BV_Data_An_Cour!$V:$V,$C225,[5]BV_Data_An_Cour!$W:$W,$L$2)</f>
        <v>2391.44</v>
      </c>
      <c r="M225" s="531"/>
      <c r="N225" s="557">
        <f t="shared" si="46"/>
        <v>441.57660214561042</v>
      </c>
      <c r="O225" s="531"/>
      <c r="P225" s="510"/>
      <c r="Q225" s="534">
        <f t="array" ref="Q225">+INDEX('[5]Réel 2023'!$A$2:$AO$501,MATCH($A225,'[5]Réel 2023'!$A$2:$A$501,0),MATCH(Q$2,'[5]Réel 2023'!$A$2:$AO$2,0))</f>
        <v>2003.28</v>
      </c>
      <c r="R225" s="531"/>
      <c r="S225" s="557">
        <f t="shared" si="47"/>
        <v>388.16000000000008</v>
      </c>
      <c r="T225" s="510"/>
      <c r="X225" s="510"/>
      <c r="Y225" s="510"/>
      <c r="Z225" s="510"/>
      <c r="AA225" s="510"/>
      <c r="AB225" s="510"/>
      <c r="AC225" s="510"/>
      <c r="AD225" s="510"/>
      <c r="AE225" s="510"/>
      <c r="AF225" s="510"/>
      <c r="AG225" s="510"/>
      <c r="AH225" s="510"/>
      <c r="AI225" s="510"/>
      <c r="AJ225" s="510"/>
      <c r="AK225" s="510"/>
      <c r="AL225" s="510"/>
      <c r="AM225" s="510"/>
      <c r="AN225" s="510"/>
    </row>
    <row r="226" spans="1:40" ht="15.75" hidden="1" customHeight="1">
      <c r="A226" s="523" t="s">
        <v>350</v>
      </c>
      <c r="B226" s="510" t="s">
        <v>83</v>
      </c>
      <c r="C226" s="531" t="s">
        <v>20</v>
      </c>
      <c r="D226" s="584"/>
      <c r="E226" s="510"/>
      <c r="F226" s="532">
        <f>+INDEX('[5]Budget original'!$A$2:$AO$501,MATCH($A226,'[5]Budget original'!$A$2:$A$501,0),MATCH(F$2,'[5]Budget original'!$A$2:$AO$2,0))</f>
        <v>0</v>
      </c>
      <c r="G226" s="585"/>
      <c r="H226" s="510"/>
      <c r="I226" s="532"/>
      <c r="J226" s="531"/>
      <c r="K226" s="510"/>
      <c r="L226" s="534">
        <f>SUMIFS([5]BV_Data_An_Cour!$O:$O,[5]BV_Data_An_Cour!$U:$U,$B226,[5]BV_Data_An_Cour!$V:$V,$C226,[5]BV_Data_An_Cour!$W:$W,$L$2)</f>
        <v>0</v>
      </c>
      <c r="M226" s="531"/>
      <c r="N226" s="557">
        <f t="shared" si="46"/>
        <v>0</v>
      </c>
      <c r="O226" s="531"/>
      <c r="P226" s="510"/>
      <c r="Q226" s="534">
        <f t="array" ref="Q226">+INDEX('[5]Réel 2023'!$A$2:$AO$501,MATCH($A226,'[5]Réel 2023'!$A$2:$A$501,0),MATCH(Q$2,'[5]Réel 2023'!$A$2:$AO$2,0))</f>
        <v>0</v>
      </c>
      <c r="R226" s="531"/>
      <c r="S226" s="557">
        <f t="shared" si="47"/>
        <v>0</v>
      </c>
      <c r="T226" s="510"/>
      <c r="U226" s="510"/>
      <c r="V226" s="510"/>
      <c r="W226" s="510"/>
      <c r="X226" s="510"/>
      <c r="Y226" s="510"/>
      <c r="Z226" s="510"/>
      <c r="AA226" s="510"/>
      <c r="AB226" s="510"/>
      <c r="AC226" s="510"/>
      <c r="AD226" s="510"/>
      <c r="AE226" s="510"/>
      <c r="AF226" s="510"/>
      <c r="AG226" s="510"/>
      <c r="AH226" s="510"/>
      <c r="AI226" s="510"/>
      <c r="AJ226" s="510"/>
      <c r="AK226" s="510"/>
      <c r="AL226" s="510"/>
      <c r="AM226" s="510"/>
      <c r="AN226" s="510"/>
    </row>
    <row r="227" spans="1:40" ht="15.75" hidden="1" customHeight="1">
      <c r="A227" s="523" t="s">
        <v>350</v>
      </c>
      <c r="B227" s="510" t="s">
        <v>83</v>
      </c>
      <c r="C227" s="531" t="s">
        <v>20</v>
      </c>
      <c r="D227" s="584"/>
      <c r="E227" s="510"/>
      <c r="F227" s="532">
        <f>+INDEX('[5]Budget original'!$A$2:$AO$501,MATCH($A227,'[5]Budget original'!$A$2:$A$501,0),MATCH(F$2,'[5]Budget original'!$A$2:$AO$2,0))</f>
        <v>0</v>
      </c>
      <c r="G227" s="585"/>
      <c r="H227" s="510"/>
      <c r="I227" s="532"/>
      <c r="J227" s="531"/>
      <c r="K227" s="510"/>
      <c r="L227" s="534">
        <f>SUMIFS([5]BV_Data_An_Cour!$O:$O,[5]BV_Data_An_Cour!$U:$U,$B227,[5]BV_Data_An_Cour!$V:$V,$C227,[5]BV_Data_An_Cour!$W:$W,$L$2)</f>
        <v>0</v>
      </c>
      <c r="M227" s="531"/>
      <c r="N227" s="557">
        <f t="shared" si="46"/>
        <v>0</v>
      </c>
      <c r="O227" s="531"/>
      <c r="P227" s="510"/>
      <c r="Q227" s="534">
        <f t="array" ref="Q227">+INDEX('[5]Réel 2023'!$A$2:$AO$501,MATCH($A227,'[5]Réel 2023'!$A$2:$A$501,0),MATCH(Q$2,'[5]Réel 2023'!$A$2:$AO$2,0))</f>
        <v>0</v>
      </c>
      <c r="R227" s="531"/>
      <c r="S227" s="557">
        <f t="shared" si="47"/>
        <v>0</v>
      </c>
      <c r="T227" s="510"/>
      <c r="U227" s="510"/>
      <c r="V227" s="510"/>
      <c r="W227" s="510"/>
      <c r="X227" s="510"/>
      <c r="Y227" s="510"/>
      <c r="Z227" s="510"/>
      <c r="AA227" s="510"/>
      <c r="AB227" s="510"/>
      <c r="AC227" s="510"/>
      <c r="AD227" s="510"/>
      <c r="AE227" s="510"/>
      <c r="AF227" s="510"/>
      <c r="AG227" s="510"/>
      <c r="AH227" s="510"/>
      <c r="AI227" s="510"/>
      <c r="AJ227" s="510"/>
      <c r="AK227" s="510"/>
      <c r="AL227" s="510"/>
      <c r="AM227" s="510"/>
      <c r="AN227" s="510"/>
    </row>
    <row r="228" spans="1:40" ht="15.75" hidden="1" customHeight="1">
      <c r="A228" s="523" t="s">
        <v>350</v>
      </c>
      <c r="B228" s="510" t="s">
        <v>83</v>
      </c>
      <c r="C228" s="531" t="s">
        <v>20</v>
      </c>
      <c r="D228" s="584"/>
      <c r="E228" s="510"/>
      <c r="F228" s="532">
        <f>+INDEX('[5]Budget original'!$A$2:$AO$501,MATCH($A228,'[5]Budget original'!$A$2:$A$501,0),MATCH(F$2,'[5]Budget original'!$A$2:$AO$2,0))</f>
        <v>0</v>
      </c>
      <c r="G228" s="585"/>
      <c r="H228" s="510"/>
      <c r="I228" s="532"/>
      <c r="J228" s="531"/>
      <c r="K228" s="510"/>
      <c r="L228" s="534">
        <f>SUMIFS([5]BV_Data_An_Cour!$O:$O,[5]BV_Data_An_Cour!$U:$U,$B228,[5]BV_Data_An_Cour!$V:$V,$C228,[5]BV_Data_An_Cour!$W:$W,$L$2)</f>
        <v>0</v>
      </c>
      <c r="M228" s="531"/>
      <c r="N228" s="557">
        <f t="shared" si="46"/>
        <v>0</v>
      </c>
      <c r="O228" s="531"/>
      <c r="P228" s="510"/>
      <c r="Q228" s="534">
        <f t="array" ref="Q228">+INDEX('[5]Réel 2023'!$A$2:$AO$501,MATCH($A228,'[5]Réel 2023'!$A$2:$A$501,0),MATCH(Q$2,'[5]Réel 2023'!$A$2:$AO$2,0))</f>
        <v>0</v>
      </c>
      <c r="R228" s="531"/>
      <c r="S228" s="557">
        <f t="shared" si="47"/>
        <v>0</v>
      </c>
      <c r="T228" s="510"/>
      <c r="U228" s="510"/>
      <c r="V228" s="510"/>
      <c r="W228" s="510"/>
      <c r="X228" s="510"/>
      <c r="Y228" s="510"/>
      <c r="Z228" s="510"/>
      <c r="AA228" s="510"/>
      <c r="AB228" s="510"/>
      <c r="AC228" s="510"/>
      <c r="AD228" s="510"/>
      <c r="AE228" s="510"/>
      <c r="AF228" s="510"/>
      <c r="AG228" s="510"/>
      <c r="AH228" s="510"/>
      <c r="AI228" s="510"/>
      <c r="AJ228" s="510"/>
      <c r="AK228" s="510"/>
      <c r="AL228" s="510"/>
      <c r="AM228" s="510"/>
      <c r="AN228" s="510"/>
    </row>
    <row r="229" spans="1:40" ht="15.75" customHeight="1">
      <c r="B229" s="510"/>
      <c r="C229" s="592" t="s">
        <v>64</v>
      </c>
      <c r="D229" s="593" t="s">
        <v>97</v>
      </c>
      <c r="E229" s="594">
        <f>F229/F$194</f>
        <v>0.18811203230724324</v>
      </c>
      <c r="F229" s="595">
        <f>+SUM(F211:F228)</f>
        <v>57208.889390658253</v>
      </c>
      <c r="G229" s="596"/>
      <c r="H229" s="594"/>
      <c r="I229" s="595"/>
      <c r="J229" s="596" t="s">
        <v>97</v>
      </c>
      <c r="K229" s="594">
        <f>L229/L$194</f>
        <v>0.25293017200285151</v>
      </c>
      <c r="L229" s="595">
        <f>+SUM(L211:L228)</f>
        <v>67921.36</v>
      </c>
      <c r="M229" s="599"/>
      <c r="N229" s="595">
        <f t="shared" si="46"/>
        <v>10712.470609341748</v>
      </c>
      <c r="O229" s="596" t="s">
        <v>97</v>
      </c>
      <c r="P229" s="594">
        <f>Q229/Q$194</f>
        <v>0.31949334885632069</v>
      </c>
      <c r="Q229" s="595">
        <f>+SUM(Q211:Q228)</f>
        <v>70423.199999999997</v>
      </c>
      <c r="R229" s="599"/>
      <c r="S229" s="595">
        <f t="shared" si="47"/>
        <v>-2501.8399999999965</v>
      </c>
      <c r="T229" s="510"/>
      <c r="U229" s="510"/>
      <c r="V229" s="510"/>
      <c r="W229" s="510"/>
      <c r="X229" s="510"/>
      <c r="Y229" s="510"/>
      <c r="Z229" s="510"/>
      <c r="AA229" s="510"/>
      <c r="AB229" s="510"/>
      <c r="AC229" s="510"/>
      <c r="AD229" s="510"/>
      <c r="AE229" s="510"/>
      <c r="AF229" s="510"/>
      <c r="AG229" s="510"/>
      <c r="AH229" s="510"/>
      <c r="AI229" s="510"/>
      <c r="AJ229" s="510"/>
      <c r="AK229" s="510"/>
      <c r="AL229" s="510"/>
      <c r="AM229" s="510"/>
      <c r="AN229" s="510"/>
    </row>
    <row r="230" spans="1:40" ht="15.75" customHeight="1">
      <c r="B230" s="510"/>
      <c r="C230" s="524"/>
      <c r="D230" s="587"/>
      <c r="E230" s="607"/>
      <c r="F230" s="557"/>
      <c r="G230" s="588"/>
      <c r="H230" s="607"/>
      <c r="I230" s="557"/>
      <c r="J230" s="524"/>
      <c r="K230" s="607"/>
      <c r="L230" s="582"/>
      <c r="M230" s="524"/>
      <c r="N230" s="582"/>
      <c r="O230" s="524"/>
      <c r="P230" s="607"/>
      <c r="Q230" s="582"/>
      <c r="R230" s="524"/>
      <c r="S230" s="582"/>
      <c r="T230" s="510"/>
      <c r="U230" s="510"/>
      <c r="V230" s="510"/>
      <c r="W230" s="510"/>
      <c r="X230" s="510"/>
      <c r="Y230" s="510"/>
      <c r="Z230" s="510"/>
      <c r="AA230" s="510"/>
      <c r="AB230" s="510"/>
      <c r="AC230" s="510"/>
      <c r="AD230" s="510"/>
      <c r="AE230" s="510"/>
      <c r="AF230" s="510"/>
      <c r="AG230" s="510"/>
      <c r="AH230" s="510"/>
      <c r="AI230" s="510"/>
      <c r="AJ230" s="510"/>
      <c r="AK230" s="510"/>
      <c r="AL230" s="510"/>
      <c r="AM230" s="510"/>
      <c r="AN230" s="510"/>
    </row>
    <row r="231" spans="1:40" ht="15.75" customHeight="1">
      <c r="B231" s="510"/>
      <c r="C231" s="592" t="s">
        <v>65</v>
      </c>
      <c r="D231" s="593" t="s">
        <v>39</v>
      </c>
      <c r="E231" s="594">
        <f>F231/F$194</f>
        <v>0.65730181361200612</v>
      </c>
      <c r="F231" s="595">
        <f>F210+F229</f>
        <v>199899.52949841373</v>
      </c>
      <c r="G231" s="596"/>
      <c r="H231" s="594"/>
      <c r="I231" s="595"/>
      <c r="J231" s="596" t="s">
        <v>39</v>
      </c>
      <c r="K231" s="594">
        <f>L231/L$194</f>
        <v>0.71506396543744166</v>
      </c>
      <c r="L231" s="595">
        <f>L210+L229</f>
        <v>192021.84</v>
      </c>
      <c r="M231" s="599"/>
      <c r="N231" s="609">
        <f>L231-F231</f>
        <v>-7877.6894984137325</v>
      </c>
      <c r="O231" s="596" t="s">
        <v>39</v>
      </c>
      <c r="P231" s="594">
        <f>Q231/Q$194</f>
        <v>0.90854834526343153</v>
      </c>
      <c r="Q231" s="595">
        <f>Q210+Q229</f>
        <v>200263.58000000002</v>
      </c>
      <c r="R231" s="599"/>
      <c r="S231" s="609">
        <f>L231-Q231</f>
        <v>-8241.7400000000198</v>
      </c>
      <c r="T231" s="510"/>
      <c r="U231" s="510"/>
      <c r="V231" s="510"/>
      <c r="W231" s="510"/>
      <c r="X231" s="510"/>
      <c r="Y231" s="510"/>
      <c r="Z231" s="510"/>
      <c r="AA231" s="510"/>
      <c r="AB231" s="510"/>
      <c r="AC231" s="510"/>
      <c r="AD231" s="510"/>
      <c r="AE231" s="510"/>
      <c r="AF231" s="510"/>
      <c r="AG231" s="510"/>
      <c r="AH231" s="510"/>
      <c r="AI231" s="510"/>
      <c r="AJ231" s="510"/>
      <c r="AK231" s="510"/>
      <c r="AL231" s="510"/>
      <c r="AM231" s="510"/>
      <c r="AN231" s="510"/>
    </row>
    <row r="232" spans="1:40" ht="15.75" customHeight="1">
      <c r="B232" s="510"/>
      <c r="C232" s="531"/>
      <c r="D232" s="584"/>
      <c r="E232" s="510"/>
      <c r="F232" s="557"/>
      <c r="G232" s="585"/>
      <c r="H232" s="510"/>
      <c r="I232" s="557"/>
      <c r="J232" s="531"/>
      <c r="K232" s="510"/>
      <c r="L232" s="557"/>
      <c r="M232" s="531"/>
      <c r="N232" s="557">
        <f>L232-F232</f>
        <v>0</v>
      </c>
      <c r="O232" s="531"/>
      <c r="P232" s="510"/>
      <c r="Q232" s="557"/>
      <c r="R232" s="531"/>
      <c r="S232" s="557"/>
      <c r="T232" s="510"/>
      <c r="U232" s="510"/>
      <c r="V232" s="510"/>
      <c r="W232" s="510"/>
      <c r="X232" s="510"/>
      <c r="Y232" s="510"/>
      <c r="Z232" s="510"/>
      <c r="AA232" s="510"/>
      <c r="AB232" s="510"/>
      <c r="AC232" s="510"/>
      <c r="AD232" s="510"/>
      <c r="AE232" s="510"/>
      <c r="AF232" s="510"/>
      <c r="AG232" s="510"/>
      <c r="AH232" s="510"/>
      <c r="AI232" s="510"/>
      <c r="AJ232" s="510"/>
      <c r="AK232" s="510"/>
      <c r="AL232" s="510"/>
      <c r="AM232" s="510"/>
      <c r="AN232" s="510"/>
    </row>
    <row r="233" spans="1:40" ht="15.75" customHeight="1" thickBot="1">
      <c r="B233" s="510"/>
      <c r="C233" s="625" t="s">
        <v>72</v>
      </c>
      <c r="D233" s="655"/>
      <c r="E233" s="626"/>
      <c r="F233" s="628">
        <f>F194-F231</f>
        <v>104221.84269121324</v>
      </c>
      <c r="G233" s="656"/>
      <c r="H233" s="626"/>
      <c r="I233" s="628"/>
      <c r="J233" s="625"/>
      <c r="K233" s="627"/>
      <c r="L233" s="628">
        <f>L194-L231</f>
        <v>76516.149999999936</v>
      </c>
      <c r="M233" s="625"/>
      <c r="N233" s="628">
        <f>L233-F233</f>
        <v>-27705.692691213306</v>
      </c>
      <c r="O233" s="625"/>
      <c r="P233" s="630">
        <f>+Q233/P194</f>
        <v>6.1201844054588263E-2</v>
      </c>
      <c r="Q233" s="628">
        <f>Q194-Q231</f>
        <v>20157.909999999974</v>
      </c>
      <c r="R233" s="625"/>
      <c r="S233" s="628">
        <f>L233-Q233</f>
        <v>56358.239999999962</v>
      </c>
      <c r="T233" s="510"/>
      <c r="U233" s="510"/>
      <c r="V233" s="510"/>
      <c r="W233" s="510"/>
      <c r="X233" s="510"/>
      <c r="Y233" s="510"/>
      <c r="Z233" s="510"/>
      <c r="AA233" s="510"/>
      <c r="AB233" s="510"/>
      <c r="AC233" s="510"/>
      <c r="AD233" s="510"/>
      <c r="AE233" s="510"/>
      <c r="AF233" s="510"/>
      <c r="AG233" s="510"/>
      <c r="AH233" s="510"/>
      <c r="AI233" s="510"/>
      <c r="AJ233" s="510"/>
      <c r="AK233" s="510"/>
      <c r="AL233" s="510"/>
      <c r="AM233" s="510"/>
      <c r="AN233" s="510"/>
    </row>
    <row r="234" spans="1:40" ht="15.75" customHeight="1" thickTop="1">
      <c r="B234" s="510"/>
      <c r="C234" s="510"/>
      <c r="D234" s="510"/>
      <c r="E234" s="510"/>
      <c r="F234" s="510"/>
      <c r="G234" s="510"/>
      <c r="H234" s="510"/>
      <c r="I234" s="510"/>
      <c r="J234" s="510"/>
      <c r="K234" s="510"/>
      <c r="L234" s="573"/>
      <c r="M234" s="573"/>
      <c r="N234" s="510"/>
      <c r="O234" s="573"/>
      <c r="P234" s="510"/>
      <c r="Q234" s="573"/>
      <c r="R234" s="510"/>
      <c r="S234" s="510"/>
      <c r="T234" s="510"/>
      <c r="U234" s="510"/>
      <c r="V234" s="510"/>
      <c r="W234" s="510"/>
      <c r="X234" s="510"/>
      <c r="Y234" s="510"/>
      <c r="Z234" s="510"/>
      <c r="AA234" s="510"/>
      <c r="AB234" s="510"/>
      <c r="AC234" s="510"/>
      <c r="AD234" s="510"/>
      <c r="AE234" s="510"/>
      <c r="AF234" s="510"/>
      <c r="AG234" s="510"/>
      <c r="AH234" s="510"/>
      <c r="AI234" s="510"/>
      <c r="AJ234" s="510"/>
      <c r="AK234" s="510"/>
      <c r="AL234" s="510"/>
      <c r="AM234" s="510"/>
      <c r="AN234" s="510"/>
    </row>
    <row r="235" spans="1:40" ht="15.75" customHeight="1">
      <c r="B235" s="510"/>
      <c r="C235" s="507"/>
      <c r="D235" s="507"/>
      <c r="E235" s="507"/>
      <c r="F235" s="507"/>
      <c r="G235" s="507"/>
      <c r="H235" s="507"/>
      <c r="I235" s="507"/>
      <c r="J235" s="507"/>
      <c r="K235" s="507"/>
      <c r="L235" s="657"/>
      <c r="M235" s="657"/>
      <c r="N235" s="507"/>
      <c r="O235" s="657"/>
      <c r="P235" s="507"/>
      <c r="Q235" s="657"/>
      <c r="R235" s="507"/>
      <c r="S235" s="507"/>
      <c r="T235" s="507"/>
      <c r="U235" s="507"/>
      <c r="V235" s="510"/>
      <c r="W235" s="510"/>
      <c r="X235" s="510"/>
      <c r="Y235" s="510"/>
      <c r="Z235" s="510"/>
      <c r="AA235" s="510"/>
      <c r="AB235" s="510"/>
      <c r="AC235" s="510"/>
      <c r="AD235" s="510"/>
      <c r="AE235" s="510"/>
      <c r="AF235" s="510"/>
      <c r="AG235" s="510"/>
      <c r="AH235" s="510"/>
      <c r="AI235" s="510"/>
      <c r="AJ235" s="510"/>
      <c r="AK235" s="510"/>
      <c r="AL235" s="510"/>
      <c r="AM235" s="510"/>
      <c r="AN235" s="510"/>
    </row>
    <row r="236" spans="1:40" ht="33" customHeight="1">
      <c r="B236" s="510"/>
      <c r="C236" s="635" t="str">
        <f>C1</f>
        <v>Volks</v>
      </c>
      <c r="D236" s="498"/>
      <c r="E236" s="498"/>
      <c r="F236" s="498"/>
      <c r="G236" s="498"/>
      <c r="H236" s="496"/>
      <c r="I236" s="496"/>
      <c r="J236" s="496"/>
      <c r="K236" s="500" t="s">
        <v>99</v>
      </c>
      <c r="L236" s="498"/>
      <c r="M236" s="498"/>
      <c r="N236" s="496"/>
      <c r="O236" s="496"/>
      <c r="P236" s="498"/>
      <c r="Q236" s="496"/>
      <c r="R236" s="498"/>
      <c r="S236" s="636" t="str">
        <f>$S$1</f>
        <v>Réalisé, Octobre 2024</v>
      </c>
      <c r="T236" s="498"/>
      <c r="U236" s="496"/>
      <c r="V236" s="507"/>
      <c r="W236" s="507"/>
      <c r="X236" s="507"/>
      <c r="Y236" s="507"/>
      <c r="Z236" s="507"/>
      <c r="AA236" s="507"/>
      <c r="AB236" s="507"/>
      <c r="AC236" s="507"/>
      <c r="AD236" s="507"/>
      <c r="AE236" s="507"/>
      <c r="AF236" s="507"/>
      <c r="AG236" s="507"/>
      <c r="AH236" s="507"/>
      <c r="AI236" s="507"/>
      <c r="AJ236" s="507"/>
      <c r="AK236" s="507"/>
      <c r="AL236" s="507"/>
      <c r="AM236" s="507"/>
      <c r="AN236" s="507"/>
    </row>
    <row r="237" spans="1:40" ht="24" customHeight="1" thickBot="1">
      <c r="B237" s="510"/>
      <c r="C237" s="505"/>
      <c r="D237" s="507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496"/>
      <c r="W237" s="496"/>
      <c r="X237" s="496"/>
      <c r="Y237" s="496"/>
      <c r="Z237" s="496"/>
      <c r="AA237" s="496"/>
      <c r="AB237" s="496"/>
      <c r="AC237" s="496"/>
      <c r="AD237" s="496"/>
      <c r="AE237" s="496"/>
      <c r="AF237" s="496"/>
      <c r="AG237" s="496"/>
      <c r="AH237" s="496"/>
      <c r="AI237" s="496"/>
      <c r="AJ237" s="496"/>
      <c r="AK237" s="496"/>
      <c r="AL237" s="496"/>
      <c r="AM237" s="496"/>
      <c r="AN237" s="496"/>
    </row>
    <row r="238" spans="1:40" ht="15.75" customHeight="1" thickTop="1">
      <c r="B238" s="510"/>
      <c r="C238" s="511"/>
      <c r="D238" s="512" t="s">
        <v>5</v>
      </c>
      <c r="E238" s="513"/>
      <c r="F238" s="514"/>
      <c r="G238" s="515"/>
      <c r="H238" s="513"/>
      <c r="I238" s="514"/>
      <c r="J238" s="515" t="s">
        <v>7</v>
      </c>
      <c r="K238" s="513"/>
      <c r="L238" s="514"/>
      <c r="M238" s="515" t="s">
        <v>220</v>
      </c>
      <c r="N238" s="514"/>
      <c r="O238" s="512" t="s">
        <v>8</v>
      </c>
      <c r="P238" s="513"/>
      <c r="Q238" s="514"/>
      <c r="R238" s="515" t="s">
        <v>221</v>
      </c>
      <c r="S238" s="514"/>
      <c r="T238" s="651"/>
      <c r="U238" s="510"/>
      <c r="V238" s="507"/>
      <c r="W238" s="507"/>
      <c r="X238" s="507"/>
      <c r="Y238" s="507"/>
      <c r="Z238" s="507"/>
      <c r="AA238" s="507"/>
      <c r="AB238" s="507"/>
      <c r="AC238" s="507"/>
      <c r="AD238" s="507"/>
      <c r="AE238" s="507"/>
      <c r="AF238" s="507"/>
      <c r="AG238" s="507"/>
      <c r="AH238" s="507"/>
      <c r="AI238" s="507"/>
      <c r="AJ238" s="507"/>
      <c r="AK238" s="507"/>
      <c r="AL238" s="507"/>
      <c r="AM238" s="507"/>
      <c r="AN238" s="507"/>
    </row>
    <row r="239" spans="1:40" ht="15.75" customHeight="1">
      <c r="A239" s="523" t="s">
        <v>99</v>
      </c>
      <c r="B239" s="510" t="s">
        <v>99</v>
      </c>
      <c r="C239" s="531"/>
      <c r="D239" s="575" t="s">
        <v>40</v>
      </c>
      <c r="E239" s="575" t="s">
        <v>84</v>
      </c>
      <c r="F239" s="658" t="s">
        <v>12</v>
      </c>
      <c r="G239" s="659"/>
      <c r="H239" s="575"/>
      <c r="I239" s="658"/>
      <c r="J239" s="659" t="s">
        <v>40</v>
      </c>
      <c r="K239" s="575" t="s">
        <v>84</v>
      </c>
      <c r="L239" s="658" t="s">
        <v>12</v>
      </c>
      <c r="M239" s="659" t="s">
        <v>40</v>
      </c>
      <c r="N239" s="658" t="s">
        <v>223</v>
      </c>
      <c r="O239" s="575" t="s">
        <v>40</v>
      </c>
      <c r="P239" s="575" t="s">
        <v>84</v>
      </c>
      <c r="Q239" s="658" t="s">
        <v>12</v>
      </c>
      <c r="R239" s="659" t="s">
        <v>85</v>
      </c>
      <c r="S239" s="658" t="s">
        <v>12</v>
      </c>
      <c r="T239" s="575"/>
      <c r="U239" s="510"/>
      <c r="V239" s="510"/>
      <c r="W239" s="510"/>
      <c r="X239" s="510"/>
      <c r="Y239" s="510"/>
      <c r="Z239" s="510"/>
      <c r="AA239" s="510"/>
      <c r="AB239" s="510"/>
      <c r="AC239" s="510"/>
      <c r="AD239" s="510"/>
      <c r="AE239" s="510"/>
      <c r="AF239" s="510"/>
      <c r="AG239" s="510"/>
      <c r="AH239" s="510"/>
      <c r="AI239" s="510"/>
      <c r="AJ239" s="510"/>
      <c r="AK239" s="510"/>
      <c r="AL239" s="510"/>
      <c r="AM239" s="510"/>
      <c r="AN239" s="510"/>
    </row>
    <row r="240" spans="1:40" ht="15.75" customHeight="1">
      <c r="A240" s="523" t="s">
        <v>99</v>
      </c>
      <c r="B240" s="510" t="s">
        <v>99</v>
      </c>
      <c r="C240" s="531"/>
      <c r="D240" s="575"/>
      <c r="E240" s="575"/>
      <c r="F240" s="658"/>
      <c r="G240" s="659"/>
      <c r="H240" s="575"/>
      <c r="I240" s="658"/>
      <c r="J240" s="659"/>
      <c r="K240" s="532"/>
      <c r="L240" s="534"/>
      <c r="M240" s="659"/>
      <c r="N240" s="658"/>
      <c r="O240" s="575"/>
      <c r="P240" s="575"/>
      <c r="Q240" s="658"/>
      <c r="R240" s="659"/>
      <c r="S240" s="658"/>
      <c r="T240" s="575"/>
      <c r="U240" s="510"/>
      <c r="V240" s="510"/>
      <c r="W240" s="510"/>
      <c r="X240" s="510"/>
      <c r="Y240" s="510"/>
      <c r="Z240" s="510"/>
      <c r="AA240" s="510"/>
      <c r="AB240" s="510"/>
      <c r="AC240" s="510"/>
      <c r="AD240" s="510"/>
      <c r="AE240" s="510"/>
      <c r="AF240" s="510"/>
      <c r="AG240" s="510"/>
      <c r="AH240" s="510"/>
      <c r="AI240" s="510"/>
      <c r="AJ240" s="510"/>
      <c r="AK240" s="510"/>
      <c r="AL240" s="510"/>
      <c r="AM240" s="510"/>
      <c r="AN240" s="510"/>
    </row>
    <row r="241" spans="1:40" ht="15.75" customHeight="1">
      <c r="A241" s="523" t="s">
        <v>371</v>
      </c>
      <c r="B241" s="510" t="s">
        <v>99</v>
      </c>
      <c r="C241" s="531" t="s">
        <v>100</v>
      </c>
      <c r="D241" s="699">
        <f>+INDEX('[5]Budget original'!$A$2:$AO$501,MATCH($A241,'[5]Budget original'!$A$2:$A$501,0),MATCH(D$2,'[5]Budget original'!$A$2:$AO$2,0))</f>
        <v>0</v>
      </c>
      <c r="E241" s="573">
        <f>+INDEX('[5]Budget original'!$A$2:$AO$501,MATCH($A241,'[5]Budget original'!$A$2:$A$501,0),MATCH(E$2,'[5]Budget original'!$A$2:$AO$2,0))</f>
        <v>105347.5803785967</v>
      </c>
      <c r="F241" s="573">
        <f>+INDEX('[5]Budget original'!$A$2:$AO$501,MATCH($A241,'[5]Budget original'!$A$2:$A$501,0),MATCH(F$2,'[5]Budget original'!$A$2:$AO$2,0))</f>
        <v>15802.137056789505</v>
      </c>
      <c r="G241" s="700"/>
      <c r="H241" s="573"/>
      <c r="I241" s="573"/>
      <c r="J241" s="558">
        <f>-SUMIFS([5]BV_Data_An_Cour!$O:$O,[5]BV_Data_An_Cour!$U:$U,$B241,[5]BV_Data_An_Cour!$V:$V,$C241,[5]BV_Data_An_Cour!$W:$W,J$2)</f>
        <v>4</v>
      </c>
      <c r="K241" s="532">
        <f>-SUMIFS([5]BV_Data_An_Cour!$O:$O,[5]BV_Data_An_Cour!$X:$X,"Oui",[5]BV_Data_An_Cour!$U:$U,$B241,[5]BV_Data_An_Cour!$V:$V,$C241)</f>
        <v>10936.23</v>
      </c>
      <c r="L241" s="534">
        <f>-SUMIFS([5]BV_Data_An_Cour!$O:$O,[5]BV_Data_An_Cour!$U:$U,$B241,[5]BV_Data_An_Cour!$V:$V,$C241,[5]BV_Data_An_Cour!$W:$W,$L$2)</f>
        <v>3830.0299999999997</v>
      </c>
      <c r="M241" s="577">
        <f>IFERROR((K241-E241)/E241,0)</f>
        <v>-0.89618907277511717</v>
      </c>
      <c r="N241" s="557">
        <f>L241-F241</f>
        <v>-11972.107056789504</v>
      </c>
      <c r="O241" s="558">
        <f t="array" ref="O241">+INDEX('[5]Réel 2023'!$A$2:$AO$501,MATCH($A241,'[5]Réel 2023'!$A$2:$A$501,0),MATCH(O$2,'[5]Réel 2023'!$A$2:$AO$2,0))</f>
        <v>44</v>
      </c>
      <c r="P241" s="532">
        <f t="array" ref="P241">+INDEX('[5]Réel 2023'!$A$2:$AO$501,MATCH($A241,'[5]Réel 2023'!$A$2:$A$501,0),MATCH(P$2,'[5]Réel 2023'!$A$2:$AO$2,0))</f>
        <v>82403.109999999899</v>
      </c>
      <c r="Q241" s="534">
        <f t="array" ref="Q241">+INDEX('[5]Réel 2023'!$A$2:$AO$501,MATCH($A241,'[5]Réel 2023'!$A$2:$A$501,0),MATCH(Q$2,'[5]Réel 2023'!$A$2:$AO$2,0))</f>
        <v>16545.369999999901</v>
      </c>
      <c r="R241" s="577">
        <f>IF(O241=0,0,J241/O241)</f>
        <v>9.0909090909090912E-2</v>
      </c>
      <c r="S241" s="557">
        <f>L241-Q241</f>
        <v>-12715.339999999902</v>
      </c>
      <c r="T241" s="575"/>
      <c r="U241" s="510"/>
      <c r="V241" s="510"/>
      <c r="W241" s="510"/>
      <c r="X241" s="510"/>
      <c r="Y241" s="510"/>
      <c r="Z241" s="510"/>
      <c r="AA241" s="510"/>
      <c r="AB241" s="510"/>
      <c r="AC241" s="510"/>
      <c r="AD241" s="510"/>
      <c r="AE241" s="510"/>
      <c r="AF241" s="510"/>
      <c r="AG241" s="510"/>
      <c r="AH241" s="510"/>
      <c r="AI241" s="510"/>
      <c r="AJ241" s="510"/>
      <c r="AK241" s="510"/>
      <c r="AL241" s="510"/>
      <c r="AM241" s="510"/>
      <c r="AN241" s="510"/>
    </row>
    <row r="242" spans="1:40" ht="15.75" customHeight="1">
      <c r="A242" s="523" t="s">
        <v>372</v>
      </c>
      <c r="B242" s="510" t="s">
        <v>99</v>
      </c>
      <c r="C242" s="531" t="s">
        <v>87</v>
      </c>
      <c r="D242" s="575"/>
      <c r="E242" s="644"/>
      <c r="F242" s="660">
        <f>IFERROR(F241/E241,0)</f>
        <v>0.15</v>
      </c>
      <c r="G242" s="531"/>
      <c r="H242" s="644"/>
      <c r="I242" s="660"/>
      <c r="J242" s="558"/>
      <c r="K242" s="510"/>
      <c r="L242" s="660">
        <f>IFERROR(L241/K241,0)</f>
        <v>0.35021483637414352</v>
      </c>
      <c r="M242" s="577"/>
      <c r="N242" s="557">
        <f>IFERROR(N241/M241,0)</f>
        <v>13358.907646259255</v>
      </c>
      <c r="O242" s="558"/>
      <c r="P242" s="510"/>
      <c r="Q242" s="660">
        <f>IFERROR(Q241/P241,0)</f>
        <v>0.20078574704279875</v>
      </c>
      <c r="R242" s="558"/>
      <c r="S242" s="557">
        <f>IFERROR(S241/R241,0)</f>
        <v>-139868.73999999891</v>
      </c>
      <c r="T242" s="575"/>
      <c r="U242" s="510"/>
      <c r="V242" s="510"/>
      <c r="W242" s="510"/>
      <c r="X242" s="510"/>
      <c r="Y242" s="510"/>
      <c r="Z242" s="510"/>
      <c r="AA242" s="510"/>
      <c r="AB242" s="510"/>
      <c r="AC242" s="510"/>
      <c r="AD242" s="510"/>
      <c r="AE242" s="510"/>
      <c r="AF242" s="510"/>
      <c r="AG242" s="510"/>
      <c r="AH242" s="510"/>
      <c r="AI242" s="510"/>
      <c r="AJ242" s="510"/>
      <c r="AK242" s="510"/>
      <c r="AL242" s="510"/>
      <c r="AM242" s="510"/>
      <c r="AN242" s="510"/>
    </row>
    <row r="243" spans="1:40" ht="15.75" customHeight="1">
      <c r="A243" s="523" t="s">
        <v>99</v>
      </c>
      <c r="B243" s="510" t="s">
        <v>99</v>
      </c>
      <c r="C243" s="531"/>
      <c r="D243" s="575"/>
      <c r="E243" s="701"/>
      <c r="F243" s="638"/>
      <c r="G243" s="659"/>
      <c r="H243" s="701"/>
      <c r="I243" s="638"/>
      <c r="J243" s="659"/>
      <c r="K243" s="575"/>
      <c r="L243" s="658"/>
      <c r="M243" s="659"/>
      <c r="N243" s="658"/>
      <c r="O243" s="659"/>
      <c r="P243" s="575"/>
      <c r="Q243" s="658"/>
      <c r="R243" s="637"/>
      <c r="S243" s="658"/>
      <c r="T243" s="575"/>
      <c r="U243" s="510"/>
      <c r="V243" s="510"/>
      <c r="W243" s="510"/>
      <c r="X243" s="510"/>
      <c r="Y243" s="510"/>
      <c r="Z243" s="510"/>
      <c r="AA243" s="510"/>
      <c r="AB243" s="510"/>
      <c r="AC243" s="510"/>
      <c r="AD243" s="510"/>
      <c r="AE243" s="510"/>
      <c r="AF243" s="510"/>
      <c r="AG243" s="510"/>
      <c r="AH243" s="510"/>
      <c r="AI243" s="510"/>
      <c r="AJ243" s="510"/>
      <c r="AK243" s="510"/>
      <c r="AL243" s="510"/>
      <c r="AM243" s="510"/>
      <c r="AN243" s="510"/>
    </row>
    <row r="244" spans="1:40" ht="15.75" customHeight="1">
      <c r="A244" s="523" t="s">
        <v>373</v>
      </c>
      <c r="B244" s="510" t="s">
        <v>99</v>
      </c>
      <c r="C244" s="518" t="s">
        <v>101</v>
      </c>
      <c r="D244" s="664">
        <f>+INDEX('[5]Budget original'!$A$2:$AO$501,MATCH($A244,'[5]Budget original'!$A$2:$A$501,0),MATCH(D$2,'[5]Budget original'!$A$2:$AO$2,0))</f>
        <v>0</v>
      </c>
      <c r="E244" s="573">
        <f>+INDEX('[5]Budget original'!$A$2:$AO$501,MATCH($A244,'[5]Budget original'!$A$2:$A$501,0),MATCH(E$2,'[5]Budget original'!$A$2:$AO$2,0))</f>
        <v>0</v>
      </c>
      <c r="F244" s="573">
        <f>+INDEX('[5]Budget original'!$A$2:$AO$501,MATCH($A244,'[5]Budget original'!$A$2:$A$501,0),MATCH(F$2,'[5]Budget original'!$A$2:$AO$2,0))</f>
        <v>0</v>
      </c>
      <c r="G244" s="702"/>
      <c r="H244" s="573"/>
      <c r="I244" s="573"/>
      <c r="J244" s="665">
        <f>SUMIFS([5]BV_Data_An_Cour!$C$1:$C$386,[5]BV_Data_An_Cour!$V$1:$V$386,$C244,[5]BV_Data_An_Cour!$U$1:$U$386,$K$236)</f>
        <v>0</v>
      </c>
      <c r="K244" s="552">
        <f>-SUMIFS([5]BV_Data_An_Cour!$O:$O,[5]BV_Data_An_Cour!$X:$X,"Oui",[5]BV_Data_An_Cour!$U:$U,$B244,[5]BV_Data_An_Cour!$V:$V,$C244)</f>
        <v>0</v>
      </c>
      <c r="L244" s="553">
        <f>-SUMIFS([5]BV_Data_An_Cour!$O:$O,[5]BV_Data_An_Cour!$U:$U,$B244,[5]BV_Data_An_Cour!$V:$V,$C244,[5]BV_Data_An_Cour!$W:$W,$L$2)</f>
        <v>0</v>
      </c>
      <c r="M244" s="669">
        <f>IFERROR((K244-E244)/E244,0)</f>
        <v>0</v>
      </c>
      <c r="N244" s="606">
        <f>L244-F244</f>
        <v>0</v>
      </c>
      <c r="O244" s="665">
        <f t="array" ref="O244">+INDEX('[5]Réel 2023'!$A$2:$AO$501,MATCH($A244,'[5]Réel 2023'!$A$2:$A$501,0),MATCH(O$2,'[5]Réel 2023'!$A$2:$AO$2,0))</f>
        <v>0</v>
      </c>
      <c r="P244" s="552">
        <f t="array" ref="P244">+INDEX('[5]Réel 2023'!$A$2:$AO$501,MATCH($A244,'[5]Réel 2023'!$A$2:$A$501,0),MATCH(P$2,'[5]Réel 2023'!$A$2:$AO$2,0))</f>
        <v>0</v>
      </c>
      <c r="Q244" s="553">
        <f t="array" ref="Q244">+INDEX('[5]Réel 2023'!$A$2:$AO$501,MATCH($A244,'[5]Réel 2023'!$A$2:$A$501,0),MATCH(Q$2,'[5]Réel 2023'!$A$2:$AO$2,0))</f>
        <v>0</v>
      </c>
      <c r="R244" s="577">
        <f>IF(O244=0,0,J244/O244)</f>
        <v>0</v>
      </c>
      <c r="S244" s="606">
        <f>L244-Q244</f>
        <v>0</v>
      </c>
      <c r="T244" s="648"/>
      <c r="U244" s="510"/>
      <c r="V244" s="510"/>
      <c r="W244" s="510"/>
      <c r="X244" s="510"/>
      <c r="Y244" s="510"/>
      <c r="Z244" s="510"/>
      <c r="AA244" s="510"/>
      <c r="AB244" s="510"/>
      <c r="AC244" s="510"/>
      <c r="AD244" s="510"/>
      <c r="AE244" s="510"/>
      <c r="AF244" s="510"/>
      <c r="AG244" s="510"/>
      <c r="AH244" s="510"/>
      <c r="AI244" s="510"/>
      <c r="AJ244" s="510"/>
      <c r="AK244" s="510"/>
      <c r="AL244" s="510"/>
      <c r="AM244" s="510"/>
      <c r="AN244" s="510"/>
    </row>
    <row r="245" spans="1:40" ht="15.75" customHeight="1">
      <c r="A245" s="523" t="s">
        <v>372</v>
      </c>
      <c r="B245" s="510" t="s">
        <v>99</v>
      </c>
      <c r="C245" s="531" t="s">
        <v>87</v>
      </c>
      <c r="D245" s="510"/>
      <c r="E245" s="644"/>
      <c r="F245" s="660" t="e">
        <f>F244/E244</f>
        <v>#DIV/0!</v>
      </c>
      <c r="G245" s="531"/>
      <c r="H245" s="644"/>
      <c r="I245" s="660"/>
      <c r="J245" s="558"/>
      <c r="K245" s="510"/>
      <c r="L245" s="660">
        <f>IFERROR(L244/K244,0)</f>
        <v>0</v>
      </c>
      <c r="M245" s="577"/>
      <c r="N245" s="557">
        <f>IFERROR(N244/F244,0)</f>
        <v>0</v>
      </c>
      <c r="O245" s="558"/>
      <c r="P245" s="510"/>
      <c r="Q245" s="660">
        <f>IFERROR(Q244/P244,0)</f>
        <v>0</v>
      </c>
      <c r="R245" s="558"/>
      <c r="S245" s="557">
        <f>IF(Q244=0,0,S244/Q244)</f>
        <v>0</v>
      </c>
      <c r="T245" s="648"/>
      <c r="U245" s="510"/>
      <c r="V245" s="510"/>
      <c r="W245" s="510"/>
      <c r="X245" s="510"/>
      <c r="Y245" s="510"/>
      <c r="Z245" s="510"/>
      <c r="AA245" s="510"/>
      <c r="AB245" s="510"/>
      <c r="AC245" s="510"/>
      <c r="AD245" s="510"/>
      <c r="AE245" s="510"/>
      <c r="AF245" s="510"/>
      <c r="AG245" s="510"/>
      <c r="AH245" s="510"/>
      <c r="AI245" s="510"/>
      <c r="AJ245" s="510"/>
      <c r="AK245" s="510"/>
      <c r="AL245" s="510"/>
      <c r="AM245" s="510"/>
      <c r="AN245" s="510"/>
    </row>
    <row r="246" spans="1:40" ht="15.75" customHeight="1">
      <c r="A246" s="523" t="s">
        <v>99</v>
      </c>
      <c r="B246" s="510" t="s">
        <v>99</v>
      </c>
      <c r="C246" s="524"/>
      <c r="D246" s="607"/>
      <c r="E246" s="703"/>
      <c r="F246" s="662"/>
      <c r="G246" s="524"/>
      <c r="H246" s="703"/>
      <c r="I246" s="662"/>
      <c r="J246" s="663"/>
      <c r="K246" s="704"/>
      <c r="L246" s="662"/>
      <c r="M246" s="581"/>
      <c r="N246" s="582"/>
      <c r="O246" s="663"/>
      <c r="P246" s="704"/>
      <c r="Q246" s="662"/>
      <c r="R246" s="663"/>
      <c r="S246" s="582"/>
      <c r="T246" s="648"/>
      <c r="U246" s="510"/>
      <c r="V246" s="510"/>
      <c r="W246" s="510"/>
      <c r="X246" s="510"/>
      <c r="Y246" s="510"/>
      <c r="Z246" s="510"/>
      <c r="AA246" s="510"/>
      <c r="AB246" s="510"/>
      <c r="AC246" s="510"/>
      <c r="AD246" s="510"/>
      <c r="AE246" s="510"/>
      <c r="AF246" s="510"/>
      <c r="AG246" s="510"/>
      <c r="AH246" s="510"/>
      <c r="AI246" s="510"/>
      <c r="AJ246" s="510"/>
      <c r="AK246" s="510"/>
      <c r="AL246" s="510"/>
      <c r="AM246" s="510"/>
      <c r="AN246" s="510"/>
    </row>
    <row r="247" spans="1:40" ht="15.75" customHeight="1">
      <c r="A247" s="523" t="s">
        <v>374</v>
      </c>
      <c r="B247" s="510" t="s">
        <v>99</v>
      </c>
      <c r="C247" s="518" t="s">
        <v>102</v>
      </c>
      <c r="D247" s="664">
        <v>0</v>
      </c>
      <c r="E247" s="573">
        <v>0</v>
      </c>
      <c r="F247" s="573">
        <v>0</v>
      </c>
      <c r="G247" s="665"/>
      <c r="H247" s="573"/>
      <c r="I247" s="573"/>
      <c r="J247" s="665">
        <f>SUMIFS([5]BV_Data_An_Cour!$C$1:$C$386,[5]BV_Data_An_Cour!$V$1:$V$386,$C247,[5]BV_Data_An_Cour!$U$1:$U$386,$K$236)</f>
        <v>0</v>
      </c>
      <c r="K247" s="532">
        <f>-SUMIFS([5]BV_Data_An_Cour!$O:$O,[5]BV_Data_An_Cour!$X:$X,"Oui",[5]BV_Data_An_Cour!$U:$U,$B247,[5]BV_Data_An_Cour!$V:$V,$C247)</f>
        <v>0</v>
      </c>
      <c r="L247" s="534">
        <f>-SUMIFS([5]BV_Data_An_Cour!$O:$O,[5]BV_Data_An_Cour!$U:$U,$B247,[5]BV_Data_An_Cour!$V:$V,$C247,[5]BV_Data_An_Cour!$W:$W,$L$2)</f>
        <v>0</v>
      </c>
      <c r="M247" s="577">
        <f>IFERROR((K247-E247)/E247,0)</f>
        <v>0</v>
      </c>
      <c r="N247" s="606">
        <f>L247-F247</f>
        <v>0</v>
      </c>
      <c r="O247" s="665">
        <v>0</v>
      </c>
      <c r="P247" s="532">
        <v>0</v>
      </c>
      <c r="Q247" s="534">
        <v>0</v>
      </c>
      <c r="R247" s="577">
        <f>IF(O247=0,0,J247/O247)</f>
        <v>0</v>
      </c>
      <c r="S247" s="557">
        <f>L247-Q247</f>
        <v>0</v>
      </c>
      <c r="T247" s="648"/>
      <c r="U247" s="510"/>
      <c r="V247" s="510"/>
      <c r="W247" s="510"/>
      <c r="X247" s="510"/>
      <c r="Y247" s="510"/>
      <c r="Z247" s="510"/>
      <c r="AA247" s="510"/>
      <c r="AB247" s="510"/>
      <c r="AC247" s="510"/>
      <c r="AD247" s="510"/>
      <c r="AE247" s="510"/>
      <c r="AF247" s="510"/>
      <c r="AG247" s="510"/>
      <c r="AH247" s="510"/>
      <c r="AI247" s="510"/>
      <c r="AJ247" s="510"/>
      <c r="AK247" s="510"/>
      <c r="AL247" s="510"/>
      <c r="AM247" s="510"/>
      <c r="AN247" s="510"/>
    </row>
    <row r="248" spans="1:40" ht="15.75" customHeight="1">
      <c r="A248" s="523" t="s">
        <v>372</v>
      </c>
      <c r="B248" s="510" t="s">
        <v>99</v>
      </c>
      <c r="C248" s="531" t="s">
        <v>87</v>
      </c>
      <c r="D248" s="510"/>
      <c r="E248" s="510"/>
      <c r="F248" s="660" t="e">
        <f>F247/E247</f>
        <v>#DIV/0!</v>
      </c>
      <c r="G248" s="531"/>
      <c r="H248" s="510"/>
      <c r="I248" s="660"/>
      <c r="J248" s="531"/>
      <c r="K248" s="510"/>
      <c r="L248" s="660">
        <f>IFERROR(L247/K247,0)</f>
        <v>0</v>
      </c>
      <c r="M248" s="548"/>
      <c r="N248" s="549">
        <f>IF(L247=0,0,N247/L247)</f>
        <v>0</v>
      </c>
      <c r="O248" s="531"/>
      <c r="P248" s="510"/>
      <c r="Q248" s="660">
        <f>IFERROR(Q247/P247,0)</f>
        <v>0</v>
      </c>
      <c r="R248" s="548"/>
      <c r="S248" s="549">
        <f>IF(Q247=0,0,S247/Q247)</f>
        <v>0</v>
      </c>
      <c r="T248" s="648"/>
      <c r="U248" s="510"/>
      <c r="V248" s="510"/>
      <c r="W248" s="510"/>
      <c r="X248" s="510"/>
      <c r="Y248" s="510"/>
      <c r="Z248" s="510"/>
      <c r="AA248" s="510"/>
      <c r="AB248" s="510"/>
      <c r="AC248" s="510"/>
      <c r="AD248" s="510"/>
      <c r="AE248" s="510"/>
      <c r="AF248" s="510"/>
      <c r="AG248" s="510"/>
      <c r="AH248" s="510"/>
      <c r="AI248" s="510"/>
      <c r="AJ248" s="510"/>
      <c r="AK248" s="510"/>
      <c r="AL248" s="510"/>
      <c r="AM248" s="510"/>
      <c r="AN248" s="510"/>
    </row>
    <row r="249" spans="1:40" ht="15.75" customHeight="1" thickBot="1">
      <c r="A249" s="523" t="s">
        <v>99</v>
      </c>
      <c r="B249" s="510" t="s">
        <v>99</v>
      </c>
      <c r="C249" s="531"/>
      <c r="D249" s="510"/>
      <c r="E249" s="510"/>
      <c r="F249" s="660"/>
      <c r="G249" s="531"/>
      <c r="H249" s="510"/>
      <c r="I249" s="660"/>
      <c r="J249" s="531"/>
      <c r="K249" s="510"/>
      <c r="L249" s="660"/>
      <c r="M249" s="548"/>
      <c r="N249" s="549"/>
      <c r="O249" s="531"/>
      <c r="P249" s="510"/>
      <c r="Q249" s="660"/>
      <c r="R249" s="548"/>
      <c r="S249" s="549"/>
      <c r="T249" s="648"/>
      <c r="U249" s="510"/>
      <c r="V249" s="510"/>
      <c r="W249" s="510"/>
      <c r="X249" s="510"/>
      <c r="Y249" s="510"/>
      <c r="Z249" s="510"/>
      <c r="AA249" s="510"/>
      <c r="AB249" s="510"/>
      <c r="AC249" s="510"/>
      <c r="AD249" s="510"/>
      <c r="AE249" s="510"/>
      <c r="AF249" s="510"/>
      <c r="AG249" s="510"/>
      <c r="AH249" s="510"/>
      <c r="AI249" s="510"/>
      <c r="AJ249" s="510"/>
      <c r="AK249" s="510"/>
      <c r="AL249" s="510"/>
      <c r="AM249" s="510"/>
      <c r="AN249" s="510"/>
    </row>
    <row r="250" spans="1:40" ht="15.75" customHeight="1" thickTop="1">
      <c r="A250" s="523" t="s">
        <v>375</v>
      </c>
      <c r="B250" s="510" t="s">
        <v>99</v>
      </c>
      <c r="C250" s="559" t="s">
        <v>96</v>
      </c>
      <c r="D250" s="560"/>
      <c r="E250" s="560">
        <f>E244+E247+E241</f>
        <v>105347.5803785967</v>
      </c>
      <c r="F250" s="562">
        <f>F244+F247+F241</f>
        <v>15802.137056789505</v>
      </c>
      <c r="G250" s="563"/>
      <c r="H250" s="560"/>
      <c r="I250" s="562"/>
      <c r="J250" s="563"/>
      <c r="K250" s="560">
        <f t="shared" ref="K250:L250" si="48">K244+K247+K241</f>
        <v>10936.23</v>
      </c>
      <c r="L250" s="562">
        <f t="shared" si="48"/>
        <v>3830.0299999999997</v>
      </c>
      <c r="M250" s="697">
        <f>L251-F251</f>
        <v>0.20021483637414353</v>
      </c>
      <c r="N250" s="562">
        <f>L250-F250</f>
        <v>-11972.107056789504</v>
      </c>
      <c r="O250" s="563"/>
      <c r="P250" s="560">
        <f t="shared" ref="P250:Q250" si="49">P244+P247+P241</f>
        <v>82403.109999999899</v>
      </c>
      <c r="Q250" s="562">
        <f t="shared" si="49"/>
        <v>16545.369999999901</v>
      </c>
      <c r="R250" s="705">
        <f>L251-Q251</f>
        <v>0.14942908933134477</v>
      </c>
      <c r="S250" s="562">
        <f>L250-Q250</f>
        <v>-12715.339999999902</v>
      </c>
      <c r="T250" s="648"/>
      <c r="U250" s="510"/>
      <c r="V250" s="510"/>
      <c r="W250" s="510"/>
      <c r="X250" s="510"/>
      <c r="Y250" s="510"/>
      <c r="Z250" s="510"/>
      <c r="AA250" s="510"/>
      <c r="AB250" s="510"/>
      <c r="AC250" s="510"/>
      <c r="AD250" s="510"/>
      <c r="AE250" s="510"/>
      <c r="AF250" s="510"/>
      <c r="AG250" s="510"/>
      <c r="AH250" s="510"/>
      <c r="AI250" s="510"/>
      <c r="AJ250" s="510"/>
      <c r="AK250" s="510"/>
      <c r="AL250" s="510"/>
      <c r="AM250" s="510"/>
      <c r="AN250" s="510"/>
    </row>
    <row r="251" spans="1:40" ht="23.25" customHeight="1" thickBot="1">
      <c r="A251" s="523" t="s">
        <v>99</v>
      </c>
      <c r="B251" s="510" t="s">
        <v>99</v>
      </c>
      <c r="C251" s="564"/>
      <c r="D251" s="565"/>
      <c r="E251" s="565"/>
      <c r="F251" s="570">
        <f>F250/E250</f>
        <v>0.15</v>
      </c>
      <c r="G251" s="564"/>
      <c r="H251" s="565"/>
      <c r="I251" s="570"/>
      <c r="J251" s="564"/>
      <c r="K251" s="565"/>
      <c r="L251" s="570">
        <f>IF(K250=0,0,L250/K250)</f>
        <v>0.35021483637414352</v>
      </c>
      <c r="M251" s="569"/>
      <c r="N251" s="570">
        <f>N250/F250</f>
        <v>-0.75762582072059681</v>
      </c>
      <c r="O251" s="564"/>
      <c r="P251" s="565"/>
      <c r="Q251" s="570">
        <f>Q250/P250</f>
        <v>0.20078574704279875</v>
      </c>
      <c r="R251" s="569"/>
      <c r="S251" s="570">
        <f>S250/Q250</f>
        <v>-0.76851348745902803</v>
      </c>
      <c r="T251" s="648"/>
      <c r="U251" s="510"/>
      <c r="V251" s="510"/>
      <c r="W251" s="510"/>
      <c r="X251" s="510"/>
      <c r="Y251" s="510"/>
      <c r="Z251" s="510"/>
      <c r="AA251" s="510"/>
      <c r="AB251" s="510"/>
      <c r="AC251" s="510"/>
      <c r="AD251" s="510"/>
      <c r="AE251" s="510"/>
      <c r="AF251" s="510"/>
      <c r="AG251" s="510"/>
      <c r="AH251" s="510"/>
      <c r="AI251" s="510"/>
      <c r="AJ251" s="510"/>
      <c r="AK251" s="510"/>
      <c r="AL251" s="510"/>
      <c r="AM251" s="510"/>
      <c r="AN251" s="510"/>
    </row>
    <row r="252" spans="1:40" ht="15.75" customHeight="1" thickTop="1">
      <c r="A252" s="523" t="s">
        <v>99</v>
      </c>
      <c r="B252" s="510" t="s">
        <v>99</v>
      </c>
      <c r="C252" s="531"/>
      <c r="D252" s="510"/>
      <c r="E252" s="510"/>
      <c r="F252" s="557"/>
      <c r="G252" s="531"/>
      <c r="H252" s="510"/>
      <c r="I252" s="557"/>
      <c r="J252" s="531"/>
      <c r="K252" s="510"/>
      <c r="L252" s="541"/>
      <c r="M252" s="531"/>
      <c r="N252" s="541"/>
      <c r="O252" s="531"/>
      <c r="P252" s="510"/>
      <c r="Q252" s="541"/>
      <c r="R252" s="531"/>
      <c r="S252" s="541"/>
      <c r="T252" s="510"/>
      <c r="U252" s="510"/>
      <c r="V252" s="510"/>
      <c r="W252" s="510"/>
      <c r="X252" s="510"/>
      <c r="Y252" s="510"/>
      <c r="Z252" s="510"/>
      <c r="AA252" s="510"/>
      <c r="AB252" s="510"/>
      <c r="AC252" s="510"/>
      <c r="AD252" s="510"/>
      <c r="AE252" s="510"/>
      <c r="AF252" s="510"/>
      <c r="AG252" s="510"/>
      <c r="AH252" s="510"/>
      <c r="AI252" s="510"/>
      <c r="AJ252" s="510"/>
      <c r="AK252" s="510"/>
      <c r="AL252" s="510"/>
      <c r="AM252" s="510"/>
      <c r="AN252" s="510"/>
    </row>
    <row r="253" spans="1:40" ht="15.75" customHeight="1">
      <c r="A253" s="523" t="s">
        <v>376</v>
      </c>
      <c r="B253" s="510" t="s">
        <v>99</v>
      </c>
      <c r="C253" s="574" t="s">
        <v>30</v>
      </c>
      <c r="D253" s="510"/>
      <c r="E253" s="510"/>
      <c r="F253" s="557"/>
      <c r="G253" s="531"/>
      <c r="H253" s="510"/>
      <c r="I253" s="557"/>
      <c r="J253" s="531"/>
      <c r="K253" s="510"/>
      <c r="L253" s="541"/>
      <c r="M253" s="531"/>
      <c r="N253" s="541"/>
      <c r="O253" s="531"/>
      <c r="P253" s="510"/>
      <c r="Q253" s="541"/>
      <c r="R253" s="531"/>
      <c r="S253" s="541"/>
      <c r="T253" s="510"/>
      <c r="U253" s="510"/>
      <c r="V253" s="510"/>
      <c r="W253" s="510"/>
      <c r="X253" s="510"/>
      <c r="Y253" s="510"/>
      <c r="Z253" s="510"/>
      <c r="AA253" s="510"/>
      <c r="AB253" s="510"/>
      <c r="AC253" s="510"/>
      <c r="AD253" s="510"/>
      <c r="AE253" s="510"/>
      <c r="AF253" s="510"/>
      <c r="AG253" s="510"/>
      <c r="AH253" s="510"/>
      <c r="AI253" s="510"/>
      <c r="AJ253" s="510"/>
      <c r="AK253" s="510"/>
      <c r="AL253" s="510"/>
      <c r="AM253" s="510"/>
      <c r="AN253" s="510"/>
    </row>
    <row r="254" spans="1:40" ht="15.75" customHeight="1">
      <c r="A254" s="523" t="s">
        <v>377</v>
      </c>
      <c r="B254" s="510" t="s">
        <v>99</v>
      </c>
      <c r="C254" s="600" t="s">
        <v>41</v>
      </c>
      <c r="D254" s="510"/>
      <c r="E254" s="510"/>
      <c r="F254" s="532">
        <f>+INDEX('[5]Budget original'!$A$2:$AO$501,MATCH($A254,'[5]Budget original'!$A$2:$A$501,0),MATCH(F$2,'[5]Budget original'!$A$2:$AO$2,0))</f>
        <v>297.32500000000005</v>
      </c>
      <c r="G254" s="531"/>
      <c r="H254" s="510"/>
      <c r="I254" s="532"/>
      <c r="J254" s="531"/>
      <c r="K254" s="510"/>
      <c r="L254" s="534">
        <f>SUMIFS([5]BV_Data_An_Cour!$O:$O,[5]BV_Data_An_Cour!$U:$U,$B254,[5]BV_Data_An_Cour!$V:$V,$C254,[5]BV_Data_An_Cour!$W:$W,$L$2)</f>
        <v>901.88</v>
      </c>
      <c r="M254" s="531"/>
      <c r="N254" s="557">
        <f t="shared" ref="N254:N284" si="50">L254-F254</f>
        <v>604.55499999999995</v>
      </c>
      <c r="O254" s="531"/>
      <c r="P254" s="510"/>
      <c r="Q254" s="534">
        <f t="array" ref="Q254">+INDEX('[5]Réel 2023'!$A$2:$AO$501,MATCH($A254,'[5]Réel 2023'!$A$2:$A$501,0),MATCH(Q$2,'[5]Réel 2023'!$A$2:$AO$2,0))</f>
        <v>901.88</v>
      </c>
      <c r="R254" s="531"/>
      <c r="S254" s="534">
        <f t="shared" ref="S254:S285" si="51">L254-Q254</f>
        <v>0</v>
      </c>
      <c r="T254" s="510"/>
      <c r="U254" s="510"/>
      <c r="V254" s="510"/>
      <c r="W254" s="510"/>
      <c r="X254" s="510"/>
      <c r="Y254" s="510"/>
      <c r="Z254" s="510"/>
      <c r="AA254" s="510"/>
      <c r="AB254" s="510"/>
      <c r="AC254" s="510"/>
      <c r="AD254" s="510"/>
      <c r="AE254" s="510"/>
      <c r="AF254" s="510"/>
      <c r="AG254" s="510"/>
      <c r="AH254" s="510"/>
      <c r="AI254" s="510"/>
      <c r="AJ254" s="510"/>
      <c r="AK254" s="510"/>
      <c r="AL254" s="510"/>
      <c r="AM254" s="510"/>
      <c r="AN254" s="510"/>
    </row>
    <row r="255" spans="1:40" ht="15.75" customHeight="1">
      <c r="A255" s="523" t="s">
        <v>378</v>
      </c>
      <c r="B255" s="510" t="s">
        <v>99</v>
      </c>
      <c r="C255" s="602" t="s">
        <v>42</v>
      </c>
      <c r="D255" s="584"/>
      <c r="E255" s="510"/>
      <c r="F255" s="526">
        <f>+INDEX('[5]Budget original'!$A$2:$AO$501,MATCH($A255,'[5]Budget original'!$A$2:$A$501,0),MATCH(F$2,'[5]Budget original'!$A$2:$AO$2,0))</f>
        <v>4703.7506153846152</v>
      </c>
      <c r="G255" s="585"/>
      <c r="H255" s="510"/>
      <c r="I255" s="526"/>
      <c r="J255" s="531"/>
      <c r="K255" s="510"/>
      <c r="L255" s="534">
        <f>SUMIFS([5]BV_Data_An_Cour!$O:$O,[5]BV_Data_An_Cour!$U:$U,$B255,[5]BV_Data_An_Cour!$V:$V,$C255,[5]BV_Data_An_Cour!$W:$W,$L$2)</f>
        <v>3190.36</v>
      </c>
      <c r="M255" s="531"/>
      <c r="N255" s="557">
        <f t="shared" si="50"/>
        <v>-1513.3906153846151</v>
      </c>
      <c r="O255" s="531"/>
      <c r="P255" s="510"/>
      <c r="Q255" s="534">
        <f t="array" ref="Q255">+INDEX('[5]Réel 2023'!$A$2:$AO$501,MATCH($A255,'[5]Réel 2023'!$A$2:$A$501,0),MATCH(Q$2,'[5]Réel 2023'!$A$2:$AO$2,0))</f>
        <v>0</v>
      </c>
      <c r="R255" s="531"/>
      <c r="S255" s="557">
        <f t="shared" si="51"/>
        <v>3190.36</v>
      </c>
      <c r="T255" s="510"/>
      <c r="U255" s="510"/>
      <c r="V255" s="510"/>
      <c r="W255" s="510"/>
      <c r="X255" s="510"/>
      <c r="Y255" s="510"/>
      <c r="Z255" s="510"/>
      <c r="AA255" s="510"/>
      <c r="AB255" s="510"/>
      <c r="AC255" s="510"/>
      <c r="AD255" s="510"/>
      <c r="AE255" s="510"/>
      <c r="AF255" s="510"/>
      <c r="AG255" s="510"/>
      <c r="AH255" s="510"/>
      <c r="AI255" s="510"/>
      <c r="AJ255" s="510"/>
      <c r="AK255" s="510"/>
      <c r="AL255" s="510"/>
      <c r="AM255" s="510"/>
      <c r="AN255" s="510"/>
    </row>
    <row r="256" spans="1:40" ht="15.75" customHeight="1">
      <c r="A256" s="523" t="s">
        <v>379</v>
      </c>
      <c r="B256" s="510" t="s">
        <v>99</v>
      </c>
      <c r="C256" s="600" t="s">
        <v>43</v>
      </c>
      <c r="D256" s="603"/>
      <c r="E256" s="604"/>
      <c r="F256" s="532">
        <f>+INDEX('[5]Budget original'!$A$2:$AO$501,MATCH($A256,'[5]Budget original'!$A$2:$A$501,0),MATCH(F$2,'[5]Budget original'!$A$2:$AO$2,0))</f>
        <v>17.530769230769231</v>
      </c>
      <c r="G256" s="605"/>
      <c r="H256" s="604"/>
      <c r="I256" s="532"/>
      <c r="J256" s="518"/>
      <c r="K256" s="604"/>
      <c r="L256" s="553">
        <f>SUMIFS([5]BV_Data_An_Cour!$O:$O,[5]BV_Data_An_Cour!$U:$U,$B256,[5]BV_Data_An_Cour!$V:$V,$C256,[5]BV_Data_An_Cour!$W:$W,$L$2)</f>
        <v>0.08</v>
      </c>
      <c r="M256" s="518"/>
      <c r="N256" s="606">
        <f t="shared" si="50"/>
        <v>-17.450769230769232</v>
      </c>
      <c r="O256" s="518"/>
      <c r="P256" s="604"/>
      <c r="Q256" s="553">
        <f t="array" ref="Q256">+INDEX('[5]Réel 2023'!$A$2:$AO$501,MATCH($A256,'[5]Réel 2023'!$A$2:$A$501,0),MATCH(Q$2,'[5]Réel 2023'!$A$2:$AO$2,0))</f>
        <v>0.08</v>
      </c>
      <c r="R256" s="518"/>
      <c r="S256" s="606">
        <f t="shared" si="51"/>
        <v>0</v>
      </c>
      <c r="T256" s="510"/>
      <c r="U256" s="510"/>
      <c r="V256" s="510"/>
      <c r="W256" s="510"/>
      <c r="X256" s="510"/>
      <c r="Y256" s="510"/>
      <c r="Z256" s="510"/>
      <c r="AA256" s="510"/>
      <c r="AB256" s="510"/>
      <c r="AC256" s="510"/>
      <c r="AD256" s="510"/>
      <c r="AE256" s="510"/>
      <c r="AF256" s="510"/>
      <c r="AG256" s="510"/>
      <c r="AH256" s="510"/>
      <c r="AI256" s="510"/>
      <c r="AJ256" s="510"/>
      <c r="AK256" s="510"/>
      <c r="AL256" s="510"/>
      <c r="AM256" s="510"/>
      <c r="AN256" s="510"/>
    </row>
    <row r="257" spans="1:40" ht="15.75" customHeight="1">
      <c r="A257" s="523" t="s">
        <v>380</v>
      </c>
      <c r="B257" s="510" t="s">
        <v>99</v>
      </c>
      <c r="C257" s="600" t="s">
        <v>44</v>
      </c>
      <c r="D257" s="584"/>
      <c r="E257" s="510"/>
      <c r="F257" s="532">
        <f>+INDEX('[5]Budget original'!$A$2:$AO$501,MATCH($A257,'[5]Budget original'!$A$2:$A$501,0),MATCH(F$2,'[5]Budget original'!$A$2:$AO$2,0))</f>
        <v>0</v>
      </c>
      <c r="G257" s="585"/>
      <c r="H257" s="510"/>
      <c r="I257" s="532"/>
      <c r="J257" s="531"/>
      <c r="K257" s="510"/>
      <c r="L257" s="534">
        <f>SUMIFS([5]BV_Data_An_Cour!$O:$O,[5]BV_Data_An_Cour!$U:$U,$B257,[5]BV_Data_An_Cour!$V:$V,$C257,[5]BV_Data_An_Cour!$W:$W,$L$2)</f>
        <v>0</v>
      </c>
      <c r="M257" s="531"/>
      <c r="N257" s="557">
        <f t="shared" si="50"/>
        <v>0</v>
      </c>
      <c r="O257" s="531"/>
      <c r="P257" s="510"/>
      <c r="Q257" s="534">
        <f t="array" ref="Q257">+INDEX('[5]Réel 2023'!$A$2:$AO$501,MATCH($A257,'[5]Réel 2023'!$A$2:$A$501,0),MATCH(Q$2,'[5]Réel 2023'!$A$2:$AO$2,0))</f>
        <v>4192.29</v>
      </c>
      <c r="R257" s="531"/>
      <c r="S257" s="557">
        <f t="shared" si="51"/>
        <v>-4192.29</v>
      </c>
      <c r="T257" s="510"/>
      <c r="U257" s="510"/>
      <c r="V257" s="510"/>
      <c r="W257" s="510"/>
      <c r="X257" s="510"/>
      <c r="Y257" s="510"/>
      <c r="Z257" s="510"/>
      <c r="AA257" s="510"/>
      <c r="AB257" s="510"/>
      <c r="AC257" s="510"/>
      <c r="AD257" s="510"/>
      <c r="AE257" s="510"/>
      <c r="AF257" s="510"/>
      <c r="AG257" s="510"/>
      <c r="AH257" s="510"/>
      <c r="AI257" s="510"/>
      <c r="AJ257" s="510"/>
      <c r="AK257" s="510"/>
      <c r="AL257" s="510"/>
      <c r="AM257" s="510"/>
      <c r="AN257" s="510"/>
    </row>
    <row r="258" spans="1:40" ht="15.75" hidden="1" customHeight="1">
      <c r="A258" s="523" t="s">
        <v>381</v>
      </c>
      <c r="B258" s="510" t="s">
        <v>99</v>
      </c>
      <c r="C258" s="531" t="s">
        <v>20</v>
      </c>
      <c r="D258" s="584"/>
      <c r="E258" s="510"/>
      <c r="F258" s="532">
        <f>+INDEX('[5]Budget original'!$A$2:$AO$501,MATCH($A258,'[5]Budget original'!$A$2:$A$501,0),MATCH(F$2,'[5]Budget original'!$A$2:$AO$2,0))</f>
        <v>0</v>
      </c>
      <c r="G258" s="585"/>
      <c r="H258" s="510"/>
      <c r="I258" s="532"/>
      <c r="J258" s="531"/>
      <c r="K258" s="510"/>
      <c r="L258" s="534">
        <f>SUMIFS([5]BV_Data_An_Cour!$O:$O,[5]BV_Data_An_Cour!$U:$U,$B258,[5]BV_Data_An_Cour!$V:$V,$C258,[5]BV_Data_An_Cour!$W:$W,$L$2)</f>
        <v>0</v>
      </c>
      <c r="M258" s="531"/>
      <c r="N258" s="557">
        <f t="shared" si="50"/>
        <v>0</v>
      </c>
      <c r="O258" s="531"/>
      <c r="P258" s="510"/>
      <c r="Q258" s="534">
        <f t="array" ref="Q258">+INDEX('[5]Réel 2023'!$A$2:$AO$501,MATCH($A258,'[5]Réel 2023'!$A$2:$A$501,0),MATCH(Q$2,'[5]Réel 2023'!$A$2:$AO$2,0))</f>
        <v>0</v>
      </c>
      <c r="R258" s="531"/>
      <c r="S258" s="557">
        <f t="shared" si="51"/>
        <v>0</v>
      </c>
      <c r="T258" s="510"/>
      <c r="U258" s="510"/>
      <c r="V258" s="510"/>
      <c r="W258" s="510"/>
      <c r="X258" s="510"/>
      <c r="Y258" s="510"/>
      <c r="Z258" s="510"/>
      <c r="AA258" s="510"/>
      <c r="AB258" s="510"/>
      <c r="AC258" s="510"/>
      <c r="AD258" s="510"/>
      <c r="AE258" s="510"/>
      <c r="AF258" s="510"/>
      <c r="AG258" s="510"/>
      <c r="AH258" s="510"/>
      <c r="AI258" s="510"/>
      <c r="AJ258" s="510"/>
      <c r="AK258" s="510"/>
      <c r="AL258" s="510"/>
      <c r="AM258" s="510"/>
      <c r="AN258" s="510"/>
    </row>
    <row r="259" spans="1:40" ht="15.75" hidden="1" customHeight="1">
      <c r="A259" s="523" t="s">
        <v>381</v>
      </c>
      <c r="B259" s="510" t="s">
        <v>99</v>
      </c>
      <c r="C259" s="531" t="s">
        <v>20</v>
      </c>
      <c r="D259" s="584"/>
      <c r="E259" s="510"/>
      <c r="F259" s="532">
        <f>+INDEX('[5]Budget original'!$A$2:$AO$501,MATCH($A259,'[5]Budget original'!$A$2:$A$501,0),MATCH(F$2,'[5]Budget original'!$A$2:$AO$2,0))</f>
        <v>0</v>
      </c>
      <c r="G259" s="585"/>
      <c r="H259" s="510"/>
      <c r="I259" s="532"/>
      <c r="J259" s="531"/>
      <c r="K259" s="510"/>
      <c r="L259" s="534">
        <f>SUMIFS([5]BV_Data_An_Cour!$O:$O,[5]BV_Data_An_Cour!$U:$U,$B259,[5]BV_Data_An_Cour!$V:$V,$C259,[5]BV_Data_An_Cour!$W:$W,$L$2)</f>
        <v>0</v>
      </c>
      <c r="M259" s="531"/>
      <c r="N259" s="557">
        <f t="shared" si="50"/>
        <v>0</v>
      </c>
      <c r="O259" s="531"/>
      <c r="P259" s="510"/>
      <c r="Q259" s="534">
        <f t="array" ref="Q259">+INDEX('[5]Réel 2023'!$A$2:$AO$501,MATCH($A259,'[5]Réel 2023'!$A$2:$A$501,0),MATCH(Q$2,'[5]Réel 2023'!$A$2:$AO$2,0))</f>
        <v>0</v>
      </c>
      <c r="R259" s="531"/>
      <c r="S259" s="557">
        <f t="shared" si="51"/>
        <v>0</v>
      </c>
      <c r="T259" s="510"/>
      <c r="U259" s="510"/>
      <c r="V259" s="510"/>
      <c r="W259" s="510"/>
      <c r="X259" s="510"/>
      <c r="Y259" s="510"/>
      <c r="Z259" s="510"/>
      <c r="AA259" s="510"/>
      <c r="AB259" s="510"/>
      <c r="AC259" s="510"/>
      <c r="AD259" s="510"/>
      <c r="AE259" s="510"/>
      <c r="AF259" s="510"/>
      <c r="AG259" s="510"/>
      <c r="AH259" s="510"/>
      <c r="AI259" s="510"/>
      <c r="AJ259" s="510"/>
      <c r="AK259" s="510"/>
      <c r="AL259" s="510"/>
      <c r="AM259" s="510"/>
      <c r="AN259" s="510"/>
    </row>
    <row r="260" spans="1:40" ht="15.75" hidden="1" customHeight="1">
      <c r="A260" s="523" t="s">
        <v>381</v>
      </c>
      <c r="B260" s="510" t="s">
        <v>99</v>
      </c>
      <c r="C260" s="531" t="s">
        <v>20</v>
      </c>
      <c r="D260" s="584"/>
      <c r="E260" s="510"/>
      <c r="F260" s="532">
        <f>+INDEX('[5]Budget original'!$A$2:$AO$501,MATCH($A260,'[5]Budget original'!$A$2:$A$501,0),MATCH(F$2,'[5]Budget original'!$A$2:$AO$2,0))</f>
        <v>0</v>
      </c>
      <c r="G260" s="585"/>
      <c r="H260" s="510"/>
      <c r="I260" s="532"/>
      <c r="J260" s="531"/>
      <c r="K260" s="510"/>
      <c r="L260" s="534">
        <f>SUMIFS([5]BV_Data_An_Cour!$O:$O,[5]BV_Data_An_Cour!$U:$U,$B260,[5]BV_Data_An_Cour!$V:$V,$C260,[5]BV_Data_An_Cour!$W:$W,$L$2)</f>
        <v>0</v>
      </c>
      <c r="M260" s="531"/>
      <c r="N260" s="557">
        <f t="shared" si="50"/>
        <v>0</v>
      </c>
      <c r="O260" s="531"/>
      <c r="P260" s="510"/>
      <c r="Q260" s="534">
        <f t="array" ref="Q260">+INDEX('[5]Réel 2023'!$A$2:$AO$501,MATCH($A260,'[5]Réel 2023'!$A$2:$A$501,0),MATCH(Q$2,'[5]Réel 2023'!$A$2:$AO$2,0))</f>
        <v>0</v>
      </c>
      <c r="R260" s="531"/>
      <c r="S260" s="557">
        <f t="shared" si="51"/>
        <v>0</v>
      </c>
      <c r="T260" s="510"/>
      <c r="U260" s="510"/>
      <c r="V260" s="510"/>
      <c r="W260" s="510"/>
      <c r="X260" s="510"/>
      <c r="Y260" s="510"/>
      <c r="Z260" s="510"/>
      <c r="AA260" s="510"/>
      <c r="AB260" s="510"/>
      <c r="AC260" s="510"/>
      <c r="AD260" s="510"/>
      <c r="AE260" s="510"/>
      <c r="AF260" s="510"/>
      <c r="AG260" s="510"/>
      <c r="AH260" s="510"/>
      <c r="AI260" s="510"/>
      <c r="AJ260" s="510"/>
      <c r="AK260" s="510"/>
      <c r="AL260" s="510"/>
      <c r="AM260" s="510"/>
      <c r="AN260" s="510"/>
    </row>
    <row r="261" spans="1:40" ht="15.75" customHeight="1">
      <c r="A261" s="523" t="s">
        <v>382</v>
      </c>
      <c r="B261" s="510" t="s">
        <v>99</v>
      </c>
      <c r="C261" s="602" t="s">
        <v>45</v>
      </c>
      <c r="D261" s="584"/>
      <c r="E261" s="510"/>
      <c r="F261" s="526">
        <f>+INDEX('[5]Budget original'!$A$2:$AO$501,MATCH($A261,'[5]Budget original'!$A$2:$A$501,0),MATCH(F$2,'[5]Budget original'!$A$2:$AO$2,0))</f>
        <v>596.62482465384608</v>
      </c>
      <c r="G261" s="585"/>
      <c r="H261" s="510"/>
      <c r="I261" s="526"/>
      <c r="J261" s="531"/>
      <c r="K261" s="510"/>
      <c r="L261" s="534">
        <f>SUMIFS([5]BV_Data_An_Cour!$O:$O,[5]BV_Data_An_Cour!$U:$U,$B261,[5]BV_Data_An_Cour!$V:$V,$C261,[5]BV_Data_An_Cour!$W:$W,$L$2)</f>
        <v>398.46</v>
      </c>
      <c r="M261" s="531"/>
      <c r="N261" s="557">
        <f t="shared" si="50"/>
        <v>-198.1648246538461</v>
      </c>
      <c r="O261" s="531"/>
      <c r="P261" s="510"/>
      <c r="Q261" s="534">
        <f t="array" ref="Q261">+INDEX('[5]Réel 2023'!$A$2:$AO$501,MATCH($A261,'[5]Réel 2023'!$A$2:$A$501,0),MATCH(Q$2,'[5]Réel 2023'!$A$2:$AO$2,0))</f>
        <v>506.89</v>
      </c>
      <c r="R261" s="531"/>
      <c r="S261" s="557">
        <f t="shared" si="51"/>
        <v>-108.43</v>
      </c>
      <c r="T261" s="510"/>
      <c r="U261" s="510"/>
      <c r="V261" s="510"/>
      <c r="W261" s="510"/>
      <c r="X261" s="510"/>
      <c r="Y261" s="510"/>
      <c r="Z261" s="510"/>
      <c r="AA261" s="510"/>
      <c r="AB261" s="510"/>
      <c r="AC261" s="510"/>
      <c r="AD261" s="510"/>
      <c r="AE261" s="510"/>
      <c r="AF261" s="510"/>
      <c r="AG261" s="510"/>
      <c r="AH261" s="510"/>
      <c r="AI261" s="510"/>
      <c r="AJ261" s="510"/>
      <c r="AK261" s="510"/>
      <c r="AL261" s="510"/>
      <c r="AM261" s="510"/>
      <c r="AN261" s="510"/>
    </row>
    <row r="262" spans="1:40" ht="15.75" customHeight="1">
      <c r="A262" s="523" t="s">
        <v>383</v>
      </c>
      <c r="B262" s="510" t="s">
        <v>99</v>
      </c>
      <c r="C262" s="600" t="s">
        <v>46</v>
      </c>
      <c r="D262" s="603"/>
      <c r="E262" s="604"/>
      <c r="F262" s="532">
        <f>+INDEX('[5]Budget original'!$A$2:$AO$501,MATCH($A262,'[5]Budget original'!$A$2:$A$501,0),MATCH(F$2,'[5]Budget original'!$A$2:$AO$2,0))</f>
        <v>725.41168107692306</v>
      </c>
      <c r="G262" s="605"/>
      <c r="H262" s="604"/>
      <c r="I262" s="532"/>
      <c r="J262" s="518"/>
      <c r="K262" s="604"/>
      <c r="L262" s="553">
        <f>SUMIFS([5]BV_Data_An_Cour!$O:$O,[5]BV_Data_An_Cour!$U:$U,$B262,[5]BV_Data_An_Cour!$V:$V,$C262,[5]BV_Data_An_Cour!$W:$W,$L$2)</f>
        <v>1174.77</v>
      </c>
      <c r="M262" s="518"/>
      <c r="N262" s="606">
        <f t="shared" si="50"/>
        <v>449.35831892307692</v>
      </c>
      <c r="O262" s="518"/>
      <c r="P262" s="604"/>
      <c r="Q262" s="553">
        <f t="array" ref="Q262">+INDEX('[5]Réel 2023'!$A$2:$AO$501,MATCH($A262,'[5]Réel 2023'!$A$2:$A$501,0),MATCH(Q$2,'[5]Réel 2023'!$A$2:$AO$2,0))</f>
        <v>1262.6099999999999</v>
      </c>
      <c r="R262" s="518"/>
      <c r="S262" s="606">
        <f t="shared" si="51"/>
        <v>-87.839999999999918</v>
      </c>
      <c r="T262" s="510"/>
      <c r="U262" s="510"/>
      <c r="V262" s="510"/>
      <c r="W262" s="510"/>
      <c r="X262" s="510"/>
      <c r="Y262" s="510"/>
      <c r="Z262" s="510"/>
      <c r="AA262" s="510"/>
      <c r="AB262" s="510"/>
      <c r="AC262" s="510"/>
      <c r="AD262" s="510"/>
      <c r="AE262" s="510"/>
      <c r="AF262" s="510"/>
      <c r="AG262" s="510"/>
      <c r="AH262" s="510"/>
      <c r="AI262" s="510"/>
      <c r="AJ262" s="510"/>
      <c r="AK262" s="510"/>
      <c r="AL262" s="510"/>
      <c r="AM262" s="510"/>
      <c r="AN262" s="510"/>
    </row>
    <row r="263" spans="1:40" ht="15.75" customHeight="1">
      <c r="A263" s="523" t="s">
        <v>384</v>
      </c>
      <c r="B263" s="510" t="s">
        <v>99</v>
      </c>
      <c r="C263" s="600" t="s">
        <v>47</v>
      </c>
      <c r="D263" s="584"/>
      <c r="E263" s="510"/>
      <c r="F263" s="532">
        <f>+INDEX('[5]Budget original'!$A$2:$AO$501,MATCH($A263,'[5]Budget original'!$A$2:$A$501,0),MATCH(F$2,'[5]Budget original'!$A$2:$AO$2,0))</f>
        <v>373.74471394615375</v>
      </c>
      <c r="G263" s="585"/>
      <c r="H263" s="510"/>
      <c r="I263" s="532"/>
      <c r="J263" s="531"/>
      <c r="K263" s="510"/>
      <c r="L263" s="534">
        <f>SUMIFS([5]BV_Data_An_Cour!$O:$O,[5]BV_Data_An_Cour!$U:$U,$B263,[5]BV_Data_An_Cour!$V:$V,$C263,[5]BV_Data_An_Cour!$W:$W,$L$2)</f>
        <v>284.64999999999998</v>
      </c>
      <c r="M263" s="531"/>
      <c r="N263" s="557">
        <f t="shared" si="50"/>
        <v>-89.094713946153774</v>
      </c>
      <c r="O263" s="531"/>
      <c r="P263" s="510"/>
      <c r="Q263" s="534">
        <f t="array" ref="Q263">+INDEX('[5]Réel 2023'!$A$2:$AO$501,MATCH($A263,'[5]Réel 2023'!$A$2:$A$501,0),MATCH(Q$2,'[5]Réel 2023'!$A$2:$AO$2,0))</f>
        <v>174.49</v>
      </c>
      <c r="R263" s="531"/>
      <c r="S263" s="557">
        <f t="shared" si="51"/>
        <v>110.15999999999997</v>
      </c>
      <c r="T263" s="510"/>
      <c r="U263" s="510"/>
      <c r="V263" s="510"/>
      <c r="W263" s="510"/>
      <c r="X263" s="510"/>
      <c r="Y263" s="510"/>
      <c r="Z263" s="510"/>
      <c r="AA263" s="510"/>
      <c r="AB263" s="510"/>
      <c r="AC263" s="510"/>
      <c r="AD263" s="510"/>
      <c r="AE263" s="510"/>
      <c r="AF263" s="510"/>
      <c r="AG263" s="510"/>
      <c r="AH263" s="510"/>
      <c r="AI263" s="510"/>
      <c r="AJ263" s="510"/>
      <c r="AK263" s="510"/>
      <c r="AL263" s="510"/>
      <c r="AM263" s="510"/>
      <c r="AN263" s="510"/>
    </row>
    <row r="264" spans="1:40" ht="15.75" customHeight="1">
      <c r="A264" s="523" t="s">
        <v>385</v>
      </c>
      <c r="B264" s="510" t="s">
        <v>99</v>
      </c>
      <c r="C264" s="600" t="s">
        <v>48</v>
      </c>
      <c r="D264" s="584"/>
      <c r="E264" s="510"/>
      <c r="F264" s="532">
        <f>+INDEX('[5]Budget original'!$A$2:$AO$501,MATCH($A264,'[5]Budget original'!$A$2:$A$501,0),MATCH(F$2,'[5]Budget original'!$A$2:$AO$2,0))</f>
        <v>162.95479792307691</v>
      </c>
      <c r="G264" s="585"/>
      <c r="H264" s="510"/>
      <c r="I264" s="532"/>
      <c r="J264" s="531"/>
      <c r="K264" s="510"/>
      <c r="L264" s="534">
        <f>SUMIFS([5]BV_Data_An_Cour!$O:$O,[5]BV_Data_An_Cour!$U:$U,$B264,[5]BV_Data_An_Cour!$V:$V,$C264,[5]BV_Data_An_Cour!$W:$W,$L$2)</f>
        <v>104.48</v>
      </c>
      <c r="M264" s="531"/>
      <c r="N264" s="557">
        <f t="shared" si="50"/>
        <v>-58.474797923076906</v>
      </c>
      <c r="O264" s="531"/>
      <c r="P264" s="510"/>
      <c r="Q264" s="534">
        <f t="array" ref="Q264">+INDEX('[5]Réel 2023'!$A$2:$AO$501,MATCH($A264,'[5]Réel 2023'!$A$2:$A$501,0),MATCH(Q$2,'[5]Réel 2023'!$A$2:$AO$2,0))</f>
        <v>119.83</v>
      </c>
      <c r="R264" s="531"/>
      <c r="S264" s="557">
        <f t="shared" si="51"/>
        <v>-15.349999999999994</v>
      </c>
      <c r="T264" s="510"/>
      <c r="U264" s="510"/>
      <c r="V264" s="510"/>
      <c r="W264" s="510"/>
      <c r="X264" s="510"/>
      <c r="Y264" s="510"/>
      <c r="Z264" s="510"/>
      <c r="AA264" s="510"/>
      <c r="AB264" s="510"/>
      <c r="AC264" s="510"/>
      <c r="AD264" s="510"/>
      <c r="AE264" s="510"/>
      <c r="AF264" s="510"/>
      <c r="AG264" s="510"/>
      <c r="AH264" s="510"/>
      <c r="AI264" s="510"/>
      <c r="AJ264" s="510"/>
      <c r="AK264" s="510"/>
      <c r="AL264" s="510"/>
      <c r="AM264" s="510"/>
      <c r="AN264" s="510"/>
    </row>
    <row r="265" spans="1:40" ht="15.75" hidden="1" customHeight="1">
      <c r="A265" s="523" t="s">
        <v>381</v>
      </c>
      <c r="B265" s="510" t="s">
        <v>99</v>
      </c>
      <c r="C265" s="531" t="s">
        <v>20</v>
      </c>
      <c r="D265" s="587"/>
      <c r="E265" s="607"/>
      <c r="F265" s="532">
        <f>+INDEX('[5]Budget original'!$A$2:$AO$501,MATCH($A265,'[5]Budget original'!$A$2:$A$501,0),MATCH(F$2,'[5]Budget original'!$A$2:$AO$2,0))</f>
        <v>0</v>
      </c>
      <c r="G265" s="588"/>
      <c r="H265" s="607"/>
      <c r="I265" s="532"/>
      <c r="J265" s="524"/>
      <c r="K265" s="607"/>
      <c r="L265" s="534">
        <f>SUMIFS([5]BV_Data_An_Cour!$O:$O,[5]BV_Data_An_Cour!$U:$U,$B265,[5]BV_Data_An_Cour!$V:$V,$C265,[5]BV_Data_An_Cour!$W:$W,$L$2)</f>
        <v>0</v>
      </c>
      <c r="M265" s="524"/>
      <c r="N265" s="582">
        <f t="shared" si="50"/>
        <v>0</v>
      </c>
      <c r="O265" s="524"/>
      <c r="P265" s="607"/>
      <c r="Q265" s="534">
        <f t="array" ref="Q265">+INDEX('[5]Réel 2023'!$A$2:$AO$501,MATCH($A265,'[5]Réel 2023'!$A$2:$A$501,0),MATCH(Q$2,'[5]Réel 2023'!$A$2:$AO$2,0))</f>
        <v>0</v>
      </c>
      <c r="R265" s="524"/>
      <c r="S265" s="582">
        <f t="shared" si="51"/>
        <v>0</v>
      </c>
      <c r="T265" s="510"/>
      <c r="U265" s="510"/>
      <c r="V265" s="510"/>
      <c r="W265" s="510"/>
      <c r="X265" s="510"/>
      <c r="Y265" s="510"/>
      <c r="Z265" s="510"/>
      <c r="AA265" s="510"/>
      <c r="AB265" s="510"/>
      <c r="AC265" s="510"/>
      <c r="AD265" s="510"/>
      <c r="AE265" s="510"/>
      <c r="AF265" s="510"/>
      <c r="AG265" s="510"/>
      <c r="AH265" s="510"/>
      <c r="AI265" s="510"/>
      <c r="AJ265" s="510"/>
      <c r="AK265" s="510"/>
      <c r="AL265" s="510"/>
      <c r="AM265" s="510"/>
      <c r="AN265" s="510"/>
    </row>
    <row r="266" spans="1:40" ht="15.75" customHeight="1">
      <c r="A266" s="523" t="s">
        <v>386</v>
      </c>
      <c r="B266" s="510" t="s">
        <v>99</v>
      </c>
      <c r="C266" s="592" t="s">
        <v>49</v>
      </c>
      <c r="D266" s="593" t="s">
        <v>39</v>
      </c>
      <c r="E266" s="594">
        <f>F266/F$250</f>
        <v>0.43521596968180215</v>
      </c>
      <c r="F266" s="595">
        <f>+SUM(F254:F265)</f>
        <v>6877.3424022153831</v>
      </c>
      <c r="G266" s="596"/>
      <c r="H266" s="594"/>
      <c r="I266" s="595"/>
      <c r="J266" s="596" t="s">
        <v>39</v>
      </c>
      <c r="K266" s="594">
        <f>IF(L250=0,0,L266/L$250)</f>
        <v>1.5808440142766502</v>
      </c>
      <c r="L266" s="595">
        <f>+SUM(L254:L265)</f>
        <v>6054.6799999999985</v>
      </c>
      <c r="M266" s="650"/>
      <c r="N266" s="609">
        <f t="shared" si="50"/>
        <v>-822.66240221538465</v>
      </c>
      <c r="O266" s="596" t="s">
        <v>39</v>
      </c>
      <c r="P266" s="594">
        <f>IF(Q244=0,0,Q266/Q$244)</f>
        <v>0</v>
      </c>
      <c r="Q266" s="595">
        <f>+SUM(Q254:Q265)</f>
        <v>7158.07</v>
      </c>
      <c r="R266" s="650"/>
      <c r="S266" s="609">
        <f t="shared" si="51"/>
        <v>-1103.3900000000012</v>
      </c>
      <c r="T266" s="510"/>
      <c r="U266" s="510"/>
      <c r="V266" s="510"/>
      <c r="W266" s="510"/>
      <c r="X266" s="510"/>
      <c r="Y266" s="510"/>
      <c r="Z266" s="510"/>
      <c r="AA266" s="510"/>
      <c r="AB266" s="510"/>
      <c r="AC266" s="510"/>
      <c r="AD266" s="510"/>
      <c r="AE266" s="510"/>
      <c r="AF266" s="510"/>
      <c r="AG266" s="510"/>
      <c r="AH266" s="510"/>
      <c r="AI266" s="510"/>
      <c r="AJ266" s="510"/>
      <c r="AK266" s="510"/>
      <c r="AL266" s="510"/>
      <c r="AM266" s="510"/>
      <c r="AN266" s="510"/>
    </row>
    <row r="267" spans="1:40" ht="15.75" customHeight="1">
      <c r="A267" s="523" t="s">
        <v>387</v>
      </c>
      <c r="B267" s="510" t="s">
        <v>99</v>
      </c>
      <c r="C267" s="706" t="s">
        <v>50</v>
      </c>
      <c r="D267" s="584"/>
      <c r="E267" s="510"/>
      <c r="F267" s="532">
        <f>+INDEX('[5]Budget original'!$A$2:$AO$501,MATCH($A267,'[5]Budget original'!$A$2:$A$501,0),MATCH(F$2,'[5]Budget original'!$A$2:$AO$2,0))</f>
        <v>0</v>
      </c>
      <c r="G267" s="585"/>
      <c r="H267" s="510"/>
      <c r="I267" s="532"/>
      <c r="J267" s="531"/>
      <c r="K267" s="510"/>
      <c r="L267" s="534">
        <f>SUMIFS([5]BV_Data_An_Cour!$O:$O,[5]BV_Data_An_Cour!$U:$U,$B267,[5]BV_Data_An_Cour!$V:$V,$C267,[5]BV_Data_An_Cour!$W:$W,$L$2)</f>
        <v>43.75</v>
      </c>
      <c r="M267" s="531"/>
      <c r="N267" s="557">
        <f t="shared" si="50"/>
        <v>43.75</v>
      </c>
      <c r="O267" s="531"/>
      <c r="P267" s="510"/>
      <c r="Q267" s="557">
        <f t="array" ref="Q267">+INDEX('[5]Réel 2023'!$A$2:$AO$501,MATCH($A267,'[5]Réel 2023'!$A$2:$A$501,0),MATCH(Q$2,'[5]Réel 2023'!$A$2:$AO$2,0))</f>
        <v>140.03</v>
      </c>
      <c r="R267" s="531"/>
      <c r="S267" s="557">
        <f t="shared" si="51"/>
        <v>-96.28</v>
      </c>
      <c r="T267" s="510"/>
      <c r="U267" s="510"/>
      <c r="V267" s="510"/>
      <c r="W267" s="510"/>
      <c r="X267" s="510"/>
      <c r="Y267" s="510"/>
      <c r="Z267" s="510"/>
      <c r="AA267" s="510"/>
      <c r="AB267" s="510"/>
      <c r="AC267" s="510"/>
      <c r="AD267" s="510"/>
      <c r="AE267" s="510"/>
      <c r="AF267" s="510"/>
      <c r="AG267" s="510"/>
      <c r="AH267" s="510"/>
      <c r="AI267" s="510"/>
      <c r="AJ267" s="510"/>
      <c r="AK267" s="510"/>
      <c r="AL267" s="510"/>
      <c r="AM267" s="510"/>
      <c r="AN267" s="510"/>
    </row>
    <row r="268" spans="1:40" ht="15.75" customHeight="1">
      <c r="A268" s="523" t="s">
        <v>388</v>
      </c>
      <c r="B268" s="510" t="s">
        <v>99</v>
      </c>
      <c r="C268" s="600" t="s">
        <v>51</v>
      </c>
      <c r="D268" s="584"/>
      <c r="E268" s="510"/>
      <c r="F268" s="532">
        <f>+INDEX('[5]Budget original'!$A$2:$AO$501,MATCH($A268,'[5]Budget original'!$A$2:$A$501,0),MATCH(F$2,'[5]Budget original'!$A$2:$AO$2,0))</f>
        <v>593.90656258991453</v>
      </c>
      <c r="G268" s="585"/>
      <c r="H268" s="510"/>
      <c r="I268" s="532"/>
      <c r="J268" s="531"/>
      <c r="K268" s="510"/>
      <c r="L268" s="534">
        <f>SUMIFS([5]BV_Data_An_Cour!$O:$O,[5]BV_Data_An_Cour!$U:$U,$B268,[5]BV_Data_An_Cour!$V:$V,$C268,[5]BV_Data_An_Cour!$W:$W,$L$2)</f>
        <v>2509.87</v>
      </c>
      <c r="M268" s="531"/>
      <c r="N268" s="557">
        <f t="shared" si="50"/>
        <v>1915.9634374100854</v>
      </c>
      <c r="O268" s="531"/>
      <c r="P268" s="510"/>
      <c r="Q268" s="557">
        <f t="array" ref="Q268">+INDEX('[5]Réel 2023'!$A$2:$AO$501,MATCH($A268,'[5]Réel 2023'!$A$2:$A$501,0),MATCH(Q$2,'[5]Réel 2023'!$A$2:$AO$2,0))</f>
        <v>3817.34</v>
      </c>
      <c r="R268" s="531"/>
      <c r="S268" s="557">
        <f t="shared" si="51"/>
        <v>-1307.4700000000003</v>
      </c>
      <c r="T268" s="510"/>
      <c r="U268" s="523"/>
      <c r="V268" s="510"/>
      <c r="W268" s="510"/>
      <c r="X268" s="510"/>
      <c r="Y268" s="510"/>
      <c r="Z268" s="510"/>
      <c r="AA268" s="510"/>
      <c r="AB268" s="510"/>
      <c r="AC268" s="510"/>
      <c r="AD268" s="510"/>
      <c r="AE268" s="510"/>
      <c r="AF268" s="510"/>
      <c r="AG268" s="510"/>
      <c r="AH268" s="510"/>
      <c r="AI268" s="510"/>
      <c r="AJ268" s="510"/>
      <c r="AK268" s="510"/>
      <c r="AL268" s="510"/>
      <c r="AM268" s="510"/>
      <c r="AN268" s="510"/>
    </row>
    <row r="269" spans="1:40" ht="15.75" customHeight="1">
      <c r="A269" s="523" t="s">
        <v>389</v>
      </c>
      <c r="B269" s="510" t="s">
        <v>99</v>
      </c>
      <c r="C269" s="602" t="s">
        <v>52</v>
      </c>
      <c r="D269" s="587"/>
      <c r="E269" s="607"/>
      <c r="F269" s="526">
        <f>+INDEX('[5]Budget original'!$A$2:$AO$501,MATCH($A269,'[5]Budget original'!$A$2:$A$501,0),MATCH(F$2,'[5]Budget original'!$A$2:$AO$2,0))</f>
        <v>0</v>
      </c>
      <c r="G269" s="588"/>
      <c r="H269" s="607"/>
      <c r="I269" s="526"/>
      <c r="J269" s="524"/>
      <c r="K269" s="607"/>
      <c r="L269" s="534">
        <f>SUMIFS([5]BV_Data_An_Cour!$O:$O,[5]BV_Data_An_Cour!$U:$U,$B269,[5]BV_Data_An_Cour!$V:$V,$C269,[5]BV_Data_An_Cour!$W:$W,$L$2)</f>
        <v>157.77000000000001</v>
      </c>
      <c r="M269" s="524"/>
      <c r="N269" s="582">
        <f t="shared" si="50"/>
        <v>157.77000000000001</v>
      </c>
      <c r="O269" s="524"/>
      <c r="P269" s="607"/>
      <c r="Q269" s="582">
        <f t="array" ref="Q269">+INDEX('[5]Réel 2023'!$A$2:$AO$501,MATCH($A269,'[5]Réel 2023'!$A$2:$A$501,0),MATCH(Q$2,'[5]Réel 2023'!$A$2:$AO$2,0))</f>
        <v>1816.75</v>
      </c>
      <c r="R269" s="524"/>
      <c r="S269" s="582">
        <f t="shared" si="51"/>
        <v>-1658.98</v>
      </c>
      <c r="T269" s="510"/>
      <c r="U269" s="510" t="s">
        <v>1</v>
      </c>
      <c r="V269" s="510"/>
      <c r="W269" s="510"/>
      <c r="X269" s="510"/>
      <c r="Y269" s="510"/>
      <c r="Z269" s="510"/>
      <c r="AA269" s="510"/>
      <c r="AB269" s="510"/>
      <c r="AC269" s="510"/>
      <c r="AD269" s="510"/>
      <c r="AE269" s="510"/>
      <c r="AF269" s="510"/>
      <c r="AG269" s="510"/>
      <c r="AH269" s="510"/>
      <c r="AI269" s="510"/>
      <c r="AJ269" s="510"/>
      <c r="AK269" s="510"/>
      <c r="AL269" s="510"/>
      <c r="AM269" s="510"/>
      <c r="AN269" s="510"/>
    </row>
    <row r="270" spans="1:40" ht="15.75" customHeight="1">
      <c r="A270" s="523" t="s">
        <v>390</v>
      </c>
      <c r="B270" s="510" t="s">
        <v>99</v>
      </c>
      <c r="C270" s="600" t="s">
        <v>53</v>
      </c>
      <c r="D270" s="584"/>
      <c r="E270" s="510"/>
      <c r="F270" s="532">
        <f>+INDEX('[5]Budget original'!$A$2:$AO$501,MATCH($A270,'[5]Budget original'!$A$2:$A$501,0),MATCH(F$2,'[5]Budget original'!$A$2:$AO$2,0))</f>
        <v>1434.1339301111113</v>
      </c>
      <c r="G270" s="585"/>
      <c r="H270" s="510"/>
      <c r="I270" s="532"/>
      <c r="J270" s="531"/>
      <c r="K270" s="510"/>
      <c r="L270" s="553">
        <f>SUMIFS([5]BV_Data_An_Cour!$O:$O,[5]BV_Data_An_Cour!$U:$U,$B270,[5]BV_Data_An_Cour!$V:$V,$C270,[5]BV_Data_An_Cour!$W:$W,$L$2)</f>
        <v>1640.35</v>
      </c>
      <c r="M270" s="531"/>
      <c r="N270" s="557">
        <f t="shared" si="50"/>
        <v>206.21606988888857</v>
      </c>
      <c r="O270" s="531"/>
      <c r="P270" s="510"/>
      <c r="Q270" s="557">
        <f t="array" ref="Q270">+INDEX('[5]Réel 2023'!$A$2:$AO$501,MATCH($A270,'[5]Réel 2023'!$A$2:$A$501,0),MATCH(Q$2,'[5]Réel 2023'!$A$2:$AO$2,0))</f>
        <v>1460.27</v>
      </c>
      <c r="R270" s="531"/>
      <c r="S270" s="557">
        <f t="shared" si="51"/>
        <v>180.07999999999993</v>
      </c>
      <c r="T270" s="510"/>
      <c r="U270" s="510"/>
      <c r="V270" s="510"/>
      <c r="W270" s="510"/>
      <c r="X270" s="510"/>
      <c r="Y270" s="510"/>
      <c r="Z270" s="510"/>
      <c r="AA270" s="510"/>
      <c r="AB270" s="510"/>
      <c r="AC270" s="510"/>
      <c r="AD270" s="510"/>
      <c r="AE270" s="510"/>
      <c r="AF270" s="510"/>
      <c r="AG270" s="510"/>
      <c r="AH270" s="510"/>
      <c r="AI270" s="510"/>
      <c r="AJ270" s="510"/>
      <c r="AK270" s="510"/>
      <c r="AL270" s="510"/>
      <c r="AM270" s="510"/>
      <c r="AN270" s="510"/>
    </row>
    <row r="271" spans="1:40" ht="15.75" customHeight="1">
      <c r="A271" s="523" t="s">
        <v>391</v>
      </c>
      <c r="B271" s="510" t="s">
        <v>99</v>
      </c>
      <c r="C271" s="600" t="s">
        <v>54</v>
      </c>
      <c r="D271" s="584"/>
      <c r="E271" s="510"/>
      <c r="F271" s="532">
        <f>+INDEX('[5]Budget original'!$A$2:$AO$501,MATCH($A271,'[5]Budget original'!$A$2:$A$501,0),MATCH(F$2,'[5]Budget original'!$A$2:$AO$2,0))</f>
        <v>178.43173052524097</v>
      </c>
      <c r="G271" s="585"/>
      <c r="H271" s="510"/>
      <c r="I271" s="532"/>
      <c r="J271" s="531"/>
      <c r="K271" s="510"/>
      <c r="L271" s="534">
        <f>SUMIFS([5]BV_Data_An_Cour!$O:$O,[5]BV_Data_An_Cour!$U:$U,$B271,[5]BV_Data_An_Cour!$V:$V,$C271,[5]BV_Data_An_Cour!$W:$W,$L$2)</f>
        <v>290.95999999999998</v>
      </c>
      <c r="M271" s="531"/>
      <c r="N271" s="557">
        <f t="shared" si="50"/>
        <v>112.52826947475901</v>
      </c>
      <c r="O271" s="531"/>
      <c r="P271" s="510"/>
      <c r="Q271" s="557">
        <f t="array" ref="Q271">+INDEX('[5]Réel 2023'!$A$2:$AO$501,MATCH($A271,'[5]Réel 2023'!$A$2:$A$501,0),MATCH(Q$2,'[5]Réel 2023'!$A$2:$AO$2,0))</f>
        <v>329.67</v>
      </c>
      <c r="R271" s="531"/>
      <c r="S271" s="557">
        <f t="shared" si="51"/>
        <v>-38.710000000000036</v>
      </c>
      <c r="T271" s="510"/>
      <c r="U271" s="510"/>
      <c r="V271" s="510"/>
      <c r="W271" s="510"/>
      <c r="X271" s="510"/>
      <c r="Y271" s="510"/>
      <c r="Z271" s="510"/>
      <c r="AA271" s="510"/>
      <c r="AB271" s="510"/>
      <c r="AC271" s="510"/>
      <c r="AD271" s="510"/>
      <c r="AE271" s="510"/>
      <c r="AF271" s="510"/>
      <c r="AG271" s="510"/>
      <c r="AH271" s="510"/>
      <c r="AI271" s="510"/>
      <c r="AJ271" s="510"/>
      <c r="AK271" s="510"/>
      <c r="AL271" s="510"/>
      <c r="AM271" s="510"/>
      <c r="AN271" s="510"/>
    </row>
    <row r="272" spans="1:40" ht="15.75" customHeight="1">
      <c r="A272" s="523" t="s">
        <v>392</v>
      </c>
      <c r="B272" s="510" t="s">
        <v>99</v>
      </c>
      <c r="C272" s="600" t="s">
        <v>55</v>
      </c>
      <c r="D272" s="587"/>
      <c r="E272" s="607"/>
      <c r="F272" s="526">
        <f>+INDEX('[5]Budget original'!$A$2:$AO$501,MATCH($A272,'[5]Budget original'!$A$2:$A$501,0),MATCH(F$2,'[5]Budget original'!$A$2:$AO$2,0))</f>
        <v>676.55120298287022</v>
      </c>
      <c r="G272" s="588"/>
      <c r="H272" s="607"/>
      <c r="I272" s="526"/>
      <c r="J272" s="524"/>
      <c r="K272" s="607"/>
      <c r="L272" s="534">
        <f>SUMIFS([5]BV_Data_An_Cour!$O:$O,[5]BV_Data_An_Cour!$U:$U,$B272,[5]BV_Data_An_Cour!$V:$V,$C272,[5]BV_Data_An_Cour!$W:$W,$L$2)</f>
        <v>964.68</v>
      </c>
      <c r="M272" s="524"/>
      <c r="N272" s="582">
        <f t="shared" si="50"/>
        <v>288.12879701712973</v>
      </c>
      <c r="O272" s="524"/>
      <c r="P272" s="607"/>
      <c r="Q272" s="582">
        <f t="array" ref="Q272">+INDEX('[5]Réel 2023'!$A$2:$AO$501,MATCH($A272,'[5]Réel 2023'!$A$2:$A$501,0),MATCH(Q$2,'[5]Réel 2023'!$A$2:$AO$2,0))</f>
        <v>900.65</v>
      </c>
      <c r="R272" s="524"/>
      <c r="S272" s="582">
        <f t="shared" si="51"/>
        <v>64.029999999999973</v>
      </c>
      <c r="T272" s="510"/>
      <c r="U272" s="510"/>
      <c r="V272" s="510"/>
      <c r="W272" s="510"/>
      <c r="X272" s="510"/>
      <c r="Y272" s="510"/>
      <c r="Z272" s="510"/>
      <c r="AA272" s="510"/>
      <c r="AB272" s="510"/>
      <c r="AC272" s="510"/>
      <c r="AD272" s="510"/>
      <c r="AE272" s="510"/>
      <c r="AF272" s="510"/>
      <c r="AG272" s="510"/>
      <c r="AH272" s="510"/>
      <c r="AI272" s="510"/>
      <c r="AJ272" s="510"/>
      <c r="AK272" s="510"/>
      <c r="AL272" s="510"/>
      <c r="AM272" s="510"/>
      <c r="AN272" s="510"/>
    </row>
    <row r="273" spans="1:40" ht="15.75" customHeight="1">
      <c r="A273" s="523" t="s">
        <v>393</v>
      </c>
      <c r="B273" s="510" t="s">
        <v>99</v>
      </c>
      <c r="C273" s="706" t="s">
        <v>98</v>
      </c>
      <c r="D273" s="584"/>
      <c r="E273" s="510"/>
      <c r="F273" s="532"/>
      <c r="G273" s="585"/>
      <c r="H273" s="510"/>
      <c r="I273" s="532"/>
      <c r="J273" s="531"/>
      <c r="K273" s="510"/>
      <c r="L273" s="553">
        <f>SUMIFS([5]BV_Data_An_Cour!$O:$O,[5]BV_Data_An_Cour!$U:$U,$B273,[5]BV_Data_An_Cour!$V:$V,$C273,[5]BV_Data_An_Cour!$W:$W,$L$2)</f>
        <v>0</v>
      </c>
      <c r="M273" s="531"/>
      <c r="N273" s="557">
        <f t="shared" si="50"/>
        <v>0</v>
      </c>
      <c r="O273" s="531"/>
      <c r="P273" s="510"/>
      <c r="Q273" s="557">
        <f t="array" ref="Q273">+INDEX('[5]Réel 2023'!$A$2:$AO$501,MATCH($A273,'[5]Réel 2023'!$A$2:$A$501,0),MATCH(Q$2,'[5]Réel 2023'!$A$2:$AO$2,0))</f>
        <v>0</v>
      </c>
      <c r="R273" s="531"/>
      <c r="S273" s="557">
        <f t="shared" si="51"/>
        <v>0</v>
      </c>
      <c r="T273" s="510"/>
      <c r="U273" s="510"/>
      <c r="V273" s="510"/>
      <c r="W273" s="510"/>
      <c r="X273" s="510"/>
      <c r="Y273" s="510"/>
      <c r="Z273" s="510"/>
      <c r="AA273" s="510"/>
      <c r="AB273" s="510"/>
      <c r="AC273" s="510"/>
      <c r="AD273" s="510"/>
      <c r="AE273" s="510"/>
      <c r="AF273" s="510"/>
      <c r="AG273" s="510"/>
      <c r="AH273" s="510"/>
      <c r="AI273" s="510"/>
      <c r="AJ273" s="510"/>
      <c r="AK273" s="510"/>
      <c r="AL273" s="510"/>
      <c r="AM273" s="510"/>
      <c r="AN273" s="510"/>
    </row>
    <row r="274" spans="1:40" ht="15.75" customHeight="1">
      <c r="A274" s="523" t="s">
        <v>394</v>
      </c>
      <c r="B274" s="510" t="s">
        <v>99</v>
      </c>
      <c r="C274" s="600" t="s">
        <v>56</v>
      </c>
      <c r="D274" s="584"/>
      <c r="E274" s="510"/>
      <c r="F274" s="532">
        <f>+INDEX('[5]Budget original'!$A$2:$AO$501,MATCH($A274,'[5]Budget original'!$A$2:$A$501,0),MATCH(F$2,'[5]Budget original'!$A$2:$AO$2,0))</f>
        <v>125</v>
      </c>
      <c r="G274" s="585"/>
      <c r="H274" s="510"/>
      <c r="I274" s="532"/>
      <c r="J274" s="531"/>
      <c r="K274" s="510"/>
      <c r="L274" s="534">
        <f>SUMIFS([5]BV_Data_An_Cour!$O:$O,[5]BV_Data_An_Cour!$U:$U,$B274,[5]BV_Data_An_Cour!$V:$V,$C274,[5]BV_Data_An_Cour!$W:$W,$L$2)</f>
        <v>0</v>
      </c>
      <c r="M274" s="531"/>
      <c r="N274" s="557">
        <f t="shared" si="50"/>
        <v>-125</v>
      </c>
      <c r="O274" s="531"/>
      <c r="P274" s="510"/>
      <c r="Q274" s="557">
        <f t="array" ref="Q274">+INDEX('[5]Réel 2023'!$A$2:$AO$501,MATCH($A274,'[5]Réel 2023'!$A$2:$A$501,0),MATCH(Q$2,'[5]Réel 2023'!$A$2:$AO$2,0))</f>
        <v>155.99</v>
      </c>
      <c r="R274" s="531"/>
      <c r="S274" s="557">
        <f t="shared" si="51"/>
        <v>-155.99</v>
      </c>
      <c r="T274" s="510"/>
      <c r="U274" s="510"/>
      <c r="V274" s="510"/>
      <c r="W274" s="510"/>
      <c r="X274" s="510"/>
      <c r="Y274" s="510"/>
      <c r="Z274" s="510"/>
      <c r="AA274" s="510"/>
      <c r="AB274" s="510"/>
      <c r="AC274" s="510"/>
      <c r="AD274" s="510"/>
      <c r="AE274" s="510"/>
      <c r="AF274" s="510"/>
      <c r="AG274" s="510"/>
      <c r="AH274" s="510"/>
      <c r="AI274" s="510"/>
      <c r="AJ274" s="510"/>
      <c r="AK274" s="510"/>
      <c r="AL274" s="510"/>
      <c r="AM274" s="510"/>
      <c r="AN274" s="510"/>
    </row>
    <row r="275" spans="1:40" ht="15.75" customHeight="1">
      <c r="A275" s="523" t="s">
        <v>395</v>
      </c>
      <c r="B275" s="510" t="s">
        <v>99</v>
      </c>
      <c r="C275" s="600" t="s">
        <v>57</v>
      </c>
      <c r="D275" s="584"/>
      <c r="E275" s="510"/>
      <c r="F275" s="532">
        <f>+INDEX('[5]Budget original'!$A$2:$AO$501,MATCH($A275,'[5]Budget original'!$A$2:$A$501,0),MATCH(F$2,'[5]Budget original'!$A$2:$AO$2,0))</f>
        <v>83.333333333333329</v>
      </c>
      <c r="G275" s="585"/>
      <c r="H275" s="510"/>
      <c r="I275" s="532"/>
      <c r="J275" s="531"/>
      <c r="K275" s="510"/>
      <c r="L275" s="534">
        <f>SUMIFS([5]BV_Data_An_Cour!$O:$O,[5]BV_Data_An_Cour!$U:$U,$B275,[5]BV_Data_An_Cour!$V:$V,$C275,[5]BV_Data_An_Cour!$W:$W,$L$2)</f>
        <v>0</v>
      </c>
      <c r="M275" s="531"/>
      <c r="N275" s="557">
        <f t="shared" si="50"/>
        <v>-83.333333333333329</v>
      </c>
      <c r="O275" s="531"/>
      <c r="P275" s="510"/>
      <c r="Q275" s="557">
        <f t="array" ref="Q275">+INDEX('[5]Réel 2023'!$A$2:$AO$501,MATCH($A275,'[5]Réel 2023'!$A$2:$A$501,0),MATCH(Q$2,'[5]Réel 2023'!$A$2:$AO$2,0))</f>
        <v>0</v>
      </c>
      <c r="R275" s="531"/>
      <c r="S275" s="557">
        <f t="shared" si="51"/>
        <v>0</v>
      </c>
      <c r="T275" s="510"/>
      <c r="U275" s="510"/>
      <c r="V275" s="510"/>
      <c r="W275" s="510"/>
      <c r="X275" s="510"/>
      <c r="Y275" s="510"/>
      <c r="Z275" s="510"/>
      <c r="AA275" s="510"/>
      <c r="AB275" s="510"/>
      <c r="AC275" s="510"/>
      <c r="AD275" s="510"/>
      <c r="AE275" s="510"/>
      <c r="AF275" s="510"/>
      <c r="AG275" s="510"/>
      <c r="AH275" s="510"/>
      <c r="AI275" s="510"/>
      <c r="AJ275" s="510"/>
      <c r="AK275" s="510"/>
      <c r="AL275" s="510"/>
      <c r="AM275" s="510"/>
      <c r="AN275" s="510"/>
    </row>
    <row r="276" spans="1:40" ht="15.75" customHeight="1">
      <c r="A276" s="523" t="s">
        <v>396</v>
      </c>
      <c r="B276" s="510" t="s">
        <v>99</v>
      </c>
      <c r="C276" s="600" t="s">
        <v>58</v>
      </c>
      <c r="D276" s="584"/>
      <c r="E276" s="510"/>
      <c r="F276" s="532">
        <f>+INDEX('[5]Budget original'!$A$2:$AO$501,MATCH($A276,'[5]Budget original'!$A$2:$A$501,0),MATCH(F$2,'[5]Budget original'!$A$2:$AO$2,0))</f>
        <v>157.558520743</v>
      </c>
      <c r="G276" s="585"/>
      <c r="H276" s="510"/>
      <c r="I276" s="532"/>
      <c r="J276" s="531"/>
      <c r="K276" s="510"/>
      <c r="L276" s="534">
        <f>SUMIFS([5]BV_Data_An_Cour!$O:$O,[5]BV_Data_An_Cour!$U:$U,$B276,[5]BV_Data_An_Cour!$V:$V,$C276,[5]BV_Data_An_Cour!$W:$W,$L$2)</f>
        <v>82.59</v>
      </c>
      <c r="M276" s="531"/>
      <c r="N276" s="557">
        <f t="shared" si="50"/>
        <v>-74.968520742999999</v>
      </c>
      <c r="O276" s="531"/>
      <c r="P276" s="510"/>
      <c r="Q276" s="557">
        <f t="array" ref="Q276">+INDEX('[5]Réel 2023'!$A$2:$AO$501,MATCH($A276,'[5]Réel 2023'!$A$2:$A$501,0),MATCH(Q$2,'[5]Réel 2023'!$A$2:$AO$2,0))</f>
        <v>50.07</v>
      </c>
      <c r="R276" s="531"/>
      <c r="S276" s="557">
        <f t="shared" si="51"/>
        <v>32.520000000000003</v>
      </c>
      <c r="T276" s="510"/>
      <c r="U276" s="510"/>
      <c r="V276" s="510"/>
      <c r="W276" s="510"/>
      <c r="X276" s="510"/>
      <c r="Y276" s="510"/>
      <c r="Z276" s="510"/>
      <c r="AA276" s="510"/>
      <c r="AB276" s="510"/>
      <c r="AC276" s="510"/>
      <c r="AD276" s="510"/>
      <c r="AE276" s="510"/>
      <c r="AF276" s="510"/>
      <c r="AG276" s="510"/>
      <c r="AH276" s="510"/>
      <c r="AI276" s="510"/>
      <c r="AJ276" s="510"/>
      <c r="AK276" s="510"/>
      <c r="AL276" s="510"/>
      <c r="AM276" s="510"/>
      <c r="AN276" s="510"/>
    </row>
    <row r="277" spans="1:40" ht="15.75" customHeight="1">
      <c r="A277" s="523" t="s">
        <v>397</v>
      </c>
      <c r="B277" s="510" t="s">
        <v>99</v>
      </c>
      <c r="C277" s="600" t="s">
        <v>59</v>
      </c>
      <c r="D277" s="584"/>
      <c r="E277" s="510"/>
      <c r="F277" s="532">
        <f>+INDEX('[5]Budget original'!$A$2:$AO$501,MATCH($A277,'[5]Budget original'!$A$2:$A$501,0),MATCH(F$2,'[5]Budget original'!$A$2:$AO$2,0))</f>
        <v>36.780368605319445</v>
      </c>
      <c r="G277" s="585"/>
      <c r="H277" s="510"/>
      <c r="I277" s="532"/>
      <c r="J277" s="531"/>
      <c r="K277" s="510"/>
      <c r="L277" s="534">
        <f>SUMIFS([5]BV_Data_An_Cour!$O:$O,[5]BV_Data_An_Cour!$U:$U,$B277,[5]BV_Data_An_Cour!$V:$V,$C277,[5]BV_Data_An_Cour!$W:$W,$L$2)</f>
        <v>39.97</v>
      </c>
      <c r="M277" s="531"/>
      <c r="N277" s="557">
        <f t="shared" si="50"/>
        <v>3.1896313946805535</v>
      </c>
      <c r="O277" s="531"/>
      <c r="P277" s="510"/>
      <c r="Q277" s="557">
        <f t="array" ref="Q277">+INDEX('[5]Réel 2023'!$A$2:$AO$501,MATCH($A277,'[5]Réel 2023'!$A$2:$A$501,0),MATCH(Q$2,'[5]Réel 2023'!$A$2:$AO$2,0))</f>
        <v>28.44</v>
      </c>
      <c r="R277" s="531"/>
      <c r="S277" s="557">
        <f t="shared" si="51"/>
        <v>11.529999999999998</v>
      </c>
      <c r="T277" s="510"/>
      <c r="U277" s="510"/>
      <c r="V277" s="510"/>
      <c r="W277" s="510"/>
      <c r="X277" s="510"/>
      <c r="Y277" s="510"/>
      <c r="Z277" s="510"/>
      <c r="AA277" s="510"/>
      <c r="AB277" s="510"/>
      <c r="AC277" s="510"/>
      <c r="AD277" s="510"/>
      <c r="AE277" s="510"/>
      <c r="AF277" s="510"/>
      <c r="AG277" s="510"/>
      <c r="AH277" s="510"/>
      <c r="AI277" s="510"/>
      <c r="AJ277" s="510"/>
      <c r="AK277" s="510"/>
      <c r="AL277" s="510"/>
      <c r="AM277" s="510"/>
      <c r="AN277" s="510"/>
    </row>
    <row r="278" spans="1:40" ht="15.75" customHeight="1">
      <c r="A278" s="523" t="s">
        <v>398</v>
      </c>
      <c r="B278" s="510" t="s">
        <v>99</v>
      </c>
      <c r="C278" s="600" t="s">
        <v>60</v>
      </c>
      <c r="D278" s="584"/>
      <c r="E278" s="510"/>
      <c r="F278" s="532">
        <f>+INDEX('[5]Budget original'!$A$2:$AO$501,MATCH($A278,'[5]Budget original'!$A$2:$A$501,0),MATCH(F$2,'[5]Budget original'!$A$2:$AO$2,0))</f>
        <v>24.745731854680557</v>
      </c>
      <c r="G278" s="585"/>
      <c r="H278" s="510"/>
      <c r="I278" s="532"/>
      <c r="J278" s="531"/>
      <c r="K278" s="510"/>
      <c r="L278" s="534">
        <f>SUMIFS([5]BV_Data_An_Cour!$O:$O,[5]BV_Data_An_Cour!$U:$U,$B278,[5]BV_Data_An_Cour!$V:$V,$C278,[5]BV_Data_An_Cour!$W:$W,$L$2)</f>
        <v>7.21</v>
      </c>
      <c r="M278" s="531"/>
      <c r="N278" s="557">
        <f t="shared" si="50"/>
        <v>-17.535731854680556</v>
      </c>
      <c r="O278" s="531"/>
      <c r="P278" s="510"/>
      <c r="Q278" s="557">
        <f t="array" ref="Q278">+INDEX('[5]Réel 2023'!$A$2:$AO$501,MATCH($A278,'[5]Réel 2023'!$A$2:$A$501,0),MATCH(Q$2,'[5]Réel 2023'!$A$2:$AO$2,0))</f>
        <v>55.33</v>
      </c>
      <c r="R278" s="531"/>
      <c r="S278" s="557">
        <f t="shared" si="51"/>
        <v>-48.12</v>
      </c>
      <c r="T278" s="510"/>
      <c r="U278" s="510"/>
      <c r="V278" s="510"/>
      <c r="W278" s="510"/>
      <c r="X278" s="510"/>
      <c r="Y278" s="510"/>
      <c r="Z278" s="510"/>
      <c r="AA278" s="510"/>
      <c r="AB278" s="510"/>
      <c r="AC278" s="510"/>
      <c r="AD278" s="510"/>
      <c r="AE278" s="510"/>
      <c r="AF278" s="510"/>
      <c r="AG278" s="510"/>
      <c r="AH278" s="510"/>
      <c r="AI278" s="510"/>
      <c r="AJ278" s="510"/>
      <c r="AK278" s="510"/>
      <c r="AL278" s="510"/>
      <c r="AM278" s="510"/>
      <c r="AN278" s="510"/>
    </row>
    <row r="279" spans="1:40" ht="15.75" customHeight="1">
      <c r="A279" s="523" t="s">
        <v>399</v>
      </c>
      <c r="B279" s="510" t="s">
        <v>99</v>
      </c>
      <c r="C279" s="600" t="s">
        <v>61</v>
      </c>
      <c r="D279" s="584"/>
      <c r="E279" s="510"/>
      <c r="F279" s="532">
        <f>+INDEX('[5]Budget original'!$A$2:$AO$501,MATCH($A279,'[5]Budget original'!$A$2:$A$501,0),MATCH(F$2,'[5]Budget original'!$A$2:$AO$2,0))</f>
        <v>234.99946325143051</v>
      </c>
      <c r="G279" s="585"/>
      <c r="H279" s="510"/>
      <c r="I279" s="532"/>
      <c r="J279" s="531"/>
      <c r="K279" s="510"/>
      <c r="L279" s="534">
        <f>SUMIFS([5]BV_Data_An_Cour!$O:$O,[5]BV_Data_An_Cour!$U:$U,$B279,[5]BV_Data_An_Cour!$V:$V,$C279,[5]BV_Data_An_Cour!$W:$W,$L$2)</f>
        <v>51.31</v>
      </c>
      <c r="M279" s="531"/>
      <c r="N279" s="557">
        <f t="shared" si="50"/>
        <v>-183.68946325143051</v>
      </c>
      <c r="O279" s="531"/>
      <c r="P279" s="510"/>
      <c r="Q279" s="557">
        <f t="array" ref="Q279">+INDEX('[5]Réel 2023'!$A$2:$AO$501,MATCH($A279,'[5]Réel 2023'!$A$2:$A$501,0),MATCH(Q$2,'[5]Réel 2023'!$A$2:$AO$2,0))</f>
        <v>26.25</v>
      </c>
      <c r="R279" s="531"/>
      <c r="S279" s="557">
        <f t="shared" si="51"/>
        <v>25.060000000000002</v>
      </c>
      <c r="T279" s="510"/>
      <c r="U279" s="510"/>
      <c r="V279" s="510"/>
      <c r="W279" s="510"/>
      <c r="X279" s="510"/>
      <c r="Y279" s="510"/>
      <c r="Z279" s="510"/>
      <c r="AA279" s="510"/>
      <c r="AB279" s="510"/>
      <c r="AC279" s="510"/>
      <c r="AD279" s="510"/>
      <c r="AE279" s="510"/>
      <c r="AF279" s="510"/>
      <c r="AG279" s="510"/>
      <c r="AH279" s="510"/>
      <c r="AI279" s="510"/>
      <c r="AJ279" s="510"/>
      <c r="AK279" s="510"/>
      <c r="AL279" s="510"/>
      <c r="AM279" s="510"/>
      <c r="AN279" s="510"/>
    </row>
    <row r="280" spans="1:40" ht="15.75" customHeight="1">
      <c r="A280" s="523" t="s">
        <v>400</v>
      </c>
      <c r="B280" s="510" t="s">
        <v>99</v>
      </c>
      <c r="C280" s="600" t="s">
        <v>62</v>
      </c>
      <c r="D280" s="584"/>
      <c r="E280" s="510"/>
      <c r="F280" s="532">
        <f>+INDEX('[5]Budget original'!$A$2:$AO$501,MATCH($A280,'[5]Budget original'!$A$2:$A$501,0),MATCH(F$2,'[5]Budget original'!$A$2:$AO$2,0))</f>
        <v>434.32515231465453</v>
      </c>
      <c r="G280" s="585"/>
      <c r="H280" s="510"/>
      <c r="I280" s="532"/>
      <c r="J280" s="531"/>
      <c r="K280" s="510"/>
      <c r="L280" s="534">
        <f>SUMIFS([5]BV_Data_An_Cour!$O:$O,[5]BV_Data_An_Cour!$U:$U,$B280,[5]BV_Data_An_Cour!$V:$V,$C280,[5]BV_Data_An_Cour!$W:$W,$L$2)</f>
        <v>290.72000000000003</v>
      </c>
      <c r="M280" s="531"/>
      <c r="N280" s="557">
        <f t="shared" si="50"/>
        <v>-143.6051523146545</v>
      </c>
      <c r="O280" s="531"/>
      <c r="P280" s="510"/>
      <c r="Q280" s="557">
        <f t="array" ref="Q280">+INDEX('[5]Réel 2023'!$A$2:$AO$501,MATCH($A280,'[5]Réel 2023'!$A$2:$A$501,0),MATCH(Q$2,'[5]Réel 2023'!$A$2:$AO$2,0))</f>
        <v>18.91</v>
      </c>
      <c r="R280" s="531"/>
      <c r="S280" s="557">
        <f t="shared" si="51"/>
        <v>271.81</v>
      </c>
      <c r="T280" s="510"/>
      <c r="X280" s="510"/>
      <c r="Y280" s="510"/>
      <c r="Z280" s="510"/>
      <c r="AA280" s="510"/>
      <c r="AB280" s="510"/>
      <c r="AC280" s="510"/>
      <c r="AD280" s="510"/>
      <c r="AE280" s="510"/>
      <c r="AF280" s="510"/>
      <c r="AG280" s="510"/>
      <c r="AH280" s="510"/>
      <c r="AI280" s="510"/>
      <c r="AJ280" s="510"/>
      <c r="AK280" s="510"/>
      <c r="AL280" s="510"/>
      <c r="AM280" s="510"/>
      <c r="AN280" s="510"/>
    </row>
    <row r="281" spans="1:40" ht="15.75" customHeight="1">
      <c r="A281" s="523" t="s">
        <v>401</v>
      </c>
      <c r="B281" s="510" t="s">
        <v>99</v>
      </c>
      <c r="C281" s="600" t="s">
        <v>63</v>
      </c>
      <c r="D281" s="584"/>
      <c r="E281" s="510"/>
      <c r="F281" s="532">
        <f>+INDEX('[5]Budget original'!$A$2:$AO$501,MATCH($A281,'[5]Budget original'!$A$2:$A$501,0),MATCH(F$2,'[5]Budget original'!$A$2:$AO$2,0))</f>
        <v>205.2815388471198</v>
      </c>
      <c r="G281" s="585"/>
      <c r="H281" s="510"/>
      <c r="I281" s="532"/>
      <c r="J281" s="531"/>
      <c r="K281" s="510"/>
      <c r="L281" s="534">
        <f>SUMIFS([5]BV_Data_An_Cour!$O:$O,[5]BV_Data_An_Cour!$U:$U,$B281,[5]BV_Data_An_Cour!$V:$V,$C281,[5]BV_Data_An_Cour!$W:$W,$L$2)</f>
        <v>265.72000000000003</v>
      </c>
      <c r="M281" s="531"/>
      <c r="N281" s="557">
        <f t="shared" si="50"/>
        <v>60.438461152880222</v>
      </c>
      <c r="O281" s="531"/>
      <c r="P281" s="510"/>
      <c r="Q281" s="557">
        <f t="array" ref="Q281">+INDEX('[5]Réel 2023'!$A$2:$AO$501,MATCH($A281,'[5]Réel 2023'!$A$2:$A$501,0),MATCH(Q$2,'[5]Réel 2023'!$A$2:$AO$2,0))</f>
        <v>222.59</v>
      </c>
      <c r="R281" s="531"/>
      <c r="S281" s="557">
        <f t="shared" si="51"/>
        <v>43.130000000000024</v>
      </c>
      <c r="T281" s="510"/>
      <c r="X281" s="510"/>
      <c r="Y281" s="510"/>
      <c r="Z281" s="510"/>
      <c r="AA281" s="510"/>
      <c r="AB281" s="510"/>
      <c r="AC281" s="510"/>
      <c r="AD281" s="510"/>
      <c r="AE281" s="510"/>
      <c r="AF281" s="510"/>
      <c r="AG281" s="510"/>
      <c r="AH281" s="510"/>
      <c r="AI281" s="510"/>
      <c r="AJ281" s="510"/>
      <c r="AK281" s="510"/>
      <c r="AL281" s="510"/>
      <c r="AM281" s="510"/>
      <c r="AN281" s="510"/>
    </row>
    <row r="282" spans="1:40" ht="15.75" hidden="1" customHeight="1">
      <c r="A282" s="523" t="s">
        <v>381</v>
      </c>
      <c r="B282" s="510" t="s">
        <v>99</v>
      </c>
      <c r="C282" s="600" t="s">
        <v>20</v>
      </c>
      <c r="D282" s="584"/>
      <c r="E282" s="510"/>
      <c r="F282" s="532">
        <f>+INDEX('[5]Budget original'!$A$2:$AO$501,MATCH($A282,'[5]Budget original'!$A$2:$A$501,0),MATCH(F$2,'[5]Budget original'!$A$2:$AO$2,0))</f>
        <v>0</v>
      </c>
      <c r="G282" s="585"/>
      <c r="H282" s="510"/>
      <c r="I282" s="532"/>
      <c r="J282" s="531"/>
      <c r="K282" s="510"/>
      <c r="L282" s="534">
        <f>SUMIFS([5]BV_Data_An_Cour!$O:$O,[5]BV_Data_An_Cour!$U:$U,$B282,[5]BV_Data_An_Cour!$V:$V,$C282,[5]BV_Data_An_Cour!$W:$W,$L$2)</f>
        <v>0</v>
      </c>
      <c r="M282" s="531"/>
      <c r="N282" s="557">
        <f t="shared" si="50"/>
        <v>0</v>
      </c>
      <c r="O282" s="531"/>
      <c r="P282" s="510"/>
      <c r="Q282" s="534">
        <f t="array" ref="Q282">+INDEX('[5]Réel 2023'!$A$2:$AO$501,MATCH($A282,'[5]Réel 2023'!$A$2:$A$501,0),MATCH(Q$2,'[5]Réel 2023'!$A$2:$AO$2,0))</f>
        <v>0</v>
      </c>
      <c r="R282" s="531"/>
      <c r="S282" s="557">
        <f t="shared" si="51"/>
        <v>0</v>
      </c>
      <c r="T282" s="510"/>
      <c r="X282" s="510"/>
      <c r="Y282" s="510"/>
      <c r="Z282" s="510"/>
      <c r="AA282" s="510"/>
      <c r="AB282" s="510"/>
      <c r="AC282" s="510"/>
      <c r="AD282" s="510"/>
      <c r="AE282" s="510"/>
      <c r="AF282" s="510"/>
      <c r="AG282" s="510"/>
      <c r="AH282" s="510"/>
      <c r="AI282" s="510"/>
      <c r="AJ282" s="510"/>
      <c r="AK282" s="510"/>
      <c r="AL282" s="510"/>
      <c r="AM282" s="510"/>
      <c r="AN282" s="510"/>
    </row>
    <row r="283" spans="1:40" ht="15.75" hidden="1" customHeight="1">
      <c r="A283" s="523" t="s">
        <v>381</v>
      </c>
      <c r="B283" s="510" t="s">
        <v>99</v>
      </c>
      <c r="C283" s="600" t="s">
        <v>20</v>
      </c>
      <c r="D283" s="584"/>
      <c r="E283" s="510"/>
      <c r="F283" s="532">
        <f>+INDEX('[5]Budget original'!$A$2:$AO$501,MATCH($A283,'[5]Budget original'!$A$2:$A$501,0),MATCH(F$2,'[5]Budget original'!$A$2:$AO$2,0))</f>
        <v>0</v>
      </c>
      <c r="G283" s="585"/>
      <c r="H283" s="510"/>
      <c r="I283" s="532"/>
      <c r="J283" s="531"/>
      <c r="K283" s="510"/>
      <c r="L283" s="534">
        <f>SUMIFS([5]BV_Data_An_Cour!$O:$O,[5]BV_Data_An_Cour!$U:$U,$B283,[5]BV_Data_An_Cour!$V:$V,$C283,[5]BV_Data_An_Cour!$W:$W,$L$2)</f>
        <v>0</v>
      </c>
      <c r="M283" s="531"/>
      <c r="N283" s="557">
        <f t="shared" si="50"/>
        <v>0</v>
      </c>
      <c r="O283" s="531"/>
      <c r="P283" s="510"/>
      <c r="Q283" s="534">
        <f t="array" ref="Q283">+INDEX('[5]Réel 2023'!$A$2:$AO$501,MATCH($A283,'[5]Réel 2023'!$A$2:$A$501,0),MATCH(Q$2,'[5]Réel 2023'!$A$2:$AO$2,0))</f>
        <v>0</v>
      </c>
      <c r="R283" s="531"/>
      <c r="S283" s="557">
        <f t="shared" si="51"/>
        <v>0</v>
      </c>
      <c r="T283" s="510"/>
      <c r="X283" s="510"/>
      <c r="Y283" s="510"/>
      <c r="Z283" s="510"/>
      <c r="AA283" s="510"/>
      <c r="AB283" s="510"/>
      <c r="AC283" s="510"/>
      <c r="AD283" s="510"/>
      <c r="AE283" s="510"/>
      <c r="AF283" s="510"/>
      <c r="AG283" s="510"/>
      <c r="AH283" s="510"/>
      <c r="AI283" s="510"/>
      <c r="AJ283" s="510"/>
      <c r="AK283" s="510"/>
      <c r="AL283" s="510"/>
      <c r="AM283" s="510"/>
      <c r="AN283" s="510"/>
    </row>
    <row r="284" spans="1:40" ht="15.75" hidden="1" customHeight="1">
      <c r="A284" s="523" t="s">
        <v>381</v>
      </c>
      <c r="B284" s="510" t="s">
        <v>99</v>
      </c>
      <c r="C284" s="600" t="s">
        <v>20</v>
      </c>
      <c r="D284" s="584"/>
      <c r="E284" s="510"/>
      <c r="F284" s="532">
        <f>+INDEX('[5]Budget original'!$A$2:$AO$501,MATCH($A284,'[5]Budget original'!$A$2:$A$501,0),MATCH(F$2,'[5]Budget original'!$A$2:$AO$2,0))</f>
        <v>0</v>
      </c>
      <c r="G284" s="585"/>
      <c r="H284" s="510"/>
      <c r="I284" s="532"/>
      <c r="J284" s="531"/>
      <c r="K284" s="510"/>
      <c r="L284" s="534">
        <f>SUMIFS([5]BV_Data_An_Cour!$O:$O,[5]BV_Data_An_Cour!$U:$U,$B284,[5]BV_Data_An_Cour!$V:$V,$C284,[5]BV_Data_An_Cour!$W:$W,$L$2)</f>
        <v>0</v>
      </c>
      <c r="M284" s="531"/>
      <c r="N284" s="557">
        <f t="shared" si="50"/>
        <v>0</v>
      </c>
      <c r="O284" s="531"/>
      <c r="P284" s="510"/>
      <c r="Q284" s="534">
        <f t="array" ref="Q284">+INDEX('[5]Réel 2023'!$A$2:$AO$501,MATCH($A284,'[5]Réel 2023'!$A$2:$A$501,0),MATCH(Q$2,'[5]Réel 2023'!$A$2:$AO$2,0))</f>
        <v>0</v>
      </c>
      <c r="R284" s="531"/>
      <c r="S284" s="557">
        <f t="shared" si="51"/>
        <v>0</v>
      </c>
      <c r="T284" s="510"/>
      <c r="X284" s="510"/>
      <c r="Y284" s="510"/>
      <c r="Z284" s="510"/>
      <c r="AA284" s="510"/>
      <c r="AB284" s="510"/>
      <c r="AC284" s="510"/>
      <c r="AD284" s="510"/>
      <c r="AE284" s="510"/>
      <c r="AF284" s="510"/>
      <c r="AG284" s="510"/>
      <c r="AH284" s="510"/>
      <c r="AI284" s="510"/>
      <c r="AJ284" s="510"/>
      <c r="AK284" s="510"/>
      <c r="AL284" s="510"/>
      <c r="AM284" s="510"/>
      <c r="AN284" s="510"/>
    </row>
    <row r="285" spans="1:40" ht="15.75" customHeight="1">
      <c r="B285" s="510"/>
      <c r="C285" s="592" t="s">
        <v>64</v>
      </c>
      <c r="D285" s="593" t="s">
        <v>39</v>
      </c>
      <c r="E285" s="594" t="e">
        <f>F285/F$244</f>
        <v>#DIV/0!</v>
      </c>
      <c r="F285" s="595">
        <f>+SUM(F267:F284)</f>
        <v>4185.0475351586747</v>
      </c>
      <c r="G285" s="596"/>
      <c r="H285" s="594"/>
      <c r="I285" s="595"/>
      <c r="J285" s="596" t="s">
        <v>39</v>
      </c>
      <c r="K285" s="594">
        <f>L285/L$250</f>
        <v>1.6566188776589221</v>
      </c>
      <c r="L285" s="595">
        <f>+SUM(L267:L284)</f>
        <v>6344.9000000000015</v>
      </c>
      <c r="M285" s="599"/>
      <c r="N285" s="595">
        <f>+SUM(N267:N284)</f>
        <v>2159.852464841324</v>
      </c>
      <c r="O285" s="596" t="s">
        <v>39</v>
      </c>
      <c r="P285" s="594">
        <f>IF(Q$244=0,0,Q285/Q$244)</f>
        <v>0</v>
      </c>
      <c r="Q285" s="595">
        <f>+SUM(Q267:Q284)</f>
        <v>9022.2900000000009</v>
      </c>
      <c r="R285" s="599"/>
      <c r="S285" s="595">
        <f t="shared" si="51"/>
        <v>-2677.3899999999994</v>
      </c>
      <c r="T285" s="571"/>
      <c r="X285" s="510"/>
      <c r="Y285" s="510"/>
      <c r="Z285" s="510"/>
      <c r="AA285" s="510"/>
      <c r="AB285" s="510"/>
      <c r="AC285" s="510"/>
      <c r="AD285" s="510"/>
      <c r="AE285" s="510"/>
      <c r="AF285" s="510"/>
      <c r="AG285" s="510"/>
      <c r="AH285" s="510"/>
      <c r="AI285" s="510"/>
      <c r="AJ285" s="510"/>
      <c r="AK285" s="510"/>
      <c r="AL285" s="510"/>
      <c r="AM285" s="510"/>
      <c r="AN285" s="510"/>
    </row>
    <row r="286" spans="1:40" ht="15.75" customHeight="1">
      <c r="B286" s="510"/>
      <c r="C286" s="524"/>
      <c r="D286" s="587"/>
      <c r="E286" s="607"/>
      <c r="F286" s="557"/>
      <c r="G286" s="588"/>
      <c r="H286" s="607"/>
      <c r="I286" s="557"/>
      <c r="J286" s="524"/>
      <c r="K286" s="607"/>
      <c r="L286" s="582"/>
      <c r="M286" s="524"/>
      <c r="N286" s="582"/>
      <c r="O286" s="524"/>
      <c r="P286" s="607"/>
      <c r="Q286" s="582"/>
      <c r="R286" s="524"/>
      <c r="S286" s="582"/>
      <c r="T286" s="571"/>
      <c r="U286" s="510"/>
      <c r="V286" s="510"/>
      <c r="W286" s="510"/>
      <c r="X286" s="510"/>
      <c r="Y286" s="510"/>
      <c r="Z286" s="510"/>
      <c r="AA286" s="510"/>
      <c r="AB286" s="510"/>
      <c r="AC286" s="510"/>
      <c r="AD286" s="510"/>
      <c r="AE286" s="510"/>
      <c r="AF286" s="510"/>
      <c r="AG286" s="510"/>
      <c r="AH286" s="510"/>
      <c r="AI286" s="510"/>
      <c r="AJ286" s="510"/>
      <c r="AK286" s="510"/>
      <c r="AL286" s="510"/>
      <c r="AM286" s="510"/>
      <c r="AN286" s="510"/>
    </row>
    <row r="287" spans="1:40" ht="15.75" customHeight="1">
      <c r="B287" s="510"/>
      <c r="C287" s="592" t="s">
        <v>65</v>
      </c>
      <c r="D287" s="593" t="s">
        <v>39</v>
      </c>
      <c r="E287" s="594" t="e">
        <f>F287/F$244</f>
        <v>#DIV/0!</v>
      </c>
      <c r="F287" s="595">
        <f>F266+F285</f>
        <v>11062.389937374057</v>
      </c>
      <c r="G287" s="596"/>
      <c r="H287" s="594"/>
      <c r="I287" s="595"/>
      <c r="J287" s="596" t="s">
        <v>39</v>
      </c>
      <c r="K287" s="594">
        <f>L287/L$250</f>
        <v>3.2374628919355724</v>
      </c>
      <c r="L287" s="595">
        <f>L266+L285</f>
        <v>12399.58</v>
      </c>
      <c r="M287" s="599"/>
      <c r="N287" s="609">
        <f>L287-F287</f>
        <v>1337.190062625943</v>
      </c>
      <c r="O287" s="596" t="s">
        <v>39</v>
      </c>
      <c r="P287" s="594">
        <f>IF(Q$244=0,0,Q287/Q$244)</f>
        <v>0</v>
      </c>
      <c r="Q287" s="595">
        <f>Q266+Q285</f>
        <v>16180.36</v>
      </c>
      <c r="R287" s="599"/>
      <c r="S287" s="609">
        <f>L287-Q287</f>
        <v>-3780.7800000000007</v>
      </c>
      <c r="T287" s="571"/>
      <c r="U287" s="510"/>
      <c r="V287" s="510"/>
      <c r="W287" s="510"/>
      <c r="X287" s="510"/>
      <c r="Y287" s="510"/>
      <c r="Z287" s="510"/>
      <c r="AA287" s="510"/>
      <c r="AB287" s="510"/>
      <c r="AC287" s="510"/>
      <c r="AD287" s="510"/>
      <c r="AE287" s="510"/>
      <c r="AF287" s="510"/>
      <c r="AG287" s="510"/>
      <c r="AH287" s="510"/>
      <c r="AI287" s="510"/>
      <c r="AJ287" s="510"/>
      <c r="AK287" s="510"/>
      <c r="AL287" s="510"/>
      <c r="AM287" s="510"/>
      <c r="AN287" s="510"/>
    </row>
    <row r="288" spans="1:40" ht="15.75" customHeight="1">
      <c r="B288" s="510"/>
      <c r="C288" s="531"/>
      <c r="D288" s="584"/>
      <c r="E288" s="510"/>
      <c r="F288" s="557"/>
      <c r="G288" s="585"/>
      <c r="H288" s="510"/>
      <c r="I288" s="557"/>
      <c r="J288" s="531"/>
      <c r="K288" s="510"/>
      <c r="L288" s="557"/>
      <c r="M288" s="531"/>
      <c r="N288" s="557">
        <f>L288-F288</f>
        <v>0</v>
      </c>
      <c r="O288" s="531"/>
      <c r="P288" s="510"/>
      <c r="Q288" s="557"/>
      <c r="R288" s="531"/>
      <c r="S288" s="557"/>
      <c r="T288" s="510"/>
      <c r="U288" s="510"/>
      <c r="V288" s="510"/>
      <c r="W288" s="510"/>
      <c r="X288" s="510"/>
      <c r="Y288" s="510"/>
      <c r="Z288" s="510"/>
      <c r="AA288" s="510"/>
      <c r="AB288" s="510"/>
      <c r="AC288" s="510"/>
      <c r="AD288" s="510"/>
      <c r="AE288" s="510"/>
      <c r="AF288" s="510"/>
      <c r="AG288" s="510"/>
      <c r="AH288" s="510"/>
      <c r="AI288" s="510"/>
      <c r="AJ288" s="510"/>
      <c r="AK288" s="510"/>
      <c r="AL288" s="510"/>
      <c r="AM288" s="510"/>
      <c r="AN288" s="510"/>
    </row>
    <row r="289" spans="1:40" ht="29.25" customHeight="1" thickBot="1">
      <c r="B289" s="510"/>
      <c r="C289" s="625" t="s">
        <v>72</v>
      </c>
      <c r="D289" s="655"/>
      <c r="E289" s="626"/>
      <c r="F289" s="628">
        <f>F250-F287</f>
        <v>4739.7471194154477</v>
      </c>
      <c r="G289" s="656"/>
      <c r="H289" s="626"/>
      <c r="I289" s="628"/>
      <c r="J289" s="625"/>
      <c r="K289" s="627"/>
      <c r="L289" s="628">
        <f>L250-L287</f>
        <v>-8569.5499999999993</v>
      </c>
      <c r="M289" s="625"/>
      <c r="N289" s="628">
        <f>L289-F289</f>
        <v>-13309.297119415447</v>
      </c>
      <c r="O289" s="625"/>
      <c r="P289" s="630">
        <f>+Q289/P250</f>
        <v>4.4295658258517263E-3</v>
      </c>
      <c r="Q289" s="628">
        <f>Q250-Q287</f>
        <v>365.00999999990017</v>
      </c>
      <c r="R289" s="625"/>
      <c r="S289" s="628">
        <f>L289-Q289</f>
        <v>-8934.5599999998994</v>
      </c>
      <c r="T289" s="571"/>
      <c r="U289" s="510"/>
      <c r="V289" s="510"/>
      <c r="W289" s="510"/>
      <c r="X289" s="510"/>
      <c r="Y289" s="510"/>
      <c r="Z289" s="510"/>
      <c r="AA289" s="510"/>
      <c r="AB289" s="510"/>
      <c r="AC289" s="510"/>
      <c r="AD289" s="510"/>
      <c r="AE289" s="510"/>
      <c r="AF289" s="510"/>
      <c r="AG289" s="510"/>
      <c r="AH289" s="510"/>
      <c r="AI289" s="510"/>
      <c r="AJ289" s="510"/>
      <c r="AK289" s="510"/>
      <c r="AL289" s="510"/>
      <c r="AM289" s="510"/>
      <c r="AN289" s="510"/>
    </row>
    <row r="290" spans="1:40" ht="15.75" customHeight="1" thickTop="1">
      <c r="B290" s="510"/>
      <c r="C290" s="510"/>
      <c r="D290" s="510"/>
      <c r="E290" s="510"/>
      <c r="F290" s="510"/>
      <c r="G290" s="510"/>
      <c r="H290" s="510"/>
      <c r="I290" s="510"/>
      <c r="J290" s="510"/>
      <c r="K290" s="510"/>
      <c r="L290" s="573"/>
      <c r="M290" s="510"/>
      <c r="N290" s="510"/>
      <c r="O290" s="510"/>
      <c r="P290" s="510"/>
      <c r="Q290" s="510"/>
      <c r="R290" s="510"/>
      <c r="S290" s="510"/>
      <c r="T290" s="510"/>
      <c r="U290" s="510"/>
      <c r="V290" s="510"/>
      <c r="W290" s="510"/>
      <c r="X290" s="510"/>
      <c r="Y290" s="510"/>
      <c r="Z290" s="510"/>
      <c r="AA290" s="510"/>
      <c r="AB290" s="510"/>
      <c r="AC290" s="510"/>
      <c r="AD290" s="510"/>
      <c r="AE290" s="510"/>
      <c r="AF290" s="510"/>
      <c r="AG290" s="510"/>
      <c r="AH290" s="510"/>
      <c r="AI290" s="510"/>
      <c r="AJ290" s="510"/>
      <c r="AK290" s="510"/>
      <c r="AL290" s="510"/>
      <c r="AM290" s="510"/>
      <c r="AN290" s="510"/>
    </row>
    <row r="291" spans="1:40" ht="36" customHeight="1">
      <c r="B291" s="510"/>
      <c r="C291" s="635" t="str">
        <f>C1</f>
        <v>Volks</v>
      </c>
      <c r="D291" s="498"/>
      <c r="E291" s="498"/>
      <c r="F291" s="498"/>
      <c r="G291" s="498"/>
      <c r="H291" s="496"/>
      <c r="I291" s="496"/>
      <c r="J291" s="496"/>
      <c r="K291" s="500" t="s">
        <v>103</v>
      </c>
      <c r="L291" s="498"/>
      <c r="M291" s="498"/>
      <c r="N291" s="496"/>
      <c r="O291" s="496"/>
      <c r="P291" s="498"/>
      <c r="Q291" s="496"/>
      <c r="R291" s="498"/>
      <c r="S291" s="636" t="str">
        <f>$S$1</f>
        <v>Réalisé, Octobre 2024</v>
      </c>
      <c r="T291" s="510"/>
      <c r="U291" s="510"/>
      <c r="V291" s="510"/>
      <c r="W291" s="510"/>
      <c r="X291" s="510"/>
      <c r="Y291" s="510"/>
      <c r="Z291" s="510"/>
      <c r="AA291" s="510"/>
      <c r="AB291" s="510"/>
      <c r="AC291" s="510"/>
      <c r="AD291" s="510"/>
      <c r="AE291" s="510"/>
      <c r="AF291" s="510"/>
      <c r="AG291" s="510"/>
      <c r="AH291" s="510"/>
      <c r="AI291" s="510"/>
      <c r="AJ291" s="510"/>
      <c r="AK291" s="510"/>
      <c r="AL291" s="510"/>
      <c r="AM291" s="510"/>
      <c r="AN291" s="510"/>
    </row>
    <row r="292" spans="1:40" ht="15.75" customHeight="1" thickBot="1">
      <c r="B292" s="510"/>
      <c r="C292" s="505"/>
      <c r="D292" s="507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10"/>
      <c r="U292" s="510"/>
      <c r="V292" s="510"/>
      <c r="W292" s="510"/>
      <c r="X292" s="510"/>
      <c r="Y292" s="510"/>
      <c r="Z292" s="510"/>
      <c r="AA292" s="510"/>
      <c r="AB292" s="510"/>
      <c r="AC292" s="510"/>
      <c r="AD292" s="510"/>
      <c r="AE292" s="510"/>
      <c r="AF292" s="510"/>
      <c r="AG292" s="510"/>
      <c r="AH292" s="510"/>
      <c r="AI292" s="510"/>
      <c r="AJ292" s="510"/>
      <c r="AK292" s="510"/>
      <c r="AL292" s="510"/>
      <c r="AM292" s="510"/>
      <c r="AN292" s="510"/>
    </row>
    <row r="293" spans="1:40" ht="15.75" customHeight="1" thickTop="1">
      <c r="B293" s="510"/>
      <c r="C293" s="511"/>
      <c r="D293" s="512" t="s">
        <v>5</v>
      </c>
      <c r="E293" s="513"/>
      <c r="F293" s="514"/>
      <c r="G293" s="515"/>
      <c r="H293" s="513"/>
      <c r="I293" s="514"/>
      <c r="J293" s="515" t="s">
        <v>7</v>
      </c>
      <c r="K293" s="513"/>
      <c r="L293" s="514"/>
      <c r="M293" s="515" t="s">
        <v>220</v>
      </c>
      <c r="N293" s="514"/>
      <c r="O293" s="512" t="s">
        <v>8</v>
      </c>
      <c r="P293" s="513"/>
      <c r="Q293" s="514"/>
      <c r="R293" s="515" t="s">
        <v>221</v>
      </c>
      <c r="S293" s="514"/>
      <c r="T293" s="510"/>
      <c r="U293" s="510"/>
      <c r="V293" s="510"/>
      <c r="W293" s="510"/>
      <c r="X293" s="510"/>
      <c r="Y293" s="510"/>
      <c r="Z293" s="510"/>
      <c r="AA293" s="510"/>
      <c r="AB293" s="510"/>
      <c r="AC293" s="510"/>
      <c r="AD293" s="510"/>
      <c r="AE293" s="510"/>
      <c r="AF293" s="510"/>
      <c r="AG293" s="510"/>
      <c r="AH293" s="510"/>
      <c r="AI293" s="510"/>
      <c r="AJ293" s="510"/>
      <c r="AK293" s="510"/>
      <c r="AL293" s="510"/>
      <c r="AM293" s="510"/>
      <c r="AN293" s="510"/>
    </row>
    <row r="294" spans="1:40" ht="15.75" customHeight="1">
      <c r="A294" s="523" t="s">
        <v>103</v>
      </c>
      <c r="B294" s="510" t="s">
        <v>103</v>
      </c>
      <c r="C294" s="531"/>
      <c r="D294" s="575" t="s">
        <v>84</v>
      </c>
      <c r="E294" s="575" t="s">
        <v>104</v>
      </c>
      <c r="F294" s="658" t="s">
        <v>12</v>
      </c>
      <c r="G294" s="659"/>
      <c r="H294" s="575"/>
      <c r="I294" s="658"/>
      <c r="J294" s="659" t="s">
        <v>84</v>
      </c>
      <c r="K294" s="575" t="s">
        <v>104</v>
      </c>
      <c r="L294" s="658" t="s">
        <v>12</v>
      </c>
      <c r="M294" s="659" t="s">
        <v>40</v>
      </c>
      <c r="N294" s="658" t="s">
        <v>223</v>
      </c>
      <c r="O294" s="575" t="s">
        <v>84</v>
      </c>
      <c r="P294" s="575" t="s">
        <v>104</v>
      </c>
      <c r="Q294" s="658" t="s">
        <v>12</v>
      </c>
      <c r="R294" s="659" t="s">
        <v>85</v>
      </c>
      <c r="S294" s="658" t="s">
        <v>12</v>
      </c>
      <c r="T294" s="510"/>
      <c r="U294" s="510"/>
      <c r="V294" s="510"/>
      <c r="W294" s="510"/>
      <c r="X294" s="510"/>
      <c r="Y294" s="510"/>
      <c r="Z294" s="510"/>
      <c r="AA294" s="510"/>
      <c r="AB294" s="510"/>
      <c r="AC294" s="510"/>
      <c r="AD294" s="510"/>
      <c r="AE294" s="510"/>
      <c r="AF294" s="510"/>
      <c r="AG294" s="510"/>
      <c r="AH294" s="510"/>
      <c r="AI294" s="510"/>
      <c r="AJ294" s="510"/>
      <c r="AK294" s="510"/>
      <c r="AL294" s="510"/>
      <c r="AM294" s="510"/>
      <c r="AN294" s="510"/>
    </row>
    <row r="295" spans="1:40" ht="15.75" customHeight="1">
      <c r="A295" s="523" t="s">
        <v>402</v>
      </c>
      <c r="B295" s="510" t="s">
        <v>103</v>
      </c>
      <c r="C295" s="531" t="s">
        <v>105</v>
      </c>
      <c r="D295" s="573">
        <f>+INDEX('[5]Budget original'!$A$2:$AO$501,MATCH($A295,'[5]Budget original'!$A$2:$A$501,0),MATCH(D$2,'[5]Budget original'!$A$2:$AO$2,0))</f>
        <v>166473.15300000002</v>
      </c>
      <c r="E295" s="648">
        <f>IF(D295=0,0,F295/D295)</f>
        <v>0.34200000000000003</v>
      </c>
      <c r="F295" s="557">
        <f>+INDEX('[5]Budget original'!$A$2:$AO$501,MATCH($A295,'[5]Budget original'!$A$2:$A$501,0),MATCH(F$2,'[5]Budget original'!$A$2:$AO$2,0))</f>
        <v>56933.818326000008</v>
      </c>
      <c r="G295" s="573"/>
      <c r="H295" s="648"/>
      <c r="I295" s="557"/>
      <c r="J295" s="532">
        <f>-SUMIFS([5]BV_Data_An_Cour!$O:$O,[5]BV_Data_An_Cour!$X:$X,"Oui",[5]BV_Data_An_Cour!$U:$U,$B295,[5]BV_Data_An_Cour!$V:$V,$C295)</f>
        <v>112041.65</v>
      </c>
      <c r="K295" s="648">
        <f t="shared" ref="K295:K304" si="52">IF(J295&lt;=0,0,L295/J295)</f>
        <v>0.33378230327739733</v>
      </c>
      <c r="L295" s="557">
        <f>-SUMIFS([5]BV_Data_An_Cour!$O:$O,[5]BV_Data_An_Cour!$U:$U,$B295,[5]BV_Data_An_Cour!$V:$V,$C295,[5]BV_Data_An_Cour!$W:$W,$L$2)</f>
        <v>37397.520000000004</v>
      </c>
      <c r="M295" s="577">
        <f t="shared" ref="M295:M301" si="53">(+J295-D295)/D295</f>
        <v>-0.3269686554203729</v>
      </c>
      <c r="N295" s="557">
        <f t="shared" ref="N295:N304" si="54">L295-F295</f>
        <v>-19536.298326000004</v>
      </c>
      <c r="O295" s="532">
        <f t="array" ref="O295">+INDEX('[5]Réel 2023'!$A$2:$AO$501,MATCH($A295,'[5]Réel 2023'!$A$2:$A$501,0),MATCH(O$2,'[5]Réel 2023'!$A$2:$AO$2,0))</f>
        <v>107277.3</v>
      </c>
      <c r="P295" s="648">
        <f t="shared" ref="P295:P303" si="55">IF(O295=0,0,Q295/O295)</f>
        <v>0.33880280357540687</v>
      </c>
      <c r="Q295" s="557">
        <f t="array" ref="Q295">+INDEX('[5]Réel 2023'!$A$2:$AO$501,MATCH($A295,'[5]Réel 2023'!$A$2:$A$501,0),MATCH(Q$2,'[5]Réel 2023'!$A$2:$AO$2,0))</f>
        <v>36345.85</v>
      </c>
      <c r="R295" s="577">
        <f t="shared" ref="R295:R304" si="56">IF(O295=0,0,(J295-O295)/O295)</f>
        <v>4.4411539067444751E-2</v>
      </c>
      <c r="S295" s="557">
        <f t="shared" ref="S295:S304" si="57">L295-Q295</f>
        <v>1051.6700000000055</v>
      </c>
      <c r="T295" s="510"/>
      <c r="U295" s="510"/>
      <c r="V295" s="510"/>
      <c r="W295" s="510"/>
      <c r="X295" s="510"/>
      <c r="Y295" s="510"/>
      <c r="Z295" s="510"/>
      <c r="AA295" s="510"/>
      <c r="AB295" s="510"/>
      <c r="AC295" s="510"/>
      <c r="AD295" s="510"/>
      <c r="AE295" s="510"/>
      <c r="AF295" s="510"/>
      <c r="AG295" s="510"/>
      <c r="AH295" s="510"/>
      <c r="AI295" s="510"/>
      <c r="AJ295" s="510"/>
      <c r="AK295" s="510"/>
      <c r="AL295" s="510"/>
      <c r="AM295" s="510"/>
      <c r="AN295" s="510"/>
    </row>
    <row r="296" spans="1:40" ht="15.75" customHeight="1">
      <c r="A296" s="523" t="s">
        <v>403</v>
      </c>
      <c r="B296" s="510" t="s">
        <v>103</v>
      </c>
      <c r="C296" s="531" t="s">
        <v>106</v>
      </c>
      <c r="D296" s="573">
        <f>+INDEX('[5]Budget original'!$A$2:$AO$501,MATCH($A296,'[5]Budget original'!$A$2:$A$501,0),MATCH(D$2,'[5]Budget original'!$A$2:$AO$2,0))</f>
        <v>52480.08107250421</v>
      </c>
      <c r="E296" s="648">
        <f t="shared" ref="E296:E303" si="58">IF(D296=0,0,F296/D296)</f>
        <v>0.248</v>
      </c>
      <c r="F296" s="557">
        <f>+INDEX('[5]Budget original'!$A$2:$AO$501,MATCH($A296,'[5]Budget original'!$A$2:$A$501,0),MATCH(F$2,'[5]Budget original'!$A$2:$AO$2,0))</f>
        <v>13015.060105981043</v>
      </c>
      <c r="G296" s="573"/>
      <c r="H296" s="648"/>
      <c r="I296" s="557"/>
      <c r="J296" s="532">
        <f>-SUMIFS([5]BV_Data_An_Cour!$O:$O,[5]BV_Data_An_Cour!$X:$X,"Oui",[5]BV_Data_An_Cour!$U:$U,$B296,[5]BV_Data_An_Cour!$V:$V,$C296)</f>
        <v>4751.8500000000004</v>
      </c>
      <c r="K296" s="648">
        <f t="shared" si="52"/>
        <v>0.23077117333249167</v>
      </c>
      <c r="L296" s="557">
        <f>-SUMIFS([5]BV_Data_An_Cour!$O:$O,[5]BV_Data_An_Cour!$U:$U,$B296,[5]BV_Data_An_Cour!$V:$V,$C296,[5]BV_Data_An_Cour!$W:$W,$L$2)</f>
        <v>1096.5900000000006</v>
      </c>
      <c r="M296" s="577">
        <f t="shared" si="53"/>
        <v>-0.90945421762144296</v>
      </c>
      <c r="N296" s="557">
        <f t="shared" si="54"/>
        <v>-11918.470105981043</v>
      </c>
      <c r="O296" s="532">
        <f t="array" ref="O296">+INDEX('[5]Réel 2023'!$A$2:$AO$501,MATCH($A296,'[5]Réel 2023'!$A$2:$A$501,0),MATCH(O$2,'[5]Réel 2023'!$A$2:$AO$2,0))</f>
        <v>40000.519999999997</v>
      </c>
      <c r="P296" s="648">
        <f t="shared" si="55"/>
        <v>0.26120960427514445</v>
      </c>
      <c r="Q296" s="557">
        <f t="array" ref="Q296">+INDEX('[5]Réel 2023'!$A$2:$AO$501,MATCH($A296,'[5]Réel 2023'!$A$2:$A$501,0),MATCH(Q$2,'[5]Réel 2023'!$A$2:$AO$2,0))</f>
        <v>10448.52</v>
      </c>
      <c r="R296" s="577">
        <f t="shared" si="56"/>
        <v>-0.88120529433117367</v>
      </c>
      <c r="S296" s="557">
        <f t="shared" si="57"/>
        <v>-9351.93</v>
      </c>
      <c r="T296" s="510"/>
      <c r="U296" s="510"/>
      <c r="V296" s="510"/>
      <c r="W296" s="510"/>
      <c r="X296" s="510"/>
      <c r="Y296" s="510"/>
      <c r="Z296" s="510"/>
      <c r="AA296" s="510"/>
      <c r="AB296" s="510"/>
      <c r="AC296" s="510"/>
      <c r="AD296" s="510"/>
      <c r="AE296" s="510"/>
      <c r="AF296" s="510"/>
      <c r="AG296" s="510"/>
      <c r="AH296" s="510"/>
      <c r="AI296" s="510"/>
      <c r="AJ296" s="510"/>
      <c r="AK296" s="510"/>
      <c r="AL296" s="510"/>
      <c r="AM296" s="510"/>
      <c r="AN296" s="510"/>
    </row>
    <row r="297" spans="1:40" ht="15.75" customHeight="1">
      <c r="A297" s="523" t="s">
        <v>404</v>
      </c>
      <c r="B297" s="510" t="s">
        <v>103</v>
      </c>
      <c r="C297" s="531" t="s">
        <v>107</v>
      </c>
      <c r="D297" s="573">
        <f>+INDEX('[5]Budget original'!$A$2:$AO$501,MATCH($A297,'[5]Budget original'!$A$2:$A$501,0),MATCH(D$2,'[5]Budget original'!$A$2:$AO$2,0))</f>
        <v>61830</v>
      </c>
      <c r="E297" s="648">
        <f t="shared" si="58"/>
        <v>0.24300000000000002</v>
      </c>
      <c r="F297" s="557">
        <f>+INDEX('[5]Budget original'!$A$2:$AO$501,MATCH($A297,'[5]Budget original'!$A$2:$A$501,0),MATCH(F$2,'[5]Budget original'!$A$2:$AO$2,0))</f>
        <v>15024.69</v>
      </c>
      <c r="G297" s="573"/>
      <c r="H297" s="648"/>
      <c r="I297" s="557"/>
      <c r="J297" s="532">
        <f>-SUMIFS([5]BV_Data_An_Cour!$O:$O,[5]BV_Data_An_Cour!$X:$X,"Oui",[5]BV_Data_An_Cour!$U:$U,$B297,[5]BV_Data_An_Cour!$V:$V,$C297)</f>
        <v>43545.83</v>
      </c>
      <c r="K297" s="648">
        <f t="shared" si="52"/>
        <v>0.22732785205839456</v>
      </c>
      <c r="L297" s="557">
        <f>-SUMIFS([5]BV_Data_An_Cour!$O:$O,[5]BV_Data_An_Cour!$U:$U,$B297,[5]BV_Data_An_Cour!$V:$V,$C297,[5]BV_Data_An_Cour!$W:$W,$L$2)</f>
        <v>9899.18</v>
      </c>
      <c r="M297" s="577">
        <f t="shared" si="53"/>
        <v>-0.29571680414038493</v>
      </c>
      <c r="N297" s="557">
        <f t="shared" si="54"/>
        <v>-5125.51</v>
      </c>
      <c r="O297" s="532">
        <f t="array" ref="O297">+INDEX('[5]Réel 2023'!$A$2:$AO$501,MATCH($A297,'[5]Réel 2023'!$A$2:$A$501,0),MATCH(O$2,'[5]Réel 2023'!$A$2:$AO$2,0))</f>
        <v>40743.97</v>
      </c>
      <c r="P297" s="648">
        <f t="shared" si="55"/>
        <v>0.25411318533760946</v>
      </c>
      <c r="Q297" s="557">
        <f t="array" ref="Q297">+INDEX('[5]Réel 2023'!$A$2:$AO$501,MATCH($A297,'[5]Réel 2023'!$A$2:$A$501,0),MATCH(Q$2,'[5]Réel 2023'!$A$2:$AO$2,0))</f>
        <v>10353.58</v>
      </c>
      <c r="R297" s="577">
        <f t="shared" si="56"/>
        <v>6.8767476512475362E-2</v>
      </c>
      <c r="S297" s="557">
        <f t="shared" si="57"/>
        <v>-454.39999999999964</v>
      </c>
      <c r="T297" s="510"/>
      <c r="U297" s="510"/>
      <c r="V297" s="510"/>
      <c r="W297" s="510"/>
      <c r="X297" s="510"/>
      <c r="Y297" s="510"/>
      <c r="Z297" s="510"/>
      <c r="AA297" s="510"/>
      <c r="AB297" s="510"/>
      <c r="AC297" s="510"/>
      <c r="AD297" s="510"/>
      <c r="AE297" s="510"/>
      <c r="AF297" s="510"/>
      <c r="AG297" s="510"/>
      <c r="AH297" s="510"/>
      <c r="AI297" s="510"/>
      <c r="AJ297" s="510"/>
      <c r="AK297" s="510"/>
      <c r="AL297" s="510"/>
      <c r="AM297" s="510"/>
      <c r="AN297" s="510"/>
    </row>
    <row r="298" spans="1:40" ht="15.75" customHeight="1">
      <c r="A298" s="523" t="s">
        <v>405</v>
      </c>
      <c r="B298" s="510" t="s">
        <v>103</v>
      </c>
      <c r="C298" s="531" t="s">
        <v>108</v>
      </c>
      <c r="D298" s="573">
        <f>+INDEX('[5]Budget original'!$A$2:$AO$501,MATCH($A298,'[5]Budget original'!$A$2:$A$501,0),MATCH(D$2,'[5]Budget original'!$A$2:$AO$2,0))</f>
        <v>72697.863264700442</v>
      </c>
      <c r="E298" s="648">
        <f t="shared" si="58"/>
        <v>0.316</v>
      </c>
      <c r="F298" s="557">
        <f>+INDEX('[5]Budget original'!$A$2:$AO$501,MATCH($A298,'[5]Budget original'!$A$2:$A$501,0),MATCH(F$2,'[5]Budget original'!$A$2:$AO$2,0))</f>
        <v>22972.524791645341</v>
      </c>
      <c r="G298" s="573"/>
      <c r="H298" s="648"/>
      <c r="I298" s="557"/>
      <c r="J298" s="532">
        <f>-SUMIFS([5]BV_Data_An_Cour!$O:$O,[5]BV_Data_An_Cour!$X:$X,"Oui",[5]BV_Data_An_Cour!$U:$U,$B298,[5]BV_Data_An_Cour!$V:$V,$C298)</f>
        <v>69951.149999999994</v>
      </c>
      <c r="K298" s="648">
        <f t="shared" si="52"/>
        <v>0.27245928051218599</v>
      </c>
      <c r="L298" s="557">
        <f>-SUMIFS([5]BV_Data_An_Cour!$O:$O,[5]BV_Data_An_Cour!$U:$U,$B298,[5]BV_Data_An_Cour!$V:$V,$C298,[5]BV_Data_An_Cour!$W:$W,$L$2)</f>
        <v>19058.839999999997</v>
      </c>
      <c r="M298" s="577">
        <f t="shared" si="53"/>
        <v>-3.778258591589384E-2</v>
      </c>
      <c r="N298" s="557">
        <f t="shared" si="54"/>
        <v>-3913.6847916453444</v>
      </c>
      <c r="O298" s="532">
        <f t="array" ref="O298">+INDEX('[5]Réel 2023'!$A$2:$AO$501,MATCH($A298,'[5]Réel 2023'!$A$2:$A$501,0),MATCH(O$2,'[5]Réel 2023'!$A$2:$AO$2,0))</f>
        <v>56008.65</v>
      </c>
      <c r="P298" s="648">
        <f t="shared" si="55"/>
        <v>0.29652598304011968</v>
      </c>
      <c r="Q298" s="557">
        <f t="array" ref="Q298">+INDEX('[5]Réel 2023'!$A$2:$AO$501,MATCH($A298,'[5]Réel 2023'!$A$2:$A$501,0),MATCH(Q$2,'[5]Réel 2023'!$A$2:$AO$2,0))</f>
        <v>16608.02</v>
      </c>
      <c r="R298" s="577">
        <f t="shared" si="56"/>
        <v>0.24893476275539569</v>
      </c>
      <c r="S298" s="557">
        <f t="shared" si="57"/>
        <v>2450.8199999999961</v>
      </c>
      <c r="T298" s="510"/>
      <c r="U298" s="510"/>
      <c r="V298" s="510"/>
      <c r="W298" s="510"/>
      <c r="X298" s="510"/>
      <c r="Y298" s="510"/>
      <c r="Z298" s="510"/>
      <c r="AA298" s="510"/>
      <c r="AB298" s="510"/>
      <c r="AC298" s="510"/>
      <c r="AD298" s="510"/>
      <c r="AE298" s="510"/>
      <c r="AF298" s="510"/>
      <c r="AG298" s="510"/>
      <c r="AH298" s="510"/>
      <c r="AI298" s="510"/>
      <c r="AJ298" s="510"/>
      <c r="AK298" s="510"/>
      <c r="AL298" s="510"/>
      <c r="AM298" s="510"/>
      <c r="AN298" s="510"/>
    </row>
    <row r="299" spans="1:40" ht="15.75" customHeight="1">
      <c r="A299" s="523" t="s">
        <v>406</v>
      </c>
      <c r="B299" s="510" t="s">
        <v>103</v>
      </c>
      <c r="C299" s="531" t="s">
        <v>109</v>
      </c>
      <c r="D299" s="573">
        <f>+INDEX('[5]Budget original'!$A$2:$AO$501,MATCH($A299,'[5]Budget original'!$A$2:$A$501,0),MATCH(D$2,'[5]Budget original'!$A$2:$AO$2,0))</f>
        <v>30676.32</v>
      </c>
      <c r="E299" s="648">
        <f t="shared" si="58"/>
        <v>0.26500000000000001</v>
      </c>
      <c r="F299" s="557">
        <f>+INDEX('[5]Budget original'!$A$2:$AO$501,MATCH($A299,'[5]Budget original'!$A$2:$A$501,0),MATCH(F$2,'[5]Budget original'!$A$2:$AO$2,0))</f>
        <v>8129.2248</v>
      </c>
      <c r="G299" s="573"/>
      <c r="H299" s="648"/>
      <c r="I299" s="557"/>
      <c r="J299" s="532">
        <f>-SUMIFS([5]BV_Data_An_Cour!$O:$O,[5]BV_Data_An_Cour!$X:$X,"Oui",[5]BV_Data_An_Cour!$U:$U,$B299,[5]BV_Data_An_Cour!$V:$V,$C299)</f>
        <v>19722.91</v>
      </c>
      <c r="K299" s="648">
        <f t="shared" si="52"/>
        <v>0.2671674717371828</v>
      </c>
      <c r="L299" s="557">
        <f>-SUMIFS([5]BV_Data_An_Cour!$O:$O,[5]BV_Data_An_Cour!$U:$U,$B299,[5]BV_Data_An_Cour!$V:$V,$C299,[5]BV_Data_An_Cour!$W:$W,$L$2)</f>
        <v>5269.32</v>
      </c>
      <c r="M299" s="577">
        <f t="shared" si="53"/>
        <v>-0.35706401550120742</v>
      </c>
      <c r="N299" s="557">
        <f t="shared" si="54"/>
        <v>-2859.9048000000003</v>
      </c>
      <c r="O299" s="532">
        <f t="array" ref="O299">+INDEX('[5]Réel 2023'!$A$2:$AO$501,MATCH($A299,'[5]Réel 2023'!$A$2:$A$501,0),MATCH(O$2,'[5]Réel 2023'!$A$2:$AO$2,0))</f>
        <v>16941.57</v>
      </c>
      <c r="P299" s="648">
        <f t="shared" si="55"/>
        <v>0.22296929977564003</v>
      </c>
      <c r="Q299" s="557">
        <f t="array" ref="Q299">+INDEX('[5]Réel 2023'!$A$2:$AO$501,MATCH($A299,'[5]Réel 2023'!$A$2:$A$501,0),MATCH(Q$2,'[5]Réel 2023'!$A$2:$AO$2,0))</f>
        <v>3777.4499999999898</v>
      </c>
      <c r="R299" s="577">
        <f t="shared" si="56"/>
        <v>0.16417250585394388</v>
      </c>
      <c r="S299" s="557">
        <f t="shared" si="57"/>
        <v>1491.8700000000099</v>
      </c>
      <c r="T299" s="510"/>
      <c r="U299" s="510"/>
      <c r="V299" s="510"/>
      <c r="W299" s="510"/>
      <c r="X299" s="510"/>
      <c r="Y299" s="510"/>
      <c r="Z299" s="510"/>
      <c r="AA299" s="510"/>
      <c r="AB299" s="510"/>
      <c r="AC299" s="510"/>
      <c r="AD299" s="510"/>
      <c r="AE299" s="510"/>
      <c r="AF299" s="510"/>
      <c r="AG299" s="510"/>
      <c r="AH299" s="510"/>
      <c r="AI299" s="510"/>
      <c r="AJ299" s="510"/>
      <c r="AK299" s="510"/>
      <c r="AL299" s="510"/>
      <c r="AM299" s="510"/>
      <c r="AN299" s="510"/>
    </row>
    <row r="300" spans="1:40" ht="15.75" customHeight="1">
      <c r="A300" s="523" t="s">
        <v>407</v>
      </c>
      <c r="B300" s="510" t="s">
        <v>103</v>
      </c>
      <c r="C300" s="531" t="s">
        <v>110</v>
      </c>
      <c r="D300" s="573">
        <f>+INDEX('[5]Budget original'!$A$2:$AO$501,MATCH($A300,'[5]Budget original'!$A$2:$A$501,0),MATCH(D$2,'[5]Budget original'!$A$2:$AO$2,0))</f>
        <v>150310.40872804238</v>
      </c>
      <c r="E300" s="648">
        <f t="shared" si="58"/>
        <v>0.14499999999999999</v>
      </c>
      <c r="F300" s="557">
        <f>+INDEX('[5]Budget original'!$A$2:$AO$501,MATCH($A300,'[5]Budget original'!$A$2:$A$501,0),MATCH(F$2,'[5]Budget original'!$A$2:$AO$2,0))</f>
        <v>21795.009265566143</v>
      </c>
      <c r="G300" s="573"/>
      <c r="H300" s="648"/>
      <c r="I300" s="557"/>
      <c r="J300" s="532">
        <f>-SUMIFS([5]BV_Data_An_Cour!$O:$O,[5]BV_Data_An_Cour!$X:$X,"Oui",[5]BV_Data_An_Cour!$U:$U,$B300,[5]BV_Data_An_Cour!$V:$V,$C300)</f>
        <v>221066.25</v>
      </c>
      <c r="K300" s="648">
        <f t="shared" si="52"/>
        <v>0.12508951502094953</v>
      </c>
      <c r="L300" s="557">
        <f>-SUMIFS([5]BV_Data_An_Cour!$O:$O,[5]BV_Data_An_Cour!$U:$U,$B300,[5]BV_Data_An_Cour!$V:$V,$C300,[5]BV_Data_An_Cour!$W:$W,$L$2)</f>
        <v>27653.069999999985</v>
      </c>
      <c r="M300" s="577">
        <f t="shared" si="53"/>
        <v>0.47073148074513338</v>
      </c>
      <c r="N300" s="557">
        <f t="shared" si="54"/>
        <v>5858.0607344338423</v>
      </c>
      <c r="O300" s="532">
        <f t="array" ref="O300">+INDEX('[5]Réel 2023'!$A$2:$AO$501,MATCH($A300,'[5]Réel 2023'!$A$2:$A$501,0),MATCH(O$2,'[5]Réel 2023'!$A$2:$AO$2,0))</f>
        <v>137780.70000000001</v>
      </c>
      <c r="P300" s="648">
        <f t="shared" si="55"/>
        <v>0.16951067892672919</v>
      </c>
      <c r="Q300" s="557">
        <f t="array" ref="Q300">+INDEX('[5]Réel 2023'!$A$2:$AO$501,MATCH($A300,'[5]Réel 2023'!$A$2:$A$501,0),MATCH(Q$2,'[5]Réel 2023'!$A$2:$AO$2,0))</f>
        <v>23355.3</v>
      </c>
      <c r="R300" s="577">
        <f t="shared" si="56"/>
        <v>0.60447907435511639</v>
      </c>
      <c r="S300" s="557">
        <f t="shared" si="57"/>
        <v>4297.7699999999859</v>
      </c>
      <c r="T300" s="510"/>
      <c r="U300" s="510"/>
      <c r="V300" s="510"/>
      <c r="W300" s="510"/>
      <c r="X300" s="510"/>
      <c r="Y300" s="510"/>
      <c r="Z300" s="510"/>
      <c r="AA300" s="510"/>
      <c r="AB300" s="510"/>
      <c r="AC300" s="510"/>
      <c r="AD300" s="510"/>
      <c r="AE300" s="510"/>
      <c r="AF300" s="510"/>
      <c r="AG300" s="510"/>
      <c r="AH300" s="510"/>
      <c r="AI300" s="510"/>
      <c r="AJ300" s="510"/>
      <c r="AK300" s="510"/>
      <c r="AL300" s="510"/>
      <c r="AM300" s="510"/>
      <c r="AN300" s="510"/>
    </row>
    <row r="301" spans="1:40" ht="15.75" hidden="1" customHeight="1">
      <c r="A301" s="523" t="s">
        <v>408</v>
      </c>
      <c r="B301" s="510" t="s">
        <v>103</v>
      </c>
      <c r="C301" s="531" t="s">
        <v>20</v>
      </c>
      <c r="D301" s="573">
        <f>+INDEX('[5]Budget original'!$A$2:$AO$501,MATCH($A301,'[5]Budget original'!$A$2:$A$501,0),MATCH(D$2,'[5]Budget original'!$A$2:$AO$2,0))</f>
        <v>0</v>
      </c>
      <c r="E301" s="648">
        <f>IF(D301=0,0,F301/D301)</f>
        <v>0</v>
      </c>
      <c r="F301" s="557">
        <f>+INDEX('[5]Budget original'!$A$2:$AO$501,MATCH($A301,'[5]Budget original'!$A$2:$A$501,0),MATCH(F$2,'[5]Budget original'!$A$2:$AO$2,0))</f>
        <v>0</v>
      </c>
      <c r="G301" s="573"/>
      <c r="H301" s="648"/>
      <c r="I301" s="557"/>
      <c r="J301" s="532">
        <f>-SUMIFS([5]BV_Data_An_Cour!$O:$O,[5]BV_Data_An_Cour!$X:$X,"Oui",[5]BV_Data_An_Cour!$U:$U,$B301,[5]BV_Data_An_Cour!$V:$V,$C301)</f>
        <v>0</v>
      </c>
      <c r="K301" s="648">
        <f t="shared" si="52"/>
        <v>0</v>
      </c>
      <c r="L301" s="557">
        <f>-SUMIFS([5]BV_Data_An_Cour!$O:$O,[5]BV_Data_An_Cour!$U:$U,$B301,[5]BV_Data_An_Cour!$V:$V,$C301,[5]BV_Data_An_Cour!$W:$W,$L$2)</f>
        <v>0</v>
      </c>
      <c r="M301" s="577" t="e">
        <f t="shared" si="53"/>
        <v>#DIV/0!</v>
      </c>
      <c r="N301" s="557">
        <f t="shared" si="54"/>
        <v>0</v>
      </c>
      <c r="O301" s="532">
        <f t="array" ref="O301">+INDEX('[5]Réel 2023'!$A$2:$AO$501,MATCH($A301,'[5]Réel 2023'!$A$2:$A$501,0),MATCH(O$2,'[5]Réel 2023'!$A$2:$AO$2,0))</f>
        <v>0</v>
      </c>
      <c r="P301" s="648">
        <f t="shared" si="55"/>
        <v>0</v>
      </c>
      <c r="Q301" s="557">
        <f t="array" ref="Q301">+INDEX('[5]Réel 2023'!$A$2:$AO$501,MATCH($A301,'[5]Réel 2023'!$A$2:$A$501,0),MATCH(Q$2,'[5]Réel 2023'!$A$2:$AO$2,0))</f>
        <v>0</v>
      </c>
      <c r="R301" s="577">
        <f t="shared" si="56"/>
        <v>0</v>
      </c>
      <c r="S301" s="557">
        <f t="shared" si="57"/>
        <v>0</v>
      </c>
      <c r="T301" s="510"/>
      <c r="U301" s="510"/>
      <c r="V301" s="510"/>
      <c r="W301" s="510"/>
      <c r="X301" s="510"/>
      <c r="Y301" s="510"/>
      <c r="Z301" s="510"/>
      <c r="AA301" s="510"/>
      <c r="AB301" s="510"/>
      <c r="AC301" s="510"/>
      <c r="AD301" s="510"/>
      <c r="AE301" s="510"/>
      <c r="AF301" s="510"/>
      <c r="AG301" s="510"/>
      <c r="AH301" s="510"/>
      <c r="AI301" s="510"/>
      <c r="AJ301" s="510"/>
      <c r="AK301" s="510"/>
      <c r="AL301" s="510"/>
      <c r="AM301" s="510"/>
      <c r="AN301" s="510"/>
    </row>
    <row r="302" spans="1:40" ht="15.75" customHeight="1">
      <c r="A302" s="523" t="s">
        <v>409</v>
      </c>
      <c r="B302" s="510" t="s">
        <v>103</v>
      </c>
      <c r="C302" s="531" t="s">
        <v>111</v>
      </c>
      <c r="D302" s="573">
        <f>+INDEX('[5]Budget original'!$A$2:$AO$501,MATCH($A302,'[5]Budget original'!$A$2:$A$501,0),MATCH(D$2,'[5]Budget original'!$A$2:$AO$2,0))</f>
        <v>0</v>
      </c>
      <c r="E302" s="648">
        <f t="shared" ref="E302:E309" si="59">IF(D302=0,0,F302/D302)</f>
        <v>0</v>
      </c>
      <c r="F302" s="557">
        <f>+INDEX('[5]Budget original'!$A$2:$AO$501,MATCH($A302,'[5]Budget original'!$A$2:$A$501,0),MATCH(F$2,'[5]Budget original'!$A$2:$AO$2,0))</f>
        <v>9779.4469125937139</v>
      </c>
      <c r="G302" s="573"/>
      <c r="H302" s="648"/>
      <c r="I302" s="557"/>
      <c r="J302" s="532">
        <f>-SUMIFS([5]BV_Data_An_Cour!$O:$O,[5]BV_Data_An_Cour!$X:$X,"Oui",[5]BV_Data_An_Cour!$U:$U,$B302,[5]BV_Data_An_Cour!$V:$V,$C302)</f>
        <v>0</v>
      </c>
      <c r="K302" s="648">
        <f t="shared" si="52"/>
        <v>0</v>
      </c>
      <c r="L302" s="557">
        <f>-SUMIFS([5]BV_Data_An_Cour!$O:$O,[5]BV_Data_An_Cour!$U:$U,$B302,[5]BV_Data_An_Cour!$V:$V,$C302,[5]BV_Data_An_Cour!$W:$W,$L$2)</f>
        <v>9631.32</v>
      </c>
      <c r="M302" s="577"/>
      <c r="N302" s="557">
        <f t="shared" si="54"/>
        <v>-148.12691259371422</v>
      </c>
      <c r="O302" s="532">
        <f t="array" ref="O302">+INDEX('[5]Réel 2023'!$A$2:$AO$501,MATCH($A302,'[5]Réel 2023'!$A$2:$A$501,0),MATCH(O$2,'[5]Réel 2023'!$A$2:$AO$2,0))</f>
        <v>0</v>
      </c>
      <c r="P302" s="648">
        <f t="shared" si="55"/>
        <v>0</v>
      </c>
      <c r="Q302" s="557">
        <f t="array" ref="Q302">+INDEX('[5]Réel 2023'!$A$2:$AO$501,MATCH($A302,'[5]Réel 2023'!$A$2:$A$501,0),MATCH(Q$2,'[5]Réel 2023'!$A$2:$AO$2,0))</f>
        <v>5777.25</v>
      </c>
      <c r="R302" s="577">
        <f t="shared" si="56"/>
        <v>0</v>
      </c>
      <c r="S302" s="557">
        <f t="shared" si="57"/>
        <v>3854.0699999999997</v>
      </c>
      <c r="T302" s="510"/>
      <c r="U302" s="510"/>
      <c r="V302" s="510"/>
      <c r="W302" s="510"/>
      <c r="X302" s="510"/>
      <c r="Y302" s="510"/>
      <c r="Z302" s="510"/>
      <c r="AA302" s="510"/>
      <c r="AB302" s="510"/>
      <c r="AC302" s="510"/>
      <c r="AD302" s="510"/>
      <c r="AE302" s="510"/>
      <c r="AF302" s="510"/>
      <c r="AG302" s="510"/>
      <c r="AH302" s="510"/>
      <c r="AI302" s="510"/>
      <c r="AJ302" s="510"/>
      <c r="AK302" s="510"/>
      <c r="AL302" s="510"/>
      <c r="AM302" s="510"/>
      <c r="AN302" s="510"/>
    </row>
    <row r="303" spans="1:40" ht="15.75" customHeight="1">
      <c r="A303" s="523" t="s">
        <v>410</v>
      </c>
      <c r="B303" s="510" t="s">
        <v>103</v>
      </c>
      <c r="C303" s="524" t="s">
        <v>112</v>
      </c>
      <c r="D303" s="573">
        <f>+INDEX('[5]Budget original'!$A$2:$AO$501,MATCH($A303,'[5]Budget original'!$A$2:$A$501,0),MATCH(D$2,'[5]Budget original'!$A$2:$AO$2,0))</f>
        <v>0</v>
      </c>
      <c r="E303" s="648">
        <f t="shared" si="59"/>
        <v>0</v>
      </c>
      <c r="F303" s="557">
        <f>+INDEX('[5]Budget original'!$A$2:$AO$501,MATCH($A303,'[5]Budget original'!$A$2:$A$501,0),MATCH(F$2,'[5]Budget original'!$A$2:$AO$2,0))</f>
        <v>0</v>
      </c>
      <c r="G303" s="573"/>
      <c r="H303" s="648"/>
      <c r="I303" s="557"/>
      <c r="J303" s="532">
        <f>-SUMIFS([5]BV_Data_An_Cour!$O:$O,[5]BV_Data_An_Cour!$X:$X,"Oui",[5]BV_Data_An_Cour!$U:$U,$B303,[5]BV_Data_An_Cour!$V:$V,$C303)</f>
        <v>0</v>
      </c>
      <c r="K303" s="648">
        <f t="shared" si="52"/>
        <v>0</v>
      </c>
      <c r="L303" s="557">
        <f>-SUMIFS([5]BV_Data_An_Cour!$O:$O,[5]BV_Data_An_Cour!$U:$U,$B303,[5]BV_Data_An_Cour!$V:$V,$C303,[5]BV_Data_An_Cour!$W:$W,$L$2)</f>
        <v>0</v>
      </c>
      <c r="M303" s="577"/>
      <c r="N303" s="557">
        <f t="shared" si="54"/>
        <v>0</v>
      </c>
      <c r="O303" s="532">
        <f t="array" ref="O303">+INDEX('[5]Réel 2023'!$A$2:$AO$501,MATCH($A303,'[5]Réel 2023'!$A$2:$A$501,0),MATCH(O$2,'[5]Réel 2023'!$A$2:$AO$2,0))</f>
        <v>0</v>
      </c>
      <c r="P303" s="648">
        <f t="shared" si="55"/>
        <v>0</v>
      </c>
      <c r="Q303" s="557">
        <f t="array" ref="Q303">+INDEX('[5]Réel 2023'!$A$2:$AO$501,MATCH($A303,'[5]Réel 2023'!$A$2:$A$501,0),MATCH(Q$2,'[5]Réel 2023'!$A$2:$AO$2,0))</f>
        <v>0</v>
      </c>
      <c r="R303" s="577">
        <f t="shared" si="56"/>
        <v>0</v>
      </c>
      <c r="S303" s="557">
        <f t="shared" si="57"/>
        <v>0</v>
      </c>
      <c r="T303" s="510"/>
      <c r="U303" s="510"/>
      <c r="V303" s="510"/>
      <c r="W303" s="510"/>
      <c r="X303" s="510"/>
      <c r="Y303" s="510"/>
      <c r="Z303" s="510"/>
      <c r="AA303" s="510"/>
      <c r="AB303" s="510"/>
      <c r="AC303" s="510"/>
      <c r="AD303" s="510"/>
      <c r="AE303" s="510"/>
      <c r="AF303" s="510"/>
      <c r="AG303" s="510"/>
      <c r="AH303" s="510"/>
      <c r="AI303" s="510"/>
      <c r="AJ303" s="510"/>
      <c r="AK303" s="510"/>
      <c r="AL303" s="510"/>
      <c r="AM303" s="510"/>
      <c r="AN303" s="510"/>
    </row>
    <row r="304" spans="1:40" ht="15.75" customHeight="1">
      <c r="A304" s="523" t="s">
        <v>411</v>
      </c>
      <c r="B304" s="510" t="s">
        <v>103</v>
      </c>
      <c r="C304" s="550" t="s">
        <v>113</v>
      </c>
      <c r="D304" s="688">
        <f>SUM(D295:D303)</f>
        <v>534467.82606524706</v>
      </c>
      <c r="E304" s="707">
        <f>IF(D304&lt;=0,0,F304/D304)</f>
        <v>0.27625568275790163</v>
      </c>
      <c r="F304" s="690">
        <f>SUM(F295:F303)</f>
        <v>147649.77420178623</v>
      </c>
      <c r="G304" s="688"/>
      <c r="H304" s="707"/>
      <c r="I304" s="690"/>
      <c r="J304" s="688">
        <f t="shared" ref="J304" si="60">SUM(J295:J303)</f>
        <v>471079.64</v>
      </c>
      <c r="K304" s="707">
        <f t="shared" si="52"/>
        <v>0.23351856174467653</v>
      </c>
      <c r="L304" s="690">
        <f>SUM(L295:L303)</f>
        <v>110005.84</v>
      </c>
      <c r="M304" s="708">
        <f>(+J304-D304)/D304</f>
        <v>-0.1186005648495457</v>
      </c>
      <c r="N304" s="690">
        <f t="shared" si="54"/>
        <v>-37643.934201786236</v>
      </c>
      <c r="O304" s="688">
        <f>SUM(O295:O303)</f>
        <v>398752.71</v>
      </c>
      <c r="P304" s="707">
        <f>IF(O304&lt;=0,0,Q304/O304)</f>
        <v>0.26749904721650664</v>
      </c>
      <c r="Q304" s="690">
        <f t="shared" ref="Q304" si="61">SUM(Q295:Q303)</f>
        <v>106665.96999999999</v>
      </c>
      <c r="R304" s="708">
        <f t="shared" si="56"/>
        <v>0.18138291774869691</v>
      </c>
      <c r="S304" s="690">
        <f t="shared" si="57"/>
        <v>3339.8700000000099</v>
      </c>
      <c r="T304" s="510"/>
      <c r="U304" s="510"/>
      <c r="V304" s="510"/>
      <c r="W304" s="510"/>
      <c r="X304" s="510"/>
      <c r="Y304" s="510"/>
      <c r="Z304" s="510"/>
      <c r="AA304" s="510"/>
      <c r="AB304" s="510"/>
      <c r="AC304" s="510"/>
      <c r="AD304" s="510"/>
      <c r="AE304" s="510"/>
      <c r="AF304" s="510"/>
      <c r="AG304" s="510"/>
      <c r="AH304" s="510"/>
      <c r="AI304" s="510"/>
      <c r="AJ304" s="510"/>
      <c r="AK304" s="510"/>
      <c r="AL304" s="510"/>
      <c r="AM304" s="510"/>
      <c r="AN304" s="510"/>
    </row>
    <row r="305" spans="1:40" ht="15.75" customHeight="1">
      <c r="A305" s="523" t="s">
        <v>103</v>
      </c>
      <c r="B305" s="510" t="s">
        <v>103</v>
      </c>
      <c r="C305" s="531"/>
      <c r="D305" s="510"/>
      <c r="E305" s="510"/>
      <c r="F305" s="541"/>
      <c r="G305" s="531"/>
      <c r="H305" s="510"/>
      <c r="I305" s="541"/>
      <c r="J305" s="531"/>
      <c r="K305" s="510"/>
      <c r="L305" s="541"/>
      <c r="M305" s="531"/>
      <c r="N305" s="549">
        <f>N304/F304</f>
        <v>-0.25495422803925172</v>
      </c>
      <c r="O305" s="531"/>
      <c r="P305" s="510"/>
      <c r="Q305" s="541"/>
      <c r="R305" s="531"/>
      <c r="S305" s="549">
        <f>IF(Q304=0,0,S304/Q304)</f>
        <v>3.1311485753141424E-2</v>
      </c>
      <c r="T305" s="510"/>
      <c r="U305" s="510"/>
      <c r="V305" s="510"/>
      <c r="W305" s="510"/>
      <c r="X305" s="510"/>
      <c r="Y305" s="510"/>
      <c r="Z305" s="510"/>
      <c r="AA305" s="510"/>
      <c r="AB305" s="510"/>
      <c r="AC305" s="510"/>
      <c r="AD305" s="510"/>
      <c r="AE305" s="510"/>
      <c r="AF305" s="510"/>
      <c r="AG305" s="510"/>
      <c r="AH305" s="510"/>
      <c r="AI305" s="510"/>
      <c r="AJ305" s="510"/>
      <c r="AK305" s="510"/>
      <c r="AL305" s="510"/>
      <c r="AM305" s="510"/>
      <c r="AN305" s="510"/>
    </row>
    <row r="306" spans="1:40" ht="15.75" customHeight="1">
      <c r="A306" s="523" t="s">
        <v>103</v>
      </c>
      <c r="B306" s="510" t="s">
        <v>103</v>
      </c>
      <c r="C306" s="524"/>
      <c r="D306" s="607"/>
      <c r="E306" s="607"/>
      <c r="F306" s="709"/>
      <c r="G306" s="524"/>
      <c r="H306" s="607"/>
      <c r="I306" s="709"/>
      <c r="J306" s="524"/>
      <c r="K306" s="607"/>
      <c r="L306" s="709"/>
      <c r="M306" s="524"/>
      <c r="N306" s="668"/>
      <c r="O306" s="524"/>
      <c r="P306" s="607"/>
      <c r="Q306" s="709"/>
      <c r="R306" s="524"/>
      <c r="S306" s="668"/>
      <c r="T306" s="510"/>
      <c r="U306" s="510"/>
      <c r="V306" s="510"/>
      <c r="W306" s="510"/>
      <c r="X306" s="510"/>
      <c r="Y306" s="510"/>
      <c r="Z306" s="510"/>
      <c r="AA306" s="510"/>
      <c r="AB306" s="510"/>
      <c r="AC306" s="510"/>
      <c r="AD306" s="510"/>
      <c r="AE306" s="510"/>
      <c r="AF306" s="510"/>
      <c r="AG306" s="510"/>
      <c r="AH306" s="510"/>
      <c r="AI306" s="510"/>
      <c r="AJ306" s="510"/>
      <c r="AK306" s="510"/>
      <c r="AL306" s="510"/>
      <c r="AM306" s="510"/>
      <c r="AN306" s="510"/>
    </row>
    <row r="307" spans="1:40" ht="15.75" customHeight="1">
      <c r="A307" s="523" t="s">
        <v>412</v>
      </c>
      <c r="B307" s="510" t="s">
        <v>103</v>
      </c>
      <c r="C307" s="531" t="s">
        <v>114</v>
      </c>
      <c r="D307" s="573">
        <f>+INDEX('[5]Budget original'!$A$2:$AO$501,MATCH($A307,'[5]Budget original'!$A$2:$A$501,0),MATCH(D$2,'[5]Budget original'!$A$2:$AO$2,0))</f>
        <v>67815.48</v>
      </c>
      <c r="E307" s="648">
        <f>IF(D307=0,0,F307/D307)</f>
        <v>0.18</v>
      </c>
      <c r="F307" s="606">
        <f>+INDEX('[5]Budget original'!$A$2:$AO$501,MATCH($A307,'[5]Budget original'!$A$2:$A$501,0),MATCH(F$2,'[5]Budget original'!$A$2:$AO$2,0))</f>
        <v>12206.786399999999</v>
      </c>
      <c r="G307" s="573"/>
      <c r="H307" s="648"/>
      <c r="I307" s="606"/>
      <c r="J307" s="532">
        <f>-SUMIFS([5]BV_Data_An_Cour!$O:$O,[5]BV_Data_An_Cour!$X:$X,"Oui",[5]BV_Data_An_Cour!$U:$U,$B307,[5]BV_Data_An_Cour!$V:$V,$C307)</f>
        <v>70357.13</v>
      </c>
      <c r="K307" s="648">
        <f t="shared" ref="K307:K309" si="62">IF(J307&lt;=0,0,L307/J307)</f>
        <v>0.17202833600517828</v>
      </c>
      <c r="L307" s="606">
        <f>-SUMIFS([5]BV_Data_An_Cour!$O:$O,[5]BV_Data_An_Cour!$U:$U,$B307,[5]BV_Data_An_Cour!$V:$V,$C307,[5]BV_Data_An_Cour!$W:$W,$L$2)</f>
        <v>12103.420000000009</v>
      </c>
      <c r="M307" s="577">
        <f>(+J307-D307)/D307</f>
        <v>3.7478905996094235E-2</v>
      </c>
      <c r="N307" s="557">
        <f>L307-F307</f>
        <v>-103.36639999998988</v>
      </c>
      <c r="O307" s="532">
        <f t="array" ref="O307">+INDEX('[5]Réel 2023'!$A$2:$AO$501,MATCH($A307,'[5]Réel 2023'!$A$2:$A$501,0),MATCH(O$2,'[5]Réel 2023'!$A$2:$AO$2,0))</f>
        <v>77932.36</v>
      </c>
      <c r="P307" s="648">
        <f t="shared" ref="P307:P308" si="63">IF(O307=0,0,Q307/O307)</f>
        <v>0.1819295604547328</v>
      </c>
      <c r="Q307" s="606">
        <f t="array" ref="Q307">+INDEX('[5]Réel 2023'!$A$2:$AO$501,MATCH($A307,'[5]Réel 2023'!$A$2:$A$501,0),MATCH(Q$2,'[5]Réel 2023'!$A$2:$AO$2,0))</f>
        <v>14178.2</v>
      </c>
      <c r="R307" s="577">
        <f t="shared" ref="R307:R309" si="64">IF(O307=0,0,(J307-O307)/O307)</f>
        <v>-9.7202625456228917E-2</v>
      </c>
      <c r="S307" s="557">
        <f t="shared" ref="S307:S309" si="65">L307-Q307</f>
        <v>-2074.7799999999916</v>
      </c>
      <c r="T307" s="510"/>
      <c r="U307" s="510"/>
      <c r="V307" s="510"/>
      <c r="W307" s="510"/>
      <c r="X307" s="510"/>
      <c r="Y307" s="510"/>
      <c r="Z307" s="510"/>
      <c r="AA307" s="510"/>
      <c r="AB307" s="510"/>
      <c r="AC307" s="510"/>
      <c r="AD307" s="510"/>
      <c r="AE307" s="510"/>
      <c r="AF307" s="510"/>
      <c r="AG307" s="510"/>
      <c r="AH307" s="510"/>
      <c r="AI307" s="510"/>
      <c r="AJ307" s="510"/>
      <c r="AK307" s="510"/>
      <c r="AL307" s="510"/>
      <c r="AM307" s="510"/>
      <c r="AN307" s="510"/>
    </row>
    <row r="308" spans="1:40" ht="15.75" customHeight="1">
      <c r="A308" s="523" t="s">
        <v>413</v>
      </c>
      <c r="B308" s="510" t="s">
        <v>103</v>
      </c>
      <c r="C308" s="524" t="s">
        <v>115</v>
      </c>
      <c r="D308" s="573">
        <f>+INDEX('[5]Budget original'!$A$2:$AO$501,MATCH($A308,'[5]Budget original'!$A$2:$A$501,0),MATCH(D$2,'[5]Budget original'!$A$2:$AO$2,0))</f>
        <v>32217.4375</v>
      </c>
      <c r="E308" s="648">
        <f>IF(D308=0,0,F308/D308)</f>
        <v>0.26</v>
      </c>
      <c r="F308" s="582">
        <f>+INDEX('[5]Budget original'!$A$2:$AO$501,MATCH($A308,'[5]Budget original'!$A$2:$A$501,0),MATCH(F$2,'[5]Budget original'!$A$2:$AO$2,0))</f>
        <v>8376.5337500000005</v>
      </c>
      <c r="G308" s="573"/>
      <c r="H308" s="648"/>
      <c r="I308" s="582"/>
      <c r="J308" s="532">
        <f>-SUMIFS([5]BV_Data_An_Cour!$O:$O,[5]BV_Data_An_Cour!$X:$X,"Oui",[5]BV_Data_An_Cour!$U:$U,$B308,[5]BV_Data_An_Cour!$V:$V,$C308)</f>
        <v>30225.95</v>
      </c>
      <c r="K308" s="648">
        <f t="shared" si="62"/>
        <v>0.26090594340293694</v>
      </c>
      <c r="L308" s="582">
        <f>-SUMIFS([5]BV_Data_An_Cour!$O:$O,[5]BV_Data_An_Cour!$U:$U,$B308,[5]BV_Data_An_Cour!$V:$V,$C308,[5]BV_Data_An_Cour!$W:$W,$L$2)</f>
        <v>7886.130000000001</v>
      </c>
      <c r="M308" s="577">
        <f>(+J308-D308)/D308</f>
        <v>-6.1813963323433134E-2</v>
      </c>
      <c r="N308" s="557">
        <f>L308-F308</f>
        <v>-490.40374999999949</v>
      </c>
      <c r="O308" s="532">
        <f t="array" ref="O308">+INDEX('[5]Réel 2023'!$A$2:$AO$501,MATCH($A308,'[5]Réel 2023'!$A$2:$A$501,0),MATCH(O$2,'[5]Réel 2023'!$A$2:$AO$2,0))</f>
        <v>26618.27</v>
      </c>
      <c r="P308" s="648">
        <f t="shared" si="63"/>
        <v>0.21983885504204442</v>
      </c>
      <c r="Q308" s="582">
        <f t="array" ref="Q308">+INDEX('[5]Réel 2023'!$A$2:$AO$501,MATCH($A308,'[5]Réel 2023'!$A$2:$A$501,0),MATCH(Q$2,'[5]Réel 2023'!$A$2:$AO$2,0))</f>
        <v>5851.73</v>
      </c>
      <c r="R308" s="577">
        <f t="shared" si="64"/>
        <v>0.13553397722691971</v>
      </c>
      <c r="S308" s="557">
        <f t="shared" si="65"/>
        <v>2034.4000000000015</v>
      </c>
      <c r="T308" s="510"/>
      <c r="U308" s="510"/>
      <c r="V308" s="510"/>
      <c r="W308" s="510"/>
      <c r="X308" s="510"/>
      <c r="Y308" s="510"/>
      <c r="Z308" s="510"/>
      <c r="AA308" s="510"/>
      <c r="AB308" s="510"/>
      <c r="AC308" s="510"/>
      <c r="AD308" s="510"/>
      <c r="AE308" s="510"/>
      <c r="AF308" s="510"/>
      <c r="AG308" s="510"/>
      <c r="AH308" s="510"/>
      <c r="AI308" s="510"/>
      <c r="AJ308" s="510"/>
      <c r="AK308" s="510"/>
      <c r="AL308" s="510"/>
      <c r="AM308" s="510"/>
      <c r="AN308" s="510"/>
    </row>
    <row r="309" spans="1:40" ht="15.75" customHeight="1">
      <c r="A309" s="523" t="s">
        <v>414</v>
      </c>
      <c r="B309" s="510" t="s">
        <v>103</v>
      </c>
      <c r="C309" s="550" t="s">
        <v>116</v>
      </c>
      <c r="D309" s="688">
        <f>D304+D307+D308</f>
        <v>634500.74356524704</v>
      </c>
      <c r="E309" s="707">
        <f>IF(D309&lt;=0,0,F309/D309)</f>
        <v>0.26514246997803004</v>
      </c>
      <c r="F309" s="690">
        <f>F304+F307+F308</f>
        <v>168233.09435178625</v>
      </c>
      <c r="G309" s="691"/>
      <c r="H309" s="707"/>
      <c r="I309" s="690"/>
      <c r="J309" s="691">
        <f t="shared" ref="J309" si="66">J304+J307+J308</f>
        <v>571662.72</v>
      </c>
      <c r="K309" s="707">
        <f t="shared" si="62"/>
        <v>0.22739875358673034</v>
      </c>
      <c r="L309" s="690">
        <f>L304+L307+L308</f>
        <v>129995.39000000001</v>
      </c>
      <c r="M309" s="708">
        <f>(+J309-D309)/D309</f>
        <v>-9.9035382074040557E-2</v>
      </c>
      <c r="N309" s="690">
        <f>L309-F309</f>
        <v>-38237.704351786233</v>
      </c>
      <c r="O309" s="691">
        <f>O304+O307+O308</f>
        <v>503303.34</v>
      </c>
      <c r="P309" s="707">
        <f>IF(O309&lt;=0,0,Q309/O309)</f>
        <v>0.2517287089730022</v>
      </c>
      <c r="Q309" s="690">
        <f t="shared" ref="Q309" si="67">Q304+Q307+Q308</f>
        <v>126695.89999999998</v>
      </c>
      <c r="R309" s="708">
        <f t="shared" si="64"/>
        <v>0.13582143126648025</v>
      </c>
      <c r="S309" s="690">
        <f t="shared" si="65"/>
        <v>3299.4900000000343</v>
      </c>
      <c r="T309" s="510"/>
      <c r="U309" s="573"/>
      <c r="V309" s="510"/>
      <c r="W309" s="510"/>
      <c r="X309" s="510"/>
      <c r="Y309" s="510"/>
      <c r="Z309" s="510"/>
      <c r="AA309" s="510"/>
      <c r="AB309" s="510"/>
      <c r="AC309" s="510"/>
      <c r="AD309" s="510"/>
      <c r="AE309" s="510"/>
      <c r="AF309" s="510"/>
      <c r="AG309" s="510"/>
      <c r="AH309" s="510"/>
      <c r="AI309" s="510"/>
      <c r="AJ309" s="510"/>
      <c r="AK309" s="510"/>
      <c r="AL309" s="510"/>
      <c r="AM309" s="510"/>
      <c r="AN309" s="510"/>
    </row>
    <row r="310" spans="1:40" ht="15.75" customHeight="1">
      <c r="A310" s="523" t="s">
        <v>103</v>
      </c>
      <c r="B310" s="510" t="s">
        <v>103</v>
      </c>
      <c r="C310" s="531"/>
      <c r="D310" s="510"/>
      <c r="E310" s="510"/>
      <c r="F310" s="541"/>
      <c r="G310" s="531"/>
      <c r="H310" s="510"/>
      <c r="I310" s="541"/>
      <c r="J310" s="531"/>
      <c r="K310" s="510"/>
      <c r="L310" s="541"/>
      <c r="M310" s="531"/>
      <c r="N310" s="549">
        <f>N309/F309</f>
        <v>-0.22729002577714422</v>
      </c>
      <c r="O310" s="531"/>
      <c r="P310" s="510"/>
      <c r="Q310" s="541"/>
      <c r="R310" s="531"/>
      <c r="S310" s="549">
        <f>IF(Q309=0,0,S309/Q309)</f>
        <v>2.6042594906386354E-2</v>
      </c>
      <c r="T310" s="510"/>
      <c r="U310" s="510"/>
      <c r="V310" s="510"/>
      <c r="W310" s="510"/>
      <c r="X310" s="510"/>
      <c r="Y310" s="510"/>
      <c r="Z310" s="510"/>
      <c r="AA310" s="510"/>
      <c r="AB310" s="510"/>
      <c r="AC310" s="510"/>
      <c r="AD310" s="510"/>
      <c r="AE310" s="510"/>
      <c r="AF310" s="510"/>
      <c r="AG310" s="510"/>
      <c r="AH310" s="510"/>
      <c r="AI310" s="510"/>
      <c r="AJ310" s="510"/>
      <c r="AK310" s="510"/>
      <c r="AL310" s="510"/>
      <c r="AM310" s="510"/>
      <c r="AN310" s="510"/>
    </row>
    <row r="311" spans="1:40" ht="15.75" customHeight="1">
      <c r="A311" s="523" t="s">
        <v>103</v>
      </c>
      <c r="B311" s="510" t="s">
        <v>103</v>
      </c>
      <c r="C311" s="531"/>
      <c r="D311" s="510"/>
      <c r="E311" s="510"/>
      <c r="F311" s="541"/>
      <c r="G311" s="531"/>
      <c r="H311" s="510"/>
      <c r="I311" s="541"/>
      <c r="J311" s="531"/>
      <c r="K311" s="510"/>
      <c r="L311" s="541"/>
      <c r="M311" s="531"/>
      <c r="N311" s="549"/>
      <c r="O311" s="531"/>
      <c r="P311" s="510"/>
      <c r="Q311" s="541"/>
      <c r="R311" s="531"/>
      <c r="S311" s="549"/>
      <c r="T311" s="510"/>
      <c r="U311" s="510"/>
      <c r="V311" s="510"/>
      <c r="W311" s="510"/>
      <c r="X311" s="510"/>
      <c r="Y311" s="510"/>
      <c r="Z311" s="510"/>
      <c r="AA311" s="510"/>
      <c r="AB311" s="510"/>
      <c r="AC311" s="510"/>
      <c r="AD311" s="510"/>
      <c r="AE311" s="510"/>
      <c r="AF311" s="510"/>
      <c r="AG311" s="510"/>
      <c r="AH311" s="510"/>
      <c r="AI311" s="510"/>
      <c r="AJ311" s="510"/>
      <c r="AK311" s="510"/>
      <c r="AL311" s="510"/>
      <c r="AM311" s="510"/>
      <c r="AN311" s="510"/>
    </row>
    <row r="312" spans="1:40" ht="15.75" customHeight="1">
      <c r="A312" s="523" t="s">
        <v>415</v>
      </c>
      <c r="B312" s="510" t="s">
        <v>103</v>
      </c>
      <c r="C312" s="524" t="s">
        <v>117</v>
      </c>
      <c r="D312" s="580">
        <f>+INDEX('[5]Budget original'!$A$2:$AO$501,MATCH($A312,'[5]Budget original'!$A$2:$A$501,0),MATCH(D$2,'[5]Budget original'!$A$2:$AO$2,0))</f>
        <v>0</v>
      </c>
      <c r="E312" s="710">
        <f>IF(D312=0,0,F312/D312)</f>
        <v>0</v>
      </c>
      <c r="F312" s="582">
        <f>+INDEX('[5]Budget original'!$A$2:$AO$501,MATCH($A312,'[5]Budget original'!$A$2:$A$501,0),MATCH(F$2,'[5]Budget original'!$A$2:$AO$2,0))</f>
        <v>0</v>
      </c>
      <c r="G312" s="663"/>
      <c r="H312" s="710"/>
      <c r="I312" s="582"/>
      <c r="J312" s="545">
        <f>-SUMIFS([5]BV_Data_An_Cour!$O:$O,[5]BV_Data_An_Cour!$X:$X,"Oui",[5]BV_Data_An_Cour!$U:$U,$B312,[5]BV_Data_An_Cour!$V:$V,$C312)</f>
        <v>0</v>
      </c>
      <c r="K312" s="710">
        <f>IF(J312&lt;=0,0,L312/J312)</f>
        <v>0</v>
      </c>
      <c r="L312" s="526">
        <f>-SUMIFS([5]BV_Data_An_Cour!$O:$O,[5]BV_Data_An_Cour!$U:$U,$B312,[5]BV_Data_An_Cour!$V:$V,$C312,[5]BV_Data_An_Cour!$W:$W,$L$2)</f>
        <v>0</v>
      </c>
      <c r="M312" s="710">
        <f>IF(F312=0,0,(+L312-F312)/F312)</f>
        <v>0</v>
      </c>
      <c r="N312" s="582">
        <f>L312-F312</f>
        <v>0</v>
      </c>
      <c r="O312" s="545">
        <f t="array" ref="O312">+INDEX('[5]Réel 2023'!$A$2:$AO$501,MATCH($A312,'[5]Réel 2023'!$A$2:$A$501,0),MATCH(O$2,'[5]Réel 2023'!$A$2:$AO$2,0))</f>
        <v>0</v>
      </c>
      <c r="P312" s="710">
        <f>IF(O312=0,0,Q312/O312)</f>
        <v>0</v>
      </c>
      <c r="Q312" s="526">
        <f t="array" ref="Q312">+INDEX('[5]Réel 2023'!$A$2:$AO$501,MATCH($A312,'[5]Réel 2023'!$A$2:$A$501,0),MATCH(Q$2,'[5]Réel 2023'!$A$2:$AO$2,0))</f>
        <v>0</v>
      </c>
      <c r="R312" s="710">
        <f>IF(S312=0,0,(+O312-K312)/K312)</f>
        <v>0</v>
      </c>
      <c r="S312" s="582">
        <f>L312-Q312</f>
        <v>0</v>
      </c>
      <c r="T312" s="510"/>
      <c r="U312" s="573"/>
      <c r="V312" s="510"/>
      <c r="W312" s="510"/>
      <c r="X312" s="510"/>
      <c r="Y312" s="510"/>
      <c r="Z312" s="510"/>
      <c r="AA312" s="510"/>
      <c r="AB312" s="510"/>
      <c r="AC312" s="510"/>
      <c r="AD312" s="510"/>
      <c r="AE312" s="510"/>
      <c r="AF312" s="510"/>
      <c r="AG312" s="510"/>
      <c r="AH312" s="510"/>
      <c r="AI312" s="510"/>
      <c r="AJ312" s="510"/>
      <c r="AK312" s="510"/>
      <c r="AL312" s="510"/>
      <c r="AM312" s="510"/>
      <c r="AN312" s="510"/>
    </row>
    <row r="313" spans="1:40" ht="15.75" customHeight="1" thickBot="1">
      <c r="A313" s="523" t="s">
        <v>103</v>
      </c>
      <c r="B313" s="510" t="s">
        <v>103</v>
      </c>
      <c r="C313" s="531"/>
      <c r="D313" s="573"/>
      <c r="E313" s="648"/>
      <c r="F313" s="557"/>
      <c r="G313" s="558"/>
      <c r="H313" s="648"/>
      <c r="I313" s="557"/>
      <c r="J313" s="558"/>
      <c r="K313" s="648"/>
      <c r="L313" s="557"/>
      <c r="M313" s="577"/>
      <c r="N313" s="557"/>
      <c r="O313" s="558"/>
      <c r="P313" s="648"/>
      <c r="Q313" s="557"/>
      <c r="R313" s="577"/>
      <c r="S313" s="557"/>
      <c r="T313" s="510"/>
      <c r="U313" s="510"/>
      <c r="V313" s="510"/>
      <c r="W313" s="510"/>
      <c r="X313" s="510"/>
      <c r="Y313" s="510"/>
      <c r="Z313" s="510"/>
      <c r="AA313" s="510"/>
      <c r="AB313" s="510"/>
      <c r="AC313" s="510"/>
      <c r="AD313" s="510"/>
      <c r="AE313" s="510"/>
      <c r="AF313" s="510"/>
      <c r="AG313" s="510"/>
      <c r="AH313" s="510"/>
      <c r="AI313" s="510"/>
      <c r="AJ313" s="510"/>
      <c r="AK313" s="510"/>
      <c r="AL313" s="510"/>
      <c r="AM313" s="510"/>
      <c r="AN313" s="510"/>
    </row>
    <row r="314" spans="1:40" ht="15.75" customHeight="1" thickTop="1">
      <c r="A314" s="523" t="s">
        <v>416</v>
      </c>
      <c r="B314" s="510" t="s">
        <v>103</v>
      </c>
      <c r="C314" s="559" t="s">
        <v>118</v>
      </c>
      <c r="D314" s="560">
        <f>D309+D312</f>
        <v>634500.74356524704</v>
      </c>
      <c r="E314" s="711">
        <f>IF(D314&lt;=0,0,F314/D314)</f>
        <v>0.26514246997803004</v>
      </c>
      <c r="F314" s="562">
        <f>F309+F312</f>
        <v>168233.09435178625</v>
      </c>
      <c r="G314" s="563"/>
      <c r="H314" s="711"/>
      <c r="I314" s="562"/>
      <c r="J314" s="563">
        <f t="shared" ref="J314" si="68">J309+J312</f>
        <v>571662.72</v>
      </c>
      <c r="K314" s="711">
        <f>IF(J314&lt;=0,0,L314/J314)</f>
        <v>0.22739875358673034</v>
      </c>
      <c r="L314" s="562">
        <f>L309+L312</f>
        <v>129995.39000000001</v>
      </c>
      <c r="M314" s="712">
        <f>(+J314-D314)/D314</f>
        <v>-9.9035382074040557E-2</v>
      </c>
      <c r="N314" s="713">
        <f>L314-F314</f>
        <v>-38237.704351786233</v>
      </c>
      <c r="O314" s="563">
        <f>O309+O312</f>
        <v>503303.34</v>
      </c>
      <c r="P314" s="711">
        <f>IF(O314&lt;=0,0,Q314/O314)</f>
        <v>0.2517287089730022</v>
      </c>
      <c r="Q314" s="562">
        <f t="shared" ref="Q314" si="69">Q309+Q312</f>
        <v>126695.89999999998</v>
      </c>
      <c r="R314" s="712">
        <f>IF(O314=0,0,(J314-O314)/O314)</f>
        <v>0.13582143126648025</v>
      </c>
      <c r="S314" s="713">
        <f>L314-Q314</f>
        <v>3299.4900000000343</v>
      </c>
      <c r="T314" s="510"/>
      <c r="U314" s="573"/>
      <c r="V314" s="573"/>
      <c r="W314" s="573"/>
      <c r="X314" s="510"/>
      <c r="Y314" s="510"/>
      <c r="Z314" s="510"/>
      <c r="AA314" s="510"/>
      <c r="AB314" s="510"/>
      <c r="AC314" s="510"/>
      <c r="AD314" s="510"/>
      <c r="AE314" s="510"/>
      <c r="AF314" s="510"/>
      <c r="AG314" s="510"/>
      <c r="AH314" s="510"/>
      <c r="AI314" s="510"/>
      <c r="AJ314" s="510"/>
      <c r="AK314" s="510"/>
      <c r="AL314" s="510"/>
      <c r="AM314" s="510"/>
      <c r="AN314" s="510"/>
    </row>
    <row r="315" spans="1:40" ht="15.75" customHeight="1" thickBot="1">
      <c r="A315" s="523" t="s">
        <v>103</v>
      </c>
      <c r="B315" s="510" t="s">
        <v>103</v>
      </c>
      <c r="C315" s="625"/>
      <c r="D315" s="714"/>
      <c r="E315" s="715"/>
      <c r="F315" s="628"/>
      <c r="G315" s="716"/>
      <c r="H315" s="715"/>
      <c r="I315" s="628"/>
      <c r="J315" s="716"/>
      <c r="K315" s="715"/>
      <c r="L315" s="717">
        <f>L314/F314</f>
        <v>0.77270997422285581</v>
      </c>
      <c r="M315" s="718"/>
      <c r="N315" s="570">
        <f>N314/F314</f>
        <v>-0.22729002577714422</v>
      </c>
      <c r="O315" s="716"/>
      <c r="P315" s="715"/>
      <c r="Q315" s="628"/>
      <c r="R315" s="718"/>
      <c r="S315" s="570">
        <f>IF(Q314=0,0,S314/Q314)</f>
        <v>2.6042594906386354E-2</v>
      </c>
      <c r="T315" s="510"/>
      <c r="U315" s="510"/>
      <c r="V315" s="510"/>
      <c r="W315" s="510"/>
      <c r="X315" s="510"/>
      <c r="Y315" s="510"/>
      <c r="Z315" s="510"/>
      <c r="AA315" s="510"/>
      <c r="AB315" s="510"/>
      <c r="AC315" s="510"/>
      <c r="AD315" s="510"/>
      <c r="AE315" s="510"/>
      <c r="AF315" s="510"/>
      <c r="AG315" s="510"/>
      <c r="AH315" s="510"/>
      <c r="AI315" s="510"/>
      <c r="AJ315" s="510"/>
      <c r="AK315" s="510"/>
      <c r="AL315" s="510"/>
      <c r="AM315" s="510"/>
      <c r="AN315" s="510"/>
    </row>
    <row r="316" spans="1:40" ht="15.75" customHeight="1" thickTop="1">
      <c r="A316" s="523" t="s">
        <v>103</v>
      </c>
      <c r="B316" s="510" t="s">
        <v>103</v>
      </c>
      <c r="C316" s="550"/>
      <c r="D316" s="608"/>
      <c r="E316" s="670"/>
      <c r="F316" s="672"/>
      <c r="G316" s="671"/>
      <c r="H316" s="670"/>
      <c r="I316" s="672"/>
      <c r="J316" s="671"/>
      <c r="K316" s="670"/>
      <c r="L316" s="672"/>
      <c r="M316" s="531"/>
      <c r="N316" s="549"/>
      <c r="O316" s="671"/>
      <c r="P316" s="670"/>
      <c r="Q316" s="672"/>
      <c r="R316" s="531"/>
      <c r="S316" s="549"/>
      <c r="T316" s="510"/>
      <c r="U316" s="510"/>
      <c r="V316" s="510"/>
      <c r="W316" s="510"/>
      <c r="X316" s="510"/>
      <c r="Y316" s="510"/>
      <c r="Z316" s="510"/>
      <c r="AA316" s="510"/>
      <c r="AB316" s="510"/>
      <c r="AC316" s="510"/>
      <c r="AD316" s="510"/>
      <c r="AE316" s="510"/>
      <c r="AF316" s="510"/>
      <c r="AG316" s="510"/>
      <c r="AH316" s="510"/>
      <c r="AI316" s="510"/>
      <c r="AJ316" s="510"/>
      <c r="AK316" s="510"/>
      <c r="AL316" s="510"/>
      <c r="AM316" s="510"/>
      <c r="AN316" s="510"/>
    </row>
    <row r="317" spans="1:40" ht="15.75" customHeight="1">
      <c r="A317" s="523" t="s">
        <v>417</v>
      </c>
      <c r="B317" s="510" t="s">
        <v>103</v>
      </c>
      <c r="C317" s="574" t="s">
        <v>30</v>
      </c>
      <c r="D317" s="510"/>
      <c r="E317" s="510"/>
      <c r="F317" s="557"/>
      <c r="G317" s="531"/>
      <c r="H317" s="510"/>
      <c r="I317" s="557"/>
      <c r="J317" s="531"/>
      <c r="K317" s="510"/>
      <c r="L317" s="541"/>
      <c r="M317" s="531"/>
      <c r="N317" s="541"/>
      <c r="O317" s="531"/>
      <c r="P317" s="510"/>
      <c r="Q317" s="541"/>
      <c r="R317" s="531"/>
      <c r="S317" s="541"/>
      <c r="T317" s="510"/>
      <c r="U317" s="510"/>
      <c r="V317" s="510"/>
      <c r="W317" s="510"/>
      <c r="X317" s="510"/>
      <c r="Y317" s="510"/>
      <c r="Z317" s="510"/>
      <c r="AA317" s="510"/>
      <c r="AB317" s="510"/>
      <c r="AC317" s="510"/>
      <c r="AD317" s="510"/>
      <c r="AE317" s="510"/>
      <c r="AF317" s="510"/>
      <c r="AG317" s="510"/>
      <c r="AH317" s="510"/>
      <c r="AI317" s="510"/>
      <c r="AJ317" s="510"/>
      <c r="AK317" s="510"/>
      <c r="AL317" s="510"/>
      <c r="AM317" s="510"/>
      <c r="AN317" s="510"/>
    </row>
    <row r="318" spans="1:40" ht="15.75" customHeight="1">
      <c r="A318" s="523" t="s">
        <v>418</v>
      </c>
      <c r="B318" s="510" t="s">
        <v>103</v>
      </c>
      <c r="C318" s="600" t="s">
        <v>41</v>
      </c>
      <c r="D318" s="510"/>
      <c r="E318" s="510"/>
      <c r="F318" s="532">
        <f>+INDEX('[5]Budget original'!$A$2:$AO$501,MATCH($A318,'[5]Budget original'!$A$2:$A$501,0),MATCH(F$2,'[5]Budget original'!$A$2:$AO$2,0))</f>
        <v>6564.9358974358984</v>
      </c>
      <c r="G318" s="531"/>
      <c r="H318" s="510"/>
      <c r="I318" s="532"/>
      <c r="J318" s="531"/>
      <c r="K318" s="510"/>
      <c r="L318" s="534">
        <f>SUMIFS([5]BV_Data_An_Cour!$O:$O,[5]BV_Data_An_Cour!$U:$U,$B318,[5]BV_Data_An_Cour!$V:$V,$C318,[5]BV_Data_An_Cour!$W:$W,$L$2)</f>
        <v>6958.82</v>
      </c>
      <c r="M318" s="531"/>
      <c r="N318" s="534">
        <f t="shared" ref="N318:N348" si="70">L318-F318</f>
        <v>393.88410256410134</v>
      </c>
      <c r="O318" s="531"/>
      <c r="P318" s="510"/>
      <c r="Q318" s="534">
        <f t="array" ref="Q318">+INDEX('[5]Réel 2023'!$A$2:$AO$501,MATCH($A318,'[5]Réel 2023'!$A$2:$A$501,0),MATCH(Q$2,'[5]Réel 2023'!$A$2:$AO$2,0))</f>
        <v>3701.53</v>
      </c>
      <c r="R318" s="531"/>
      <c r="S318" s="534">
        <f t="shared" ref="S318:S348" si="71">L318-Q318</f>
        <v>3257.2899999999995</v>
      </c>
      <c r="T318" s="510"/>
      <c r="U318" s="510"/>
      <c r="V318" s="510"/>
      <c r="W318" s="510"/>
      <c r="X318" s="510"/>
      <c r="Y318" s="510"/>
      <c r="Z318" s="510"/>
      <c r="AA318" s="510"/>
      <c r="AB318" s="510"/>
      <c r="AC318" s="510"/>
      <c r="AD318" s="510"/>
      <c r="AE318" s="510"/>
      <c r="AF318" s="510"/>
      <c r="AG318" s="510"/>
      <c r="AH318" s="510"/>
      <c r="AI318" s="510"/>
      <c r="AJ318" s="510"/>
      <c r="AK318" s="510"/>
      <c r="AL318" s="510"/>
      <c r="AM318" s="510"/>
      <c r="AN318" s="510"/>
    </row>
    <row r="319" spans="1:40" ht="15.75" customHeight="1">
      <c r="A319" s="523" t="s">
        <v>419</v>
      </c>
      <c r="B319" s="510" t="s">
        <v>103</v>
      </c>
      <c r="C319" s="602" t="s">
        <v>42</v>
      </c>
      <c r="D319" s="584"/>
      <c r="E319" s="510"/>
      <c r="F319" s="526">
        <f>+INDEX('[5]Budget original'!$A$2:$AO$501,MATCH($A319,'[5]Budget original'!$A$2:$A$501,0),MATCH(F$2,'[5]Budget original'!$A$2:$AO$2,0))</f>
        <v>26566.084923076924</v>
      </c>
      <c r="G319" s="585"/>
      <c r="H319" s="510"/>
      <c r="I319" s="526"/>
      <c r="J319" s="531"/>
      <c r="K319" s="510"/>
      <c r="L319" s="534">
        <f>SUMIFS([5]BV_Data_An_Cour!$O:$O,[5]BV_Data_An_Cour!$U:$U,$B319,[5]BV_Data_An_Cour!$V:$V,$C319,[5]BV_Data_An_Cour!$W:$W,$L$2)</f>
        <v>25749.9</v>
      </c>
      <c r="M319" s="531"/>
      <c r="N319" s="534">
        <f t="shared" si="70"/>
        <v>-816.18492307692213</v>
      </c>
      <c r="O319" s="531"/>
      <c r="P319" s="510"/>
      <c r="Q319" s="534">
        <f t="array" ref="Q319">+INDEX('[5]Réel 2023'!$A$2:$AO$501,MATCH($A319,'[5]Réel 2023'!$A$2:$A$501,0),MATCH(Q$2,'[5]Réel 2023'!$A$2:$AO$2,0))</f>
        <v>22126.37</v>
      </c>
      <c r="R319" s="531"/>
      <c r="S319" s="557">
        <f t="shared" si="71"/>
        <v>3623.5300000000025</v>
      </c>
      <c r="T319" s="510"/>
      <c r="U319" s="510"/>
      <c r="V319" s="510"/>
      <c r="W319" s="510"/>
      <c r="X319" s="510"/>
      <c r="Y319" s="510"/>
      <c r="Z319" s="510"/>
      <c r="AA319" s="510"/>
      <c r="AB319" s="510"/>
      <c r="AC319" s="510"/>
      <c r="AD319" s="510"/>
      <c r="AE319" s="510"/>
      <c r="AF319" s="510"/>
      <c r="AG319" s="510"/>
      <c r="AH319" s="510"/>
      <c r="AI319" s="510"/>
      <c r="AJ319" s="510"/>
      <c r="AK319" s="510"/>
      <c r="AL319" s="510"/>
      <c r="AM319" s="510"/>
      <c r="AN319" s="510"/>
    </row>
    <row r="320" spans="1:40" ht="15.75" customHeight="1">
      <c r="A320" s="523" t="s">
        <v>420</v>
      </c>
      <c r="B320" s="510" t="s">
        <v>103</v>
      </c>
      <c r="C320" s="600" t="s">
        <v>43</v>
      </c>
      <c r="D320" s="603"/>
      <c r="E320" s="604"/>
      <c r="F320" s="532">
        <f>+INDEX('[5]Budget original'!$A$2:$AO$501,MATCH($A320,'[5]Budget original'!$A$2:$A$501,0),MATCH(F$2,'[5]Budget original'!$A$2:$AO$2,0))</f>
        <v>140.24615384615385</v>
      </c>
      <c r="G320" s="605"/>
      <c r="H320" s="604"/>
      <c r="I320" s="532"/>
      <c r="J320" s="518"/>
      <c r="K320" s="604"/>
      <c r="L320" s="553">
        <f>SUMIFS([5]BV_Data_An_Cour!$O:$O,[5]BV_Data_An_Cour!$U:$U,$B320,[5]BV_Data_An_Cour!$V:$V,$C320,[5]BV_Data_An_Cour!$W:$W,$L$2)</f>
        <v>113.92</v>
      </c>
      <c r="M320" s="518"/>
      <c r="N320" s="553">
        <f t="shared" si="70"/>
        <v>-26.326153846153844</v>
      </c>
      <c r="O320" s="518"/>
      <c r="P320" s="604"/>
      <c r="Q320" s="553">
        <f t="array" ref="Q320">+INDEX('[5]Réel 2023'!$A$2:$AO$501,MATCH($A320,'[5]Réel 2023'!$A$2:$A$501,0),MATCH(Q$2,'[5]Réel 2023'!$A$2:$AO$2,0))</f>
        <v>3676.64</v>
      </c>
      <c r="R320" s="518"/>
      <c r="S320" s="606">
        <f t="shared" si="71"/>
        <v>-3562.72</v>
      </c>
      <c r="T320" s="510"/>
      <c r="U320" s="719"/>
      <c r="V320" s="719"/>
      <c r="W320" s="510"/>
      <c r="X320" s="510"/>
      <c r="Y320" s="510"/>
      <c r="Z320" s="510"/>
      <c r="AA320" s="510"/>
      <c r="AB320" s="510"/>
      <c r="AC320" s="510"/>
      <c r="AD320" s="510"/>
      <c r="AE320" s="510"/>
      <c r="AF320" s="510"/>
      <c r="AG320" s="510"/>
      <c r="AH320" s="510"/>
      <c r="AI320" s="510"/>
      <c r="AJ320" s="510"/>
      <c r="AK320" s="510"/>
      <c r="AL320" s="510"/>
      <c r="AM320" s="510"/>
      <c r="AN320" s="510"/>
    </row>
    <row r="321" spans="1:40" ht="15.75" customHeight="1">
      <c r="A321" s="523" t="s">
        <v>421</v>
      </c>
      <c r="B321" s="510" t="s">
        <v>103</v>
      </c>
      <c r="C321" s="600" t="s">
        <v>44</v>
      </c>
      <c r="D321" s="584"/>
      <c r="E321" s="510"/>
      <c r="F321" s="532">
        <f>+INDEX('[5]Budget original'!$A$2:$AO$501,MATCH($A321,'[5]Budget original'!$A$2:$A$501,0),MATCH(F$2,'[5]Budget original'!$A$2:$AO$2,0))</f>
        <v>0</v>
      </c>
      <c r="G321" s="585"/>
      <c r="H321" s="510"/>
      <c r="I321" s="532"/>
      <c r="J321" s="531"/>
      <c r="K321" s="510"/>
      <c r="L321" s="534">
        <f>SUMIFS([5]BV_Data_An_Cour!$O:$O,[5]BV_Data_An_Cour!$U:$U,$B321,[5]BV_Data_An_Cour!$V:$V,$C321,[5]BV_Data_An_Cour!$W:$W,$L$2)</f>
        <v>0</v>
      </c>
      <c r="M321" s="531"/>
      <c r="N321" s="534">
        <f t="shared" si="70"/>
        <v>0</v>
      </c>
      <c r="O321" s="531"/>
      <c r="P321" s="510"/>
      <c r="Q321" s="534">
        <f t="array" ref="Q321">+INDEX('[5]Réel 2023'!$A$2:$AO$501,MATCH($A321,'[5]Réel 2023'!$A$2:$A$501,0),MATCH(Q$2,'[5]Réel 2023'!$A$2:$AO$2,0))</f>
        <v>0</v>
      </c>
      <c r="R321" s="531"/>
      <c r="S321" s="557">
        <f t="shared" si="71"/>
        <v>0</v>
      </c>
      <c r="T321" s="510"/>
      <c r="U321" s="510"/>
      <c r="V321" s="510"/>
      <c r="W321" s="510"/>
      <c r="X321" s="510"/>
      <c r="Y321" s="510"/>
      <c r="Z321" s="510"/>
      <c r="AA321" s="510"/>
      <c r="AB321" s="510"/>
      <c r="AC321" s="510"/>
      <c r="AD321" s="510"/>
      <c r="AE321" s="510"/>
      <c r="AF321" s="510"/>
      <c r="AG321" s="510"/>
      <c r="AH321" s="510"/>
      <c r="AI321" s="510"/>
      <c r="AJ321" s="510"/>
      <c r="AK321" s="510"/>
      <c r="AL321" s="510"/>
      <c r="AM321" s="510"/>
      <c r="AN321" s="510"/>
    </row>
    <row r="322" spans="1:40" ht="15.75" hidden="1" customHeight="1">
      <c r="A322" s="523" t="s">
        <v>408</v>
      </c>
      <c r="B322" s="510" t="s">
        <v>103</v>
      </c>
      <c r="C322" s="531" t="s">
        <v>20</v>
      </c>
      <c r="D322" s="584"/>
      <c r="E322" s="510"/>
      <c r="F322" s="532">
        <f>+INDEX('[5]Budget original'!$A$2:$AO$501,MATCH($A322,'[5]Budget original'!$A$2:$A$501,0),MATCH(F$2,'[5]Budget original'!$A$2:$AO$2,0))</f>
        <v>0</v>
      </c>
      <c r="G322" s="585"/>
      <c r="H322" s="510"/>
      <c r="I322" s="532"/>
      <c r="J322" s="531"/>
      <c r="K322" s="510"/>
      <c r="L322" s="534">
        <f>SUMIFS([5]BV_Data_An_Cour!$O:$O,[5]BV_Data_An_Cour!$U:$U,$B322,[5]BV_Data_An_Cour!$V:$V,$C322,[5]BV_Data_An_Cour!$W:$W,$L$2)</f>
        <v>0</v>
      </c>
      <c r="M322" s="531"/>
      <c r="N322" s="534">
        <f t="shared" si="70"/>
        <v>0</v>
      </c>
      <c r="O322" s="531"/>
      <c r="P322" s="510"/>
      <c r="Q322" s="534">
        <f t="array" ref="Q322">+INDEX('[5]Réel 2023'!$A$2:$AO$501,MATCH($A322,'[5]Réel 2023'!$A$2:$A$501,0),MATCH(Q$2,'[5]Réel 2023'!$A$2:$AO$2,0))</f>
        <v>0</v>
      </c>
      <c r="R322" s="531"/>
      <c r="S322" s="557">
        <f t="shared" si="71"/>
        <v>0</v>
      </c>
      <c r="T322" s="510"/>
      <c r="U322" s="510"/>
      <c r="V322" s="510"/>
      <c r="W322" s="510"/>
      <c r="X322" s="510"/>
      <c r="Y322" s="510"/>
      <c r="Z322" s="510"/>
      <c r="AA322" s="510"/>
      <c r="AB322" s="510"/>
      <c r="AC322" s="510"/>
      <c r="AD322" s="510"/>
      <c r="AE322" s="510"/>
      <c r="AF322" s="510"/>
      <c r="AG322" s="510"/>
      <c r="AH322" s="510"/>
      <c r="AI322" s="510"/>
      <c r="AJ322" s="510"/>
      <c r="AK322" s="510"/>
      <c r="AL322" s="510"/>
      <c r="AM322" s="510"/>
      <c r="AN322" s="510"/>
    </row>
    <row r="323" spans="1:40" ht="15.75" hidden="1" customHeight="1">
      <c r="A323" s="523" t="s">
        <v>408</v>
      </c>
      <c r="B323" s="510" t="s">
        <v>103</v>
      </c>
      <c r="C323" s="531" t="s">
        <v>20</v>
      </c>
      <c r="D323" s="584"/>
      <c r="E323" s="510"/>
      <c r="F323" s="532">
        <f>+INDEX('[5]Budget original'!$A$2:$AO$501,MATCH($A323,'[5]Budget original'!$A$2:$A$501,0),MATCH(F$2,'[5]Budget original'!$A$2:$AO$2,0))</f>
        <v>0</v>
      </c>
      <c r="G323" s="585"/>
      <c r="H323" s="510"/>
      <c r="I323" s="532"/>
      <c r="J323" s="531"/>
      <c r="K323" s="510"/>
      <c r="L323" s="534">
        <f>SUMIFS([5]BV_Data_An_Cour!$O:$O,[5]BV_Data_An_Cour!$U:$U,$B323,[5]BV_Data_An_Cour!$V:$V,$C323,[5]BV_Data_An_Cour!$W:$W,$L$2)</f>
        <v>0</v>
      </c>
      <c r="M323" s="531"/>
      <c r="N323" s="534">
        <f t="shared" si="70"/>
        <v>0</v>
      </c>
      <c r="O323" s="531"/>
      <c r="P323" s="510"/>
      <c r="Q323" s="534">
        <f t="array" ref="Q323">+INDEX('[5]Réel 2023'!$A$2:$AO$501,MATCH($A323,'[5]Réel 2023'!$A$2:$A$501,0),MATCH(Q$2,'[5]Réel 2023'!$A$2:$AO$2,0))</f>
        <v>0</v>
      </c>
      <c r="R323" s="531"/>
      <c r="S323" s="557">
        <f t="shared" si="71"/>
        <v>0</v>
      </c>
      <c r="T323" s="510"/>
      <c r="U323" s="510"/>
      <c r="V323" s="510"/>
      <c r="W323" s="510"/>
      <c r="X323" s="510"/>
      <c r="Y323" s="510"/>
      <c r="Z323" s="510"/>
      <c r="AA323" s="510"/>
      <c r="AB323" s="510"/>
      <c r="AC323" s="510"/>
      <c r="AD323" s="510"/>
      <c r="AE323" s="510"/>
      <c r="AF323" s="510"/>
      <c r="AG323" s="510"/>
      <c r="AH323" s="510"/>
      <c r="AI323" s="510"/>
      <c r="AJ323" s="510"/>
      <c r="AK323" s="510"/>
      <c r="AL323" s="510"/>
      <c r="AM323" s="510"/>
      <c r="AN323" s="510"/>
    </row>
    <row r="324" spans="1:40" ht="15.75" hidden="1" customHeight="1">
      <c r="A324" s="523" t="s">
        <v>408</v>
      </c>
      <c r="B324" s="510" t="s">
        <v>103</v>
      </c>
      <c r="C324" s="531" t="s">
        <v>20</v>
      </c>
      <c r="D324" s="584"/>
      <c r="E324" s="510"/>
      <c r="F324" s="532">
        <f>+INDEX('[5]Budget original'!$A$2:$AO$501,MATCH($A324,'[5]Budget original'!$A$2:$A$501,0),MATCH(F$2,'[5]Budget original'!$A$2:$AO$2,0))</f>
        <v>0</v>
      </c>
      <c r="G324" s="585"/>
      <c r="H324" s="510"/>
      <c r="I324" s="532"/>
      <c r="J324" s="531"/>
      <c r="K324" s="510"/>
      <c r="L324" s="534">
        <f>SUMIFS([5]BV_Data_An_Cour!$O:$O,[5]BV_Data_An_Cour!$U:$U,$B324,[5]BV_Data_An_Cour!$V:$V,$C324,[5]BV_Data_An_Cour!$W:$W,$L$2)</f>
        <v>0</v>
      </c>
      <c r="M324" s="531"/>
      <c r="N324" s="534">
        <f t="shared" si="70"/>
        <v>0</v>
      </c>
      <c r="O324" s="531"/>
      <c r="P324" s="510"/>
      <c r="Q324" s="534">
        <f t="array" ref="Q324">+INDEX('[5]Réel 2023'!$A$2:$AO$501,MATCH($A324,'[5]Réel 2023'!$A$2:$A$501,0),MATCH(Q$2,'[5]Réel 2023'!$A$2:$AO$2,0))</f>
        <v>0</v>
      </c>
      <c r="R324" s="531"/>
      <c r="S324" s="557">
        <f t="shared" si="71"/>
        <v>0</v>
      </c>
      <c r="T324" s="510"/>
      <c r="U324" s="510"/>
      <c r="V324" s="510"/>
      <c r="W324" s="510"/>
      <c r="X324" s="510"/>
      <c r="Y324" s="510"/>
      <c r="Z324" s="510"/>
      <c r="AA324" s="510"/>
      <c r="AB324" s="510"/>
      <c r="AC324" s="510"/>
      <c r="AD324" s="510"/>
      <c r="AE324" s="510"/>
      <c r="AF324" s="510"/>
      <c r="AG324" s="510"/>
      <c r="AH324" s="510"/>
      <c r="AI324" s="510"/>
      <c r="AJ324" s="510"/>
      <c r="AK324" s="510"/>
      <c r="AL324" s="510"/>
      <c r="AM324" s="510"/>
      <c r="AN324" s="510"/>
    </row>
    <row r="325" spans="1:40" ht="15.75" customHeight="1">
      <c r="A325" s="523" t="s">
        <v>422</v>
      </c>
      <c r="B325" s="510" t="s">
        <v>103</v>
      </c>
      <c r="C325" s="602" t="s">
        <v>45</v>
      </c>
      <c r="D325" s="584"/>
      <c r="E325" s="510"/>
      <c r="F325" s="526">
        <f>+INDEX('[5]Budget original'!$A$2:$AO$501,MATCH($A325,'[5]Budget original'!$A$2:$A$501,0),MATCH(F$2,'[5]Budget original'!$A$2:$AO$2,0))</f>
        <v>4086.0378682564101</v>
      </c>
      <c r="G325" s="585"/>
      <c r="H325" s="510"/>
      <c r="I325" s="526"/>
      <c r="J325" s="531"/>
      <c r="K325" s="510"/>
      <c r="L325" s="534">
        <f>SUMIFS([5]BV_Data_An_Cour!$O:$O,[5]BV_Data_An_Cour!$U:$U,$B325,[5]BV_Data_An_Cour!$V:$V,$C325,[5]BV_Data_An_Cour!$W:$W,$L$2)</f>
        <v>3956.34</v>
      </c>
      <c r="M325" s="531"/>
      <c r="N325" s="534">
        <f t="shared" si="70"/>
        <v>-129.69786825640995</v>
      </c>
      <c r="O325" s="531"/>
      <c r="P325" s="510"/>
      <c r="Q325" s="534">
        <f t="array" ref="Q325">+INDEX('[5]Réel 2023'!$A$2:$AO$501,MATCH($A325,'[5]Réel 2023'!$A$2:$A$501,0),MATCH(Q$2,'[5]Réel 2023'!$A$2:$AO$2,0))</f>
        <v>3147.76</v>
      </c>
      <c r="R325" s="531"/>
      <c r="S325" s="557">
        <f t="shared" si="71"/>
        <v>808.57999999999993</v>
      </c>
      <c r="T325" s="510"/>
      <c r="U325" s="510"/>
      <c r="V325" s="510"/>
      <c r="W325" s="510"/>
      <c r="X325" s="510"/>
      <c r="Y325" s="510"/>
      <c r="Z325" s="510"/>
      <c r="AA325" s="510"/>
      <c r="AB325" s="510"/>
      <c r="AC325" s="510"/>
      <c r="AD325" s="510"/>
      <c r="AE325" s="510"/>
      <c r="AF325" s="510"/>
      <c r="AG325" s="510"/>
      <c r="AH325" s="510"/>
      <c r="AI325" s="510"/>
      <c r="AJ325" s="510"/>
      <c r="AK325" s="510"/>
      <c r="AL325" s="510"/>
      <c r="AM325" s="510"/>
      <c r="AN325" s="510"/>
    </row>
    <row r="326" spans="1:40" ht="15.75" customHeight="1">
      <c r="A326" s="523" t="s">
        <v>423</v>
      </c>
      <c r="B326" s="510" t="s">
        <v>103</v>
      </c>
      <c r="C326" s="600" t="s">
        <v>46</v>
      </c>
      <c r="D326" s="603"/>
      <c r="E326" s="604"/>
      <c r="F326" s="532">
        <f>+INDEX('[5]Budget original'!$A$2:$AO$501,MATCH($A326,'[5]Budget original'!$A$2:$A$501,0),MATCH(F$2,'[5]Budget original'!$A$2:$AO$2,0))</f>
        <v>4968.0460424615385</v>
      </c>
      <c r="G326" s="605"/>
      <c r="H326" s="604"/>
      <c r="I326" s="532"/>
      <c r="J326" s="518"/>
      <c r="K326" s="604"/>
      <c r="L326" s="553">
        <f>SUMIFS([5]BV_Data_An_Cour!$O:$O,[5]BV_Data_An_Cour!$U:$U,$B326,[5]BV_Data_An_Cour!$V:$V,$C326,[5]BV_Data_An_Cour!$W:$W,$L$2)</f>
        <v>6502.5199999999995</v>
      </c>
      <c r="M326" s="518"/>
      <c r="N326" s="553">
        <f t="shared" si="70"/>
        <v>1534.473957538461</v>
      </c>
      <c r="O326" s="518"/>
      <c r="P326" s="604"/>
      <c r="Q326" s="553">
        <f t="array" ref="Q326">+INDEX('[5]Réel 2023'!$A$2:$AO$501,MATCH($A326,'[5]Réel 2023'!$A$2:$A$501,0),MATCH(Q$2,'[5]Réel 2023'!$A$2:$AO$2,0))</f>
        <v>6074.83</v>
      </c>
      <c r="R326" s="518"/>
      <c r="S326" s="606">
        <f t="shared" si="71"/>
        <v>427.6899999999996</v>
      </c>
      <c r="T326" s="510"/>
      <c r="U326" s="510"/>
      <c r="V326" s="510"/>
      <c r="W326" s="510"/>
      <c r="X326" s="510"/>
      <c r="Y326" s="510"/>
      <c r="Z326" s="510"/>
      <c r="AA326" s="510"/>
      <c r="AB326" s="510"/>
      <c r="AC326" s="510"/>
      <c r="AD326" s="510"/>
      <c r="AE326" s="510"/>
      <c r="AF326" s="510"/>
      <c r="AG326" s="510"/>
      <c r="AH326" s="510"/>
      <c r="AI326" s="510"/>
      <c r="AJ326" s="510"/>
      <c r="AK326" s="510"/>
      <c r="AL326" s="510"/>
      <c r="AM326" s="510"/>
      <c r="AN326" s="510"/>
    </row>
    <row r="327" spans="1:40" ht="15.75" customHeight="1">
      <c r="A327" s="523" t="s">
        <v>424</v>
      </c>
      <c r="B327" s="510" t="s">
        <v>103</v>
      </c>
      <c r="C327" s="600" t="s">
        <v>47</v>
      </c>
      <c r="D327" s="584"/>
      <c r="E327" s="510"/>
      <c r="F327" s="532">
        <f>+INDEX('[5]Budget original'!$A$2:$AO$501,MATCH($A327,'[5]Budget original'!$A$2:$A$501,0),MATCH(F$2,'[5]Budget original'!$A$2:$AO$2,0))</f>
        <v>2559.6237218769229</v>
      </c>
      <c r="G327" s="585"/>
      <c r="H327" s="510"/>
      <c r="I327" s="532"/>
      <c r="J327" s="531"/>
      <c r="K327" s="510"/>
      <c r="L327" s="534">
        <f>SUMIFS([5]BV_Data_An_Cour!$O:$O,[5]BV_Data_An_Cour!$U:$U,$B327,[5]BV_Data_An_Cour!$V:$V,$C327,[5]BV_Data_An_Cour!$W:$W,$L$2)</f>
        <v>1354.21</v>
      </c>
      <c r="M327" s="531"/>
      <c r="N327" s="534">
        <f t="shared" si="70"/>
        <v>-1205.4137218769229</v>
      </c>
      <c r="O327" s="531"/>
      <c r="P327" s="510"/>
      <c r="Q327" s="534">
        <f t="array" ref="Q327">+INDEX('[5]Réel 2023'!$A$2:$AO$501,MATCH($A327,'[5]Réel 2023'!$A$2:$A$501,0),MATCH(Q$2,'[5]Réel 2023'!$A$2:$AO$2,0))</f>
        <v>958.41</v>
      </c>
      <c r="R327" s="531"/>
      <c r="S327" s="557">
        <f t="shared" si="71"/>
        <v>395.80000000000007</v>
      </c>
      <c r="T327" s="510"/>
      <c r="U327" s="510"/>
      <c r="V327" s="510"/>
      <c r="W327" s="510"/>
      <c r="X327" s="510"/>
      <c r="Y327" s="510"/>
      <c r="Z327" s="510"/>
      <c r="AA327" s="510"/>
      <c r="AB327" s="510"/>
      <c r="AC327" s="510"/>
      <c r="AD327" s="510"/>
      <c r="AE327" s="510"/>
      <c r="AF327" s="510"/>
      <c r="AG327" s="510"/>
      <c r="AH327" s="510"/>
      <c r="AI327" s="510"/>
      <c r="AJ327" s="510"/>
      <c r="AK327" s="510"/>
      <c r="AL327" s="510"/>
      <c r="AM327" s="510"/>
      <c r="AN327" s="510"/>
    </row>
    <row r="328" spans="1:40" ht="15.75" customHeight="1">
      <c r="A328" s="523" t="s">
        <v>425</v>
      </c>
      <c r="B328" s="510" t="s">
        <v>103</v>
      </c>
      <c r="C328" s="600" t="s">
        <v>48</v>
      </c>
      <c r="D328" s="584"/>
      <c r="E328" s="510"/>
      <c r="F328" s="532">
        <f>+INDEX('[5]Budget original'!$A$2:$AO$501,MATCH($A328,'[5]Budget original'!$A$2:$A$501,0),MATCH(F$2,'[5]Budget original'!$A$2:$AO$2,0))</f>
        <v>1116.0103428717948</v>
      </c>
      <c r="G328" s="585"/>
      <c r="H328" s="510"/>
      <c r="I328" s="532"/>
      <c r="J328" s="531"/>
      <c r="K328" s="510"/>
      <c r="L328" s="534">
        <f>SUMIFS([5]BV_Data_An_Cour!$O:$O,[5]BV_Data_An_Cour!$U:$U,$B328,[5]BV_Data_An_Cour!$V:$V,$C328,[5]BV_Data_An_Cour!$W:$W,$L$2)</f>
        <v>738.69</v>
      </c>
      <c r="M328" s="531"/>
      <c r="N328" s="534">
        <f t="shared" si="70"/>
        <v>-377.32034287179476</v>
      </c>
      <c r="O328" s="531"/>
      <c r="P328" s="510"/>
      <c r="Q328" s="534">
        <f t="array" ref="Q328">+INDEX('[5]Réel 2023'!$A$2:$AO$501,MATCH($A328,'[5]Réel 2023'!$A$2:$A$501,0),MATCH(Q$2,'[5]Réel 2023'!$A$2:$AO$2,0))</f>
        <v>642.45000000000005</v>
      </c>
      <c r="R328" s="531"/>
      <c r="S328" s="557">
        <f t="shared" si="71"/>
        <v>96.240000000000009</v>
      </c>
      <c r="T328" s="510"/>
      <c r="U328" s="510"/>
      <c r="V328" s="510"/>
      <c r="W328" s="510"/>
      <c r="X328" s="510"/>
      <c r="Y328" s="510"/>
      <c r="Z328" s="510"/>
      <c r="AA328" s="510"/>
      <c r="AB328" s="510"/>
      <c r="AC328" s="510"/>
      <c r="AD328" s="510"/>
      <c r="AE328" s="510"/>
      <c r="AF328" s="510"/>
      <c r="AG328" s="510"/>
      <c r="AH328" s="510"/>
      <c r="AI328" s="510"/>
      <c r="AJ328" s="510"/>
      <c r="AK328" s="510"/>
      <c r="AL328" s="510"/>
      <c r="AM328" s="510"/>
      <c r="AN328" s="510"/>
    </row>
    <row r="329" spans="1:40" ht="15.75" hidden="1" customHeight="1">
      <c r="A329" s="523" t="s">
        <v>408</v>
      </c>
      <c r="B329" s="510" t="s">
        <v>103</v>
      </c>
      <c r="C329" s="531" t="s">
        <v>20</v>
      </c>
      <c r="D329" s="587"/>
      <c r="E329" s="607"/>
      <c r="F329" s="532">
        <f>+INDEX('[5]Budget original'!$A$2:$AO$501,MATCH($A329,'[5]Budget original'!$A$2:$A$501,0),MATCH(F$2,'[5]Budget original'!$A$2:$AO$2,0))</f>
        <v>0</v>
      </c>
      <c r="G329" s="588"/>
      <c r="H329" s="607"/>
      <c r="I329" s="532"/>
      <c r="J329" s="524"/>
      <c r="K329" s="607"/>
      <c r="L329" s="534">
        <f>SUMIFS([5]BV_Data_An_Cour!$O:$O,[5]BV_Data_An_Cour!$U:$U,$B329,[5]BV_Data_An_Cour!$V:$V,$C329,[5]BV_Data_An_Cour!$W:$W,$L$2)</f>
        <v>0</v>
      </c>
      <c r="M329" s="524"/>
      <c r="N329" s="582">
        <f t="shared" si="70"/>
        <v>0</v>
      </c>
      <c r="O329" s="524"/>
      <c r="P329" s="607"/>
      <c r="Q329" s="534">
        <f t="array" ref="Q329">+INDEX('[5]Réel 2023'!$A$2:$AO$501,MATCH($A329,'[5]Réel 2023'!$A$2:$A$501,0),MATCH(Q$2,'[5]Réel 2023'!$A$2:$AO$2,0))</f>
        <v>0</v>
      </c>
      <c r="R329" s="524"/>
      <c r="S329" s="582">
        <f t="shared" si="71"/>
        <v>0</v>
      </c>
      <c r="T329" s="510"/>
      <c r="U329" s="510"/>
      <c r="V329" s="510"/>
      <c r="W329" s="510"/>
      <c r="X329" s="510"/>
      <c r="Y329" s="510"/>
      <c r="Z329" s="510"/>
      <c r="AA329" s="510"/>
      <c r="AB329" s="510"/>
      <c r="AC329" s="510"/>
      <c r="AD329" s="510"/>
      <c r="AE329" s="510"/>
      <c r="AF329" s="510"/>
      <c r="AG329" s="510"/>
      <c r="AH329" s="510"/>
      <c r="AI329" s="510"/>
      <c r="AJ329" s="510"/>
      <c r="AK329" s="510"/>
      <c r="AL329" s="510"/>
      <c r="AM329" s="510"/>
      <c r="AN329" s="510"/>
    </row>
    <row r="330" spans="1:40" ht="15.75" customHeight="1">
      <c r="A330" s="523" t="s">
        <v>426</v>
      </c>
      <c r="B330" s="510" t="s">
        <v>103</v>
      </c>
      <c r="C330" s="592" t="s">
        <v>49</v>
      </c>
      <c r="D330" s="593" t="s">
        <v>39</v>
      </c>
      <c r="E330" s="594">
        <f>F330/F$314</f>
        <v>0.27343600334447044</v>
      </c>
      <c r="F330" s="595">
        <f>+SUM(F318:F329)</f>
        <v>46000.984949825637</v>
      </c>
      <c r="G330" s="596"/>
      <c r="H330" s="594"/>
      <c r="I330" s="595"/>
      <c r="J330" s="596" t="s">
        <v>39</v>
      </c>
      <c r="K330" s="594">
        <f>L330/L$314</f>
        <v>0.34904622386993867</v>
      </c>
      <c r="L330" s="595">
        <f>+SUM(L318:L329)</f>
        <v>45374.399999999994</v>
      </c>
      <c r="M330" s="650"/>
      <c r="N330" s="609">
        <f t="shared" si="70"/>
        <v>-626.58494982564298</v>
      </c>
      <c r="O330" s="596" t="s">
        <v>39</v>
      </c>
      <c r="P330" s="594">
        <f>Q330/Q$314</f>
        <v>0.31830540688372716</v>
      </c>
      <c r="Q330" s="595">
        <f>+SUM(Q318:Q329)</f>
        <v>40327.99</v>
      </c>
      <c r="R330" s="650"/>
      <c r="S330" s="609">
        <f t="shared" si="71"/>
        <v>5046.4099999999962</v>
      </c>
      <c r="T330" s="510"/>
      <c r="U330" s="510"/>
      <c r="V330" s="510"/>
      <c r="W330" s="510"/>
      <c r="X330" s="510"/>
      <c r="Y330" s="510"/>
      <c r="Z330" s="510"/>
      <c r="AA330" s="510"/>
      <c r="AB330" s="510"/>
      <c r="AC330" s="510"/>
      <c r="AD330" s="510"/>
      <c r="AE330" s="510"/>
      <c r="AF330" s="510"/>
      <c r="AG330" s="510"/>
      <c r="AH330" s="510"/>
      <c r="AI330" s="510"/>
      <c r="AJ330" s="510"/>
      <c r="AK330" s="510"/>
      <c r="AL330" s="510"/>
      <c r="AM330" s="510"/>
      <c r="AN330" s="510"/>
    </row>
    <row r="331" spans="1:40" ht="15.75" customHeight="1">
      <c r="A331" s="523" t="s">
        <v>427</v>
      </c>
      <c r="B331" s="510" t="s">
        <v>103</v>
      </c>
      <c r="C331" s="706" t="s">
        <v>50</v>
      </c>
      <c r="D331" s="584"/>
      <c r="E331" s="510"/>
      <c r="F331" s="532">
        <f>+INDEX('[5]Budget original'!$A$2:$AO$501,MATCH($A331,'[5]Budget original'!$A$2:$A$501,0),MATCH(F$2,'[5]Budget original'!$A$2:$AO$2,0))</f>
        <v>4451.5681367708321</v>
      </c>
      <c r="G331" s="585"/>
      <c r="H331" s="510"/>
      <c r="I331" s="532"/>
      <c r="J331" s="531"/>
      <c r="K331" s="510"/>
      <c r="L331" s="534">
        <f>SUMIFS([5]BV_Data_An_Cour!$O:$O,[5]BV_Data_An_Cour!$U:$U,$B331,[5]BV_Data_An_Cour!$V:$V,$C331,[5]BV_Data_An_Cour!$W:$W,$L$2)</f>
        <v>4321.1400000000003</v>
      </c>
      <c r="M331" s="531"/>
      <c r="N331" s="557">
        <f t="shared" si="70"/>
        <v>-130.42813677083177</v>
      </c>
      <c r="O331" s="531"/>
      <c r="P331" s="510"/>
      <c r="Q331" s="534">
        <f t="array" ref="Q331">+INDEX('[5]Réel 2023'!$A$2:$AO$501,MATCH($A331,'[5]Réel 2023'!$A$2:$A$501,0),MATCH(Q$2,'[5]Réel 2023'!$A$2:$AO$2,0))</f>
        <v>2622.08</v>
      </c>
      <c r="R331" s="531"/>
      <c r="S331" s="557">
        <f t="shared" si="71"/>
        <v>1699.0600000000004</v>
      </c>
      <c r="T331" s="510"/>
      <c r="U331" s="510"/>
      <c r="V331" s="510"/>
      <c r="W331" s="573"/>
      <c r="X331" s="510"/>
      <c r="Y331" s="510"/>
      <c r="Z331" s="510"/>
      <c r="AA331" s="510"/>
      <c r="AB331" s="510"/>
      <c r="AC331" s="510"/>
      <c r="AD331" s="510"/>
      <c r="AE331" s="510"/>
      <c r="AF331" s="510"/>
      <c r="AG331" s="510"/>
      <c r="AH331" s="510"/>
      <c r="AI331" s="510"/>
      <c r="AJ331" s="510"/>
      <c r="AK331" s="510"/>
      <c r="AL331" s="510"/>
      <c r="AM331" s="510"/>
      <c r="AN331" s="510"/>
    </row>
    <row r="332" spans="1:40" ht="15.75" customHeight="1">
      <c r="A332" s="523" t="s">
        <v>428</v>
      </c>
      <c r="B332" s="510" t="s">
        <v>103</v>
      </c>
      <c r="C332" s="600" t="s">
        <v>51</v>
      </c>
      <c r="D332" s="584"/>
      <c r="E332" s="510"/>
      <c r="F332" s="532">
        <f>+INDEX('[5]Budget original'!$A$2:$AO$501,MATCH($A332,'[5]Budget original'!$A$2:$A$501,0),MATCH(F$2,'[5]Budget original'!$A$2:$AO$2,0))</f>
        <v>1484.7664064747862</v>
      </c>
      <c r="G332" s="585"/>
      <c r="H332" s="510"/>
      <c r="I332" s="532"/>
      <c r="J332" s="531"/>
      <c r="K332" s="510"/>
      <c r="L332" s="534">
        <f>SUMIFS([5]BV_Data_An_Cour!$O:$O,[5]BV_Data_An_Cour!$U:$U,$B332,[5]BV_Data_An_Cour!$V:$V,$C332,[5]BV_Data_An_Cour!$W:$W,$L$2)</f>
        <v>1812.7</v>
      </c>
      <c r="M332" s="531"/>
      <c r="N332" s="557">
        <f t="shared" si="70"/>
        <v>327.93359352521384</v>
      </c>
      <c r="O332" s="531"/>
      <c r="P332" s="510"/>
      <c r="Q332" s="534">
        <f t="array" ref="Q332">+INDEX('[5]Réel 2023'!$A$2:$AO$501,MATCH($A332,'[5]Réel 2023'!$A$2:$A$501,0),MATCH(Q$2,'[5]Réel 2023'!$A$2:$AO$2,0))</f>
        <v>428.9</v>
      </c>
      <c r="R332" s="531"/>
      <c r="S332" s="557">
        <f t="shared" si="71"/>
        <v>1383.8000000000002</v>
      </c>
      <c r="T332" s="510"/>
      <c r="U332" s="510"/>
      <c r="V332" s="510"/>
      <c r="W332" s="510"/>
      <c r="X332" s="510"/>
      <c r="Y332" s="510"/>
      <c r="Z332" s="510"/>
      <c r="AA332" s="510"/>
      <c r="AB332" s="510"/>
      <c r="AC332" s="510"/>
      <c r="AD332" s="510"/>
      <c r="AE332" s="510"/>
      <c r="AF332" s="510"/>
      <c r="AG332" s="510"/>
      <c r="AH332" s="510"/>
      <c r="AI332" s="510"/>
      <c r="AJ332" s="510"/>
      <c r="AK332" s="510"/>
      <c r="AL332" s="510"/>
      <c r="AM332" s="510"/>
      <c r="AN332" s="510"/>
    </row>
    <row r="333" spans="1:40" ht="15.75" customHeight="1">
      <c r="A333" s="523" t="s">
        <v>429</v>
      </c>
      <c r="B333" s="510" t="s">
        <v>103</v>
      </c>
      <c r="C333" s="602" t="s">
        <v>52</v>
      </c>
      <c r="D333" s="587"/>
      <c r="E333" s="607"/>
      <c r="F333" s="526">
        <f>+INDEX('[5]Budget original'!$A$2:$AO$501,MATCH($A333,'[5]Budget original'!$A$2:$A$501,0),MATCH(F$2,'[5]Budget original'!$A$2:$AO$2,0))</f>
        <v>1083.3333333333333</v>
      </c>
      <c r="G333" s="588"/>
      <c r="H333" s="607"/>
      <c r="I333" s="526"/>
      <c r="J333" s="524"/>
      <c r="K333" s="607"/>
      <c r="L333" s="534">
        <f>SUMIFS([5]BV_Data_An_Cour!$O:$O,[5]BV_Data_An_Cour!$U:$U,$B333,[5]BV_Data_An_Cour!$V:$V,$C333,[5]BV_Data_An_Cour!$W:$W,$L$2)</f>
        <v>1168.49</v>
      </c>
      <c r="M333" s="524"/>
      <c r="N333" s="582">
        <f t="shared" si="70"/>
        <v>85.156666666666752</v>
      </c>
      <c r="O333" s="524"/>
      <c r="P333" s="607"/>
      <c r="Q333" s="534">
        <f t="array" ref="Q333">+INDEX('[5]Réel 2023'!$A$2:$AO$501,MATCH($A333,'[5]Réel 2023'!$A$2:$A$501,0),MATCH(Q$2,'[5]Réel 2023'!$A$2:$AO$2,0))</f>
        <v>920.77</v>
      </c>
      <c r="R333" s="524"/>
      <c r="S333" s="582">
        <f t="shared" si="71"/>
        <v>247.72000000000003</v>
      </c>
      <c r="T333" s="510"/>
      <c r="U333" s="510"/>
      <c r="V333" s="510"/>
      <c r="W333" s="510"/>
      <c r="X333" s="510"/>
      <c r="Y333" s="510"/>
      <c r="Z333" s="510"/>
      <c r="AA333" s="510"/>
      <c r="AB333" s="510"/>
      <c r="AC333" s="510"/>
      <c r="AD333" s="510"/>
      <c r="AE333" s="510"/>
      <c r="AF333" s="510"/>
      <c r="AG333" s="510"/>
      <c r="AH333" s="510"/>
      <c r="AI333" s="510"/>
      <c r="AJ333" s="510"/>
      <c r="AK333" s="510"/>
      <c r="AL333" s="510"/>
      <c r="AM333" s="510"/>
      <c r="AN333" s="510"/>
    </row>
    <row r="334" spans="1:40" ht="15.75" customHeight="1">
      <c r="A334" s="523" t="s">
        <v>430</v>
      </c>
      <c r="B334" s="510" t="s">
        <v>103</v>
      </c>
      <c r="C334" s="600" t="s">
        <v>53</v>
      </c>
      <c r="D334" s="584"/>
      <c r="E334" s="510"/>
      <c r="F334" s="532">
        <f>+INDEX('[5]Budget original'!$A$2:$AO$501,MATCH($A334,'[5]Budget original'!$A$2:$A$501,0),MATCH(F$2,'[5]Budget original'!$A$2:$AO$2,0))</f>
        <v>3808.9357027777774</v>
      </c>
      <c r="G334" s="585"/>
      <c r="H334" s="510"/>
      <c r="I334" s="532"/>
      <c r="J334" s="531"/>
      <c r="K334" s="510"/>
      <c r="L334" s="553">
        <f>SUMIFS([5]BV_Data_An_Cour!$O:$O,[5]BV_Data_An_Cour!$U:$U,$B334,[5]BV_Data_An_Cour!$V:$V,$C334,[5]BV_Data_An_Cour!$W:$W,$L$2)</f>
        <v>5168.38</v>
      </c>
      <c r="M334" s="531"/>
      <c r="N334" s="557">
        <f t="shared" si="70"/>
        <v>1359.4442972222228</v>
      </c>
      <c r="O334" s="531"/>
      <c r="P334" s="510"/>
      <c r="Q334" s="553">
        <f t="array" ref="Q334">+INDEX('[5]Réel 2023'!$A$2:$AO$501,MATCH($A334,'[5]Réel 2023'!$A$2:$A$501,0),MATCH(Q$2,'[5]Réel 2023'!$A$2:$AO$2,0))</f>
        <v>4283.41</v>
      </c>
      <c r="R334" s="531"/>
      <c r="S334" s="557">
        <f t="shared" si="71"/>
        <v>884.97000000000025</v>
      </c>
      <c r="T334" s="510"/>
      <c r="U334" s="510"/>
      <c r="V334" s="510"/>
      <c r="W334" s="510"/>
      <c r="X334" s="510"/>
      <c r="Y334" s="510"/>
      <c r="Z334" s="510"/>
      <c r="AA334" s="510"/>
      <c r="AB334" s="510"/>
      <c r="AC334" s="510"/>
      <c r="AD334" s="510"/>
      <c r="AE334" s="510"/>
      <c r="AF334" s="510"/>
      <c r="AG334" s="510"/>
      <c r="AH334" s="510"/>
      <c r="AI334" s="510"/>
      <c r="AJ334" s="510"/>
      <c r="AK334" s="510"/>
      <c r="AL334" s="510"/>
      <c r="AM334" s="510"/>
      <c r="AN334" s="510"/>
    </row>
    <row r="335" spans="1:40" ht="15.75" customHeight="1">
      <c r="A335" s="523" t="s">
        <v>431</v>
      </c>
      <c r="B335" s="510" t="s">
        <v>103</v>
      </c>
      <c r="C335" s="600" t="s">
        <v>54</v>
      </c>
      <c r="D335" s="584"/>
      <c r="E335" s="510"/>
      <c r="F335" s="532">
        <f>+INDEX('[5]Budget original'!$A$2:$AO$501,MATCH($A335,'[5]Budget original'!$A$2:$A$501,0),MATCH(F$2,'[5]Budget original'!$A$2:$AO$2,0))</f>
        <v>685.62049669649684</v>
      </c>
      <c r="G335" s="585"/>
      <c r="H335" s="510"/>
      <c r="I335" s="532"/>
      <c r="J335" s="531"/>
      <c r="K335" s="510"/>
      <c r="L335" s="534">
        <f>SUMIFS([5]BV_Data_An_Cour!$O:$O,[5]BV_Data_An_Cour!$U:$U,$B335,[5]BV_Data_An_Cour!$V:$V,$C335,[5]BV_Data_An_Cour!$W:$W,$L$2)</f>
        <v>1039.22</v>
      </c>
      <c r="M335" s="531"/>
      <c r="N335" s="557">
        <f t="shared" si="70"/>
        <v>353.59950330350318</v>
      </c>
      <c r="O335" s="531"/>
      <c r="P335" s="510"/>
      <c r="Q335" s="534">
        <f t="array" ref="Q335">+INDEX('[5]Réel 2023'!$A$2:$AO$501,MATCH($A335,'[5]Réel 2023'!$A$2:$A$501,0),MATCH(Q$2,'[5]Réel 2023'!$A$2:$AO$2,0))</f>
        <v>1177.5</v>
      </c>
      <c r="R335" s="531"/>
      <c r="S335" s="557">
        <f t="shared" si="71"/>
        <v>-138.27999999999997</v>
      </c>
      <c r="T335" s="510"/>
      <c r="U335" s="510"/>
      <c r="V335" s="510"/>
      <c r="W335" s="510"/>
      <c r="X335" s="510"/>
      <c r="Y335" s="510"/>
      <c r="Z335" s="510"/>
      <c r="AA335" s="510"/>
      <c r="AB335" s="510"/>
      <c r="AC335" s="510"/>
      <c r="AD335" s="510"/>
      <c r="AE335" s="510"/>
      <c r="AF335" s="510"/>
      <c r="AG335" s="510"/>
      <c r="AH335" s="510"/>
      <c r="AI335" s="510"/>
      <c r="AJ335" s="510"/>
      <c r="AK335" s="510"/>
      <c r="AL335" s="510"/>
      <c r="AM335" s="510"/>
      <c r="AN335" s="510"/>
    </row>
    <row r="336" spans="1:40" ht="15.75" customHeight="1">
      <c r="A336" s="523" t="s">
        <v>432</v>
      </c>
      <c r="B336" s="510" t="s">
        <v>103</v>
      </c>
      <c r="C336" s="602" t="s">
        <v>55</v>
      </c>
      <c r="D336" s="587"/>
      <c r="E336" s="607"/>
      <c r="F336" s="526">
        <f>+INDEX('[5]Budget original'!$A$2:$AO$501,MATCH($A336,'[5]Budget original'!$A$2:$A$501,0),MATCH(F$2,'[5]Budget original'!$A$2:$AO$2,0))</f>
        <v>12416.827750532408</v>
      </c>
      <c r="G336" s="588"/>
      <c r="H336" s="607"/>
      <c r="I336" s="526"/>
      <c r="J336" s="524"/>
      <c r="K336" s="607"/>
      <c r="L336" s="526">
        <f>SUMIFS([5]BV_Data_An_Cour!$O:$O,[5]BV_Data_An_Cour!$U:$U,$B336,[5]BV_Data_An_Cour!$V:$V,$C336,[5]BV_Data_An_Cour!$W:$W,$L$2)</f>
        <v>12086.68</v>
      </c>
      <c r="M336" s="524"/>
      <c r="N336" s="582">
        <f t="shared" si="70"/>
        <v>-330.14775053240737</v>
      </c>
      <c r="O336" s="524"/>
      <c r="P336" s="607"/>
      <c r="Q336" s="526">
        <f t="array" ref="Q336">+INDEX('[5]Réel 2023'!$A$2:$AO$501,MATCH($A336,'[5]Réel 2023'!$A$2:$A$501,0),MATCH(Q$2,'[5]Réel 2023'!$A$2:$AO$2,0))</f>
        <v>18021.23</v>
      </c>
      <c r="R336" s="524"/>
      <c r="S336" s="582">
        <f t="shared" si="71"/>
        <v>-5934.5499999999993</v>
      </c>
      <c r="T336" s="510"/>
      <c r="U336" s="510"/>
      <c r="V336" s="510"/>
      <c r="W336" s="510"/>
      <c r="X336" s="510"/>
      <c r="Y336" s="510"/>
      <c r="Z336" s="510"/>
      <c r="AA336" s="510"/>
      <c r="AB336" s="510"/>
      <c r="AC336" s="510"/>
      <c r="AD336" s="510"/>
      <c r="AE336" s="510"/>
      <c r="AF336" s="510"/>
      <c r="AG336" s="510"/>
      <c r="AH336" s="510"/>
      <c r="AI336" s="510"/>
      <c r="AJ336" s="510"/>
      <c r="AK336" s="510"/>
      <c r="AL336" s="510"/>
      <c r="AM336" s="510"/>
      <c r="AN336" s="510"/>
    </row>
    <row r="337" spans="1:40" ht="15.75" customHeight="1">
      <c r="A337" s="523" t="s">
        <v>433</v>
      </c>
      <c r="B337" s="510" t="s">
        <v>103</v>
      </c>
      <c r="C337" s="600" t="s">
        <v>98</v>
      </c>
      <c r="D337" s="584"/>
      <c r="E337" s="510"/>
      <c r="F337" s="532"/>
      <c r="G337" s="585"/>
      <c r="H337" s="510"/>
      <c r="I337" s="532"/>
      <c r="J337" s="531"/>
      <c r="K337" s="510"/>
      <c r="L337" s="534">
        <f>SUMIFS([5]BV_Data_An_Cour!$O:$O,[5]BV_Data_An_Cour!$U:$U,$B337,[5]BV_Data_An_Cour!$V:$V,$C337,[5]BV_Data_An_Cour!$W:$W,$L$2)</f>
        <v>0</v>
      </c>
      <c r="M337" s="531"/>
      <c r="N337" s="557">
        <f t="shared" si="70"/>
        <v>0</v>
      </c>
      <c r="O337" s="531"/>
      <c r="P337" s="510"/>
      <c r="Q337" s="534">
        <f>+INDEX('[5]Réel 2023'!$A$2:$AO$501,MATCH($A337,'[5]Réel 2023'!$A$2:$A$501,0),MATCH(Q$2,'[5]Réel 2023'!$A$2:$AO$2,0))</f>
        <v>0</v>
      </c>
      <c r="R337" s="531"/>
      <c r="S337" s="557">
        <f t="shared" si="71"/>
        <v>0</v>
      </c>
      <c r="T337" s="510"/>
      <c r="U337" s="510"/>
      <c r="V337" s="510"/>
      <c r="W337" s="510"/>
      <c r="X337" s="510"/>
      <c r="Y337" s="510"/>
      <c r="Z337" s="510"/>
      <c r="AA337" s="510"/>
      <c r="AB337" s="510"/>
      <c r="AC337" s="510"/>
      <c r="AD337" s="510"/>
      <c r="AE337" s="510"/>
      <c r="AF337" s="510"/>
      <c r="AG337" s="510"/>
      <c r="AH337" s="510"/>
      <c r="AI337" s="510"/>
      <c r="AJ337" s="510"/>
      <c r="AK337" s="510"/>
      <c r="AL337" s="510"/>
      <c r="AM337" s="510"/>
      <c r="AN337" s="510"/>
    </row>
    <row r="338" spans="1:40" ht="15.75" customHeight="1">
      <c r="A338" s="523" t="s">
        <v>434</v>
      </c>
      <c r="B338" s="510" t="s">
        <v>103</v>
      </c>
      <c r="C338" s="600" t="s">
        <v>56</v>
      </c>
      <c r="D338" s="584"/>
      <c r="E338" s="510"/>
      <c r="F338" s="532">
        <f>+INDEX('[5]Budget original'!$A$2:$AO$501,MATCH($A338,'[5]Budget original'!$A$2:$A$501,0),MATCH(F$2,'[5]Budget original'!$A$2:$AO$2,0))</f>
        <v>125</v>
      </c>
      <c r="G338" s="585"/>
      <c r="H338" s="510"/>
      <c r="I338" s="532"/>
      <c r="J338" s="531"/>
      <c r="K338" s="510"/>
      <c r="L338" s="534">
        <f>SUMIFS([5]BV_Data_An_Cour!$O:$O,[5]BV_Data_An_Cour!$U:$U,$B338,[5]BV_Data_An_Cour!$V:$V,$C338,[5]BV_Data_An_Cour!$W:$W,$L$2)</f>
        <v>68.38</v>
      </c>
      <c r="M338" s="531"/>
      <c r="N338" s="557">
        <f t="shared" si="70"/>
        <v>-56.620000000000005</v>
      </c>
      <c r="O338" s="531"/>
      <c r="P338" s="510"/>
      <c r="Q338" s="534">
        <f t="array" ref="Q338">+INDEX('[5]Réel 2023'!$A$2:$AO$501,MATCH($A338,'[5]Réel 2023'!$A$2:$A$501,0),MATCH(Q$2,'[5]Réel 2023'!$A$2:$AO$2,0))</f>
        <v>314.76</v>
      </c>
      <c r="R338" s="531"/>
      <c r="S338" s="557">
        <f t="shared" si="71"/>
        <v>-246.38</v>
      </c>
      <c r="T338" s="510"/>
      <c r="U338" s="510"/>
      <c r="V338" s="510"/>
      <c r="W338" s="510"/>
      <c r="X338" s="510"/>
      <c r="Y338" s="510"/>
      <c r="Z338" s="510"/>
      <c r="AA338" s="510"/>
      <c r="AB338" s="510"/>
      <c r="AC338" s="510"/>
      <c r="AD338" s="510"/>
      <c r="AE338" s="510"/>
      <c r="AF338" s="510"/>
      <c r="AG338" s="510"/>
      <c r="AH338" s="510"/>
      <c r="AI338" s="510"/>
      <c r="AJ338" s="510"/>
      <c r="AK338" s="510"/>
      <c r="AL338" s="510"/>
      <c r="AM338" s="510"/>
      <c r="AN338" s="510"/>
    </row>
    <row r="339" spans="1:40" ht="15.75" customHeight="1">
      <c r="A339" s="523" t="s">
        <v>435</v>
      </c>
      <c r="B339" s="510" t="s">
        <v>103</v>
      </c>
      <c r="C339" s="600" t="s">
        <v>57</v>
      </c>
      <c r="D339" s="584"/>
      <c r="E339" s="510"/>
      <c r="F339" s="532">
        <f>+INDEX('[5]Budget original'!$A$2:$AO$501,MATCH($A339,'[5]Budget original'!$A$2:$A$501,0),MATCH(F$2,'[5]Budget original'!$A$2:$AO$2,0))</f>
        <v>83.333333333333329</v>
      </c>
      <c r="G339" s="585"/>
      <c r="H339" s="510"/>
      <c r="I339" s="532"/>
      <c r="J339" s="531"/>
      <c r="K339" s="510"/>
      <c r="L339" s="534">
        <f>SUMIFS([5]BV_Data_An_Cour!$O:$O,[5]BV_Data_An_Cour!$U:$U,$B339,[5]BV_Data_An_Cour!$V:$V,$C339,[5]BV_Data_An_Cour!$W:$W,$L$2)</f>
        <v>0</v>
      </c>
      <c r="M339" s="531"/>
      <c r="N339" s="557">
        <f t="shared" si="70"/>
        <v>-83.333333333333329</v>
      </c>
      <c r="O339" s="531"/>
      <c r="P339" s="510"/>
      <c r="Q339" s="534">
        <f t="array" ref="Q339">+INDEX('[5]Réel 2023'!$A$2:$AO$501,MATCH($A339,'[5]Réel 2023'!$A$2:$A$501,0),MATCH(Q$2,'[5]Réel 2023'!$A$2:$AO$2,0))</f>
        <v>0</v>
      </c>
      <c r="R339" s="531"/>
      <c r="S339" s="557">
        <f t="shared" si="71"/>
        <v>0</v>
      </c>
      <c r="T339" s="510"/>
      <c r="U339" s="510"/>
      <c r="V339" s="510"/>
      <c r="W339" s="510"/>
      <c r="X339" s="510"/>
      <c r="Y339" s="510"/>
      <c r="Z339" s="510"/>
      <c r="AA339" s="510"/>
      <c r="AB339" s="510"/>
      <c r="AC339" s="510"/>
      <c r="AD339" s="510"/>
      <c r="AE339" s="510"/>
      <c r="AF339" s="510"/>
      <c r="AG339" s="510"/>
      <c r="AH339" s="510"/>
      <c r="AI339" s="510"/>
      <c r="AJ339" s="510"/>
      <c r="AK339" s="510"/>
      <c r="AL339" s="510"/>
      <c r="AM339" s="510"/>
      <c r="AN339" s="510"/>
    </row>
    <row r="340" spans="1:40" ht="15.75" customHeight="1">
      <c r="A340" s="523" t="s">
        <v>436</v>
      </c>
      <c r="B340" s="510" t="s">
        <v>103</v>
      </c>
      <c r="C340" s="600" t="s">
        <v>58</v>
      </c>
      <c r="D340" s="584"/>
      <c r="E340" s="510"/>
      <c r="F340" s="532">
        <f>+INDEX('[5]Budget original'!$A$2:$AO$501,MATCH($A340,'[5]Budget original'!$A$2:$A$501,0),MATCH(F$2,'[5]Budget original'!$A$2:$AO$2,0))</f>
        <v>617.95293122500004</v>
      </c>
      <c r="G340" s="585"/>
      <c r="H340" s="510"/>
      <c r="I340" s="532"/>
      <c r="J340" s="531"/>
      <c r="K340" s="510"/>
      <c r="L340" s="534">
        <f>SUMIFS([5]BV_Data_An_Cour!$O:$O,[5]BV_Data_An_Cour!$U:$U,$B340,[5]BV_Data_An_Cour!$V:$V,$C340,[5]BV_Data_An_Cour!$W:$W,$L$2)</f>
        <v>294.99</v>
      </c>
      <c r="M340" s="531"/>
      <c r="N340" s="557">
        <f t="shared" si="70"/>
        <v>-322.96293122500003</v>
      </c>
      <c r="O340" s="531"/>
      <c r="P340" s="510"/>
      <c r="Q340" s="534">
        <f t="array" ref="Q340">+INDEX('[5]Réel 2023'!$A$2:$AO$501,MATCH($A340,'[5]Réel 2023'!$A$2:$A$501,0),MATCH(Q$2,'[5]Réel 2023'!$A$2:$AO$2,0))</f>
        <v>828.89</v>
      </c>
      <c r="R340" s="531"/>
      <c r="S340" s="557">
        <f t="shared" si="71"/>
        <v>-533.9</v>
      </c>
      <c r="T340" s="510"/>
      <c r="U340" s="510"/>
      <c r="V340" s="510"/>
      <c r="W340" s="510"/>
      <c r="X340" s="510"/>
      <c r="Y340" s="510"/>
      <c r="Z340" s="510"/>
      <c r="AA340" s="510"/>
      <c r="AB340" s="510"/>
      <c r="AC340" s="510"/>
      <c r="AD340" s="510"/>
      <c r="AE340" s="510"/>
      <c r="AF340" s="510"/>
      <c r="AG340" s="510"/>
      <c r="AH340" s="510"/>
      <c r="AI340" s="510"/>
      <c r="AJ340" s="510"/>
      <c r="AK340" s="510"/>
      <c r="AL340" s="510"/>
      <c r="AM340" s="510"/>
      <c r="AN340" s="510"/>
    </row>
    <row r="341" spans="1:40" ht="15.75" customHeight="1">
      <c r="A341" s="523" t="s">
        <v>437</v>
      </c>
      <c r="B341" s="510" t="s">
        <v>103</v>
      </c>
      <c r="C341" s="600" t="s">
        <v>59</v>
      </c>
      <c r="D341" s="584"/>
      <c r="E341" s="510"/>
      <c r="F341" s="532">
        <f>+INDEX('[5]Budget original'!$A$2:$AO$501,MATCH($A341,'[5]Budget original'!$A$2:$A$501,0),MATCH(F$2,'[5]Budget original'!$A$2:$AO$2,0))</f>
        <v>131.35821644756945</v>
      </c>
      <c r="G341" s="585"/>
      <c r="H341" s="510"/>
      <c r="I341" s="532"/>
      <c r="J341" s="531"/>
      <c r="K341" s="510"/>
      <c r="L341" s="534">
        <f>SUMIFS([5]BV_Data_An_Cour!$O:$O,[5]BV_Data_An_Cour!$U:$U,$B341,[5]BV_Data_An_Cour!$V:$V,$C341,[5]BV_Data_An_Cour!$W:$W,$L$2)</f>
        <v>142.66</v>
      </c>
      <c r="M341" s="531"/>
      <c r="N341" s="557">
        <f t="shared" si="70"/>
        <v>11.30178355243055</v>
      </c>
      <c r="O341" s="531"/>
      <c r="P341" s="510"/>
      <c r="Q341" s="534">
        <f t="array" ref="Q341">+INDEX('[5]Réel 2023'!$A$2:$AO$501,MATCH($A341,'[5]Réel 2023'!$A$2:$A$501,0),MATCH(Q$2,'[5]Réel 2023'!$A$2:$AO$2,0))</f>
        <v>101.52</v>
      </c>
      <c r="R341" s="531"/>
      <c r="S341" s="557">
        <f t="shared" si="71"/>
        <v>41.14</v>
      </c>
      <c r="T341" s="510"/>
      <c r="U341" s="510"/>
      <c r="V341" s="510"/>
      <c r="W341" s="510"/>
      <c r="X341" s="510"/>
      <c r="Y341" s="510"/>
      <c r="Z341" s="510"/>
      <c r="AA341" s="510"/>
      <c r="AB341" s="510"/>
      <c r="AC341" s="510"/>
      <c r="AD341" s="510"/>
      <c r="AE341" s="510"/>
      <c r="AF341" s="510"/>
      <c r="AG341" s="510"/>
      <c r="AH341" s="510"/>
      <c r="AI341" s="510"/>
      <c r="AJ341" s="510"/>
      <c r="AK341" s="510"/>
      <c r="AL341" s="510"/>
      <c r="AM341" s="510"/>
      <c r="AN341" s="510"/>
    </row>
    <row r="342" spans="1:40" ht="15.75" customHeight="1">
      <c r="A342" s="523" t="s">
        <v>438</v>
      </c>
      <c r="B342" s="510" t="s">
        <v>103</v>
      </c>
      <c r="C342" s="600" t="s">
        <v>60</v>
      </c>
      <c r="D342" s="584"/>
      <c r="E342" s="510"/>
      <c r="F342" s="532">
        <f>+INDEX('[5]Budget original'!$A$2:$AO$501,MATCH($A342,'[5]Budget original'!$A$2:$A$501,0),MATCH(F$2,'[5]Budget original'!$A$2:$AO$2,0))</f>
        <v>160.29647805243053</v>
      </c>
      <c r="G342" s="585"/>
      <c r="H342" s="510"/>
      <c r="I342" s="532"/>
      <c r="J342" s="531"/>
      <c r="K342" s="510"/>
      <c r="L342" s="534">
        <f>SUMIFS([5]BV_Data_An_Cour!$O:$O,[5]BV_Data_An_Cour!$U:$U,$B342,[5]BV_Data_An_Cour!$V:$V,$C342,[5]BV_Data_An_Cour!$W:$W,$L$2)</f>
        <v>-104.06</v>
      </c>
      <c r="M342" s="531"/>
      <c r="N342" s="557">
        <f t="shared" si="70"/>
        <v>-264.35647805243053</v>
      </c>
      <c r="O342" s="531"/>
      <c r="P342" s="510"/>
      <c r="Q342" s="534">
        <f t="array" ref="Q342">+INDEX('[5]Réel 2023'!$A$2:$AO$501,MATCH($A342,'[5]Réel 2023'!$A$2:$A$501,0),MATCH(Q$2,'[5]Réel 2023'!$A$2:$AO$2,0))</f>
        <v>-205.28</v>
      </c>
      <c r="R342" s="531"/>
      <c r="S342" s="557">
        <f t="shared" si="71"/>
        <v>101.22</v>
      </c>
      <c r="T342" s="510"/>
      <c r="U342" s="510"/>
      <c r="V342" s="510"/>
      <c r="W342" s="510"/>
      <c r="X342" s="510"/>
      <c r="Y342" s="510"/>
      <c r="Z342" s="510"/>
      <c r="AA342" s="510"/>
      <c r="AB342" s="510"/>
      <c r="AC342" s="510"/>
      <c r="AD342" s="510"/>
      <c r="AE342" s="510"/>
      <c r="AF342" s="510"/>
      <c r="AG342" s="510"/>
      <c r="AH342" s="510"/>
      <c r="AI342" s="510"/>
      <c r="AJ342" s="510"/>
      <c r="AK342" s="510"/>
      <c r="AL342" s="510"/>
      <c r="AM342" s="510"/>
      <c r="AN342" s="510"/>
    </row>
    <row r="343" spans="1:40" ht="15.75" customHeight="1">
      <c r="A343" s="523" t="s">
        <v>439</v>
      </c>
      <c r="B343" s="510" t="s">
        <v>103</v>
      </c>
      <c r="C343" s="600" t="s">
        <v>61</v>
      </c>
      <c r="D343" s="584"/>
      <c r="E343" s="510"/>
      <c r="F343" s="532">
        <f>+INDEX('[5]Budget original'!$A$2:$AO$501,MATCH($A343,'[5]Budget original'!$A$2:$A$501,0),MATCH(F$2,'[5]Budget original'!$A$2:$AO$2,0))</f>
        <v>218.76449018368055</v>
      </c>
      <c r="G343" s="585"/>
      <c r="H343" s="510"/>
      <c r="I343" s="532"/>
      <c r="J343" s="531"/>
      <c r="K343" s="510"/>
      <c r="L343" s="534">
        <f>SUMIFS([5]BV_Data_An_Cour!$O:$O,[5]BV_Data_An_Cour!$U:$U,$B343,[5]BV_Data_An_Cour!$V:$V,$C343,[5]BV_Data_An_Cour!$W:$W,$L$2)</f>
        <v>183.15</v>
      </c>
      <c r="M343" s="531"/>
      <c r="N343" s="557">
        <f t="shared" si="70"/>
        <v>-35.614490183680545</v>
      </c>
      <c r="O343" s="531"/>
      <c r="P343" s="510"/>
      <c r="Q343" s="534">
        <f t="array" ref="Q343">+INDEX('[5]Réel 2023'!$A$2:$AO$501,MATCH($A343,'[5]Réel 2023'!$A$2:$A$501,0),MATCH(Q$2,'[5]Réel 2023'!$A$2:$AO$2,0))</f>
        <v>93.75</v>
      </c>
      <c r="R343" s="531"/>
      <c r="S343" s="557">
        <f t="shared" si="71"/>
        <v>89.4</v>
      </c>
      <c r="T343" s="510"/>
      <c r="U343" s="510"/>
      <c r="V343" s="510"/>
      <c r="W343" s="510"/>
      <c r="X343" s="510"/>
      <c r="Y343" s="510"/>
      <c r="Z343" s="510"/>
      <c r="AA343" s="510"/>
      <c r="AB343" s="510"/>
      <c r="AC343" s="510"/>
      <c r="AD343" s="510"/>
      <c r="AE343" s="510"/>
      <c r="AF343" s="510"/>
      <c r="AG343" s="510"/>
      <c r="AH343" s="510"/>
      <c r="AI343" s="510"/>
      <c r="AJ343" s="510"/>
      <c r="AK343" s="510"/>
      <c r="AL343" s="510"/>
      <c r="AM343" s="510"/>
      <c r="AN343" s="510"/>
    </row>
    <row r="344" spans="1:40" ht="15.75" customHeight="1">
      <c r="A344" s="523" t="s">
        <v>440</v>
      </c>
      <c r="B344" s="510" t="s">
        <v>103</v>
      </c>
      <c r="C344" s="600" t="s">
        <v>62</v>
      </c>
      <c r="D344" s="584"/>
      <c r="E344" s="510"/>
      <c r="F344" s="532">
        <f>+INDEX('[5]Budget original'!$A$2:$AO$501,MATCH($A344,'[5]Budget original'!$A$2:$A$501,0),MATCH(F$2,'[5]Budget original'!$A$2:$AO$2,0))</f>
        <v>822.25903298327421</v>
      </c>
      <c r="G344" s="585"/>
      <c r="H344" s="510"/>
      <c r="I344" s="532"/>
      <c r="J344" s="531"/>
      <c r="K344" s="510"/>
      <c r="L344" s="534">
        <f>SUMIFS([5]BV_Data_An_Cour!$O:$O,[5]BV_Data_An_Cour!$U:$U,$B344,[5]BV_Data_An_Cour!$V:$V,$C344,[5]BV_Data_An_Cour!$W:$W,$L$2)</f>
        <v>1038.3</v>
      </c>
      <c r="M344" s="531"/>
      <c r="N344" s="557">
        <f t="shared" si="70"/>
        <v>216.04096701672574</v>
      </c>
      <c r="O344" s="531"/>
      <c r="P344" s="510"/>
      <c r="Q344" s="534">
        <f t="array" ref="Q344">+INDEX('[5]Réel 2023'!$A$2:$AO$501,MATCH($A344,'[5]Réel 2023'!$A$2:$A$501,0),MATCH(Q$2,'[5]Réel 2023'!$A$2:$AO$2,0))</f>
        <v>67.540000000000006</v>
      </c>
      <c r="R344" s="531"/>
      <c r="S344" s="557">
        <f t="shared" si="71"/>
        <v>970.76</v>
      </c>
      <c r="T344" s="510"/>
      <c r="X344" s="510"/>
      <c r="Y344" s="510"/>
      <c r="Z344" s="510"/>
      <c r="AA344" s="510"/>
      <c r="AB344" s="510"/>
      <c r="AC344" s="510"/>
      <c r="AD344" s="510"/>
      <c r="AE344" s="510"/>
      <c r="AF344" s="510"/>
      <c r="AG344" s="510"/>
      <c r="AH344" s="510"/>
      <c r="AI344" s="510"/>
      <c r="AJ344" s="510"/>
      <c r="AK344" s="510"/>
      <c r="AL344" s="510"/>
      <c r="AM344" s="510"/>
      <c r="AN344" s="510"/>
    </row>
    <row r="345" spans="1:40" ht="15.75" customHeight="1">
      <c r="A345" s="523" t="s">
        <v>441</v>
      </c>
      <c r="B345" s="510" t="s">
        <v>103</v>
      </c>
      <c r="C345" s="600" t="s">
        <v>63</v>
      </c>
      <c r="D345" s="584"/>
      <c r="E345" s="510"/>
      <c r="F345" s="532">
        <f>+INDEX('[5]Budget original'!$A$2:$AO$501,MATCH($A345,'[5]Budget original'!$A$2:$A$501,0),MATCH(F$2,'[5]Budget original'!$A$2:$AO$2,0))</f>
        <v>1479.6608489796454</v>
      </c>
      <c r="G345" s="585"/>
      <c r="H345" s="510"/>
      <c r="I345" s="532"/>
      <c r="J345" s="531"/>
      <c r="K345" s="510"/>
      <c r="L345" s="534">
        <f>SUMIFS([5]BV_Data_An_Cour!$O:$O,[5]BV_Data_An_Cour!$U:$U,$B345,[5]BV_Data_An_Cour!$V:$V,$C345,[5]BV_Data_An_Cour!$W:$W,$L$2)</f>
        <v>2142.2399999999998</v>
      </c>
      <c r="M345" s="531"/>
      <c r="N345" s="557">
        <f t="shared" si="70"/>
        <v>662.5791510203544</v>
      </c>
      <c r="O345" s="531"/>
      <c r="P345" s="510"/>
      <c r="Q345" s="534">
        <f t="array" ref="Q345">+INDEX('[5]Réel 2023'!$A$2:$AO$501,MATCH($A345,'[5]Réel 2023'!$A$2:$A$501,0),MATCH(Q$2,'[5]Réel 2023'!$A$2:$AO$2,0))</f>
        <v>1780.66</v>
      </c>
      <c r="R345" s="531"/>
      <c r="S345" s="557">
        <f t="shared" si="71"/>
        <v>361.5799999999997</v>
      </c>
      <c r="T345" s="510"/>
      <c r="X345" s="510"/>
      <c r="Y345" s="510"/>
      <c r="Z345" s="510"/>
      <c r="AA345" s="510"/>
      <c r="AB345" s="510"/>
      <c r="AC345" s="510"/>
      <c r="AD345" s="510"/>
      <c r="AE345" s="510"/>
      <c r="AF345" s="510"/>
      <c r="AG345" s="510"/>
      <c r="AH345" s="510"/>
      <c r="AI345" s="510"/>
      <c r="AJ345" s="510"/>
      <c r="AK345" s="510"/>
      <c r="AL345" s="510"/>
      <c r="AM345" s="510"/>
      <c r="AN345" s="510"/>
    </row>
    <row r="346" spans="1:40" ht="15.75" hidden="1" customHeight="1">
      <c r="A346" s="523" t="s">
        <v>408</v>
      </c>
      <c r="B346" s="510" t="s">
        <v>103</v>
      </c>
      <c r="C346" s="600" t="s">
        <v>20</v>
      </c>
      <c r="D346" s="584"/>
      <c r="E346" s="510"/>
      <c r="F346" s="532">
        <f>+INDEX('[5]Budget original'!$A$2:$AO$501,MATCH($A346,'[5]Budget original'!$A$2:$A$501,0),MATCH(F$2,'[5]Budget original'!$A$2:$AO$2,0))</f>
        <v>0</v>
      </c>
      <c r="G346" s="585"/>
      <c r="H346" s="510"/>
      <c r="I346" s="532"/>
      <c r="J346" s="531"/>
      <c r="K346" s="510"/>
      <c r="L346" s="534">
        <f>SUMIFS([5]BV_Data_An_Cour!$O:$O,[5]BV_Data_An_Cour!$U:$U,$B346,[5]BV_Data_An_Cour!$V:$V,$C346,[5]BV_Data_An_Cour!$W:$W,$L$2)</f>
        <v>0</v>
      </c>
      <c r="M346" s="531"/>
      <c r="N346" s="557">
        <f t="shared" si="70"/>
        <v>0</v>
      </c>
      <c r="O346" s="531"/>
      <c r="P346" s="510"/>
      <c r="Q346" s="534">
        <f t="array" ref="Q346">+INDEX('[5]Réel 2023'!$A$2:$AO$501,MATCH($A346,'[5]Réel 2023'!$A$2:$A$501,0),MATCH(Q$2,'[5]Réel 2023'!$A$2:$AO$2,0))</f>
        <v>0</v>
      </c>
      <c r="R346" s="531"/>
      <c r="S346" s="557">
        <f t="shared" si="71"/>
        <v>0</v>
      </c>
      <c r="T346" s="510"/>
      <c r="X346" s="510"/>
      <c r="Y346" s="510"/>
      <c r="Z346" s="510"/>
      <c r="AA346" s="510"/>
      <c r="AB346" s="510"/>
      <c r="AC346" s="510"/>
      <c r="AD346" s="510"/>
      <c r="AE346" s="510"/>
      <c r="AF346" s="510"/>
      <c r="AG346" s="510"/>
      <c r="AH346" s="510"/>
      <c r="AI346" s="510"/>
      <c r="AJ346" s="510"/>
      <c r="AK346" s="510"/>
      <c r="AL346" s="510"/>
      <c r="AM346" s="510"/>
      <c r="AN346" s="510"/>
    </row>
    <row r="347" spans="1:40" ht="15.75" hidden="1" customHeight="1">
      <c r="A347" s="523" t="s">
        <v>408</v>
      </c>
      <c r="B347" s="510" t="s">
        <v>103</v>
      </c>
      <c r="C347" s="600" t="s">
        <v>20</v>
      </c>
      <c r="D347" s="584"/>
      <c r="E347" s="510"/>
      <c r="F347" s="532">
        <f>+INDEX('[5]Budget original'!$A$2:$AO$501,MATCH($A347,'[5]Budget original'!$A$2:$A$501,0),MATCH(F$2,'[5]Budget original'!$A$2:$AO$2,0))</f>
        <v>0</v>
      </c>
      <c r="G347" s="585"/>
      <c r="H347" s="510"/>
      <c r="I347" s="532"/>
      <c r="J347" s="531"/>
      <c r="K347" s="510"/>
      <c r="L347" s="534">
        <f>SUMIFS([5]BV_Data_An_Cour!$O:$O,[5]BV_Data_An_Cour!$U:$U,$B347,[5]BV_Data_An_Cour!$V:$V,$C347,[5]BV_Data_An_Cour!$W:$W,$L$2)</f>
        <v>0</v>
      </c>
      <c r="M347" s="531"/>
      <c r="N347" s="557">
        <f t="shared" si="70"/>
        <v>0</v>
      </c>
      <c r="O347" s="531"/>
      <c r="P347" s="510"/>
      <c r="Q347" s="534">
        <f t="array" ref="Q347">+INDEX('[5]Réel 2023'!$A$2:$AO$501,MATCH($A347,'[5]Réel 2023'!$A$2:$A$501,0),MATCH(Q$2,'[5]Réel 2023'!$A$2:$AO$2,0))</f>
        <v>0</v>
      </c>
      <c r="R347" s="531"/>
      <c r="S347" s="557">
        <f t="shared" si="71"/>
        <v>0</v>
      </c>
      <c r="T347" s="510"/>
      <c r="X347" s="510"/>
      <c r="Y347" s="510"/>
      <c r="Z347" s="510"/>
      <c r="AA347" s="510"/>
      <c r="AB347" s="510"/>
      <c r="AC347" s="510"/>
      <c r="AD347" s="510"/>
      <c r="AE347" s="510"/>
      <c r="AF347" s="510"/>
      <c r="AG347" s="510"/>
      <c r="AH347" s="510"/>
      <c r="AI347" s="510"/>
      <c r="AJ347" s="510"/>
      <c r="AK347" s="510"/>
      <c r="AL347" s="510"/>
      <c r="AM347" s="510"/>
      <c r="AN347" s="510"/>
    </row>
    <row r="348" spans="1:40" ht="15.75" hidden="1" customHeight="1">
      <c r="A348" s="523" t="s">
        <v>408</v>
      </c>
      <c r="B348" s="510" t="s">
        <v>103</v>
      </c>
      <c r="C348" s="600" t="s">
        <v>20</v>
      </c>
      <c r="D348" s="584"/>
      <c r="E348" s="510"/>
      <c r="F348" s="532">
        <f>+INDEX('[5]Budget original'!$A$2:$AO$501,MATCH($A348,'[5]Budget original'!$A$2:$A$501,0),MATCH(F$2,'[5]Budget original'!$A$2:$AO$2,0))</f>
        <v>0</v>
      </c>
      <c r="G348" s="585"/>
      <c r="H348" s="510"/>
      <c r="I348" s="532"/>
      <c r="J348" s="531"/>
      <c r="K348" s="510"/>
      <c r="L348" s="534">
        <f>SUMIFS([5]BV_Data_An_Cour!$O:$O,[5]BV_Data_An_Cour!$U:$U,$B348,[5]BV_Data_An_Cour!$V:$V,$C348,[5]BV_Data_An_Cour!$W:$W,$L$2)</f>
        <v>0</v>
      </c>
      <c r="M348" s="531"/>
      <c r="N348" s="557">
        <f t="shared" si="70"/>
        <v>0</v>
      </c>
      <c r="O348" s="531"/>
      <c r="P348" s="510"/>
      <c r="Q348" s="534">
        <f t="array" ref="Q348">+INDEX('[5]Réel 2023'!$A$2:$AO$501,MATCH($A348,'[5]Réel 2023'!$A$2:$A$501,0),MATCH(Q$2,'[5]Réel 2023'!$A$2:$AO$2,0))</f>
        <v>0</v>
      </c>
      <c r="R348" s="531"/>
      <c r="S348" s="557">
        <f t="shared" si="71"/>
        <v>0</v>
      </c>
      <c r="T348" s="510"/>
      <c r="X348" s="510"/>
      <c r="Y348" s="510"/>
      <c r="Z348" s="510"/>
      <c r="AA348" s="510"/>
      <c r="AB348" s="510"/>
      <c r="AC348" s="510"/>
      <c r="AD348" s="510"/>
      <c r="AE348" s="510"/>
      <c r="AF348" s="510"/>
      <c r="AG348" s="510"/>
      <c r="AH348" s="510"/>
      <c r="AI348" s="510"/>
      <c r="AJ348" s="510"/>
      <c r="AK348" s="510"/>
      <c r="AL348" s="510"/>
      <c r="AM348" s="510"/>
      <c r="AN348" s="510"/>
    </row>
    <row r="349" spans="1:40" ht="15.75" customHeight="1">
      <c r="B349" s="504"/>
      <c r="C349" s="592" t="s">
        <v>64</v>
      </c>
      <c r="D349" s="593" t="s">
        <v>39</v>
      </c>
      <c r="E349" s="594">
        <f>F349/F$314</f>
        <v>0.16387784617538206</v>
      </c>
      <c r="F349" s="595">
        <f>+SUM(F331:F348)</f>
        <v>27569.677157790564</v>
      </c>
      <c r="G349" s="596"/>
      <c r="H349" s="594"/>
      <c r="I349" s="595"/>
      <c r="J349" s="596" t="s">
        <v>39</v>
      </c>
      <c r="K349" s="594">
        <f>L349/L$314</f>
        <v>0.22587162513993767</v>
      </c>
      <c r="L349" s="595">
        <f>+SUM(L331:L348)</f>
        <v>29362.270000000004</v>
      </c>
      <c r="M349" s="599"/>
      <c r="N349" s="595">
        <f>+SUM(N331:N348)</f>
        <v>1792.5928422094339</v>
      </c>
      <c r="O349" s="596" t="s">
        <v>39</v>
      </c>
      <c r="P349" s="594">
        <f>Q349/Q$314</f>
        <v>0.24022663716821147</v>
      </c>
      <c r="Q349" s="595">
        <f>+SUM(Q331:Q348)</f>
        <v>30435.73</v>
      </c>
      <c r="R349" s="599"/>
      <c r="S349" s="595">
        <f>+SUM(S331:S348)</f>
        <v>-1073.4599999999987</v>
      </c>
      <c r="T349" s="510"/>
      <c r="X349" s="510"/>
      <c r="Y349" s="510"/>
      <c r="Z349" s="510"/>
      <c r="AA349" s="510"/>
      <c r="AB349" s="510"/>
      <c r="AC349" s="510"/>
      <c r="AD349" s="510"/>
      <c r="AE349" s="510"/>
      <c r="AF349" s="510"/>
      <c r="AG349" s="510"/>
      <c r="AH349" s="510"/>
      <c r="AI349" s="510"/>
      <c r="AJ349" s="510"/>
      <c r="AK349" s="510"/>
      <c r="AL349" s="510"/>
      <c r="AM349" s="510"/>
      <c r="AN349" s="510"/>
    </row>
    <row r="350" spans="1:40" ht="15.75" customHeight="1">
      <c r="B350" s="504"/>
      <c r="C350" s="524"/>
      <c r="D350" s="587"/>
      <c r="E350" s="607"/>
      <c r="F350" s="557"/>
      <c r="G350" s="588"/>
      <c r="H350" s="607"/>
      <c r="I350" s="557"/>
      <c r="J350" s="524"/>
      <c r="K350" s="607"/>
      <c r="L350" s="582"/>
      <c r="M350" s="524"/>
      <c r="N350" s="582"/>
      <c r="O350" s="524"/>
      <c r="P350" s="607"/>
      <c r="Q350" s="582"/>
      <c r="R350" s="524"/>
      <c r="S350" s="582"/>
      <c r="T350" s="510"/>
      <c r="U350" s="510"/>
      <c r="V350" s="510"/>
      <c r="W350" s="510"/>
      <c r="X350" s="510"/>
      <c r="Y350" s="510"/>
      <c r="Z350" s="510"/>
      <c r="AA350" s="510"/>
      <c r="AB350" s="510"/>
      <c r="AC350" s="510"/>
      <c r="AD350" s="510"/>
      <c r="AE350" s="510"/>
      <c r="AF350" s="510"/>
      <c r="AG350" s="510"/>
      <c r="AH350" s="510"/>
      <c r="AI350" s="510"/>
      <c r="AJ350" s="510"/>
      <c r="AK350" s="510"/>
      <c r="AL350" s="510"/>
      <c r="AM350" s="510"/>
      <c r="AN350" s="510"/>
    </row>
    <row r="351" spans="1:40" ht="15.75" customHeight="1">
      <c r="B351" s="504"/>
      <c r="C351" s="592" t="s">
        <v>65</v>
      </c>
      <c r="D351" s="593" t="s">
        <v>39</v>
      </c>
      <c r="E351" s="594">
        <f>F351/F$314</f>
        <v>0.43731384951985247</v>
      </c>
      <c r="F351" s="595">
        <f>F330+F349</f>
        <v>73570.662107616197</v>
      </c>
      <c r="G351" s="596"/>
      <c r="H351" s="594"/>
      <c r="I351" s="595"/>
      <c r="J351" s="596" t="s">
        <v>39</v>
      </c>
      <c r="K351" s="594">
        <f>L351/L$314</f>
        <v>0.5749178490098763</v>
      </c>
      <c r="L351" s="595">
        <f>L330+L349</f>
        <v>74736.67</v>
      </c>
      <c r="M351" s="599"/>
      <c r="N351" s="609">
        <f>L351-F351</f>
        <v>1166.0078923838009</v>
      </c>
      <c r="O351" s="596" t="s">
        <v>39</v>
      </c>
      <c r="P351" s="594">
        <f>Q351/Q$314</f>
        <v>0.55853204405193868</v>
      </c>
      <c r="Q351" s="595">
        <f>Q330+Q349</f>
        <v>70763.72</v>
      </c>
      <c r="R351" s="599"/>
      <c r="S351" s="609">
        <f>L351-Q351</f>
        <v>3972.9499999999971</v>
      </c>
      <c r="T351" s="510"/>
      <c r="U351" s="510"/>
      <c r="V351" s="510"/>
      <c r="W351" s="510"/>
      <c r="X351" s="510"/>
      <c r="Y351" s="510"/>
      <c r="Z351" s="510"/>
      <c r="AA351" s="510"/>
      <c r="AB351" s="510"/>
      <c r="AC351" s="510"/>
      <c r="AD351" s="510"/>
      <c r="AE351" s="510"/>
      <c r="AF351" s="510"/>
      <c r="AG351" s="510"/>
      <c r="AH351" s="510"/>
      <c r="AI351" s="510"/>
      <c r="AJ351" s="510"/>
      <c r="AK351" s="510"/>
      <c r="AL351" s="510"/>
      <c r="AM351" s="510"/>
      <c r="AN351" s="510"/>
    </row>
    <row r="352" spans="1:40" ht="15.75" customHeight="1">
      <c r="B352" s="504"/>
      <c r="C352" s="531"/>
      <c r="D352" s="584"/>
      <c r="E352" s="510"/>
      <c r="F352" s="557"/>
      <c r="G352" s="585"/>
      <c r="H352" s="510"/>
      <c r="I352" s="557"/>
      <c r="J352" s="531"/>
      <c r="K352" s="510"/>
      <c r="L352" s="557"/>
      <c r="M352" s="531"/>
      <c r="N352" s="557">
        <f>L352-F352</f>
        <v>0</v>
      </c>
      <c r="O352" s="531"/>
      <c r="P352" s="510"/>
      <c r="Q352" s="557"/>
      <c r="R352" s="531"/>
      <c r="S352" s="557"/>
      <c r="T352" s="510"/>
      <c r="U352" s="510"/>
      <c r="V352" s="510"/>
      <c r="W352" s="510"/>
      <c r="X352" s="510"/>
      <c r="Y352" s="510"/>
      <c r="Z352" s="510"/>
      <c r="AA352" s="510"/>
      <c r="AB352" s="510"/>
      <c r="AC352" s="510"/>
      <c r="AD352" s="510"/>
      <c r="AE352" s="510"/>
      <c r="AF352" s="510"/>
      <c r="AG352" s="510"/>
      <c r="AH352" s="510"/>
      <c r="AI352" s="510"/>
      <c r="AJ352" s="510"/>
      <c r="AK352" s="510"/>
      <c r="AL352" s="510"/>
      <c r="AM352" s="510"/>
      <c r="AN352" s="510"/>
    </row>
    <row r="353" spans="1:40" ht="24" customHeight="1" thickBot="1">
      <c r="B353" s="504"/>
      <c r="C353" s="625" t="s">
        <v>72</v>
      </c>
      <c r="D353" s="655"/>
      <c r="E353" s="626"/>
      <c r="F353" s="628">
        <f>F314-F351</f>
        <v>94662.43224417005</v>
      </c>
      <c r="G353" s="656"/>
      <c r="H353" s="626"/>
      <c r="I353" s="628"/>
      <c r="J353" s="625"/>
      <c r="K353" s="627"/>
      <c r="L353" s="628">
        <f>L314-L351</f>
        <v>55258.720000000016</v>
      </c>
      <c r="M353" s="625"/>
      <c r="N353" s="628">
        <f>L353-F353</f>
        <v>-39403.712244170034</v>
      </c>
      <c r="O353" s="625"/>
      <c r="P353" s="630">
        <f>+Q353/O314</f>
        <v>0.11113015860375569</v>
      </c>
      <c r="Q353" s="628">
        <f>Q314-Q351</f>
        <v>55932.179999999978</v>
      </c>
      <c r="R353" s="625"/>
      <c r="S353" s="628">
        <f>L353-Q353</f>
        <v>-673.45999999996275</v>
      </c>
      <c r="T353" s="510"/>
      <c r="U353" s="510"/>
      <c r="V353" s="510"/>
      <c r="W353" s="510"/>
      <c r="X353" s="510"/>
      <c r="Y353" s="510"/>
      <c r="Z353" s="510"/>
      <c r="AA353" s="510"/>
      <c r="AB353" s="510"/>
      <c r="AC353" s="510"/>
      <c r="AD353" s="510"/>
      <c r="AE353" s="510"/>
      <c r="AF353" s="510"/>
      <c r="AG353" s="510"/>
      <c r="AH353" s="510"/>
      <c r="AI353" s="510"/>
      <c r="AJ353" s="510"/>
      <c r="AK353" s="510"/>
      <c r="AL353" s="510"/>
      <c r="AM353" s="510"/>
      <c r="AN353" s="510"/>
    </row>
    <row r="354" spans="1:40" ht="15.75" customHeight="1" thickTop="1">
      <c r="B354" s="504"/>
      <c r="C354" s="571"/>
      <c r="D354" s="584"/>
      <c r="E354" s="510"/>
      <c r="F354" s="608"/>
      <c r="G354" s="584"/>
      <c r="H354" s="510"/>
      <c r="I354" s="608"/>
      <c r="J354" s="571"/>
      <c r="K354" s="571"/>
      <c r="L354" s="608"/>
      <c r="M354" s="571"/>
      <c r="N354" s="608"/>
      <c r="O354" s="571"/>
      <c r="P354" s="571"/>
      <c r="Q354" s="608"/>
      <c r="R354" s="571"/>
      <c r="S354" s="608"/>
      <c r="T354" s="510"/>
      <c r="U354" s="510"/>
      <c r="V354" s="510"/>
      <c r="W354" s="510"/>
      <c r="X354" s="510"/>
      <c r="Y354" s="510"/>
      <c r="Z354" s="510"/>
      <c r="AA354" s="510"/>
      <c r="AB354" s="510"/>
      <c r="AC354" s="510"/>
      <c r="AD354" s="510"/>
      <c r="AE354" s="510"/>
      <c r="AF354" s="510"/>
      <c r="AG354" s="510"/>
      <c r="AH354" s="510"/>
      <c r="AI354" s="510"/>
      <c r="AJ354" s="510"/>
      <c r="AK354" s="510"/>
      <c r="AL354" s="510"/>
      <c r="AM354" s="510"/>
      <c r="AN354" s="510"/>
    </row>
    <row r="355" spans="1:40" ht="15.75" hidden="1" customHeight="1">
      <c r="B355" s="504"/>
      <c r="C355" s="571"/>
      <c r="D355" s="584"/>
      <c r="E355" s="510"/>
      <c r="F355" s="608"/>
      <c r="G355" s="584"/>
      <c r="H355" s="510"/>
      <c r="I355" s="608"/>
      <c r="J355" s="571"/>
      <c r="K355" s="571"/>
      <c r="L355" s="608"/>
      <c r="M355" s="571"/>
      <c r="N355" s="608"/>
      <c r="O355" s="571"/>
      <c r="P355" s="571"/>
      <c r="Q355" s="608"/>
      <c r="R355" s="571"/>
      <c r="S355" s="608"/>
      <c r="T355" s="510"/>
      <c r="U355" s="510"/>
      <c r="V355" s="510"/>
      <c r="W355" s="510"/>
      <c r="X355" s="510"/>
      <c r="Y355" s="510"/>
      <c r="Z355" s="510"/>
      <c r="AA355" s="510"/>
      <c r="AB355" s="510"/>
      <c r="AC355" s="510"/>
      <c r="AD355" s="510"/>
      <c r="AE355" s="510"/>
      <c r="AF355" s="510"/>
      <c r="AG355" s="510"/>
      <c r="AH355" s="510"/>
      <c r="AI355" s="510"/>
      <c r="AJ355" s="510"/>
      <c r="AK355" s="510"/>
      <c r="AL355" s="510"/>
      <c r="AM355" s="510"/>
      <c r="AN355" s="510"/>
    </row>
    <row r="356" spans="1:40" ht="34.5" hidden="1" customHeight="1">
      <c r="B356" s="504"/>
      <c r="C356" s="635" t="str">
        <f>+C291</f>
        <v>Volks</v>
      </c>
      <c r="D356" s="498"/>
      <c r="E356" s="498"/>
      <c r="F356" s="498"/>
      <c r="G356" s="498"/>
      <c r="H356" s="496"/>
      <c r="I356" s="496"/>
      <c r="J356" s="496"/>
      <c r="K356" s="500" t="s">
        <v>119</v>
      </c>
      <c r="L356" s="498"/>
      <c r="M356" s="498"/>
      <c r="N356" s="496"/>
      <c r="O356" s="496"/>
      <c r="P356" s="498"/>
      <c r="Q356" s="496"/>
      <c r="R356" s="498"/>
      <c r="S356" s="636" t="str">
        <f>$S$1</f>
        <v>Réalisé, Octobre 2024</v>
      </c>
      <c r="T356" s="507"/>
      <c r="U356" s="507"/>
      <c r="V356" s="510"/>
      <c r="W356" s="507"/>
      <c r="X356" s="507"/>
      <c r="Y356" s="507"/>
      <c r="Z356" s="507"/>
      <c r="AA356" s="507"/>
      <c r="AB356" s="507"/>
      <c r="AC356" s="507"/>
      <c r="AD356" s="507"/>
      <c r="AE356" s="507"/>
      <c r="AF356" s="507"/>
      <c r="AG356" s="507"/>
      <c r="AH356" s="507"/>
      <c r="AI356" s="507"/>
      <c r="AJ356" s="507"/>
      <c r="AK356" s="507"/>
      <c r="AL356" s="507"/>
      <c r="AM356" s="507"/>
      <c r="AN356" s="507"/>
    </row>
    <row r="357" spans="1:40" ht="15.75" hidden="1" customHeight="1">
      <c r="B357" s="504"/>
      <c r="C357" s="505"/>
      <c r="D357" s="507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10"/>
      <c r="W357" s="507"/>
      <c r="X357" s="507"/>
      <c r="Y357" s="507"/>
      <c r="Z357" s="507"/>
      <c r="AA357" s="507"/>
      <c r="AB357" s="507"/>
      <c r="AC357" s="507"/>
      <c r="AD357" s="507"/>
      <c r="AE357" s="507"/>
      <c r="AF357" s="507"/>
      <c r="AG357" s="507"/>
      <c r="AH357" s="507"/>
      <c r="AI357" s="507"/>
      <c r="AJ357" s="507"/>
      <c r="AK357" s="507"/>
      <c r="AL357" s="507"/>
      <c r="AM357" s="507"/>
      <c r="AN357" s="507"/>
    </row>
    <row r="358" spans="1:40" ht="15.75" hidden="1" customHeight="1">
      <c r="B358" s="504"/>
      <c r="C358" s="511"/>
      <c r="D358" s="512" t="s">
        <v>5</v>
      </c>
      <c r="E358" s="513"/>
      <c r="F358" s="514"/>
      <c r="G358" s="515"/>
      <c r="H358" s="513"/>
      <c r="I358" s="514"/>
      <c r="J358" s="515" t="s">
        <v>7</v>
      </c>
      <c r="K358" s="513"/>
      <c r="L358" s="514"/>
      <c r="M358" s="515"/>
      <c r="N358" s="514"/>
      <c r="O358" s="512" t="s">
        <v>8</v>
      </c>
      <c r="P358" s="513"/>
      <c r="Q358" s="514"/>
      <c r="R358" s="515" t="s">
        <v>9</v>
      </c>
      <c r="S358" s="514"/>
      <c r="T358" s="507"/>
      <c r="U358" s="507"/>
      <c r="V358" s="510"/>
      <c r="W358" s="507"/>
      <c r="X358" s="507"/>
      <c r="Y358" s="507"/>
      <c r="Z358" s="507"/>
      <c r="AA358" s="507"/>
      <c r="AB358" s="507"/>
      <c r="AC358" s="507"/>
      <c r="AD358" s="507"/>
      <c r="AE358" s="507"/>
      <c r="AF358" s="507"/>
      <c r="AG358" s="507"/>
      <c r="AH358" s="507"/>
      <c r="AI358" s="507"/>
      <c r="AJ358" s="507"/>
      <c r="AK358" s="507"/>
      <c r="AL358" s="507"/>
      <c r="AM358" s="507"/>
      <c r="AN358" s="507"/>
    </row>
    <row r="359" spans="1:40" ht="15.75" hidden="1" customHeight="1">
      <c r="A359" s="523" t="s">
        <v>119</v>
      </c>
      <c r="B359" s="510" t="s">
        <v>119</v>
      </c>
      <c r="C359" s="531"/>
      <c r="D359" s="720" t="s">
        <v>84</v>
      </c>
      <c r="E359" s="720" t="s">
        <v>104</v>
      </c>
      <c r="F359" s="721" t="s">
        <v>12</v>
      </c>
      <c r="G359" s="722"/>
      <c r="H359" s="720"/>
      <c r="I359" s="721"/>
      <c r="J359" s="659" t="s">
        <v>84</v>
      </c>
      <c r="K359" s="575" t="s">
        <v>104</v>
      </c>
      <c r="L359" s="658" t="s">
        <v>12</v>
      </c>
      <c r="M359" s="659"/>
      <c r="N359" s="658"/>
      <c r="O359" s="659" t="s">
        <v>84</v>
      </c>
      <c r="P359" s="575" t="s">
        <v>104</v>
      </c>
      <c r="Q359" s="658" t="s">
        <v>12</v>
      </c>
      <c r="R359" s="659" t="s">
        <v>85</v>
      </c>
      <c r="S359" s="658" t="s">
        <v>12</v>
      </c>
      <c r="T359" s="507"/>
      <c r="U359" s="507"/>
      <c r="V359" s="510"/>
      <c r="W359" s="507"/>
      <c r="X359" s="507"/>
      <c r="Y359" s="507"/>
      <c r="Z359" s="507"/>
      <c r="AA359" s="507"/>
      <c r="AB359" s="507"/>
      <c r="AC359" s="507"/>
      <c r="AD359" s="507"/>
      <c r="AE359" s="507"/>
      <c r="AF359" s="507"/>
      <c r="AG359" s="507"/>
      <c r="AH359" s="507"/>
      <c r="AI359" s="507"/>
      <c r="AJ359" s="507"/>
      <c r="AK359" s="507"/>
      <c r="AL359" s="507"/>
      <c r="AM359" s="507"/>
      <c r="AN359" s="507"/>
    </row>
    <row r="360" spans="1:40" ht="15.75" hidden="1" customHeight="1">
      <c r="A360" s="523" t="s">
        <v>442</v>
      </c>
      <c r="B360" s="510" t="s">
        <v>119</v>
      </c>
      <c r="C360" s="559" t="s">
        <v>119</v>
      </c>
      <c r="D360" s="723">
        <f>+INDEX('[5]Budget original'!$A$2:$AO$501,MATCH($A360,'[5]Budget original'!$A$2:$A$501,0),MATCH(D$2,'[5]Budget original'!$A$2:$AO$2,0))</f>
        <v>0</v>
      </c>
      <c r="E360" s="724">
        <f>IFERROR(F360/D360,0)</f>
        <v>0</v>
      </c>
      <c r="F360" s="725">
        <f>+INDEX('[5]Budget original'!$A$2:$AO$501,MATCH($A360,'[5]Budget original'!$A$2:$A$501,0),MATCH(F$2,'[5]Budget original'!$A$2:$AO$2,0))</f>
        <v>0</v>
      </c>
      <c r="G360" s="723"/>
      <c r="H360" s="724"/>
      <c r="I360" s="723"/>
      <c r="J360" s="726">
        <f>-SUMIFS([5]BV_Data_An_Cour!$O:$O,[5]BV_Data_An_Cour!$X:$X,"Oui",[5]BV_Data_An_Cour!$U:$U,$B360,[5]BV_Data_An_Cour!$V:$V,$C360)</f>
        <v>0</v>
      </c>
      <c r="K360" s="711">
        <f>IF(J360&lt;=0,0,L360/J360)</f>
        <v>0</v>
      </c>
      <c r="L360" s="727">
        <f>-SUMIFS([5]BV_Data_An_Cour!$O:$O,[5]BV_Data_An_Cour!$X:$X,"Oui",[5]BV_Data_An_Cour!$U:$U,$B360,[5]BV_Data_An_Cour!$V:$V,$C360)</f>
        <v>0</v>
      </c>
      <c r="M360" s="712"/>
      <c r="N360" s="713"/>
      <c r="O360" s="726">
        <f t="array" ref="O360">+INDEX('[5]Réel 2023'!$A$2:$AO$501,MATCH($A360,'[5]Réel 2023'!$A$2:$A$501,0),MATCH(O$2,'[5]Réel 2023'!$A$2:$AO$2,0))</f>
        <v>0</v>
      </c>
      <c r="P360" s="711">
        <f>IFERROR(Q360/O360,0)</f>
        <v>0</v>
      </c>
      <c r="Q360" s="727">
        <f t="array" ref="Q360">+INDEX('[5]Réel 2023'!$A$2:$AO$501,MATCH($A360,'[5]Réel 2023'!$A$2:$A$501,0),MATCH(Q$2,'[5]Réel 2023'!$A$2:$AO$2,0))</f>
        <v>0</v>
      </c>
      <c r="R360" s="712">
        <f>IF(O360=0,0,(J360-O360)/O360)</f>
        <v>0</v>
      </c>
      <c r="S360" s="713">
        <f>L360-Q360</f>
        <v>0</v>
      </c>
      <c r="T360" s="507"/>
      <c r="U360" s="507"/>
      <c r="V360" s="728"/>
      <c r="W360" s="507"/>
      <c r="X360" s="507"/>
      <c r="Y360" s="507"/>
      <c r="Z360" s="507"/>
      <c r="AA360" s="507"/>
      <c r="AB360" s="507"/>
      <c r="AC360" s="507"/>
      <c r="AD360" s="507"/>
      <c r="AE360" s="507"/>
      <c r="AF360" s="507"/>
      <c r="AG360" s="507"/>
      <c r="AH360" s="507"/>
      <c r="AI360" s="507"/>
      <c r="AJ360" s="507"/>
      <c r="AK360" s="507"/>
      <c r="AL360" s="507"/>
      <c r="AM360" s="507"/>
      <c r="AN360" s="507"/>
    </row>
    <row r="361" spans="1:40" ht="15.75" hidden="1" customHeight="1">
      <c r="A361" s="523" t="s">
        <v>119</v>
      </c>
      <c r="B361" s="510" t="s">
        <v>119</v>
      </c>
      <c r="C361" s="625"/>
      <c r="D361" s="714"/>
      <c r="E361" s="715"/>
      <c r="F361" s="628"/>
      <c r="G361" s="716"/>
      <c r="H361" s="715"/>
      <c r="I361" s="628"/>
      <c r="J361" s="716"/>
      <c r="K361" s="715"/>
      <c r="L361" s="628"/>
      <c r="M361" s="718"/>
      <c r="N361" s="570"/>
      <c r="O361" s="716"/>
      <c r="P361" s="715"/>
      <c r="Q361" s="628"/>
      <c r="R361" s="718"/>
      <c r="S361" s="570"/>
      <c r="T361" s="507"/>
      <c r="U361" s="507"/>
      <c r="V361" s="510"/>
      <c r="W361" s="507"/>
      <c r="X361" s="507"/>
      <c r="Y361" s="507"/>
      <c r="Z361" s="507"/>
      <c r="AA361" s="507"/>
      <c r="AB361" s="507"/>
      <c r="AC361" s="507"/>
      <c r="AD361" s="507"/>
      <c r="AE361" s="507"/>
      <c r="AF361" s="507"/>
      <c r="AG361" s="507"/>
      <c r="AH361" s="507"/>
      <c r="AI361" s="507"/>
      <c r="AJ361" s="507"/>
      <c r="AK361" s="507"/>
      <c r="AL361" s="507"/>
      <c r="AM361" s="507"/>
      <c r="AN361" s="507"/>
    </row>
    <row r="362" spans="1:40" ht="15.75" hidden="1" customHeight="1">
      <c r="A362" s="523" t="s">
        <v>443</v>
      </c>
      <c r="B362" s="510" t="s">
        <v>119</v>
      </c>
      <c r="C362" s="550" t="s">
        <v>120</v>
      </c>
      <c r="D362" s="608">
        <f>+D360</f>
        <v>0</v>
      </c>
      <c r="E362" s="670">
        <f>IF(D362&lt;=0,0,F362/D362)</f>
        <v>0</v>
      </c>
      <c r="F362" s="672">
        <f>+F360</f>
        <v>0</v>
      </c>
      <c r="G362" s="671"/>
      <c r="H362" s="670"/>
      <c r="I362" s="672"/>
      <c r="J362" s="671">
        <f t="shared" ref="J362" si="72">+J360</f>
        <v>0</v>
      </c>
      <c r="K362" s="670">
        <f>IF(J362&lt;=0,0,L362/J362)</f>
        <v>0</v>
      </c>
      <c r="L362" s="672">
        <f>+L360</f>
        <v>0</v>
      </c>
      <c r="M362" s="648"/>
      <c r="N362" s="729"/>
      <c r="O362" s="671">
        <f>+O360</f>
        <v>0</v>
      </c>
      <c r="P362" s="670">
        <f>IF(O362&lt;=0,0,Q362/O362)</f>
        <v>0</v>
      </c>
      <c r="Q362" s="672">
        <f t="shared" ref="Q362" si="73">+Q360</f>
        <v>0</v>
      </c>
      <c r="R362" s="531">
        <f>IF(O362=0,0,(J362-O362)/O362)</f>
        <v>0</v>
      </c>
      <c r="S362" s="549">
        <f>L362-Q362</f>
        <v>0</v>
      </c>
      <c r="T362" s="507"/>
      <c r="U362" s="507"/>
      <c r="V362" s="510"/>
      <c r="W362" s="507"/>
      <c r="X362" s="507"/>
      <c r="Y362" s="507"/>
      <c r="Z362" s="507"/>
      <c r="AA362" s="507"/>
      <c r="AB362" s="507"/>
      <c r="AC362" s="507"/>
      <c r="AD362" s="507"/>
      <c r="AE362" s="507"/>
      <c r="AF362" s="507"/>
      <c r="AG362" s="507"/>
      <c r="AH362" s="507"/>
      <c r="AI362" s="507"/>
      <c r="AJ362" s="507"/>
      <c r="AK362" s="507"/>
      <c r="AL362" s="507"/>
      <c r="AM362" s="507"/>
      <c r="AN362" s="507"/>
    </row>
    <row r="363" spans="1:40" ht="15.75" hidden="1" customHeight="1">
      <c r="A363" s="523" t="s">
        <v>119</v>
      </c>
      <c r="B363" s="510" t="s">
        <v>119</v>
      </c>
      <c r="C363" s="574"/>
      <c r="D363" s="510"/>
      <c r="E363" s="510"/>
      <c r="F363" s="557"/>
      <c r="G363" s="531"/>
      <c r="H363" s="510"/>
      <c r="I363" s="557"/>
      <c r="J363" s="531"/>
      <c r="K363" s="510"/>
      <c r="L363" s="541"/>
      <c r="M363" s="531"/>
      <c r="N363" s="660"/>
      <c r="O363" s="531"/>
      <c r="P363" s="510"/>
      <c r="Q363" s="541"/>
      <c r="R363" s="531"/>
      <c r="S363" s="541">
        <f>IF(Q362=0,0,S362/Q362)</f>
        <v>0</v>
      </c>
      <c r="T363" s="507"/>
      <c r="U363" s="507"/>
      <c r="V363" s="510"/>
      <c r="W363" s="507"/>
      <c r="X363" s="507"/>
      <c r="Y363" s="507"/>
      <c r="Z363" s="507"/>
      <c r="AA363" s="507"/>
      <c r="AB363" s="507"/>
      <c r="AC363" s="507"/>
      <c r="AD363" s="507"/>
      <c r="AE363" s="507"/>
      <c r="AF363" s="507"/>
      <c r="AG363" s="507"/>
      <c r="AH363" s="507"/>
      <c r="AI363" s="507"/>
      <c r="AJ363" s="507"/>
      <c r="AK363" s="507"/>
      <c r="AL363" s="507"/>
      <c r="AM363" s="507"/>
      <c r="AN363" s="507"/>
    </row>
    <row r="364" spans="1:40" ht="15.75" hidden="1" customHeight="1">
      <c r="A364" s="523" t="s">
        <v>444</v>
      </c>
      <c r="B364" s="510" t="s">
        <v>119</v>
      </c>
      <c r="C364" s="574" t="s">
        <v>30</v>
      </c>
      <c r="D364" s="510"/>
      <c r="E364" s="510"/>
      <c r="F364" s="557"/>
      <c r="G364" s="531"/>
      <c r="H364" s="510"/>
      <c r="I364" s="557"/>
      <c r="J364" s="531"/>
      <c r="K364" s="510"/>
      <c r="L364" s="541"/>
      <c r="M364" s="531"/>
      <c r="N364" s="541"/>
      <c r="O364" s="531"/>
      <c r="P364" s="510"/>
      <c r="Q364" s="541"/>
      <c r="R364" s="531"/>
      <c r="S364" s="541"/>
      <c r="T364" s="507"/>
      <c r="U364" s="507"/>
      <c r="V364" s="510"/>
      <c r="W364" s="507"/>
      <c r="X364" s="507"/>
      <c r="Y364" s="507"/>
      <c r="Z364" s="507"/>
      <c r="AA364" s="507"/>
      <c r="AB364" s="507"/>
      <c r="AC364" s="507"/>
      <c r="AD364" s="507"/>
      <c r="AE364" s="507"/>
      <c r="AF364" s="507"/>
      <c r="AG364" s="507"/>
      <c r="AH364" s="507"/>
      <c r="AI364" s="507"/>
      <c r="AJ364" s="507"/>
      <c r="AK364" s="507"/>
      <c r="AL364" s="507"/>
      <c r="AM364" s="507"/>
      <c r="AN364" s="507"/>
    </row>
    <row r="365" spans="1:40" ht="15.75" hidden="1" customHeight="1">
      <c r="A365" s="523" t="s">
        <v>445</v>
      </c>
      <c r="B365" s="510" t="s">
        <v>119</v>
      </c>
      <c r="C365" s="600" t="s">
        <v>41</v>
      </c>
      <c r="D365" s="510"/>
      <c r="E365" s="510"/>
      <c r="F365" s="532">
        <f>+INDEX('[5]Budget original'!$A$2:$AO$501,MATCH($A365,'[5]Budget original'!$A$2:$A$501,0),MATCH(F$2,'[5]Budget original'!$A$2:$AO$2,0))</f>
        <v>0</v>
      </c>
      <c r="G365" s="531"/>
      <c r="H365" s="510"/>
      <c r="I365" s="532"/>
      <c r="J365" s="531"/>
      <c r="K365" s="510"/>
      <c r="L365" s="534">
        <f>-SUMIFS([5]BV_Data_An_Cour!$O:$O,[5]BV_Data_An_Cour!$U:$U,$B365,[5]BV_Data_An_Cour!$V:$V,$C365,[5]BV_Data_An_Cour!$W:$W,$L$2)</f>
        <v>0</v>
      </c>
      <c r="M365" s="531"/>
      <c r="N365" s="541"/>
      <c r="O365" s="531"/>
      <c r="P365" s="510"/>
      <c r="Q365" s="534">
        <f t="array" ref="Q365">+INDEX('[5]Réel 2023'!$A$2:$AO$501,MATCH($A365,'[5]Réel 2023'!$A$2:$A$501,0),MATCH(Q$2,'[5]Réel 2023'!$A$2:$AO$2,0))</f>
        <v>0</v>
      </c>
      <c r="R365" s="531"/>
      <c r="S365" s="534">
        <f t="shared" ref="S365:S394" si="74">L365-Q365</f>
        <v>0</v>
      </c>
      <c r="T365" s="507"/>
      <c r="U365" s="507"/>
      <c r="V365" s="510"/>
      <c r="W365" s="507"/>
      <c r="X365" s="507"/>
      <c r="Y365" s="507"/>
      <c r="Z365" s="507"/>
      <c r="AA365" s="507"/>
      <c r="AB365" s="507"/>
      <c r="AC365" s="507"/>
      <c r="AD365" s="507"/>
      <c r="AE365" s="507"/>
      <c r="AF365" s="507"/>
      <c r="AG365" s="507"/>
      <c r="AH365" s="507"/>
      <c r="AI365" s="507"/>
      <c r="AJ365" s="507"/>
      <c r="AK365" s="507"/>
      <c r="AL365" s="507"/>
      <c r="AM365" s="507"/>
      <c r="AN365" s="507"/>
    </row>
    <row r="366" spans="1:40" ht="15.75" hidden="1" customHeight="1">
      <c r="A366" s="523" t="s">
        <v>446</v>
      </c>
      <c r="B366" s="510" t="s">
        <v>119</v>
      </c>
      <c r="C366" s="602" t="s">
        <v>42</v>
      </c>
      <c r="D366" s="584"/>
      <c r="E366" s="510"/>
      <c r="F366" s="526">
        <f>+INDEX('[5]Budget original'!$A$2:$AO$501,MATCH($A366,'[5]Budget original'!$A$2:$A$501,0),MATCH(F$2,'[5]Budget original'!$A$2:$AO$2,0))</f>
        <v>0</v>
      </c>
      <c r="G366" s="585"/>
      <c r="H366" s="510"/>
      <c r="I366" s="526"/>
      <c r="J366" s="531"/>
      <c r="K366" s="510"/>
      <c r="L366" s="526">
        <f>-SUMIFS([5]BV_Data_An_Cour!$O:$O,[5]BV_Data_An_Cour!$U:$U,$B366,[5]BV_Data_An_Cour!$V:$V,$C366,[5]BV_Data_An_Cour!$W:$W,$L$2)</f>
        <v>0</v>
      </c>
      <c r="M366" s="531"/>
      <c r="N366" s="557"/>
      <c r="O366" s="531"/>
      <c r="P366" s="510"/>
      <c r="Q366" s="526">
        <f t="array" ref="Q366">+INDEX('[5]Réel 2023'!$A$2:$AO$501,MATCH($A366,'[5]Réel 2023'!$A$2:$A$501,0),MATCH(Q$2,'[5]Réel 2023'!$A$2:$AO$2,0))</f>
        <v>0</v>
      </c>
      <c r="R366" s="531"/>
      <c r="S366" s="557">
        <f t="shared" si="74"/>
        <v>0</v>
      </c>
      <c r="T366" s="507"/>
      <c r="U366" s="507"/>
      <c r="V366" s="510"/>
      <c r="W366" s="507"/>
      <c r="X366" s="507"/>
      <c r="Y366" s="507"/>
      <c r="Z366" s="507"/>
      <c r="AA366" s="507"/>
      <c r="AB366" s="507"/>
      <c r="AC366" s="507"/>
      <c r="AD366" s="507"/>
      <c r="AE366" s="507"/>
      <c r="AF366" s="507"/>
      <c r="AG366" s="507"/>
      <c r="AH366" s="507"/>
      <c r="AI366" s="507"/>
      <c r="AJ366" s="507"/>
      <c r="AK366" s="507"/>
      <c r="AL366" s="507"/>
      <c r="AM366" s="507"/>
      <c r="AN366" s="507"/>
    </row>
    <row r="367" spans="1:40" ht="15.75" hidden="1" customHeight="1">
      <c r="A367" s="523" t="s">
        <v>447</v>
      </c>
      <c r="B367" s="510" t="s">
        <v>119</v>
      </c>
      <c r="C367" s="600" t="s">
        <v>43</v>
      </c>
      <c r="D367" s="603"/>
      <c r="E367" s="604"/>
      <c r="F367" s="532">
        <f>+INDEX('[5]Budget original'!$A$2:$AO$501,MATCH($A367,'[5]Budget original'!$A$2:$A$501,0),MATCH(F$2,'[5]Budget original'!$A$2:$AO$2,0))</f>
        <v>0</v>
      </c>
      <c r="G367" s="605"/>
      <c r="H367" s="604"/>
      <c r="I367" s="532"/>
      <c r="J367" s="518"/>
      <c r="K367" s="604"/>
      <c r="L367" s="534">
        <f>-SUMIFS([5]BV_Data_An_Cour!$O:$O,[5]BV_Data_An_Cour!$U:$U,$B367,[5]BV_Data_An_Cour!$V:$V,$C367,[5]BV_Data_An_Cour!$W:$W,$L$2)</f>
        <v>0</v>
      </c>
      <c r="M367" s="518"/>
      <c r="N367" s="606"/>
      <c r="O367" s="518"/>
      <c r="P367" s="604"/>
      <c r="Q367" s="534">
        <f t="array" ref="Q367">+INDEX('[5]Réel 2023'!$A$2:$AO$501,MATCH($A367,'[5]Réel 2023'!$A$2:$A$501,0),MATCH(Q$2,'[5]Réel 2023'!$A$2:$AO$2,0))</f>
        <v>0</v>
      </c>
      <c r="R367" s="518"/>
      <c r="S367" s="606">
        <f t="shared" si="74"/>
        <v>0</v>
      </c>
      <c r="T367" s="507"/>
      <c r="U367" s="507"/>
      <c r="V367" s="510"/>
      <c r="W367" s="507"/>
      <c r="X367" s="507"/>
      <c r="Y367" s="507"/>
      <c r="Z367" s="507"/>
      <c r="AA367" s="507"/>
      <c r="AB367" s="507"/>
      <c r="AC367" s="507"/>
      <c r="AD367" s="507"/>
      <c r="AE367" s="507"/>
      <c r="AF367" s="507"/>
      <c r="AG367" s="507"/>
      <c r="AH367" s="507"/>
      <c r="AI367" s="507"/>
      <c r="AJ367" s="507"/>
      <c r="AK367" s="507"/>
      <c r="AL367" s="507"/>
      <c r="AM367" s="507"/>
      <c r="AN367" s="507"/>
    </row>
    <row r="368" spans="1:40" ht="15.75" hidden="1" customHeight="1">
      <c r="A368" s="523" t="s">
        <v>448</v>
      </c>
      <c r="B368" s="510" t="s">
        <v>119</v>
      </c>
      <c r="C368" s="600" t="s">
        <v>44</v>
      </c>
      <c r="D368" s="584"/>
      <c r="E368" s="510"/>
      <c r="F368" s="532">
        <f>+INDEX('[5]Budget original'!$A$2:$AO$501,MATCH($A368,'[5]Budget original'!$A$2:$A$501,0),MATCH(F$2,'[5]Budget original'!$A$2:$AO$2,0))</f>
        <v>0</v>
      </c>
      <c r="G368" s="585"/>
      <c r="H368" s="510"/>
      <c r="I368" s="532"/>
      <c r="J368" s="531"/>
      <c r="K368" s="510"/>
      <c r="L368" s="534">
        <f>-SUMIFS([5]BV_Data_An_Cour!$O:$O,[5]BV_Data_An_Cour!$U:$U,$B368,[5]BV_Data_An_Cour!$V:$V,$C368,[5]BV_Data_An_Cour!$W:$W,$L$2)</f>
        <v>0</v>
      </c>
      <c r="M368" s="531"/>
      <c r="N368" s="557"/>
      <c r="O368" s="531"/>
      <c r="P368" s="510"/>
      <c r="Q368" s="534">
        <f t="array" ref="Q368">+INDEX('[5]Réel 2023'!$A$2:$AO$501,MATCH($A368,'[5]Réel 2023'!$A$2:$A$501,0),MATCH(Q$2,'[5]Réel 2023'!$A$2:$AO$2,0))</f>
        <v>0</v>
      </c>
      <c r="R368" s="531"/>
      <c r="S368" s="557">
        <f t="shared" si="74"/>
        <v>0</v>
      </c>
      <c r="T368" s="507"/>
      <c r="U368" s="507"/>
      <c r="V368" s="510"/>
      <c r="W368" s="507"/>
      <c r="X368" s="507"/>
      <c r="Y368" s="507"/>
      <c r="Z368" s="507"/>
      <c r="AA368" s="507"/>
      <c r="AB368" s="507"/>
      <c r="AC368" s="507"/>
      <c r="AD368" s="507"/>
      <c r="AE368" s="507"/>
      <c r="AF368" s="507"/>
      <c r="AG368" s="507"/>
      <c r="AH368" s="507"/>
      <c r="AI368" s="507"/>
      <c r="AJ368" s="507"/>
      <c r="AK368" s="507"/>
      <c r="AL368" s="507"/>
      <c r="AM368" s="507"/>
      <c r="AN368" s="507"/>
    </row>
    <row r="369" spans="1:40" ht="15.75" hidden="1" customHeight="1">
      <c r="A369" s="523" t="s">
        <v>449</v>
      </c>
      <c r="B369" s="510" t="s">
        <v>119</v>
      </c>
      <c r="C369" s="531" t="s">
        <v>20</v>
      </c>
      <c r="D369" s="584"/>
      <c r="E369" s="510"/>
      <c r="F369" s="532">
        <f>+INDEX('[5]Budget original'!$A$2:$AO$501,MATCH($A369,'[5]Budget original'!$A$2:$A$501,0),MATCH(F$2,'[5]Budget original'!$A$2:$AO$2,0))</f>
        <v>0</v>
      </c>
      <c r="G369" s="585"/>
      <c r="H369" s="510"/>
      <c r="I369" s="532"/>
      <c r="J369" s="531"/>
      <c r="K369" s="510"/>
      <c r="L369" s="534">
        <f>-SUMIFS([5]BV_Data_An_Cour!$O:$O,[5]BV_Data_An_Cour!$U:$U,$B369,[5]BV_Data_An_Cour!$V:$V,$C369,[5]BV_Data_An_Cour!$W:$W,$L$2)</f>
        <v>0</v>
      </c>
      <c r="M369" s="531"/>
      <c r="N369" s="557"/>
      <c r="O369" s="531"/>
      <c r="P369" s="510"/>
      <c r="Q369" s="534">
        <f t="array" ref="Q369">+INDEX('[5]Réel 2023'!$A$2:$AO$501,MATCH($A369,'[5]Réel 2023'!$A$2:$A$501,0),MATCH(Q$2,'[5]Réel 2023'!$A$2:$AO$2,0))</f>
        <v>0</v>
      </c>
      <c r="R369" s="531"/>
      <c r="S369" s="557">
        <f t="shared" si="74"/>
        <v>0</v>
      </c>
      <c r="T369" s="507"/>
      <c r="U369" s="507"/>
      <c r="V369" s="510"/>
      <c r="W369" s="507"/>
      <c r="X369" s="507"/>
      <c r="Y369" s="507"/>
      <c r="Z369" s="507"/>
      <c r="AA369" s="507"/>
      <c r="AB369" s="507"/>
      <c r="AC369" s="507"/>
      <c r="AD369" s="507"/>
      <c r="AE369" s="507"/>
      <c r="AF369" s="507"/>
      <c r="AG369" s="507"/>
      <c r="AH369" s="507"/>
      <c r="AI369" s="507"/>
      <c r="AJ369" s="507"/>
      <c r="AK369" s="507"/>
      <c r="AL369" s="507"/>
      <c r="AM369" s="507"/>
      <c r="AN369" s="507"/>
    </row>
    <row r="370" spans="1:40" ht="15.75" hidden="1" customHeight="1">
      <c r="A370" s="523" t="s">
        <v>449</v>
      </c>
      <c r="B370" s="510" t="s">
        <v>119</v>
      </c>
      <c r="C370" s="531" t="s">
        <v>20</v>
      </c>
      <c r="D370" s="584"/>
      <c r="E370" s="510"/>
      <c r="F370" s="532">
        <f>+INDEX('[5]Budget original'!$A$2:$AO$501,MATCH($A370,'[5]Budget original'!$A$2:$A$501,0),MATCH(F$2,'[5]Budget original'!$A$2:$AO$2,0))</f>
        <v>0</v>
      </c>
      <c r="G370" s="585"/>
      <c r="H370" s="510"/>
      <c r="I370" s="532"/>
      <c r="J370" s="531"/>
      <c r="K370" s="510"/>
      <c r="L370" s="534">
        <f>-SUMIFS([5]BV_Data_An_Cour!$O:$O,[5]BV_Data_An_Cour!$U:$U,$B370,[5]BV_Data_An_Cour!$V:$V,$C370,[5]BV_Data_An_Cour!$W:$W,$L$2)</f>
        <v>0</v>
      </c>
      <c r="M370" s="531"/>
      <c r="N370" s="557"/>
      <c r="O370" s="531"/>
      <c r="P370" s="510"/>
      <c r="Q370" s="534">
        <f t="array" ref="Q370">+INDEX('[5]Réel 2023'!$A$2:$AO$501,MATCH($A370,'[5]Réel 2023'!$A$2:$A$501,0),MATCH(Q$2,'[5]Réel 2023'!$A$2:$AO$2,0))</f>
        <v>0</v>
      </c>
      <c r="R370" s="531"/>
      <c r="S370" s="557">
        <f t="shared" si="74"/>
        <v>0</v>
      </c>
      <c r="T370" s="507"/>
      <c r="U370" s="507"/>
      <c r="V370" s="510"/>
      <c r="W370" s="507"/>
      <c r="X370" s="507"/>
      <c r="Y370" s="507"/>
      <c r="Z370" s="507"/>
      <c r="AA370" s="507"/>
      <c r="AB370" s="507"/>
      <c r="AC370" s="507"/>
      <c r="AD370" s="507"/>
      <c r="AE370" s="507"/>
      <c r="AF370" s="507"/>
      <c r="AG370" s="507"/>
      <c r="AH370" s="507"/>
      <c r="AI370" s="507"/>
      <c r="AJ370" s="507"/>
      <c r="AK370" s="507"/>
      <c r="AL370" s="507"/>
      <c r="AM370" s="507"/>
      <c r="AN370" s="507"/>
    </row>
    <row r="371" spans="1:40" ht="15.75" hidden="1" customHeight="1">
      <c r="A371" s="523" t="s">
        <v>449</v>
      </c>
      <c r="B371" s="510" t="s">
        <v>119</v>
      </c>
      <c r="C371" s="531" t="s">
        <v>20</v>
      </c>
      <c r="D371" s="584"/>
      <c r="E371" s="510"/>
      <c r="F371" s="532">
        <f>+INDEX('[5]Budget original'!$A$2:$AO$501,MATCH($A371,'[5]Budget original'!$A$2:$A$501,0),MATCH(F$2,'[5]Budget original'!$A$2:$AO$2,0))</f>
        <v>0</v>
      </c>
      <c r="G371" s="585"/>
      <c r="H371" s="510"/>
      <c r="I371" s="532"/>
      <c r="J371" s="531"/>
      <c r="K371" s="510"/>
      <c r="L371" s="534">
        <f>-SUMIFS([5]BV_Data_An_Cour!$O:$O,[5]BV_Data_An_Cour!$U:$U,$B371,[5]BV_Data_An_Cour!$V:$V,$C371,[5]BV_Data_An_Cour!$W:$W,$L$2)</f>
        <v>0</v>
      </c>
      <c r="M371" s="531"/>
      <c r="N371" s="557"/>
      <c r="O371" s="531"/>
      <c r="P371" s="510"/>
      <c r="Q371" s="534">
        <f t="array" ref="Q371">+INDEX('[5]Réel 2023'!$A$2:$AO$501,MATCH($A371,'[5]Réel 2023'!$A$2:$A$501,0),MATCH(Q$2,'[5]Réel 2023'!$A$2:$AO$2,0))</f>
        <v>0</v>
      </c>
      <c r="R371" s="531"/>
      <c r="S371" s="557">
        <f t="shared" si="74"/>
        <v>0</v>
      </c>
      <c r="T371" s="507"/>
      <c r="U371" s="507"/>
      <c r="V371" s="510"/>
      <c r="W371" s="507"/>
      <c r="X371" s="507"/>
      <c r="Y371" s="507"/>
      <c r="Z371" s="507"/>
      <c r="AA371" s="507"/>
      <c r="AB371" s="507"/>
      <c r="AC371" s="507"/>
      <c r="AD371" s="507"/>
      <c r="AE371" s="507"/>
      <c r="AF371" s="507"/>
      <c r="AG371" s="507"/>
      <c r="AH371" s="507"/>
      <c r="AI371" s="507"/>
      <c r="AJ371" s="507"/>
      <c r="AK371" s="507"/>
      <c r="AL371" s="507"/>
      <c r="AM371" s="507"/>
      <c r="AN371" s="507"/>
    </row>
    <row r="372" spans="1:40" ht="15.75" hidden="1" customHeight="1">
      <c r="A372" s="523" t="s">
        <v>450</v>
      </c>
      <c r="B372" s="510" t="s">
        <v>119</v>
      </c>
      <c r="C372" s="602" t="s">
        <v>45</v>
      </c>
      <c r="D372" s="584"/>
      <c r="E372" s="510"/>
      <c r="F372" s="526">
        <f>+INDEX('[5]Budget original'!$A$2:$AO$501,MATCH($A372,'[5]Budget original'!$A$2:$A$501,0),MATCH(F$2,'[5]Budget original'!$A$2:$AO$2,0))</f>
        <v>0</v>
      </c>
      <c r="G372" s="585"/>
      <c r="H372" s="510"/>
      <c r="I372" s="526"/>
      <c r="J372" s="531"/>
      <c r="K372" s="510"/>
      <c r="L372" s="526">
        <f>-SUMIFS([5]BV_Data_An_Cour!$O:$O,[5]BV_Data_An_Cour!$U:$U,$B372,[5]BV_Data_An_Cour!$V:$V,$C372,[5]BV_Data_An_Cour!$W:$W,$L$2)</f>
        <v>0</v>
      </c>
      <c r="M372" s="531"/>
      <c r="N372" s="557"/>
      <c r="O372" s="531"/>
      <c r="P372" s="510"/>
      <c r="Q372" s="526">
        <f t="array" ref="Q372">+INDEX('[5]Réel 2023'!$A$2:$AO$501,MATCH($A372,'[5]Réel 2023'!$A$2:$A$501,0),MATCH(Q$2,'[5]Réel 2023'!$A$2:$AO$2,0))</f>
        <v>0</v>
      </c>
      <c r="R372" s="531"/>
      <c r="S372" s="557">
        <f t="shared" si="74"/>
        <v>0</v>
      </c>
      <c r="T372" s="507"/>
      <c r="U372" s="507"/>
      <c r="V372" s="510"/>
      <c r="W372" s="507"/>
      <c r="X372" s="507"/>
      <c r="Y372" s="507"/>
      <c r="Z372" s="507"/>
      <c r="AA372" s="507"/>
      <c r="AB372" s="507"/>
      <c r="AC372" s="507"/>
      <c r="AD372" s="507"/>
      <c r="AE372" s="507"/>
      <c r="AF372" s="507"/>
      <c r="AG372" s="507"/>
      <c r="AH372" s="507"/>
      <c r="AI372" s="507"/>
      <c r="AJ372" s="507"/>
      <c r="AK372" s="507"/>
      <c r="AL372" s="507"/>
      <c r="AM372" s="507"/>
      <c r="AN372" s="507"/>
    </row>
    <row r="373" spans="1:40" ht="15.75" hidden="1" customHeight="1">
      <c r="A373" s="523" t="s">
        <v>451</v>
      </c>
      <c r="B373" s="510" t="s">
        <v>119</v>
      </c>
      <c r="C373" s="600" t="s">
        <v>46</v>
      </c>
      <c r="D373" s="603"/>
      <c r="E373" s="604"/>
      <c r="F373" s="532">
        <f>+INDEX('[5]Budget original'!$A$2:$AO$501,MATCH($A373,'[5]Budget original'!$A$2:$A$501,0),MATCH(F$2,'[5]Budget original'!$A$2:$AO$2,0))</f>
        <v>0</v>
      </c>
      <c r="G373" s="605"/>
      <c r="H373" s="604"/>
      <c r="I373" s="532"/>
      <c r="J373" s="518"/>
      <c r="K373" s="604"/>
      <c r="L373" s="534">
        <f>-SUMIFS([5]BV_Data_An_Cour!$O:$O,[5]BV_Data_An_Cour!$U:$U,$B373,[5]BV_Data_An_Cour!$V:$V,$C373,[5]BV_Data_An_Cour!$W:$W,$L$2)</f>
        <v>0</v>
      </c>
      <c r="M373" s="518"/>
      <c r="N373" s="606"/>
      <c r="O373" s="518"/>
      <c r="P373" s="604"/>
      <c r="Q373" s="534">
        <f t="array" ref="Q373">+INDEX('[5]Réel 2023'!$A$2:$AO$501,MATCH($A373,'[5]Réel 2023'!$A$2:$A$501,0),MATCH(Q$2,'[5]Réel 2023'!$A$2:$AO$2,0))</f>
        <v>0</v>
      </c>
      <c r="R373" s="518"/>
      <c r="S373" s="606">
        <f t="shared" si="74"/>
        <v>0</v>
      </c>
      <c r="T373" s="507"/>
      <c r="U373" s="507"/>
      <c r="V373" s="510"/>
      <c r="W373" s="507"/>
      <c r="X373" s="507"/>
      <c r="Y373" s="507"/>
      <c r="Z373" s="507"/>
      <c r="AA373" s="507"/>
      <c r="AB373" s="507"/>
      <c r="AC373" s="507"/>
      <c r="AD373" s="507"/>
      <c r="AE373" s="507"/>
      <c r="AF373" s="507"/>
      <c r="AG373" s="507"/>
      <c r="AH373" s="507"/>
      <c r="AI373" s="507"/>
      <c r="AJ373" s="507"/>
      <c r="AK373" s="507"/>
      <c r="AL373" s="507"/>
      <c r="AM373" s="507"/>
      <c r="AN373" s="507"/>
    </row>
    <row r="374" spans="1:40" ht="15.75" hidden="1" customHeight="1">
      <c r="A374" s="523" t="s">
        <v>452</v>
      </c>
      <c r="B374" s="510" t="s">
        <v>119</v>
      </c>
      <c r="C374" s="600" t="s">
        <v>47</v>
      </c>
      <c r="D374" s="584"/>
      <c r="E374" s="510"/>
      <c r="F374" s="532">
        <f>+INDEX('[5]Budget original'!$A$2:$AO$501,MATCH($A374,'[5]Budget original'!$A$2:$A$501,0),MATCH(F$2,'[5]Budget original'!$A$2:$AO$2,0))</f>
        <v>0</v>
      </c>
      <c r="G374" s="585"/>
      <c r="H374" s="510"/>
      <c r="I374" s="532"/>
      <c r="J374" s="531"/>
      <c r="K374" s="510"/>
      <c r="L374" s="534">
        <f>-SUMIFS([5]BV_Data_An_Cour!$O:$O,[5]BV_Data_An_Cour!$U:$U,$B374,[5]BV_Data_An_Cour!$V:$V,$C374,[5]BV_Data_An_Cour!$W:$W,$L$2)</f>
        <v>0</v>
      </c>
      <c r="M374" s="531"/>
      <c r="N374" s="557"/>
      <c r="O374" s="531"/>
      <c r="P374" s="510"/>
      <c r="Q374" s="534">
        <f t="array" ref="Q374">+INDEX('[5]Réel 2023'!$A$2:$AO$501,MATCH($A374,'[5]Réel 2023'!$A$2:$A$501,0),MATCH(Q$2,'[5]Réel 2023'!$A$2:$AO$2,0))</f>
        <v>0</v>
      </c>
      <c r="R374" s="531"/>
      <c r="S374" s="557">
        <f t="shared" si="74"/>
        <v>0</v>
      </c>
      <c r="T374" s="507"/>
      <c r="U374" s="507"/>
      <c r="V374" s="510"/>
      <c r="W374" s="507"/>
      <c r="X374" s="507"/>
      <c r="Y374" s="507"/>
      <c r="Z374" s="507"/>
      <c r="AA374" s="507"/>
      <c r="AB374" s="507"/>
      <c r="AC374" s="507"/>
      <c r="AD374" s="507"/>
      <c r="AE374" s="507"/>
      <c r="AF374" s="507"/>
      <c r="AG374" s="507"/>
      <c r="AH374" s="507"/>
      <c r="AI374" s="507"/>
      <c r="AJ374" s="507"/>
      <c r="AK374" s="507"/>
      <c r="AL374" s="507"/>
      <c r="AM374" s="507"/>
      <c r="AN374" s="507"/>
    </row>
    <row r="375" spans="1:40" ht="15.75" hidden="1" customHeight="1">
      <c r="A375" s="523" t="s">
        <v>453</v>
      </c>
      <c r="B375" s="510" t="s">
        <v>119</v>
      </c>
      <c r="C375" s="600" t="s">
        <v>48</v>
      </c>
      <c r="D375" s="584"/>
      <c r="E375" s="510"/>
      <c r="F375" s="532">
        <f>+INDEX('[5]Budget original'!$A$2:$AO$501,MATCH($A375,'[5]Budget original'!$A$2:$A$501,0),MATCH(F$2,'[5]Budget original'!$A$2:$AO$2,0))</f>
        <v>0</v>
      </c>
      <c r="G375" s="585"/>
      <c r="H375" s="510"/>
      <c r="I375" s="532"/>
      <c r="J375" s="531"/>
      <c r="K375" s="510"/>
      <c r="L375" s="534">
        <f>-SUMIFS([5]BV_Data_An_Cour!$O:$O,[5]BV_Data_An_Cour!$U:$U,$B375,[5]BV_Data_An_Cour!$V:$V,$C375,[5]BV_Data_An_Cour!$W:$W,$L$2)</f>
        <v>0</v>
      </c>
      <c r="M375" s="531"/>
      <c r="N375" s="557"/>
      <c r="O375" s="531"/>
      <c r="P375" s="510"/>
      <c r="Q375" s="534">
        <f t="array" ref="Q375">+INDEX('[5]Réel 2023'!$A$2:$AO$501,MATCH($A375,'[5]Réel 2023'!$A$2:$A$501,0),MATCH(Q$2,'[5]Réel 2023'!$A$2:$AO$2,0))</f>
        <v>0</v>
      </c>
      <c r="R375" s="531"/>
      <c r="S375" s="557">
        <f t="shared" si="74"/>
        <v>0</v>
      </c>
      <c r="T375" s="507"/>
      <c r="U375" s="507"/>
      <c r="V375" s="510"/>
      <c r="W375" s="507"/>
      <c r="X375" s="507"/>
      <c r="Y375" s="507"/>
      <c r="Z375" s="507"/>
      <c r="AA375" s="507"/>
      <c r="AB375" s="507"/>
      <c r="AC375" s="507"/>
      <c r="AD375" s="507"/>
      <c r="AE375" s="507"/>
      <c r="AF375" s="507"/>
      <c r="AG375" s="507"/>
      <c r="AH375" s="507"/>
      <c r="AI375" s="507"/>
      <c r="AJ375" s="507"/>
      <c r="AK375" s="507"/>
      <c r="AL375" s="507"/>
      <c r="AM375" s="507"/>
      <c r="AN375" s="507"/>
    </row>
    <row r="376" spans="1:40" ht="15.75" hidden="1" customHeight="1">
      <c r="A376" s="523" t="s">
        <v>449</v>
      </c>
      <c r="B376" s="510" t="s">
        <v>119</v>
      </c>
      <c r="C376" s="531" t="s">
        <v>20</v>
      </c>
      <c r="D376" s="587"/>
      <c r="E376" s="607"/>
      <c r="F376" s="532">
        <f>+INDEX('[5]Budget original'!$A$2:$AO$501,MATCH($A376,'[5]Budget original'!$A$2:$A$501,0),MATCH(F$2,'[5]Budget original'!$A$2:$AO$2,0))</f>
        <v>0</v>
      </c>
      <c r="G376" s="588"/>
      <c r="H376" s="607"/>
      <c r="I376" s="532"/>
      <c r="J376" s="524"/>
      <c r="K376" s="607"/>
      <c r="L376" s="534">
        <f>-SUMIFS([5]BV_Data_An_Cour!$O:$O,[5]BV_Data_An_Cour!$U:$U,$B376,[5]BV_Data_An_Cour!$V:$V,$C376,[5]BV_Data_An_Cour!$W:$W,$L$2)</f>
        <v>0</v>
      </c>
      <c r="M376" s="524"/>
      <c r="N376" s="582"/>
      <c r="O376" s="524"/>
      <c r="P376" s="607"/>
      <c r="Q376" s="534">
        <f t="array" ref="Q376">+INDEX('[5]Réel 2023'!$A$2:$AO$501,MATCH($A376,'[5]Réel 2023'!$A$2:$A$501,0),MATCH(Q$2,'[5]Réel 2023'!$A$2:$AO$2,0))</f>
        <v>0</v>
      </c>
      <c r="R376" s="524"/>
      <c r="S376" s="582">
        <f t="shared" si="74"/>
        <v>0</v>
      </c>
      <c r="T376" s="507"/>
      <c r="U376" s="507"/>
      <c r="V376" s="510"/>
      <c r="W376" s="507"/>
      <c r="X376" s="507"/>
      <c r="Y376" s="507"/>
      <c r="Z376" s="507"/>
      <c r="AA376" s="507"/>
      <c r="AB376" s="507"/>
      <c r="AC376" s="507"/>
      <c r="AD376" s="507"/>
      <c r="AE376" s="507"/>
      <c r="AF376" s="507"/>
      <c r="AG376" s="507"/>
      <c r="AH376" s="507"/>
      <c r="AI376" s="507"/>
      <c r="AJ376" s="507"/>
      <c r="AK376" s="507"/>
      <c r="AL376" s="507"/>
      <c r="AM376" s="507"/>
      <c r="AN376" s="507"/>
    </row>
    <row r="377" spans="1:40" ht="15.75" hidden="1" customHeight="1">
      <c r="A377" s="523" t="s">
        <v>454</v>
      </c>
      <c r="B377" s="510" t="s">
        <v>119</v>
      </c>
      <c r="C377" s="592" t="s">
        <v>49</v>
      </c>
      <c r="D377" s="593" t="s">
        <v>39</v>
      </c>
      <c r="E377" s="594">
        <f>IFERROR(F377/F$360,0)</f>
        <v>0</v>
      </c>
      <c r="F377" s="595">
        <f>+SUM(F365:F376)</f>
        <v>0</v>
      </c>
      <c r="G377" s="596"/>
      <c r="H377" s="594"/>
      <c r="I377" s="595"/>
      <c r="J377" s="596" t="s">
        <v>39</v>
      </c>
      <c r="K377" s="594">
        <f>IFERROR(L377/L$360,0)</f>
        <v>0</v>
      </c>
      <c r="L377" s="595">
        <f>+SUM(L365:L376)</f>
        <v>0</v>
      </c>
      <c r="M377" s="650"/>
      <c r="N377" s="609"/>
      <c r="O377" s="596" t="s">
        <v>39</v>
      </c>
      <c r="P377" s="594">
        <f>IFERROR(Q377/Q$360,0)</f>
        <v>0</v>
      </c>
      <c r="Q377" s="595">
        <f>+SUM(Q365:Q376)</f>
        <v>0</v>
      </c>
      <c r="R377" s="650"/>
      <c r="S377" s="609">
        <f t="shared" si="74"/>
        <v>0</v>
      </c>
      <c r="T377" s="507"/>
      <c r="U377" s="507"/>
      <c r="V377" s="510"/>
      <c r="W377" s="507"/>
      <c r="X377" s="507"/>
      <c r="Y377" s="507"/>
      <c r="Z377" s="507"/>
      <c r="AA377" s="507"/>
      <c r="AB377" s="507"/>
      <c r="AC377" s="507"/>
      <c r="AD377" s="507"/>
      <c r="AE377" s="507"/>
      <c r="AF377" s="507"/>
      <c r="AG377" s="507"/>
      <c r="AH377" s="507"/>
      <c r="AI377" s="507"/>
      <c r="AJ377" s="507"/>
      <c r="AK377" s="507"/>
      <c r="AL377" s="507"/>
      <c r="AM377" s="507"/>
      <c r="AN377" s="507"/>
    </row>
    <row r="378" spans="1:40" ht="15.75" hidden="1" customHeight="1">
      <c r="A378" s="523" t="s">
        <v>455</v>
      </c>
      <c r="B378" s="510" t="s">
        <v>119</v>
      </c>
      <c r="C378" s="706" t="s">
        <v>50</v>
      </c>
      <c r="D378" s="584"/>
      <c r="E378" s="510"/>
      <c r="F378" s="532">
        <f>+INDEX('[5]Budget original'!$A$2:$AO$501,MATCH($A378,'[5]Budget original'!$A$2:$A$501,0),MATCH(F$2,'[5]Budget original'!$A$2:$AO$2,0))</f>
        <v>0</v>
      </c>
      <c r="G378" s="585"/>
      <c r="H378" s="510"/>
      <c r="I378" s="532"/>
      <c r="J378" s="531"/>
      <c r="K378" s="510"/>
      <c r="L378" s="534">
        <f>-SUMIFS([5]BV_Data_An_Cour!$O:$O,[5]BV_Data_An_Cour!$U:$U,$B378,[5]BV_Data_An_Cour!$V:$V,$C378,[5]BV_Data_An_Cour!$W:$W,$L$2)</f>
        <v>0</v>
      </c>
      <c r="M378" s="531"/>
      <c r="N378" s="557"/>
      <c r="O378" s="531"/>
      <c r="P378" s="510"/>
      <c r="Q378" s="534">
        <f t="array" ref="Q378">+INDEX('[5]Réel 2023'!$A$2:$AO$501,MATCH($A378,'[5]Réel 2023'!$A$2:$A$501,0),MATCH(Q$2,'[5]Réel 2023'!$A$2:$AO$2,0))</f>
        <v>0</v>
      </c>
      <c r="R378" s="531"/>
      <c r="S378" s="557">
        <f t="shared" si="74"/>
        <v>0</v>
      </c>
      <c r="T378" s="507"/>
      <c r="U378" s="507"/>
      <c r="V378" s="510"/>
      <c r="W378" s="507"/>
      <c r="X378" s="507"/>
      <c r="Y378" s="507"/>
      <c r="Z378" s="507"/>
      <c r="AA378" s="507"/>
      <c r="AB378" s="507"/>
      <c r="AC378" s="507"/>
      <c r="AD378" s="507"/>
      <c r="AE378" s="507"/>
      <c r="AF378" s="507"/>
      <c r="AG378" s="507"/>
      <c r="AH378" s="507"/>
      <c r="AI378" s="507"/>
      <c r="AJ378" s="507"/>
      <c r="AK378" s="507"/>
      <c r="AL378" s="507"/>
      <c r="AM378" s="507"/>
      <c r="AN378" s="507"/>
    </row>
    <row r="379" spans="1:40" ht="15.75" hidden="1" customHeight="1">
      <c r="A379" s="523" t="s">
        <v>456</v>
      </c>
      <c r="B379" s="510" t="s">
        <v>119</v>
      </c>
      <c r="C379" s="600" t="s">
        <v>51</v>
      </c>
      <c r="D379" s="584"/>
      <c r="E379" s="510"/>
      <c r="F379" s="532">
        <f>+INDEX('[5]Budget original'!$A$2:$AO$501,MATCH($A379,'[5]Budget original'!$A$2:$A$501,0),MATCH(F$2,'[5]Budget original'!$A$2:$AO$2,0))</f>
        <v>0</v>
      </c>
      <c r="G379" s="585"/>
      <c r="H379" s="510"/>
      <c r="I379" s="532"/>
      <c r="J379" s="531"/>
      <c r="K379" s="510"/>
      <c r="L379" s="534">
        <f>-SUMIFS([5]BV_Data_An_Cour!$O:$O,[5]BV_Data_An_Cour!$U:$U,$B379,[5]BV_Data_An_Cour!$V:$V,$C379,[5]BV_Data_An_Cour!$W:$W,$L$2)</f>
        <v>0</v>
      </c>
      <c r="M379" s="531"/>
      <c r="N379" s="557"/>
      <c r="O379" s="531"/>
      <c r="P379" s="510"/>
      <c r="Q379" s="534">
        <f t="array" ref="Q379">+INDEX('[5]Réel 2023'!$A$2:$AO$501,MATCH($A379,'[5]Réel 2023'!$A$2:$A$501,0),MATCH(Q$2,'[5]Réel 2023'!$A$2:$AO$2,0))</f>
        <v>0</v>
      </c>
      <c r="R379" s="531"/>
      <c r="S379" s="557">
        <f t="shared" si="74"/>
        <v>0</v>
      </c>
      <c r="T379" s="507"/>
      <c r="U379" s="507"/>
      <c r="V379" s="510"/>
      <c r="W379" s="507"/>
      <c r="X379" s="507"/>
      <c r="Y379" s="507"/>
      <c r="Z379" s="507"/>
      <c r="AA379" s="507"/>
      <c r="AB379" s="507"/>
      <c r="AC379" s="507"/>
      <c r="AD379" s="507"/>
      <c r="AE379" s="507"/>
      <c r="AF379" s="507"/>
      <c r="AG379" s="507"/>
      <c r="AH379" s="507"/>
      <c r="AI379" s="507"/>
      <c r="AJ379" s="507"/>
      <c r="AK379" s="507"/>
      <c r="AL379" s="507"/>
      <c r="AM379" s="507"/>
      <c r="AN379" s="507"/>
    </row>
    <row r="380" spans="1:40" ht="15.75" hidden="1" customHeight="1">
      <c r="A380" s="523" t="s">
        <v>457</v>
      </c>
      <c r="B380" s="510" t="s">
        <v>119</v>
      </c>
      <c r="C380" s="602" t="s">
        <v>52</v>
      </c>
      <c r="D380" s="587"/>
      <c r="E380" s="607"/>
      <c r="F380" s="526">
        <f>+INDEX('[5]Budget original'!$A$2:$AO$501,MATCH($A380,'[5]Budget original'!$A$2:$A$501,0),MATCH(F$2,'[5]Budget original'!$A$2:$AO$2,0))</f>
        <v>0</v>
      </c>
      <c r="G380" s="588"/>
      <c r="H380" s="607"/>
      <c r="I380" s="526"/>
      <c r="J380" s="524"/>
      <c r="K380" s="607"/>
      <c r="L380" s="526">
        <f>-SUMIFS([5]BV_Data_An_Cour!$O:$O,[5]BV_Data_An_Cour!$U:$U,$B380,[5]BV_Data_An_Cour!$V:$V,$C380,[5]BV_Data_An_Cour!$W:$W,$L$2)</f>
        <v>0</v>
      </c>
      <c r="M380" s="524"/>
      <c r="N380" s="582"/>
      <c r="O380" s="524"/>
      <c r="P380" s="607"/>
      <c r="Q380" s="526">
        <f t="array" ref="Q380">+INDEX('[5]Réel 2023'!$A$2:$AO$501,MATCH($A380,'[5]Réel 2023'!$A$2:$A$501,0),MATCH(Q$2,'[5]Réel 2023'!$A$2:$AO$2,0))</f>
        <v>0</v>
      </c>
      <c r="R380" s="524"/>
      <c r="S380" s="582">
        <f t="shared" si="74"/>
        <v>0</v>
      </c>
      <c r="T380" s="507"/>
      <c r="U380" s="507"/>
      <c r="V380" s="510"/>
      <c r="W380" s="507"/>
      <c r="X380" s="507"/>
      <c r="Y380" s="507"/>
      <c r="Z380" s="507"/>
      <c r="AA380" s="507"/>
      <c r="AB380" s="507"/>
      <c r="AC380" s="507"/>
      <c r="AD380" s="507"/>
      <c r="AE380" s="507"/>
      <c r="AF380" s="507"/>
      <c r="AG380" s="507"/>
      <c r="AH380" s="507"/>
      <c r="AI380" s="507"/>
      <c r="AJ380" s="507"/>
      <c r="AK380" s="507"/>
      <c r="AL380" s="507"/>
      <c r="AM380" s="507"/>
      <c r="AN380" s="507"/>
    </row>
    <row r="381" spans="1:40" ht="15.75" hidden="1" customHeight="1">
      <c r="A381" s="523" t="s">
        <v>458</v>
      </c>
      <c r="B381" s="510" t="s">
        <v>119</v>
      </c>
      <c r="C381" s="600" t="s">
        <v>53</v>
      </c>
      <c r="D381" s="584"/>
      <c r="E381" s="510"/>
      <c r="F381" s="532">
        <f>+INDEX('[5]Budget original'!$A$2:$AO$501,MATCH($A381,'[5]Budget original'!$A$2:$A$501,0),MATCH(F$2,'[5]Budget original'!$A$2:$AO$2,0))</f>
        <v>0</v>
      </c>
      <c r="G381" s="585"/>
      <c r="H381" s="510"/>
      <c r="I381" s="532"/>
      <c r="J381" s="531"/>
      <c r="K381" s="510"/>
      <c r="L381" s="534">
        <f>-SUMIFS([5]BV_Data_An_Cour!$O:$O,[5]BV_Data_An_Cour!$U:$U,$B381,[5]BV_Data_An_Cour!$V:$V,$C381,[5]BV_Data_An_Cour!$W:$W,$L$2)</f>
        <v>0</v>
      </c>
      <c r="M381" s="531"/>
      <c r="N381" s="557"/>
      <c r="O381" s="531"/>
      <c r="P381" s="510"/>
      <c r="Q381" s="534">
        <f t="array" ref="Q381">+INDEX('[5]Réel 2023'!$A$2:$AO$501,MATCH($A381,'[5]Réel 2023'!$A$2:$A$501,0),MATCH(Q$2,'[5]Réel 2023'!$A$2:$AO$2,0))</f>
        <v>0</v>
      </c>
      <c r="R381" s="531"/>
      <c r="S381" s="557">
        <f t="shared" si="74"/>
        <v>0</v>
      </c>
      <c r="T381" s="507"/>
      <c r="U381" s="507"/>
      <c r="V381" s="510"/>
      <c r="W381" s="507"/>
      <c r="X381" s="507"/>
      <c r="Y381" s="507"/>
      <c r="Z381" s="507"/>
      <c r="AA381" s="507"/>
      <c r="AB381" s="507"/>
      <c r="AC381" s="507"/>
      <c r="AD381" s="507"/>
      <c r="AE381" s="507"/>
      <c r="AF381" s="507"/>
      <c r="AG381" s="507"/>
      <c r="AH381" s="507"/>
      <c r="AI381" s="507"/>
      <c r="AJ381" s="507"/>
      <c r="AK381" s="507"/>
      <c r="AL381" s="507"/>
      <c r="AM381" s="507"/>
      <c r="AN381" s="507"/>
    </row>
    <row r="382" spans="1:40" ht="15.75" hidden="1" customHeight="1">
      <c r="A382" s="523" t="s">
        <v>459</v>
      </c>
      <c r="B382" s="510" t="s">
        <v>119</v>
      </c>
      <c r="C382" s="600" t="s">
        <v>54</v>
      </c>
      <c r="D382" s="584"/>
      <c r="E382" s="510"/>
      <c r="F382" s="532">
        <f>+INDEX('[5]Budget original'!$A$2:$AO$501,MATCH($A382,'[5]Budget original'!$A$2:$A$501,0),MATCH(F$2,'[5]Budget original'!$A$2:$AO$2,0))</f>
        <v>0</v>
      </c>
      <c r="G382" s="585"/>
      <c r="H382" s="510"/>
      <c r="I382" s="532"/>
      <c r="J382" s="531"/>
      <c r="K382" s="510"/>
      <c r="L382" s="534">
        <f>-SUMIFS([5]BV_Data_An_Cour!$O:$O,[5]BV_Data_An_Cour!$U:$U,$B382,[5]BV_Data_An_Cour!$V:$V,$C382,[5]BV_Data_An_Cour!$W:$W,$L$2)</f>
        <v>0</v>
      </c>
      <c r="M382" s="531"/>
      <c r="N382" s="557"/>
      <c r="O382" s="531"/>
      <c r="P382" s="510"/>
      <c r="Q382" s="534">
        <f t="array" ref="Q382">+INDEX('[5]Réel 2023'!$A$2:$AO$501,MATCH($A382,'[5]Réel 2023'!$A$2:$A$501,0),MATCH(Q$2,'[5]Réel 2023'!$A$2:$AO$2,0))</f>
        <v>0</v>
      </c>
      <c r="R382" s="531"/>
      <c r="S382" s="557">
        <f t="shared" si="74"/>
        <v>0</v>
      </c>
      <c r="T382" s="507"/>
      <c r="U382" s="507"/>
      <c r="V382" s="510"/>
      <c r="W382" s="507"/>
      <c r="X382" s="507"/>
      <c r="Y382" s="507"/>
      <c r="Z382" s="507"/>
      <c r="AA382" s="507"/>
      <c r="AB382" s="507"/>
      <c r="AC382" s="507"/>
      <c r="AD382" s="507"/>
      <c r="AE382" s="507"/>
      <c r="AF382" s="507"/>
      <c r="AG382" s="507"/>
      <c r="AH382" s="507"/>
      <c r="AI382" s="507"/>
      <c r="AJ382" s="507"/>
      <c r="AK382" s="507"/>
      <c r="AL382" s="507"/>
      <c r="AM382" s="507"/>
      <c r="AN382" s="507"/>
    </row>
    <row r="383" spans="1:40" ht="15.75" hidden="1" customHeight="1">
      <c r="A383" s="523" t="s">
        <v>460</v>
      </c>
      <c r="B383" s="510" t="s">
        <v>119</v>
      </c>
      <c r="C383" s="600" t="s">
        <v>55</v>
      </c>
      <c r="D383" s="587"/>
      <c r="E383" s="607"/>
      <c r="F383" s="526">
        <f>+INDEX('[5]Budget original'!$A$2:$AO$501,MATCH($A383,'[5]Budget original'!$A$2:$A$501,0),MATCH(F$2,'[5]Budget original'!$A$2:$AO$2,0))</f>
        <v>0</v>
      </c>
      <c r="G383" s="588"/>
      <c r="H383" s="607"/>
      <c r="I383" s="526"/>
      <c r="J383" s="524"/>
      <c r="K383" s="607"/>
      <c r="L383" s="526">
        <f>-SUMIFS([5]BV_Data_An_Cour!$O:$O,[5]BV_Data_An_Cour!$U:$U,$B383,[5]BV_Data_An_Cour!$V:$V,$C383,[5]BV_Data_An_Cour!$W:$W,$L$2)</f>
        <v>0</v>
      </c>
      <c r="M383" s="524"/>
      <c r="N383" s="582"/>
      <c r="O383" s="524"/>
      <c r="P383" s="607"/>
      <c r="Q383" s="526">
        <f t="array" ref="Q383">+INDEX('[5]Réel 2023'!$A$2:$AO$501,MATCH($A383,'[5]Réel 2023'!$A$2:$A$501,0),MATCH(Q$2,'[5]Réel 2023'!$A$2:$AO$2,0))</f>
        <v>0</v>
      </c>
      <c r="R383" s="524"/>
      <c r="S383" s="582">
        <f t="shared" si="74"/>
        <v>0</v>
      </c>
      <c r="T383" s="507"/>
      <c r="U383" s="507"/>
      <c r="V383" s="510"/>
      <c r="W383" s="507"/>
      <c r="X383" s="507"/>
      <c r="Y383" s="507"/>
      <c r="Z383" s="507"/>
      <c r="AA383" s="507"/>
      <c r="AB383" s="507"/>
      <c r="AC383" s="507"/>
      <c r="AD383" s="507"/>
      <c r="AE383" s="507"/>
      <c r="AF383" s="507"/>
      <c r="AG383" s="507"/>
      <c r="AH383" s="507"/>
      <c r="AI383" s="507"/>
      <c r="AJ383" s="507"/>
      <c r="AK383" s="507"/>
      <c r="AL383" s="507"/>
      <c r="AM383" s="507"/>
      <c r="AN383" s="507"/>
    </row>
    <row r="384" spans="1:40" ht="20.25" hidden="1" customHeight="1">
      <c r="A384" s="523" t="s">
        <v>461</v>
      </c>
      <c r="B384" s="510" t="s">
        <v>119</v>
      </c>
      <c r="C384" s="706" t="s">
        <v>56</v>
      </c>
      <c r="D384" s="584"/>
      <c r="E384" s="510"/>
      <c r="F384" s="532">
        <f>+INDEX('[5]Budget original'!$A$2:$AO$501,MATCH($A384,'[5]Budget original'!$A$2:$A$501,0),MATCH(F$2,'[5]Budget original'!$A$2:$AO$2,0))</f>
        <v>0</v>
      </c>
      <c r="G384" s="585"/>
      <c r="H384" s="510"/>
      <c r="I384" s="532"/>
      <c r="J384" s="531"/>
      <c r="K384" s="510"/>
      <c r="L384" s="534">
        <f>-SUMIFS([5]BV_Data_An_Cour!$O:$O,[5]BV_Data_An_Cour!$U:$U,$B384,[5]BV_Data_An_Cour!$V:$V,$C384,[5]BV_Data_An_Cour!$W:$W,$L$2)</f>
        <v>0</v>
      </c>
      <c r="M384" s="531"/>
      <c r="N384" s="557"/>
      <c r="O384" s="531"/>
      <c r="P384" s="510"/>
      <c r="Q384" s="534">
        <f t="array" ref="Q384">+INDEX('[5]Réel 2023'!$A$2:$AO$501,MATCH($A384,'[5]Réel 2023'!$A$2:$A$501,0),MATCH(Q$2,'[5]Réel 2023'!$A$2:$AO$2,0))</f>
        <v>0</v>
      </c>
      <c r="R384" s="531"/>
      <c r="S384" s="557">
        <f t="shared" si="74"/>
        <v>0</v>
      </c>
      <c r="T384" s="507"/>
      <c r="U384" s="507"/>
      <c r="V384" s="510"/>
      <c r="W384" s="507"/>
      <c r="X384" s="507"/>
      <c r="Y384" s="507"/>
      <c r="Z384" s="507"/>
      <c r="AA384" s="507"/>
      <c r="AB384" s="507"/>
      <c r="AC384" s="507"/>
      <c r="AD384" s="507"/>
      <c r="AE384" s="507"/>
      <c r="AF384" s="507"/>
      <c r="AG384" s="507"/>
      <c r="AH384" s="507"/>
      <c r="AI384" s="507"/>
      <c r="AJ384" s="507"/>
      <c r="AK384" s="507"/>
      <c r="AL384" s="507"/>
      <c r="AM384" s="507"/>
      <c r="AN384" s="507"/>
    </row>
    <row r="385" spans="1:40" ht="20.25" hidden="1" customHeight="1">
      <c r="A385" s="523" t="s">
        <v>462</v>
      </c>
      <c r="B385" s="510" t="s">
        <v>119</v>
      </c>
      <c r="C385" s="600" t="s">
        <v>57</v>
      </c>
      <c r="D385" s="584"/>
      <c r="E385" s="510"/>
      <c r="F385" s="532">
        <f>+INDEX('[5]Budget original'!$A$2:$AO$501,MATCH($A385,'[5]Budget original'!$A$2:$A$501,0),MATCH(F$2,'[5]Budget original'!$A$2:$AO$2,0))</f>
        <v>0</v>
      </c>
      <c r="G385" s="585"/>
      <c r="H385" s="510"/>
      <c r="I385" s="532"/>
      <c r="J385" s="531"/>
      <c r="K385" s="510"/>
      <c r="L385" s="534">
        <f>-SUMIFS([5]BV_Data_An_Cour!$O:$O,[5]BV_Data_An_Cour!$U:$U,$B385,[5]BV_Data_An_Cour!$V:$V,$C385,[5]BV_Data_An_Cour!$W:$W,$L$2)</f>
        <v>0</v>
      </c>
      <c r="M385" s="531"/>
      <c r="N385" s="557"/>
      <c r="O385" s="531"/>
      <c r="P385" s="510"/>
      <c r="Q385" s="534">
        <f t="array" ref="Q385">+INDEX('[5]Réel 2023'!$A$2:$AO$501,MATCH($A385,'[5]Réel 2023'!$A$2:$A$501,0),MATCH(Q$2,'[5]Réel 2023'!$A$2:$AO$2,0))</f>
        <v>0</v>
      </c>
      <c r="R385" s="531"/>
      <c r="S385" s="557">
        <f t="shared" si="74"/>
        <v>0</v>
      </c>
      <c r="T385" s="507"/>
      <c r="U385" s="507"/>
      <c r="V385" s="510"/>
      <c r="W385" s="507"/>
      <c r="X385" s="507"/>
      <c r="Y385" s="507"/>
      <c r="Z385" s="507"/>
      <c r="AA385" s="507"/>
      <c r="AB385" s="507"/>
      <c r="AC385" s="507"/>
      <c r="AD385" s="507"/>
      <c r="AE385" s="507"/>
      <c r="AF385" s="507"/>
      <c r="AG385" s="507"/>
      <c r="AH385" s="507"/>
      <c r="AI385" s="507"/>
      <c r="AJ385" s="507"/>
      <c r="AK385" s="507"/>
      <c r="AL385" s="507"/>
      <c r="AM385" s="507"/>
      <c r="AN385" s="507"/>
    </row>
    <row r="386" spans="1:40" ht="20.25" hidden="1" customHeight="1">
      <c r="A386" s="523" t="s">
        <v>463</v>
      </c>
      <c r="B386" s="510" t="s">
        <v>119</v>
      </c>
      <c r="C386" s="600" t="s">
        <v>58</v>
      </c>
      <c r="D386" s="584"/>
      <c r="E386" s="510"/>
      <c r="F386" s="532">
        <f>+INDEX('[5]Budget original'!$A$2:$AO$501,MATCH($A386,'[5]Budget original'!$A$2:$A$501,0),MATCH(F$2,'[5]Budget original'!$A$2:$AO$2,0))</f>
        <v>0</v>
      </c>
      <c r="G386" s="585"/>
      <c r="H386" s="510"/>
      <c r="I386" s="532"/>
      <c r="J386" s="531"/>
      <c r="K386" s="510"/>
      <c r="L386" s="534">
        <f>-SUMIFS([5]BV_Data_An_Cour!$O:$O,[5]BV_Data_An_Cour!$U:$U,$B386,[5]BV_Data_An_Cour!$V:$V,$C386,[5]BV_Data_An_Cour!$W:$W,$L$2)</f>
        <v>0</v>
      </c>
      <c r="M386" s="531"/>
      <c r="N386" s="557"/>
      <c r="O386" s="531"/>
      <c r="P386" s="510"/>
      <c r="Q386" s="534">
        <f t="array" ref="Q386">+INDEX('[5]Réel 2023'!$A$2:$AO$501,MATCH($A386,'[5]Réel 2023'!$A$2:$A$501,0),MATCH(Q$2,'[5]Réel 2023'!$A$2:$AO$2,0))</f>
        <v>0</v>
      </c>
      <c r="R386" s="531"/>
      <c r="S386" s="557">
        <f t="shared" si="74"/>
        <v>0</v>
      </c>
      <c r="T386" s="507"/>
      <c r="U386" s="507"/>
      <c r="V386" s="510"/>
      <c r="W386" s="507"/>
      <c r="X386" s="507"/>
      <c r="Y386" s="507"/>
      <c r="Z386" s="507"/>
      <c r="AA386" s="507"/>
      <c r="AB386" s="507"/>
      <c r="AC386" s="507"/>
      <c r="AD386" s="507"/>
      <c r="AE386" s="507"/>
      <c r="AF386" s="507"/>
      <c r="AG386" s="507"/>
      <c r="AH386" s="507"/>
      <c r="AI386" s="507"/>
      <c r="AJ386" s="507"/>
      <c r="AK386" s="507"/>
      <c r="AL386" s="507"/>
      <c r="AM386" s="507"/>
      <c r="AN386" s="507"/>
    </row>
    <row r="387" spans="1:40" ht="20.25" hidden="1" customHeight="1">
      <c r="A387" s="523" t="s">
        <v>464</v>
      </c>
      <c r="B387" s="510" t="s">
        <v>119</v>
      </c>
      <c r="C387" s="600" t="s">
        <v>59</v>
      </c>
      <c r="D387" s="584"/>
      <c r="E387" s="510"/>
      <c r="F387" s="532">
        <f>+INDEX('[5]Budget original'!$A$2:$AO$501,MATCH($A387,'[5]Budget original'!$A$2:$A$501,0),MATCH(F$2,'[5]Budget original'!$A$2:$AO$2,0))</f>
        <v>0</v>
      </c>
      <c r="G387" s="585"/>
      <c r="H387" s="510"/>
      <c r="I387" s="532"/>
      <c r="J387" s="531"/>
      <c r="K387" s="510"/>
      <c r="L387" s="534">
        <f>-SUMIFS([5]BV_Data_An_Cour!$O:$O,[5]BV_Data_An_Cour!$U:$U,$B387,[5]BV_Data_An_Cour!$V:$V,$C387,[5]BV_Data_An_Cour!$W:$W,$L$2)</f>
        <v>0</v>
      </c>
      <c r="M387" s="531"/>
      <c r="N387" s="557"/>
      <c r="O387" s="531"/>
      <c r="P387" s="510"/>
      <c r="Q387" s="534">
        <f t="array" ref="Q387">+INDEX('[5]Réel 2023'!$A$2:$AO$501,MATCH($A387,'[5]Réel 2023'!$A$2:$A$501,0),MATCH(Q$2,'[5]Réel 2023'!$A$2:$AO$2,0))</f>
        <v>0</v>
      </c>
      <c r="R387" s="531"/>
      <c r="S387" s="557">
        <f t="shared" si="74"/>
        <v>0</v>
      </c>
      <c r="T387" s="507"/>
      <c r="U387" s="507"/>
      <c r="V387" s="510"/>
      <c r="W387" s="507"/>
      <c r="X387" s="507"/>
      <c r="Y387" s="507"/>
      <c r="Z387" s="507"/>
      <c r="AA387" s="507"/>
      <c r="AB387" s="507"/>
      <c r="AC387" s="507"/>
      <c r="AD387" s="507"/>
      <c r="AE387" s="507"/>
      <c r="AF387" s="507"/>
      <c r="AG387" s="507"/>
      <c r="AH387" s="507"/>
      <c r="AI387" s="507"/>
      <c r="AJ387" s="507"/>
      <c r="AK387" s="507"/>
      <c r="AL387" s="507"/>
      <c r="AM387" s="507"/>
      <c r="AN387" s="507"/>
    </row>
    <row r="388" spans="1:40" ht="20.25" hidden="1" customHeight="1">
      <c r="A388" s="523" t="s">
        <v>465</v>
      </c>
      <c r="B388" s="510" t="s">
        <v>119</v>
      </c>
      <c r="C388" s="600" t="s">
        <v>60</v>
      </c>
      <c r="D388" s="584"/>
      <c r="E388" s="510"/>
      <c r="F388" s="532">
        <f>+INDEX('[5]Budget original'!$A$2:$AO$501,MATCH($A388,'[5]Budget original'!$A$2:$A$501,0),MATCH(F$2,'[5]Budget original'!$A$2:$AO$2,0))</f>
        <v>0</v>
      </c>
      <c r="G388" s="585"/>
      <c r="H388" s="510"/>
      <c r="I388" s="532"/>
      <c r="J388" s="531"/>
      <c r="K388" s="510"/>
      <c r="L388" s="534">
        <f>-SUMIFS([5]BV_Data_An_Cour!$O:$O,[5]BV_Data_An_Cour!$U:$U,$B388,[5]BV_Data_An_Cour!$V:$V,$C388,[5]BV_Data_An_Cour!$W:$W,$L$2)</f>
        <v>0</v>
      </c>
      <c r="M388" s="531"/>
      <c r="N388" s="557"/>
      <c r="O388" s="531"/>
      <c r="P388" s="510"/>
      <c r="Q388" s="534">
        <f t="array" ref="Q388">+INDEX('[5]Réel 2023'!$A$2:$AO$501,MATCH($A388,'[5]Réel 2023'!$A$2:$A$501,0),MATCH(Q$2,'[5]Réel 2023'!$A$2:$AO$2,0))</f>
        <v>0</v>
      </c>
      <c r="R388" s="531"/>
      <c r="S388" s="557">
        <f t="shared" si="74"/>
        <v>0</v>
      </c>
      <c r="T388" s="507"/>
      <c r="U388" s="507"/>
      <c r="V388" s="510"/>
      <c r="W388" s="507"/>
      <c r="X388" s="507"/>
      <c r="Y388" s="507"/>
      <c r="Z388" s="507"/>
      <c r="AA388" s="507"/>
      <c r="AB388" s="507"/>
      <c r="AC388" s="507"/>
      <c r="AD388" s="507"/>
      <c r="AE388" s="507"/>
      <c r="AF388" s="507"/>
      <c r="AG388" s="507"/>
      <c r="AH388" s="507"/>
      <c r="AI388" s="507"/>
      <c r="AJ388" s="507"/>
      <c r="AK388" s="507"/>
      <c r="AL388" s="507"/>
      <c r="AM388" s="507"/>
      <c r="AN388" s="507"/>
    </row>
    <row r="389" spans="1:40" ht="20.25" hidden="1" customHeight="1">
      <c r="A389" s="523" t="s">
        <v>466</v>
      </c>
      <c r="B389" s="510" t="s">
        <v>119</v>
      </c>
      <c r="C389" s="600" t="s">
        <v>61</v>
      </c>
      <c r="D389" s="584"/>
      <c r="E389" s="510"/>
      <c r="F389" s="532">
        <f>+INDEX('[5]Budget original'!$A$2:$AO$501,MATCH($A389,'[5]Budget original'!$A$2:$A$501,0),MATCH(F$2,'[5]Budget original'!$A$2:$AO$2,0))</f>
        <v>0</v>
      </c>
      <c r="G389" s="585"/>
      <c r="H389" s="510"/>
      <c r="I389" s="532"/>
      <c r="J389" s="531"/>
      <c r="K389" s="510"/>
      <c r="L389" s="534">
        <f>-SUMIFS([5]BV_Data_An_Cour!$O:$O,[5]BV_Data_An_Cour!$U:$U,$B389,[5]BV_Data_An_Cour!$V:$V,$C389,[5]BV_Data_An_Cour!$W:$W,$L$2)</f>
        <v>0</v>
      </c>
      <c r="M389" s="531"/>
      <c r="N389" s="557"/>
      <c r="O389" s="531"/>
      <c r="P389" s="510"/>
      <c r="Q389" s="534">
        <f t="array" ref="Q389">+INDEX('[5]Réel 2023'!$A$2:$AO$501,MATCH($A389,'[5]Réel 2023'!$A$2:$A$501,0),MATCH(Q$2,'[5]Réel 2023'!$A$2:$AO$2,0))</f>
        <v>0</v>
      </c>
      <c r="R389" s="531"/>
      <c r="S389" s="557">
        <f t="shared" si="74"/>
        <v>0</v>
      </c>
      <c r="T389" s="507"/>
      <c r="U389" s="507"/>
      <c r="V389" s="510"/>
      <c r="W389" s="507"/>
      <c r="X389" s="507"/>
      <c r="Y389" s="507"/>
      <c r="Z389" s="507"/>
      <c r="AA389" s="507"/>
      <c r="AB389" s="507"/>
      <c r="AC389" s="507"/>
      <c r="AD389" s="507"/>
      <c r="AE389" s="507"/>
      <c r="AF389" s="507"/>
      <c r="AG389" s="507"/>
      <c r="AH389" s="507"/>
      <c r="AI389" s="507"/>
      <c r="AJ389" s="507"/>
      <c r="AK389" s="507"/>
      <c r="AL389" s="507"/>
      <c r="AM389" s="507"/>
      <c r="AN389" s="507"/>
    </row>
    <row r="390" spans="1:40" ht="20.25" hidden="1" customHeight="1">
      <c r="A390" s="523" t="s">
        <v>467</v>
      </c>
      <c r="B390" s="510" t="s">
        <v>119</v>
      </c>
      <c r="C390" s="600" t="s">
        <v>62</v>
      </c>
      <c r="D390" s="584"/>
      <c r="E390" s="510"/>
      <c r="F390" s="532">
        <f>+INDEX('[5]Budget original'!$A$2:$AO$501,MATCH($A390,'[5]Budget original'!$A$2:$A$501,0),MATCH(F$2,'[5]Budget original'!$A$2:$AO$2,0))</f>
        <v>0</v>
      </c>
      <c r="G390" s="585"/>
      <c r="H390" s="510"/>
      <c r="I390" s="532"/>
      <c r="J390" s="531"/>
      <c r="K390" s="510"/>
      <c r="L390" s="534">
        <f>-SUMIFS([5]BV_Data_An_Cour!$O:$O,[5]BV_Data_An_Cour!$U:$U,$B390,[5]BV_Data_An_Cour!$V:$V,$C390,[5]BV_Data_An_Cour!$W:$W,$L$2)</f>
        <v>0</v>
      </c>
      <c r="M390" s="531"/>
      <c r="N390" s="557"/>
      <c r="O390" s="531"/>
      <c r="P390" s="510"/>
      <c r="Q390" s="534">
        <f t="array" ref="Q390">+INDEX('[5]Réel 2023'!$A$2:$AO$501,MATCH($A390,'[5]Réel 2023'!$A$2:$A$501,0),MATCH(Q$2,'[5]Réel 2023'!$A$2:$AO$2,0))</f>
        <v>0</v>
      </c>
      <c r="R390" s="531"/>
      <c r="S390" s="557">
        <f t="shared" si="74"/>
        <v>0</v>
      </c>
      <c r="T390" s="507"/>
      <c r="U390" s="507"/>
      <c r="V390" s="510"/>
      <c r="W390" s="507"/>
      <c r="X390" s="507"/>
      <c r="Y390" s="507"/>
      <c r="Z390" s="507"/>
      <c r="AA390" s="507"/>
      <c r="AB390" s="507"/>
      <c r="AC390" s="507"/>
      <c r="AD390" s="507"/>
      <c r="AE390" s="507"/>
      <c r="AF390" s="507"/>
      <c r="AG390" s="507"/>
      <c r="AH390" s="507"/>
      <c r="AI390" s="507"/>
      <c r="AJ390" s="507"/>
      <c r="AK390" s="507"/>
      <c r="AL390" s="507"/>
      <c r="AM390" s="507"/>
      <c r="AN390" s="507"/>
    </row>
    <row r="391" spans="1:40" ht="20.25" hidden="1" customHeight="1">
      <c r="A391" s="523" t="s">
        <v>468</v>
      </c>
      <c r="B391" s="510" t="s">
        <v>119</v>
      </c>
      <c r="C391" s="600" t="s">
        <v>63</v>
      </c>
      <c r="D391" s="584"/>
      <c r="E391" s="510"/>
      <c r="F391" s="532">
        <f>+INDEX('[5]Budget original'!$A$2:$AO$501,MATCH($A391,'[5]Budget original'!$A$2:$A$501,0),MATCH(F$2,'[5]Budget original'!$A$2:$AO$2,0))</f>
        <v>0</v>
      </c>
      <c r="G391" s="585"/>
      <c r="H391" s="510"/>
      <c r="I391" s="532"/>
      <c r="J391" s="531"/>
      <c r="K391" s="510"/>
      <c r="L391" s="534">
        <f>-SUMIFS([5]BV_Data_An_Cour!$O:$O,[5]BV_Data_An_Cour!$U:$U,$B391,[5]BV_Data_An_Cour!$V:$V,$C391,[5]BV_Data_An_Cour!$W:$W,$L$2)</f>
        <v>0</v>
      </c>
      <c r="M391" s="531"/>
      <c r="N391" s="557"/>
      <c r="O391" s="531"/>
      <c r="P391" s="510"/>
      <c r="Q391" s="534">
        <f t="array" ref="Q391">+INDEX('[5]Réel 2023'!$A$2:$AO$501,MATCH($A391,'[5]Réel 2023'!$A$2:$A$501,0),MATCH(Q$2,'[5]Réel 2023'!$A$2:$AO$2,0))</f>
        <v>0</v>
      </c>
      <c r="R391" s="531"/>
      <c r="S391" s="557">
        <f t="shared" si="74"/>
        <v>0</v>
      </c>
      <c r="T391" s="507"/>
      <c r="U391" s="507"/>
      <c r="V391" s="510"/>
      <c r="W391" s="507"/>
      <c r="X391" s="507"/>
      <c r="Y391" s="507"/>
      <c r="Z391" s="507"/>
      <c r="AA391" s="507"/>
      <c r="AB391" s="507"/>
      <c r="AC391" s="507"/>
      <c r="AD391" s="507"/>
      <c r="AE391" s="507"/>
      <c r="AF391" s="507"/>
      <c r="AG391" s="507"/>
      <c r="AH391" s="507"/>
      <c r="AI391" s="507"/>
      <c r="AJ391" s="507"/>
      <c r="AK391" s="507"/>
      <c r="AL391" s="507"/>
      <c r="AM391" s="507"/>
      <c r="AN391" s="507"/>
    </row>
    <row r="392" spans="1:40" ht="15.75" hidden="1" customHeight="1">
      <c r="A392" s="523" t="s">
        <v>449</v>
      </c>
      <c r="B392" s="510" t="s">
        <v>119</v>
      </c>
      <c r="C392" s="600" t="s">
        <v>20</v>
      </c>
      <c r="D392" s="584"/>
      <c r="E392" s="510"/>
      <c r="F392" s="532">
        <f>+INDEX('[5]Budget original'!$A$2:$AO$501,MATCH($A392,'[5]Budget original'!$A$2:$A$501,0),MATCH(F$2,'[5]Budget original'!$A$2:$AO$2,0))</f>
        <v>0</v>
      </c>
      <c r="G392" s="585"/>
      <c r="H392" s="510"/>
      <c r="I392" s="532"/>
      <c r="J392" s="531"/>
      <c r="K392" s="510"/>
      <c r="L392" s="534">
        <f>-SUMIFS([5]BV_Data_An_Cour!$O:$O,[5]BV_Data_An_Cour!$U:$U,$B392,[5]BV_Data_An_Cour!$V:$V,$C392,[5]BV_Data_An_Cour!$W:$W,$L$2)</f>
        <v>0</v>
      </c>
      <c r="M392" s="531"/>
      <c r="N392" s="557"/>
      <c r="O392" s="531"/>
      <c r="P392" s="510"/>
      <c r="Q392" s="534">
        <f t="array" ref="Q392">+INDEX('[5]Réel 2023'!$A$2:$AO$501,MATCH($A392,'[5]Réel 2023'!$A$2:$A$501,0),MATCH(Q$2,'[5]Réel 2023'!$A$2:$AO$2,0))</f>
        <v>0</v>
      </c>
      <c r="R392" s="531"/>
      <c r="S392" s="557">
        <f t="shared" si="74"/>
        <v>0</v>
      </c>
      <c r="T392" s="507"/>
      <c r="U392" s="507"/>
      <c r="V392" s="510"/>
      <c r="W392" s="507"/>
      <c r="X392" s="507"/>
      <c r="Y392" s="507"/>
      <c r="Z392" s="507"/>
      <c r="AA392" s="507"/>
      <c r="AB392" s="507"/>
      <c r="AC392" s="507"/>
      <c r="AD392" s="507"/>
      <c r="AE392" s="507"/>
      <c r="AF392" s="507"/>
      <c r="AG392" s="507"/>
      <c r="AH392" s="507"/>
      <c r="AI392" s="507"/>
      <c r="AJ392" s="507"/>
      <c r="AK392" s="507"/>
      <c r="AL392" s="507"/>
      <c r="AM392" s="507"/>
      <c r="AN392" s="507"/>
    </row>
    <row r="393" spans="1:40" ht="15.75" hidden="1" customHeight="1">
      <c r="A393" s="523" t="s">
        <v>449</v>
      </c>
      <c r="B393" s="510" t="s">
        <v>119</v>
      </c>
      <c r="C393" s="600" t="s">
        <v>20</v>
      </c>
      <c r="D393" s="584"/>
      <c r="E393" s="510"/>
      <c r="F393" s="532">
        <f>+INDEX('[5]Budget original'!$A$2:$AO$501,MATCH($A393,'[5]Budget original'!$A$2:$A$501,0),MATCH(F$2,'[5]Budget original'!$A$2:$AO$2,0))</f>
        <v>0</v>
      </c>
      <c r="G393" s="585"/>
      <c r="H393" s="510"/>
      <c r="I393" s="532"/>
      <c r="J393" s="531"/>
      <c r="K393" s="510"/>
      <c r="L393" s="534">
        <f>-SUMIFS([5]BV_Data_An_Cour!$O:$O,[5]BV_Data_An_Cour!$U:$U,$B393,[5]BV_Data_An_Cour!$V:$V,$C393,[5]BV_Data_An_Cour!$W:$W,$L$2)</f>
        <v>0</v>
      </c>
      <c r="M393" s="531"/>
      <c r="N393" s="557"/>
      <c r="O393" s="531"/>
      <c r="P393" s="510"/>
      <c r="Q393" s="534">
        <f t="array" ref="Q393">+INDEX('[5]Réel 2023'!$A$2:$AO$501,MATCH($A393,'[5]Réel 2023'!$A$2:$A$501,0),MATCH(Q$2,'[5]Réel 2023'!$A$2:$AO$2,0))</f>
        <v>0</v>
      </c>
      <c r="R393" s="531"/>
      <c r="S393" s="557">
        <f t="shared" si="74"/>
        <v>0</v>
      </c>
      <c r="T393" s="507"/>
      <c r="U393" s="507"/>
      <c r="V393" s="510"/>
      <c r="W393" s="507"/>
      <c r="X393" s="507"/>
      <c r="Y393" s="507"/>
      <c r="Z393" s="507"/>
      <c r="AA393" s="507"/>
      <c r="AB393" s="507"/>
      <c r="AC393" s="507"/>
      <c r="AD393" s="507"/>
      <c r="AE393" s="507"/>
      <c r="AF393" s="507"/>
      <c r="AG393" s="507"/>
      <c r="AH393" s="507"/>
      <c r="AI393" s="507"/>
      <c r="AJ393" s="507"/>
      <c r="AK393" s="507"/>
      <c r="AL393" s="507"/>
      <c r="AM393" s="507"/>
      <c r="AN393" s="507"/>
    </row>
    <row r="394" spans="1:40" ht="15.75" hidden="1" customHeight="1">
      <c r="A394" s="523" t="s">
        <v>449</v>
      </c>
      <c r="B394" s="510" t="s">
        <v>119</v>
      </c>
      <c r="C394" s="600" t="s">
        <v>20</v>
      </c>
      <c r="D394" s="587"/>
      <c r="E394" s="607"/>
      <c r="F394" s="532">
        <f>+INDEX('[5]Budget original'!$A$2:$AO$501,MATCH($A394,'[5]Budget original'!$A$2:$A$501,0),MATCH(F$2,'[5]Budget original'!$A$2:$AO$2,0))</f>
        <v>0</v>
      </c>
      <c r="G394" s="588"/>
      <c r="H394" s="607"/>
      <c r="I394" s="532"/>
      <c r="J394" s="524"/>
      <c r="K394" s="607"/>
      <c r="L394" s="534">
        <f>-SUMIFS([5]BV_Data_An_Cour!$O:$O,[5]BV_Data_An_Cour!$U:$U,$B394,[5]BV_Data_An_Cour!$V:$V,$C394,[5]BV_Data_An_Cour!$W:$W,$L$2)</f>
        <v>0</v>
      </c>
      <c r="M394" s="524"/>
      <c r="N394" s="582"/>
      <c r="O394" s="524"/>
      <c r="P394" s="607"/>
      <c r="Q394" s="534">
        <f t="array" ref="Q394">+INDEX('[5]Réel 2023'!$A$2:$AO$501,MATCH($A394,'[5]Réel 2023'!$A$2:$A$501,0),MATCH(Q$2,'[5]Réel 2023'!$A$2:$AO$2,0))</f>
        <v>0</v>
      </c>
      <c r="R394" s="524"/>
      <c r="S394" s="582">
        <f t="shared" si="74"/>
        <v>0</v>
      </c>
      <c r="T394" s="507"/>
      <c r="U394" s="507"/>
      <c r="V394" s="510"/>
      <c r="W394" s="507"/>
      <c r="X394" s="507"/>
      <c r="Y394" s="507"/>
      <c r="Z394" s="507"/>
      <c r="AA394" s="507"/>
      <c r="AB394" s="507"/>
      <c r="AC394" s="507"/>
      <c r="AD394" s="507"/>
      <c r="AE394" s="507"/>
      <c r="AF394" s="507"/>
      <c r="AG394" s="507"/>
      <c r="AH394" s="507"/>
      <c r="AI394" s="507"/>
      <c r="AJ394" s="507"/>
      <c r="AK394" s="507"/>
      <c r="AL394" s="507"/>
      <c r="AM394" s="507"/>
      <c r="AN394" s="507"/>
    </row>
    <row r="395" spans="1:40" ht="15.75" hidden="1" customHeight="1">
      <c r="B395" s="504"/>
      <c r="C395" s="592" t="s">
        <v>64</v>
      </c>
      <c r="D395" s="593" t="s">
        <v>39</v>
      </c>
      <c r="E395" s="594">
        <f>IFERROR(F395/F$360,0)</f>
        <v>0</v>
      </c>
      <c r="F395" s="595">
        <f>+SUM(F378:F394)</f>
        <v>0</v>
      </c>
      <c r="G395" s="596"/>
      <c r="H395" s="594"/>
      <c r="I395" s="595"/>
      <c r="J395" s="596" t="s">
        <v>39</v>
      </c>
      <c r="K395" s="594">
        <f>IFERROR(L395/L$360,0)</f>
        <v>0</v>
      </c>
      <c r="L395" s="595">
        <f>+SUM(L378:L394)</f>
        <v>0</v>
      </c>
      <c r="M395" s="650"/>
      <c r="N395" s="595"/>
      <c r="O395" s="596" t="s">
        <v>39</v>
      </c>
      <c r="P395" s="594">
        <f>IFERROR(Q395/Q$360,0)</f>
        <v>0</v>
      </c>
      <c r="Q395" s="595">
        <f>+SUM(Q378:Q394)</f>
        <v>0</v>
      </c>
      <c r="R395" s="650"/>
      <c r="S395" s="609">
        <f>+SUM(S378:S394)</f>
        <v>0</v>
      </c>
      <c r="T395" s="507"/>
      <c r="U395" s="507"/>
      <c r="V395" s="510"/>
      <c r="W395" s="507"/>
      <c r="X395" s="507"/>
      <c r="Y395" s="507"/>
      <c r="Z395" s="507"/>
      <c r="AA395" s="507"/>
      <c r="AB395" s="507"/>
      <c r="AC395" s="507"/>
      <c r="AD395" s="507"/>
      <c r="AE395" s="507"/>
      <c r="AF395" s="507"/>
      <c r="AG395" s="507"/>
      <c r="AH395" s="507"/>
      <c r="AI395" s="507"/>
      <c r="AJ395" s="507"/>
      <c r="AK395" s="507"/>
      <c r="AL395" s="507"/>
      <c r="AM395" s="507"/>
      <c r="AN395" s="507"/>
    </row>
    <row r="396" spans="1:40" ht="15.75" hidden="1" customHeight="1">
      <c r="B396" s="504"/>
      <c r="C396" s="531"/>
      <c r="D396" s="510"/>
      <c r="E396" s="510"/>
      <c r="F396" s="541"/>
      <c r="G396" s="531"/>
      <c r="H396" s="510"/>
      <c r="I396" s="541"/>
      <c r="J396" s="531"/>
      <c r="K396" s="510"/>
      <c r="L396" s="541"/>
      <c r="M396" s="550"/>
      <c r="N396" s="572"/>
      <c r="O396" s="531"/>
      <c r="P396" s="510"/>
      <c r="Q396" s="541"/>
      <c r="R396" s="531"/>
      <c r="S396" s="572"/>
      <c r="T396" s="507"/>
      <c r="U396" s="507"/>
      <c r="V396" s="510"/>
      <c r="W396" s="507"/>
      <c r="X396" s="507"/>
      <c r="Y396" s="507"/>
      <c r="Z396" s="507"/>
      <c r="AA396" s="507"/>
      <c r="AB396" s="507"/>
      <c r="AC396" s="507"/>
      <c r="AD396" s="507"/>
      <c r="AE396" s="507"/>
      <c r="AF396" s="507"/>
      <c r="AG396" s="507"/>
      <c r="AH396" s="507"/>
      <c r="AI396" s="507"/>
      <c r="AJ396" s="507"/>
      <c r="AK396" s="507"/>
      <c r="AL396" s="507"/>
      <c r="AM396" s="507"/>
      <c r="AN396" s="507"/>
    </row>
    <row r="397" spans="1:40" ht="15.75" hidden="1" customHeight="1">
      <c r="B397" s="504"/>
      <c r="C397" s="592" t="s">
        <v>65</v>
      </c>
      <c r="D397" s="593" t="s">
        <v>39</v>
      </c>
      <c r="E397" s="594">
        <f>IFERROR(F397/F$360,0)</f>
        <v>0</v>
      </c>
      <c r="F397" s="595">
        <f>F377+F395</f>
        <v>0</v>
      </c>
      <c r="G397" s="596"/>
      <c r="H397" s="594"/>
      <c r="I397" s="595"/>
      <c r="J397" s="596" t="s">
        <v>39</v>
      </c>
      <c r="K397" s="594">
        <f>IFERROR(L397/L$360,0)</f>
        <v>0</v>
      </c>
      <c r="L397" s="595">
        <f>L377+L395</f>
        <v>0</v>
      </c>
      <c r="M397" s="592"/>
      <c r="N397" s="595"/>
      <c r="O397" s="596" t="s">
        <v>39</v>
      </c>
      <c r="P397" s="594">
        <f>IFERROR(Q397/Q$360,0)</f>
        <v>0</v>
      </c>
      <c r="Q397" s="595">
        <f>Q377+Q395</f>
        <v>0</v>
      </c>
      <c r="R397" s="599"/>
      <c r="S397" s="595">
        <f>L397-Q397</f>
        <v>0</v>
      </c>
      <c r="T397" s="507"/>
      <c r="U397" s="507"/>
      <c r="V397" s="510"/>
      <c r="W397" s="507"/>
      <c r="X397" s="507"/>
      <c r="Y397" s="507"/>
      <c r="Z397" s="507"/>
      <c r="AA397" s="507"/>
      <c r="AB397" s="507"/>
      <c r="AC397" s="507"/>
      <c r="AD397" s="507"/>
      <c r="AE397" s="507"/>
      <c r="AF397" s="507"/>
      <c r="AG397" s="507"/>
      <c r="AH397" s="507"/>
      <c r="AI397" s="507"/>
      <c r="AJ397" s="507"/>
      <c r="AK397" s="507"/>
      <c r="AL397" s="507"/>
      <c r="AM397" s="507"/>
      <c r="AN397" s="507"/>
    </row>
    <row r="398" spans="1:40" ht="15.75" hidden="1" customHeight="1">
      <c r="B398" s="504"/>
      <c r="C398" s="531"/>
      <c r="D398" s="510"/>
      <c r="E398" s="510"/>
      <c r="F398" s="557"/>
      <c r="G398" s="531"/>
      <c r="H398" s="510"/>
      <c r="I398" s="557"/>
      <c r="J398" s="531"/>
      <c r="K398" s="510"/>
      <c r="L398" s="557"/>
      <c r="M398" s="550"/>
      <c r="N398" s="572"/>
      <c r="O398" s="531"/>
      <c r="P398" s="510"/>
      <c r="Q398" s="557"/>
      <c r="R398" s="531"/>
      <c r="S398" s="572"/>
      <c r="T398" s="507"/>
      <c r="U398" s="507"/>
      <c r="V398" s="510"/>
      <c r="W398" s="507"/>
      <c r="X398" s="507"/>
      <c r="Y398" s="507"/>
      <c r="Z398" s="507"/>
      <c r="AA398" s="507"/>
      <c r="AB398" s="507"/>
      <c r="AC398" s="507"/>
      <c r="AD398" s="507"/>
      <c r="AE398" s="507"/>
      <c r="AF398" s="507"/>
      <c r="AG398" s="507"/>
      <c r="AH398" s="507"/>
      <c r="AI398" s="507"/>
      <c r="AJ398" s="507"/>
      <c r="AK398" s="507"/>
      <c r="AL398" s="507"/>
      <c r="AM398" s="507"/>
      <c r="AN398" s="507"/>
    </row>
    <row r="399" spans="1:40" ht="15.75" hidden="1" customHeight="1">
      <c r="B399" s="504"/>
      <c r="C399" s="730" t="s">
        <v>72</v>
      </c>
      <c r="D399" s="731"/>
      <c r="E399" s="731"/>
      <c r="F399" s="732">
        <f>F362-F397</f>
        <v>0</v>
      </c>
      <c r="G399" s="730"/>
      <c r="H399" s="731"/>
      <c r="I399" s="732"/>
      <c r="J399" s="733"/>
      <c r="K399" s="734"/>
      <c r="L399" s="732">
        <f>L362-L397</f>
        <v>0</v>
      </c>
      <c r="M399" s="730"/>
      <c r="N399" s="732"/>
      <c r="O399" s="733"/>
      <c r="P399" s="734"/>
      <c r="Q399" s="732">
        <f>Q362-Q397</f>
        <v>0</v>
      </c>
      <c r="R399" s="733"/>
      <c r="S399" s="732">
        <f>L399-Q399</f>
        <v>0</v>
      </c>
      <c r="T399" s="507"/>
      <c r="U399" s="507"/>
      <c r="V399" s="510"/>
      <c r="W399" s="507"/>
      <c r="X399" s="507"/>
      <c r="Y399" s="507"/>
      <c r="Z399" s="507"/>
      <c r="AA399" s="507"/>
      <c r="AB399" s="507"/>
      <c r="AC399" s="507"/>
      <c r="AD399" s="507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</row>
    <row r="400" spans="1:40" ht="15.75" customHeight="1">
      <c r="B400" s="504"/>
      <c r="C400" s="571"/>
      <c r="D400" s="735"/>
      <c r="E400" s="510"/>
      <c r="F400" s="608">
        <f>F353+F233</f>
        <v>198884.27493538329</v>
      </c>
      <c r="G400" s="584"/>
      <c r="H400" s="510"/>
      <c r="I400" s="608"/>
      <c r="J400" s="735"/>
      <c r="K400" s="571"/>
      <c r="L400" s="608">
        <f>L353+L233</f>
        <v>131774.86999999994</v>
      </c>
      <c r="M400" s="571"/>
      <c r="N400" s="608"/>
      <c r="O400" s="571"/>
      <c r="P400" s="571"/>
      <c r="Q400" s="608"/>
      <c r="R400" s="571"/>
      <c r="S400" s="608"/>
      <c r="T400" s="510"/>
      <c r="U400" s="510"/>
      <c r="V400" s="510"/>
      <c r="W400" s="510"/>
      <c r="X400" s="510"/>
      <c r="Y400" s="510"/>
      <c r="Z400" s="510"/>
      <c r="AA400" s="510"/>
      <c r="AB400" s="510"/>
      <c r="AC400" s="510"/>
      <c r="AD400" s="510"/>
      <c r="AE400" s="510"/>
      <c r="AF400" s="510"/>
      <c r="AG400" s="510"/>
      <c r="AH400" s="510"/>
      <c r="AI400" s="510"/>
      <c r="AJ400" s="510"/>
      <c r="AK400" s="510"/>
      <c r="AL400" s="510"/>
      <c r="AM400" s="510"/>
      <c r="AN400" s="510"/>
    </row>
    <row r="401" spans="1:61" ht="15.75" customHeight="1">
      <c r="B401" s="504"/>
      <c r="F401" s="736"/>
      <c r="L401" s="736"/>
      <c r="V401" s="510"/>
      <c r="W401" s="507"/>
      <c r="X401" s="507"/>
      <c r="Y401" s="507"/>
      <c r="Z401" s="507"/>
      <c r="AA401" s="507"/>
      <c r="AB401" s="507"/>
      <c r="AC401" s="507"/>
      <c r="AD401" s="507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</row>
    <row r="402" spans="1:61" ht="35.4">
      <c r="B402" s="504"/>
      <c r="C402" s="737" t="s">
        <v>227</v>
      </c>
      <c r="F402" s="736"/>
      <c r="L402" s="736"/>
      <c r="V402" s="738" t="str">
        <f>C1</f>
        <v>Volks</v>
      </c>
      <c r="W402" s="496"/>
      <c r="X402" s="496"/>
      <c r="Y402" s="496"/>
      <c r="Z402" s="496"/>
      <c r="AA402" s="496"/>
      <c r="AB402" s="496"/>
      <c r="AC402" s="496"/>
      <c r="AD402" s="496"/>
      <c r="AE402" s="498" t="s">
        <v>477</v>
      </c>
      <c r="AF402" s="496"/>
      <c r="AG402" s="496"/>
      <c r="AH402" s="496"/>
      <c r="AI402" s="496"/>
      <c r="AJ402" s="739"/>
      <c r="AK402" s="498"/>
      <c r="AL402" s="496"/>
      <c r="AM402" s="496"/>
      <c r="AN402" s="496"/>
      <c r="AO402" s="739" t="str">
        <f>$S$1</f>
        <v>Réalisé, Octobre 2024</v>
      </c>
      <c r="AP402" s="507"/>
      <c r="AQ402" s="507"/>
      <c r="AR402" s="507"/>
      <c r="AS402" s="507"/>
      <c r="AT402" s="507"/>
      <c r="AU402" s="507"/>
      <c r="AV402" s="507"/>
      <c r="AW402" s="507"/>
      <c r="AX402" s="507"/>
      <c r="AY402" s="507"/>
      <c r="AZ402" s="507"/>
      <c r="BA402" s="507"/>
      <c r="BB402" s="507"/>
      <c r="BC402" s="507"/>
      <c r="BD402" s="507"/>
      <c r="BE402" s="507"/>
      <c r="BF402" s="507"/>
      <c r="BG402" s="507"/>
      <c r="BH402" s="507"/>
      <c r="BI402" s="507"/>
    </row>
    <row r="403" spans="1:61" ht="15.75" customHeight="1" thickBot="1">
      <c r="B403" s="504"/>
      <c r="C403" s="737" t="s">
        <v>227</v>
      </c>
      <c r="V403" s="740"/>
      <c r="W403" s="506"/>
      <c r="X403" s="506"/>
      <c r="Y403" s="506"/>
      <c r="Z403" s="506"/>
      <c r="AA403" s="506"/>
      <c r="AB403" s="506"/>
      <c r="AC403" s="506"/>
      <c r="AD403" s="506"/>
      <c r="AE403" s="506"/>
      <c r="AF403" s="506"/>
      <c r="AG403" s="506"/>
      <c r="AH403" s="506"/>
      <c r="AI403" s="506"/>
      <c r="AJ403" s="506"/>
      <c r="AK403" s="506"/>
      <c r="AL403" s="507"/>
      <c r="AM403" s="507"/>
      <c r="AN403" s="507"/>
      <c r="AO403" s="507"/>
      <c r="AP403" s="507"/>
      <c r="AQ403" s="507"/>
      <c r="AR403" s="507"/>
      <c r="AS403" s="507"/>
      <c r="AT403" s="507"/>
      <c r="AU403" s="507"/>
      <c r="AV403" s="507"/>
      <c r="AW403" s="507"/>
      <c r="AX403" s="507"/>
      <c r="AY403" s="507"/>
      <c r="AZ403" s="507"/>
      <c r="BA403" s="507"/>
      <c r="BB403" s="507"/>
      <c r="BC403" s="507"/>
      <c r="BD403" s="507"/>
      <c r="BE403" s="507"/>
      <c r="BF403" s="507"/>
      <c r="BG403" s="507"/>
      <c r="BH403" s="507"/>
      <c r="BI403" s="507"/>
    </row>
    <row r="404" spans="1:61" ht="15.75" customHeight="1" thickTop="1" thickBot="1">
      <c r="A404" s="523" t="s">
        <v>469</v>
      </c>
      <c r="B404" s="504"/>
      <c r="C404" s="737" t="s">
        <v>227</v>
      </c>
      <c r="V404" s="741"/>
      <c r="W404" s="742"/>
      <c r="X404" s="743" t="s">
        <v>122</v>
      </c>
      <c r="Y404" s="744"/>
      <c r="Z404" s="745"/>
      <c r="AA404" s="746"/>
      <c r="AB404" s="744"/>
      <c r="AC404" s="745"/>
      <c r="AD404" s="746" t="s">
        <v>7</v>
      </c>
      <c r="AE404" s="744"/>
      <c r="AF404" s="745"/>
      <c r="AG404" s="746" t="s">
        <v>220</v>
      </c>
      <c r="AH404" s="744"/>
      <c r="AI404" s="745"/>
      <c r="AJ404" s="746" t="s">
        <v>123</v>
      </c>
      <c r="AK404" s="744"/>
      <c r="AL404" s="744"/>
      <c r="AM404" s="746" t="s">
        <v>124</v>
      </c>
      <c r="AN404" s="744"/>
      <c r="AO404" s="747"/>
      <c r="AP404" s="507"/>
      <c r="AQ404" s="507"/>
      <c r="AR404" s="507"/>
      <c r="AS404" s="507"/>
      <c r="AT404" s="507"/>
      <c r="AU404" s="507"/>
      <c r="AV404" s="507"/>
      <c r="AW404" s="507"/>
      <c r="AX404" s="507"/>
      <c r="AY404" s="507"/>
      <c r="AZ404" s="507"/>
      <c r="BA404" s="507"/>
      <c r="BB404" s="507"/>
      <c r="BC404" s="507"/>
      <c r="BD404" s="507"/>
      <c r="BE404" s="507"/>
      <c r="BF404" s="507"/>
      <c r="BG404" s="507"/>
      <c r="BH404" s="507"/>
      <c r="BI404" s="507"/>
    </row>
    <row r="405" spans="1:61" ht="15.75" customHeight="1">
      <c r="A405" s="523" t="s">
        <v>469</v>
      </c>
      <c r="B405" s="504"/>
      <c r="C405" s="737" t="s">
        <v>227</v>
      </c>
      <c r="V405" s="524"/>
      <c r="W405" s="701" t="s">
        <v>125</v>
      </c>
      <c r="X405" s="701" t="s">
        <v>126</v>
      </c>
      <c r="Y405" s="701" t="s">
        <v>127</v>
      </c>
      <c r="Z405" s="748" t="s">
        <v>128</v>
      </c>
      <c r="AA405" s="701"/>
      <c r="AB405" s="701"/>
      <c r="AC405" s="748"/>
      <c r="AD405" s="749" t="s">
        <v>126</v>
      </c>
      <c r="AE405" s="701" t="s">
        <v>127</v>
      </c>
      <c r="AF405" s="701" t="s">
        <v>128</v>
      </c>
      <c r="AG405" s="749" t="s">
        <v>129</v>
      </c>
      <c r="AH405" s="701" t="s">
        <v>130</v>
      </c>
      <c r="AI405" s="701" t="s">
        <v>131</v>
      </c>
      <c r="AJ405" s="749" t="s">
        <v>126</v>
      </c>
      <c r="AK405" s="701" t="s">
        <v>127</v>
      </c>
      <c r="AL405" s="701" t="s">
        <v>128</v>
      </c>
      <c r="AM405" s="750" t="s">
        <v>129</v>
      </c>
      <c r="AN405" s="701" t="s">
        <v>130</v>
      </c>
      <c r="AO405" s="638" t="s">
        <v>131</v>
      </c>
      <c r="AP405" s="507"/>
      <c r="AQ405" s="507"/>
      <c r="AR405" s="507"/>
      <c r="AS405" s="507"/>
      <c r="AT405" s="507"/>
      <c r="AU405" s="507"/>
      <c r="AV405" s="507"/>
      <c r="AW405" s="507"/>
      <c r="AX405" s="507"/>
      <c r="AY405" s="507"/>
      <c r="AZ405" s="507"/>
      <c r="BA405" s="507"/>
      <c r="BB405" s="507"/>
      <c r="BC405" s="507"/>
      <c r="BD405" s="507"/>
      <c r="BE405" s="507"/>
      <c r="BF405" s="507"/>
      <c r="BG405" s="507"/>
      <c r="BH405" s="507"/>
      <c r="BI405" s="507"/>
    </row>
    <row r="406" spans="1:61" ht="15.75" customHeight="1">
      <c r="A406" s="523" t="s">
        <v>15</v>
      </c>
      <c r="B406" s="504"/>
      <c r="C406" s="737" t="s">
        <v>227</v>
      </c>
      <c r="V406" s="602" t="s">
        <v>15</v>
      </c>
      <c r="W406" s="751"/>
      <c r="X406" s="751"/>
      <c r="Y406" s="751"/>
      <c r="Z406" s="752">
        <f>F5+F93+E194+E250+D314+D362</f>
        <v>6932516.5700065438</v>
      </c>
      <c r="AA406" s="751"/>
      <c r="AB406" s="751"/>
      <c r="AC406" s="752"/>
      <c r="AD406" s="753"/>
      <c r="AE406" s="754"/>
      <c r="AF406" s="754">
        <f>L5+L93+K194+K250+J314+J362</f>
        <v>4756792.08</v>
      </c>
      <c r="AG406" s="753"/>
      <c r="AH406" s="754"/>
      <c r="AI406" s="755"/>
      <c r="AJ406" s="753"/>
      <c r="AK406" s="754"/>
      <c r="AL406" s="754">
        <f>Q5+Q93+P194+P250+O314+O362</f>
        <v>10612462.849999988</v>
      </c>
      <c r="AM406" s="756"/>
      <c r="AN406" s="754"/>
      <c r="AO406" s="757"/>
      <c r="AP406" s="507"/>
      <c r="AQ406" s="507"/>
      <c r="AR406" s="507"/>
      <c r="AS406" s="507"/>
      <c r="AT406" s="507"/>
      <c r="AU406" s="507"/>
      <c r="AV406" s="507"/>
      <c r="AW406" s="507"/>
      <c r="AX406" s="507"/>
      <c r="AY406" s="507"/>
      <c r="AZ406" s="507"/>
      <c r="BA406" s="507"/>
      <c r="BB406" s="507"/>
      <c r="BC406" s="507"/>
      <c r="BD406" s="507"/>
      <c r="BE406" s="507"/>
      <c r="BF406" s="507"/>
      <c r="BG406" s="507"/>
      <c r="BH406" s="507"/>
      <c r="BI406" s="507"/>
    </row>
    <row r="407" spans="1:61" ht="15.75" customHeight="1">
      <c r="A407" s="523" t="s">
        <v>132</v>
      </c>
      <c r="B407" s="504"/>
      <c r="C407" s="737" t="s">
        <v>227</v>
      </c>
      <c r="V407" s="758" t="s">
        <v>132</v>
      </c>
      <c r="W407" s="759"/>
      <c r="X407" s="760">
        <f>Z407/Z406</f>
        <v>0.14426162446953264</v>
      </c>
      <c r="Y407" s="759"/>
      <c r="Z407" s="761">
        <f>F27+F108+F194+F250+F314+F362</f>
        <v>1000096.1020510965</v>
      </c>
      <c r="AA407" s="759"/>
      <c r="AB407" s="759"/>
      <c r="AC407" s="761"/>
      <c r="AD407" s="760">
        <f>AF407/AF406</f>
        <v>0.13939806887670403</v>
      </c>
      <c r="AE407" s="762"/>
      <c r="AF407" s="761">
        <f>L27+L108+L194+L250+L314+L362</f>
        <v>663087.63000000024</v>
      </c>
      <c r="AG407" s="763"/>
      <c r="AH407" s="762">
        <f>AF407-Z407</f>
        <v>-337008.47205109627</v>
      </c>
      <c r="AI407" s="764">
        <f>AH407/Z407</f>
        <v>-0.33697608795787304</v>
      </c>
      <c r="AJ407" s="763">
        <f>+AL407/AL406</f>
        <v>6.9729737616937765E-2</v>
      </c>
      <c r="AK407" s="762"/>
      <c r="AL407" s="762">
        <f>Q27+Q108+Q194+Q250+Q314+Q362</f>
        <v>740004.24999999872</v>
      </c>
      <c r="AM407" s="765"/>
      <c r="AN407" s="762">
        <f>AF407-AL407</f>
        <v>-76916.619999998482</v>
      </c>
      <c r="AO407" s="766">
        <f>IF(AL407=0,0,AN407/AL407)</f>
        <v>-0.10394078142118592</v>
      </c>
      <c r="AP407" s="507"/>
      <c r="AQ407" s="507"/>
      <c r="AR407" s="507"/>
      <c r="AS407" s="507"/>
      <c r="AT407" s="507"/>
      <c r="AU407" s="507"/>
      <c r="AV407" s="507"/>
      <c r="AW407" s="507"/>
      <c r="AX407" s="507"/>
      <c r="AY407" s="507"/>
      <c r="AZ407" s="507"/>
      <c r="BA407" s="507"/>
      <c r="BB407" s="507"/>
      <c r="BC407" s="507"/>
      <c r="BD407" s="507"/>
      <c r="BE407" s="507"/>
      <c r="BF407" s="507"/>
      <c r="BG407" s="507"/>
      <c r="BH407" s="507"/>
      <c r="BI407" s="507"/>
    </row>
    <row r="408" spans="1:61" ht="15.75" customHeight="1">
      <c r="A408" s="523" t="s">
        <v>133</v>
      </c>
      <c r="B408" s="504"/>
      <c r="C408" s="737" t="s">
        <v>227</v>
      </c>
      <c r="V408" s="767" t="s">
        <v>133</v>
      </c>
      <c r="W408" s="768"/>
      <c r="X408" s="768"/>
      <c r="Y408" s="768"/>
      <c r="Z408" s="769"/>
      <c r="AA408" s="768"/>
      <c r="AB408" s="768"/>
      <c r="AC408" s="769"/>
      <c r="AD408" s="770"/>
      <c r="AE408" s="768"/>
      <c r="AF408" s="771"/>
      <c r="AG408" s="770"/>
      <c r="AH408" s="771"/>
      <c r="AI408" s="772"/>
      <c r="AJ408" s="770"/>
      <c r="AK408" s="768"/>
      <c r="AL408" s="771"/>
      <c r="AM408" s="773"/>
      <c r="AN408" s="771"/>
      <c r="AO408" s="774"/>
      <c r="AP408" s="507"/>
      <c r="AQ408" s="507"/>
      <c r="AR408" s="507"/>
      <c r="AS408" s="507"/>
      <c r="AT408" s="507"/>
      <c r="AU408" s="507"/>
      <c r="AV408" s="507"/>
      <c r="AW408" s="507"/>
      <c r="AX408" s="507"/>
      <c r="AY408" s="507"/>
      <c r="AZ408" s="507"/>
      <c r="BA408" s="507"/>
      <c r="BB408" s="507"/>
      <c r="BC408" s="507"/>
      <c r="BD408" s="507"/>
      <c r="BE408" s="507"/>
      <c r="BF408" s="507"/>
      <c r="BG408" s="507"/>
      <c r="BH408" s="507"/>
      <c r="BI408" s="507"/>
    </row>
    <row r="409" spans="1:61" ht="15.75" customHeight="1">
      <c r="A409" s="523" t="s">
        <v>31</v>
      </c>
      <c r="B409" s="504"/>
      <c r="C409" s="737" t="s">
        <v>227</v>
      </c>
      <c r="V409" s="600" t="s">
        <v>31</v>
      </c>
      <c r="W409" s="775" t="s">
        <v>134</v>
      </c>
      <c r="X409" s="768"/>
      <c r="Y409" s="776">
        <f t="shared" ref="Y409:Y418" si="75">Z409/(D$13+D$97)</f>
        <v>863.47808599951463</v>
      </c>
      <c r="Z409" s="769">
        <f t="shared" ref="Z409:Z415" si="76">+SUMIF($C:$C,$V409,F:F)</f>
        <v>96342.567445395835</v>
      </c>
      <c r="AA409" s="768"/>
      <c r="AB409" s="776"/>
      <c r="AC409" s="769"/>
      <c r="AD409" s="777"/>
      <c r="AE409" s="776">
        <f t="shared" ref="AE409:AE414" si="77">IF(AF409=0,0,AF409/(J$13+J$97))</f>
        <v>616.13114942528739</v>
      </c>
      <c r="AF409" s="769">
        <f t="shared" ref="AF409:AF415" si="78">+SUMIF($C:$C,$V409,L:L)</f>
        <v>53603.41</v>
      </c>
      <c r="AG409" s="770">
        <f t="shared" ref="AG409:AH424" si="79">AE409-Y409</f>
        <v>-247.34693657422724</v>
      </c>
      <c r="AH409" s="771">
        <f t="shared" si="79"/>
        <v>-42739.157445395831</v>
      </c>
      <c r="AI409" s="772">
        <f t="shared" ref="AI409:AI418" si="80">IF(Z409=0,0,AH409/Z409)</f>
        <v>-0.44361655059295718</v>
      </c>
      <c r="AJ409" s="778">
        <f t="shared" ref="AJ409:AJ415" si="81">AL409/AL$407</f>
        <v>9.2228078419820045E-2</v>
      </c>
      <c r="AK409" s="771">
        <f t="shared" ref="AK409:AK418" si="82">AL409/(O$13+O$97)</f>
        <v>802.9314117647059</v>
      </c>
      <c r="AL409" s="769">
        <f t="shared" ref="AL409:AL414" si="83">+SUMIF($C:$C,$V409,Q:Q)</f>
        <v>68249.17</v>
      </c>
      <c r="AM409" s="773">
        <f t="shared" ref="AM409:AM418" si="84">AE409-Y409</f>
        <v>-247.34693657422724</v>
      </c>
      <c r="AN409" s="771">
        <f t="shared" ref="AN409:AN431" si="85">AF409-AL409</f>
        <v>-14645.759999999995</v>
      </c>
      <c r="AO409" s="779">
        <f t="shared" ref="AO409:AO431" si="86">IF(AL409=0,0,AN409/AL409)</f>
        <v>-0.21459249980622469</v>
      </c>
      <c r="AP409" s="507"/>
      <c r="AQ409" s="507"/>
      <c r="AR409" s="504"/>
      <c r="AS409" s="507"/>
      <c r="AT409" s="507"/>
      <c r="AU409" s="507"/>
      <c r="AV409" s="507"/>
      <c r="AW409" s="507"/>
      <c r="AX409" s="507"/>
      <c r="AY409" s="507"/>
      <c r="AZ409" s="507"/>
      <c r="BA409" s="507"/>
      <c r="BB409" s="507"/>
      <c r="BC409" s="507"/>
      <c r="BD409" s="507"/>
      <c r="BE409" s="507"/>
      <c r="BF409" s="507"/>
      <c r="BG409" s="507"/>
      <c r="BH409" s="507"/>
      <c r="BI409" s="507"/>
    </row>
    <row r="410" spans="1:61" ht="15.75" customHeight="1">
      <c r="A410" s="523" t="s">
        <v>32</v>
      </c>
      <c r="B410" s="504"/>
      <c r="C410" s="737" t="s">
        <v>227</v>
      </c>
      <c r="V410" s="602" t="s">
        <v>32</v>
      </c>
      <c r="W410" s="780" t="s">
        <v>135</v>
      </c>
      <c r="X410" s="751"/>
      <c r="Y410" s="781">
        <f t="shared" si="75"/>
        <v>501.67421017252963</v>
      </c>
      <c r="Z410" s="752">
        <f t="shared" si="76"/>
        <v>55974.299999999988</v>
      </c>
      <c r="AA410" s="751"/>
      <c r="AB410" s="781"/>
      <c r="AC410" s="752"/>
      <c r="AD410" s="782"/>
      <c r="AE410" s="781">
        <f t="shared" si="77"/>
        <v>420.97770114942529</v>
      </c>
      <c r="AF410" s="752">
        <f t="shared" si="78"/>
        <v>36625.06</v>
      </c>
      <c r="AG410" s="753">
        <f t="shared" si="79"/>
        <v>-80.69650902310434</v>
      </c>
      <c r="AH410" s="754">
        <f t="shared" si="79"/>
        <v>-19349.239999999991</v>
      </c>
      <c r="AI410" s="783">
        <f t="shared" si="80"/>
        <v>-0.34568078564626969</v>
      </c>
      <c r="AJ410" s="784">
        <f t="shared" si="81"/>
        <v>5.0151982235237251E-2</v>
      </c>
      <c r="AK410" s="754">
        <f t="shared" si="82"/>
        <v>436.61976470588235</v>
      </c>
      <c r="AL410" s="752">
        <f t="shared" si="83"/>
        <v>37112.68</v>
      </c>
      <c r="AM410" s="756">
        <f t="shared" si="84"/>
        <v>-80.69650902310434</v>
      </c>
      <c r="AN410" s="754">
        <f t="shared" si="85"/>
        <v>-487.62000000000262</v>
      </c>
      <c r="AO410" s="757">
        <f t="shared" si="86"/>
        <v>-1.3138905624708392E-2</v>
      </c>
      <c r="AP410" s="507"/>
      <c r="AQ410" s="507"/>
      <c r="AR410" s="510"/>
      <c r="AS410" s="507"/>
      <c r="AT410" s="507"/>
      <c r="AU410" s="507"/>
      <c r="AV410" s="507"/>
      <c r="AW410" s="507"/>
      <c r="AX410" s="507"/>
      <c r="AY410" s="507"/>
      <c r="AZ410" s="507"/>
      <c r="BA410" s="507"/>
      <c r="BB410" s="507"/>
      <c r="BC410" s="507"/>
      <c r="BD410" s="507"/>
      <c r="BE410" s="507"/>
      <c r="BF410" s="507"/>
      <c r="BG410" s="507"/>
      <c r="BH410" s="507"/>
      <c r="BI410" s="507"/>
    </row>
    <row r="411" spans="1:61" ht="15.75" customHeight="1">
      <c r="A411" s="523" t="s">
        <v>33</v>
      </c>
      <c r="B411" s="504"/>
      <c r="C411" s="737" t="s">
        <v>227</v>
      </c>
      <c r="V411" s="600" t="s">
        <v>33</v>
      </c>
      <c r="W411" s="775" t="s">
        <v>136</v>
      </c>
      <c r="X411" s="768"/>
      <c r="Y411" s="776">
        <f t="shared" si="75"/>
        <v>85.624467846739847</v>
      </c>
      <c r="Z411" s="769">
        <f t="shared" si="76"/>
        <v>9553.5499999999975</v>
      </c>
      <c r="AA411" s="768"/>
      <c r="AB411" s="776"/>
      <c r="AC411" s="769"/>
      <c r="AD411" s="777"/>
      <c r="AE411" s="776">
        <f t="shared" si="77"/>
        <v>66.851609195402304</v>
      </c>
      <c r="AF411" s="769">
        <f t="shared" si="78"/>
        <v>5816.09</v>
      </c>
      <c r="AG411" s="770">
        <f t="shared" si="79"/>
        <v>-18.772858651337543</v>
      </c>
      <c r="AH411" s="771">
        <f t="shared" si="79"/>
        <v>-3737.4599999999973</v>
      </c>
      <c r="AI411" s="772">
        <f t="shared" si="80"/>
        <v>-0.39121164383920098</v>
      </c>
      <c r="AJ411" s="778">
        <f t="shared" si="81"/>
        <v>1.0705006086113713E-2</v>
      </c>
      <c r="AK411" s="771">
        <f t="shared" si="82"/>
        <v>93.197058823529417</v>
      </c>
      <c r="AL411" s="769">
        <f t="shared" si="83"/>
        <v>7921.75</v>
      </c>
      <c r="AM411" s="773">
        <f t="shared" si="84"/>
        <v>-18.772858651337543</v>
      </c>
      <c r="AN411" s="771">
        <f t="shared" si="85"/>
        <v>-2105.66</v>
      </c>
      <c r="AO411" s="779">
        <f t="shared" si="86"/>
        <v>-0.26580742891406567</v>
      </c>
      <c r="AP411" s="507"/>
      <c r="AQ411" s="507"/>
      <c r="AR411" s="510"/>
      <c r="AS411" s="507"/>
      <c r="AT411" s="507"/>
      <c r="AU411" s="507"/>
      <c r="AV411" s="507"/>
      <c r="AW411" s="507"/>
      <c r="AX411" s="507"/>
      <c r="AY411" s="507"/>
      <c r="AZ411" s="507"/>
      <c r="BA411" s="507"/>
      <c r="BB411" s="507"/>
      <c r="BC411" s="507"/>
      <c r="BD411" s="507"/>
      <c r="BE411" s="507"/>
      <c r="BF411" s="507"/>
      <c r="BG411" s="507"/>
      <c r="BH411" s="507"/>
      <c r="BI411" s="507"/>
    </row>
    <row r="412" spans="1:61" ht="15.75" customHeight="1">
      <c r="A412" s="523" t="s">
        <v>34</v>
      </c>
      <c r="B412" s="504"/>
      <c r="C412" s="737" t="s">
        <v>227</v>
      </c>
      <c r="V412" s="600" t="s">
        <v>34</v>
      </c>
      <c r="W412" s="775" t="s">
        <v>137</v>
      </c>
      <c r="X412" s="768"/>
      <c r="Y412" s="776">
        <f t="shared" si="75"/>
        <v>4.5080439166479955</v>
      </c>
      <c r="Z412" s="769">
        <f t="shared" si="76"/>
        <v>502.98500000000001</v>
      </c>
      <c r="AA412" s="768"/>
      <c r="AB412" s="776"/>
      <c r="AC412" s="769"/>
      <c r="AD412" s="777"/>
      <c r="AE412" s="776">
        <f t="shared" si="77"/>
        <v>36.607701149425289</v>
      </c>
      <c r="AF412" s="769">
        <f t="shared" si="78"/>
        <v>3184.87</v>
      </c>
      <c r="AG412" s="770">
        <f t="shared" si="79"/>
        <v>32.09965723277729</v>
      </c>
      <c r="AH412" s="771">
        <f t="shared" si="79"/>
        <v>2681.8849999999998</v>
      </c>
      <c r="AI412" s="772">
        <f t="shared" si="80"/>
        <v>5.33193832818076</v>
      </c>
      <c r="AJ412" s="778">
        <f t="shared" si="81"/>
        <v>3.1087524159489673E-3</v>
      </c>
      <c r="AK412" s="771">
        <f t="shared" si="82"/>
        <v>27.064588235294114</v>
      </c>
      <c r="AL412" s="769">
        <f t="shared" si="83"/>
        <v>2300.4899999999998</v>
      </c>
      <c r="AM412" s="773">
        <f t="shared" si="84"/>
        <v>32.09965723277729</v>
      </c>
      <c r="AN412" s="771">
        <f t="shared" si="85"/>
        <v>884.38000000000011</v>
      </c>
      <c r="AO412" s="779">
        <f t="shared" si="86"/>
        <v>0.38443114293041925</v>
      </c>
      <c r="AP412" s="507"/>
      <c r="AQ412" s="507"/>
      <c r="AR412" s="510"/>
      <c r="AS412" s="507"/>
      <c r="AT412" s="507"/>
      <c r="AU412" s="507"/>
      <c r="AV412" s="507"/>
      <c r="AW412" s="507"/>
      <c r="AX412" s="507"/>
      <c r="AY412" s="507"/>
      <c r="AZ412" s="507"/>
      <c r="BA412" s="507"/>
      <c r="BB412" s="507"/>
      <c r="BC412" s="507"/>
      <c r="BD412" s="507"/>
      <c r="BE412" s="507"/>
      <c r="BF412" s="507"/>
      <c r="BG412" s="507"/>
      <c r="BH412" s="507"/>
      <c r="BI412" s="507"/>
    </row>
    <row r="413" spans="1:61" ht="15.75" customHeight="1">
      <c r="A413" s="523" t="s">
        <v>35</v>
      </c>
      <c r="B413" s="504"/>
      <c r="C413" s="737" t="s">
        <v>227</v>
      </c>
      <c r="V413" s="602" t="s">
        <v>35</v>
      </c>
      <c r="W413" s="780"/>
      <c r="X413" s="751"/>
      <c r="Y413" s="781">
        <f t="shared" si="75"/>
        <v>115.50168048397938</v>
      </c>
      <c r="Z413" s="752">
        <f t="shared" si="76"/>
        <v>12887.099999999999</v>
      </c>
      <c r="AA413" s="751"/>
      <c r="AB413" s="781"/>
      <c r="AC413" s="752"/>
      <c r="AD413" s="782"/>
      <c r="AE413" s="781">
        <f t="shared" si="77"/>
        <v>159.22218390804596</v>
      </c>
      <c r="AF413" s="752">
        <f t="shared" si="78"/>
        <v>13852.33</v>
      </c>
      <c r="AG413" s="753">
        <f t="shared" si="79"/>
        <v>43.720503424066578</v>
      </c>
      <c r="AH413" s="754">
        <f t="shared" si="79"/>
        <v>965.23000000000138</v>
      </c>
      <c r="AI413" s="783">
        <f t="shared" si="80"/>
        <v>7.4898929937689748E-2</v>
      </c>
      <c r="AJ413" s="784">
        <f t="shared" si="81"/>
        <v>1.2799791352549685E-2</v>
      </c>
      <c r="AK413" s="754">
        <f t="shared" si="82"/>
        <v>111.43411764705881</v>
      </c>
      <c r="AL413" s="752">
        <f t="shared" si="83"/>
        <v>9471.9</v>
      </c>
      <c r="AM413" s="756">
        <f t="shared" si="84"/>
        <v>43.720503424066578</v>
      </c>
      <c r="AN413" s="754">
        <f t="shared" si="85"/>
        <v>4380.43</v>
      </c>
      <c r="AO413" s="757">
        <f t="shared" si="86"/>
        <v>0.46246581995164648</v>
      </c>
      <c r="AP413" s="507"/>
      <c r="AQ413" s="507"/>
      <c r="AR413" s="510"/>
      <c r="AS413" s="507"/>
      <c r="AT413" s="507"/>
      <c r="AU413" s="507"/>
      <c r="AV413" s="507"/>
      <c r="AW413" s="507"/>
      <c r="AX413" s="507"/>
      <c r="AY413" s="507"/>
      <c r="AZ413" s="507"/>
      <c r="BA413" s="507"/>
      <c r="BB413" s="507"/>
      <c r="BC413" s="507"/>
      <c r="BD413" s="507"/>
      <c r="BE413" s="507"/>
      <c r="BF413" s="507"/>
      <c r="BG413" s="507"/>
      <c r="BH413" s="507"/>
      <c r="BI413" s="507"/>
    </row>
    <row r="414" spans="1:61" ht="15.75" customHeight="1">
      <c r="A414" s="523" t="s">
        <v>36</v>
      </c>
      <c r="B414" s="504"/>
      <c r="C414" s="737" t="s">
        <v>227</v>
      </c>
      <c r="V414" s="600" t="s">
        <v>36</v>
      </c>
      <c r="W414" s="775" t="s">
        <v>138</v>
      </c>
      <c r="X414" s="772"/>
      <c r="Y414" s="776">
        <f t="shared" si="75"/>
        <v>158.12233923369934</v>
      </c>
      <c r="Z414" s="769">
        <f t="shared" si="76"/>
        <v>17642.5</v>
      </c>
      <c r="AA414" s="772"/>
      <c r="AB414" s="776"/>
      <c r="AC414" s="769"/>
      <c r="AD414" s="777"/>
      <c r="AE414" s="776">
        <f t="shared" si="77"/>
        <v>278.85758620689654</v>
      </c>
      <c r="AF414" s="769">
        <f t="shared" si="78"/>
        <v>24260.61</v>
      </c>
      <c r="AG414" s="770">
        <f t="shared" si="79"/>
        <v>120.73524697319721</v>
      </c>
      <c r="AH414" s="771">
        <f t="shared" si="79"/>
        <v>6618.1100000000006</v>
      </c>
      <c r="AI414" s="772">
        <f t="shared" si="80"/>
        <v>0.37512314014453735</v>
      </c>
      <c r="AJ414" s="778">
        <f t="shared" si="81"/>
        <v>3.3578401745665711E-2</v>
      </c>
      <c r="AK414" s="771">
        <f t="shared" si="82"/>
        <v>292.33129411764708</v>
      </c>
      <c r="AL414" s="769">
        <f t="shared" si="83"/>
        <v>24848.16</v>
      </c>
      <c r="AM414" s="773">
        <f t="shared" si="84"/>
        <v>120.73524697319721</v>
      </c>
      <c r="AN414" s="771">
        <f t="shared" si="85"/>
        <v>-587.54999999999927</v>
      </c>
      <c r="AO414" s="779">
        <f t="shared" si="86"/>
        <v>-2.3645614001197645E-2</v>
      </c>
      <c r="AP414" s="507"/>
      <c r="AQ414" s="507"/>
      <c r="AR414" s="510"/>
      <c r="AS414" s="507"/>
      <c r="AT414" s="507"/>
      <c r="AU414" s="507"/>
      <c r="AV414" s="507"/>
      <c r="AW414" s="507"/>
      <c r="AX414" s="507"/>
      <c r="AY414" s="507"/>
      <c r="AZ414" s="507"/>
      <c r="BA414" s="507"/>
      <c r="BB414" s="507"/>
      <c r="BC414" s="507"/>
      <c r="BD414" s="507"/>
      <c r="BE414" s="507"/>
      <c r="BF414" s="507"/>
      <c r="BG414" s="507"/>
      <c r="BH414" s="507"/>
      <c r="BI414" s="507"/>
    </row>
    <row r="415" spans="1:61" ht="15.75" customHeight="1">
      <c r="A415" s="523" t="s">
        <v>37</v>
      </c>
      <c r="B415" s="504"/>
      <c r="C415" s="737" t="s">
        <v>227</v>
      </c>
      <c r="V415" s="600" t="s">
        <v>37</v>
      </c>
      <c r="W415" s="775" t="s">
        <v>139</v>
      </c>
      <c r="X415" s="768"/>
      <c r="Y415" s="776">
        <f t="shared" si="75"/>
        <v>243.28197660256748</v>
      </c>
      <c r="Z415" s="769">
        <f t="shared" si="76"/>
        <v>27144.186539431463</v>
      </c>
      <c r="AA415" s="768"/>
      <c r="AB415" s="776"/>
      <c r="AC415" s="769"/>
      <c r="AD415" s="777"/>
      <c r="AE415" s="776">
        <f t="shared" ref="AE415:AE418" si="87">IF(AF415=0,0,AF415/(J$13+J$13))</f>
        <v>337.90056818181819</v>
      </c>
      <c r="AF415" s="769">
        <f t="shared" si="78"/>
        <v>29735.25</v>
      </c>
      <c r="AG415" s="770">
        <f t="shared" si="79"/>
        <v>94.618591579250705</v>
      </c>
      <c r="AH415" s="771">
        <f t="shared" si="79"/>
        <v>2591.0634605685373</v>
      </c>
      <c r="AI415" s="772">
        <f t="shared" si="80"/>
        <v>9.5455557557585488E-2</v>
      </c>
      <c r="AJ415" s="778">
        <f t="shared" si="81"/>
        <v>0</v>
      </c>
      <c r="AK415" s="771">
        <f t="shared" si="82"/>
        <v>0</v>
      </c>
      <c r="AL415" s="769">
        <f>IFERROR(SUMIF($C:$C,$V415,Q:Q),0)</f>
        <v>0</v>
      </c>
      <c r="AM415" s="773">
        <f t="shared" si="84"/>
        <v>94.618591579250705</v>
      </c>
      <c r="AN415" s="771">
        <f t="shared" si="85"/>
        <v>29735.25</v>
      </c>
      <c r="AO415" s="779">
        <f t="shared" si="86"/>
        <v>0</v>
      </c>
      <c r="AP415" s="507"/>
      <c r="AQ415" s="507"/>
      <c r="AR415" s="510"/>
      <c r="AS415" s="507"/>
      <c r="AT415" s="507"/>
      <c r="AU415" s="507"/>
      <c r="AV415" s="507"/>
      <c r="AW415" s="507"/>
      <c r="AX415" s="507"/>
      <c r="AY415" s="507"/>
      <c r="AZ415" s="507"/>
      <c r="BA415" s="507"/>
      <c r="BB415" s="507"/>
      <c r="BC415" s="507"/>
      <c r="BD415" s="507"/>
      <c r="BE415" s="507"/>
      <c r="BF415" s="507"/>
      <c r="BG415" s="507"/>
      <c r="BH415" s="507"/>
      <c r="BI415" s="507"/>
    </row>
    <row r="416" spans="1:61" ht="15.75" hidden="1" customHeight="1">
      <c r="A416" s="523" t="s">
        <v>20</v>
      </c>
      <c r="B416" s="504"/>
      <c r="C416" s="737" t="s">
        <v>227</v>
      </c>
      <c r="V416" s="600" t="s">
        <v>20</v>
      </c>
      <c r="W416" s="775"/>
      <c r="X416" s="772"/>
      <c r="Y416" s="776">
        <f t="shared" si="75"/>
        <v>0</v>
      </c>
      <c r="Z416" s="769">
        <f>IFERROR(SUMIF($C:$C,$V416,F:F),0)</f>
        <v>0</v>
      </c>
      <c r="AA416" s="768"/>
      <c r="AB416" s="776"/>
      <c r="AC416" s="769"/>
      <c r="AD416" s="777"/>
      <c r="AE416" s="776">
        <f t="shared" si="87"/>
        <v>0</v>
      </c>
      <c r="AF416" s="769">
        <f>IFERROR(SUMIF($C:$C,$V416,L:L),0)</f>
        <v>0</v>
      </c>
      <c r="AG416" s="770">
        <f t="shared" si="79"/>
        <v>0</v>
      </c>
      <c r="AH416" s="771">
        <f t="shared" si="79"/>
        <v>0</v>
      </c>
      <c r="AI416" s="772">
        <f t="shared" si="80"/>
        <v>0</v>
      </c>
      <c r="AJ416" s="777"/>
      <c r="AK416" s="771">
        <f t="shared" si="82"/>
        <v>0</v>
      </c>
      <c r="AL416" s="769">
        <f>IFERROR(SUMIF($C:$C,$V416,Q:Q),0)</f>
        <v>0</v>
      </c>
      <c r="AM416" s="773">
        <f t="shared" si="84"/>
        <v>0</v>
      </c>
      <c r="AN416" s="771">
        <f t="shared" si="85"/>
        <v>0</v>
      </c>
      <c r="AO416" s="779">
        <f t="shared" si="86"/>
        <v>0</v>
      </c>
      <c r="AP416" s="507"/>
      <c r="AQ416" s="507"/>
      <c r="AR416" s="510"/>
      <c r="AS416" s="507"/>
      <c r="AT416" s="507"/>
      <c r="AU416" s="507"/>
      <c r="AV416" s="507"/>
      <c r="AW416" s="507"/>
      <c r="AX416" s="507"/>
      <c r="AY416" s="507"/>
      <c r="AZ416" s="507"/>
      <c r="BA416" s="507"/>
      <c r="BB416" s="507"/>
      <c r="BC416" s="507"/>
      <c r="BD416" s="507"/>
      <c r="BE416" s="507"/>
      <c r="BF416" s="507"/>
      <c r="BG416" s="507"/>
      <c r="BH416" s="507"/>
      <c r="BI416" s="507"/>
    </row>
    <row r="417" spans="1:61" ht="15.75" hidden="1" customHeight="1">
      <c r="A417" s="523" t="s">
        <v>20</v>
      </c>
      <c r="B417" s="504"/>
      <c r="C417" s="737" t="s">
        <v>227</v>
      </c>
      <c r="V417" s="600" t="s">
        <v>20</v>
      </c>
      <c r="W417" s="775"/>
      <c r="X417" s="772"/>
      <c r="Y417" s="776">
        <f t="shared" si="75"/>
        <v>0</v>
      </c>
      <c r="Z417" s="769">
        <f>IFERROR(SUMIF($C:$C,$V417,F:F),0)</f>
        <v>0</v>
      </c>
      <c r="AA417" s="768"/>
      <c r="AB417" s="776"/>
      <c r="AC417" s="769"/>
      <c r="AD417" s="777"/>
      <c r="AE417" s="776">
        <f t="shared" si="87"/>
        <v>0</v>
      </c>
      <c r="AF417" s="769">
        <f>IFERROR(SUMIF($C:$C,$V417,L:L),0)</f>
        <v>0</v>
      </c>
      <c r="AG417" s="770">
        <f t="shared" si="79"/>
        <v>0</v>
      </c>
      <c r="AH417" s="771">
        <f t="shared" si="79"/>
        <v>0</v>
      </c>
      <c r="AI417" s="772">
        <f t="shared" si="80"/>
        <v>0</v>
      </c>
      <c r="AJ417" s="777"/>
      <c r="AK417" s="771">
        <f t="shared" si="82"/>
        <v>0</v>
      </c>
      <c r="AL417" s="769">
        <f>IFERROR(SUMIF($C:$C,$V417,Q:Q),0)</f>
        <v>0</v>
      </c>
      <c r="AM417" s="773">
        <f t="shared" si="84"/>
        <v>0</v>
      </c>
      <c r="AN417" s="771">
        <f t="shared" si="85"/>
        <v>0</v>
      </c>
      <c r="AO417" s="779">
        <f t="shared" si="86"/>
        <v>0</v>
      </c>
      <c r="AP417" s="507"/>
      <c r="AQ417" s="507"/>
      <c r="AR417" s="510"/>
      <c r="AS417" s="507"/>
      <c r="AT417" s="507"/>
      <c r="AU417" s="507"/>
      <c r="AV417" s="507"/>
      <c r="AW417" s="507"/>
      <c r="AX417" s="507"/>
      <c r="AY417" s="507"/>
      <c r="AZ417" s="507"/>
      <c r="BA417" s="507"/>
      <c r="BB417" s="507"/>
      <c r="BC417" s="507"/>
      <c r="BD417" s="507"/>
      <c r="BE417" s="507"/>
      <c r="BF417" s="507"/>
      <c r="BG417" s="507"/>
      <c r="BH417" s="507"/>
      <c r="BI417" s="507"/>
    </row>
    <row r="418" spans="1:61" ht="15.75" hidden="1" customHeight="1">
      <c r="A418" s="523" t="s">
        <v>20</v>
      </c>
      <c r="B418" s="504"/>
      <c r="C418" s="737" t="s">
        <v>227</v>
      </c>
      <c r="V418" s="600" t="s">
        <v>20</v>
      </c>
      <c r="W418" s="775" t="s">
        <v>139</v>
      </c>
      <c r="X418" s="768"/>
      <c r="Y418" s="776">
        <f t="shared" si="75"/>
        <v>0</v>
      </c>
      <c r="Z418" s="769">
        <f>IFERROR(SUMIF($C:$C,$V418,F:F),0)</f>
        <v>0</v>
      </c>
      <c r="AA418" s="768"/>
      <c r="AB418" s="776"/>
      <c r="AC418" s="769"/>
      <c r="AD418" s="777"/>
      <c r="AE418" s="776">
        <f t="shared" si="87"/>
        <v>0</v>
      </c>
      <c r="AF418" s="769">
        <f>IFERROR(SUMIF($C:$C,$V418,L:L),0)</f>
        <v>0</v>
      </c>
      <c r="AG418" s="770">
        <f t="shared" si="79"/>
        <v>0</v>
      </c>
      <c r="AH418" s="771">
        <f t="shared" si="79"/>
        <v>0</v>
      </c>
      <c r="AI418" s="772">
        <f t="shared" si="80"/>
        <v>0</v>
      </c>
      <c r="AJ418" s="777"/>
      <c r="AK418" s="771">
        <f t="shared" si="82"/>
        <v>0</v>
      </c>
      <c r="AL418" s="769">
        <f>IFERROR(SUMIF($C:$C,$V418,Q:Q),0)</f>
        <v>0</v>
      </c>
      <c r="AM418" s="773">
        <f t="shared" si="84"/>
        <v>0</v>
      </c>
      <c r="AN418" s="771">
        <f t="shared" si="85"/>
        <v>0</v>
      </c>
      <c r="AO418" s="779">
        <f t="shared" si="86"/>
        <v>0</v>
      </c>
      <c r="AP418" s="507"/>
      <c r="AQ418" s="507"/>
      <c r="AR418" s="510"/>
      <c r="AS418" s="507"/>
      <c r="AT418" s="507"/>
      <c r="AU418" s="507"/>
      <c r="AV418" s="507"/>
      <c r="AW418" s="507"/>
      <c r="AX418" s="507"/>
      <c r="AY418" s="507"/>
      <c r="AZ418" s="507"/>
      <c r="BA418" s="507"/>
      <c r="BB418" s="507"/>
      <c r="BC418" s="507"/>
      <c r="BD418" s="507"/>
      <c r="BE418" s="507"/>
      <c r="BF418" s="507"/>
      <c r="BG418" s="507"/>
      <c r="BH418" s="507"/>
      <c r="BI418" s="507"/>
    </row>
    <row r="419" spans="1:61" ht="15.75" customHeight="1">
      <c r="A419" s="523" t="s">
        <v>38</v>
      </c>
      <c r="B419" s="504"/>
      <c r="C419" s="737" t="s">
        <v>227</v>
      </c>
      <c r="V419" s="785" t="s">
        <v>38</v>
      </c>
      <c r="W419" s="786"/>
      <c r="X419" s="787">
        <f>Z419/Z407</f>
        <v>0.22002604403070125</v>
      </c>
      <c r="Y419" s="786"/>
      <c r="Z419" s="788">
        <f>SUM(Z409:Z418)</f>
        <v>220047.18898482725</v>
      </c>
      <c r="AA419" s="787"/>
      <c r="AB419" s="786"/>
      <c r="AC419" s="788"/>
      <c r="AD419" s="789">
        <f>AF419/AF407</f>
        <v>0.25196914018739869</v>
      </c>
      <c r="AE419" s="786"/>
      <c r="AF419" s="788">
        <f>SUM(AF409:AF418)</f>
        <v>167077.62</v>
      </c>
      <c r="AG419" s="790"/>
      <c r="AH419" s="791">
        <f t="shared" si="79"/>
        <v>-52969.56898482726</v>
      </c>
      <c r="AI419" s="787">
        <f>AH419/Z419</f>
        <v>-0.24071913496917985</v>
      </c>
      <c r="AJ419" s="789">
        <f>IF($AL$407=0,0,AL419/$AL$407)</f>
        <v>0.20257201225533536</v>
      </c>
      <c r="AK419" s="786"/>
      <c r="AL419" s="788">
        <f>SUM(AL409:AL418)</f>
        <v>149904.15</v>
      </c>
      <c r="AM419" s="792"/>
      <c r="AN419" s="791">
        <f t="shared" si="85"/>
        <v>17173.47</v>
      </c>
      <c r="AO419" s="766">
        <f t="shared" si="86"/>
        <v>0.11456300576068108</v>
      </c>
      <c r="AP419" s="507"/>
      <c r="AQ419" s="507"/>
      <c r="AR419" s="510"/>
      <c r="AS419" s="507"/>
      <c r="AT419" s="507"/>
      <c r="AU419" s="507"/>
      <c r="AV419" s="507"/>
      <c r="AW419" s="507"/>
      <c r="AX419" s="507"/>
      <c r="AY419" s="507"/>
      <c r="AZ419" s="507"/>
      <c r="BA419" s="507"/>
      <c r="BB419" s="507"/>
      <c r="BC419" s="507"/>
      <c r="BD419" s="507"/>
      <c r="BE419" s="507"/>
      <c r="BF419" s="507"/>
      <c r="BG419" s="507"/>
      <c r="BH419" s="507"/>
      <c r="BI419" s="507"/>
    </row>
    <row r="420" spans="1:61" ht="15.75" customHeight="1">
      <c r="A420" s="523" t="s">
        <v>140</v>
      </c>
      <c r="B420" s="504"/>
      <c r="C420" s="737" t="s">
        <v>227</v>
      </c>
      <c r="V420" s="600" t="s">
        <v>140</v>
      </c>
      <c r="W420" s="775" t="s">
        <v>141</v>
      </c>
      <c r="X420" s="768"/>
      <c r="Y420" s="768"/>
      <c r="Z420" s="769">
        <f>+INDEX('[5]Budget original'!$A$2:$AO$501,MATCH($A420,'[5]Budget original'!$A$2:$A$501,0),MATCH(F$2,'[5]Budget original'!$A$2:$AO$2,0))</f>
        <v>13542.199999999997</v>
      </c>
      <c r="AA420" s="768"/>
      <c r="AB420" s="768"/>
      <c r="AC420" s="769"/>
      <c r="AD420" s="777"/>
      <c r="AE420" s="776"/>
      <c r="AF420" s="769">
        <f>SUMIFS([5]BV_Data_An_Cour!$O:$O,[5]BV_Data_An_Cour!$V:$V,$V420)</f>
        <v>15663.77</v>
      </c>
      <c r="AG420" s="770"/>
      <c r="AH420" s="771">
        <f t="shared" si="79"/>
        <v>2121.5700000000033</v>
      </c>
      <c r="AI420" s="772">
        <f t="shared" ref="AI420:AI432" si="88">IF(Z420=0,0,AH420/Z420)</f>
        <v>0.15666361447918387</v>
      </c>
      <c r="AJ420" s="777"/>
      <c r="AK420" s="768"/>
      <c r="AL420" s="769">
        <f>+INDEX('[5]Réel 2023'!$A$2:$AO$501,MATCH($A420,'[5]Réel 2023'!$A$2:$A$501,0),MATCH(F$2,'[5]Réel 2023'!$A$2:$AO$2,0))</f>
        <v>12153.84</v>
      </c>
      <c r="AM420" s="773"/>
      <c r="AN420" s="771">
        <f t="shared" si="85"/>
        <v>3509.9300000000003</v>
      </c>
      <c r="AO420" s="779">
        <f t="shared" si="86"/>
        <v>0.28879185508448363</v>
      </c>
      <c r="AP420" s="507"/>
      <c r="AQ420" s="507"/>
      <c r="AR420" s="507"/>
      <c r="AS420" s="507"/>
      <c r="AT420" s="507"/>
      <c r="AU420" s="507"/>
      <c r="AV420" s="507"/>
      <c r="AW420" s="507"/>
      <c r="AX420" s="507"/>
      <c r="AY420" s="507"/>
      <c r="AZ420" s="507"/>
      <c r="BA420" s="507"/>
      <c r="BB420" s="507"/>
      <c r="BC420" s="507"/>
      <c r="BD420" s="507"/>
      <c r="BE420" s="507"/>
      <c r="BF420" s="507"/>
      <c r="BG420" s="507"/>
      <c r="BH420" s="507"/>
      <c r="BI420" s="507"/>
    </row>
    <row r="421" spans="1:61" ht="15.75" customHeight="1">
      <c r="A421" s="523" t="s">
        <v>41</v>
      </c>
      <c r="B421" s="504"/>
      <c r="C421" s="737" t="s">
        <v>227</v>
      </c>
      <c r="V421" s="600" t="s">
        <v>41</v>
      </c>
      <c r="W421" s="775" t="s">
        <v>142</v>
      </c>
      <c r="X421" s="768"/>
      <c r="Y421" s="768"/>
      <c r="Z421" s="769">
        <f t="shared" ref="Z421:Z431" si="89">+SUMIF($C:$C,$V421,F:F)</f>
        <v>53378.839743589742</v>
      </c>
      <c r="AA421" s="768"/>
      <c r="AB421" s="768"/>
      <c r="AC421" s="769"/>
      <c r="AD421" s="777"/>
      <c r="AE421" s="776"/>
      <c r="AF421" s="769">
        <f>+SUMIF($C:$C,$V421,L:L)</f>
        <v>40554.18</v>
      </c>
      <c r="AG421" s="770"/>
      <c r="AH421" s="771">
        <f t="shared" si="79"/>
        <v>-12824.659743589742</v>
      </c>
      <c r="AI421" s="772">
        <f t="shared" si="88"/>
        <v>-0.24025737174494982</v>
      </c>
      <c r="AJ421" s="777"/>
      <c r="AK421" s="768"/>
      <c r="AL421" s="769">
        <f t="shared" ref="AL421:AL429" si="90">+SUMIF($C:$C,$V421,Q:Q)</f>
        <v>34612.720000000001</v>
      </c>
      <c r="AM421" s="773"/>
      <c r="AN421" s="771">
        <f t="shared" si="85"/>
        <v>5941.4599999999991</v>
      </c>
      <c r="AO421" s="779">
        <f t="shared" si="86"/>
        <v>0.17165539142835348</v>
      </c>
      <c r="AP421" s="507"/>
      <c r="AQ421" s="507"/>
      <c r="AR421" s="507"/>
      <c r="AS421" s="507"/>
      <c r="AT421" s="507"/>
      <c r="AU421" s="507"/>
      <c r="AV421" s="507"/>
      <c r="AW421" s="507"/>
      <c r="AX421" s="507"/>
      <c r="AY421" s="507"/>
      <c r="AZ421" s="507"/>
      <c r="BA421" s="507"/>
      <c r="BB421" s="507"/>
      <c r="BC421" s="507"/>
      <c r="BD421" s="507"/>
      <c r="BE421" s="507"/>
      <c r="BF421" s="507"/>
      <c r="BG421" s="507"/>
      <c r="BH421" s="507"/>
      <c r="BI421" s="507"/>
    </row>
    <row r="422" spans="1:61" ht="15.75" customHeight="1">
      <c r="A422" s="523" t="s">
        <v>42</v>
      </c>
      <c r="B422" s="504"/>
      <c r="C422" s="737" t="s">
        <v>227</v>
      </c>
      <c r="V422" s="602" t="s">
        <v>42</v>
      </c>
      <c r="W422" s="780" t="s">
        <v>143</v>
      </c>
      <c r="X422" s="751"/>
      <c r="Y422" s="751"/>
      <c r="Z422" s="752">
        <f t="shared" si="89"/>
        <v>55333.304615384615</v>
      </c>
      <c r="AA422" s="751"/>
      <c r="AB422" s="751"/>
      <c r="AC422" s="752"/>
      <c r="AD422" s="782"/>
      <c r="AE422" s="781"/>
      <c r="AF422" s="752">
        <f>+SUMIF($C:$C,$V422,L:L)</f>
        <v>46590.48</v>
      </c>
      <c r="AG422" s="753"/>
      <c r="AH422" s="754">
        <f t="shared" si="79"/>
        <v>-8742.8246153846121</v>
      </c>
      <c r="AI422" s="783">
        <f t="shared" si="88"/>
        <v>-0.15800293649828023</v>
      </c>
      <c r="AJ422" s="782"/>
      <c r="AK422" s="751"/>
      <c r="AL422" s="752">
        <f t="shared" si="90"/>
        <v>47146.1</v>
      </c>
      <c r="AM422" s="756"/>
      <c r="AN422" s="754">
        <f t="shared" si="85"/>
        <v>-555.61999999999534</v>
      </c>
      <c r="AO422" s="757">
        <f t="shared" si="86"/>
        <v>-1.1785068118041479E-2</v>
      </c>
      <c r="AP422" s="507"/>
      <c r="AQ422" s="507"/>
      <c r="AR422" s="507"/>
      <c r="AS422" s="507"/>
      <c r="AT422" s="507"/>
      <c r="AU422" s="507"/>
      <c r="AV422" s="507"/>
      <c r="AW422" s="507"/>
      <c r="AX422" s="507"/>
      <c r="AY422" s="507"/>
      <c r="AZ422" s="507"/>
      <c r="BA422" s="507"/>
      <c r="BB422" s="507"/>
      <c r="BC422" s="507"/>
      <c r="BD422" s="507"/>
      <c r="BE422" s="507"/>
      <c r="BF422" s="507"/>
      <c r="BG422" s="507"/>
      <c r="BH422" s="507"/>
      <c r="BI422" s="507"/>
    </row>
    <row r="423" spans="1:61" ht="15.75" customHeight="1">
      <c r="A423" s="523" t="s">
        <v>43</v>
      </c>
      <c r="B423" s="504"/>
      <c r="C423" s="737" t="s">
        <v>227</v>
      </c>
      <c r="V423" s="600" t="s">
        <v>43</v>
      </c>
      <c r="W423" s="775" t="s">
        <v>144</v>
      </c>
      <c r="X423" s="768"/>
      <c r="Y423" s="768"/>
      <c r="Z423" s="769">
        <f t="shared" si="89"/>
        <v>25902.400000000001</v>
      </c>
      <c r="AA423" s="768"/>
      <c r="AB423" s="768"/>
      <c r="AC423" s="769"/>
      <c r="AD423" s="777"/>
      <c r="AE423" s="776"/>
      <c r="AF423" s="769">
        <f>+SUMIF($C:$C,$V423,L:L)</f>
        <v>25086.19</v>
      </c>
      <c r="AG423" s="770"/>
      <c r="AH423" s="771">
        <f t="shared" si="79"/>
        <v>-816.21000000000276</v>
      </c>
      <c r="AI423" s="772">
        <f t="shared" si="88"/>
        <v>-3.1510979677558941E-2</v>
      </c>
      <c r="AJ423" s="777"/>
      <c r="AK423" s="768"/>
      <c r="AL423" s="769">
        <f t="shared" si="90"/>
        <v>31689.390000000003</v>
      </c>
      <c r="AM423" s="773"/>
      <c r="AN423" s="771">
        <f t="shared" si="85"/>
        <v>-6603.2000000000044</v>
      </c>
      <c r="AO423" s="779">
        <f t="shared" si="86"/>
        <v>-0.20837258148547522</v>
      </c>
      <c r="AP423" s="507"/>
      <c r="AQ423" s="507"/>
      <c r="AR423" s="507"/>
      <c r="AS423" s="507"/>
      <c r="AT423" s="507"/>
      <c r="AU423" s="507"/>
      <c r="AV423" s="507"/>
      <c r="AW423" s="507"/>
      <c r="AX423" s="507"/>
      <c r="AY423" s="507"/>
      <c r="AZ423" s="507"/>
      <c r="BA423" s="507"/>
      <c r="BB423" s="507"/>
      <c r="BC423" s="507"/>
      <c r="BD423" s="507"/>
      <c r="BE423" s="507"/>
      <c r="BF423" s="507"/>
      <c r="BG423" s="507"/>
      <c r="BH423" s="507"/>
      <c r="BI423" s="507"/>
    </row>
    <row r="424" spans="1:61" ht="15.75" customHeight="1">
      <c r="A424" s="523" t="s">
        <v>44</v>
      </c>
      <c r="B424" s="504"/>
      <c r="C424" s="737" t="s">
        <v>227</v>
      </c>
      <c r="V424" s="600" t="s">
        <v>44</v>
      </c>
      <c r="W424" s="775" t="s">
        <v>145</v>
      </c>
      <c r="X424" s="768"/>
      <c r="Y424" s="768"/>
      <c r="Z424" s="769">
        <f t="shared" si="89"/>
        <v>35443.838744000001</v>
      </c>
      <c r="AA424" s="768"/>
      <c r="AB424" s="768"/>
      <c r="AC424" s="769"/>
      <c r="AD424" s="777"/>
      <c r="AE424" s="776"/>
      <c r="AF424" s="769">
        <f>+SUMIF($C:$C,$V424,L:L)</f>
        <v>29317.81</v>
      </c>
      <c r="AG424" s="770"/>
      <c r="AH424" s="771">
        <f t="shared" si="79"/>
        <v>-6126.0287439999993</v>
      </c>
      <c r="AI424" s="772">
        <f t="shared" si="88"/>
        <v>-0.17283762033357702</v>
      </c>
      <c r="AJ424" s="777"/>
      <c r="AK424" s="768"/>
      <c r="AL424" s="769">
        <f t="shared" si="90"/>
        <v>39009.53</v>
      </c>
      <c r="AM424" s="773"/>
      <c r="AN424" s="771">
        <f t="shared" si="85"/>
        <v>-9691.7199999999975</v>
      </c>
      <c r="AO424" s="779">
        <f t="shared" si="86"/>
        <v>-0.24844493127704942</v>
      </c>
      <c r="AP424" s="507"/>
      <c r="AQ424" s="507"/>
      <c r="AR424" s="507"/>
      <c r="AS424" s="507"/>
      <c r="AT424" s="507"/>
      <c r="AU424" s="507"/>
      <c r="AV424" s="507"/>
      <c r="AW424" s="507"/>
      <c r="AX424" s="507"/>
      <c r="AY424" s="507"/>
      <c r="AZ424" s="507"/>
      <c r="BA424" s="507"/>
      <c r="BB424" s="507"/>
      <c r="BC424" s="507"/>
      <c r="BD424" s="507"/>
      <c r="BE424" s="507"/>
      <c r="BF424" s="507"/>
      <c r="BG424" s="507"/>
      <c r="BH424" s="507"/>
      <c r="BI424" s="507"/>
    </row>
    <row r="425" spans="1:61" ht="15.75" hidden="1" customHeight="1">
      <c r="A425" s="523" t="s">
        <v>20</v>
      </c>
      <c r="B425" s="504"/>
      <c r="C425" s="737" t="s">
        <v>227</v>
      </c>
      <c r="V425" s="600" t="s">
        <v>20</v>
      </c>
      <c r="W425" s="775"/>
      <c r="X425" s="768"/>
      <c r="Y425" s="768"/>
      <c r="Z425" s="769">
        <f t="shared" si="89"/>
        <v>0</v>
      </c>
      <c r="AA425" s="768"/>
      <c r="AB425" s="768"/>
      <c r="AC425" s="769"/>
      <c r="AD425" s="777"/>
      <c r="AE425" s="776"/>
      <c r="AF425" s="769">
        <f>IFERROR(SUMIF($C:$C,$V425,L:L),0)</f>
        <v>0</v>
      </c>
      <c r="AG425" s="770"/>
      <c r="AH425" s="771">
        <f t="shared" ref="AH425:AH457" si="91">AF425-Z425</f>
        <v>0</v>
      </c>
      <c r="AI425" s="772">
        <f t="shared" si="88"/>
        <v>0</v>
      </c>
      <c r="AJ425" s="777"/>
      <c r="AK425" s="768"/>
      <c r="AL425" s="769">
        <f t="shared" si="90"/>
        <v>0</v>
      </c>
      <c r="AM425" s="773"/>
      <c r="AN425" s="771">
        <f t="shared" si="85"/>
        <v>0</v>
      </c>
      <c r="AO425" s="779">
        <f t="shared" si="86"/>
        <v>0</v>
      </c>
      <c r="AP425" s="507"/>
      <c r="AQ425" s="507"/>
      <c r="AR425" s="507"/>
      <c r="AS425" s="507"/>
      <c r="AT425" s="507"/>
      <c r="AU425" s="507"/>
      <c r="AV425" s="507"/>
      <c r="AW425" s="507"/>
      <c r="AX425" s="507"/>
      <c r="AY425" s="507"/>
      <c r="AZ425" s="507"/>
      <c r="BA425" s="507"/>
      <c r="BB425" s="507"/>
      <c r="BC425" s="507"/>
      <c r="BD425" s="507"/>
      <c r="BE425" s="507"/>
      <c r="BF425" s="507"/>
      <c r="BG425" s="507"/>
      <c r="BH425" s="507"/>
      <c r="BI425" s="507"/>
    </row>
    <row r="426" spans="1:61" ht="15.75" hidden="1" customHeight="1">
      <c r="A426" s="523" t="s">
        <v>20</v>
      </c>
      <c r="B426" s="504"/>
      <c r="C426" s="737" t="s">
        <v>227</v>
      </c>
      <c r="V426" s="600" t="s">
        <v>20</v>
      </c>
      <c r="W426" s="775"/>
      <c r="X426" s="768"/>
      <c r="Y426" s="768"/>
      <c r="Z426" s="769">
        <f t="shared" si="89"/>
        <v>0</v>
      </c>
      <c r="AA426" s="768"/>
      <c r="AB426" s="768"/>
      <c r="AC426" s="769"/>
      <c r="AD426" s="777"/>
      <c r="AE426" s="776"/>
      <c r="AF426" s="769">
        <f>IFERROR(SUMIF($C:$C,$V426,L:L),0)</f>
        <v>0</v>
      </c>
      <c r="AG426" s="770"/>
      <c r="AH426" s="771">
        <f t="shared" si="91"/>
        <v>0</v>
      </c>
      <c r="AI426" s="772">
        <f t="shared" si="88"/>
        <v>0</v>
      </c>
      <c r="AJ426" s="777"/>
      <c r="AK426" s="768"/>
      <c r="AL426" s="769">
        <f t="shared" si="90"/>
        <v>0</v>
      </c>
      <c r="AM426" s="773"/>
      <c r="AN426" s="771">
        <f t="shared" si="85"/>
        <v>0</v>
      </c>
      <c r="AO426" s="779">
        <f t="shared" si="86"/>
        <v>0</v>
      </c>
      <c r="AP426" s="507"/>
      <c r="AQ426" s="507"/>
      <c r="AR426" s="507"/>
      <c r="AS426" s="507"/>
      <c r="AT426" s="507"/>
      <c r="AU426" s="507"/>
      <c r="AV426" s="507"/>
      <c r="AW426" s="507"/>
      <c r="AX426" s="507"/>
      <c r="AY426" s="507"/>
      <c r="AZ426" s="507"/>
      <c r="BA426" s="507"/>
      <c r="BB426" s="507"/>
      <c r="BC426" s="507"/>
      <c r="BD426" s="507"/>
      <c r="BE426" s="507"/>
      <c r="BF426" s="507"/>
      <c r="BG426" s="507"/>
      <c r="BH426" s="507"/>
      <c r="BI426" s="507"/>
    </row>
    <row r="427" spans="1:61" ht="15.75" hidden="1" customHeight="1">
      <c r="A427" s="523" t="s">
        <v>20</v>
      </c>
      <c r="B427" s="504"/>
      <c r="C427" s="737" t="s">
        <v>227</v>
      </c>
      <c r="V427" s="600" t="s">
        <v>20</v>
      </c>
      <c r="W427" s="775"/>
      <c r="X427" s="768"/>
      <c r="Y427" s="768"/>
      <c r="Z427" s="769">
        <f t="shared" si="89"/>
        <v>0</v>
      </c>
      <c r="AA427" s="768"/>
      <c r="AB427" s="768"/>
      <c r="AC427" s="769"/>
      <c r="AD427" s="777"/>
      <c r="AE427" s="776"/>
      <c r="AF427" s="769">
        <f>IFERROR(SUMIF($C:$C,$V427,L:L),0)</f>
        <v>0</v>
      </c>
      <c r="AG427" s="770"/>
      <c r="AH427" s="771">
        <f t="shared" si="91"/>
        <v>0</v>
      </c>
      <c r="AI427" s="772">
        <f t="shared" si="88"/>
        <v>0</v>
      </c>
      <c r="AJ427" s="777"/>
      <c r="AK427" s="768"/>
      <c r="AL427" s="769">
        <f t="shared" si="90"/>
        <v>0</v>
      </c>
      <c r="AM427" s="773"/>
      <c r="AN427" s="771">
        <f t="shared" si="85"/>
        <v>0</v>
      </c>
      <c r="AO427" s="779">
        <f t="shared" si="86"/>
        <v>0</v>
      </c>
      <c r="AP427" s="507"/>
      <c r="AQ427" s="507"/>
      <c r="AR427" s="507"/>
      <c r="AS427" s="507"/>
      <c r="AT427" s="507"/>
      <c r="AU427" s="507"/>
      <c r="AV427" s="507"/>
      <c r="AW427" s="507"/>
      <c r="AX427" s="507"/>
      <c r="AY427" s="507"/>
      <c r="AZ427" s="507"/>
      <c r="BA427" s="507"/>
      <c r="BB427" s="507"/>
      <c r="BC427" s="507"/>
      <c r="BD427" s="507"/>
      <c r="BE427" s="507"/>
      <c r="BF427" s="507"/>
      <c r="BG427" s="507"/>
      <c r="BH427" s="507"/>
      <c r="BI427" s="507"/>
    </row>
    <row r="428" spans="1:61" ht="15.75" customHeight="1">
      <c r="A428" s="523" t="s">
        <v>45</v>
      </c>
      <c r="B428" s="504"/>
      <c r="C428" s="737" t="s">
        <v>227</v>
      </c>
      <c r="V428" s="602" t="s">
        <v>45</v>
      </c>
      <c r="W428" s="780" t="s">
        <v>146</v>
      </c>
      <c r="X428" s="751"/>
      <c r="Y428" s="793">
        <f>Z428/(SUM(Z420:Z424)+E194-F194+Z409+Z410)</f>
        <v>0.10070209621393515</v>
      </c>
      <c r="Z428" s="752">
        <f t="shared" si="89"/>
        <v>46387.614666163012</v>
      </c>
      <c r="AA428" s="751"/>
      <c r="AB428" s="751"/>
      <c r="AC428" s="752"/>
      <c r="AD428" s="782"/>
      <c r="AE428" s="781"/>
      <c r="AF428" s="752">
        <f>+SUMIF($C:$C,$V428,L:L)</f>
        <v>41409.339999999997</v>
      </c>
      <c r="AG428" s="753"/>
      <c r="AH428" s="754">
        <f t="shared" si="91"/>
        <v>-4978.2746661630154</v>
      </c>
      <c r="AI428" s="783">
        <f t="shared" si="88"/>
        <v>-0.10731904845700913</v>
      </c>
      <c r="AJ428" s="782"/>
      <c r="AK428" s="751"/>
      <c r="AL428" s="752">
        <f t="shared" si="90"/>
        <v>38413.25</v>
      </c>
      <c r="AM428" s="756"/>
      <c r="AN428" s="754">
        <f t="shared" si="85"/>
        <v>2996.0899999999965</v>
      </c>
      <c r="AO428" s="757">
        <f t="shared" si="86"/>
        <v>7.7996264309840913E-2</v>
      </c>
      <c r="AP428" s="507"/>
      <c r="AQ428" s="507"/>
      <c r="AR428" s="507"/>
      <c r="AS428" s="507"/>
      <c r="AT428" s="507"/>
      <c r="AU428" s="507"/>
      <c r="AV428" s="507"/>
      <c r="AW428" s="507"/>
      <c r="AX428" s="507"/>
      <c r="AY428" s="507"/>
      <c r="AZ428" s="507"/>
      <c r="BA428" s="507"/>
      <c r="BB428" s="507"/>
      <c r="BC428" s="507"/>
      <c r="BD428" s="507"/>
      <c r="BE428" s="507"/>
      <c r="BF428" s="507"/>
      <c r="BG428" s="507"/>
      <c r="BH428" s="507"/>
      <c r="BI428" s="507"/>
    </row>
    <row r="429" spans="1:61" ht="15.75" customHeight="1">
      <c r="A429" s="523" t="s">
        <v>46</v>
      </c>
      <c r="B429" s="504"/>
      <c r="C429" s="737" t="s">
        <v>227</v>
      </c>
      <c r="V429" s="600" t="s">
        <v>46</v>
      </c>
      <c r="W429" s="775" t="s">
        <v>147</v>
      </c>
      <c r="X429" s="768"/>
      <c r="Y429" s="794">
        <f>Z429/(SUM(Z420:Z424)+E194-F194+Z409+Z410)</f>
        <v>0.12243955310592998</v>
      </c>
      <c r="Z429" s="769">
        <f t="shared" si="89"/>
        <v>56400.800210841378</v>
      </c>
      <c r="AA429" s="768"/>
      <c r="AB429" s="768"/>
      <c r="AC429" s="769"/>
      <c r="AD429" s="777"/>
      <c r="AE429" s="776"/>
      <c r="AF429" s="769">
        <f>+SUMIF($C:$C,$V429,L:L)</f>
        <v>54771.729999999996</v>
      </c>
      <c r="AG429" s="770"/>
      <c r="AH429" s="771">
        <f t="shared" si="91"/>
        <v>-1629.0702108413825</v>
      </c>
      <c r="AI429" s="772">
        <f t="shared" si="88"/>
        <v>-2.8883813789015039E-2</v>
      </c>
      <c r="AJ429" s="777"/>
      <c r="AK429" s="768"/>
      <c r="AL429" s="769">
        <f t="shared" si="90"/>
        <v>44209.34</v>
      </c>
      <c r="AM429" s="773"/>
      <c r="AN429" s="771">
        <f t="shared" si="85"/>
        <v>10562.39</v>
      </c>
      <c r="AO429" s="779">
        <f t="shared" si="86"/>
        <v>0.23891761333691025</v>
      </c>
      <c r="AP429" s="507"/>
      <c r="AQ429" s="507"/>
      <c r="AR429" s="507"/>
      <c r="AS429" s="507"/>
      <c r="AT429" s="507"/>
      <c r="AU429" s="507"/>
      <c r="AV429" s="507"/>
      <c r="AW429" s="507"/>
      <c r="AX429" s="507"/>
      <c r="AY429" s="507"/>
      <c r="AZ429" s="507"/>
      <c r="BA429" s="507"/>
      <c r="BB429" s="507"/>
      <c r="BC429" s="507"/>
      <c r="BD429" s="507"/>
      <c r="BE429" s="507"/>
      <c r="BF429" s="507"/>
      <c r="BG429" s="507"/>
      <c r="BH429" s="507"/>
      <c r="BI429" s="507"/>
    </row>
    <row r="430" spans="1:61" ht="15.75" customHeight="1">
      <c r="A430" s="523" t="s">
        <v>47</v>
      </c>
      <c r="B430" s="504"/>
      <c r="C430" s="737" t="s">
        <v>227</v>
      </c>
      <c r="V430" s="600" t="s">
        <v>47</v>
      </c>
      <c r="W430" s="775" t="s">
        <v>148</v>
      </c>
      <c r="X430" s="768"/>
      <c r="Y430" s="794">
        <f>Z430/(SUM(Z420:Z424)+E194-F194+Z410+Z409)</f>
        <v>6.30829871437074E-2</v>
      </c>
      <c r="Z430" s="769">
        <f t="shared" si="89"/>
        <v>29058.673152107407</v>
      </c>
      <c r="AA430" s="768"/>
      <c r="AB430" s="768"/>
      <c r="AC430" s="769"/>
      <c r="AD430" s="777"/>
      <c r="AE430" s="776"/>
      <c r="AF430" s="769">
        <f>+SUMIF($C:$C,$V430,L:L)</f>
        <v>24579.55</v>
      </c>
      <c r="AG430" s="770"/>
      <c r="AH430" s="771">
        <f t="shared" si="91"/>
        <v>-4479.1231521074078</v>
      </c>
      <c r="AI430" s="772">
        <f t="shared" si="88"/>
        <v>-0.15414066322510567</v>
      </c>
      <c r="AJ430" s="777"/>
      <c r="AK430" s="768"/>
      <c r="AL430" s="769">
        <f>IFERROR(SUMIF($C:$C,$V430,Q:Q),0)</f>
        <v>21934.02</v>
      </c>
      <c r="AM430" s="773"/>
      <c r="AN430" s="771">
        <f t="shared" si="85"/>
        <v>2645.5299999999988</v>
      </c>
      <c r="AO430" s="779">
        <f t="shared" si="86"/>
        <v>0.12061309326790068</v>
      </c>
      <c r="AP430" s="507"/>
      <c r="AQ430" s="507"/>
      <c r="AR430" s="507"/>
      <c r="AS430" s="507"/>
      <c r="AT430" s="507"/>
      <c r="AU430" s="507"/>
      <c r="AV430" s="507"/>
      <c r="AW430" s="507"/>
      <c r="AX430" s="507"/>
      <c r="AY430" s="507"/>
      <c r="AZ430" s="507"/>
      <c r="BA430" s="507"/>
      <c r="BB430" s="507"/>
      <c r="BC430" s="507"/>
      <c r="BD430" s="507"/>
      <c r="BE430" s="507"/>
      <c r="BF430" s="507"/>
      <c r="BG430" s="507"/>
      <c r="BH430" s="507"/>
      <c r="BI430" s="507"/>
    </row>
    <row r="431" spans="1:61" ht="15.75" customHeight="1">
      <c r="A431" s="523" t="s">
        <v>48</v>
      </c>
      <c r="B431" s="504"/>
      <c r="C431" s="737" t="s">
        <v>227</v>
      </c>
      <c r="V431" s="600" t="s">
        <v>48</v>
      </c>
      <c r="W431" s="775"/>
      <c r="X431" s="768"/>
      <c r="Y431" s="768"/>
      <c r="Z431" s="769">
        <f t="shared" si="89"/>
        <v>12669.744974899149</v>
      </c>
      <c r="AA431" s="768"/>
      <c r="AB431" s="768"/>
      <c r="AC431" s="769"/>
      <c r="AD431" s="777"/>
      <c r="AE431" s="776"/>
      <c r="AF431" s="769">
        <f>+SUMIF($C:$C,$V431,L:L)</f>
        <v>5884.51</v>
      </c>
      <c r="AG431" s="770"/>
      <c r="AH431" s="771">
        <f t="shared" si="91"/>
        <v>-6785.2349748991492</v>
      </c>
      <c r="AI431" s="795">
        <f t="shared" si="88"/>
        <v>-0.53554629460512559</v>
      </c>
      <c r="AJ431" s="777"/>
      <c r="AK431" s="768"/>
      <c r="AL431" s="769">
        <f>IFERROR(SUMIF($C:$C,$V431,Q:Q),0)</f>
        <v>6851.94</v>
      </c>
      <c r="AM431" s="773"/>
      <c r="AN431" s="771">
        <f t="shared" si="85"/>
        <v>-967.42999999999938</v>
      </c>
      <c r="AO431" s="779">
        <f t="shared" si="86"/>
        <v>-0.14119067008759556</v>
      </c>
      <c r="AP431" s="507"/>
      <c r="AQ431" s="507"/>
      <c r="AR431" s="507"/>
      <c r="AS431" s="507"/>
      <c r="AT431" s="507"/>
      <c r="AU431" s="507"/>
      <c r="AV431" s="507"/>
      <c r="AW431" s="507"/>
      <c r="AX431" s="507"/>
      <c r="AY431" s="507"/>
      <c r="AZ431" s="507"/>
      <c r="BA431" s="507"/>
      <c r="BB431" s="507"/>
      <c r="BC431" s="507"/>
      <c r="BD431" s="507"/>
      <c r="BE431" s="507"/>
      <c r="BF431" s="507"/>
      <c r="BG431" s="507"/>
      <c r="BH431" s="507"/>
      <c r="BI431" s="507"/>
    </row>
    <row r="432" spans="1:61" ht="15.75" hidden="1" customHeight="1">
      <c r="A432" s="523" t="s">
        <v>20</v>
      </c>
      <c r="B432" s="504"/>
      <c r="C432" s="737" t="s">
        <v>227</v>
      </c>
      <c r="V432" s="531" t="s">
        <v>20</v>
      </c>
      <c r="W432" s="775"/>
      <c r="X432" s="768"/>
      <c r="Y432" s="776"/>
      <c r="Z432" s="769">
        <f>IFERROR(SUMIF($C:$C,$V432,F:F),0)</f>
        <v>0</v>
      </c>
      <c r="AA432" s="768"/>
      <c r="AB432" s="768"/>
      <c r="AC432" s="769"/>
      <c r="AD432" s="777"/>
      <c r="AE432" s="776"/>
      <c r="AF432" s="769">
        <f>IFERROR(SUMIF($C:$C,$V432,L:L),0)</f>
        <v>0</v>
      </c>
      <c r="AG432" s="770"/>
      <c r="AH432" s="771">
        <f t="shared" si="91"/>
        <v>0</v>
      </c>
      <c r="AI432" s="772">
        <f t="shared" si="88"/>
        <v>0</v>
      </c>
      <c r="AJ432" s="777"/>
      <c r="AK432" s="768"/>
      <c r="AL432" s="769">
        <f>IFERROR(SUMIF($C:$C,$V432,Q:Q),0)</f>
        <v>0</v>
      </c>
      <c r="AM432" s="773"/>
      <c r="AN432" s="771"/>
      <c r="AO432" s="757"/>
      <c r="AP432" s="507"/>
      <c r="AQ432" s="507"/>
      <c r="AR432" s="507"/>
      <c r="AS432" s="507"/>
      <c r="AT432" s="507"/>
      <c r="AU432" s="507"/>
      <c r="AV432" s="507"/>
      <c r="AW432" s="507"/>
      <c r="AX432" s="507"/>
      <c r="AY432" s="507"/>
      <c r="AZ432" s="507"/>
      <c r="BA432" s="507"/>
      <c r="BB432" s="507"/>
      <c r="BC432" s="507"/>
      <c r="BD432" s="507"/>
      <c r="BE432" s="507"/>
      <c r="BF432" s="507"/>
      <c r="BG432" s="507"/>
      <c r="BH432" s="507"/>
      <c r="BI432" s="507"/>
    </row>
    <row r="433" spans="1:62" ht="15.75" customHeight="1">
      <c r="A433" s="523" t="s">
        <v>49</v>
      </c>
      <c r="B433" s="504"/>
      <c r="C433" s="737" t="s">
        <v>227</v>
      </c>
      <c r="V433" s="785" t="s">
        <v>49</v>
      </c>
      <c r="W433" s="786"/>
      <c r="X433" s="787">
        <f>Z433/Z407</f>
        <v>0.32808588638036834</v>
      </c>
      <c r="Y433" s="786"/>
      <c r="Z433" s="788">
        <f>SUM(Z420:Z432)</f>
        <v>328117.4161069853</v>
      </c>
      <c r="AA433" s="787"/>
      <c r="AB433" s="786"/>
      <c r="AC433" s="788"/>
      <c r="AD433" s="789">
        <f>AF433/AF407</f>
        <v>0.42808453537279817</v>
      </c>
      <c r="AE433" s="796"/>
      <c r="AF433" s="788">
        <f>SUM(AF420:AF432)</f>
        <v>283857.56</v>
      </c>
      <c r="AG433" s="790"/>
      <c r="AH433" s="791">
        <f t="shared" si="91"/>
        <v>-44259.856106985302</v>
      </c>
      <c r="AI433" s="787">
        <f>AH433/Z433</f>
        <v>-0.13489029821127818</v>
      </c>
      <c r="AJ433" s="789">
        <f>IF($AL$407=0,0,AL433/$AL$407)</f>
        <v>0.37299803345724092</v>
      </c>
      <c r="AK433" s="786"/>
      <c r="AL433" s="788">
        <f>SUM(AL420:AL432)</f>
        <v>276020.13</v>
      </c>
      <c r="AM433" s="797"/>
      <c r="AN433" s="791">
        <f t="shared" ref="AN433:AN451" si="92">AF433-AL433</f>
        <v>7837.429999999993</v>
      </c>
      <c r="AO433" s="766">
        <f t="shared" ref="AO433:AO461" si="93">IF(AL433=0,0,AN433/AL433)</f>
        <v>2.839441456679262E-2</v>
      </c>
      <c r="AP433" s="507"/>
      <c r="AQ433" s="507"/>
      <c r="AR433" s="507"/>
      <c r="AS433" s="507"/>
      <c r="AT433" s="507"/>
      <c r="AU433" s="507"/>
      <c r="AV433" s="507"/>
      <c r="AW433" s="507"/>
      <c r="AX433" s="507"/>
      <c r="AY433" s="507"/>
      <c r="AZ433" s="507"/>
      <c r="BA433" s="507"/>
      <c r="BB433" s="507"/>
      <c r="BC433" s="507"/>
      <c r="BD433" s="507"/>
      <c r="BE433" s="507"/>
      <c r="BF433" s="507"/>
      <c r="BG433" s="507"/>
      <c r="BH433" s="507"/>
      <c r="BI433" s="507"/>
    </row>
    <row r="434" spans="1:62" ht="15.75" customHeight="1">
      <c r="A434" s="523" t="s">
        <v>50</v>
      </c>
      <c r="B434" s="504"/>
      <c r="C434" s="737" t="s">
        <v>227</v>
      </c>
      <c r="V434" s="706" t="s">
        <v>50</v>
      </c>
      <c r="W434" s="798" t="s">
        <v>138</v>
      </c>
      <c r="X434" s="799"/>
      <c r="Y434" s="799"/>
      <c r="Z434" s="800">
        <f t="shared" ref="Z434:Z448" si="94">+SUMIF($C:$C,$V434,F:F)</f>
        <v>14838.560455902774</v>
      </c>
      <c r="AA434" s="799"/>
      <c r="AB434" s="799"/>
      <c r="AC434" s="800"/>
      <c r="AD434" s="801"/>
      <c r="AE434" s="802"/>
      <c r="AF434" s="800">
        <f t="shared" ref="AF434:AF448" si="95">+SUMIF($C:$C,$V434,L:L)</f>
        <v>15405.010000000002</v>
      </c>
      <c r="AG434" s="801"/>
      <c r="AH434" s="803">
        <f t="shared" si="91"/>
        <v>566.44954409722777</v>
      </c>
      <c r="AI434" s="804">
        <f t="shared" ref="AI434:AI451" si="96">IF(Z434=0,0,AH434/Z434)</f>
        <v>3.8174157512152355E-2</v>
      </c>
      <c r="AJ434" s="801"/>
      <c r="AK434" s="799"/>
      <c r="AL434" s="800">
        <f t="shared" ref="AL434:AL448" si="97">+SUMIF($C:$C,$V434,Q:Q)</f>
        <v>12394.18</v>
      </c>
      <c r="AM434" s="805"/>
      <c r="AN434" s="803">
        <f t="shared" si="92"/>
        <v>3010.8300000000017</v>
      </c>
      <c r="AO434" s="774">
        <f t="shared" si="93"/>
        <v>0.2429228880006585</v>
      </c>
      <c r="AP434" s="507"/>
      <c r="AQ434" s="507"/>
      <c r="AR434" s="507"/>
      <c r="AS434" s="507"/>
      <c r="AT434" s="507"/>
      <c r="AU434" s="507"/>
      <c r="AV434" s="507"/>
      <c r="AW434" s="507"/>
      <c r="AX434" s="507"/>
      <c r="AY434" s="507"/>
      <c r="AZ434" s="507"/>
      <c r="BA434" s="507"/>
      <c r="BB434" s="507"/>
      <c r="BC434" s="507"/>
      <c r="BD434" s="507"/>
      <c r="BE434" s="507"/>
      <c r="BF434" s="507"/>
      <c r="BG434" s="507"/>
      <c r="BH434" s="507"/>
      <c r="BI434" s="507"/>
    </row>
    <row r="435" spans="1:62" ht="15.75" customHeight="1">
      <c r="A435" s="523" t="s">
        <v>51</v>
      </c>
      <c r="B435" s="504"/>
      <c r="C435" s="737" t="s">
        <v>227</v>
      </c>
      <c r="V435" s="600" t="s">
        <v>51</v>
      </c>
      <c r="W435" s="775" t="s">
        <v>149</v>
      </c>
      <c r="X435" s="768"/>
      <c r="Y435" s="768"/>
      <c r="Z435" s="769">
        <f t="shared" si="94"/>
        <v>5939.0656258991448</v>
      </c>
      <c r="AA435" s="768"/>
      <c r="AB435" s="768"/>
      <c r="AC435" s="769"/>
      <c r="AD435" s="777"/>
      <c r="AE435" s="776"/>
      <c r="AF435" s="769">
        <f t="shared" si="95"/>
        <v>12189.380000000001</v>
      </c>
      <c r="AG435" s="770"/>
      <c r="AH435" s="771">
        <f t="shared" si="91"/>
        <v>6250.3143741008562</v>
      </c>
      <c r="AI435" s="772">
        <f t="shared" si="96"/>
        <v>1.0524070228900004</v>
      </c>
      <c r="AJ435" s="777"/>
      <c r="AK435" s="768"/>
      <c r="AL435" s="769">
        <f t="shared" si="97"/>
        <v>12172.089999999991</v>
      </c>
      <c r="AM435" s="773"/>
      <c r="AN435" s="771">
        <f t="shared" si="92"/>
        <v>17.290000000009968</v>
      </c>
      <c r="AO435" s="779">
        <f t="shared" si="93"/>
        <v>1.4204627142922852E-3</v>
      </c>
      <c r="AP435" s="507"/>
      <c r="AQ435" s="507"/>
      <c r="AR435" s="507"/>
      <c r="AS435" s="507"/>
      <c r="AT435" s="507"/>
      <c r="AU435" s="507"/>
      <c r="AV435" s="507"/>
      <c r="AW435" s="507"/>
      <c r="AX435" s="507"/>
      <c r="AY435" s="507"/>
      <c r="AZ435" s="507"/>
      <c r="BA435" s="507"/>
      <c r="BB435" s="507"/>
      <c r="BC435" s="507"/>
      <c r="BD435" s="507"/>
      <c r="BE435" s="507"/>
      <c r="BF435" s="507"/>
      <c r="BG435" s="507"/>
      <c r="BH435" s="507"/>
      <c r="BI435" s="507"/>
    </row>
    <row r="436" spans="1:62" ht="15.75" customHeight="1">
      <c r="A436" s="523" t="s">
        <v>52</v>
      </c>
      <c r="B436" s="504"/>
      <c r="C436" s="737" t="s">
        <v>227</v>
      </c>
      <c r="U436" s="806"/>
      <c r="V436" s="602" t="s">
        <v>52</v>
      </c>
      <c r="W436" s="780" t="s">
        <v>150</v>
      </c>
      <c r="X436" s="751"/>
      <c r="Y436" s="751"/>
      <c r="Z436" s="752">
        <f t="shared" si="94"/>
        <v>26075</v>
      </c>
      <c r="AA436" s="751"/>
      <c r="AB436" s="751"/>
      <c r="AC436" s="752"/>
      <c r="AD436" s="782"/>
      <c r="AE436" s="781"/>
      <c r="AF436" s="752">
        <f t="shared" si="95"/>
        <v>20642.870000000003</v>
      </c>
      <c r="AG436" s="753"/>
      <c r="AH436" s="754">
        <f t="shared" si="91"/>
        <v>-5432.1299999999974</v>
      </c>
      <c r="AI436" s="783">
        <f t="shared" si="96"/>
        <v>-0.20832713326941504</v>
      </c>
      <c r="AJ436" s="782"/>
      <c r="AK436" s="751"/>
      <c r="AL436" s="752">
        <f t="shared" si="97"/>
        <v>25983.25</v>
      </c>
      <c r="AM436" s="756"/>
      <c r="AN436" s="754">
        <f t="shared" si="92"/>
        <v>-5340.3799999999974</v>
      </c>
      <c r="AO436" s="757">
        <f t="shared" si="93"/>
        <v>-0.20553164057614029</v>
      </c>
      <c r="AP436" s="507"/>
      <c r="AQ436" s="507"/>
      <c r="AR436" s="507"/>
      <c r="AS436" s="507"/>
      <c r="AT436" s="507"/>
      <c r="AU436" s="507"/>
      <c r="AV436" s="507"/>
      <c r="AW436" s="507"/>
      <c r="AX436" s="507"/>
      <c r="AY436" s="507"/>
      <c r="AZ436" s="507"/>
      <c r="BA436" s="507"/>
      <c r="BB436" s="507"/>
      <c r="BC436" s="507"/>
      <c r="BD436" s="507"/>
      <c r="BE436" s="507"/>
      <c r="BF436" s="507"/>
      <c r="BG436" s="507"/>
      <c r="BH436" s="507"/>
      <c r="BI436" s="507"/>
    </row>
    <row r="437" spans="1:62" ht="15.75" customHeight="1">
      <c r="A437" s="523" t="s">
        <v>53</v>
      </c>
      <c r="B437" s="504"/>
      <c r="C437" s="737" t="s">
        <v>227</v>
      </c>
      <c r="U437" s="806"/>
      <c r="V437" s="600" t="s">
        <v>53</v>
      </c>
      <c r="W437" s="775" t="s">
        <v>151</v>
      </c>
      <c r="X437" s="768"/>
      <c r="Y437" s="768"/>
      <c r="Z437" s="769">
        <f t="shared" si="94"/>
        <v>22270.688511111108</v>
      </c>
      <c r="AA437" s="768"/>
      <c r="AB437" s="768"/>
      <c r="AC437" s="769"/>
      <c r="AD437" s="777"/>
      <c r="AE437" s="776"/>
      <c r="AF437" s="769">
        <f t="shared" si="95"/>
        <v>22270.73</v>
      </c>
      <c r="AG437" s="770"/>
      <c r="AH437" s="807">
        <f t="shared" si="91"/>
        <v>4.1488888891763054E-2</v>
      </c>
      <c r="AI437" s="772">
        <f t="shared" si="96"/>
        <v>1.8629369662758185E-6</v>
      </c>
      <c r="AJ437" s="777"/>
      <c r="AK437" s="768"/>
      <c r="AL437" s="769">
        <f t="shared" si="97"/>
        <v>26004.28</v>
      </c>
      <c r="AM437" s="773"/>
      <c r="AN437" s="771">
        <f t="shared" si="92"/>
        <v>-3733.5499999999993</v>
      </c>
      <c r="AO437" s="779">
        <f t="shared" si="93"/>
        <v>-0.14357444236102671</v>
      </c>
      <c r="AP437" s="507"/>
      <c r="AQ437" s="507"/>
      <c r="AR437" s="507"/>
      <c r="AS437" s="507"/>
      <c r="AT437" s="507"/>
      <c r="AU437" s="507"/>
      <c r="AV437" s="507"/>
      <c r="AW437" s="507"/>
      <c r="AX437" s="507"/>
      <c r="AY437" s="507"/>
      <c r="AZ437" s="507"/>
      <c r="BA437" s="507"/>
      <c r="BB437" s="507"/>
      <c r="BC437" s="507"/>
      <c r="BD437" s="507"/>
      <c r="BE437" s="507"/>
      <c r="BF437" s="507"/>
      <c r="BG437" s="507"/>
      <c r="BH437" s="507"/>
      <c r="BI437" s="507"/>
    </row>
    <row r="438" spans="1:62" ht="15.75" customHeight="1">
      <c r="A438" s="523" t="s">
        <v>54</v>
      </c>
      <c r="B438" s="504"/>
      <c r="C438" s="737" t="s">
        <v>227</v>
      </c>
      <c r="U438" s="806"/>
      <c r="V438" s="600" t="s">
        <v>54</v>
      </c>
      <c r="W438" s="775" t="s">
        <v>152</v>
      </c>
      <c r="X438" s="768"/>
      <c r="Y438" s="768"/>
      <c r="Z438" s="769">
        <f t="shared" si="94"/>
        <v>3589.7692131944445</v>
      </c>
      <c r="AA438" s="768"/>
      <c r="AB438" s="768"/>
      <c r="AC438" s="769"/>
      <c r="AD438" s="777"/>
      <c r="AE438" s="776"/>
      <c r="AF438" s="769">
        <f t="shared" si="95"/>
        <v>5287.25</v>
      </c>
      <c r="AG438" s="770"/>
      <c r="AH438" s="771">
        <f t="shared" si="91"/>
        <v>1697.4807868055555</v>
      </c>
      <c r="AI438" s="772">
        <f t="shared" si="96"/>
        <v>0.47286627245181884</v>
      </c>
      <c r="AJ438" s="777"/>
      <c r="AK438" s="768"/>
      <c r="AL438" s="769">
        <f t="shared" si="97"/>
        <v>5559.6900000000005</v>
      </c>
      <c r="AM438" s="773"/>
      <c r="AN438" s="771">
        <f t="shared" si="92"/>
        <v>-272.44000000000051</v>
      </c>
      <c r="AO438" s="779">
        <f t="shared" si="93"/>
        <v>-4.9002732166721616E-2</v>
      </c>
      <c r="AP438" s="507"/>
      <c r="AQ438" s="507"/>
      <c r="AR438" s="507"/>
      <c r="AS438" s="507"/>
      <c r="AT438" s="507"/>
      <c r="AU438" s="507"/>
      <c r="AV438" s="507"/>
      <c r="AW438" s="507"/>
      <c r="AX438" s="507"/>
      <c r="AY438" s="507"/>
      <c r="AZ438" s="507"/>
      <c r="BA438" s="507"/>
      <c r="BB438" s="507"/>
      <c r="BC438" s="507"/>
      <c r="BD438" s="507"/>
      <c r="BE438" s="507"/>
      <c r="BF438" s="507"/>
      <c r="BG438" s="507"/>
      <c r="BH438" s="507"/>
      <c r="BI438" s="507"/>
    </row>
    <row r="439" spans="1:62" ht="15.75" customHeight="1">
      <c r="A439" s="523" t="s">
        <v>55</v>
      </c>
      <c r="B439" s="504"/>
      <c r="C439" s="737" t="s">
        <v>227</v>
      </c>
      <c r="V439" s="600" t="s">
        <v>55</v>
      </c>
      <c r="W439" s="775" t="s">
        <v>153</v>
      </c>
      <c r="X439" s="768"/>
      <c r="Y439" s="768"/>
      <c r="Z439" s="769">
        <f t="shared" si="94"/>
        <v>31436.160651539354</v>
      </c>
      <c r="AA439" s="768"/>
      <c r="AB439" s="768"/>
      <c r="AC439" s="769"/>
      <c r="AD439" s="777"/>
      <c r="AE439" s="776"/>
      <c r="AF439" s="769">
        <f t="shared" si="95"/>
        <v>41642.44</v>
      </c>
      <c r="AG439" s="770"/>
      <c r="AH439" s="771">
        <f t="shared" si="91"/>
        <v>10206.279348460648</v>
      </c>
      <c r="AI439" s="772">
        <f t="shared" si="96"/>
        <v>0.32466685297846226</v>
      </c>
      <c r="AJ439" s="777"/>
      <c r="AK439" s="768"/>
      <c r="AL439" s="769">
        <f t="shared" si="97"/>
        <v>37487.360000000001</v>
      </c>
      <c r="AM439" s="773"/>
      <c r="AN439" s="771">
        <f t="shared" si="92"/>
        <v>4155.0800000000017</v>
      </c>
      <c r="AO439" s="779">
        <f t="shared" si="93"/>
        <v>0.11083949363198693</v>
      </c>
      <c r="AP439" s="507"/>
      <c r="AQ439" s="507"/>
      <c r="AR439" s="507"/>
      <c r="AS439" s="507"/>
      <c r="AT439" s="507"/>
      <c r="AU439" s="507"/>
      <c r="AV439" s="507"/>
      <c r="AW439" s="507"/>
      <c r="AX439" s="507"/>
      <c r="AY439" s="507"/>
      <c r="AZ439" s="507"/>
      <c r="BA439" s="507"/>
      <c r="BB439" s="507"/>
      <c r="BC439" s="507"/>
      <c r="BD439" s="507"/>
      <c r="BE439" s="507"/>
      <c r="BF439" s="507"/>
      <c r="BG439" s="507"/>
      <c r="BH439" s="507"/>
      <c r="BI439" s="507"/>
    </row>
    <row r="440" spans="1:62" ht="15.75" customHeight="1">
      <c r="B440" s="504"/>
      <c r="C440" s="737" t="s">
        <v>227</v>
      </c>
      <c r="V440" s="706" t="s">
        <v>98</v>
      </c>
      <c r="W440" s="798"/>
      <c r="X440" s="799"/>
      <c r="Y440" s="799"/>
      <c r="Z440" s="800">
        <f t="shared" si="94"/>
        <v>0</v>
      </c>
      <c r="AA440" s="799"/>
      <c r="AB440" s="799"/>
      <c r="AC440" s="800"/>
      <c r="AD440" s="801"/>
      <c r="AE440" s="802"/>
      <c r="AF440" s="800">
        <f t="shared" si="95"/>
        <v>0</v>
      </c>
      <c r="AG440" s="808"/>
      <c r="AH440" s="803">
        <f t="shared" si="91"/>
        <v>0</v>
      </c>
      <c r="AI440" s="804">
        <f t="shared" si="96"/>
        <v>0</v>
      </c>
      <c r="AJ440" s="801"/>
      <c r="AK440" s="799"/>
      <c r="AL440" s="800">
        <f t="shared" si="97"/>
        <v>0</v>
      </c>
      <c r="AM440" s="805"/>
      <c r="AN440" s="803">
        <f t="shared" si="92"/>
        <v>0</v>
      </c>
      <c r="AO440" s="774">
        <f t="shared" si="93"/>
        <v>0</v>
      </c>
      <c r="AP440" s="507"/>
      <c r="AQ440" s="507"/>
      <c r="AR440" s="507"/>
      <c r="AS440" s="507"/>
      <c r="AT440" s="507"/>
      <c r="AU440" s="507"/>
      <c r="AV440" s="507"/>
      <c r="AW440" s="507"/>
      <c r="AX440" s="507"/>
      <c r="AY440" s="507"/>
      <c r="AZ440" s="507"/>
      <c r="BA440" s="507"/>
      <c r="BB440" s="507"/>
      <c r="BC440" s="507"/>
      <c r="BD440" s="507"/>
      <c r="BE440" s="507"/>
      <c r="BF440" s="507"/>
      <c r="BG440" s="507"/>
      <c r="BH440" s="507"/>
      <c r="BI440" s="507"/>
    </row>
    <row r="441" spans="1:62" ht="15.75" customHeight="1">
      <c r="A441" s="523" t="s">
        <v>56</v>
      </c>
      <c r="B441" s="504"/>
      <c r="C441" s="737" t="s">
        <v>227</v>
      </c>
      <c r="V441" s="600" t="s">
        <v>56</v>
      </c>
      <c r="W441" s="775" t="s">
        <v>154</v>
      </c>
      <c r="X441" s="768"/>
      <c r="Y441" s="776"/>
      <c r="Z441" s="769">
        <f t="shared" si="94"/>
        <v>6083.333333333333</v>
      </c>
      <c r="AA441" s="768"/>
      <c r="AB441" s="776"/>
      <c r="AC441" s="769"/>
      <c r="AD441" s="777"/>
      <c r="AE441" s="776"/>
      <c r="AF441" s="769">
        <f t="shared" si="95"/>
        <v>6914.34</v>
      </c>
      <c r="AG441" s="770"/>
      <c r="AH441" s="771">
        <f t="shared" si="91"/>
        <v>831.00666666666712</v>
      </c>
      <c r="AI441" s="772">
        <f t="shared" si="96"/>
        <v>0.13660383561643843</v>
      </c>
      <c r="AJ441" s="777"/>
      <c r="AK441" s="768"/>
      <c r="AL441" s="769">
        <f t="shared" si="97"/>
        <v>13486.72</v>
      </c>
      <c r="AM441" s="773"/>
      <c r="AN441" s="771">
        <f t="shared" si="92"/>
        <v>-6572.3799999999992</v>
      </c>
      <c r="AO441" s="779">
        <f t="shared" si="93"/>
        <v>-0.48732234375741468</v>
      </c>
      <c r="AP441" s="507"/>
      <c r="AQ441" s="507"/>
      <c r="AR441" s="507"/>
      <c r="AS441" s="507"/>
      <c r="AT441" s="507"/>
      <c r="AU441" s="507"/>
      <c r="AV441" s="507"/>
      <c r="AW441" s="507"/>
      <c r="AX441" s="507"/>
      <c r="AY441" s="507"/>
      <c r="AZ441" s="507"/>
      <c r="BA441" s="507"/>
      <c r="BB441" s="507"/>
      <c r="BC441" s="507"/>
      <c r="BD441" s="507"/>
      <c r="BE441" s="507"/>
      <c r="BF441" s="507"/>
      <c r="BG441" s="507"/>
      <c r="BH441" s="507"/>
      <c r="BI441" s="507"/>
      <c r="BJ441" s="507"/>
    </row>
    <row r="442" spans="1:62" ht="15.75" customHeight="1">
      <c r="A442" s="523" t="s">
        <v>57</v>
      </c>
      <c r="B442" s="504"/>
      <c r="C442" s="737" t="s">
        <v>227</v>
      </c>
      <c r="U442" s="507"/>
      <c r="V442" s="600" t="s">
        <v>57</v>
      </c>
      <c r="W442" s="775" t="s">
        <v>155</v>
      </c>
      <c r="X442" s="768"/>
      <c r="Y442" s="768"/>
      <c r="Z442" s="769">
        <f t="shared" si="94"/>
        <v>1555.2749709404429</v>
      </c>
      <c r="AA442" s="768"/>
      <c r="AB442" s="768"/>
      <c r="AC442" s="769"/>
      <c r="AD442" s="777"/>
      <c r="AE442" s="776"/>
      <c r="AF442" s="769">
        <f t="shared" si="95"/>
        <v>3130.8199999999997</v>
      </c>
      <c r="AG442" s="770"/>
      <c r="AH442" s="771">
        <f t="shared" si="91"/>
        <v>1575.5450290595568</v>
      </c>
      <c r="AI442" s="795">
        <f t="shared" si="96"/>
        <v>1.0130331025046053</v>
      </c>
      <c r="AJ442" s="777"/>
      <c r="AK442" s="768"/>
      <c r="AL442" s="769">
        <f t="shared" si="97"/>
        <v>679.32</v>
      </c>
      <c r="AM442" s="773"/>
      <c r="AN442" s="771">
        <f t="shared" si="92"/>
        <v>2451.4999999999995</v>
      </c>
      <c r="AO442" s="779">
        <f t="shared" si="93"/>
        <v>3.6087558146381666</v>
      </c>
      <c r="AP442" s="507"/>
      <c r="AQ442" s="507"/>
      <c r="AR442" s="507"/>
      <c r="AS442" s="507"/>
      <c r="AT442" s="507"/>
      <c r="AU442" s="507"/>
      <c r="AV442" s="507"/>
      <c r="AW442" s="507"/>
      <c r="AX442" s="507"/>
      <c r="AY442" s="507"/>
      <c r="AZ442" s="507"/>
      <c r="BA442" s="507"/>
      <c r="BB442" s="507"/>
      <c r="BC442" s="507"/>
      <c r="BD442" s="507"/>
      <c r="BE442" s="507"/>
      <c r="BF442" s="507"/>
      <c r="BG442" s="507"/>
      <c r="BH442" s="507"/>
      <c r="BI442" s="507"/>
      <c r="BJ442" s="507"/>
    </row>
    <row r="443" spans="1:62" ht="15.75" customHeight="1">
      <c r="A443" s="523" t="s">
        <v>58</v>
      </c>
      <c r="B443" s="504"/>
      <c r="C443" s="737" t="s">
        <v>227</v>
      </c>
      <c r="T443" s="507"/>
      <c r="U443" s="507"/>
      <c r="V443" s="600" t="s">
        <v>58</v>
      </c>
      <c r="W443" s="775" t="s">
        <v>156</v>
      </c>
      <c r="X443" s="768"/>
      <c r="Y443" s="768"/>
      <c r="Z443" s="769">
        <f t="shared" si="94"/>
        <v>2587.4465749000001</v>
      </c>
      <c r="AA443" s="768"/>
      <c r="AB443" s="768"/>
      <c r="AC443" s="769"/>
      <c r="AD443" s="777"/>
      <c r="AE443" s="776"/>
      <c r="AF443" s="769">
        <f t="shared" si="95"/>
        <v>1565.7399999999998</v>
      </c>
      <c r="AG443" s="770"/>
      <c r="AH443" s="771">
        <f t="shared" si="91"/>
        <v>-1021.7065749000003</v>
      </c>
      <c r="AI443" s="772">
        <f t="shared" si="96"/>
        <v>-0.39487059744972214</v>
      </c>
      <c r="AJ443" s="777"/>
      <c r="AK443" s="768"/>
      <c r="AL443" s="769">
        <f t="shared" si="97"/>
        <v>2749</v>
      </c>
      <c r="AM443" s="773"/>
      <c r="AN443" s="771">
        <f t="shared" si="92"/>
        <v>-1183.2600000000002</v>
      </c>
      <c r="AO443" s="779">
        <f t="shared" si="93"/>
        <v>-0.43043288468534019</v>
      </c>
      <c r="AP443" s="507"/>
      <c r="AQ443" s="507"/>
      <c r="AR443" s="507"/>
      <c r="AS443" s="507"/>
      <c r="AT443" s="507"/>
      <c r="AU443" s="507"/>
      <c r="AV443" s="507"/>
      <c r="AW443" s="507"/>
      <c r="AX443" s="507"/>
      <c r="AY443" s="507"/>
      <c r="AZ443" s="507"/>
      <c r="BA443" s="507"/>
      <c r="BB443" s="507"/>
      <c r="BC443" s="507"/>
      <c r="BD443" s="507"/>
      <c r="BE443" s="507"/>
      <c r="BF443" s="507"/>
      <c r="BG443" s="507"/>
      <c r="BH443" s="507"/>
      <c r="BI443" s="507"/>
      <c r="BJ443" s="507"/>
    </row>
    <row r="444" spans="1:62" ht="15.75" customHeight="1">
      <c r="A444" s="523" t="s">
        <v>59</v>
      </c>
      <c r="B444" s="504"/>
      <c r="C444" s="737" t="s">
        <v>227</v>
      </c>
      <c r="T444" s="507"/>
      <c r="U444" s="507"/>
      <c r="V444" s="600" t="s">
        <v>59</v>
      </c>
      <c r="W444" s="775" t="s">
        <v>157</v>
      </c>
      <c r="X444" s="768"/>
      <c r="Y444" s="768"/>
      <c r="Z444" s="769">
        <f t="shared" si="94"/>
        <v>778.11576579027781</v>
      </c>
      <c r="AA444" s="768"/>
      <c r="AB444" s="768"/>
      <c r="AC444" s="769"/>
      <c r="AD444" s="777"/>
      <c r="AE444" s="776"/>
      <c r="AF444" s="769">
        <f t="shared" si="95"/>
        <v>1132.3600000000001</v>
      </c>
      <c r="AG444" s="770"/>
      <c r="AH444" s="771">
        <f t="shared" si="91"/>
        <v>354.24423420972232</v>
      </c>
      <c r="AI444" s="795">
        <f t="shared" si="96"/>
        <v>0.45525903700195719</v>
      </c>
      <c r="AJ444" s="777"/>
      <c r="AK444" s="768"/>
      <c r="AL444" s="769">
        <f t="shared" si="97"/>
        <v>672.40000000000009</v>
      </c>
      <c r="AM444" s="773"/>
      <c r="AN444" s="771">
        <f t="shared" si="92"/>
        <v>459.96000000000004</v>
      </c>
      <c r="AO444" s="779">
        <f t="shared" si="93"/>
        <v>0.68405710886377158</v>
      </c>
      <c r="AP444" s="507"/>
      <c r="AQ444" s="507"/>
      <c r="AR444" s="507"/>
      <c r="AS444" s="507"/>
      <c r="AT444" s="507"/>
      <c r="AU444" s="507"/>
      <c r="AV444" s="507"/>
      <c r="AW444" s="507"/>
      <c r="AX444" s="507"/>
      <c r="AY444" s="507"/>
      <c r="AZ444" s="507"/>
      <c r="BA444" s="507"/>
      <c r="BB444" s="507"/>
      <c r="BC444" s="507"/>
      <c r="BD444" s="507"/>
      <c r="BE444" s="507"/>
      <c r="BF444" s="507"/>
      <c r="BG444" s="507"/>
      <c r="BH444" s="507"/>
      <c r="BI444" s="507"/>
      <c r="BJ444" s="507"/>
    </row>
    <row r="445" spans="1:62" ht="15.75" customHeight="1">
      <c r="A445" s="523" t="s">
        <v>60</v>
      </c>
      <c r="B445" s="504"/>
      <c r="C445" s="737" t="s">
        <v>227</v>
      </c>
      <c r="T445" s="507"/>
      <c r="U445" s="507"/>
      <c r="V445" s="600" t="s">
        <v>60</v>
      </c>
      <c r="W445" s="775" t="s">
        <v>158</v>
      </c>
      <c r="X445" s="768"/>
      <c r="Y445" s="768"/>
      <c r="Z445" s="769">
        <f t="shared" si="94"/>
        <v>462.27621220972219</v>
      </c>
      <c r="AA445" s="768"/>
      <c r="AB445" s="768"/>
      <c r="AC445" s="769"/>
      <c r="AD445" s="777"/>
      <c r="AE445" s="776"/>
      <c r="AF445" s="769">
        <f t="shared" si="95"/>
        <v>73.19</v>
      </c>
      <c r="AG445" s="770"/>
      <c r="AH445" s="771">
        <f t="shared" si="91"/>
        <v>-389.08621220972219</v>
      </c>
      <c r="AI445" s="772">
        <f t="shared" si="96"/>
        <v>-0.84167474322300695</v>
      </c>
      <c r="AJ445" s="777"/>
      <c r="AK445" s="768"/>
      <c r="AL445" s="769">
        <f t="shared" si="97"/>
        <v>439.88000000000011</v>
      </c>
      <c r="AM445" s="773"/>
      <c r="AN445" s="771">
        <f t="shared" si="92"/>
        <v>-366.69000000000011</v>
      </c>
      <c r="AO445" s="779">
        <f t="shared" si="93"/>
        <v>-0.83361371283077212</v>
      </c>
      <c r="AP445" s="507"/>
      <c r="AQ445" s="507"/>
      <c r="AR445" s="507"/>
      <c r="AS445" s="507"/>
      <c r="AT445" s="507"/>
      <c r="AU445" s="507"/>
      <c r="AV445" s="507"/>
      <c r="AW445" s="507"/>
      <c r="AX445" s="507"/>
      <c r="AY445" s="507"/>
      <c r="AZ445" s="507"/>
      <c r="BA445" s="507"/>
      <c r="BB445" s="507"/>
      <c r="BC445" s="507"/>
      <c r="BD445" s="507"/>
      <c r="BE445" s="507"/>
      <c r="BF445" s="507"/>
      <c r="BG445" s="507"/>
      <c r="BH445" s="507"/>
      <c r="BI445" s="507"/>
      <c r="BJ445" s="507"/>
    </row>
    <row r="446" spans="1:62" ht="15.75" customHeight="1">
      <c r="A446" s="523" t="s">
        <v>61</v>
      </c>
      <c r="B446" s="504"/>
      <c r="C446" s="737" t="s">
        <v>227</v>
      </c>
      <c r="T446" s="507"/>
      <c r="U446" s="507"/>
      <c r="V446" s="600" t="s">
        <v>61</v>
      </c>
      <c r="W446" s="775" t="s">
        <v>159</v>
      </c>
      <c r="X446" s="768"/>
      <c r="Y446" s="776"/>
      <c r="Z446" s="769">
        <f t="shared" si="94"/>
        <v>1152.4792607347222</v>
      </c>
      <c r="AA446" s="768"/>
      <c r="AB446" s="776"/>
      <c r="AC446" s="769"/>
      <c r="AD446" s="777"/>
      <c r="AE446" s="776"/>
      <c r="AF446" s="769">
        <f t="shared" si="95"/>
        <v>732.69999999999993</v>
      </c>
      <c r="AG446" s="770"/>
      <c r="AH446" s="771">
        <f t="shared" si="91"/>
        <v>-419.77926073472224</v>
      </c>
      <c r="AI446" s="795">
        <f t="shared" si="96"/>
        <v>-0.36424018638487854</v>
      </c>
      <c r="AJ446" s="777"/>
      <c r="AK446" s="768"/>
      <c r="AL446" s="769">
        <f t="shared" si="97"/>
        <v>375.01</v>
      </c>
      <c r="AM446" s="773"/>
      <c r="AN446" s="771">
        <f t="shared" si="92"/>
        <v>357.68999999999994</v>
      </c>
      <c r="AO446" s="779">
        <f t="shared" si="93"/>
        <v>0.95381456494493466</v>
      </c>
      <c r="AP446" s="507"/>
      <c r="AQ446" s="507"/>
      <c r="AR446" s="507"/>
      <c r="AS446" s="507"/>
      <c r="AT446" s="507"/>
      <c r="AU446" s="507"/>
      <c r="AV446" s="507"/>
      <c r="AW446" s="507"/>
      <c r="AX446" s="507"/>
      <c r="AY446" s="507"/>
      <c r="AZ446" s="507"/>
      <c r="BA446" s="507"/>
      <c r="BB446" s="507"/>
      <c r="BC446" s="507"/>
      <c r="BD446" s="507"/>
      <c r="BE446" s="507"/>
      <c r="BF446" s="507"/>
      <c r="BG446" s="507"/>
      <c r="BH446" s="507"/>
      <c r="BI446" s="507"/>
      <c r="BJ446" s="507"/>
    </row>
    <row r="447" spans="1:62" ht="15.75" customHeight="1">
      <c r="A447" s="523" t="s">
        <v>62</v>
      </c>
      <c r="B447" s="504"/>
      <c r="C447" s="737" t="s">
        <v>227</v>
      </c>
      <c r="T447" s="507"/>
      <c r="U447" s="507"/>
      <c r="V447" s="600" t="s">
        <v>62</v>
      </c>
      <c r="W447" s="775" t="s">
        <v>160</v>
      </c>
      <c r="X447" s="768"/>
      <c r="Y447" s="776"/>
      <c r="Z447" s="769">
        <f t="shared" si="94"/>
        <v>7644.3785104434319</v>
      </c>
      <c r="AA447" s="768"/>
      <c r="AB447" s="776"/>
      <c r="AC447" s="769"/>
      <c r="AD447" s="777"/>
      <c r="AE447" s="776"/>
      <c r="AF447" s="769">
        <f t="shared" si="95"/>
        <v>5551.5400000000009</v>
      </c>
      <c r="AG447" s="770"/>
      <c r="AH447" s="771">
        <f t="shared" si="91"/>
        <v>-2092.838510443431</v>
      </c>
      <c r="AI447" s="772">
        <f t="shared" si="96"/>
        <v>-0.27377484089573562</v>
      </c>
      <c r="AJ447" s="777"/>
      <c r="AK447" s="768"/>
      <c r="AL447" s="769">
        <f t="shared" si="97"/>
        <v>5853.87</v>
      </c>
      <c r="AM447" s="773"/>
      <c r="AN447" s="771">
        <f t="shared" si="92"/>
        <v>-302.32999999999902</v>
      </c>
      <c r="AO447" s="779">
        <f t="shared" si="93"/>
        <v>-5.1646175948560358E-2</v>
      </c>
      <c r="AQ447" s="507"/>
      <c r="AR447" s="507"/>
      <c r="AS447" s="507"/>
      <c r="AT447" s="507"/>
      <c r="AU447" s="507"/>
      <c r="AV447" s="507"/>
      <c r="AW447" s="507"/>
      <c r="AX447" s="507"/>
      <c r="AY447" s="507"/>
      <c r="AZ447" s="507"/>
      <c r="BA447" s="507"/>
      <c r="BB447" s="507"/>
      <c r="BC447" s="507"/>
      <c r="BD447" s="507"/>
      <c r="BE447" s="507"/>
      <c r="BF447" s="507"/>
      <c r="BG447" s="507"/>
      <c r="BH447" s="507"/>
      <c r="BI447" s="507"/>
      <c r="BJ447" s="507"/>
    </row>
    <row r="448" spans="1:62" ht="15.75" customHeight="1">
      <c r="A448" s="523" t="s">
        <v>63</v>
      </c>
      <c r="B448" s="504"/>
      <c r="C448" s="737" t="s">
        <v>227</v>
      </c>
      <c r="T448" s="507"/>
      <c r="U448" s="507"/>
      <c r="V448" s="600" t="s">
        <v>63</v>
      </c>
      <c r="W448" s="775" t="s">
        <v>161</v>
      </c>
      <c r="X448" s="768"/>
      <c r="Y448" s="794">
        <f>Z448/Z406</f>
        <v>1.1222874416788283E-3</v>
      </c>
      <c r="Z448" s="769">
        <f t="shared" si="94"/>
        <v>7780.2762857487296</v>
      </c>
      <c r="AA448" s="768"/>
      <c r="AB448" s="776"/>
      <c r="AC448" s="769"/>
      <c r="AD448" s="777"/>
      <c r="AE448" s="776"/>
      <c r="AF448" s="769">
        <f t="shared" si="95"/>
        <v>10659.939999999999</v>
      </c>
      <c r="AG448" s="770"/>
      <c r="AH448" s="771">
        <f t="shared" si="91"/>
        <v>2879.6637142512691</v>
      </c>
      <c r="AI448" s="772">
        <f t="shared" si="96"/>
        <v>0.37012358025459846</v>
      </c>
      <c r="AJ448" s="777"/>
      <c r="AK448" s="768"/>
      <c r="AL448" s="769">
        <f t="shared" si="97"/>
        <v>8918.27</v>
      </c>
      <c r="AM448" s="773"/>
      <c r="AN448" s="771">
        <f t="shared" si="92"/>
        <v>1741.6699999999983</v>
      </c>
      <c r="AO448" s="779">
        <f t="shared" si="93"/>
        <v>0.19529236051386628</v>
      </c>
      <c r="AQ448" s="507"/>
      <c r="AR448" s="507"/>
      <c r="AS448" s="507"/>
      <c r="AT448" s="507"/>
      <c r="AU448" s="507"/>
      <c r="AV448" s="507"/>
      <c r="AW448" s="507"/>
      <c r="AX448" s="507"/>
      <c r="AY448" s="507"/>
      <c r="AZ448" s="507"/>
      <c r="BA448" s="507"/>
      <c r="BB448" s="507"/>
      <c r="BC448" s="507"/>
      <c r="BD448" s="507"/>
      <c r="BE448" s="507"/>
      <c r="BF448" s="507"/>
      <c r="BG448" s="507"/>
      <c r="BH448" s="507"/>
      <c r="BI448" s="507"/>
      <c r="BJ448" s="507"/>
    </row>
    <row r="449" spans="1:62" ht="15.75" hidden="1" customHeight="1">
      <c r="A449" s="523" t="s">
        <v>20</v>
      </c>
      <c r="B449" s="504"/>
      <c r="C449" s="737" t="s">
        <v>227</v>
      </c>
      <c r="T449" s="507"/>
      <c r="U449" s="507"/>
      <c r="V449" s="600" t="s">
        <v>20</v>
      </c>
      <c r="W449" s="775"/>
      <c r="X449" s="768"/>
      <c r="Y449" s="776"/>
      <c r="Z449" s="769">
        <f>IFERROR(SUMIF($C:$C,$V449,F:F),0)</f>
        <v>0</v>
      </c>
      <c r="AA449" s="768"/>
      <c r="AB449" s="768"/>
      <c r="AC449" s="769"/>
      <c r="AD449" s="777"/>
      <c r="AE449" s="776"/>
      <c r="AF449" s="769">
        <f>IFERROR(SUMIF($C:$C,$V449,L:L),0)</f>
        <v>0</v>
      </c>
      <c r="AG449" s="770"/>
      <c r="AH449" s="771">
        <f t="shared" si="91"/>
        <v>0</v>
      </c>
      <c r="AI449" s="772">
        <f t="shared" si="96"/>
        <v>0</v>
      </c>
      <c r="AJ449" s="777"/>
      <c r="AK449" s="768"/>
      <c r="AL449" s="769">
        <f>IFERROR(SUMIF($C:$C,$V449,Q:Q),0)</f>
        <v>0</v>
      </c>
      <c r="AM449" s="773"/>
      <c r="AN449" s="771">
        <f t="shared" si="92"/>
        <v>0</v>
      </c>
      <c r="AO449" s="779">
        <f t="shared" si="93"/>
        <v>0</v>
      </c>
      <c r="AP449" s="507"/>
      <c r="AQ449" s="507"/>
      <c r="AR449" s="507"/>
      <c r="AS449" s="507"/>
      <c r="AT449" s="507"/>
      <c r="AU449" s="507"/>
      <c r="AV449" s="507"/>
      <c r="AW449" s="507"/>
      <c r="AX449" s="507"/>
      <c r="AY449" s="507"/>
      <c r="AZ449" s="507"/>
      <c r="BA449" s="507"/>
      <c r="BB449" s="507"/>
      <c r="BC449" s="507"/>
      <c r="BD449" s="507"/>
      <c r="BE449" s="507"/>
      <c r="BF449" s="507"/>
      <c r="BG449" s="507"/>
      <c r="BH449" s="507"/>
      <c r="BI449" s="507"/>
      <c r="BJ449" s="507"/>
    </row>
    <row r="450" spans="1:62" ht="15.75" hidden="1" customHeight="1">
      <c r="A450" s="523" t="s">
        <v>20</v>
      </c>
      <c r="B450" s="504"/>
      <c r="C450" s="737" t="s">
        <v>227</v>
      </c>
      <c r="T450" s="507"/>
      <c r="U450" s="507"/>
      <c r="V450" s="600" t="s">
        <v>20</v>
      </c>
      <c r="W450" s="775"/>
      <c r="X450" s="768"/>
      <c r="Y450" s="776"/>
      <c r="Z450" s="769">
        <f>IFERROR(SUMIF($C:$C,$V450,F:F),0)</f>
        <v>0</v>
      </c>
      <c r="AA450" s="768"/>
      <c r="AB450" s="768"/>
      <c r="AC450" s="769"/>
      <c r="AD450" s="777"/>
      <c r="AE450" s="776"/>
      <c r="AF450" s="769">
        <f>IFERROR(SUMIF($C:$C,$V450,L:L),0)</f>
        <v>0</v>
      </c>
      <c r="AG450" s="770"/>
      <c r="AH450" s="771">
        <f t="shared" si="91"/>
        <v>0</v>
      </c>
      <c r="AI450" s="772">
        <f t="shared" si="96"/>
        <v>0</v>
      </c>
      <c r="AJ450" s="777"/>
      <c r="AK450" s="768"/>
      <c r="AL450" s="769">
        <f>IFERROR(SUMIF($C:$C,$V450,Q:Q),0)</f>
        <v>0</v>
      </c>
      <c r="AM450" s="773"/>
      <c r="AN450" s="771">
        <f t="shared" si="92"/>
        <v>0</v>
      </c>
      <c r="AO450" s="779">
        <f t="shared" si="93"/>
        <v>0</v>
      </c>
      <c r="AP450" s="507"/>
      <c r="AQ450" s="507"/>
      <c r="AR450" s="507"/>
      <c r="AS450" s="507"/>
      <c r="AT450" s="507"/>
      <c r="AU450" s="507"/>
      <c r="AV450" s="507"/>
      <c r="AW450" s="507"/>
      <c r="AX450" s="507"/>
      <c r="AY450" s="507"/>
      <c r="AZ450" s="507"/>
      <c r="BA450" s="507"/>
      <c r="BB450" s="507"/>
      <c r="BC450" s="507"/>
      <c r="BD450" s="507"/>
      <c r="BE450" s="507"/>
      <c r="BF450" s="507"/>
      <c r="BG450" s="507"/>
      <c r="BH450" s="507"/>
      <c r="BI450" s="507"/>
      <c r="BJ450" s="507"/>
    </row>
    <row r="451" spans="1:62" ht="15.75" hidden="1" customHeight="1">
      <c r="A451" s="523" t="s">
        <v>20</v>
      </c>
      <c r="B451" s="504"/>
      <c r="C451" s="737" t="s">
        <v>227</v>
      </c>
      <c r="T451" s="507"/>
      <c r="U451" s="507"/>
      <c r="V451" s="600" t="s">
        <v>20</v>
      </c>
      <c r="W451" s="775"/>
      <c r="X451" s="768"/>
      <c r="Y451" s="776"/>
      <c r="Z451" s="769">
        <f>IFERROR(SUMIF($C:$C,$V451,F:F),0)</f>
        <v>0</v>
      </c>
      <c r="AA451" s="768"/>
      <c r="AB451" s="768"/>
      <c r="AC451" s="769"/>
      <c r="AD451" s="777"/>
      <c r="AE451" s="776"/>
      <c r="AF451" s="769">
        <f>IFERROR(SUMIF($C:$C,$V451,L:L),0)</f>
        <v>0</v>
      </c>
      <c r="AG451" s="770"/>
      <c r="AH451" s="771">
        <f t="shared" si="91"/>
        <v>0</v>
      </c>
      <c r="AI451" s="772">
        <f t="shared" si="96"/>
        <v>0</v>
      </c>
      <c r="AJ451" s="777"/>
      <c r="AK451" s="768"/>
      <c r="AL451" s="769">
        <f>IFERROR(SUMIF($C:$C,$V451,Q:Q),0)</f>
        <v>0</v>
      </c>
      <c r="AM451" s="773"/>
      <c r="AN451" s="771">
        <f t="shared" si="92"/>
        <v>0</v>
      </c>
      <c r="AO451" s="779">
        <f t="shared" si="93"/>
        <v>0</v>
      </c>
      <c r="AP451" s="507"/>
      <c r="AQ451" s="507"/>
      <c r="AR451" s="507"/>
      <c r="AS451" s="507"/>
      <c r="AT451" s="507"/>
      <c r="AU451" s="507"/>
      <c r="AV451" s="507"/>
      <c r="AW451" s="507"/>
      <c r="AX451" s="507"/>
      <c r="AY451" s="507"/>
      <c r="AZ451" s="507"/>
      <c r="BA451" s="507"/>
      <c r="BB451" s="507"/>
      <c r="BC451" s="507"/>
      <c r="BD451" s="507"/>
      <c r="BE451" s="507"/>
      <c r="BF451" s="507"/>
      <c r="BG451" s="507"/>
      <c r="BH451" s="507"/>
      <c r="BI451" s="507"/>
      <c r="BJ451" s="507"/>
    </row>
    <row r="452" spans="1:62" ht="15.75" customHeight="1">
      <c r="A452" s="523" t="s">
        <v>64</v>
      </c>
      <c r="B452" s="504"/>
      <c r="C452" s="737" t="s">
        <v>227</v>
      </c>
      <c r="T452" s="507"/>
      <c r="U452" s="507"/>
      <c r="V452" s="785" t="s">
        <v>64</v>
      </c>
      <c r="W452" s="809"/>
      <c r="X452" s="787">
        <f>Z452/+Z407</f>
        <v>0.13218012259085232</v>
      </c>
      <c r="Y452" s="786"/>
      <c r="Z452" s="788">
        <f>+SUM(Z434:Z451)</f>
        <v>132192.82537174749</v>
      </c>
      <c r="AA452" s="787"/>
      <c r="AB452" s="786"/>
      <c r="AC452" s="788"/>
      <c r="AD452" s="789">
        <f>AF452/AF407</f>
        <v>0.22198922637118104</v>
      </c>
      <c r="AE452" s="786"/>
      <c r="AF452" s="788">
        <f>+SUM(AF434:AF451)</f>
        <v>147198.31</v>
      </c>
      <c r="AG452" s="810"/>
      <c r="AH452" s="811">
        <f>+SUM(AH434:AH451)</f>
        <v>15005.484628252521</v>
      </c>
      <c r="AI452" s="787">
        <f>AH452/Z452</f>
        <v>0.11351209557746182</v>
      </c>
      <c r="AJ452" s="789">
        <f>IF($AL$407=0,0,AL452/$AL$407)</f>
        <v>0.20645194943137182</v>
      </c>
      <c r="AK452" s="787"/>
      <c r="AL452" s="788">
        <f>+SUM(AL434:AL451)</f>
        <v>152775.31999999998</v>
      </c>
      <c r="AM452" s="797"/>
      <c r="AN452" s="791">
        <f>+SUM(AN434:AN451)</f>
        <v>-5577.0099999999848</v>
      </c>
      <c r="AO452" s="812">
        <f t="shared" si="93"/>
        <v>-3.65046527148494E-2</v>
      </c>
      <c r="AP452" s="507"/>
      <c r="AQ452" s="507"/>
      <c r="AR452" s="507"/>
      <c r="AS452" s="507"/>
      <c r="AT452" s="507"/>
      <c r="AU452" s="507"/>
      <c r="AV452" s="507"/>
      <c r="AW452" s="507"/>
      <c r="AX452" s="507"/>
      <c r="AY452" s="507"/>
      <c r="AZ452" s="507"/>
      <c r="BA452" s="507"/>
      <c r="BB452" s="507"/>
      <c r="BC452" s="507"/>
      <c r="BD452" s="507"/>
      <c r="BE452" s="507"/>
      <c r="BF452" s="507"/>
      <c r="BG452" s="507"/>
      <c r="BH452" s="507"/>
      <c r="BI452" s="507"/>
      <c r="BJ452" s="507"/>
    </row>
    <row r="453" spans="1:62" ht="15.75" customHeight="1">
      <c r="A453" s="523" t="s">
        <v>162</v>
      </c>
      <c r="B453" s="504"/>
      <c r="C453" s="737" t="s">
        <v>227</v>
      </c>
      <c r="D453" s="507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600" t="s">
        <v>162</v>
      </c>
      <c r="W453" s="775" t="s">
        <v>163</v>
      </c>
      <c r="X453" s="768"/>
      <c r="Y453" s="776"/>
      <c r="Z453" s="769">
        <f>+INDEX('[5]Budget original'!$A$2:$AO$501,MATCH($A453,'[5]Budget original'!$A$2:$A$501,0),MATCH(F$2,'[5]Budget original'!$A$2:$AO$2,0))</f>
        <v>36000</v>
      </c>
      <c r="AA453" s="768"/>
      <c r="AB453" s="776"/>
      <c r="AC453" s="769"/>
      <c r="AD453" s="777"/>
      <c r="AE453" s="776"/>
      <c r="AF453" s="769">
        <f>SUMIFS([5]BV_Data_An_Cour!$O:$O,[5]BV_Data_An_Cour!$V:$V,$V453)</f>
        <v>36000</v>
      </c>
      <c r="AG453" s="770"/>
      <c r="AH453" s="771">
        <f t="shared" ref="AH453:AH461" si="98">AF453-Z453</f>
        <v>0</v>
      </c>
      <c r="AI453" s="772">
        <f t="shared" ref="AI453:AI461" si="99">IF(Z453=0,0,AH453/Z453)</f>
        <v>0</v>
      </c>
      <c r="AJ453" s="777"/>
      <c r="AK453" s="768"/>
      <c r="AL453" s="769">
        <f>+INDEX('[5]Réel 2023'!$A$2:$AO$501,MATCH($A453,'[5]Réel 2023'!$A$2:$A$501,0),MATCH(F$2,'[5]Réel 2023'!$A$2:$AO$2,0))</f>
        <v>26000</v>
      </c>
      <c r="AM453" s="773"/>
      <c r="AN453" s="771">
        <f t="shared" ref="AN453:AN461" si="100">AF453-AL453</f>
        <v>10000</v>
      </c>
      <c r="AO453" s="779">
        <f t="shared" si="93"/>
        <v>0.38461538461538464</v>
      </c>
      <c r="AP453" s="507"/>
      <c r="AQ453" s="507"/>
      <c r="AR453" s="507"/>
      <c r="AS453" s="507"/>
      <c r="AT453" s="507"/>
      <c r="AU453" s="507"/>
      <c r="AV453" s="507"/>
      <c r="AW453" s="507"/>
      <c r="AX453" s="507"/>
      <c r="AY453" s="507"/>
      <c r="AZ453" s="507"/>
      <c r="BA453" s="507"/>
      <c r="BB453" s="507"/>
      <c r="BC453" s="507"/>
      <c r="BD453" s="507"/>
      <c r="BE453" s="507"/>
      <c r="BF453" s="507"/>
      <c r="BG453" s="507"/>
      <c r="BH453" s="507"/>
      <c r="BI453" s="507"/>
      <c r="BJ453" s="507"/>
    </row>
    <row r="454" spans="1:62" ht="15.75" customHeight="1">
      <c r="A454" s="523" t="s">
        <v>164</v>
      </c>
      <c r="B454" s="504"/>
      <c r="C454" s="737" t="s">
        <v>227</v>
      </c>
      <c r="D454" s="507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600" t="s">
        <v>164</v>
      </c>
      <c r="W454" s="775" t="s">
        <v>165</v>
      </c>
      <c r="X454" s="768"/>
      <c r="Y454" s="776"/>
      <c r="Z454" s="769">
        <f>+INDEX('[5]Budget original'!$A$2:$AO$501,MATCH($A454,'[5]Budget original'!$A$2:$A$501,0),MATCH(F$2,'[5]Budget original'!$A$2:$AO$2,0))</f>
        <v>5176.92</v>
      </c>
      <c r="AA454" s="768"/>
      <c r="AB454" s="776"/>
      <c r="AC454" s="769"/>
      <c r="AD454" s="777"/>
      <c r="AE454" s="776"/>
      <c r="AF454" s="769">
        <f>SUMIFS([5]BV_Data_An_Cour!$O:$O,[5]BV_Data_An_Cour!$V:$V,$V454)</f>
        <v>5177</v>
      </c>
      <c r="AG454" s="770"/>
      <c r="AH454" s="771">
        <f t="shared" si="98"/>
        <v>7.999999999992724E-2</v>
      </c>
      <c r="AI454" s="772">
        <f t="shared" si="99"/>
        <v>1.5453203835471139E-5</v>
      </c>
      <c r="AJ454" s="777"/>
      <c r="AK454" s="768"/>
      <c r="AL454" s="769">
        <f>+INDEX('[5]Réel 2023'!$A$2:$AO$501,MATCH($A454,'[5]Réel 2023'!$A$2:$A$501,0),MATCH(F$2,'[5]Réel 2023'!$A$2:$AO$2,0))</f>
        <v>4930</v>
      </c>
      <c r="AM454" s="773"/>
      <c r="AN454" s="771">
        <f t="shared" si="100"/>
        <v>247</v>
      </c>
      <c r="AO454" s="779">
        <f t="shared" si="93"/>
        <v>5.0101419878296145E-2</v>
      </c>
      <c r="AP454" s="507"/>
      <c r="AQ454" s="507"/>
      <c r="AR454" s="507"/>
      <c r="AS454" s="507"/>
      <c r="AT454" s="507"/>
      <c r="AU454" s="507"/>
      <c r="AV454" s="507"/>
      <c r="AW454" s="507"/>
      <c r="AX454" s="507"/>
      <c r="AY454" s="507"/>
      <c r="AZ454" s="507"/>
      <c r="BA454" s="507"/>
      <c r="BB454" s="507"/>
      <c r="BC454" s="507"/>
      <c r="BD454" s="507"/>
      <c r="BE454" s="507"/>
      <c r="BF454" s="507"/>
      <c r="BG454" s="507"/>
      <c r="BH454" s="507"/>
      <c r="BI454" s="507"/>
      <c r="BJ454" s="507"/>
    </row>
    <row r="455" spans="1:62" ht="15.75" customHeight="1">
      <c r="A455" s="523" t="s">
        <v>166</v>
      </c>
      <c r="B455" s="504"/>
      <c r="C455" s="737" t="s">
        <v>227</v>
      </c>
      <c r="D455" s="507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602" t="s">
        <v>166</v>
      </c>
      <c r="W455" s="780" t="s">
        <v>167</v>
      </c>
      <c r="X455" s="751"/>
      <c r="Y455" s="781"/>
      <c r="Z455" s="752">
        <f>+INDEX('[5]Budget original'!$A$2:$AO$501,MATCH($A455,'[5]Budget original'!$A$2:$A$501,0),MATCH(F$2,'[5]Budget original'!$A$2:$AO$2,0))</f>
        <v>3444.8400000000006</v>
      </c>
      <c r="AA455" s="751"/>
      <c r="AB455" s="781"/>
      <c r="AC455" s="752"/>
      <c r="AD455" s="782"/>
      <c r="AE455" s="781"/>
      <c r="AF455" s="752">
        <f>SUMIFS([5]BV_Data_An_Cour!$O:$O,[5]BV_Data_An_Cour!$V:$V,$V455)</f>
        <v>3445.0000000000005</v>
      </c>
      <c r="AG455" s="753"/>
      <c r="AH455" s="754">
        <f t="shared" si="98"/>
        <v>0.15999999999985448</v>
      </c>
      <c r="AI455" s="783">
        <f t="shared" si="99"/>
        <v>4.6446279072425558E-5</v>
      </c>
      <c r="AJ455" s="782"/>
      <c r="AK455" s="751"/>
      <c r="AL455" s="752">
        <f>+INDEX('[5]Réel 2023'!$A$2:$AO$501,MATCH($A455,'[5]Réel 2023'!$A$2:$A$501,0),MATCH(F$2,'[5]Réel 2023'!$A$2:$AO$2,0))</f>
        <v>3279.99999999999</v>
      </c>
      <c r="AM455" s="756"/>
      <c r="AN455" s="754">
        <f t="shared" si="100"/>
        <v>165.00000000001046</v>
      </c>
      <c r="AO455" s="757">
        <f t="shared" si="93"/>
        <v>5.0304878048783828E-2</v>
      </c>
      <c r="AP455" s="507"/>
      <c r="AQ455" s="507"/>
      <c r="AR455" s="507"/>
      <c r="AS455" s="507"/>
      <c r="AT455" s="507"/>
      <c r="AU455" s="507"/>
      <c r="AV455" s="507"/>
      <c r="AW455" s="507"/>
      <c r="AX455" s="507"/>
      <c r="AY455" s="507"/>
      <c r="AZ455" s="507"/>
      <c r="BA455" s="507"/>
      <c r="BB455" s="507"/>
      <c r="BC455" s="507"/>
      <c r="BD455" s="507"/>
      <c r="BE455" s="507"/>
      <c r="BF455" s="507"/>
      <c r="BG455" s="507"/>
      <c r="BH455" s="507"/>
      <c r="BI455" s="507"/>
      <c r="BJ455" s="507"/>
    </row>
    <row r="456" spans="1:62" ht="15.75" customHeight="1">
      <c r="A456" s="523" t="s">
        <v>168</v>
      </c>
      <c r="B456" s="504"/>
      <c r="C456" s="737" t="s">
        <v>227</v>
      </c>
      <c r="D456" s="507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600" t="s">
        <v>168</v>
      </c>
      <c r="W456" s="775"/>
      <c r="X456" s="768"/>
      <c r="Y456" s="776"/>
      <c r="Z456" s="769">
        <f>+INDEX('[5]Budget original'!$A$2:$AO$501,MATCH($A456,'[5]Budget original'!$A$2:$A$501,0),MATCH(F$2,'[5]Budget original'!$A$2:$AO$2,0))</f>
        <v>0</v>
      </c>
      <c r="AA456" s="768"/>
      <c r="AB456" s="776"/>
      <c r="AC456" s="769"/>
      <c r="AD456" s="777"/>
      <c r="AE456" s="776"/>
      <c r="AF456" s="769">
        <f>SUMIFS([5]BV_Data_An_Cour!$O:$O,[5]BV_Data_An_Cour!$V:$V,$V456)</f>
        <v>0</v>
      </c>
      <c r="AG456" s="770"/>
      <c r="AH456" s="771">
        <f t="shared" si="98"/>
        <v>0</v>
      </c>
      <c r="AI456" s="772">
        <f t="shared" si="99"/>
        <v>0</v>
      </c>
      <c r="AJ456" s="777"/>
      <c r="AK456" s="768"/>
      <c r="AL456" s="769">
        <f>+INDEX('[5]Réel 2023'!$A$2:$AO$501,MATCH($A456,'[5]Réel 2023'!$A$2:$A$501,0),MATCH(F$2,'[5]Réel 2023'!$A$2:$AO$2,0))</f>
        <v>0</v>
      </c>
      <c r="AM456" s="773"/>
      <c r="AN456" s="771">
        <f t="shared" si="100"/>
        <v>0</v>
      </c>
      <c r="AO456" s="779">
        <f t="shared" si="93"/>
        <v>0</v>
      </c>
      <c r="AP456" s="507"/>
      <c r="AQ456" s="507"/>
      <c r="AR456" s="507"/>
      <c r="AS456" s="507"/>
      <c r="AT456" s="507"/>
      <c r="AU456" s="507"/>
      <c r="AV456" s="507"/>
      <c r="AW456" s="507"/>
      <c r="AX456" s="507"/>
      <c r="AY456" s="507"/>
      <c r="AZ456" s="507"/>
      <c r="BA456" s="507"/>
      <c r="BB456" s="507"/>
      <c r="BC456" s="507"/>
      <c r="BD456" s="507"/>
      <c r="BE456" s="507"/>
      <c r="BF456" s="507"/>
      <c r="BG456" s="507"/>
      <c r="BH456" s="507"/>
      <c r="BI456" s="507"/>
      <c r="BJ456" s="507"/>
    </row>
    <row r="457" spans="1:62" ht="15.75" customHeight="1">
      <c r="A457" s="523" t="s">
        <v>169</v>
      </c>
      <c r="B457" s="504"/>
      <c r="C457" s="737" t="s">
        <v>227</v>
      </c>
      <c r="D457" s="507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602" t="s">
        <v>169</v>
      </c>
      <c r="W457" s="780" t="s">
        <v>170</v>
      </c>
      <c r="X457" s="751"/>
      <c r="Y457" s="781"/>
      <c r="Z457" s="752">
        <f>+INDEX('[5]Budget original'!$A$2:$AO$501,MATCH($A457,'[5]Budget original'!$A$2:$A$501,0),MATCH(F$2,'[5]Budget original'!$A$2:$AO$2,0))</f>
        <v>3893.083333333333</v>
      </c>
      <c r="AA457" s="751"/>
      <c r="AB457" s="781"/>
      <c r="AC457" s="752"/>
      <c r="AD457" s="782"/>
      <c r="AE457" s="781"/>
      <c r="AF457" s="752">
        <f>SUMIF([5]BV_Data_An_Cour!$V:$V,'2024-10'!$V457,[5]BV_Data_An_Cour!$O:$O)</f>
        <v>3893.08</v>
      </c>
      <c r="AG457" s="753"/>
      <c r="AH457" s="754">
        <f t="shared" si="98"/>
        <v>-3.333333333102928E-3</v>
      </c>
      <c r="AI457" s="783">
        <f t="shared" si="99"/>
        <v>-8.5621936334172008E-7</v>
      </c>
      <c r="AJ457" s="782"/>
      <c r="AK457" s="751"/>
      <c r="AL457" s="752">
        <f>+INDEX('[5]Réel 2023'!$A$2:$AO$501,MATCH($A457,'[5]Réel 2023'!$A$2:$A$501,0),MATCH(F$2,'[5]Réel 2023'!$A$2:$AO$2,0))</f>
        <v>4271</v>
      </c>
      <c r="AM457" s="756"/>
      <c r="AN457" s="754">
        <f t="shared" si="100"/>
        <v>-377.92000000000007</v>
      </c>
      <c r="AO457" s="757">
        <f t="shared" si="93"/>
        <v>-8.8485132287520502E-2</v>
      </c>
      <c r="AP457" s="507"/>
      <c r="AQ457" s="507"/>
      <c r="AR457" s="507"/>
      <c r="AS457" s="507"/>
      <c r="AT457" s="507"/>
      <c r="AU457" s="507"/>
      <c r="AV457" s="507"/>
      <c r="AW457" s="507"/>
      <c r="AX457" s="507"/>
      <c r="AY457" s="507"/>
      <c r="AZ457" s="507"/>
      <c r="BA457" s="507"/>
      <c r="BB457" s="507"/>
      <c r="BC457" s="507"/>
      <c r="BD457" s="507"/>
      <c r="BE457" s="507"/>
      <c r="BF457" s="507"/>
      <c r="BG457" s="507"/>
      <c r="BH457" s="507"/>
      <c r="BI457" s="507"/>
      <c r="BJ457" s="507"/>
    </row>
    <row r="458" spans="1:62" ht="15.75" customHeight="1">
      <c r="A458" s="523" t="s">
        <v>171</v>
      </c>
      <c r="B458" s="504"/>
      <c r="C458" s="737" t="s">
        <v>227</v>
      </c>
      <c r="D458" s="507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600" t="s">
        <v>171</v>
      </c>
      <c r="W458" s="775" t="s">
        <v>172</v>
      </c>
      <c r="X458" s="813"/>
      <c r="Y458" s="814"/>
      <c r="Z458" s="769">
        <f>+INDEX('[5]Budget original'!$A$2:$AO$501,MATCH($A458,'[5]Budget original'!$A$2:$A$501,0),MATCH(F$2,'[5]Budget original'!$A$2:$AO$2,0))</f>
        <v>3451.2500000000005</v>
      </c>
      <c r="AA458" s="813"/>
      <c r="AB458" s="814"/>
      <c r="AC458" s="769"/>
      <c r="AD458" s="777"/>
      <c r="AE458" s="776"/>
      <c r="AF458" s="815">
        <f>SUMIFS([5]BV_Data_An_Cour!$O:$O,[5]BV_Data_An_Cour!$V:$V,$V458)</f>
        <v>2723.54</v>
      </c>
      <c r="AG458" s="770"/>
      <c r="AH458" s="771">
        <f t="shared" si="98"/>
        <v>-727.71000000000049</v>
      </c>
      <c r="AI458" s="772">
        <f t="shared" si="99"/>
        <v>-0.2108540383918871</v>
      </c>
      <c r="AJ458" s="777"/>
      <c r="AK458" s="768"/>
      <c r="AL458" s="769">
        <f>+INDEX('[5]Réel 2023'!$A$2:$AO$501,MATCH($A458,'[5]Réel 2023'!$A$2:$A$501,0),MATCH(F$2,'[5]Réel 2023'!$A$2:$AO$2,0))</f>
        <v>3137.5</v>
      </c>
      <c r="AM458" s="773"/>
      <c r="AN458" s="771">
        <f t="shared" si="100"/>
        <v>-413.96000000000004</v>
      </c>
      <c r="AO458" s="779">
        <f t="shared" si="93"/>
        <v>-0.1319394422310757</v>
      </c>
      <c r="AP458" s="507"/>
      <c r="AQ458" s="507"/>
      <c r="AR458" s="507"/>
      <c r="AS458" s="507"/>
      <c r="AT458" s="507"/>
      <c r="AU458" s="507"/>
      <c r="AV458" s="507"/>
      <c r="AW458" s="507"/>
      <c r="AX458" s="507"/>
      <c r="AY458" s="507"/>
      <c r="AZ458" s="507"/>
      <c r="BA458" s="507"/>
      <c r="BB458" s="507"/>
      <c r="BC458" s="507"/>
      <c r="BD458" s="507"/>
      <c r="BE458" s="507"/>
      <c r="BF458" s="507"/>
      <c r="BG458" s="507"/>
      <c r="BH458" s="507"/>
      <c r="BI458" s="507"/>
      <c r="BJ458" s="507"/>
    </row>
    <row r="459" spans="1:62" ht="15.75" customHeight="1">
      <c r="A459" s="523" t="s">
        <v>173</v>
      </c>
      <c r="B459" s="504"/>
      <c r="C459" s="737" t="s">
        <v>227</v>
      </c>
      <c r="D459" s="507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600" t="s">
        <v>173</v>
      </c>
      <c r="W459" s="775" t="s">
        <v>174</v>
      </c>
      <c r="X459" s="768"/>
      <c r="Y459" s="776"/>
      <c r="Z459" s="769">
        <f>+INDEX('[5]Budget original'!$A$2:$AO$501,MATCH($A459,'[5]Budget original'!$A$2:$A$501,0),MATCH(F$2,'[5]Budget original'!$A$2:$AO$2,0))</f>
        <v>6784.05</v>
      </c>
      <c r="AA459" s="768"/>
      <c r="AB459" s="776"/>
      <c r="AC459" s="769"/>
      <c r="AD459" s="777"/>
      <c r="AE459" s="776"/>
      <c r="AF459" s="769">
        <f>SUMIFS([5]BV_Data_An_Cour!$O:$O,[5]BV_Data_An_Cour!$V:$V,$V459)</f>
        <v>6837.2100000000009</v>
      </c>
      <c r="AG459" s="770"/>
      <c r="AH459" s="771">
        <f t="shared" si="98"/>
        <v>53.160000000000764</v>
      </c>
      <c r="AI459" s="772">
        <f t="shared" si="99"/>
        <v>7.8360271519226365E-3</v>
      </c>
      <c r="AJ459" s="777"/>
      <c r="AK459" s="768"/>
      <c r="AL459" s="769">
        <f>+INDEX('[5]Réel 2023'!$A$2:$AO$501,MATCH($A459,'[5]Réel 2023'!$A$2:$A$501,0),MATCH(F$2,'[5]Réel 2023'!$A$2:$AO$2,0))</f>
        <v>6784.54</v>
      </c>
      <c r="AM459" s="773"/>
      <c r="AN459" s="771">
        <f t="shared" si="100"/>
        <v>52.670000000000982</v>
      </c>
      <c r="AO459" s="779">
        <f t="shared" si="93"/>
        <v>7.7632381856398494E-3</v>
      </c>
      <c r="AP459" s="507"/>
      <c r="AQ459" s="507"/>
      <c r="AR459" s="507"/>
      <c r="AS459" s="507"/>
      <c r="AT459" s="507"/>
      <c r="AU459" s="507"/>
      <c r="AV459" s="507"/>
      <c r="AW459" s="507"/>
      <c r="AX459" s="507"/>
      <c r="AY459" s="507"/>
      <c r="AZ459" s="507"/>
      <c r="BA459" s="507"/>
      <c r="BB459" s="507"/>
      <c r="BC459" s="507"/>
      <c r="BD459" s="507"/>
      <c r="BE459" s="507"/>
      <c r="BF459" s="507"/>
      <c r="BG459" s="507"/>
      <c r="BH459" s="507"/>
      <c r="BI459" s="507"/>
      <c r="BJ459" s="507"/>
    </row>
    <row r="460" spans="1:62" ht="15.75" customHeight="1">
      <c r="A460" s="523" t="s">
        <v>175</v>
      </c>
      <c r="B460" s="504"/>
      <c r="C460" s="737" t="s">
        <v>227</v>
      </c>
      <c r="D460" s="507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602" t="s">
        <v>175</v>
      </c>
      <c r="W460" s="780" t="s">
        <v>176</v>
      </c>
      <c r="X460" s="751"/>
      <c r="Y460" s="781"/>
      <c r="Z460" s="752">
        <f>+INDEX('[5]Budget original'!$A$2:$AO$501,MATCH($A460,'[5]Budget original'!$A$2:$A$501,0),MATCH(F$2,'[5]Budget original'!$A$2:$AO$2,0))</f>
        <v>1946.9211566305551</v>
      </c>
      <c r="AA460" s="751"/>
      <c r="AB460" s="781"/>
      <c r="AC460" s="752"/>
      <c r="AD460" s="782"/>
      <c r="AE460" s="781"/>
      <c r="AF460" s="752">
        <f>SUMIFS([5]BV_Data_An_Cour!$O:$O,[5]BV_Data_An_Cour!$V:$V,$V460)</f>
        <v>282.25</v>
      </c>
      <c r="AG460" s="753"/>
      <c r="AH460" s="754">
        <f t="shared" si="98"/>
        <v>-1664.6711566305551</v>
      </c>
      <c r="AI460" s="783">
        <f t="shared" si="99"/>
        <v>-0.85502751406303645</v>
      </c>
      <c r="AJ460" s="782"/>
      <c r="AK460" s="751"/>
      <c r="AL460" s="752">
        <f>+INDEX('[5]Réel 2023'!$A$2:$AO$501,MATCH($A460,'[5]Réel 2023'!$A$2:$A$501,0),MATCH(F$2,'[5]Réel 2023'!$A$2:$AO$2,0))</f>
        <v>3317.64</v>
      </c>
      <c r="AM460" s="756"/>
      <c r="AN460" s="754">
        <f t="shared" si="100"/>
        <v>-3035.39</v>
      </c>
      <c r="AO460" s="757">
        <f t="shared" si="93"/>
        <v>-0.914924464378293</v>
      </c>
      <c r="AP460" s="507"/>
      <c r="AQ460" s="507"/>
      <c r="AR460" s="507"/>
      <c r="AS460" s="507"/>
      <c r="AT460" s="507"/>
      <c r="AU460" s="507"/>
      <c r="AV460" s="507"/>
      <c r="AW460" s="507"/>
      <c r="AX460" s="507"/>
      <c r="AY460" s="507"/>
      <c r="AZ460" s="507"/>
      <c r="BA460" s="507"/>
      <c r="BB460" s="507"/>
      <c r="BC460" s="507"/>
      <c r="BD460" s="507"/>
      <c r="BE460" s="507"/>
      <c r="BF460" s="507"/>
      <c r="BG460" s="507"/>
      <c r="BH460" s="507"/>
      <c r="BI460" s="507"/>
      <c r="BJ460" s="507"/>
    </row>
    <row r="461" spans="1:62" ht="15.75" customHeight="1">
      <c r="A461" s="523" t="s">
        <v>177</v>
      </c>
      <c r="B461" s="504"/>
      <c r="C461" s="737" t="s">
        <v>227</v>
      </c>
      <c r="D461" s="507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816"/>
      <c r="V461" s="600" t="s">
        <v>177</v>
      </c>
      <c r="W461" s="775" t="s">
        <v>178</v>
      </c>
      <c r="X461" s="768"/>
      <c r="Y461" s="776"/>
      <c r="Z461" s="769">
        <f>+INDEX('[5]Budget original'!$A$2:$AO$501,MATCH($A461,'[5]Budget original'!$A$2:$A$501,0),MATCH(F$2,'[5]Budget original'!$A$2:$AO$2,0))</f>
        <v>1000</v>
      </c>
      <c r="AA461" s="768"/>
      <c r="AB461" s="776"/>
      <c r="AC461" s="769"/>
      <c r="AD461" s="777"/>
      <c r="AE461" s="776"/>
      <c r="AF461" s="769">
        <f>SUMIFS([5]BV_Data_An_Cour!$O:$O,[5]BV_Data_An_Cour!$V:$V,$V461)</f>
        <v>1159.0899999999999</v>
      </c>
      <c r="AG461" s="770"/>
      <c r="AH461" s="771">
        <f t="shared" si="98"/>
        <v>159.08999999999992</v>
      </c>
      <c r="AI461" s="817">
        <f t="shared" si="99"/>
        <v>0.15908999999999993</v>
      </c>
      <c r="AJ461" s="768"/>
      <c r="AK461" s="768"/>
      <c r="AL461" s="769">
        <f>+INDEX('[5]Réel 2023'!$A$2:$AO$501,MATCH($A461,'[5]Réel 2023'!$A$2:$A$501,0),MATCH(F$2,'[5]Réel 2023'!$A$2:$AO$2,0))</f>
        <v>515.29</v>
      </c>
      <c r="AM461" s="773"/>
      <c r="AN461" s="771">
        <f t="shared" si="100"/>
        <v>643.79999999999995</v>
      </c>
      <c r="AO461" s="779">
        <f t="shared" si="93"/>
        <v>1.249393545382212</v>
      </c>
      <c r="AP461" s="507"/>
      <c r="AQ461" s="507"/>
      <c r="AR461" s="507"/>
      <c r="AS461" s="507"/>
      <c r="AT461" s="507"/>
      <c r="AU461" s="507"/>
      <c r="AV461" s="507"/>
      <c r="AW461" s="507"/>
      <c r="AX461" s="507"/>
      <c r="AY461" s="507"/>
      <c r="AZ461" s="507"/>
      <c r="BA461" s="507"/>
      <c r="BB461" s="507"/>
      <c r="BC461" s="507"/>
      <c r="BD461" s="507"/>
      <c r="BE461" s="507"/>
      <c r="BF461" s="507"/>
      <c r="BG461" s="507"/>
      <c r="BH461" s="507"/>
      <c r="BI461" s="507"/>
      <c r="BJ461" s="507"/>
    </row>
    <row r="462" spans="1:62" ht="15.75" customHeight="1">
      <c r="A462" s="523" t="s">
        <v>179</v>
      </c>
      <c r="B462" s="504"/>
      <c r="C462" s="737" t="s">
        <v>227</v>
      </c>
      <c r="D462" s="507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816"/>
      <c r="V462" s="600" t="s">
        <v>179</v>
      </c>
      <c r="W462" s="775" t="s">
        <v>180</v>
      </c>
      <c r="X462" s="768"/>
      <c r="Y462" s="776"/>
      <c r="Z462" s="769">
        <v>0</v>
      </c>
      <c r="AA462" s="768"/>
      <c r="AB462" s="776"/>
      <c r="AC462" s="769"/>
      <c r="AD462" s="777"/>
      <c r="AE462" s="776"/>
      <c r="AF462" s="769">
        <f>SUMIFS([5]BV_Data_An_Cour!$O:$O,[5]BV_Data_An_Cour!$V:$V,$V462)</f>
        <v>0</v>
      </c>
      <c r="AG462" s="770"/>
      <c r="AH462" s="771">
        <v>0</v>
      </c>
      <c r="AI462" s="795">
        <v>0</v>
      </c>
      <c r="AJ462" s="768"/>
      <c r="AK462" s="768"/>
      <c r="AL462" s="769">
        <f>+INDEX('[5]Réel 2023'!$A$2:$AO$501,MATCH($A462,'[5]Réel 2023'!$A$2:$A$501,0),MATCH(F$2,'[5]Réel 2023'!$A$2:$AO$2,0))</f>
        <v>0</v>
      </c>
      <c r="AM462" s="773"/>
      <c r="AN462" s="771">
        <v>0</v>
      </c>
      <c r="AO462" s="779">
        <v>0</v>
      </c>
      <c r="AP462" s="507"/>
      <c r="AQ462" s="507"/>
      <c r="AR462" s="507"/>
      <c r="AS462" s="507"/>
      <c r="AT462" s="507"/>
      <c r="AU462" s="507"/>
      <c r="AV462" s="507"/>
      <c r="AW462" s="507"/>
      <c r="AX462" s="507"/>
      <c r="AY462" s="507"/>
      <c r="AZ462" s="507"/>
      <c r="BA462" s="507"/>
      <c r="BB462" s="507"/>
      <c r="BC462" s="507"/>
      <c r="BD462" s="507"/>
      <c r="BE462" s="507"/>
      <c r="BF462" s="507"/>
      <c r="BG462" s="507"/>
      <c r="BH462" s="507"/>
      <c r="BI462" s="507"/>
      <c r="BJ462" s="507"/>
    </row>
    <row r="463" spans="1:62" ht="15.75" hidden="1" customHeight="1">
      <c r="A463" s="523" t="s">
        <v>20</v>
      </c>
      <c r="B463" s="504"/>
      <c r="C463" s="737" t="s">
        <v>227</v>
      </c>
      <c r="D463" s="507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816"/>
      <c r="V463" s="600" t="s">
        <v>20</v>
      </c>
      <c r="W463" s="775"/>
      <c r="X463" s="768"/>
      <c r="Y463" s="776"/>
      <c r="Z463" s="769">
        <f>IFERROR(SUMIF($C:$C,$V463,F:F),0)</f>
        <v>0</v>
      </c>
      <c r="AA463" s="768"/>
      <c r="AB463" s="768"/>
      <c r="AC463" s="769"/>
      <c r="AD463" s="777"/>
      <c r="AE463" s="776"/>
      <c r="AF463" s="769">
        <f>IFERROR(SUMIF($C:$C,$V463,L:L),0)</f>
        <v>0</v>
      </c>
      <c r="AG463" s="770"/>
      <c r="AH463" s="771">
        <f>AF463-Z463</f>
        <v>0</v>
      </c>
      <c r="AI463" s="772">
        <f>IF(Z463=0,0,AH463/Z463)</f>
        <v>0</v>
      </c>
      <c r="AJ463" s="777"/>
      <c r="AK463" s="768"/>
      <c r="AL463" s="769">
        <f>IFERROR(SUMIF($C:$C,$V463,Q:Q),0)</f>
        <v>0</v>
      </c>
      <c r="AM463" s="773"/>
      <c r="AN463" s="771">
        <v>0</v>
      </c>
      <c r="AO463" s="779">
        <v>1</v>
      </c>
      <c r="AP463" s="507"/>
      <c r="AQ463" s="507"/>
      <c r="AR463" s="507"/>
      <c r="AS463" s="507"/>
      <c r="AT463" s="507"/>
      <c r="AU463" s="507"/>
      <c r="AV463" s="507"/>
      <c r="AW463" s="507"/>
      <c r="AX463" s="507"/>
      <c r="AY463" s="507"/>
      <c r="AZ463" s="507"/>
      <c r="BA463" s="507"/>
      <c r="BB463" s="507"/>
      <c r="BC463" s="507"/>
      <c r="BD463" s="507"/>
      <c r="BE463" s="507"/>
      <c r="BF463" s="507"/>
      <c r="BG463" s="507"/>
      <c r="BH463" s="507"/>
      <c r="BI463" s="507"/>
      <c r="BJ463" s="507"/>
    </row>
    <row r="464" spans="1:62" ht="15.75" hidden="1" customHeight="1">
      <c r="A464" s="523" t="s">
        <v>20</v>
      </c>
      <c r="B464" s="504"/>
      <c r="C464" s="737" t="s">
        <v>227</v>
      </c>
      <c r="D464" s="507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816"/>
      <c r="V464" s="600" t="s">
        <v>20</v>
      </c>
      <c r="W464" s="775"/>
      <c r="X464" s="768"/>
      <c r="Y464" s="776"/>
      <c r="Z464" s="769">
        <f>IFERROR(SUMIF($C:$C,$V464,F:F),0)</f>
        <v>0</v>
      </c>
      <c r="AA464" s="768"/>
      <c r="AB464" s="768"/>
      <c r="AC464" s="769"/>
      <c r="AD464" s="777"/>
      <c r="AE464" s="776"/>
      <c r="AF464" s="769">
        <f>IFERROR(SUMIF($C:$C,$V464,L:L),0)</f>
        <v>0</v>
      </c>
      <c r="AG464" s="770"/>
      <c r="AH464" s="771">
        <f>AF464-Z464</f>
        <v>0</v>
      </c>
      <c r="AI464" s="772">
        <f>IF(Z464=0,0,AH464/Z464)</f>
        <v>0</v>
      </c>
      <c r="AJ464" s="777"/>
      <c r="AK464" s="768"/>
      <c r="AL464" s="769">
        <f>IFERROR(SUMIF($C:$C,$V464,Q:Q),0)</f>
        <v>0</v>
      </c>
      <c r="AM464" s="773"/>
      <c r="AN464" s="771">
        <v>0</v>
      </c>
      <c r="AO464" s="779">
        <v>2</v>
      </c>
      <c r="AP464" s="507"/>
      <c r="AQ464" s="507"/>
      <c r="AR464" s="507"/>
      <c r="AS464" s="507"/>
      <c r="AT464" s="507"/>
      <c r="AU464" s="507"/>
      <c r="AV464" s="507"/>
      <c r="AW464" s="507"/>
      <c r="AX464" s="507"/>
      <c r="AY464" s="507"/>
      <c r="AZ464" s="507"/>
      <c r="BA464" s="507"/>
      <c r="BB464" s="507"/>
      <c r="BC464" s="507"/>
      <c r="BD464" s="507"/>
      <c r="BE464" s="507"/>
      <c r="BF464" s="507"/>
      <c r="BG464" s="507"/>
      <c r="BH464" s="507"/>
      <c r="BI464" s="507"/>
      <c r="BJ464" s="507"/>
    </row>
    <row r="465" spans="1:62" ht="15.75" hidden="1" customHeight="1">
      <c r="A465" s="523" t="s">
        <v>20</v>
      </c>
      <c r="B465" s="504"/>
      <c r="C465" s="737" t="s">
        <v>227</v>
      </c>
      <c r="D465" s="507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600" t="s">
        <v>20</v>
      </c>
      <c r="W465" s="775"/>
      <c r="X465" s="768"/>
      <c r="Y465" s="776"/>
      <c r="Z465" s="769">
        <f>IFERROR(SUMIF($C:$C,$V465,F:F),0)</f>
        <v>0</v>
      </c>
      <c r="AA465" s="768"/>
      <c r="AB465" s="768"/>
      <c r="AC465" s="769"/>
      <c r="AD465" s="777"/>
      <c r="AE465" s="776"/>
      <c r="AF465" s="769">
        <f>IFERROR(SUMIF($C:$C,$V465,L:L),0)</f>
        <v>0</v>
      </c>
      <c r="AG465" s="770"/>
      <c r="AH465" s="771">
        <f>AF465-Z465</f>
        <v>0</v>
      </c>
      <c r="AI465" s="772">
        <f>IF(Z465=0,0,AH465/Z465)</f>
        <v>0</v>
      </c>
      <c r="AJ465" s="777"/>
      <c r="AK465" s="768"/>
      <c r="AL465" s="769">
        <f>IFERROR(SUMIF($C:$C,$V465,Q:Q),0)</f>
        <v>0</v>
      </c>
      <c r="AM465" s="773"/>
      <c r="AN465" s="771">
        <v>0</v>
      </c>
      <c r="AO465" s="779">
        <v>3</v>
      </c>
      <c r="AP465" s="507"/>
      <c r="AQ465" s="507"/>
      <c r="AR465" s="507"/>
      <c r="AS465" s="507"/>
      <c r="AT465" s="507"/>
      <c r="AU465" s="507"/>
      <c r="AV465" s="507"/>
      <c r="AW465" s="507"/>
      <c r="AX465" s="507"/>
      <c r="AY465" s="507"/>
      <c r="AZ465" s="507"/>
      <c r="BA465" s="507"/>
      <c r="BB465" s="507"/>
      <c r="BC465" s="507"/>
      <c r="BD465" s="507"/>
      <c r="BE465" s="507"/>
      <c r="BF465" s="507"/>
      <c r="BG465" s="507"/>
      <c r="BH465" s="507"/>
      <c r="BI465" s="507"/>
      <c r="BJ465" s="507"/>
    </row>
    <row r="466" spans="1:62" ht="15.75" customHeight="1">
      <c r="A466" s="523" t="s">
        <v>181</v>
      </c>
      <c r="B466" s="504"/>
      <c r="C466" s="737" t="s">
        <v>227</v>
      </c>
      <c r="D466" s="507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785" t="s">
        <v>181</v>
      </c>
      <c r="W466" s="786"/>
      <c r="X466" s="787">
        <f>Z466/+Z407</f>
        <v>6.1691135845274692E-2</v>
      </c>
      <c r="Y466" s="786"/>
      <c r="Z466" s="788">
        <f>SUM(Z453:Z465)</f>
        <v>61697.064489963894</v>
      </c>
      <c r="AA466" s="787"/>
      <c r="AB466" s="786"/>
      <c r="AC466" s="788"/>
      <c r="AD466" s="789">
        <f>AF466/AF407</f>
        <v>8.9757623739715936E-2</v>
      </c>
      <c r="AE466" s="786"/>
      <c r="AF466" s="788">
        <f>SUM(AF453:AF465)</f>
        <v>59517.17</v>
      </c>
      <c r="AG466" s="810"/>
      <c r="AH466" s="811">
        <f>SUM(AH453:AH465)</f>
        <v>-2179.8944899638882</v>
      </c>
      <c r="AI466" s="787">
        <f>IF(Z466=0,0,AH466/Z466)</f>
        <v>-3.5332223793540229E-2</v>
      </c>
      <c r="AJ466" s="789">
        <f>IF($AL$407=0,0,AL466/$AL$407)</f>
        <v>7.0588743240326102E-2</v>
      </c>
      <c r="AK466" s="787"/>
      <c r="AL466" s="788">
        <f>SUM(AL453:AL465)</f>
        <v>52235.969999999994</v>
      </c>
      <c r="AM466" s="797"/>
      <c r="AN466" s="791">
        <f>SUM(AN453:AN465)</f>
        <v>7281.2000000000126</v>
      </c>
      <c r="AO466" s="812">
        <f t="shared" ref="AO466:AO483" si="101">IF(AL466=0,0,AN466/AL466)</f>
        <v>0.13939053874179064</v>
      </c>
      <c r="AP466" s="507"/>
      <c r="AQ466" s="507"/>
      <c r="AR466" s="507"/>
      <c r="AS466" s="507"/>
      <c r="AT466" s="507"/>
      <c r="AU466" s="507"/>
      <c r="AV466" s="507"/>
      <c r="AW466" s="507"/>
      <c r="AX466" s="507"/>
      <c r="AY466" s="507"/>
      <c r="AZ466" s="507"/>
      <c r="BA466" s="507"/>
      <c r="BB466" s="507"/>
      <c r="BC466" s="507"/>
      <c r="BD466" s="507"/>
      <c r="BE466" s="507"/>
      <c r="BF466" s="507"/>
      <c r="BG466" s="507"/>
      <c r="BH466" s="507"/>
      <c r="BI466" s="507"/>
      <c r="BJ466" s="507"/>
    </row>
    <row r="467" spans="1:62" ht="15.75" customHeight="1">
      <c r="A467" s="523" t="s">
        <v>469</v>
      </c>
      <c r="B467" s="504"/>
      <c r="C467" s="737" t="s">
        <v>227</v>
      </c>
      <c r="D467" s="507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600"/>
      <c r="W467" s="768"/>
      <c r="X467" s="768"/>
      <c r="Y467" s="768"/>
      <c r="Z467" s="818"/>
      <c r="AA467" s="768"/>
      <c r="AB467" s="768"/>
      <c r="AC467" s="818"/>
      <c r="AD467" s="777"/>
      <c r="AE467" s="768"/>
      <c r="AF467" s="818"/>
      <c r="AG467" s="777"/>
      <c r="AH467" s="771">
        <f t="shared" ref="AH467:AH481" si="102">AF467-Z467</f>
        <v>0</v>
      </c>
      <c r="AI467" s="772"/>
      <c r="AJ467" s="777"/>
      <c r="AK467" s="768"/>
      <c r="AL467" s="818"/>
      <c r="AM467" s="819"/>
      <c r="AN467" s="771">
        <f t="shared" ref="AN467:AN483" si="103">AF467-AL467</f>
        <v>0</v>
      </c>
      <c r="AO467" s="820">
        <f t="shared" si="101"/>
        <v>0</v>
      </c>
      <c r="AP467" s="507"/>
      <c r="AQ467" s="507"/>
      <c r="AR467" s="507"/>
      <c r="AS467" s="507"/>
      <c r="AT467" s="507"/>
      <c r="AU467" s="507"/>
      <c r="AV467" s="507"/>
      <c r="AW467" s="507"/>
      <c r="AX467" s="507"/>
      <c r="AY467" s="507"/>
      <c r="AZ467" s="507"/>
      <c r="BA467" s="507"/>
      <c r="BB467" s="507"/>
      <c r="BC467" s="507"/>
      <c r="BD467" s="507"/>
      <c r="BE467" s="507"/>
      <c r="BF467" s="507"/>
      <c r="BG467" s="507"/>
      <c r="BH467" s="507"/>
      <c r="BI467" s="507"/>
      <c r="BJ467" s="507"/>
    </row>
    <row r="468" spans="1:62" ht="15.75" customHeight="1">
      <c r="A468" s="523" t="s">
        <v>65</v>
      </c>
      <c r="B468" s="504"/>
      <c r="C468" s="737" t="s">
        <v>227</v>
      </c>
      <c r="D468" s="507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785" t="s">
        <v>65</v>
      </c>
      <c r="W468" s="786"/>
      <c r="X468" s="787">
        <f>Z468/+Z407</f>
        <v>0.74198318884719661</v>
      </c>
      <c r="Y468" s="786"/>
      <c r="Z468" s="788">
        <f>Z419+Z433+Z452+Z466</f>
        <v>742054.49495352397</v>
      </c>
      <c r="AA468" s="787"/>
      <c r="AB468" s="786"/>
      <c r="AC468" s="788"/>
      <c r="AD468" s="789">
        <f>AF468/AF407</f>
        <v>0.99180052567109389</v>
      </c>
      <c r="AE468" s="786"/>
      <c r="AF468" s="788">
        <f>AF419+AF433+AF452+AF466</f>
        <v>657650.66</v>
      </c>
      <c r="AG468" s="810"/>
      <c r="AH468" s="811">
        <f t="shared" si="102"/>
        <v>-84403.834953523939</v>
      </c>
      <c r="AI468" s="787">
        <f>AH468/Z468</f>
        <v>-0.11374344543093197</v>
      </c>
      <c r="AJ468" s="789">
        <f>IF($AL$407=0,0,AL468/$AL$407)</f>
        <v>0.85261073838427415</v>
      </c>
      <c r="AK468" s="787"/>
      <c r="AL468" s="788">
        <f>AL419+AL433+AL452+AL466</f>
        <v>630935.56999999995</v>
      </c>
      <c r="AM468" s="797"/>
      <c r="AN468" s="791">
        <f t="shared" si="103"/>
        <v>26715.090000000084</v>
      </c>
      <c r="AO468" s="766">
        <f t="shared" si="101"/>
        <v>4.2342025509831516E-2</v>
      </c>
      <c r="AP468" s="507"/>
      <c r="AQ468" s="507"/>
      <c r="AR468" s="507"/>
      <c r="AS468" s="507"/>
      <c r="AT468" s="507"/>
      <c r="AU468" s="507"/>
      <c r="AV468" s="507"/>
      <c r="AW468" s="507"/>
      <c r="AX468" s="507"/>
      <c r="AY468" s="507"/>
      <c r="AZ468" s="507"/>
      <c r="BA468" s="507"/>
      <c r="BB468" s="507"/>
      <c r="BC468" s="507"/>
      <c r="BD468" s="507"/>
      <c r="BE468" s="507"/>
      <c r="BF468" s="507"/>
      <c r="BG468" s="507"/>
      <c r="BH468" s="507"/>
      <c r="BI468" s="507"/>
      <c r="BJ468" s="507"/>
    </row>
    <row r="469" spans="1:62" ht="15.75" customHeight="1">
      <c r="A469" s="523" t="s">
        <v>182</v>
      </c>
      <c r="B469" s="504"/>
      <c r="C469" s="737" t="s">
        <v>227</v>
      </c>
      <c r="D469" s="507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600" t="s">
        <v>182</v>
      </c>
      <c r="W469" s="814"/>
      <c r="X469" s="814"/>
      <c r="Y469" s="768"/>
      <c r="Z469" s="800">
        <f>+INDEX('[5]Budget original'!$A$2:$AO$501,MATCH($A469,'[5]Budget original'!$A$2:$A$501,0),MATCH(F$2,'[5]Budget original'!$A$2:$AO$2,0))</f>
        <v>0</v>
      </c>
      <c r="AA469" s="821"/>
      <c r="AB469" s="822"/>
      <c r="AC469" s="800"/>
      <c r="AD469" s="823"/>
      <c r="AE469" s="822"/>
      <c r="AF469" s="769">
        <f>-SUMIFS([5]BV_Data_An_Cour!$O:$O,[5]BV_Data_An_Cour!$V:$V,$V469)</f>
        <v>32956.15</v>
      </c>
      <c r="AG469" s="824"/>
      <c r="AH469" s="771">
        <f t="shared" si="102"/>
        <v>32956.15</v>
      </c>
      <c r="AI469" s="817" t="e">
        <f>IF(AH469=0,0,AH469/Z469)</f>
        <v>#DIV/0!</v>
      </c>
      <c r="AJ469" s="823"/>
      <c r="AK469" s="821"/>
      <c r="AL469" s="825">
        <f>+INDEX('[5]Réel 2023'!$A$2:$AO$501,MATCH($A469,'[5]Réel 2023'!$A$2:$A$501,0),MATCH(F$2,'[5]Réel 2023'!$A$2:$AO$2,0))</f>
        <v>18795.23</v>
      </c>
      <c r="AM469" s="826"/>
      <c r="AN469" s="771">
        <f t="shared" si="103"/>
        <v>14160.920000000002</v>
      </c>
      <c r="AO469" s="779">
        <f t="shared" si="101"/>
        <v>0.75343158875948857</v>
      </c>
      <c r="AP469" s="507"/>
      <c r="AQ469" s="507"/>
      <c r="AR469" s="507"/>
      <c r="AS469" s="507"/>
      <c r="AT469" s="507"/>
      <c r="AU469" s="507"/>
      <c r="AV469" s="507"/>
      <c r="AW469" s="507"/>
      <c r="AX469" s="507"/>
      <c r="AY469" s="507"/>
      <c r="AZ469" s="507"/>
      <c r="BA469" s="507"/>
      <c r="BB469" s="507"/>
      <c r="BC469" s="507"/>
      <c r="BD469" s="507"/>
      <c r="BE469" s="507"/>
      <c r="BF469" s="507"/>
      <c r="BG469" s="507"/>
      <c r="BH469" s="507"/>
      <c r="BI469" s="507"/>
      <c r="BJ469" s="507"/>
    </row>
    <row r="470" spans="1:62" ht="15.75" customHeight="1">
      <c r="A470" s="523" t="s">
        <v>69</v>
      </c>
      <c r="B470" s="504"/>
      <c r="C470" s="737" t="s">
        <v>227</v>
      </c>
      <c r="D470" s="507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600" t="s">
        <v>69</v>
      </c>
      <c r="W470" s="768"/>
      <c r="X470" s="768"/>
      <c r="Y470" s="768"/>
      <c r="Z470" s="769">
        <f t="shared" ref="Z470:Z476" si="104">+SUMIF($C:$C,$V470,F:F)</f>
        <v>112505.4187209966</v>
      </c>
      <c r="AA470" s="813"/>
      <c r="AB470" s="771"/>
      <c r="AC470" s="769"/>
      <c r="AD470" s="827"/>
      <c r="AE470" s="828"/>
      <c r="AF470" s="769">
        <f t="shared" ref="AF470:AF476" si="105">+SUMIF($C:$C,$V470,L:L)</f>
        <v>66750.850000000006</v>
      </c>
      <c r="AG470" s="829"/>
      <c r="AH470" s="771">
        <f t="shared" si="102"/>
        <v>-45754.568720996598</v>
      </c>
      <c r="AI470" s="795">
        <f>IF(Z470=0,0,AH470/Z470)</f>
        <v>-0.40668768883447154</v>
      </c>
      <c r="AJ470" s="830"/>
      <c r="AK470" s="813"/>
      <c r="AL470" s="831">
        <f t="shared" ref="AL470:AL479" si="106">+SUMIF($C:$C,$V470,Q:Q)</f>
        <v>77258.09</v>
      </c>
      <c r="AM470" s="827"/>
      <c r="AN470" s="771">
        <f t="shared" si="103"/>
        <v>-10507.239999999991</v>
      </c>
      <c r="AO470" s="779">
        <f t="shared" si="101"/>
        <v>-0.13600180900149086</v>
      </c>
      <c r="AP470" s="507"/>
      <c r="AQ470" s="507"/>
      <c r="AR470" s="507"/>
      <c r="AS470" s="507"/>
      <c r="AT470" s="507"/>
      <c r="AU470" s="507"/>
      <c r="AV470" s="507"/>
      <c r="AW470" s="507"/>
      <c r="AX470" s="507"/>
      <c r="AY470" s="507"/>
      <c r="AZ470" s="507"/>
      <c r="BA470" s="507"/>
      <c r="BB470" s="507"/>
      <c r="BC470" s="507"/>
      <c r="BD470" s="507"/>
      <c r="BE470" s="507"/>
      <c r="BF470" s="507"/>
      <c r="BG470" s="507"/>
      <c r="BH470" s="507"/>
      <c r="BI470" s="507"/>
      <c r="BJ470" s="507"/>
    </row>
    <row r="471" spans="1:62" ht="15.75" customHeight="1">
      <c r="A471" s="523" t="s">
        <v>197</v>
      </c>
      <c r="B471" s="504"/>
      <c r="C471" s="737" t="s">
        <v>227</v>
      </c>
      <c r="D471" s="507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600" t="s">
        <v>197</v>
      </c>
      <c r="W471" s="768"/>
      <c r="X471" s="768"/>
      <c r="Y471" s="768"/>
      <c r="Z471" s="769">
        <f t="shared" si="104"/>
        <v>0</v>
      </c>
      <c r="AA471" s="813"/>
      <c r="AB471" s="814"/>
      <c r="AC471" s="769"/>
      <c r="AD471" s="830"/>
      <c r="AF471" s="769">
        <f t="shared" si="105"/>
        <v>0</v>
      </c>
      <c r="AG471" s="829"/>
      <c r="AH471" s="771">
        <f t="shared" si="102"/>
        <v>0</v>
      </c>
      <c r="AI471" s="795">
        <f t="shared" ref="AI471:AI480" si="107">IF(AH471=0,0,AH471/Z471)</f>
        <v>0</v>
      </c>
      <c r="AJ471" s="830"/>
      <c r="AK471" s="813"/>
      <c r="AL471" s="831">
        <f t="shared" si="106"/>
        <v>0</v>
      </c>
      <c r="AM471" s="827"/>
      <c r="AN471" s="771">
        <f t="shared" si="103"/>
        <v>0</v>
      </c>
      <c r="AO471" s="779">
        <f t="shared" si="101"/>
        <v>0</v>
      </c>
      <c r="AP471" s="507"/>
      <c r="AQ471" s="507"/>
      <c r="AR471" s="507"/>
      <c r="AS471" s="507"/>
      <c r="AT471" s="507"/>
      <c r="AU471" s="507"/>
      <c r="AV471" s="507"/>
      <c r="AW471" s="507"/>
      <c r="AX471" s="507"/>
      <c r="AY471" s="507"/>
      <c r="AZ471" s="507"/>
      <c r="BA471" s="507"/>
      <c r="BB471" s="507"/>
      <c r="BC471" s="507"/>
      <c r="BD471" s="507"/>
      <c r="BE471" s="507"/>
      <c r="BF471" s="507"/>
      <c r="BG471" s="507"/>
      <c r="BH471" s="507"/>
      <c r="BI471" s="507"/>
      <c r="BJ471" s="507"/>
    </row>
    <row r="472" spans="1:62" ht="15.75" customHeight="1">
      <c r="A472" s="523" t="s">
        <v>194</v>
      </c>
      <c r="B472" s="504"/>
      <c r="C472" s="737" t="s">
        <v>227</v>
      </c>
      <c r="D472" s="507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600" t="s">
        <v>194</v>
      </c>
      <c r="W472" s="768"/>
      <c r="X472" s="768"/>
      <c r="Y472" s="768"/>
      <c r="Z472" s="769">
        <f t="shared" si="104"/>
        <v>0</v>
      </c>
      <c r="AA472" s="813"/>
      <c r="AB472" s="814"/>
      <c r="AC472" s="769"/>
      <c r="AD472" s="830"/>
      <c r="AE472" s="814"/>
      <c r="AF472" s="769">
        <f t="shared" si="105"/>
        <v>0</v>
      </c>
      <c r="AG472" s="829"/>
      <c r="AH472" s="771">
        <f t="shared" si="102"/>
        <v>0</v>
      </c>
      <c r="AI472" s="795">
        <f t="shared" si="107"/>
        <v>0</v>
      </c>
      <c r="AJ472" s="830"/>
      <c r="AK472" s="813"/>
      <c r="AL472" s="831">
        <f t="shared" si="106"/>
        <v>0</v>
      </c>
      <c r="AM472" s="827"/>
      <c r="AN472" s="771">
        <f t="shared" si="103"/>
        <v>0</v>
      </c>
      <c r="AO472" s="779">
        <f t="shared" si="101"/>
        <v>0</v>
      </c>
      <c r="AP472" s="507"/>
      <c r="AQ472" s="507"/>
      <c r="AR472" s="507"/>
      <c r="AS472" s="507"/>
      <c r="AT472" s="507"/>
      <c r="AU472" s="507"/>
      <c r="AV472" s="507"/>
      <c r="AW472" s="507"/>
      <c r="AX472" s="507"/>
      <c r="AY472" s="507"/>
      <c r="AZ472" s="507"/>
      <c r="BA472" s="507"/>
      <c r="BB472" s="507"/>
      <c r="BC472" s="507"/>
      <c r="BD472" s="507"/>
      <c r="BE472" s="507"/>
      <c r="BF472" s="507"/>
      <c r="BG472" s="507"/>
      <c r="BH472" s="507"/>
      <c r="BI472" s="507"/>
      <c r="BJ472" s="507"/>
    </row>
    <row r="473" spans="1:62" ht="15.75" customHeight="1">
      <c r="A473" s="523" t="s">
        <v>68</v>
      </c>
      <c r="B473" s="504"/>
      <c r="C473" s="737" t="s">
        <v>227</v>
      </c>
      <c r="D473" s="507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600" t="s">
        <v>68</v>
      </c>
      <c r="W473" s="768"/>
      <c r="X473" s="768"/>
      <c r="Y473" s="768"/>
      <c r="Z473" s="769">
        <f t="shared" si="104"/>
        <v>0</v>
      </c>
      <c r="AA473" s="813"/>
      <c r="AB473" s="814"/>
      <c r="AC473" s="769"/>
      <c r="AD473" s="830"/>
      <c r="AE473" s="814"/>
      <c r="AF473" s="769">
        <f t="shared" si="105"/>
        <v>0</v>
      </c>
      <c r="AG473" s="829"/>
      <c r="AH473" s="771">
        <f t="shared" si="102"/>
        <v>0</v>
      </c>
      <c r="AI473" s="795">
        <f t="shared" si="107"/>
        <v>0</v>
      </c>
      <c r="AJ473" s="830"/>
      <c r="AK473" s="813"/>
      <c r="AL473" s="831">
        <f t="shared" si="106"/>
        <v>0</v>
      </c>
      <c r="AM473" s="827"/>
      <c r="AN473" s="771">
        <f t="shared" si="103"/>
        <v>0</v>
      </c>
      <c r="AO473" s="779">
        <f t="shared" si="101"/>
        <v>0</v>
      </c>
      <c r="AP473" s="507"/>
      <c r="AQ473" s="507"/>
      <c r="AR473" s="507"/>
      <c r="AS473" s="507"/>
      <c r="AT473" s="507"/>
      <c r="AU473" s="507"/>
      <c r="AV473" s="507"/>
      <c r="AW473" s="507"/>
      <c r="AX473" s="507"/>
      <c r="AY473" s="507"/>
      <c r="AZ473" s="507"/>
      <c r="BA473" s="507"/>
      <c r="BB473" s="507"/>
      <c r="BC473" s="507"/>
      <c r="BD473" s="507"/>
      <c r="BE473" s="507"/>
      <c r="BF473" s="507"/>
      <c r="BG473" s="507"/>
      <c r="BH473" s="507"/>
      <c r="BI473" s="507"/>
      <c r="BJ473" s="507"/>
    </row>
    <row r="474" spans="1:62" ht="15.75" customHeight="1">
      <c r="A474" s="523" t="s">
        <v>225</v>
      </c>
      <c r="B474" s="504"/>
      <c r="C474" s="737" t="s">
        <v>227</v>
      </c>
      <c r="D474" s="507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600" t="s">
        <v>225</v>
      </c>
      <c r="W474" s="768"/>
      <c r="X474" s="768"/>
      <c r="Y474" s="768"/>
      <c r="Z474" s="769">
        <f t="shared" si="104"/>
        <v>0</v>
      </c>
      <c r="AA474" s="813"/>
      <c r="AB474" s="814"/>
      <c r="AC474" s="769"/>
      <c r="AD474" s="830"/>
      <c r="AE474" s="814"/>
      <c r="AF474" s="769">
        <f t="shared" si="105"/>
        <v>0</v>
      </c>
      <c r="AG474" s="829"/>
      <c r="AH474" s="771">
        <f t="shared" si="102"/>
        <v>0</v>
      </c>
      <c r="AI474" s="795">
        <f t="shared" si="107"/>
        <v>0</v>
      </c>
      <c r="AJ474" s="830"/>
      <c r="AK474" s="813"/>
      <c r="AL474" s="831">
        <f t="shared" si="106"/>
        <v>0</v>
      </c>
      <c r="AM474" s="827"/>
      <c r="AN474" s="771">
        <f t="shared" si="103"/>
        <v>0</v>
      </c>
      <c r="AO474" s="779">
        <f t="shared" si="101"/>
        <v>0</v>
      </c>
      <c r="AP474" s="507"/>
      <c r="AQ474" s="507"/>
      <c r="AR474" s="507"/>
      <c r="AS474" s="507"/>
      <c r="AT474" s="507"/>
      <c r="AU474" s="507"/>
      <c r="AV474" s="507"/>
      <c r="AW474" s="507"/>
      <c r="AX474" s="507"/>
      <c r="AY474" s="507"/>
      <c r="AZ474" s="507"/>
      <c r="BA474" s="507"/>
      <c r="BB474" s="507"/>
      <c r="BC474" s="507"/>
      <c r="BD474" s="507"/>
      <c r="BE474" s="507"/>
      <c r="BF474" s="507"/>
      <c r="BG474" s="507"/>
      <c r="BH474" s="507"/>
      <c r="BI474" s="507"/>
      <c r="BJ474" s="507"/>
    </row>
    <row r="475" spans="1:62" ht="15.75" customHeight="1">
      <c r="A475" s="523" t="s">
        <v>81</v>
      </c>
      <c r="B475" s="504"/>
      <c r="C475" s="737" t="s">
        <v>227</v>
      </c>
      <c r="D475" s="507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600" t="s">
        <v>81</v>
      </c>
      <c r="W475" s="768"/>
      <c r="X475" s="768"/>
      <c r="Y475" s="768"/>
      <c r="Z475" s="769">
        <f t="shared" si="104"/>
        <v>0</v>
      </c>
      <c r="AA475" s="813"/>
      <c r="AB475" s="814"/>
      <c r="AC475" s="769"/>
      <c r="AD475" s="830"/>
      <c r="AE475" s="814"/>
      <c r="AF475" s="769">
        <f t="shared" si="105"/>
        <v>0</v>
      </c>
      <c r="AG475" s="829"/>
      <c r="AH475" s="771">
        <f t="shared" si="102"/>
        <v>0</v>
      </c>
      <c r="AI475" s="795">
        <f t="shared" si="107"/>
        <v>0</v>
      </c>
      <c r="AJ475" s="830"/>
      <c r="AK475" s="813"/>
      <c r="AL475" s="831">
        <f t="shared" si="106"/>
        <v>0</v>
      </c>
      <c r="AM475" s="827"/>
      <c r="AN475" s="771">
        <f t="shared" si="103"/>
        <v>0</v>
      </c>
      <c r="AO475" s="779">
        <f t="shared" si="101"/>
        <v>0</v>
      </c>
      <c r="AP475" s="507"/>
      <c r="AQ475" s="507"/>
      <c r="AR475" s="507"/>
      <c r="AS475" s="507"/>
      <c r="AT475" s="507"/>
      <c r="AU475" s="507"/>
      <c r="AV475" s="507"/>
      <c r="AW475" s="507"/>
      <c r="AX475" s="507"/>
      <c r="AY475" s="507"/>
      <c r="AZ475" s="507"/>
      <c r="BA475" s="507"/>
      <c r="BB475" s="507"/>
      <c r="BC475" s="507"/>
      <c r="BD475" s="507"/>
      <c r="BE475" s="507"/>
      <c r="BF475" s="507"/>
      <c r="BG475" s="507"/>
      <c r="BH475" s="507"/>
      <c r="BI475" s="507"/>
      <c r="BJ475" s="507"/>
    </row>
    <row r="476" spans="1:62" ht="15.75" customHeight="1">
      <c r="A476" s="523" t="s">
        <v>82</v>
      </c>
      <c r="B476" s="504"/>
      <c r="C476" s="737" t="s">
        <v>227</v>
      </c>
      <c r="D476" s="507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600" t="s">
        <v>82</v>
      </c>
      <c r="W476" s="768"/>
      <c r="X476" s="768"/>
      <c r="Y476" s="768"/>
      <c r="Z476" s="769">
        <f t="shared" si="104"/>
        <v>0</v>
      </c>
      <c r="AA476" s="813"/>
      <c r="AB476" s="814"/>
      <c r="AC476" s="769"/>
      <c r="AD476" s="830"/>
      <c r="AE476" s="814"/>
      <c r="AF476" s="769">
        <f t="shared" si="105"/>
        <v>0</v>
      </c>
      <c r="AG476" s="829"/>
      <c r="AH476" s="771">
        <f t="shared" si="102"/>
        <v>0</v>
      </c>
      <c r="AI476" s="795">
        <f t="shared" si="107"/>
        <v>0</v>
      </c>
      <c r="AJ476" s="830"/>
      <c r="AK476" s="813"/>
      <c r="AL476" s="831">
        <f t="shared" si="106"/>
        <v>0</v>
      </c>
      <c r="AM476" s="827"/>
      <c r="AN476" s="771">
        <f t="shared" si="103"/>
        <v>0</v>
      </c>
      <c r="AO476" s="779">
        <f t="shared" si="101"/>
        <v>0</v>
      </c>
      <c r="AP476" s="507"/>
      <c r="AQ476" s="507"/>
      <c r="AR476" s="507"/>
      <c r="AS476" s="507"/>
      <c r="AT476" s="507"/>
      <c r="AU476" s="507"/>
      <c r="AV476" s="507"/>
      <c r="AW476" s="507"/>
      <c r="AX476" s="507"/>
      <c r="AY476" s="507"/>
      <c r="AZ476" s="507"/>
      <c r="BA476" s="507"/>
      <c r="BB476" s="507"/>
      <c r="BC476" s="507"/>
      <c r="BD476" s="507"/>
      <c r="BE476" s="507"/>
      <c r="BF476" s="507"/>
      <c r="BG476" s="507"/>
      <c r="BH476" s="507"/>
      <c r="BI476" s="507"/>
      <c r="BJ476" s="507"/>
    </row>
    <row r="477" spans="1:62" ht="15.75" hidden="1" customHeight="1">
      <c r="A477" s="523" t="s">
        <v>20</v>
      </c>
      <c r="B477" s="504"/>
      <c r="C477" s="737" t="s">
        <v>227</v>
      </c>
      <c r="D477" s="507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600" t="s">
        <v>20</v>
      </c>
      <c r="W477" s="768"/>
      <c r="X477" s="768"/>
      <c r="Y477" s="768"/>
      <c r="Z477" s="769">
        <f>+INDEX('[5]Budget original'!$A$2:$AO$501,MATCH($A477,'[5]Budget original'!$A$2:$A$501,0),MATCH(F$2,'[5]Budget original'!$A$2:$AO$2,0))</f>
        <v>0</v>
      </c>
      <c r="AA477" s="768"/>
      <c r="AB477" s="768"/>
      <c r="AC477" s="769"/>
      <c r="AD477" s="777"/>
      <c r="AE477" s="776"/>
      <c r="AF477" s="769">
        <f>IFERROR(SUMIF($C:$C,$V477,L:L),0)</f>
        <v>0</v>
      </c>
      <c r="AG477" s="770"/>
      <c r="AH477" s="771">
        <f t="shared" si="102"/>
        <v>0</v>
      </c>
      <c r="AI477" s="772">
        <f t="shared" si="107"/>
        <v>0</v>
      </c>
      <c r="AJ477" s="777"/>
      <c r="AK477" s="768"/>
      <c r="AL477" s="769">
        <f>+INDEX('[5]Réel 2023'!$A$2:$AO$501,MATCH($A477,'[5]Réel 2023'!$A$2:$A$501,0),MATCH(F$2,'[5]Réel 2023'!$A$2:$AO$2,0))</f>
        <v>0</v>
      </c>
      <c r="AM477" s="827"/>
      <c r="AN477" s="771">
        <f t="shared" si="103"/>
        <v>0</v>
      </c>
      <c r="AO477" s="779">
        <f t="shared" si="101"/>
        <v>0</v>
      </c>
      <c r="AP477" s="507"/>
      <c r="AQ477" s="507"/>
      <c r="AR477" s="507"/>
      <c r="AS477" s="507"/>
      <c r="AT477" s="507"/>
      <c r="AU477" s="507"/>
      <c r="AV477" s="507"/>
      <c r="AW477" s="507"/>
      <c r="AX477" s="507"/>
      <c r="AY477" s="507"/>
      <c r="AZ477" s="507"/>
      <c r="BA477" s="507"/>
      <c r="BB477" s="507"/>
      <c r="BC477" s="507"/>
      <c r="BD477" s="507"/>
      <c r="BE477" s="507"/>
      <c r="BF477" s="507"/>
      <c r="BG477" s="507"/>
      <c r="BH477" s="507"/>
      <c r="BI477" s="507"/>
      <c r="BJ477" s="507"/>
    </row>
    <row r="478" spans="1:62" ht="15.75" hidden="1" customHeight="1">
      <c r="A478" s="523" t="s">
        <v>20</v>
      </c>
      <c r="B478" s="504"/>
      <c r="C478" s="737" t="s">
        <v>227</v>
      </c>
      <c r="D478" s="507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600" t="s">
        <v>20</v>
      </c>
      <c r="W478" s="768"/>
      <c r="X478" s="768"/>
      <c r="Y478" s="768"/>
      <c r="Z478" s="769">
        <f>IFERROR(SUMIF($C:$C,$V478,F:F),0)</f>
        <v>0</v>
      </c>
      <c r="AA478" s="768"/>
      <c r="AB478" s="768"/>
      <c r="AC478" s="769"/>
      <c r="AD478" s="777"/>
      <c r="AE478" s="776"/>
      <c r="AF478" s="769">
        <f>IFERROR(SUMIF($C:$C,$V478,L:L),0)</f>
        <v>0</v>
      </c>
      <c r="AG478" s="770"/>
      <c r="AH478" s="771">
        <f t="shared" si="102"/>
        <v>0</v>
      </c>
      <c r="AI478" s="772">
        <f t="shared" si="107"/>
        <v>0</v>
      </c>
      <c r="AJ478" s="777"/>
      <c r="AK478" s="768"/>
      <c r="AL478" s="769">
        <f t="shared" si="106"/>
        <v>0</v>
      </c>
      <c r="AM478" s="827"/>
      <c r="AN478" s="771">
        <f t="shared" si="103"/>
        <v>0</v>
      </c>
      <c r="AO478" s="779">
        <f t="shared" si="101"/>
        <v>0</v>
      </c>
      <c r="AP478" s="507"/>
      <c r="AQ478" s="507"/>
      <c r="AR478" s="507"/>
      <c r="AS478" s="507"/>
      <c r="AT478" s="507"/>
      <c r="AU478" s="507"/>
      <c r="AV478" s="507"/>
      <c r="AW478" s="507"/>
      <c r="AX478" s="507"/>
      <c r="AY478" s="507"/>
      <c r="AZ478" s="507"/>
      <c r="BA478" s="507"/>
      <c r="BB478" s="507"/>
      <c r="BC478" s="507"/>
      <c r="BD478" s="507"/>
      <c r="BE478" s="507"/>
      <c r="BF478" s="507"/>
      <c r="BG478" s="507"/>
      <c r="BH478" s="507"/>
      <c r="BI478" s="507"/>
      <c r="BJ478" s="507"/>
    </row>
    <row r="479" spans="1:62" ht="15.75" hidden="1" customHeight="1">
      <c r="A479" s="523" t="s">
        <v>20</v>
      </c>
      <c r="B479" s="504"/>
      <c r="C479" s="737" t="s">
        <v>227</v>
      </c>
      <c r="D479" s="507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600" t="s">
        <v>20</v>
      </c>
      <c r="W479" s="768"/>
      <c r="X479" s="768"/>
      <c r="Y479" s="768"/>
      <c r="Z479" s="769">
        <f>IFERROR(SUMIF($C:$C,$V479,F:F),0)</f>
        <v>0</v>
      </c>
      <c r="AA479" s="768"/>
      <c r="AB479" s="768"/>
      <c r="AC479" s="769"/>
      <c r="AD479" s="777"/>
      <c r="AE479" s="776"/>
      <c r="AF479" s="769">
        <f>IFERROR(SUMIF($C:$C,$V479,L:L),0)</f>
        <v>0</v>
      </c>
      <c r="AG479" s="770"/>
      <c r="AH479" s="771">
        <f t="shared" si="102"/>
        <v>0</v>
      </c>
      <c r="AI479" s="772">
        <f t="shared" si="107"/>
        <v>0</v>
      </c>
      <c r="AJ479" s="777"/>
      <c r="AK479" s="768"/>
      <c r="AL479" s="769">
        <f t="shared" si="106"/>
        <v>0</v>
      </c>
      <c r="AM479" s="827"/>
      <c r="AN479" s="771">
        <f t="shared" si="103"/>
        <v>0</v>
      </c>
      <c r="AO479" s="779">
        <f t="shared" si="101"/>
        <v>0</v>
      </c>
      <c r="AP479" s="507"/>
      <c r="AQ479" s="507"/>
      <c r="AR479" s="507"/>
      <c r="AS479" s="507"/>
      <c r="AT479" s="507"/>
      <c r="AU479" s="507"/>
      <c r="AV479" s="507"/>
      <c r="AW479" s="507"/>
      <c r="AX479" s="507"/>
      <c r="AY479" s="507"/>
      <c r="AZ479" s="507"/>
      <c r="BA479" s="507"/>
      <c r="BB479" s="507"/>
      <c r="BC479" s="507"/>
      <c r="BD479" s="507"/>
      <c r="BE479" s="507"/>
      <c r="BF479" s="507"/>
      <c r="BG479" s="507"/>
      <c r="BH479" s="507"/>
      <c r="BI479" s="507"/>
      <c r="BJ479" s="507"/>
    </row>
    <row r="480" spans="1:62" ht="15.75" customHeight="1">
      <c r="A480" s="523" t="s">
        <v>70</v>
      </c>
      <c r="B480" s="504"/>
      <c r="C480" s="737" t="s">
        <v>227</v>
      </c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602" t="s">
        <v>70</v>
      </c>
      <c r="W480" s="768"/>
      <c r="X480" s="768"/>
      <c r="Y480" s="768"/>
      <c r="Z480" s="769">
        <f>+SUMIF($C:$C,$V480,F:F)</f>
        <v>55679.542749999993</v>
      </c>
      <c r="AA480" s="813"/>
      <c r="AB480" s="814"/>
      <c r="AC480" s="769"/>
      <c r="AD480" s="832">
        <f>AF480/499</f>
        <v>89.591182364729463</v>
      </c>
      <c r="AE480" s="813">
        <f>(AF480/399)/(J13+J15+J97)</f>
        <v>1.2047861589457514</v>
      </c>
      <c r="AF480" s="769">
        <f>+SUMIF($C:$C,$V480,L:L)</f>
        <v>44706</v>
      </c>
      <c r="AG480" s="829"/>
      <c r="AH480" s="771">
        <f t="shared" si="102"/>
        <v>-10973.542749999993</v>
      </c>
      <c r="AI480" s="795">
        <f t="shared" si="107"/>
        <v>-0.19708392361034599</v>
      </c>
      <c r="AJ480" s="830"/>
      <c r="AK480" s="813"/>
      <c r="AL480" s="831">
        <f>+INDEX('[5]Réel 2023'!$A$2:$AO$501,MATCH($A480,'[5]Réel 2023'!$A$2:$A$501,0),MATCH(F$2,'[5]Réel 2023'!$A$2:$AO$2,0))</f>
        <v>39298</v>
      </c>
      <c r="AM480" s="827"/>
      <c r="AN480" s="771">
        <f t="shared" si="103"/>
        <v>5408</v>
      </c>
      <c r="AO480" s="779">
        <f t="shared" si="101"/>
        <v>0.13761514580894701</v>
      </c>
      <c r="AP480" s="507"/>
      <c r="AQ480" s="507"/>
      <c r="AR480" s="507"/>
      <c r="AS480" s="507"/>
      <c r="AT480" s="507"/>
      <c r="AU480" s="507"/>
      <c r="AV480" s="507"/>
      <c r="AW480" s="507"/>
      <c r="AX480" s="507"/>
      <c r="AY480" s="507"/>
      <c r="AZ480" s="507"/>
      <c r="BA480" s="507"/>
      <c r="BB480" s="507"/>
      <c r="BC480" s="507"/>
      <c r="BD480" s="507"/>
      <c r="BE480" s="507"/>
      <c r="BF480" s="507"/>
      <c r="BG480" s="507"/>
      <c r="BH480" s="507"/>
      <c r="BI480" s="507"/>
      <c r="BJ480" s="507"/>
    </row>
    <row r="481" spans="1:62" ht="15.75" customHeight="1">
      <c r="A481" s="523" t="s">
        <v>183</v>
      </c>
      <c r="B481" s="504"/>
      <c r="C481" s="737" t="s">
        <v>227</v>
      </c>
      <c r="D481" s="507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785" t="s">
        <v>183</v>
      </c>
      <c r="W481" s="786"/>
      <c r="X481" s="787">
        <f>Z481/+Z407</f>
        <v>0.16816880010437615</v>
      </c>
      <c r="Y481" s="809"/>
      <c r="Z481" s="788">
        <f>SUM(Z469:Z480)</f>
        <v>168184.96147099661</v>
      </c>
      <c r="AA481" s="787"/>
      <c r="AB481" s="809"/>
      <c r="AC481" s="788"/>
      <c r="AD481" s="787">
        <f>AF481/+AF407</f>
        <v>0.21778871067161959</v>
      </c>
      <c r="AE481" s="809"/>
      <c r="AF481" s="788">
        <f>SUM(AF469:AF480)</f>
        <v>144413</v>
      </c>
      <c r="AG481" s="810"/>
      <c r="AH481" s="791">
        <f t="shared" si="102"/>
        <v>-23771.961470996612</v>
      </c>
      <c r="AI481" s="787">
        <f>AH481/Z481</f>
        <v>-0.14134415623775062</v>
      </c>
      <c r="AJ481" s="833"/>
      <c r="AK481" s="834"/>
      <c r="AL481" s="788">
        <f>SUM(AL469:AL480)</f>
        <v>135351.32</v>
      </c>
      <c r="AM481" s="835"/>
      <c r="AN481" s="791">
        <f t="shared" si="103"/>
        <v>9061.679999999993</v>
      </c>
      <c r="AO481" s="812">
        <f t="shared" si="101"/>
        <v>6.6949328606473818E-2</v>
      </c>
      <c r="AP481" s="507"/>
      <c r="AQ481" s="507"/>
      <c r="AR481" s="507"/>
      <c r="AS481" s="507"/>
      <c r="AT481" s="507"/>
      <c r="AU481" s="507"/>
      <c r="AV481" s="507"/>
      <c r="AW481" s="507"/>
      <c r="AX481" s="507"/>
      <c r="AY481" s="507"/>
      <c r="AZ481" s="507"/>
      <c r="BA481" s="507"/>
      <c r="BB481" s="507"/>
      <c r="BC481" s="507"/>
      <c r="BD481" s="507"/>
      <c r="BE481" s="507"/>
      <c r="BF481" s="507"/>
      <c r="BG481" s="507"/>
      <c r="BH481" s="507"/>
      <c r="BI481" s="507"/>
      <c r="BJ481" s="507"/>
    </row>
    <row r="482" spans="1:62" ht="6" customHeight="1" thickBot="1">
      <c r="A482" s="523" t="s">
        <v>469</v>
      </c>
      <c r="B482" s="504"/>
      <c r="C482" s="737" t="s">
        <v>227</v>
      </c>
      <c r="D482" s="507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836"/>
      <c r="W482" s="837"/>
      <c r="X482" s="837"/>
      <c r="Y482" s="838"/>
      <c r="Z482" s="839"/>
      <c r="AA482" s="837"/>
      <c r="AB482" s="840"/>
      <c r="AC482" s="839"/>
      <c r="AD482" s="837"/>
      <c r="AE482" s="840"/>
      <c r="AF482" s="841"/>
      <c r="AG482" s="842"/>
      <c r="AH482" s="843"/>
      <c r="AI482" s="844"/>
      <c r="AJ482" s="845"/>
      <c r="AK482" s="846"/>
      <c r="AL482" s="841"/>
      <c r="AM482" s="847"/>
      <c r="AN482" s="843">
        <f t="shared" si="103"/>
        <v>0</v>
      </c>
      <c r="AO482" s="848">
        <f t="shared" si="101"/>
        <v>0</v>
      </c>
      <c r="AP482" s="507"/>
      <c r="AQ482" s="507"/>
      <c r="AR482" s="507"/>
      <c r="AS482" s="507"/>
      <c r="AT482" s="507"/>
      <c r="AU482" s="507"/>
      <c r="AV482" s="507"/>
      <c r="AW482" s="507"/>
      <c r="AX482" s="507"/>
      <c r="AY482" s="507"/>
      <c r="AZ482" s="507"/>
      <c r="BA482" s="507"/>
      <c r="BB482" s="507"/>
      <c r="BC482" s="507"/>
      <c r="BD482" s="507"/>
      <c r="BE482" s="507"/>
      <c r="BF482" s="507"/>
      <c r="BG482" s="507"/>
      <c r="BH482" s="507"/>
      <c r="BI482" s="507"/>
      <c r="BJ482" s="507"/>
    </row>
    <row r="483" spans="1:62" ht="15.75" customHeight="1" thickTop="1" thickBot="1">
      <c r="A483" s="523" t="s">
        <v>184</v>
      </c>
      <c r="B483" s="504"/>
      <c r="C483" s="737" t="s">
        <v>227</v>
      </c>
      <c r="D483" s="507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849" t="s">
        <v>184</v>
      </c>
      <c r="W483" s="850"/>
      <c r="X483" s="851" t="s">
        <v>185</v>
      </c>
      <c r="Y483" s="852">
        <f>Z483/Z406</f>
        <v>6.1482228605501454E-2</v>
      </c>
      <c r="Z483" s="853">
        <f>Z407-Z468+Z481</f>
        <v>426226.56856856914</v>
      </c>
      <c r="AA483" s="851"/>
      <c r="AB483" s="852"/>
      <c r="AC483" s="853"/>
      <c r="AD483" s="851" t="s">
        <v>185</v>
      </c>
      <c r="AE483" s="852">
        <f>AF483/AF406</f>
        <v>3.1502316578024617E-2</v>
      </c>
      <c r="AF483" s="854">
        <f>AF407-AF468+AF481</f>
        <v>149849.9700000002</v>
      </c>
      <c r="AG483" s="855"/>
      <c r="AH483" s="855">
        <f>AF483-Z483</f>
        <v>-276376.59856856894</v>
      </c>
      <c r="AI483" s="856">
        <f>AH483/Z483</f>
        <v>-0.64842649179929501</v>
      </c>
      <c r="AJ483" s="857" t="s">
        <v>185</v>
      </c>
      <c r="AK483" s="852">
        <f>IF($AL$406=0,0,AL483/$AL$406)</f>
        <v>2.3031411601125092E-2</v>
      </c>
      <c r="AL483" s="854">
        <f>AL407-AL468+AL481</f>
        <v>244419.99999999878</v>
      </c>
      <c r="AM483" s="858"/>
      <c r="AN483" s="854">
        <f t="shared" si="103"/>
        <v>-94570.029999998573</v>
      </c>
      <c r="AO483" s="859">
        <f t="shared" si="101"/>
        <v>-0.38691608706324787</v>
      </c>
      <c r="AP483" s="507"/>
      <c r="AQ483" s="507"/>
      <c r="AR483" s="507"/>
      <c r="AS483" s="507"/>
      <c r="AT483" s="507"/>
      <c r="AU483" s="507"/>
      <c r="AV483" s="507"/>
      <c r="AW483" s="507"/>
      <c r="AX483" s="507"/>
      <c r="AY483" s="507"/>
      <c r="AZ483" s="507"/>
      <c r="BA483" s="507"/>
      <c r="BB483" s="507"/>
      <c r="BC483" s="507"/>
      <c r="BD483" s="507"/>
      <c r="BE483" s="507"/>
      <c r="BF483" s="507"/>
      <c r="BG483" s="507"/>
      <c r="BH483" s="507"/>
      <c r="BI483" s="507"/>
      <c r="BJ483" s="507"/>
    </row>
    <row r="484" spans="1:62" ht="8.25" customHeight="1" thickTop="1">
      <c r="A484" s="523" t="s">
        <v>469</v>
      </c>
      <c r="B484" s="504"/>
      <c r="C484" s="737" t="s">
        <v>227</v>
      </c>
      <c r="D484" s="507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496"/>
      <c r="W484" s="496"/>
      <c r="X484" s="496"/>
      <c r="Y484" s="496"/>
      <c r="Z484" s="573"/>
      <c r="AA484" s="510"/>
      <c r="AB484" s="510"/>
      <c r="AC484" s="573"/>
      <c r="AD484" s="510"/>
      <c r="AE484" s="510"/>
      <c r="AF484" s="860"/>
      <c r="AG484" s="510"/>
      <c r="AH484" s="510"/>
      <c r="AI484" s="510"/>
      <c r="AJ484" s="510"/>
      <c r="AK484" s="510"/>
      <c r="AL484" s="573"/>
      <c r="AM484" s="510"/>
      <c r="AN484" s="510"/>
      <c r="AO484" s="510"/>
      <c r="AP484" s="507"/>
      <c r="AQ484" s="507"/>
      <c r="AR484" s="507"/>
      <c r="AS484" s="507"/>
      <c r="AT484" s="507"/>
      <c r="AU484" s="507"/>
      <c r="AV484" s="507"/>
      <c r="AW484" s="507"/>
      <c r="AX484" s="507"/>
      <c r="AY484" s="507"/>
      <c r="AZ484" s="507"/>
      <c r="BA484" s="507"/>
      <c r="BB484" s="507"/>
      <c r="BC484" s="507"/>
      <c r="BD484" s="507"/>
      <c r="BE484" s="507"/>
      <c r="BF484" s="507"/>
      <c r="BG484" s="507"/>
      <c r="BH484" s="507"/>
      <c r="BI484" s="507"/>
      <c r="BJ484" s="507"/>
    </row>
    <row r="485" spans="1:62" ht="18" customHeight="1">
      <c r="A485" s="523" t="s">
        <v>478</v>
      </c>
      <c r="B485" s="504"/>
      <c r="C485" s="737" t="s">
        <v>227</v>
      </c>
      <c r="D485" s="507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861" t="str">
        <f>C1</f>
        <v>Volks</v>
      </c>
      <c r="W485" s="861"/>
      <c r="X485" s="861"/>
      <c r="Y485" s="861"/>
      <c r="Z485" s="861"/>
      <c r="AA485" s="861"/>
      <c r="AB485" s="861"/>
      <c r="AC485" s="861"/>
      <c r="AD485" s="861"/>
      <c r="AE485" s="862" t="s">
        <v>186</v>
      </c>
      <c r="AF485" s="861"/>
      <c r="AG485" s="861"/>
      <c r="AH485" s="861"/>
      <c r="AI485" s="861"/>
      <c r="AJ485" s="863"/>
      <c r="AK485" s="864"/>
      <c r="AL485" s="861"/>
      <c r="AM485" s="861"/>
      <c r="AN485" s="861"/>
      <c r="AO485" s="865" t="str">
        <f>$S$1</f>
        <v>Réalisé, Octobre 2024</v>
      </c>
      <c r="AP485" s="507"/>
      <c r="AQ485" s="507"/>
      <c r="AR485" s="507"/>
      <c r="AS485" s="507"/>
      <c r="AT485" s="507"/>
      <c r="AU485" s="507"/>
      <c r="AV485" s="507"/>
      <c r="AW485" s="507"/>
      <c r="AX485" s="507"/>
      <c r="AY485" s="507"/>
      <c r="AZ485" s="507"/>
      <c r="BA485" s="507"/>
      <c r="BB485" s="507"/>
      <c r="BC485" s="507"/>
      <c r="BD485" s="507"/>
      <c r="BE485" s="507"/>
      <c r="BF485" s="507"/>
      <c r="BG485" s="507"/>
      <c r="BH485" s="507"/>
      <c r="BI485" s="507"/>
      <c r="BJ485" s="507"/>
    </row>
    <row r="486" spans="1:62" ht="19.5" customHeight="1">
      <c r="A486" s="523" t="s">
        <v>469</v>
      </c>
      <c r="B486" s="504"/>
      <c r="C486" s="737" t="s">
        <v>227</v>
      </c>
      <c r="D486" s="507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496"/>
      <c r="W486" s="496"/>
      <c r="X486" s="496"/>
      <c r="Y486" s="496"/>
      <c r="Z486" s="573"/>
      <c r="AA486" s="510"/>
      <c r="AB486" s="510"/>
      <c r="AC486" s="573"/>
      <c r="AD486" s="510"/>
      <c r="AE486" s="510"/>
      <c r="AF486" s="860"/>
      <c r="AG486" s="510"/>
      <c r="AH486" s="510"/>
      <c r="AI486" s="510"/>
      <c r="AJ486" s="510"/>
      <c r="AK486" s="510"/>
      <c r="AL486" s="573"/>
      <c r="AM486" s="510"/>
      <c r="AN486" s="510"/>
      <c r="AO486" s="510"/>
      <c r="AP486" s="507"/>
      <c r="AQ486" s="507"/>
      <c r="AR486" s="507"/>
      <c r="AS486" s="507"/>
      <c r="AT486" s="507"/>
      <c r="AU486" s="507"/>
      <c r="AV486" s="507"/>
      <c r="AW486" s="507"/>
      <c r="AX486" s="507"/>
      <c r="AY486" s="507"/>
      <c r="AZ486" s="507"/>
      <c r="BA486" s="507"/>
      <c r="BB486" s="507"/>
      <c r="BC486" s="507"/>
      <c r="BD486" s="507"/>
      <c r="BE486" s="507"/>
      <c r="BF486" s="507"/>
      <c r="BG486" s="507"/>
      <c r="BH486" s="507"/>
      <c r="BI486" s="507"/>
      <c r="BJ486" s="507"/>
    </row>
    <row r="487" spans="1:62" ht="19.5" customHeight="1" thickBot="1">
      <c r="A487" s="523" t="s">
        <v>469</v>
      </c>
      <c r="B487" s="504"/>
      <c r="C487" s="737" t="s">
        <v>227</v>
      </c>
      <c r="D487" s="507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496"/>
      <c r="W487" s="496"/>
      <c r="X487" s="496"/>
      <c r="Y487" s="496"/>
      <c r="Z487" s="573"/>
      <c r="AA487" s="510"/>
      <c r="AB487" s="510"/>
      <c r="AC487" s="573"/>
      <c r="AD487" s="510"/>
      <c r="AE487" s="510"/>
      <c r="AF487" s="860"/>
      <c r="AG487" s="510"/>
      <c r="AH487" s="510"/>
      <c r="AI487" s="510"/>
      <c r="AJ487" s="510"/>
      <c r="AK487" s="510"/>
      <c r="AL487" s="573"/>
      <c r="AM487" s="510"/>
      <c r="AN487" s="510"/>
      <c r="AO487" s="510"/>
      <c r="AP487" s="507"/>
      <c r="AQ487" s="507"/>
      <c r="AR487" s="507"/>
      <c r="AS487" s="507"/>
      <c r="AT487" s="507"/>
      <c r="AU487" s="507"/>
      <c r="AV487" s="507"/>
      <c r="AW487" s="507"/>
      <c r="AX487" s="507"/>
      <c r="AY487" s="507"/>
      <c r="AZ487" s="507"/>
      <c r="BA487" s="507"/>
      <c r="BB487" s="507"/>
      <c r="BC487" s="507"/>
      <c r="BD487" s="507"/>
      <c r="BE487" s="507"/>
      <c r="BF487" s="507"/>
      <c r="BG487" s="507"/>
      <c r="BH487" s="507"/>
      <c r="BI487" s="507"/>
      <c r="BJ487" s="507"/>
    </row>
    <row r="488" spans="1:62" ht="19.5" customHeight="1" thickTop="1" thickBot="1">
      <c r="A488" s="523" t="s">
        <v>469</v>
      </c>
      <c r="B488" s="504"/>
      <c r="C488" s="737" t="s">
        <v>227</v>
      </c>
      <c r="D488" s="507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849" t="s">
        <v>215</v>
      </c>
      <c r="W488" s="850"/>
      <c r="X488" s="851" t="s">
        <v>185</v>
      </c>
      <c r="Y488" s="852">
        <f>Z488/Z406</f>
        <v>6.5397716764140773E-2</v>
      </c>
      <c r="Z488" s="854">
        <f>Z489+Z415</f>
        <v>453370.75510800059</v>
      </c>
      <c r="AA488" s="851"/>
      <c r="AB488" s="852"/>
      <c r="AC488" s="853"/>
      <c r="AD488" s="851" t="s">
        <v>185</v>
      </c>
      <c r="AE488" s="852">
        <f>AF488/AF406</f>
        <v>3.7753430669183297E-2</v>
      </c>
      <c r="AF488" s="854">
        <f>AF489+AF415</f>
        <v>179585.2200000002</v>
      </c>
      <c r="AG488" s="855"/>
      <c r="AH488" s="855">
        <f t="shared" ref="AH488" si="108">AF488-Z488</f>
        <v>-273785.53510800039</v>
      </c>
      <c r="AI488" s="856">
        <f>AH488/Z488</f>
        <v>-0.6038888305505723</v>
      </c>
      <c r="AJ488" s="851" t="s">
        <v>185</v>
      </c>
      <c r="AK488" s="852">
        <f>IF($AL$406=0,0,AL488/$AL$406)</f>
        <v>2.3031411601125092E-2</v>
      </c>
      <c r="AL488" s="854">
        <f>AL489+AL415</f>
        <v>244419.99999999878</v>
      </c>
      <c r="AM488" s="858"/>
      <c r="AN488" s="854">
        <f t="shared" ref="AN488" si="109">AF488-AL488</f>
        <v>-64834.779999998573</v>
      </c>
      <c r="AO488" s="866">
        <f t="shared" ref="AO488" si="110">IF(AL488=0,0,AN488/AL488)</f>
        <v>-0.26525971688077449</v>
      </c>
      <c r="AP488" s="507"/>
      <c r="AQ488" s="507"/>
      <c r="AR488" s="507"/>
      <c r="AS488" s="507"/>
      <c r="AT488" s="507"/>
      <c r="AU488" s="507"/>
      <c r="AV488" s="507"/>
      <c r="AW488" s="507"/>
      <c r="AX488" s="507"/>
      <c r="AY488" s="507"/>
      <c r="AZ488" s="507"/>
      <c r="BA488" s="507"/>
      <c r="BB488" s="507"/>
      <c r="BC488" s="507"/>
      <c r="BD488" s="507"/>
      <c r="BE488" s="507"/>
      <c r="BF488" s="507"/>
      <c r="BG488" s="507"/>
      <c r="BH488" s="507"/>
      <c r="BI488" s="507"/>
      <c r="BJ488" s="507"/>
    </row>
    <row r="489" spans="1:62" ht="18.600000000000001" hidden="1" thickTop="1" thickBot="1">
      <c r="A489" s="523" t="s">
        <v>184</v>
      </c>
      <c r="B489" s="504"/>
      <c r="C489" s="737" t="s">
        <v>227</v>
      </c>
      <c r="D489" s="507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849" t="s">
        <v>184</v>
      </c>
      <c r="W489" s="850"/>
      <c r="X489" s="851" t="s">
        <v>185</v>
      </c>
      <c r="Y489" s="852">
        <f>Z489/Z406</f>
        <v>6.1482228605501454E-2</v>
      </c>
      <c r="Z489" s="853">
        <f>Z483</f>
        <v>426226.56856856914</v>
      </c>
      <c r="AA489" s="851"/>
      <c r="AB489" s="852"/>
      <c r="AC489" s="853"/>
      <c r="AD489" s="851" t="s">
        <v>185</v>
      </c>
      <c r="AE489" s="852">
        <f>AF489/AF406</f>
        <v>3.1502316578024617E-2</v>
      </c>
      <c r="AF489" s="853">
        <f>AF483</f>
        <v>149849.9700000002</v>
      </c>
      <c r="AG489" s="854"/>
      <c r="AH489" s="855">
        <f>AF489-Z489</f>
        <v>-276376.59856856894</v>
      </c>
      <c r="AI489" s="856">
        <f>AH489/Z489</f>
        <v>-0.64842649179929501</v>
      </c>
      <c r="AJ489" s="851" t="s">
        <v>185</v>
      </c>
      <c r="AK489" s="852">
        <f>IF($AL$406=0,0,AL489/$AL$406)</f>
        <v>2.3031411601125092E-2</v>
      </c>
      <c r="AL489" s="867">
        <f>AL483</f>
        <v>244419.99999999878</v>
      </c>
      <c r="AM489" s="868"/>
      <c r="AN489" s="869">
        <f>AF489-AL489</f>
        <v>-94570.029999998573</v>
      </c>
      <c r="AO489" s="870">
        <f>IF(AL489=0,0,AN489/AL489)</f>
        <v>-0.38691608706324787</v>
      </c>
      <c r="AP489" s="507"/>
      <c r="AQ489" s="507"/>
      <c r="AR489" s="507"/>
      <c r="AS489" s="507"/>
      <c r="AT489" s="507"/>
      <c r="AU489" s="507"/>
      <c r="AV489" s="507"/>
      <c r="AW489" s="507"/>
      <c r="AX489" s="507"/>
      <c r="AY489" s="507"/>
      <c r="AZ489" s="507"/>
      <c r="BA489" s="507"/>
      <c r="BB489" s="507"/>
      <c r="BC489" s="507"/>
      <c r="BD489" s="507"/>
      <c r="BE489" s="507"/>
      <c r="BF489" s="507"/>
      <c r="BG489" s="507"/>
      <c r="BH489" s="507"/>
      <c r="BI489" s="507"/>
      <c r="BJ489" s="507"/>
    </row>
    <row r="490" spans="1:62" ht="15.75" customHeight="1" thickTop="1">
      <c r="A490" s="523" t="s">
        <v>469</v>
      </c>
      <c r="B490" s="504"/>
      <c r="C490" s="737" t="s">
        <v>227</v>
      </c>
      <c r="D490" s="507"/>
      <c r="E490" s="507"/>
      <c r="F490" s="657"/>
      <c r="G490" s="507"/>
      <c r="H490" s="507"/>
      <c r="I490" s="657"/>
      <c r="J490" s="507"/>
      <c r="K490" s="507"/>
      <c r="L490" s="507"/>
      <c r="M490" s="657"/>
      <c r="N490" s="507"/>
      <c r="O490" s="507"/>
      <c r="P490" s="507"/>
      <c r="Q490" s="657"/>
      <c r="R490" s="657"/>
      <c r="S490" s="657"/>
      <c r="T490" s="816"/>
      <c r="U490" s="816"/>
      <c r="V490" s="871"/>
      <c r="W490" s="507"/>
      <c r="X490" s="507"/>
      <c r="Y490" s="507"/>
      <c r="Z490" s="872"/>
      <c r="AA490" s="507"/>
      <c r="AB490" s="507"/>
      <c r="AC490" s="873"/>
      <c r="AD490" s="507"/>
      <c r="AE490" s="507"/>
      <c r="AF490" s="873"/>
      <c r="AG490" s="507"/>
      <c r="AH490" s="507"/>
      <c r="AI490" s="873"/>
      <c r="AJ490" s="507"/>
      <c r="AK490" s="507"/>
      <c r="AL490" s="874"/>
      <c r="AM490" s="875"/>
      <c r="AN490" s="507"/>
      <c r="AO490" s="876"/>
      <c r="AP490" s="507"/>
      <c r="AQ490" s="507"/>
      <c r="AR490" s="507"/>
      <c r="AS490" s="507"/>
      <c r="AT490" s="507"/>
      <c r="AU490" s="507"/>
      <c r="AV490" s="507"/>
      <c r="AW490" s="507"/>
      <c r="AX490" s="507"/>
      <c r="AY490" s="507"/>
      <c r="AZ490" s="507"/>
      <c r="BA490" s="507"/>
      <c r="BB490" s="507"/>
      <c r="BC490" s="507"/>
      <c r="BD490" s="507"/>
      <c r="BE490" s="507"/>
      <c r="BF490" s="507"/>
      <c r="BG490" s="507"/>
      <c r="BH490" s="507"/>
      <c r="BI490" s="507"/>
      <c r="BJ490" s="507"/>
    </row>
    <row r="491" spans="1:62" ht="15.75" customHeight="1">
      <c r="A491" s="523" t="s">
        <v>187</v>
      </c>
      <c r="B491" s="504"/>
      <c r="C491" s="737" t="s">
        <v>227</v>
      </c>
      <c r="D491" s="507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600" t="s">
        <v>187</v>
      </c>
      <c r="W491" s="775"/>
      <c r="X491" s="768"/>
      <c r="Y491" s="776"/>
      <c r="Z491" s="769">
        <f>+INDEX('[5]Budget original'!$A$2:$AO$501,MATCH($A491,'[5]Budget original'!$A$2:$A$501,0),MATCH(F$2,'[5]Budget original'!$A$2:$AO$2,0))</f>
        <v>34648.333333333328</v>
      </c>
      <c r="AA491" s="768"/>
      <c r="AB491" s="776"/>
      <c r="AC491" s="769"/>
      <c r="AD491" s="768"/>
      <c r="AE491" s="776"/>
      <c r="AF491" s="769">
        <f>SUMIFS([5]BV_Data_An_Cour!$O:$O,[5]BV_Data_An_Cour!$V:$V,$V491)</f>
        <v>34648</v>
      </c>
      <c r="AG491" s="768"/>
      <c r="AH491" s="771">
        <f t="shared" ref="AH491:AH498" si="111">AF491-Z491</f>
        <v>-0.33333333332848269</v>
      </c>
      <c r="AI491" s="795">
        <f t="shared" ref="AI491:AI497" si="112">IF(Z491=0,0,AH491/Z491)</f>
        <v>-9.6204723650531353E-6</v>
      </c>
      <c r="AJ491" s="768"/>
      <c r="AK491" s="768"/>
      <c r="AL491" s="769">
        <f>+INDEX('[5]Réel 2023'!$A$2:$AO$501,MATCH($A491,'[5]Réel 2023'!$A$2:$A$501,0),MATCH(F$2,'[5]Réel 2023'!$A$2:$AO$2,0))</f>
        <v>4314.5</v>
      </c>
      <c r="AM491" s="773"/>
      <c r="AN491" s="771">
        <f t="shared" ref="AN491:AN498" si="113">AF491-AL491</f>
        <v>30333.5</v>
      </c>
      <c r="AO491" s="779">
        <f t="shared" ref="AO491:AO498" si="114">IF(AL491=0,0,AN491/AL491)</f>
        <v>7.030594506895353</v>
      </c>
      <c r="AP491" s="507"/>
      <c r="AQ491" s="507"/>
      <c r="AR491" s="507"/>
      <c r="AS491" s="507"/>
      <c r="AT491" s="507"/>
      <c r="AU491" s="507"/>
      <c r="AV491" s="507"/>
      <c r="AW491" s="507"/>
      <c r="AX491" s="507"/>
      <c r="AY491" s="507"/>
      <c r="AZ491" s="507"/>
      <c r="BA491" s="507"/>
      <c r="BB491" s="507"/>
      <c r="BC491" s="507"/>
      <c r="BD491" s="507"/>
      <c r="BE491" s="507"/>
      <c r="BF491" s="507"/>
      <c r="BG491" s="507"/>
      <c r="BH491" s="507"/>
      <c r="BI491" s="507"/>
      <c r="BJ491" s="507"/>
    </row>
    <row r="492" spans="1:62" ht="15.75" customHeight="1">
      <c r="A492" s="523" t="s">
        <v>188</v>
      </c>
      <c r="B492" s="504"/>
      <c r="C492" s="737" t="s">
        <v>227</v>
      </c>
      <c r="D492" s="507"/>
      <c r="E492" s="507"/>
      <c r="F492" s="657"/>
      <c r="G492" s="507"/>
      <c r="H492" s="507"/>
      <c r="I492" s="657"/>
      <c r="J492" s="507"/>
      <c r="K492" s="507"/>
      <c r="L492" s="507"/>
      <c r="M492" s="657"/>
      <c r="N492" s="507"/>
      <c r="O492" s="507"/>
      <c r="P492" s="507"/>
      <c r="Q492" s="657"/>
      <c r="R492" s="657"/>
      <c r="S492" s="657"/>
      <c r="T492" s="507"/>
      <c r="U492" s="507"/>
      <c r="V492" s="600" t="s">
        <v>188</v>
      </c>
      <c r="W492" s="507"/>
      <c r="X492" s="507"/>
      <c r="Y492" s="507"/>
      <c r="Z492" s="769">
        <f>+INDEX('[5]Budget original'!$A$2:$AO$501,MATCH($A492,'[5]Budget original'!$A$2:$A$501,0),MATCH(F$2,'[5]Budget original'!$A$2:$AO$2,0))</f>
        <v>0</v>
      </c>
      <c r="AA492" s="507"/>
      <c r="AB492" s="507"/>
      <c r="AC492" s="769"/>
      <c r="AD492" s="507"/>
      <c r="AE492" s="510"/>
      <c r="AF492" s="769">
        <f>SUMIFS([5]BV_Data_An_Cour!$O:$O,[5]BV_Data_An_Cour!$V:$V,$V492)</f>
        <v>0</v>
      </c>
      <c r="AG492" s="507"/>
      <c r="AH492" s="771">
        <f t="shared" si="111"/>
        <v>0</v>
      </c>
      <c r="AI492" s="795">
        <f t="shared" si="112"/>
        <v>0</v>
      </c>
      <c r="AJ492" s="507"/>
      <c r="AK492" s="507"/>
      <c r="AL492" s="769">
        <f>+INDEX('[5]Réel 2023'!$A$2:$AO$501,MATCH($A492,'[5]Réel 2023'!$A$2:$A$501,0),MATCH(F$2,'[5]Réel 2023'!$A$2:$AO$2,0))</f>
        <v>0</v>
      </c>
      <c r="AM492" s="875"/>
      <c r="AN492" s="771">
        <f t="shared" si="113"/>
        <v>0</v>
      </c>
      <c r="AO492" s="779">
        <f t="shared" si="114"/>
        <v>0</v>
      </c>
      <c r="AP492" s="507"/>
      <c r="AQ492" s="507"/>
      <c r="AR492" s="507"/>
      <c r="AS492" s="507"/>
      <c r="AT492" s="507"/>
      <c r="AU492" s="507"/>
      <c r="AV492" s="507"/>
      <c r="AW492" s="507"/>
      <c r="AX492" s="507"/>
      <c r="AY492" s="507"/>
      <c r="AZ492" s="507"/>
      <c r="BA492" s="507"/>
      <c r="BB492" s="507"/>
      <c r="BC492" s="507"/>
      <c r="BD492" s="507"/>
      <c r="BE492" s="507"/>
      <c r="BF492" s="507"/>
      <c r="BG492" s="507"/>
      <c r="BH492" s="507"/>
      <c r="BI492" s="507"/>
      <c r="BJ492" s="507"/>
    </row>
    <row r="493" spans="1:62" ht="15.75" customHeight="1">
      <c r="A493" s="523" t="s">
        <v>189</v>
      </c>
      <c r="B493" s="504"/>
      <c r="C493" s="737" t="s">
        <v>227</v>
      </c>
      <c r="D493" s="507"/>
      <c r="E493" s="507"/>
      <c r="F493" s="657"/>
      <c r="G493" s="507"/>
      <c r="H493" s="507"/>
      <c r="I493" s="657"/>
      <c r="J493" s="507"/>
      <c r="K493" s="507"/>
      <c r="L493" s="507"/>
      <c r="M493" s="657"/>
      <c r="N493" s="507"/>
      <c r="O493" s="507"/>
      <c r="P493" s="507"/>
      <c r="Q493" s="657"/>
      <c r="R493" s="657"/>
      <c r="S493" s="657"/>
      <c r="T493" s="507"/>
      <c r="U493" s="507"/>
      <c r="V493" s="600" t="s">
        <v>189</v>
      </c>
      <c r="W493" s="510"/>
      <c r="X493" s="510"/>
      <c r="Y493" s="510"/>
      <c r="Z493" s="769">
        <f>+INDEX('[5]Budget original'!$A$2:$AO$501,MATCH($A493,'[5]Budget original'!$A$2:$A$501,0),MATCH(F$2,'[5]Budget original'!$A$2:$AO$2,0))</f>
        <v>0</v>
      </c>
      <c r="AA493" s="507"/>
      <c r="AB493" s="507"/>
      <c r="AC493" s="769"/>
      <c r="AD493" s="507"/>
      <c r="AE493" s="510"/>
      <c r="AF493" s="769">
        <f>SUMIFS([5]BV_Data_An_Cour!$O:$O,[5]BV_Data_An_Cour!$V:$V,$V493)</f>
        <v>0</v>
      </c>
      <c r="AG493" s="507"/>
      <c r="AH493" s="771">
        <f t="shared" si="111"/>
        <v>0</v>
      </c>
      <c r="AI493" s="795">
        <f t="shared" si="112"/>
        <v>0</v>
      </c>
      <c r="AJ493" s="507"/>
      <c r="AK493" s="507"/>
      <c r="AL493" s="769">
        <f>+INDEX('[5]Réel 2023'!$A$2:$AO$501,MATCH($A493,'[5]Réel 2023'!$A$2:$A$501,0),MATCH(F$2,'[5]Réel 2023'!$A$2:$AO$2,0))</f>
        <v>0</v>
      </c>
      <c r="AM493" s="875"/>
      <c r="AN493" s="771">
        <f t="shared" si="113"/>
        <v>0</v>
      </c>
      <c r="AO493" s="779">
        <f t="shared" si="114"/>
        <v>0</v>
      </c>
      <c r="AP493" s="507"/>
      <c r="AQ493" s="507"/>
      <c r="AR493" s="507"/>
      <c r="AS493" s="507"/>
      <c r="AT493" s="507"/>
      <c r="AU493" s="507"/>
      <c r="AV493" s="507"/>
      <c r="AW493" s="507"/>
      <c r="AX493" s="507"/>
      <c r="AY493" s="507"/>
      <c r="AZ493" s="507"/>
      <c r="BA493" s="507"/>
      <c r="BB493" s="507"/>
      <c r="BC493" s="507"/>
      <c r="BD493" s="507"/>
      <c r="BE493" s="507"/>
      <c r="BF493" s="507"/>
      <c r="BG493" s="507"/>
      <c r="BH493" s="507"/>
      <c r="BI493" s="507"/>
      <c r="BJ493" s="507"/>
    </row>
    <row r="494" spans="1:62" ht="15.75" customHeight="1">
      <c r="A494" s="523" t="s">
        <v>190</v>
      </c>
      <c r="B494" s="504"/>
      <c r="C494" s="737" t="s">
        <v>227</v>
      </c>
      <c r="D494" s="507"/>
      <c r="E494" s="507"/>
      <c r="F494" s="657"/>
      <c r="G494" s="507"/>
      <c r="H494" s="507"/>
      <c r="I494" s="657"/>
      <c r="J494" s="507"/>
      <c r="K494" s="507"/>
      <c r="L494" s="507"/>
      <c r="M494" s="657"/>
      <c r="N494" s="507"/>
      <c r="O494" s="507"/>
      <c r="P494" s="507"/>
      <c r="Q494" s="657"/>
      <c r="R494" s="657"/>
      <c r="S494" s="657"/>
      <c r="T494" s="507"/>
      <c r="U494" s="507"/>
      <c r="V494" s="600" t="s">
        <v>190</v>
      </c>
      <c r="W494" s="510"/>
      <c r="X494" s="510"/>
      <c r="Y494" s="510"/>
      <c r="Z494" s="769">
        <f>+INDEX('[5]Budget original'!$A$2:$AO$501,MATCH($A494,'[5]Budget original'!$A$2:$A$501,0),MATCH(F$2,'[5]Budget original'!$A$2:$AO$2,0))</f>
        <v>0</v>
      </c>
      <c r="AA494" s="507"/>
      <c r="AB494" s="507"/>
      <c r="AC494" s="769"/>
      <c r="AD494" s="507"/>
      <c r="AE494" s="510"/>
      <c r="AF494" s="769">
        <f>SUMIFS([5]BV_Data_An_Cour!$O:$O,[5]BV_Data_An_Cour!$V:$V,$V494)</f>
        <v>0</v>
      </c>
      <c r="AG494" s="507"/>
      <c r="AH494" s="771">
        <f t="shared" si="111"/>
        <v>0</v>
      </c>
      <c r="AI494" s="795">
        <f t="shared" si="112"/>
        <v>0</v>
      </c>
      <c r="AJ494" s="507"/>
      <c r="AK494" s="507"/>
      <c r="AL494" s="769">
        <f>+INDEX('[5]Réel 2023'!$A$2:$AO$501,MATCH($A494,'[5]Réel 2023'!$A$2:$A$501,0),MATCH(F$2,'[5]Réel 2023'!$A$2:$AO$2,0))</f>
        <v>0</v>
      </c>
      <c r="AM494" s="875"/>
      <c r="AN494" s="771">
        <f t="shared" si="113"/>
        <v>0</v>
      </c>
      <c r="AO494" s="779">
        <f t="shared" si="114"/>
        <v>0</v>
      </c>
      <c r="AP494" s="507"/>
      <c r="AQ494" s="507"/>
      <c r="AR494" s="507"/>
      <c r="AS494" s="507"/>
      <c r="AT494" s="507"/>
      <c r="AU494" s="507"/>
      <c r="AV494" s="507"/>
      <c r="AW494" s="507"/>
      <c r="AX494" s="507"/>
      <c r="AY494" s="507"/>
      <c r="AZ494" s="507"/>
      <c r="BA494" s="507"/>
      <c r="BB494" s="507"/>
      <c r="BC494" s="507"/>
      <c r="BD494" s="507"/>
      <c r="BE494" s="507"/>
      <c r="BF494" s="507"/>
      <c r="BG494" s="507"/>
      <c r="BH494" s="507"/>
      <c r="BI494" s="507"/>
      <c r="BJ494" s="507"/>
    </row>
    <row r="495" spans="1:62" ht="15.75" hidden="1" customHeight="1">
      <c r="A495" s="523" t="s">
        <v>20</v>
      </c>
      <c r="B495" s="504"/>
      <c r="C495" s="737" t="s">
        <v>227</v>
      </c>
      <c r="D495" s="507"/>
      <c r="E495" s="507"/>
      <c r="F495" s="657"/>
      <c r="G495" s="507"/>
      <c r="H495" s="507"/>
      <c r="I495" s="657"/>
      <c r="J495" s="507"/>
      <c r="K495" s="507"/>
      <c r="L495" s="507"/>
      <c r="M495" s="657"/>
      <c r="N495" s="507"/>
      <c r="O495" s="507"/>
      <c r="P495" s="507"/>
      <c r="Q495" s="657"/>
      <c r="R495" s="657"/>
      <c r="S495" s="657"/>
      <c r="T495" s="507"/>
      <c r="U495" s="507"/>
      <c r="V495" s="600" t="s">
        <v>20</v>
      </c>
      <c r="W495" s="510"/>
      <c r="X495" s="510"/>
      <c r="Y495" s="510"/>
      <c r="Z495" s="769">
        <f>IFERROR(SUMIF($C:$C,$V495,F:F),0)</f>
        <v>0</v>
      </c>
      <c r="AA495" s="768"/>
      <c r="AB495" s="768"/>
      <c r="AC495" s="769"/>
      <c r="AD495" s="777"/>
      <c r="AE495" s="776"/>
      <c r="AF495" s="769">
        <f>IFERROR(SUMIF($C:$C,$V495,L:L),0)</f>
        <v>0</v>
      </c>
      <c r="AG495" s="770"/>
      <c r="AH495" s="771">
        <f t="shared" si="111"/>
        <v>0</v>
      </c>
      <c r="AI495" s="772">
        <f t="shared" si="112"/>
        <v>0</v>
      </c>
      <c r="AJ495" s="777"/>
      <c r="AK495" s="768"/>
      <c r="AL495" s="769">
        <f>+INDEX('[5]Réel 2023'!$A$2:$AO$501,MATCH($A495,'[5]Réel 2023'!$A$2:$A$501,0),MATCH(F$2,'[5]Réel 2023'!$A$2:$AO$2,0))</f>
        <v>0</v>
      </c>
      <c r="AM495" s="875"/>
      <c r="AN495" s="771">
        <f t="shared" si="113"/>
        <v>0</v>
      </c>
      <c r="AO495" s="779">
        <f t="shared" si="114"/>
        <v>0</v>
      </c>
      <c r="AP495" s="507"/>
      <c r="AQ495" s="507"/>
      <c r="AR495" s="507"/>
      <c r="AS495" s="507"/>
      <c r="AT495" s="507"/>
      <c r="AU495" s="507"/>
      <c r="AV495" s="507"/>
      <c r="AW495" s="507"/>
      <c r="AX495" s="507"/>
      <c r="AY495" s="507"/>
      <c r="AZ495" s="507"/>
      <c r="BA495" s="507"/>
      <c r="BB495" s="507"/>
      <c r="BC495" s="507"/>
      <c r="BD495" s="507"/>
      <c r="BE495" s="507"/>
      <c r="BF495" s="507"/>
      <c r="BG495" s="507"/>
      <c r="BH495" s="507"/>
      <c r="BI495" s="507"/>
      <c r="BJ495" s="507"/>
    </row>
    <row r="496" spans="1:62" ht="15.75" customHeight="1" thickBot="1">
      <c r="A496" s="600" t="s">
        <v>216</v>
      </c>
      <c r="B496" s="504"/>
      <c r="C496" s="737" t="s">
        <v>227</v>
      </c>
      <c r="D496" s="507"/>
      <c r="E496" s="507"/>
      <c r="F496" s="657"/>
      <c r="G496" s="507"/>
      <c r="H496" s="507"/>
      <c r="I496" s="657"/>
      <c r="J496" s="507"/>
      <c r="K496" s="507"/>
      <c r="L496" s="507"/>
      <c r="M496" s="657"/>
      <c r="N496" s="507"/>
      <c r="O496" s="507"/>
      <c r="P496" s="507"/>
      <c r="Q496" s="657"/>
      <c r="R496" s="657"/>
      <c r="S496" s="657"/>
      <c r="T496" s="507"/>
      <c r="U496" s="507"/>
      <c r="V496" s="600" t="s">
        <v>216</v>
      </c>
      <c r="W496" s="510"/>
      <c r="X496" s="510"/>
      <c r="Y496" s="510"/>
      <c r="Z496" s="769">
        <f>+INDEX('[5]Budget original'!$A$2:$AO$501,MATCH($A496,'[5]Budget original'!$A$2:$A$501,0),MATCH(F$2,'[5]Budget original'!$A$2:$AO$2,0))</f>
        <v>-4666.666666666667</v>
      </c>
      <c r="AA496" s="768"/>
      <c r="AB496" s="768"/>
      <c r="AC496" s="769"/>
      <c r="AD496" s="777"/>
      <c r="AE496" s="776"/>
      <c r="AF496" s="769">
        <f>SUMIFS([5]BV_Data_An_Cour!$O:$O,[5]BV_Data_An_Cour!$V:$V,$V496)</f>
        <v>-1488.59</v>
      </c>
      <c r="AG496" s="770"/>
      <c r="AH496" s="771">
        <f t="shared" si="111"/>
        <v>3178.0766666666668</v>
      </c>
      <c r="AI496" s="772">
        <f t="shared" si="112"/>
        <v>-0.68101642857142852</v>
      </c>
      <c r="AJ496" s="777"/>
      <c r="AK496" s="768"/>
      <c r="AL496" s="769">
        <f>+INDEX('[5]Réel 2023'!$A$2:$AO$501,MATCH($A496,'[5]Réel 2023'!$A$2:$A$501,0),MATCH(F$2,'[5]Réel 2023'!$A$2:$AO$2,0))</f>
        <v>0</v>
      </c>
      <c r="AM496" s="875"/>
      <c r="AN496" s="771">
        <f t="shared" si="113"/>
        <v>-1488.59</v>
      </c>
      <c r="AO496" s="779">
        <f t="shared" si="114"/>
        <v>0</v>
      </c>
      <c r="AP496" s="507"/>
      <c r="AQ496" s="507"/>
      <c r="AR496" s="507"/>
      <c r="AS496" s="507"/>
      <c r="AT496" s="507"/>
      <c r="AU496" s="507"/>
      <c r="AV496" s="507"/>
      <c r="AW496" s="507"/>
      <c r="AX496" s="507"/>
      <c r="AY496" s="507"/>
      <c r="AZ496" s="507"/>
      <c r="BA496" s="507"/>
      <c r="BB496" s="507"/>
      <c r="BC496" s="507"/>
      <c r="BD496" s="507"/>
      <c r="BE496" s="507"/>
      <c r="BF496" s="507"/>
      <c r="BG496" s="507"/>
      <c r="BH496" s="507"/>
      <c r="BI496" s="507"/>
      <c r="BJ496" s="507"/>
    </row>
    <row r="497" spans="1:62" ht="15.75" hidden="1" customHeight="1">
      <c r="A497" s="523" t="s">
        <v>20</v>
      </c>
      <c r="B497" s="504"/>
      <c r="C497" s="737" t="s">
        <v>227</v>
      </c>
      <c r="D497" s="507"/>
      <c r="E497" s="507"/>
      <c r="F497" s="657"/>
      <c r="G497" s="507"/>
      <c r="H497" s="507"/>
      <c r="I497" s="657"/>
      <c r="J497" s="507"/>
      <c r="K497" s="507"/>
      <c r="L497" s="507"/>
      <c r="M497" s="657"/>
      <c r="N497" s="507"/>
      <c r="O497" s="507"/>
      <c r="P497" s="507"/>
      <c r="Q497" s="657"/>
      <c r="R497" s="657"/>
      <c r="S497" s="657"/>
      <c r="T497" s="507"/>
      <c r="U497" s="507"/>
      <c r="V497" s="600" t="s">
        <v>20</v>
      </c>
      <c r="W497" s="510"/>
      <c r="X497" s="507"/>
      <c r="Y497" s="510"/>
      <c r="Z497" s="769">
        <f>IFERROR(SUMIF($C:$C,$V497,F:F),0)</f>
        <v>0</v>
      </c>
      <c r="AA497" s="768"/>
      <c r="AB497" s="768"/>
      <c r="AC497" s="769"/>
      <c r="AD497" s="777"/>
      <c r="AE497" s="776"/>
      <c r="AF497" s="769">
        <f>IFERROR(SUMIF($C:$C,$V497,L:L),0)</f>
        <v>0</v>
      </c>
      <c r="AG497" s="770"/>
      <c r="AH497" s="771">
        <f t="shared" si="111"/>
        <v>0</v>
      </c>
      <c r="AI497" s="772">
        <f t="shared" si="112"/>
        <v>0</v>
      </c>
      <c r="AJ497" s="777"/>
      <c r="AK497" s="768"/>
      <c r="AL497" s="769">
        <f>+INDEX('[5]Réel 2023'!$A$2:$AO$501,MATCH($A497,'[5]Réel 2023'!$A$2:$A$501,0),MATCH(F$2,'[5]Réel 2023'!$A$2:$AO$2,0))</f>
        <v>0</v>
      </c>
      <c r="AM497" s="875"/>
      <c r="AN497" s="771">
        <f t="shared" si="113"/>
        <v>0</v>
      </c>
      <c r="AO497" s="779">
        <f t="shared" si="114"/>
        <v>0</v>
      </c>
      <c r="AP497" s="507"/>
      <c r="AQ497" s="507"/>
      <c r="AR497" s="507"/>
      <c r="AS497" s="507"/>
      <c r="AT497" s="507"/>
      <c r="AU497" s="507"/>
      <c r="AV497" s="507"/>
      <c r="AW497" s="507"/>
      <c r="AX497" s="507"/>
      <c r="AY497" s="507"/>
      <c r="AZ497" s="507"/>
      <c r="BA497" s="507"/>
      <c r="BB497" s="507"/>
      <c r="BC497" s="507"/>
      <c r="BD497" s="507"/>
      <c r="BE497" s="507"/>
      <c r="BF497" s="507"/>
      <c r="BG497" s="507"/>
      <c r="BH497" s="507"/>
      <c r="BI497" s="507"/>
      <c r="BJ497" s="507"/>
    </row>
    <row r="498" spans="1:62" ht="15.75" customHeight="1" thickTop="1" thickBot="1">
      <c r="A498" s="523" t="s">
        <v>191</v>
      </c>
      <c r="B498" s="504"/>
      <c r="C498" s="737" t="s">
        <v>227</v>
      </c>
      <c r="D498" s="507"/>
      <c r="E498" s="507"/>
      <c r="F498" s="657"/>
      <c r="G498" s="507"/>
      <c r="H498" s="507"/>
      <c r="I498" s="657"/>
      <c r="J498" s="507"/>
      <c r="K498" s="507"/>
      <c r="L498" s="507"/>
      <c r="M498" s="657"/>
      <c r="N498" s="507"/>
      <c r="O498" s="507"/>
      <c r="P498" s="507"/>
      <c r="Q498" s="657"/>
      <c r="R498" s="657"/>
      <c r="S498" s="657"/>
      <c r="T498" s="507"/>
      <c r="U498" s="507"/>
      <c r="V498" s="849" t="s">
        <v>191</v>
      </c>
      <c r="W498" s="850"/>
      <c r="X498" s="851" t="s">
        <v>185</v>
      </c>
      <c r="Y498" s="852">
        <f>Z498/Z406</f>
        <v>5.7157440288891873E-2</v>
      </c>
      <c r="Z498" s="853">
        <f>Z489-Z491-Z492-Z493-Z497-Z496</f>
        <v>396244.90190190251</v>
      </c>
      <c r="AA498" s="851"/>
      <c r="AB498" s="852"/>
      <c r="AC498" s="853"/>
      <c r="AD498" s="851" t="s">
        <v>185</v>
      </c>
      <c r="AE498" s="852">
        <f>AF498/AF406</f>
        <v>2.4531356014198584E-2</v>
      </c>
      <c r="AF498" s="854">
        <f>AF489-AF491-AF492-AF493-AF497-AF496</f>
        <v>116690.5600000002</v>
      </c>
      <c r="AG498" s="855"/>
      <c r="AH498" s="855">
        <f t="shared" si="111"/>
        <v>-279554.34190190234</v>
      </c>
      <c r="AI498" s="856">
        <f>AH498/Z498</f>
        <v>-0.70550899345352591</v>
      </c>
      <c r="AJ498" s="857" t="s">
        <v>185</v>
      </c>
      <c r="AK498" s="852">
        <f>IF($AL$406=0,0,AL498/$AL$406)</f>
        <v>2.2624861296923083E-2</v>
      </c>
      <c r="AL498" s="854">
        <f>AL489-AL491-AL492-AL493-AL497-AL496</f>
        <v>240105.49999999878</v>
      </c>
      <c r="AM498" s="858"/>
      <c r="AN498" s="854">
        <f t="shared" si="113"/>
        <v>-123414.93999999858</v>
      </c>
      <c r="AO498" s="866">
        <f t="shared" si="114"/>
        <v>-0.51400296952797497</v>
      </c>
      <c r="AP498" s="507"/>
      <c r="AQ498" s="507"/>
      <c r="AR498" s="507"/>
      <c r="AS498" s="507"/>
      <c r="AT498" s="507"/>
      <c r="AU498" s="507"/>
      <c r="AV498" s="507"/>
      <c r="AW498" s="507"/>
      <c r="AX498" s="507"/>
      <c r="AY498" s="507"/>
      <c r="AZ498" s="507"/>
      <c r="BA498" s="507"/>
      <c r="BB498" s="507"/>
      <c r="BC498" s="507"/>
      <c r="BD498" s="507"/>
      <c r="BE498" s="507"/>
      <c r="BF498" s="507"/>
      <c r="BG498" s="507"/>
      <c r="BH498" s="507"/>
      <c r="BI498" s="507"/>
      <c r="BJ498" s="507"/>
    </row>
    <row r="499" spans="1:62" ht="15.75" customHeight="1" thickTop="1">
      <c r="A499" s="523" t="s">
        <v>469</v>
      </c>
      <c r="B499" s="504"/>
      <c r="C499" s="507"/>
      <c r="D499" s="507"/>
      <c r="E499" s="507"/>
      <c r="F499" s="657"/>
      <c r="G499" s="507"/>
      <c r="H499" s="507"/>
      <c r="I499" s="657"/>
      <c r="J499" s="507"/>
      <c r="K499" s="507"/>
      <c r="L499" s="507"/>
      <c r="M499" s="657"/>
      <c r="N499" s="507"/>
      <c r="O499" s="507"/>
      <c r="P499" s="507"/>
      <c r="Q499" s="657"/>
      <c r="R499" s="657"/>
      <c r="S499" s="657"/>
      <c r="T499" s="507"/>
      <c r="U499" s="507"/>
      <c r="AP499" s="507"/>
      <c r="AQ499" s="507"/>
      <c r="AR499" s="507"/>
      <c r="AS499" s="507"/>
      <c r="AT499" s="507"/>
      <c r="AU499" s="507"/>
      <c r="AV499" s="507"/>
      <c r="AW499" s="507"/>
      <c r="AX499" s="507"/>
      <c r="AY499" s="507"/>
      <c r="AZ499" s="507"/>
      <c r="BA499" s="507"/>
      <c r="BB499" s="507"/>
      <c r="BC499" s="507"/>
      <c r="BD499" s="507"/>
      <c r="BE499" s="507"/>
      <c r="BF499" s="507"/>
      <c r="BG499" s="507"/>
      <c r="BH499" s="507"/>
      <c r="BI499" s="507"/>
      <c r="BJ499" s="507"/>
    </row>
    <row r="500" spans="1:62" ht="15.75" customHeight="1">
      <c r="B500" s="504"/>
      <c r="T500" s="507"/>
      <c r="U500" s="507"/>
      <c r="V500" s="507"/>
      <c r="W500" s="507"/>
      <c r="X500" s="507"/>
      <c r="Y500" s="507"/>
      <c r="Z500" s="657"/>
      <c r="AA500" s="507"/>
      <c r="AB500" s="507"/>
      <c r="AC500" s="657"/>
      <c r="AE500" s="877" t="s">
        <v>479</v>
      </c>
      <c r="AF500" s="877">
        <v>107395</v>
      </c>
      <c r="AG500" s="507"/>
      <c r="AH500" s="507"/>
      <c r="AI500" s="507"/>
      <c r="AJ500" s="878"/>
      <c r="AK500" s="879"/>
      <c r="AL500" s="880"/>
      <c r="AM500" s="507"/>
      <c r="AN500" s="507"/>
      <c r="AO500" s="507"/>
      <c r="AP500" s="507"/>
      <c r="AQ500" s="507"/>
      <c r="AR500" s="507"/>
      <c r="AS500" s="507"/>
      <c r="AT500" s="507"/>
      <c r="AU500" s="507"/>
      <c r="AV500" s="507"/>
      <c r="AW500" s="507"/>
      <c r="AX500" s="507"/>
      <c r="AY500" s="507"/>
      <c r="AZ500" s="507"/>
      <c r="BA500" s="507"/>
      <c r="BB500" s="507"/>
      <c r="BC500" s="507"/>
      <c r="BD500" s="507"/>
      <c r="BE500" s="507"/>
      <c r="BF500" s="507"/>
      <c r="BG500" s="507"/>
      <c r="BH500" s="507"/>
      <c r="BI500" s="507"/>
      <c r="BJ500" s="507"/>
    </row>
    <row r="501" spans="1:62" ht="15.75" customHeight="1">
      <c r="B501" s="504"/>
      <c r="C501" s="507"/>
      <c r="S501" s="657"/>
      <c r="W501" s="507"/>
      <c r="X501" s="507"/>
      <c r="Y501" s="507"/>
      <c r="Z501" s="657"/>
      <c r="AA501" s="507"/>
      <c r="AB501" s="507"/>
      <c r="AC501" s="657"/>
      <c r="AD501" s="507"/>
      <c r="AE501" s="507"/>
      <c r="AF501" s="877"/>
      <c r="AG501" s="507"/>
      <c r="AH501" s="507"/>
      <c r="AI501" s="507"/>
      <c r="AJ501" s="507"/>
      <c r="AL501" s="880"/>
      <c r="AM501" s="507"/>
      <c r="AN501" s="507"/>
      <c r="AO501" s="507"/>
      <c r="AP501" s="507"/>
      <c r="AQ501" s="507"/>
      <c r="AR501" s="507"/>
      <c r="AS501" s="507"/>
      <c r="AT501" s="507"/>
      <c r="AU501" s="507"/>
      <c r="AV501" s="507"/>
      <c r="AW501" s="507"/>
      <c r="AX501" s="507"/>
      <c r="AY501" s="507"/>
      <c r="AZ501" s="507"/>
      <c r="BA501" s="507"/>
      <c r="BB501" s="507"/>
      <c r="BC501" s="507"/>
      <c r="BD501" s="507"/>
      <c r="BE501" s="507"/>
      <c r="BF501" s="507"/>
      <c r="BG501" s="507"/>
      <c r="BH501" s="507"/>
      <c r="BI501" s="507"/>
      <c r="BJ501" s="507"/>
    </row>
    <row r="502" spans="1:62" ht="15.75" customHeight="1">
      <c r="B502" s="504"/>
      <c r="C502" s="768"/>
      <c r="W502" s="507"/>
      <c r="X502" s="507"/>
      <c r="Y502" s="507"/>
      <c r="AE502" s="507"/>
      <c r="AM502" s="507"/>
      <c r="AN502" s="507"/>
      <c r="AO502" s="507"/>
      <c r="AP502" s="507"/>
      <c r="AQ502" s="507"/>
      <c r="AR502" s="507"/>
      <c r="AS502" s="507"/>
      <c r="AT502" s="507"/>
      <c r="AU502" s="507"/>
      <c r="AV502" s="507"/>
      <c r="AW502" s="507"/>
      <c r="AX502" s="507"/>
      <c r="AY502" s="507"/>
      <c r="AZ502" s="507"/>
      <c r="BA502" s="507"/>
      <c r="BB502" s="507"/>
      <c r="BC502" s="507"/>
      <c r="BD502" s="507"/>
      <c r="BE502" s="507"/>
      <c r="BF502" s="507"/>
      <c r="BG502" s="507"/>
      <c r="BH502" s="507"/>
      <c r="BI502" s="507"/>
      <c r="BJ502" s="507"/>
    </row>
    <row r="503" spans="1:62" ht="15.75" customHeight="1">
      <c r="B503" s="504"/>
      <c r="C503" s="768"/>
      <c r="W503" s="507"/>
      <c r="X503" s="507"/>
      <c r="Y503" s="507"/>
      <c r="Z503" s="507"/>
      <c r="AA503" s="507"/>
      <c r="AB503" s="507"/>
      <c r="AC503" s="507"/>
      <c r="AD503" s="507"/>
      <c r="AE503" s="657"/>
      <c r="AG503" s="507"/>
      <c r="AH503" s="507"/>
      <c r="AI503" s="507"/>
      <c r="AJ503" s="881"/>
      <c r="AK503" s="879"/>
      <c r="AL503" s="880"/>
      <c r="AM503" s="507"/>
      <c r="AN503" s="507"/>
      <c r="AO503" s="507"/>
      <c r="AP503" s="507"/>
      <c r="AQ503" s="507"/>
      <c r="AR503" s="507"/>
      <c r="AS503" s="507"/>
      <c r="AT503" s="507"/>
      <c r="AU503" s="507"/>
      <c r="AV503" s="507"/>
      <c r="AW503" s="507"/>
      <c r="AX503" s="507"/>
      <c r="AY503" s="507"/>
      <c r="AZ503" s="507"/>
      <c r="BA503" s="507"/>
      <c r="BB503" s="507"/>
      <c r="BC503" s="507"/>
      <c r="BD503" s="507"/>
      <c r="BE503" s="507"/>
      <c r="BF503" s="507"/>
      <c r="BG503" s="507"/>
      <c r="BH503" s="507"/>
      <c r="BI503" s="507"/>
      <c r="BJ503" s="507"/>
    </row>
    <row r="504" spans="1:62" ht="15.75" customHeight="1">
      <c r="B504" s="504"/>
      <c r="C504" s="768"/>
      <c r="W504" s="507"/>
      <c r="X504" s="507"/>
      <c r="Y504" s="507"/>
      <c r="Z504" s="507"/>
      <c r="AA504" s="507"/>
      <c r="AB504" s="507"/>
      <c r="AC504" s="507"/>
      <c r="AD504" s="507"/>
      <c r="AE504" s="507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7"/>
      <c r="AR504" s="507"/>
      <c r="AS504" s="507"/>
      <c r="AT504" s="507"/>
      <c r="AU504" s="507"/>
      <c r="AV504" s="507"/>
      <c r="AW504" s="507"/>
      <c r="AX504" s="507"/>
      <c r="AY504" s="507"/>
      <c r="AZ504" s="507"/>
      <c r="BA504" s="507"/>
      <c r="BB504" s="507"/>
      <c r="BC504" s="507"/>
      <c r="BD504" s="507"/>
      <c r="BE504" s="507"/>
      <c r="BF504" s="507"/>
      <c r="BG504" s="507"/>
      <c r="BH504" s="507"/>
      <c r="BI504" s="507"/>
      <c r="BJ504" s="507"/>
    </row>
    <row r="505" spans="1:62" ht="15.75" customHeight="1">
      <c r="B505" s="504"/>
      <c r="C505" s="768"/>
      <c r="W505" s="507"/>
      <c r="X505" s="507"/>
      <c r="Y505" s="507"/>
      <c r="Z505" s="507"/>
      <c r="AA505" s="507"/>
      <c r="AB505" s="507"/>
      <c r="AC505" s="507"/>
      <c r="AD505" s="507"/>
      <c r="AE505" s="507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7"/>
      <c r="AR505" s="507"/>
      <c r="AS505" s="507"/>
      <c r="AT505" s="507"/>
      <c r="AU505" s="507"/>
      <c r="AV505" s="507"/>
      <c r="AW505" s="507"/>
      <c r="AX505" s="507"/>
      <c r="AY505" s="507"/>
      <c r="AZ505" s="507"/>
      <c r="BA505" s="507"/>
      <c r="BB505" s="507"/>
      <c r="BC505" s="507"/>
      <c r="BD505" s="507"/>
      <c r="BE505" s="507"/>
      <c r="BF505" s="507"/>
      <c r="BG505" s="507"/>
      <c r="BH505" s="507"/>
      <c r="BI505" s="507"/>
      <c r="BJ505" s="507"/>
    </row>
    <row r="506" spans="1:62" ht="15.75" customHeight="1">
      <c r="B506" s="504"/>
      <c r="C506" s="768"/>
      <c r="W506" s="507"/>
      <c r="X506" s="507"/>
      <c r="Y506" s="507"/>
      <c r="Z506" s="507"/>
      <c r="AA506" s="507"/>
      <c r="AB506" s="507"/>
      <c r="AC506" s="507"/>
      <c r="AD506" s="507"/>
      <c r="AE506" s="507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7"/>
      <c r="AR506" s="507"/>
      <c r="AS506" s="507"/>
      <c r="AT506" s="507"/>
      <c r="AU506" s="507"/>
      <c r="AV506" s="507"/>
      <c r="AW506" s="507"/>
      <c r="AX506" s="507"/>
      <c r="AY506" s="507"/>
      <c r="AZ506" s="507"/>
      <c r="BA506" s="507"/>
      <c r="BB506" s="507"/>
      <c r="BC506" s="507"/>
      <c r="BD506" s="507"/>
      <c r="BE506" s="507"/>
      <c r="BF506" s="507"/>
      <c r="BG506" s="507"/>
      <c r="BH506" s="507"/>
      <c r="BI506" s="507"/>
      <c r="BJ506" s="507"/>
    </row>
    <row r="507" spans="1:62" ht="15.75" customHeight="1">
      <c r="B507" s="504"/>
      <c r="C507" s="768"/>
      <c r="W507" s="507"/>
      <c r="X507" s="507"/>
      <c r="Y507" s="507"/>
      <c r="Z507" s="507"/>
      <c r="AA507" s="507"/>
      <c r="AB507" s="507"/>
      <c r="AC507" s="507"/>
      <c r="AD507" s="507"/>
      <c r="AE507" s="507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7"/>
      <c r="AR507" s="507"/>
      <c r="AS507" s="507"/>
      <c r="AT507" s="507"/>
      <c r="AU507" s="507"/>
      <c r="AV507" s="507"/>
      <c r="AW507" s="507"/>
      <c r="AX507" s="507"/>
      <c r="AY507" s="507"/>
      <c r="AZ507" s="507"/>
      <c r="BA507" s="507"/>
      <c r="BB507" s="507"/>
      <c r="BC507" s="507"/>
      <c r="BD507" s="507"/>
      <c r="BE507" s="507"/>
      <c r="BF507" s="507"/>
      <c r="BG507" s="507"/>
      <c r="BH507" s="507"/>
      <c r="BI507" s="507"/>
      <c r="BJ507" s="507"/>
    </row>
    <row r="508" spans="1:62" ht="15.75" customHeight="1">
      <c r="B508" s="504"/>
      <c r="C508" s="768"/>
      <c r="W508" s="507"/>
      <c r="X508" s="507"/>
      <c r="Y508" s="507"/>
      <c r="Z508" s="507"/>
      <c r="AA508" s="507"/>
      <c r="AB508" s="507"/>
      <c r="AC508" s="507"/>
      <c r="AD508" s="507"/>
      <c r="AE508" s="507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7"/>
      <c r="AR508" s="507"/>
      <c r="AS508" s="507"/>
      <c r="AT508" s="507"/>
      <c r="AU508" s="507"/>
      <c r="AV508" s="507"/>
      <c r="AW508" s="507"/>
      <c r="AX508" s="507"/>
      <c r="AY508" s="507"/>
      <c r="AZ508" s="507"/>
      <c r="BA508" s="507"/>
      <c r="BB508" s="507"/>
      <c r="BC508" s="507"/>
      <c r="BD508" s="507"/>
      <c r="BE508" s="507"/>
      <c r="BF508" s="507"/>
      <c r="BG508" s="507"/>
      <c r="BH508" s="507"/>
      <c r="BI508" s="507"/>
      <c r="BJ508" s="507"/>
    </row>
    <row r="509" spans="1:62" ht="15.75" customHeight="1">
      <c r="B509" s="504"/>
      <c r="C509" s="768"/>
      <c r="W509" s="507"/>
      <c r="X509" s="507"/>
      <c r="Y509" s="507"/>
      <c r="Z509" s="507"/>
      <c r="AA509" s="507"/>
      <c r="AB509" s="507"/>
      <c r="AC509" s="507"/>
      <c r="AD509" s="507"/>
      <c r="AE509" s="507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7"/>
      <c r="AR509" s="507"/>
      <c r="AS509" s="507"/>
      <c r="AT509" s="507"/>
      <c r="AU509" s="507"/>
      <c r="AV509" s="507"/>
      <c r="AW509" s="507"/>
      <c r="AX509" s="507"/>
      <c r="AY509" s="507"/>
      <c r="AZ509" s="507"/>
      <c r="BA509" s="507"/>
      <c r="BB509" s="507"/>
      <c r="BC509" s="507"/>
      <c r="BD509" s="507"/>
      <c r="BE509" s="507"/>
      <c r="BF509" s="507"/>
      <c r="BG509" s="507"/>
      <c r="BH509" s="507"/>
      <c r="BI509" s="507"/>
      <c r="BJ509" s="507"/>
    </row>
    <row r="510" spans="1:62" ht="15.75" customHeight="1">
      <c r="B510" s="504"/>
      <c r="C510" s="768"/>
      <c r="W510" s="507"/>
      <c r="X510" s="507"/>
      <c r="Y510" s="507"/>
      <c r="Z510" s="507"/>
      <c r="AA510" s="507"/>
      <c r="AB510" s="507"/>
      <c r="AC510" s="507"/>
      <c r="AD510" s="507"/>
      <c r="AE510" s="507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7"/>
      <c r="AR510" s="507"/>
      <c r="AS510" s="507"/>
      <c r="AT510" s="507"/>
      <c r="AU510" s="507"/>
      <c r="AV510" s="507"/>
      <c r="AW510" s="507"/>
      <c r="AX510" s="507"/>
      <c r="AY510" s="507"/>
      <c r="AZ510" s="507"/>
      <c r="BA510" s="507"/>
      <c r="BB510" s="507"/>
      <c r="BC510" s="507"/>
      <c r="BD510" s="507"/>
      <c r="BE510" s="507"/>
      <c r="BF510" s="507"/>
      <c r="BG510" s="507"/>
      <c r="BH510" s="507"/>
      <c r="BI510" s="507"/>
      <c r="BJ510" s="507"/>
    </row>
    <row r="511" spans="1:62" ht="15.75" customHeight="1">
      <c r="B511" s="504"/>
      <c r="C511" s="768"/>
      <c r="W511" s="507"/>
      <c r="X511" s="507"/>
      <c r="Y511" s="507"/>
      <c r="Z511" s="507"/>
      <c r="AA511" s="507"/>
      <c r="AB511" s="507"/>
      <c r="AC511" s="507"/>
      <c r="AD511" s="507"/>
      <c r="AE511" s="507"/>
      <c r="AF511" s="877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7"/>
      <c r="AR511" s="507"/>
      <c r="AS511" s="507"/>
      <c r="AT511" s="507"/>
      <c r="AU511" s="507"/>
      <c r="AV511" s="507"/>
      <c r="AW511" s="507"/>
      <c r="AX511" s="507"/>
      <c r="AY511" s="507"/>
      <c r="AZ511" s="507"/>
      <c r="BA511" s="507"/>
      <c r="BB511" s="507"/>
      <c r="BC511" s="507"/>
      <c r="BD511" s="507"/>
      <c r="BE511" s="507"/>
      <c r="BF511" s="507"/>
      <c r="BG511" s="507"/>
      <c r="BH511" s="507"/>
      <c r="BI511" s="507"/>
      <c r="BJ511" s="507"/>
    </row>
    <row r="512" spans="1:62" ht="15.75" customHeight="1">
      <c r="B512" s="504"/>
      <c r="C512" s="768"/>
      <c r="W512" s="507"/>
      <c r="X512" s="507"/>
      <c r="Y512" s="507"/>
      <c r="Z512" s="507"/>
      <c r="AA512" s="507"/>
      <c r="AB512" s="507"/>
      <c r="AC512" s="507"/>
      <c r="AD512" s="507"/>
      <c r="AE512" s="507"/>
      <c r="AF512" s="882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7"/>
      <c r="AR512" s="507"/>
      <c r="AS512" s="507"/>
      <c r="AT512" s="507"/>
      <c r="AU512" s="507"/>
      <c r="AV512" s="507"/>
      <c r="AW512" s="507"/>
      <c r="AX512" s="507"/>
      <c r="AY512" s="507"/>
      <c r="AZ512" s="507"/>
      <c r="BA512" s="507"/>
      <c r="BB512" s="507"/>
      <c r="BC512" s="507"/>
      <c r="BD512" s="507"/>
      <c r="BE512" s="507"/>
      <c r="BF512" s="507"/>
      <c r="BG512" s="507"/>
      <c r="BH512" s="507"/>
      <c r="BI512" s="507"/>
      <c r="BJ512" s="507"/>
    </row>
    <row r="513" spans="2:62" ht="15.75" customHeight="1">
      <c r="B513" s="504"/>
      <c r="C513" s="768"/>
      <c r="W513" s="507"/>
      <c r="X513" s="507"/>
      <c r="Y513" s="507"/>
      <c r="Z513" s="507"/>
      <c r="AA513" s="507"/>
      <c r="AB513" s="507"/>
      <c r="AC513" s="507"/>
      <c r="AD513" s="507"/>
      <c r="AE513" s="507"/>
      <c r="AF513" s="882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7"/>
      <c r="AR513" s="507"/>
      <c r="AS513" s="507"/>
      <c r="AT513" s="507"/>
      <c r="AU513" s="507"/>
      <c r="AV513" s="507"/>
      <c r="AW513" s="507"/>
      <c r="AX513" s="507"/>
      <c r="AY513" s="507"/>
      <c r="AZ513" s="507"/>
      <c r="BA513" s="507"/>
      <c r="BB513" s="507"/>
      <c r="BC513" s="507"/>
      <c r="BD513" s="507"/>
      <c r="BE513" s="507"/>
      <c r="BF513" s="507"/>
      <c r="BG513" s="507"/>
      <c r="BH513" s="507"/>
      <c r="BI513" s="507"/>
      <c r="BJ513" s="507"/>
    </row>
    <row r="514" spans="2:62" ht="15.75" customHeight="1">
      <c r="B514" s="504"/>
      <c r="C514" s="768"/>
      <c r="W514" s="507"/>
      <c r="X514" s="507"/>
      <c r="Y514" s="507"/>
      <c r="Z514" s="507"/>
      <c r="AA514" s="507"/>
      <c r="AB514" s="507"/>
      <c r="AC514" s="507"/>
      <c r="AD514" s="507"/>
      <c r="AE514" s="507"/>
      <c r="AF514" s="882"/>
      <c r="AG514" s="507"/>
      <c r="AH514" s="507"/>
      <c r="AI514" s="507"/>
      <c r="AJ514" s="507"/>
      <c r="AK514" s="507"/>
      <c r="AL514" s="507"/>
      <c r="AM514" s="507"/>
      <c r="AN514" s="507"/>
      <c r="AO514" s="507"/>
      <c r="AP514" s="507"/>
      <c r="AQ514" s="507"/>
      <c r="AR514" s="507"/>
      <c r="AS514" s="507"/>
      <c r="AT514" s="507"/>
      <c r="AU514" s="507"/>
      <c r="AV514" s="507"/>
      <c r="AW514" s="507"/>
      <c r="AX514" s="507"/>
      <c r="AY514" s="507"/>
      <c r="AZ514" s="507"/>
      <c r="BA514" s="507"/>
      <c r="BB514" s="507"/>
      <c r="BC514" s="507"/>
      <c r="BD514" s="507"/>
      <c r="BE514" s="507"/>
      <c r="BF514" s="507"/>
      <c r="BG514" s="507"/>
      <c r="BH514" s="507"/>
      <c r="BI514" s="507"/>
      <c r="BJ514" s="507"/>
    </row>
    <row r="515" spans="2:62" ht="15.75" customHeight="1">
      <c r="B515" s="504"/>
      <c r="C515" s="768"/>
      <c r="W515" s="507"/>
      <c r="X515" s="507"/>
      <c r="Y515" s="507"/>
      <c r="Z515" s="507"/>
      <c r="AA515" s="507"/>
      <c r="AB515" s="507"/>
      <c r="AC515" s="507"/>
      <c r="AD515" s="507"/>
      <c r="AE515" s="507"/>
      <c r="AF515" s="507"/>
      <c r="AG515" s="507"/>
      <c r="AH515" s="507"/>
      <c r="AI515" s="507"/>
      <c r="AJ515" s="507"/>
      <c r="AK515" s="507"/>
      <c r="AL515" s="507"/>
      <c r="AM515" s="507"/>
      <c r="AN515" s="507"/>
      <c r="AO515" s="507"/>
      <c r="AP515" s="507"/>
      <c r="AQ515" s="507"/>
      <c r="AR515" s="507"/>
      <c r="AS515" s="507"/>
      <c r="AT515" s="507"/>
      <c r="AU515" s="507"/>
      <c r="AV515" s="507"/>
      <c r="AW515" s="507"/>
      <c r="AX515" s="507"/>
      <c r="AY515" s="507"/>
      <c r="AZ515" s="507"/>
      <c r="BA515" s="507"/>
      <c r="BB515" s="507"/>
      <c r="BC515" s="507"/>
      <c r="BD515" s="507"/>
      <c r="BE515" s="507"/>
      <c r="BF515" s="507"/>
      <c r="BG515" s="507"/>
      <c r="BH515" s="507"/>
      <c r="BI515" s="507"/>
      <c r="BJ515" s="507"/>
    </row>
    <row r="516" spans="2:62" ht="15.75" customHeight="1">
      <c r="B516" s="504"/>
      <c r="W516" s="507"/>
      <c r="X516" s="507"/>
      <c r="Y516" s="507"/>
      <c r="Z516" s="507"/>
      <c r="AA516" s="507"/>
      <c r="AB516" s="507"/>
      <c r="AC516" s="507"/>
      <c r="AD516" s="507"/>
      <c r="AE516" s="507"/>
      <c r="AF516" s="507"/>
      <c r="AG516" s="507"/>
      <c r="AH516" s="507"/>
      <c r="AI516" s="507"/>
      <c r="AJ516" s="507"/>
      <c r="AK516" s="507"/>
      <c r="AL516" s="507"/>
      <c r="AM516" s="507"/>
      <c r="AN516" s="507"/>
      <c r="AO516" s="507"/>
      <c r="AP516" s="507"/>
      <c r="AQ516" s="507"/>
      <c r="AR516" s="507"/>
      <c r="AS516" s="507"/>
      <c r="AT516" s="507"/>
      <c r="AU516" s="507"/>
      <c r="AV516" s="507"/>
      <c r="AW516" s="507"/>
      <c r="AX516" s="507"/>
      <c r="AY516" s="507"/>
      <c r="AZ516" s="507"/>
      <c r="BA516" s="507"/>
      <c r="BB516" s="507"/>
      <c r="BC516" s="507"/>
      <c r="BD516" s="507"/>
      <c r="BE516" s="507"/>
      <c r="BF516" s="507"/>
      <c r="BG516" s="507"/>
      <c r="BH516" s="507"/>
      <c r="BI516" s="507"/>
      <c r="BJ516" s="507"/>
    </row>
    <row r="517" spans="2:62" ht="15.75" customHeight="1">
      <c r="B517" s="504"/>
      <c r="W517" s="507"/>
      <c r="X517" s="507"/>
      <c r="Y517" s="507"/>
      <c r="Z517" s="507"/>
      <c r="AA517" s="507"/>
      <c r="AB517" s="507"/>
      <c r="AC517" s="507"/>
      <c r="AD517" s="507"/>
      <c r="AE517" s="507"/>
      <c r="AF517" s="507"/>
      <c r="AG517" s="507"/>
      <c r="AH517" s="507"/>
      <c r="AI517" s="507"/>
      <c r="AJ517" s="507"/>
      <c r="AK517" s="507"/>
      <c r="AL517" s="507"/>
      <c r="AM517" s="507"/>
      <c r="AN517" s="507"/>
      <c r="AO517" s="507"/>
      <c r="AP517" s="507"/>
      <c r="AQ517" s="507"/>
      <c r="AR517" s="507"/>
      <c r="AS517" s="507"/>
      <c r="AT517" s="507"/>
      <c r="AU517" s="507"/>
      <c r="AV517" s="507"/>
      <c r="AW517" s="507"/>
      <c r="AX517" s="507"/>
      <c r="AY517" s="507"/>
      <c r="AZ517" s="507"/>
      <c r="BA517" s="507"/>
      <c r="BB517" s="507"/>
      <c r="BC517" s="507"/>
      <c r="BD517" s="507"/>
      <c r="BE517" s="507"/>
      <c r="BF517" s="507"/>
      <c r="BG517" s="507"/>
      <c r="BH517" s="507"/>
      <c r="BI517" s="507"/>
      <c r="BJ517" s="507"/>
    </row>
    <row r="518" spans="2:62" ht="15.75" customHeight="1">
      <c r="B518" s="504"/>
      <c r="W518" s="507"/>
      <c r="X518" s="507"/>
      <c r="Y518" s="507"/>
      <c r="Z518" s="507"/>
      <c r="AA518" s="507"/>
      <c r="AB518" s="507"/>
      <c r="AC518" s="507"/>
      <c r="AD518" s="507"/>
      <c r="AE518" s="507"/>
      <c r="AF518" s="507"/>
      <c r="AG518" s="507"/>
      <c r="AH518" s="507"/>
      <c r="AI518" s="507"/>
      <c r="AJ518" s="507"/>
      <c r="AK518" s="507"/>
      <c r="AL518" s="507"/>
      <c r="AM518" s="507"/>
      <c r="AN518" s="507"/>
      <c r="AO518" s="507"/>
      <c r="AP518" s="507"/>
      <c r="AQ518" s="507"/>
      <c r="AR518" s="507"/>
      <c r="AS518" s="507"/>
      <c r="AT518" s="507"/>
      <c r="AU518" s="507"/>
      <c r="AV518" s="507"/>
      <c r="AW518" s="507"/>
      <c r="AX518" s="507"/>
      <c r="AY518" s="507"/>
      <c r="AZ518" s="507"/>
      <c r="BA518" s="507"/>
      <c r="BB518" s="507"/>
      <c r="BC518" s="507"/>
      <c r="BD518" s="507"/>
      <c r="BE518" s="507"/>
      <c r="BF518" s="507"/>
      <c r="BG518" s="507"/>
      <c r="BH518" s="507"/>
      <c r="BI518" s="507"/>
      <c r="BJ518" s="507"/>
    </row>
    <row r="519" spans="2:62" ht="15.75" customHeight="1">
      <c r="B519" s="504"/>
      <c r="W519" s="507"/>
      <c r="X519" s="507"/>
      <c r="Y519" s="507"/>
      <c r="Z519" s="507"/>
      <c r="AA519" s="507"/>
      <c r="AB519" s="507"/>
      <c r="AC519" s="507"/>
      <c r="AD519" s="507"/>
      <c r="AE519" s="507"/>
      <c r="AF519" s="507"/>
      <c r="AG519" s="507"/>
      <c r="AH519" s="507"/>
      <c r="AI519" s="507"/>
      <c r="AJ519" s="507"/>
      <c r="AK519" s="507"/>
      <c r="AL519" s="507"/>
      <c r="AM519" s="507"/>
      <c r="AN519" s="507"/>
      <c r="AO519" s="507"/>
      <c r="AP519" s="507"/>
      <c r="AQ519" s="507"/>
      <c r="AR519" s="507"/>
      <c r="AS519" s="507"/>
      <c r="AT519" s="507"/>
      <c r="AU519" s="507"/>
      <c r="AV519" s="507"/>
      <c r="AW519" s="507"/>
      <c r="AX519" s="507"/>
      <c r="AY519" s="507"/>
      <c r="AZ519" s="507"/>
      <c r="BA519" s="507"/>
      <c r="BB519" s="507"/>
      <c r="BC519" s="507"/>
      <c r="BD519" s="507"/>
      <c r="BE519" s="507"/>
      <c r="BF519" s="507"/>
      <c r="BG519" s="507"/>
      <c r="BH519" s="507"/>
      <c r="BI519" s="507"/>
      <c r="BJ519" s="507"/>
    </row>
    <row r="520" spans="2:62" ht="15.75" customHeight="1">
      <c r="B520" s="504"/>
      <c r="W520" s="507"/>
      <c r="X520" s="507"/>
      <c r="Y520" s="507"/>
      <c r="Z520" s="507"/>
      <c r="AA520" s="507"/>
      <c r="AB520" s="507"/>
      <c r="AC520" s="507"/>
      <c r="AD520" s="507"/>
      <c r="AE520" s="507"/>
      <c r="AF520" s="507"/>
      <c r="AG520" s="507"/>
      <c r="AH520" s="507"/>
      <c r="AI520" s="507"/>
      <c r="AJ520" s="507"/>
      <c r="AK520" s="507"/>
      <c r="AL520" s="507"/>
      <c r="AM520" s="507"/>
      <c r="AN520" s="507"/>
      <c r="AO520" s="507"/>
      <c r="AP520" s="507"/>
      <c r="AQ520" s="507"/>
      <c r="AR520" s="507"/>
      <c r="AS520" s="507"/>
      <c r="AT520" s="507"/>
      <c r="AU520" s="507"/>
      <c r="AV520" s="507"/>
      <c r="AW520" s="507"/>
      <c r="AX520" s="507"/>
      <c r="AY520" s="507"/>
      <c r="AZ520" s="507"/>
      <c r="BA520" s="507"/>
      <c r="BB520" s="507"/>
      <c r="BC520" s="507"/>
      <c r="BD520" s="507"/>
      <c r="BE520" s="507"/>
      <c r="BF520" s="507"/>
      <c r="BG520" s="507"/>
      <c r="BH520" s="507"/>
      <c r="BI520" s="507"/>
      <c r="BJ520" s="507"/>
    </row>
    <row r="521" spans="2:62" ht="15.75" customHeight="1">
      <c r="B521" s="504"/>
      <c r="W521" s="507"/>
      <c r="X521" s="507"/>
      <c r="Y521" s="507"/>
      <c r="Z521" s="507"/>
      <c r="AA521" s="507"/>
      <c r="AB521" s="507"/>
      <c r="AC521" s="507"/>
      <c r="AD521" s="507"/>
      <c r="AE521" s="507"/>
      <c r="AF521" s="507"/>
      <c r="AG521" s="507"/>
      <c r="AH521" s="507"/>
      <c r="AI521" s="507"/>
      <c r="AJ521" s="507"/>
      <c r="AK521" s="507"/>
      <c r="AL521" s="507"/>
      <c r="AM521" s="507"/>
      <c r="AN521" s="507"/>
      <c r="AO521" s="507"/>
      <c r="AP521" s="507"/>
      <c r="AQ521" s="507"/>
      <c r="AR521" s="507"/>
      <c r="AS521" s="507"/>
      <c r="AT521" s="507"/>
      <c r="AU521" s="507"/>
      <c r="AV521" s="507"/>
      <c r="AW521" s="507"/>
      <c r="AX521" s="507"/>
      <c r="AY521" s="507"/>
      <c r="AZ521" s="507"/>
      <c r="BA521" s="507"/>
      <c r="BB521" s="507"/>
      <c r="BC521" s="507"/>
      <c r="BD521" s="507"/>
      <c r="BE521" s="507"/>
      <c r="BF521" s="507"/>
      <c r="BG521" s="507"/>
      <c r="BH521" s="507"/>
      <c r="BI521" s="507"/>
      <c r="BJ521" s="507"/>
    </row>
    <row r="522" spans="2:62" ht="15.75" customHeight="1">
      <c r="B522" s="504"/>
      <c r="W522" s="507"/>
      <c r="X522" s="507"/>
      <c r="Y522" s="507"/>
      <c r="Z522" s="507"/>
      <c r="AA522" s="507"/>
      <c r="AB522" s="507"/>
      <c r="AC522" s="507"/>
      <c r="AD522" s="507"/>
      <c r="AE522" s="507"/>
      <c r="AF522" s="507"/>
      <c r="AG522" s="507"/>
      <c r="AH522" s="507"/>
      <c r="AI522" s="507"/>
      <c r="AJ522" s="507"/>
      <c r="AK522" s="507"/>
      <c r="AL522" s="507"/>
      <c r="AM522" s="507"/>
      <c r="AN522" s="507"/>
      <c r="AO522" s="507"/>
      <c r="AP522" s="507"/>
      <c r="AQ522" s="507"/>
      <c r="AR522" s="507"/>
      <c r="AS522" s="507"/>
      <c r="AT522" s="507"/>
      <c r="AU522" s="507"/>
      <c r="AV522" s="507"/>
      <c r="AW522" s="507"/>
      <c r="AX522" s="507"/>
      <c r="AY522" s="507"/>
      <c r="AZ522" s="507"/>
      <c r="BA522" s="507"/>
      <c r="BB522" s="507"/>
      <c r="BC522" s="507"/>
      <c r="BD522" s="507"/>
      <c r="BE522" s="507"/>
      <c r="BF522" s="507"/>
      <c r="BG522" s="507"/>
      <c r="BH522" s="507"/>
      <c r="BI522" s="507"/>
      <c r="BJ522" s="507"/>
    </row>
    <row r="523" spans="2:62" ht="15.75" customHeight="1">
      <c r="B523" s="504"/>
      <c r="W523" s="507"/>
      <c r="X523" s="507"/>
      <c r="Y523" s="507"/>
      <c r="Z523" s="507"/>
      <c r="AA523" s="507"/>
      <c r="AB523" s="507"/>
      <c r="AC523" s="507"/>
      <c r="AD523" s="507"/>
      <c r="AE523" s="507"/>
      <c r="AF523" s="507"/>
      <c r="AG523" s="507"/>
      <c r="AH523" s="507"/>
      <c r="AI523" s="507"/>
      <c r="AJ523" s="507"/>
      <c r="AK523" s="507"/>
      <c r="AL523" s="507"/>
      <c r="AM523" s="507"/>
      <c r="AN523" s="507"/>
      <c r="AO523" s="507"/>
      <c r="AP523" s="507"/>
      <c r="AQ523" s="507"/>
      <c r="AR523" s="507"/>
      <c r="AS523" s="507"/>
      <c r="AT523" s="507"/>
      <c r="AU523" s="507"/>
      <c r="AV523" s="507"/>
      <c r="AW523" s="507"/>
      <c r="AX523" s="507"/>
      <c r="AY523" s="507"/>
      <c r="AZ523" s="507"/>
      <c r="BA523" s="507"/>
      <c r="BB523" s="507"/>
      <c r="BC523" s="507"/>
      <c r="BD523" s="507"/>
      <c r="BE523" s="507"/>
      <c r="BF523" s="507"/>
      <c r="BG523" s="507"/>
      <c r="BH523" s="507"/>
      <c r="BI523" s="507"/>
      <c r="BJ523" s="507"/>
    </row>
    <row r="524" spans="2:62" ht="15.75" customHeight="1">
      <c r="B524" s="504"/>
      <c r="W524" s="507"/>
      <c r="X524" s="507"/>
      <c r="Y524" s="507"/>
      <c r="Z524" s="507"/>
      <c r="AA524" s="507"/>
      <c r="AB524" s="507"/>
      <c r="AC524" s="507"/>
      <c r="AD524" s="507"/>
      <c r="AE524" s="507"/>
      <c r="AF524" s="507"/>
      <c r="AG524" s="507"/>
      <c r="AH524" s="507"/>
      <c r="AI524" s="507"/>
      <c r="AJ524" s="507"/>
      <c r="AK524" s="507"/>
      <c r="AL524" s="507"/>
      <c r="AM524" s="507"/>
      <c r="AN524" s="507"/>
      <c r="AO524" s="507"/>
      <c r="AP524" s="507"/>
      <c r="AQ524" s="507"/>
      <c r="AR524" s="507"/>
      <c r="AS524" s="507"/>
      <c r="AT524" s="507"/>
      <c r="AU524" s="507"/>
      <c r="AV524" s="507"/>
      <c r="AW524" s="507"/>
      <c r="AX524" s="507"/>
      <c r="AY524" s="507"/>
      <c r="AZ524" s="507"/>
      <c r="BA524" s="507"/>
      <c r="BB524" s="507"/>
      <c r="BC524" s="507"/>
      <c r="BD524" s="507"/>
      <c r="BE524" s="507"/>
      <c r="BF524" s="507"/>
      <c r="BG524" s="507"/>
      <c r="BH524" s="507"/>
      <c r="BI524" s="507"/>
      <c r="BJ524" s="507"/>
    </row>
    <row r="525" spans="2:62" ht="15.75" customHeight="1">
      <c r="B525" s="504"/>
      <c r="C525" s="768"/>
      <c r="W525" s="507"/>
      <c r="X525" s="507"/>
      <c r="Y525" s="507"/>
      <c r="Z525" s="507"/>
      <c r="AA525" s="507"/>
      <c r="AB525" s="507"/>
      <c r="AC525" s="507"/>
      <c r="AD525" s="507"/>
      <c r="AE525" s="507"/>
      <c r="AF525" s="507"/>
      <c r="AG525" s="507"/>
      <c r="AH525" s="507"/>
      <c r="AI525" s="507"/>
      <c r="AJ525" s="507"/>
      <c r="AK525" s="507"/>
      <c r="AL525" s="507"/>
      <c r="AM525" s="507"/>
      <c r="AN525" s="507"/>
      <c r="AO525" s="507"/>
      <c r="AP525" s="507"/>
      <c r="AQ525" s="507"/>
      <c r="AR525" s="507"/>
      <c r="AS525" s="507"/>
      <c r="AT525" s="507"/>
      <c r="AU525" s="507"/>
      <c r="AV525" s="507"/>
      <c r="AW525" s="507"/>
      <c r="AX525" s="507"/>
      <c r="AY525" s="507"/>
      <c r="AZ525" s="507"/>
      <c r="BA525" s="507"/>
      <c r="BB525" s="507"/>
      <c r="BC525" s="507"/>
      <c r="BD525" s="507"/>
      <c r="BE525" s="507"/>
      <c r="BF525" s="507"/>
      <c r="BG525" s="507"/>
      <c r="BH525" s="507"/>
      <c r="BI525" s="507"/>
      <c r="BJ525" s="507"/>
    </row>
    <row r="526" spans="2:62" ht="15.75" customHeight="1">
      <c r="B526" s="504"/>
      <c r="C526" s="768"/>
      <c r="W526" s="507"/>
      <c r="X526" s="507"/>
      <c r="Y526" s="507"/>
      <c r="Z526" s="507"/>
      <c r="AA526" s="507"/>
      <c r="AB526" s="507"/>
      <c r="AC526" s="507"/>
      <c r="AD526" s="507"/>
      <c r="AE526" s="507"/>
      <c r="AF526" s="507"/>
      <c r="AG526" s="507"/>
      <c r="AH526" s="507"/>
      <c r="AI526" s="507"/>
      <c r="AJ526" s="507"/>
      <c r="AK526" s="507"/>
      <c r="AL526" s="507"/>
      <c r="AM526" s="507"/>
      <c r="AN526" s="507"/>
      <c r="AO526" s="507"/>
      <c r="AP526" s="507"/>
      <c r="AQ526" s="507"/>
      <c r="AR526" s="507"/>
      <c r="AS526" s="507"/>
      <c r="AT526" s="507"/>
      <c r="AU526" s="507"/>
      <c r="AV526" s="507"/>
      <c r="AW526" s="507"/>
      <c r="AX526" s="507"/>
      <c r="AY526" s="507"/>
      <c r="AZ526" s="507"/>
      <c r="BA526" s="507"/>
      <c r="BB526" s="507"/>
      <c r="BC526" s="507"/>
      <c r="BD526" s="507"/>
      <c r="BE526" s="507"/>
      <c r="BF526" s="507"/>
      <c r="BG526" s="507"/>
      <c r="BH526" s="507"/>
      <c r="BI526" s="507"/>
      <c r="BJ526" s="507"/>
    </row>
    <row r="527" spans="2:62" ht="15.75" customHeight="1">
      <c r="B527" s="504"/>
      <c r="C527" s="768"/>
      <c r="W527" s="507"/>
      <c r="X527" s="507"/>
      <c r="Y527" s="507"/>
      <c r="Z527" s="507"/>
      <c r="AA527" s="507"/>
      <c r="AB527" s="507"/>
      <c r="AC527" s="507"/>
      <c r="AD527" s="507"/>
      <c r="AE527" s="507"/>
      <c r="AF527" s="507"/>
      <c r="AG527" s="507"/>
      <c r="AH527" s="507"/>
      <c r="AI527" s="507"/>
      <c r="AJ527" s="507"/>
      <c r="AK527" s="507"/>
      <c r="AL527" s="507"/>
      <c r="AM527" s="507"/>
      <c r="AN527" s="507"/>
      <c r="AO527" s="507"/>
      <c r="AP527" s="507"/>
      <c r="AQ527" s="507"/>
      <c r="AR527" s="507"/>
      <c r="AS527" s="507"/>
      <c r="AT527" s="507"/>
      <c r="AU527" s="507"/>
      <c r="AV527" s="507"/>
      <c r="AW527" s="507"/>
      <c r="AX527" s="507"/>
      <c r="AY527" s="507"/>
      <c r="AZ527" s="507"/>
      <c r="BA527" s="507"/>
      <c r="BB527" s="507"/>
      <c r="BC527" s="507"/>
      <c r="BD527" s="507"/>
      <c r="BE527" s="507"/>
      <c r="BF527" s="507"/>
      <c r="BG527" s="507"/>
      <c r="BH527" s="507"/>
      <c r="BI527" s="507"/>
      <c r="BJ527" s="507"/>
    </row>
    <row r="528" spans="2:62" ht="15.75" customHeight="1">
      <c r="B528" s="504"/>
      <c r="C528" s="768"/>
      <c r="W528" s="507"/>
      <c r="X528" s="507"/>
      <c r="Y528" s="507"/>
      <c r="Z528" s="507"/>
      <c r="AA528" s="507"/>
      <c r="AB528" s="507"/>
      <c r="AC528" s="507"/>
      <c r="AD528" s="507"/>
      <c r="AE528" s="507"/>
      <c r="AF528" s="507"/>
      <c r="AG528" s="507"/>
      <c r="AH528" s="507"/>
      <c r="AI528" s="507"/>
      <c r="AJ528" s="507"/>
      <c r="AK528" s="507"/>
      <c r="AL528" s="507"/>
      <c r="AM528" s="507"/>
      <c r="AN528" s="507"/>
      <c r="AO528" s="507"/>
      <c r="AP528" s="507"/>
      <c r="AQ528" s="507"/>
      <c r="AR528" s="507"/>
      <c r="AS528" s="507"/>
      <c r="AT528" s="507"/>
      <c r="AU528" s="507"/>
      <c r="AV528" s="507"/>
      <c r="AW528" s="507"/>
      <c r="AX528" s="507"/>
      <c r="AY528" s="507"/>
      <c r="AZ528" s="507"/>
      <c r="BA528" s="507"/>
      <c r="BB528" s="507"/>
      <c r="BC528" s="507"/>
      <c r="BD528" s="507"/>
      <c r="BE528" s="507"/>
      <c r="BF528" s="507"/>
      <c r="BG528" s="507"/>
      <c r="BH528" s="507"/>
      <c r="BI528" s="507"/>
      <c r="BJ528" s="507"/>
    </row>
    <row r="529" spans="2:62" ht="15.75" customHeight="1">
      <c r="B529" s="504"/>
      <c r="C529" s="768"/>
      <c r="W529" s="507"/>
      <c r="X529" s="507"/>
      <c r="Y529" s="507"/>
      <c r="Z529" s="507"/>
      <c r="AA529" s="507"/>
      <c r="AB529" s="507"/>
      <c r="AC529" s="507"/>
      <c r="AD529" s="507"/>
      <c r="AE529" s="507"/>
      <c r="AF529" s="507"/>
      <c r="AG529" s="507"/>
      <c r="AH529" s="507"/>
      <c r="AI529" s="507"/>
      <c r="AJ529" s="507"/>
      <c r="AK529" s="507"/>
      <c r="AL529" s="507"/>
      <c r="AM529" s="507"/>
      <c r="AN529" s="507"/>
      <c r="AO529" s="507"/>
      <c r="AP529" s="507"/>
      <c r="AQ529" s="507"/>
      <c r="AR529" s="507"/>
      <c r="AS529" s="507"/>
      <c r="AT529" s="507"/>
      <c r="AU529" s="507"/>
      <c r="AV529" s="507"/>
      <c r="AW529" s="507"/>
      <c r="AX529" s="507"/>
      <c r="AY529" s="507"/>
      <c r="AZ529" s="507"/>
      <c r="BA529" s="507"/>
      <c r="BB529" s="507"/>
      <c r="BC529" s="507"/>
      <c r="BD529" s="507"/>
      <c r="BE529" s="507"/>
      <c r="BF529" s="507"/>
      <c r="BG529" s="507"/>
      <c r="BH529" s="507"/>
      <c r="BI529" s="507"/>
      <c r="BJ529" s="507"/>
    </row>
    <row r="530" spans="2:62" ht="15.75" customHeight="1">
      <c r="B530" s="504"/>
      <c r="C530" s="768"/>
      <c r="W530" s="507"/>
      <c r="X530" s="507"/>
      <c r="Y530" s="507"/>
      <c r="Z530" s="507"/>
      <c r="AA530" s="507"/>
      <c r="AB530" s="507"/>
      <c r="AC530" s="507"/>
      <c r="AD530" s="507"/>
      <c r="AE530" s="507"/>
      <c r="AF530" s="507"/>
      <c r="AG530" s="507"/>
      <c r="AH530" s="507"/>
      <c r="AI530" s="507"/>
      <c r="AJ530" s="507"/>
      <c r="AK530" s="507"/>
      <c r="AL530" s="507"/>
      <c r="AM530" s="507"/>
      <c r="AN530" s="507"/>
      <c r="AO530" s="507"/>
      <c r="AP530" s="507"/>
      <c r="AQ530" s="507"/>
      <c r="AR530" s="507"/>
      <c r="AS530" s="507"/>
      <c r="AT530" s="507"/>
      <c r="AU530" s="507"/>
      <c r="AV530" s="507"/>
      <c r="AW530" s="507"/>
      <c r="AX530" s="507"/>
      <c r="AY530" s="507"/>
      <c r="AZ530" s="507"/>
      <c r="BA530" s="507"/>
      <c r="BB530" s="507"/>
      <c r="BC530" s="507"/>
      <c r="BD530" s="507"/>
      <c r="BE530" s="507"/>
      <c r="BF530" s="507"/>
      <c r="BG530" s="507"/>
      <c r="BH530" s="507"/>
      <c r="BI530" s="507"/>
      <c r="BJ530" s="507"/>
    </row>
    <row r="531" spans="2:62" ht="15.75" customHeight="1">
      <c r="B531" s="504"/>
      <c r="C531" s="768"/>
      <c r="W531" s="507"/>
      <c r="X531" s="507"/>
      <c r="Y531" s="507"/>
      <c r="Z531" s="507"/>
      <c r="AA531" s="507"/>
      <c r="AB531" s="507"/>
      <c r="AC531" s="507"/>
      <c r="AD531" s="507"/>
      <c r="AE531" s="507"/>
      <c r="AF531" s="507"/>
      <c r="AG531" s="507"/>
      <c r="AH531" s="507"/>
      <c r="AI531" s="507"/>
      <c r="AJ531" s="507"/>
      <c r="AK531" s="507"/>
      <c r="AL531" s="507"/>
      <c r="AM531" s="507"/>
      <c r="AN531" s="507"/>
      <c r="AO531" s="507"/>
      <c r="AP531" s="507"/>
      <c r="AQ531" s="507"/>
      <c r="AR531" s="507"/>
      <c r="AS531" s="507"/>
      <c r="AT531" s="507"/>
      <c r="AU531" s="507"/>
      <c r="AV531" s="507"/>
      <c r="AW531" s="507"/>
      <c r="AX531" s="507"/>
      <c r="AY531" s="507"/>
      <c r="AZ531" s="507"/>
      <c r="BA531" s="507"/>
      <c r="BB531" s="507"/>
      <c r="BC531" s="507"/>
      <c r="BD531" s="507"/>
      <c r="BE531" s="507"/>
      <c r="BF531" s="507"/>
      <c r="BG531" s="507"/>
      <c r="BH531" s="507"/>
      <c r="BI531" s="507"/>
      <c r="BJ531" s="507"/>
    </row>
    <row r="532" spans="2:62" ht="15.75" customHeight="1">
      <c r="B532" s="504"/>
      <c r="C532" s="768"/>
      <c r="W532" s="507"/>
      <c r="X532" s="507"/>
      <c r="Y532" s="507"/>
      <c r="Z532" s="507"/>
      <c r="AA532" s="507"/>
      <c r="AB532" s="507"/>
      <c r="AC532" s="507"/>
      <c r="AD532" s="507"/>
      <c r="AE532" s="507"/>
      <c r="AF532" s="507"/>
      <c r="AG532" s="507"/>
      <c r="AH532" s="507"/>
      <c r="AI532" s="507"/>
      <c r="AJ532" s="507"/>
      <c r="AK532" s="507"/>
      <c r="AL532" s="507"/>
      <c r="AM532" s="507"/>
      <c r="AN532" s="507"/>
      <c r="AO532" s="507"/>
      <c r="AP532" s="507"/>
      <c r="AQ532" s="507"/>
      <c r="AR532" s="507"/>
      <c r="AS532" s="507"/>
      <c r="AT532" s="507"/>
      <c r="AU532" s="507"/>
      <c r="AV532" s="507"/>
      <c r="AW532" s="507"/>
      <c r="AX532" s="507"/>
      <c r="AY532" s="507"/>
      <c r="AZ532" s="507"/>
      <c r="BA532" s="507"/>
      <c r="BB532" s="507"/>
      <c r="BC532" s="507"/>
      <c r="BD532" s="507"/>
      <c r="BE532" s="507"/>
      <c r="BF532" s="507"/>
      <c r="BG532" s="507"/>
      <c r="BH532" s="507"/>
      <c r="BI532" s="507"/>
      <c r="BJ532" s="507"/>
    </row>
    <row r="533" spans="2:62" ht="15.75" customHeight="1">
      <c r="B533" s="504"/>
      <c r="C533" s="768"/>
      <c r="W533" s="507"/>
      <c r="X533" s="507"/>
      <c r="Y533" s="507"/>
      <c r="Z533" s="507"/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  <c r="AP533" s="507"/>
      <c r="AQ533" s="507"/>
      <c r="AR533" s="507"/>
      <c r="AS533" s="507"/>
      <c r="AT533" s="507"/>
      <c r="AU533" s="507"/>
      <c r="AV533" s="507"/>
      <c r="AW533" s="507"/>
      <c r="AX533" s="507"/>
      <c r="AY533" s="507"/>
      <c r="AZ533" s="507"/>
      <c r="BA533" s="507"/>
      <c r="BB533" s="507"/>
      <c r="BC533" s="507"/>
      <c r="BD533" s="507"/>
      <c r="BE533" s="507"/>
      <c r="BF533" s="507"/>
      <c r="BG533" s="507"/>
      <c r="BH533" s="507"/>
      <c r="BI533" s="507"/>
      <c r="BJ533" s="507"/>
    </row>
    <row r="534" spans="2:62" ht="15.75" customHeight="1">
      <c r="B534" s="504"/>
      <c r="C534" s="768"/>
      <c r="W534" s="507"/>
      <c r="X534" s="507"/>
      <c r="Y534" s="507"/>
      <c r="Z534" s="507"/>
      <c r="AA534" s="507"/>
      <c r="AB534" s="507"/>
      <c r="AC534" s="507"/>
      <c r="AD534" s="507"/>
      <c r="AE534" s="507"/>
      <c r="AF534" s="507"/>
      <c r="AG534" s="507"/>
      <c r="AH534" s="507"/>
      <c r="AI534" s="507"/>
      <c r="AJ534" s="507"/>
      <c r="AK534" s="507"/>
      <c r="AL534" s="507"/>
      <c r="AM534" s="507"/>
      <c r="AN534" s="507"/>
      <c r="AO534" s="507"/>
      <c r="AP534" s="507"/>
      <c r="AQ534" s="507"/>
      <c r="AR534" s="507"/>
      <c r="AS534" s="507"/>
      <c r="AT534" s="507"/>
      <c r="AU534" s="507"/>
      <c r="AV534" s="507"/>
      <c r="AW534" s="507"/>
      <c r="AX534" s="507"/>
      <c r="AY534" s="507"/>
      <c r="AZ534" s="507"/>
      <c r="BA534" s="507"/>
      <c r="BB534" s="507"/>
      <c r="BC534" s="507"/>
      <c r="BD534" s="507"/>
      <c r="BE534" s="507"/>
      <c r="BF534" s="507"/>
      <c r="BG534" s="507"/>
      <c r="BH534" s="507"/>
      <c r="BI534" s="507"/>
      <c r="BJ534" s="507"/>
    </row>
    <row r="535" spans="2:62" ht="15.75" customHeight="1">
      <c r="B535" s="504"/>
      <c r="W535" s="507"/>
      <c r="X535" s="507"/>
      <c r="Y535" s="507"/>
      <c r="Z535" s="507"/>
      <c r="AA535" s="507"/>
      <c r="AB535" s="507"/>
      <c r="AC535" s="507"/>
      <c r="AD535" s="507"/>
      <c r="AE535" s="507"/>
      <c r="AF535" s="507"/>
      <c r="AG535" s="507"/>
      <c r="AH535" s="507"/>
      <c r="AI535" s="507"/>
      <c r="AJ535" s="507"/>
      <c r="AK535" s="507"/>
      <c r="AL535" s="507"/>
      <c r="AM535" s="507"/>
      <c r="AN535" s="507"/>
      <c r="AO535" s="507"/>
      <c r="AP535" s="507"/>
      <c r="AQ535" s="507"/>
      <c r="AR535" s="507"/>
      <c r="AS535" s="507"/>
      <c r="AT535" s="507"/>
      <c r="AU535" s="507"/>
      <c r="AV535" s="507"/>
      <c r="AW535" s="507"/>
      <c r="AX535" s="507"/>
      <c r="AY535" s="507"/>
      <c r="AZ535" s="507"/>
      <c r="BA535" s="507"/>
      <c r="BB535" s="507"/>
      <c r="BC535" s="507"/>
      <c r="BD535" s="507"/>
      <c r="BE535" s="507"/>
      <c r="BF535" s="507"/>
      <c r="BG535" s="507"/>
      <c r="BH535" s="507"/>
      <c r="BI535" s="507"/>
      <c r="BJ535" s="507"/>
    </row>
    <row r="536" spans="2:62" ht="15.75" customHeight="1">
      <c r="B536" s="504"/>
      <c r="W536" s="507"/>
      <c r="X536" s="507"/>
      <c r="Y536" s="507"/>
      <c r="Z536" s="507"/>
      <c r="AA536" s="507"/>
      <c r="AB536" s="507"/>
      <c r="AC536" s="507"/>
      <c r="AD536" s="507"/>
      <c r="AE536" s="507"/>
      <c r="AF536" s="507"/>
      <c r="AG536" s="507"/>
      <c r="AH536" s="507"/>
      <c r="AI536" s="507"/>
      <c r="AJ536" s="507"/>
      <c r="AK536" s="507"/>
      <c r="AL536" s="507"/>
      <c r="AM536" s="507"/>
      <c r="AN536" s="507"/>
      <c r="AO536" s="507"/>
      <c r="AP536" s="507"/>
      <c r="AQ536" s="507"/>
      <c r="AR536" s="507"/>
      <c r="AS536" s="507"/>
      <c r="AT536" s="507"/>
      <c r="AU536" s="507"/>
      <c r="AV536" s="507"/>
      <c r="AW536" s="507"/>
      <c r="AX536" s="507"/>
      <c r="AY536" s="507"/>
      <c r="AZ536" s="507"/>
      <c r="BA536" s="507"/>
      <c r="BB536" s="507"/>
      <c r="BC536" s="507"/>
      <c r="BD536" s="507"/>
      <c r="BE536" s="507"/>
      <c r="BF536" s="507"/>
      <c r="BG536" s="507"/>
      <c r="BH536" s="507"/>
      <c r="BI536" s="507"/>
      <c r="BJ536" s="507"/>
    </row>
    <row r="537" spans="2:62" ht="15.75" customHeight="1">
      <c r="B537" s="504"/>
      <c r="W537" s="507"/>
      <c r="X537" s="507"/>
      <c r="Y537" s="507"/>
      <c r="Z537" s="507"/>
      <c r="AA537" s="507"/>
      <c r="AB537" s="507"/>
      <c r="AC537" s="507"/>
      <c r="AD537" s="507"/>
      <c r="AE537" s="507"/>
      <c r="AF537" s="507"/>
      <c r="AG537" s="507"/>
      <c r="AH537" s="507"/>
      <c r="AI537" s="507"/>
      <c r="AJ537" s="507"/>
      <c r="AK537" s="507"/>
      <c r="AL537" s="507"/>
      <c r="AM537" s="507"/>
      <c r="AN537" s="507"/>
      <c r="AO537" s="507"/>
      <c r="AP537" s="507"/>
      <c r="AQ537" s="507"/>
      <c r="AR537" s="507"/>
      <c r="AS537" s="507"/>
      <c r="AT537" s="507"/>
      <c r="AU537" s="507"/>
      <c r="AV537" s="507"/>
      <c r="AW537" s="507"/>
      <c r="AX537" s="507"/>
      <c r="AY537" s="507"/>
      <c r="AZ537" s="507"/>
      <c r="BA537" s="507"/>
      <c r="BB537" s="507"/>
      <c r="BC537" s="507"/>
      <c r="BD537" s="507"/>
      <c r="BE537" s="507"/>
      <c r="BF537" s="507"/>
      <c r="BG537" s="507"/>
      <c r="BH537" s="507"/>
      <c r="BI537" s="507"/>
      <c r="BJ537" s="507"/>
    </row>
    <row r="538" spans="2:62" ht="15.75" customHeight="1">
      <c r="B538" s="504"/>
      <c r="W538" s="507"/>
      <c r="X538" s="507"/>
      <c r="Y538" s="507"/>
      <c r="Z538" s="507"/>
      <c r="AA538" s="507"/>
      <c r="AB538" s="507"/>
      <c r="AC538" s="507"/>
      <c r="AD538" s="507"/>
      <c r="AE538" s="507"/>
      <c r="AF538" s="507"/>
      <c r="AG538" s="507"/>
      <c r="AH538" s="507"/>
      <c r="AI538" s="507"/>
      <c r="AJ538" s="507"/>
      <c r="AK538" s="507"/>
      <c r="AL538" s="507"/>
      <c r="AM538" s="507"/>
      <c r="AN538" s="507"/>
      <c r="AO538" s="507"/>
      <c r="AP538" s="507"/>
      <c r="AQ538" s="507"/>
      <c r="AR538" s="507"/>
      <c r="AS538" s="507"/>
      <c r="AT538" s="507"/>
      <c r="AU538" s="507"/>
      <c r="AV538" s="507"/>
      <c r="AW538" s="507"/>
      <c r="AX538" s="507"/>
      <c r="AY538" s="507"/>
      <c r="AZ538" s="507"/>
      <c r="BA538" s="507"/>
      <c r="BB538" s="507"/>
      <c r="BC538" s="507"/>
      <c r="BD538" s="507"/>
      <c r="BE538" s="507"/>
      <c r="BF538" s="507"/>
      <c r="BG538" s="507"/>
      <c r="BH538" s="507"/>
      <c r="BI538" s="507"/>
      <c r="BJ538" s="507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188" priority="63" stopIfTrue="1">
      <formula>"esterreur(reference)"</formula>
    </cfRule>
  </conditionalFormatting>
  <conditionalFormatting sqref="D172:D181">
    <cfRule type="expression" dxfId="187" priority="60" stopIfTrue="1">
      <formula>"esterreur(reference)"</formula>
    </cfRule>
  </conditionalFormatting>
  <conditionalFormatting sqref="D400">
    <cfRule type="expression" dxfId="186" priority="4" stopIfTrue="1">
      <formula>"esterreur(reference)"</formula>
    </cfRule>
  </conditionalFormatting>
  <conditionalFormatting sqref="E186">
    <cfRule type="expression" dxfId="185" priority="61" stopIfTrue="1">
      <formula>"esterreur(reference)"</formula>
    </cfRule>
  </conditionalFormatting>
  <conditionalFormatting sqref="F5">
    <cfRule type="expression" dxfId="184" priority="58" stopIfTrue="1">
      <formula>"esterreur(reference)"</formula>
    </cfRule>
  </conditionalFormatting>
  <conditionalFormatting sqref="F83:F85">
    <cfRule type="expression" dxfId="183" priority="57" stopIfTrue="1">
      <formula>"esterreur(reference)"</formula>
    </cfRule>
  </conditionalFormatting>
  <conditionalFormatting sqref="F101">
    <cfRule type="expression" dxfId="182" priority="62" stopIfTrue="1">
      <formula>"esterreur(reference)"</formula>
    </cfRule>
  </conditionalFormatting>
  <conditionalFormatting sqref="F184">
    <cfRule type="expression" dxfId="181" priority="26" stopIfTrue="1">
      <formula>"esterreur(reference)"</formula>
    </cfRule>
  </conditionalFormatting>
  <conditionalFormatting sqref="G31:G32">
    <cfRule type="expression" dxfId="180" priority="55" stopIfTrue="1">
      <formula>"esterreur(reference)"</formula>
    </cfRule>
  </conditionalFormatting>
  <conditionalFormatting sqref="G112:G113">
    <cfRule type="expression" dxfId="179" priority="52" stopIfTrue="1">
      <formula>"esterreur(reference)"</formula>
    </cfRule>
  </conditionalFormatting>
  <conditionalFormatting sqref="G172:G181">
    <cfRule type="expression" dxfId="178" priority="59" stopIfTrue="1">
      <formula>"esterreur(reference)"</formula>
    </cfRule>
  </conditionalFormatting>
  <conditionalFormatting sqref="H25:H26 H28:H72">
    <cfRule type="expression" dxfId="177" priority="54" stopIfTrue="1">
      <formula>"esterreur(reference)"</formula>
    </cfRule>
  </conditionalFormatting>
  <conditionalFormatting sqref="H360 J360:L360">
    <cfRule type="expression" dxfId="176" priority="14" stopIfTrue="1">
      <formula>"esterreur(reference)"</formula>
    </cfRule>
  </conditionalFormatting>
  <conditionalFormatting sqref="H197:L197">
    <cfRule type="expression" dxfId="175" priority="16" stopIfTrue="1">
      <formula>"esterreur(reference)"</formula>
    </cfRule>
  </conditionalFormatting>
  <conditionalFormatting sqref="H396:L399">
    <cfRule type="expression" dxfId="174" priority="12" stopIfTrue="1">
      <formula>"esterreur(reference)"</formula>
    </cfRule>
  </conditionalFormatting>
  <conditionalFormatting sqref="I16:I18 I20 I24:I30">
    <cfRule type="expression" dxfId="173" priority="56" stopIfTrue="1">
      <formula>"esterreur(reference)"</formula>
    </cfRule>
  </conditionalFormatting>
  <conditionalFormatting sqref="I377:L377 J378:L394 H378:H395">
    <cfRule type="expression" dxfId="172" priority="13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171" priority="5" stopIfTrue="1">
      <formula>"esterreur(reference)"</formula>
    </cfRule>
  </conditionalFormatting>
  <conditionalFormatting sqref="K395">
    <cfRule type="expression" dxfId="170" priority="15" stopIfTrue="1">
      <formula>"esterreur(reference)"</formula>
    </cfRule>
  </conditionalFormatting>
  <conditionalFormatting sqref="K5:L5">
    <cfRule type="expression" dxfId="169" priority="25" stopIfTrue="1">
      <formula>"esterreur(reference)"</formula>
    </cfRule>
  </conditionalFormatting>
  <conditionalFormatting sqref="K244:L244">
    <cfRule type="expression" dxfId="168" priority="22" stopIfTrue="1">
      <formula>"esterreur(reference)"</formula>
    </cfRule>
  </conditionalFormatting>
  <conditionalFormatting sqref="K247:L247">
    <cfRule type="expression" dxfId="167" priority="23" stopIfTrue="1">
      <formula>"esterreur(reference)"</formula>
    </cfRule>
  </conditionalFormatting>
  <conditionalFormatting sqref="L42:L48">
    <cfRule type="expression" dxfId="166" priority="18" stopIfTrue="1">
      <formula>"esterreur(reference)"</formula>
    </cfRule>
  </conditionalFormatting>
  <conditionalFormatting sqref="L75:L82">
    <cfRule type="expression" dxfId="165" priority="7" stopIfTrue="1">
      <formula>"esterreur(reference)"</formula>
    </cfRule>
  </conditionalFormatting>
  <conditionalFormatting sqref="L156:L162">
    <cfRule type="expression" dxfId="164" priority="21" stopIfTrue="1">
      <formula>"esterreur(reference)"</formula>
    </cfRule>
  </conditionalFormatting>
  <conditionalFormatting sqref="L198:L209">
    <cfRule type="expression" dxfId="163" priority="19" stopIfTrue="1">
      <formula>"esterreur(reference)"</formula>
    </cfRule>
  </conditionalFormatting>
  <conditionalFormatting sqref="L211:L228">
    <cfRule type="expression" dxfId="162" priority="20" stopIfTrue="1">
      <formula>"esterreur(reference)"</formula>
    </cfRule>
  </conditionalFormatting>
  <conditionalFormatting sqref="L254:L265">
    <cfRule type="expression" dxfId="161" priority="24" stopIfTrue="1">
      <formula>"esterreur(reference)"</formula>
    </cfRule>
  </conditionalFormatting>
  <conditionalFormatting sqref="L331:L348">
    <cfRule type="expression" dxfId="160" priority="17" stopIfTrue="1">
      <formula>"esterreur(reference)"</formula>
    </cfRule>
  </conditionalFormatting>
  <conditionalFormatting sqref="L356:L357 H357:I357 K357 J357:J358 H359:L359">
    <cfRule type="expression" dxfId="159" priority="11" stopIfTrue="1">
      <formula>"esterreur(reference)"</formula>
    </cfRule>
  </conditionalFormatting>
  <conditionalFormatting sqref="M95:M97">
    <cfRule type="expression" dxfId="158" priority="6" stopIfTrue="1">
      <formula>"esterreur(reference)"</formula>
    </cfRule>
  </conditionalFormatting>
  <conditionalFormatting sqref="N197:N209">
    <cfRule type="expression" dxfId="157" priority="2" stopIfTrue="1">
      <formula>"esterreur(reference)"</formula>
    </cfRule>
  </conditionalFormatting>
  <conditionalFormatting sqref="N318:N328">
    <cfRule type="expression" dxfId="156" priority="3" stopIfTrue="1">
      <formula>"esterreur(reference)"</formula>
    </cfRule>
  </conditionalFormatting>
  <conditionalFormatting sqref="O295:P303 O304:Q306 O307:P308 O309:Q317 Q318:Q329 O318:P348 O349:Q349 O352:Q352 O353:P353">
    <cfRule type="expression" dxfId="155" priority="47" stopIfTrue="1">
      <formula>"esterreur(reference)"</formula>
    </cfRule>
  </conditionalFormatting>
  <conditionalFormatting sqref="O197:Q197">
    <cfRule type="expression" dxfId="154" priority="36" stopIfTrue="1">
      <formula>"esterreur(reference)"</formula>
    </cfRule>
  </conditionalFormatting>
  <conditionalFormatting sqref="O243:Q243 O252:Q253 O254:P284 Q282:Q285 O285 O288:Q288 O289:P289">
    <cfRule type="expression" dxfId="153" priority="42" stopIfTrue="1">
      <formula>"esterreur(reference)"</formula>
    </cfRule>
  </conditionalFormatting>
  <conditionalFormatting sqref="O359:Q394">
    <cfRule type="expression" dxfId="152" priority="49" stopIfTrue="1">
      <formula>"esterreur(reference)"</formula>
    </cfRule>
  </conditionalFormatting>
  <conditionalFormatting sqref="O396:Q399">
    <cfRule type="expression" dxfId="151" priority="50" stopIfTrue="1">
      <formula>"esterreur(reference)"</formula>
    </cfRule>
  </conditionalFormatting>
  <conditionalFormatting sqref="P5">
    <cfRule type="expression" dxfId="150" priority="30" stopIfTrue="1">
      <formula>"esterreur(reference)"</formula>
    </cfRule>
  </conditionalFormatting>
  <conditionalFormatting sqref="P175">
    <cfRule type="expression" dxfId="149" priority="39" stopIfTrue="1">
      <formula>"esterreur(reference)"</formula>
    </cfRule>
  </conditionalFormatting>
  <conditionalFormatting sqref="P178">
    <cfRule type="expression" dxfId="148" priority="40" stopIfTrue="1">
      <formula>"esterreur(reference)"</formula>
    </cfRule>
  </conditionalFormatting>
  <conditionalFormatting sqref="P181">
    <cfRule type="expression" dxfId="147" priority="41" stopIfTrue="1">
      <formula>"esterreur(reference)"</formula>
    </cfRule>
  </conditionalFormatting>
  <conditionalFormatting sqref="P395">
    <cfRule type="expression" dxfId="146" priority="51" stopIfTrue="1">
      <formula>"esterreur(reference)"</formula>
    </cfRule>
  </conditionalFormatting>
  <conditionalFormatting sqref="P93:Q96 O97:Q98 O156:P157 O164:Q164 O165:P165">
    <cfRule type="expression" dxfId="145" priority="33" stopIfTrue="1">
      <formula>"esterreur(reference)"</formula>
    </cfRule>
  </conditionalFormatting>
  <conditionalFormatting sqref="P99:Q100">
    <cfRule type="expression" dxfId="144" priority="32" stopIfTrue="1">
      <formula>"esterreur(reference)"</formula>
    </cfRule>
  </conditionalFormatting>
  <conditionalFormatting sqref="P172:Q173 O172:O196 Q174:Q175 P176:Q176 Q177:Q178 P179:Q179 Q180:Q181 O198:P229 O232:Q232 O233:P233">
    <cfRule type="expression" dxfId="143" priority="35" stopIfTrue="1">
      <formula>"esterreur(reference)"</formula>
    </cfRule>
  </conditionalFormatting>
  <conditionalFormatting sqref="P182:Q196">
    <cfRule type="expression" dxfId="142" priority="1" stopIfTrue="1">
      <formula>"esterreur(reference)"</formula>
    </cfRule>
  </conditionalFormatting>
  <conditionalFormatting sqref="P241:Q241">
    <cfRule type="expression" dxfId="141" priority="46" stopIfTrue="1">
      <formula>"esterreur(reference)"</formula>
    </cfRule>
  </conditionalFormatting>
  <conditionalFormatting sqref="P244:Q244">
    <cfRule type="expression" dxfId="140" priority="43" stopIfTrue="1">
      <formula>"esterreur(reference)"</formula>
    </cfRule>
  </conditionalFormatting>
  <conditionalFormatting sqref="P247:Q247">
    <cfRule type="expression" dxfId="139" priority="44" stopIfTrue="1">
      <formula>"esterreur(reference)"</formula>
    </cfRule>
  </conditionalFormatting>
  <conditionalFormatting sqref="Q5:Q14 O13:O14 O16 Q16:Q24 O18:O24 O25:Q26 O27 Q27 O28:Q72 O83:Q85">
    <cfRule type="expression" dxfId="138" priority="29" stopIfTrue="1">
      <formula>"esterreur(reference)"</formula>
    </cfRule>
  </conditionalFormatting>
  <conditionalFormatting sqref="Q75:Q82">
    <cfRule type="expression" dxfId="137" priority="31" stopIfTrue="1">
      <formula>"esterreur(reference)"</formula>
    </cfRule>
  </conditionalFormatting>
  <conditionalFormatting sqref="Q156:Q162">
    <cfRule type="expression" dxfId="136" priority="34" stopIfTrue="1">
      <formula>"esterreur(reference)"</formula>
    </cfRule>
  </conditionalFormatting>
  <conditionalFormatting sqref="Q198:Q209">
    <cfRule type="expression" dxfId="135" priority="37" stopIfTrue="1">
      <formula>"esterreur(reference)"</formula>
    </cfRule>
  </conditionalFormatting>
  <conditionalFormatting sqref="Q211:Q228">
    <cfRule type="expression" dxfId="134" priority="38" stopIfTrue="1">
      <formula>"esterreur(reference)"</formula>
    </cfRule>
  </conditionalFormatting>
  <conditionalFormatting sqref="Q254:Q265">
    <cfRule type="expression" dxfId="133" priority="45" stopIfTrue="1">
      <formula>"esterreur(reference)"</formula>
    </cfRule>
  </conditionalFormatting>
  <conditionalFormatting sqref="Q331:Q348">
    <cfRule type="expression" dxfId="132" priority="48" stopIfTrue="1">
      <formula>"esterreur(reference)"</formula>
    </cfRule>
  </conditionalFormatting>
  <conditionalFormatting sqref="R312">
    <cfRule type="expression" dxfId="131" priority="8" stopIfTrue="1">
      <formula>"esterreur(reference)"</formula>
    </cfRule>
  </conditionalFormatting>
  <conditionalFormatting sqref="S186">
    <cfRule type="expression" dxfId="130" priority="27" stopIfTrue="1">
      <formula>"esterreur(reference)"</formula>
    </cfRule>
  </conditionalFormatting>
  <conditionalFormatting sqref="AG409:AI418 AH420:AI432 AH434:AI451 AH453:AI460 AH461:AH462 AH463:AI465 AH467:AI467 AH491:AI497">
    <cfRule type="cellIs" dxfId="129" priority="9" operator="greaterThan">
      <formula>0</formula>
    </cfRule>
  </conditionalFormatting>
  <conditionalFormatting sqref="AH469:AI476 AH480:AI480">
    <cfRule type="cellIs" dxfId="128" priority="10" operator="lessThan">
      <formula>0</formula>
    </cfRule>
  </conditionalFormatting>
  <conditionalFormatting sqref="AH477:AI479">
    <cfRule type="cellIs" dxfId="127" priority="53" operator="greaterThan">
      <formula>0</formula>
    </cfRule>
  </conditionalFormatting>
  <conditionalFormatting sqref="AO409:AO418">
    <cfRule type="cellIs" dxfId="126" priority="28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9934-1A12-4B0E-BFAB-7B90232369BB}">
  <sheetPr>
    <tabColor rgb="FFFFC000"/>
  </sheetPr>
  <dimension ref="A1:BJ693"/>
  <sheetViews>
    <sheetView topLeftCell="C1" zoomScale="70" zoomScaleNormal="70" workbookViewId="0">
      <selection activeCell="C1" sqref="C1"/>
    </sheetView>
  </sheetViews>
  <sheetFormatPr baseColWidth="10" defaultColWidth="12.59765625" defaultRowHeight="15" customHeight="1"/>
  <cols>
    <col min="1" max="1" width="37.5" style="495" hidden="1" customWidth="1"/>
    <col min="2" max="2" width="21.8984375" style="495" hidden="1" customWidth="1"/>
    <col min="3" max="3" width="31.19921875" style="495" customWidth="1"/>
    <col min="4" max="4" width="16.5" style="495" customWidth="1"/>
    <col min="5" max="5" width="14.59765625" style="495" customWidth="1"/>
    <col min="6" max="6" width="14" style="495" customWidth="1"/>
    <col min="7" max="7" width="17.69921875" style="495" hidden="1" customWidth="1"/>
    <col min="8" max="8" width="15.09765625" style="495" hidden="1" customWidth="1"/>
    <col min="9" max="9" width="14" style="495" hidden="1" customWidth="1"/>
    <col min="10" max="10" width="15.59765625" style="495" customWidth="1"/>
    <col min="11" max="11" width="15.5" style="495" customWidth="1"/>
    <col min="12" max="12" width="14.8984375" style="495" customWidth="1"/>
    <col min="13" max="14" width="16.19921875" style="495" customWidth="1"/>
    <col min="15" max="15" width="15.5" style="495" customWidth="1"/>
    <col min="16" max="16" width="14.59765625" style="495" customWidth="1"/>
    <col min="17" max="17" width="14.8984375" style="495" bestFit="1" customWidth="1"/>
    <col min="18" max="18" width="14.69921875" style="495" customWidth="1"/>
    <col min="19" max="19" width="19" style="495" customWidth="1"/>
    <col min="20" max="20" width="4.59765625" style="495" customWidth="1"/>
    <col min="21" max="21" width="31.69921875" style="495" customWidth="1"/>
    <col min="22" max="22" width="34" style="495" customWidth="1"/>
    <col min="23" max="23" width="12.19921875" style="495" customWidth="1"/>
    <col min="24" max="24" width="13.69921875" style="495" customWidth="1"/>
    <col min="25" max="25" width="15.09765625" style="495" customWidth="1"/>
    <col min="26" max="26" width="15" style="495" customWidth="1"/>
    <col min="27" max="27" width="11.09765625" style="495" hidden="1" customWidth="1"/>
    <col min="28" max="28" width="9.3984375" style="495" hidden="1" customWidth="1"/>
    <col min="29" max="29" width="14.5" style="495" hidden="1" customWidth="1"/>
    <col min="30" max="30" width="13.5" style="495" customWidth="1"/>
    <col min="31" max="31" width="14.19921875" style="495" customWidth="1"/>
    <col min="32" max="32" width="14.09765625" style="495" customWidth="1"/>
    <col min="33" max="33" width="9" style="495" customWidth="1"/>
    <col min="34" max="34" width="13.5" style="495" customWidth="1"/>
    <col min="35" max="35" width="11.5" style="495" bestFit="1" customWidth="1"/>
    <col min="36" max="36" width="10.8984375" style="495" customWidth="1"/>
    <col min="37" max="37" width="11.3984375" style="495" customWidth="1"/>
    <col min="38" max="38" width="12.69921875" style="495" customWidth="1"/>
    <col min="39" max="39" width="9" style="495" customWidth="1"/>
    <col min="40" max="40" width="11" style="495" customWidth="1"/>
    <col min="41" max="41" width="14.69921875" style="495" customWidth="1"/>
    <col min="42" max="42" width="11" style="495" customWidth="1"/>
    <col min="43" max="43" width="48.3984375" style="495" customWidth="1"/>
    <col min="44" max="62" width="11" style="495" customWidth="1"/>
    <col min="63" max="16384" width="12.59765625" style="495"/>
  </cols>
  <sheetData>
    <row r="1" spans="1:40" ht="36" thickBot="1">
      <c r="B1" s="496"/>
      <c r="C1" s="497" t="str">
        <f>[7]Parametres!B1</f>
        <v>Volks</v>
      </c>
      <c r="D1" s="498"/>
      <c r="E1" s="499"/>
      <c r="F1" s="498"/>
      <c r="G1" s="498"/>
      <c r="H1" s="496"/>
      <c r="I1" s="498"/>
      <c r="J1" s="496"/>
      <c r="K1" s="500" t="s">
        <v>0</v>
      </c>
      <c r="L1" s="498"/>
      <c r="M1" s="498"/>
      <c r="N1" s="501"/>
      <c r="O1" s="497"/>
      <c r="P1" s="502"/>
      <c r="Q1" s="497"/>
      <c r="R1" s="502"/>
      <c r="S1" s="503" t="str">
        <f>CONCATENATE("Réalisé,"," ",[7]Parametres!B3," ",[7]Parametres!B4)</f>
        <v>Réalisé, Novembre 2024</v>
      </c>
      <c r="T1" s="498" t="s">
        <v>1</v>
      </c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</row>
    <row r="2" spans="1:40" ht="15" customHeight="1" thickTop="1" thickBot="1">
      <c r="B2" s="504"/>
      <c r="C2" s="505"/>
      <c r="D2" s="506" t="s">
        <v>2</v>
      </c>
      <c r="E2" s="506" t="s">
        <v>3</v>
      </c>
      <c r="F2" s="506" t="s">
        <v>4</v>
      </c>
      <c r="G2" s="506"/>
      <c r="H2" s="506"/>
      <c r="I2" s="506"/>
      <c r="J2" s="506" t="s">
        <v>218</v>
      </c>
      <c r="K2" s="506"/>
      <c r="L2" s="506" t="s">
        <v>219</v>
      </c>
      <c r="M2" s="507"/>
      <c r="N2" s="507"/>
      <c r="O2" s="506" t="s">
        <v>2</v>
      </c>
      <c r="P2" s="506" t="s">
        <v>3</v>
      </c>
      <c r="Q2" s="506" t="s">
        <v>4</v>
      </c>
      <c r="R2" s="507"/>
      <c r="S2" s="507"/>
      <c r="T2" s="507"/>
      <c r="U2" s="507"/>
      <c r="V2" s="508" t="s">
        <v>470</v>
      </c>
      <c r="W2" s="509"/>
    </row>
    <row r="3" spans="1:40" ht="21.6" thickTop="1">
      <c r="B3" s="510"/>
      <c r="C3" s="511"/>
      <c r="D3" s="512" t="s">
        <v>5</v>
      </c>
      <c r="E3" s="513"/>
      <c r="F3" s="514"/>
      <c r="G3" s="515"/>
      <c r="H3" s="513"/>
      <c r="I3" s="514"/>
      <c r="J3" s="515" t="s">
        <v>7</v>
      </c>
      <c r="K3" s="513"/>
      <c r="L3" s="514"/>
      <c r="M3" s="515" t="s">
        <v>220</v>
      </c>
      <c r="N3" s="514"/>
      <c r="O3" s="512" t="s">
        <v>8</v>
      </c>
      <c r="P3" s="513"/>
      <c r="Q3" s="514"/>
      <c r="R3" s="515" t="s">
        <v>221</v>
      </c>
      <c r="S3" s="514"/>
      <c r="T3" s="510"/>
      <c r="U3" s="510"/>
      <c r="V3" s="516" t="s">
        <v>471</v>
      </c>
      <c r="W3" s="517">
        <v>0.45</v>
      </c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</row>
    <row r="4" spans="1:40" ht="20.399999999999999">
      <c r="B4" s="510"/>
      <c r="C4" s="518"/>
      <c r="D4" s="519" t="s">
        <v>10</v>
      </c>
      <c r="E4" s="520" t="s">
        <v>11</v>
      </c>
      <c r="F4" s="521" t="s">
        <v>12</v>
      </c>
      <c r="G4" s="522"/>
      <c r="H4" s="520"/>
      <c r="I4" s="521"/>
      <c r="J4" s="522" t="s">
        <v>472</v>
      </c>
      <c r="K4" s="520" t="s">
        <v>13</v>
      </c>
      <c r="L4" s="521" t="s">
        <v>12</v>
      </c>
      <c r="M4" s="522" t="s">
        <v>472</v>
      </c>
      <c r="N4" s="521" t="s">
        <v>12</v>
      </c>
      <c r="O4" s="520" t="s">
        <v>10</v>
      </c>
      <c r="P4" s="520" t="s">
        <v>11</v>
      </c>
      <c r="Q4" s="521" t="s">
        <v>12</v>
      </c>
      <c r="R4" s="522" t="s">
        <v>472</v>
      </c>
      <c r="S4" s="521" t="s">
        <v>12</v>
      </c>
      <c r="T4" s="510"/>
      <c r="U4" s="510"/>
      <c r="V4" s="516" t="s">
        <v>473</v>
      </c>
      <c r="W4" s="517">
        <v>0.1</v>
      </c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0"/>
      <c r="AI4" s="510"/>
      <c r="AJ4" s="510"/>
      <c r="AK4" s="510"/>
      <c r="AL4" s="510"/>
      <c r="AM4" s="510"/>
      <c r="AN4" s="510"/>
    </row>
    <row r="5" spans="1:40" ht="20.399999999999999">
      <c r="A5" s="523" t="s">
        <v>228</v>
      </c>
      <c r="B5" s="510" t="s">
        <v>0</v>
      </c>
      <c r="C5" s="524" t="s">
        <v>15</v>
      </c>
      <c r="D5" s="525"/>
      <c r="E5" s="525"/>
      <c r="F5" s="526">
        <f>+INDEX('[7]Budget original'!$A$2:$AO$501,MATCH($A5,'[7]Budget original'!$A$2:$A$501,0),MATCH(F$2,'[7]Budget original'!$A$2:$AO$2,0))</f>
        <v>3242782.3321145447</v>
      </c>
      <c r="G5" s="525"/>
      <c r="H5" s="525"/>
      <c r="I5" s="527"/>
      <c r="J5" s="524"/>
      <c r="K5" s="528"/>
      <c r="L5" s="526">
        <f>-SUMIFS([7]BV_Data_An_Cour!$O:$O,[7]BV_Data_An_Cour!$X:$X,"Oui",[7]BV_Data_An_Cour!$U:$U,$B5)</f>
        <v>2101403.2899999996</v>
      </c>
      <c r="M5" s="529"/>
      <c r="N5" s="530"/>
      <c r="O5" s="524"/>
      <c r="P5" s="528"/>
      <c r="Q5" s="526">
        <f t="array" ref="Q5">+INDEX('[7]Réel 2023'!$A$2:$AO$501,MATCH($A5,'[7]Réel 2023'!$A$2:$A$501,0),MATCH(Q$2,'[7]Réel 2023'!$A$2:$AO$2,0))</f>
        <v>10151414.289999999</v>
      </c>
      <c r="R5" s="529"/>
      <c r="S5" s="530"/>
      <c r="T5" s="510"/>
      <c r="U5" s="510"/>
      <c r="V5" s="516" t="s">
        <v>222</v>
      </c>
      <c r="W5" s="517">
        <v>0.22500000000000001</v>
      </c>
      <c r="X5" s="510"/>
      <c r="Y5" s="510"/>
      <c r="Z5" s="510"/>
      <c r="AA5" s="510"/>
      <c r="AB5" s="510"/>
      <c r="AC5" s="510"/>
      <c r="AD5" s="510"/>
      <c r="AE5" s="510"/>
      <c r="AF5" s="510"/>
      <c r="AG5" s="510"/>
      <c r="AH5" s="510"/>
      <c r="AI5" s="510"/>
      <c r="AJ5" s="510"/>
      <c r="AK5" s="510"/>
      <c r="AL5" s="510"/>
      <c r="AM5" s="510"/>
      <c r="AN5" s="510"/>
    </row>
    <row r="6" spans="1:40" ht="20.399999999999999">
      <c r="A6" s="523" t="s">
        <v>229</v>
      </c>
      <c r="B6" s="510" t="s">
        <v>0</v>
      </c>
      <c r="C6" s="531" t="s">
        <v>16</v>
      </c>
      <c r="D6" s="532">
        <f>+INDEX('[7]Budget original'!$A$2:$AO$501,MATCH($A6,'[7]Budget original'!$A$2:$A$501,0),MATCH(D$2,'[7]Budget original'!$A$2:$AO$2,0))</f>
        <v>12</v>
      </c>
      <c r="E6" s="532">
        <f>IF(D6=0,0,F6/D6)</f>
        <v>2198.1219285498491</v>
      </c>
      <c r="F6" s="532">
        <f>+INDEX('[7]Budget original'!$A$2:$AO$501,MATCH($A6,'[7]Budget original'!$A$2:$A$501,0),MATCH(F$2,'[7]Budget original'!$A$2:$AO$2,0))</f>
        <v>26377.46314259819</v>
      </c>
      <c r="G6" s="533"/>
      <c r="H6" s="532"/>
      <c r="I6" s="532"/>
      <c r="J6" s="533">
        <f>-SUMIFS([7]BV_Data_An_Cour!$O:$O,[7]BV_Data_An_Cour!$U:$U,$B6,[7]BV_Data_An_Cour!$V:$V,$C6,[7]BV_Data_An_Cour!$W:$W,J$2)</f>
        <v>8</v>
      </c>
      <c r="K6" s="532">
        <f t="shared" ref="K6:K12" si="0">IF(J6=0,0,L6/J6)</f>
        <v>2031.0612499999988</v>
      </c>
      <c r="L6" s="534">
        <f>-SUMIFS([7]BV_Data_An_Cour!$O:$O,[7]BV_Data_An_Cour!$U:$U,$B6,[7]BV_Data_An_Cour!$V:$V,$C6,[7]BV_Data_An_Cour!$W:$W,L$2)</f>
        <v>16248.489999999991</v>
      </c>
      <c r="M6" s="533">
        <f t="shared" ref="M6:M12" si="1">J6-D6</f>
        <v>-4</v>
      </c>
      <c r="N6" s="534">
        <f t="shared" ref="N6:N12" si="2">L6-F6</f>
        <v>-10128.973142598199</v>
      </c>
      <c r="O6" s="533">
        <f>+INDEX('[7]Réel 2023'!$A$2:$AO$501,MATCH($A6,'[7]Réel 2023'!$A$2:$A$501,0),MATCH(O$2,'[7]Réel 2023'!$A$2:$AO$2,0))</f>
        <v>18</v>
      </c>
      <c r="P6" s="532">
        <f t="shared" ref="P6:P12" si="3">IF(O6=0,0,Q6/O6)</f>
        <v>2139.7994444444444</v>
      </c>
      <c r="Q6" s="534">
        <f t="array" ref="Q6">+INDEX('[7]Réel 2023'!$A$2:$AO$501,MATCH($A6,'[7]Réel 2023'!$A$2:$A$501,0),MATCH(Q$2,'[7]Réel 2023'!$A$2:$AO$2,0))</f>
        <v>38516.39</v>
      </c>
      <c r="R6" s="533">
        <f t="shared" ref="R6:R12" si="4">J6-O6</f>
        <v>-10</v>
      </c>
      <c r="S6" s="534">
        <f t="shared" ref="S6:S12" si="5">L6-Q6</f>
        <v>-22267.900000000009</v>
      </c>
      <c r="T6" s="510"/>
      <c r="U6" s="510"/>
      <c r="V6" s="516" t="s">
        <v>474</v>
      </c>
      <c r="W6" s="517">
        <v>2.5000000000000001E-2</v>
      </c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</row>
    <row r="7" spans="1:40" ht="20.399999999999999">
      <c r="A7" s="523" t="s">
        <v>230</v>
      </c>
      <c r="B7" s="510" t="s">
        <v>0</v>
      </c>
      <c r="C7" s="531" t="s">
        <v>17</v>
      </c>
      <c r="D7" s="532">
        <f>+INDEX('[7]Budget original'!$A$2:$AO$501,MATCH($A7,'[7]Budget original'!$A$2:$A$501,0),MATCH(D$2,'[7]Budget original'!$A$2:$AO$2,0))</f>
        <v>49.800000000000004</v>
      </c>
      <c r="E7" s="532">
        <f t="shared" ref="E7:E12" si="6">IF(D7=0,0,F7/D7)</f>
        <v>2861.7055184092151</v>
      </c>
      <c r="F7" s="532">
        <f>+INDEX('[7]Budget original'!$A$2:$AO$501,MATCH($A7,'[7]Budget original'!$A$2:$A$501,0),MATCH(F$2,'[7]Budget original'!$A$2:$AO$2,0))</f>
        <v>142512.93481677893</v>
      </c>
      <c r="G7" s="533"/>
      <c r="H7" s="532"/>
      <c r="I7" s="532"/>
      <c r="J7" s="533">
        <f>-SUMIFS([7]BV_Data_An_Cour!$O:$O,[7]BV_Data_An_Cour!$U:$U,$B7,[7]BV_Data_An_Cour!$V:$V,$C7,[7]BV_Data_An_Cour!$W:$W,J$2)</f>
        <v>27</v>
      </c>
      <c r="K7" s="532">
        <f t="shared" si="0"/>
        <v>2114.5018518518491</v>
      </c>
      <c r="L7" s="534">
        <f>-SUMIFS([7]BV_Data_An_Cour!$O:$O,[7]BV_Data_An_Cour!$U:$U,$B7,[7]BV_Data_An_Cour!$V:$V,$C7,[7]BV_Data_An_Cour!$W:$W,L$2)</f>
        <v>57091.54999999993</v>
      </c>
      <c r="M7" s="533">
        <f t="shared" si="1"/>
        <v>-22.800000000000004</v>
      </c>
      <c r="N7" s="534">
        <f t="shared" si="2"/>
        <v>-85421.384816778998</v>
      </c>
      <c r="O7" s="533">
        <f t="array" ref="O7">+INDEX('[7]Réel 2023'!$A$2:$AO$501,MATCH($A7,'[7]Réel 2023'!$A$2:$A$501,0),MATCH(O$2,'[7]Réel 2023'!$A$2:$AO$2,0))</f>
        <v>71</v>
      </c>
      <c r="P7" s="532">
        <f t="shared" si="3"/>
        <v>2320.1190140845074</v>
      </c>
      <c r="Q7" s="534">
        <f t="array" ref="Q7">+INDEX('[7]Réel 2023'!$A$2:$AO$501,MATCH($A7,'[7]Réel 2023'!$A$2:$A$501,0),MATCH(Q$2,'[7]Réel 2023'!$A$2:$AO$2,0))</f>
        <v>164728.45000000001</v>
      </c>
      <c r="R7" s="533">
        <f t="shared" si="4"/>
        <v>-44</v>
      </c>
      <c r="S7" s="534">
        <f t="shared" si="5"/>
        <v>-107636.90000000008</v>
      </c>
      <c r="T7" s="510"/>
      <c r="U7" s="510"/>
      <c r="V7" s="516" t="s">
        <v>475</v>
      </c>
      <c r="W7" s="517">
        <v>0.2</v>
      </c>
      <c r="X7" s="510"/>
      <c r="Y7" s="510"/>
      <c r="Z7" s="510"/>
      <c r="AA7" s="510"/>
      <c r="AB7" s="510"/>
      <c r="AC7" s="510"/>
      <c r="AD7" s="510"/>
      <c r="AE7" s="510"/>
      <c r="AF7" s="510"/>
      <c r="AG7" s="510"/>
      <c r="AH7" s="510"/>
      <c r="AI7" s="510"/>
      <c r="AJ7" s="510"/>
      <c r="AK7" s="510"/>
      <c r="AL7" s="510"/>
      <c r="AM7" s="510"/>
      <c r="AN7" s="510"/>
    </row>
    <row r="8" spans="1:40" ht="21" thickBot="1">
      <c r="A8" s="523" t="s">
        <v>231</v>
      </c>
      <c r="B8" s="510" t="s">
        <v>0</v>
      </c>
      <c r="C8" s="531" t="s">
        <v>18</v>
      </c>
      <c r="D8" s="532">
        <f>+INDEX('[7]Budget original'!$A$2:$AO$501,MATCH($A8,'[7]Budget original'!$A$2:$A$501,0),MATCH(D$2,'[7]Budget original'!$A$2:$AO$2,0))</f>
        <v>0</v>
      </c>
      <c r="E8" s="532">
        <f t="shared" si="6"/>
        <v>0</v>
      </c>
      <c r="F8" s="532">
        <f>+INDEX('[7]Budget original'!$A$2:$AO$501,MATCH($A8,'[7]Budget original'!$A$2:$A$501,0),MATCH(F$2,'[7]Budget original'!$A$2:$AO$2,0))</f>
        <v>0</v>
      </c>
      <c r="G8" s="533"/>
      <c r="H8" s="532"/>
      <c r="I8" s="532"/>
      <c r="J8" s="533">
        <f>-SUMIFS([7]BV_Data_An_Cour!$O:$O,[7]BV_Data_An_Cour!$U:$U,$B8,[7]BV_Data_An_Cour!$V:$V,$C8,[7]BV_Data_An_Cour!$W:$W,J$2)</f>
        <v>0</v>
      </c>
      <c r="K8" s="532">
        <f t="shared" si="0"/>
        <v>0</v>
      </c>
      <c r="L8" s="534">
        <f>-SUMIFS([7]BV_Data_An_Cour!$O:$O,[7]BV_Data_An_Cour!$U:$U,$B8,[7]BV_Data_An_Cour!$V:$V,$C8,[7]BV_Data_An_Cour!$W:$W,L$2)</f>
        <v>0</v>
      </c>
      <c r="M8" s="533">
        <f t="shared" si="1"/>
        <v>0</v>
      </c>
      <c r="N8" s="534">
        <f t="shared" si="2"/>
        <v>0</v>
      </c>
      <c r="O8" s="533">
        <f t="array" ref="O8">+INDEX('[7]Réel 2023'!$A$2:$AO$501,MATCH($A8,'[7]Réel 2023'!$A$2:$A$501,0),MATCH(O$2,'[7]Réel 2023'!$A$2:$AO$2,0))</f>
        <v>0</v>
      </c>
      <c r="P8" s="532">
        <f t="shared" si="3"/>
        <v>0</v>
      </c>
      <c r="Q8" s="534">
        <f t="array" ref="Q8">+INDEX('[7]Réel 2023'!$A$2:$AO$501,MATCH($A8,'[7]Réel 2023'!$A$2:$A$501,0),MATCH(Q$2,'[7]Réel 2023'!$A$2:$AO$2,0))</f>
        <v>0</v>
      </c>
      <c r="R8" s="533">
        <f t="shared" si="4"/>
        <v>0</v>
      </c>
      <c r="S8" s="534">
        <f t="shared" si="5"/>
        <v>0</v>
      </c>
      <c r="T8" s="510"/>
      <c r="U8" s="510"/>
      <c r="V8" s="535"/>
      <c r="W8" s="536">
        <f>SUM(W3:W7)</f>
        <v>1</v>
      </c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</row>
    <row r="9" spans="1:40" ht="21" thickTop="1">
      <c r="A9" s="523" t="s">
        <v>232</v>
      </c>
      <c r="B9" s="510" t="s">
        <v>0</v>
      </c>
      <c r="C9" s="531" t="s">
        <v>19</v>
      </c>
      <c r="D9" s="532">
        <f>+INDEX('[7]Budget original'!$A$2:$AO$501,MATCH($A9,'[7]Budget original'!$A$2:$A$501,0),MATCH(D$2,'[7]Budget original'!$A$2:$AO$2,0))</f>
        <v>0</v>
      </c>
      <c r="E9" s="532">
        <f t="shared" si="6"/>
        <v>0</v>
      </c>
      <c r="F9" s="532">
        <f>+INDEX('[7]Budget original'!$A$2:$AO$501,MATCH($A9,'[7]Budget original'!$A$2:$A$501,0),MATCH(F$2,'[7]Budget original'!$A$2:$AO$2,0))</f>
        <v>0</v>
      </c>
      <c r="G9" s="533"/>
      <c r="H9" s="532"/>
      <c r="I9" s="532"/>
      <c r="J9" s="533">
        <f>-SUMIFS([7]BV_Data_An_Cour!$O:$O,[7]BV_Data_An_Cour!$U:$U,$B9,[7]BV_Data_An_Cour!$V:$V,$C9,[7]BV_Data_An_Cour!$W:$W,J$2)</f>
        <v>0</v>
      </c>
      <c r="K9" s="532">
        <f t="shared" si="0"/>
        <v>0</v>
      </c>
      <c r="L9" s="534">
        <f>-SUMIFS([7]BV_Data_An_Cour!$O:$O,[7]BV_Data_An_Cour!$U:$U,$B9,[7]BV_Data_An_Cour!$V:$V,$C9,[7]BV_Data_An_Cour!$W:$W,L$2)</f>
        <v>0</v>
      </c>
      <c r="M9" s="533">
        <f t="shared" si="1"/>
        <v>0</v>
      </c>
      <c r="N9" s="534">
        <f t="shared" si="2"/>
        <v>0</v>
      </c>
      <c r="O9" s="533">
        <f t="array" ref="O9">+INDEX('[7]Réel 2023'!$A$2:$AO$501,MATCH($A9,'[7]Réel 2023'!$A$2:$A$501,0),MATCH(O$2,'[7]Réel 2023'!$A$2:$AO$2,0))</f>
        <v>0</v>
      </c>
      <c r="P9" s="532">
        <f t="shared" si="3"/>
        <v>0</v>
      </c>
      <c r="Q9" s="534">
        <f t="array" ref="Q9">+INDEX('[7]Réel 2023'!$A$2:$AO$501,MATCH($A9,'[7]Réel 2023'!$A$2:$A$501,0),MATCH(Q$2,'[7]Réel 2023'!$A$2:$AO$2,0))</f>
        <v>0</v>
      </c>
      <c r="R9" s="533">
        <f t="shared" si="4"/>
        <v>0</v>
      </c>
      <c r="S9" s="534">
        <f t="shared" si="5"/>
        <v>0</v>
      </c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</row>
    <row r="10" spans="1:40" ht="20.25" hidden="1" customHeight="1">
      <c r="A10" s="523" t="s">
        <v>233</v>
      </c>
      <c r="B10" s="510" t="s">
        <v>0</v>
      </c>
      <c r="C10" s="531" t="s">
        <v>20</v>
      </c>
      <c r="D10" s="532">
        <f>+INDEX('[7]Budget original'!$A$2:$AO$501,MATCH($A10,'[7]Budget original'!$A$2:$A$501,0),MATCH(D$2,'[7]Budget original'!$A$2:$AO$2,0))</f>
        <v>0</v>
      </c>
      <c r="E10" s="532">
        <f t="shared" si="6"/>
        <v>0</v>
      </c>
      <c r="F10" s="532">
        <f>+INDEX('[7]Budget original'!$A$2:$AO$501,MATCH($A10,'[7]Budget original'!$A$2:$A$501,0),MATCH(F$2,'[7]Budget original'!$A$2:$AO$2,0))</f>
        <v>0</v>
      </c>
      <c r="G10" s="533"/>
      <c r="H10" s="532"/>
      <c r="I10" s="532"/>
      <c r="J10" s="533">
        <f>-SUMIFS([7]BV_Data_An_Cour!$O:$O,[7]BV_Data_An_Cour!$U:$U,$B10,[7]BV_Data_An_Cour!$V:$V,$C10,[7]BV_Data_An_Cour!$W:$W,J$2)</f>
        <v>0</v>
      </c>
      <c r="K10" s="532">
        <f t="shared" si="0"/>
        <v>0</v>
      </c>
      <c r="L10" s="534">
        <f>-SUMIFS([7]BV_Data_An_Cour!$O:$O,[7]BV_Data_An_Cour!$U:$U,$B10,[7]BV_Data_An_Cour!$V:$V,$C10,[7]BV_Data_An_Cour!$W:$W,L$2)</f>
        <v>0</v>
      </c>
      <c r="M10" s="533">
        <f t="shared" si="1"/>
        <v>0</v>
      </c>
      <c r="N10" s="534">
        <f t="shared" si="2"/>
        <v>0</v>
      </c>
      <c r="O10" s="533">
        <f t="array" ref="O10">+INDEX('[7]Réel 2023'!$A$2:$AO$501,MATCH($A10,'[7]Réel 2023'!$A$2:$A$501,0),MATCH(O$2,'[7]Réel 2023'!$A$2:$AO$2,0))</f>
        <v>0</v>
      </c>
      <c r="P10" s="532">
        <f t="shared" si="3"/>
        <v>0</v>
      </c>
      <c r="Q10" s="534">
        <f t="array" ref="Q10">+INDEX('[7]Réel 2023'!$A$2:$AO$501,MATCH($A10,'[7]Réel 2023'!$A$2:$A$501,0),MATCH(Q$2,'[7]Réel 2023'!$A$2:$AO$2,0))</f>
        <v>0</v>
      </c>
      <c r="R10" s="533">
        <f t="shared" si="4"/>
        <v>0</v>
      </c>
      <c r="S10" s="534">
        <f t="shared" si="5"/>
        <v>0</v>
      </c>
      <c r="T10" s="510"/>
      <c r="U10" s="510"/>
      <c r="V10" s="510"/>
      <c r="W10" s="510"/>
      <c r="X10" s="510"/>
      <c r="Y10" s="510"/>
      <c r="Z10" s="510"/>
      <c r="AA10" s="510"/>
      <c r="AB10" s="510"/>
      <c r="AC10" s="510"/>
      <c r="AD10" s="510"/>
      <c r="AE10" s="510"/>
      <c r="AF10" s="510"/>
      <c r="AG10" s="510"/>
      <c r="AH10" s="510"/>
      <c r="AI10" s="510"/>
      <c r="AJ10" s="510"/>
      <c r="AK10" s="510"/>
      <c r="AL10" s="510"/>
      <c r="AM10" s="510"/>
      <c r="AN10" s="510"/>
    </row>
    <row r="11" spans="1:40" ht="20.25" hidden="1" customHeight="1">
      <c r="A11" s="523" t="s">
        <v>233</v>
      </c>
      <c r="B11" s="510" t="s">
        <v>0</v>
      </c>
      <c r="C11" s="531" t="s">
        <v>20</v>
      </c>
      <c r="D11" s="532">
        <f>+INDEX('[7]Budget original'!$A$2:$AO$501,MATCH($A11,'[7]Budget original'!$A$2:$A$501,0),MATCH(D$2,'[7]Budget original'!$A$2:$AO$2,0))</f>
        <v>0</v>
      </c>
      <c r="E11" s="532">
        <f t="shared" si="6"/>
        <v>0</v>
      </c>
      <c r="F11" s="532">
        <f>+INDEX('[7]Budget original'!$A$2:$AO$501,MATCH($A11,'[7]Budget original'!$A$2:$A$501,0),MATCH(F$2,'[7]Budget original'!$A$2:$AO$2,0))</f>
        <v>0</v>
      </c>
      <c r="G11" s="533"/>
      <c r="H11" s="532"/>
      <c r="I11" s="532"/>
      <c r="J11" s="533">
        <f>-SUMIFS([7]BV_Data_An_Cour!$O:$O,[7]BV_Data_An_Cour!$U:$U,$B11,[7]BV_Data_An_Cour!$V:$V,$C11,[7]BV_Data_An_Cour!$W:$W,J$2)</f>
        <v>0</v>
      </c>
      <c r="K11" s="532">
        <f t="shared" si="0"/>
        <v>0</v>
      </c>
      <c r="L11" s="534">
        <f>-SUMIFS([7]BV_Data_An_Cour!$O:$O,[7]BV_Data_An_Cour!$U:$U,$B11,[7]BV_Data_An_Cour!$V:$V,$C11,[7]BV_Data_An_Cour!$W:$W,L$2)</f>
        <v>0</v>
      </c>
      <c r="M11" s="533">
        <f t="shared" si="1"/>
        <v>0</v>
      </c>
      <c r="N11" s="534">
        <f t="shared" si="2"/>
        <v>0</v>
      </c>
      <c r="O11" s="533">
        <f t="array" ref="O11">+INDEX('[7]Réel 2023'!$A$2:$AO$501,MATCH($A11,'[7]Réel 2023'!$A$2:$A$501,0),MATCH(O$2,'[7]Réel 2023'!$A$2:$AO$2,0))</f>
        <v>0</v>
      </c>
      <c r="P11" s="532">
        <f t="shared" si="3"/>
        <v>0</v>
      </c>
      <c r="Q11" s="534">
        <f t="array" ref="Q11">+INDEX('[7]Réel 2023'!$A$2:$AO$501,MATCH($A11,'[7]Réel 2023'!$A$2:$A$501,0),MATCH(Q$2,'[7]Réel 2023'!$A$2:$AO$2,0))</f>
        <v>0</v>
      </c>
      <c r="R11" s="533">
        <f t="shared" si="4"/>
        <v>0</v>
      </c>
      <c r="S11" s="534">
        <f t="shared" si="5"/>
        <v>0</v>
      </c>
      <c r="T11" s="510"/>
      <c r="U11" s="510"/>
      <c r="V11" s="510"/>
      <c r="W11" s="510"/>
      <c r="X11" s="510"/>
      <c r="Y11" s="510"/>
      <c r="Z11" s="510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</row>
    <row r="12" spans="1:40" ht="20.25" hidden="1" customHeight="1">
      <c r="A12" s="523" t="s">
        <v>233</v>
      </c>
      <c r="B12" s="510" t="s">
        <v>0</v>
      </c>
      <c r="C12" s="531" t="s">
        <v>20</v>
      </c>
      <c r="D12" s="532">
        <f>+INDEX('[7]Budget original'!$A$2:$AO$501,MATCH($A12,'[7]Budget original'!$A$2:$A$501,0),MATCH(D$2,'[7]Budget original'!$A$2:$AO$2,0))</f>
        <v>0</v>
      </c>
      <c r="E12" s="532">
        <f t="shared" si="6"/>
        <v>0</v>
      </c>
      <c r="F12" s="532">
        <f>+INDEX('[7]Budget original'!$A$2:$AO$501,MATCH($A12,'[7]Budget original'!$A$2:$A$501,0),MATCH(F$2,'[7]Budget original'!$A$2:$AO$2,0))</f>
        <v>0</v>
      </c>
      <c r="G12" s="533"/>
      <c r="H12" s="532"/>
      <c r="I12" s="532"/>
      <c r="J12" s="533">
        <f>-SUMIFS([7]BV_Data_An_Cour!$O:$O,[7]BV_Data_An_Cour!$U:$U,$B12,[7]BV_Data_An_Cour!$V:$V,$C12,[7]BV_Data_An_Cour!$W:$W,J$2)</f>
        <v>0</v>
      </c>
      <c r="K12" s="532">
        <f t="shared" si="0"/>
        <v>0</v>
      </c>
      <c r="L12" s="534">
        <f>-SUMIFS([7]BV_Data_An_Cour!$O:$O,[7]BV_Data_An_Cour!$U:$U,$B12,[7]BV_Data_An_Cour!$V:$V,$C12,[7]BV_Data_An_Cour!$W:$W,L$2)</f>
        <v>0</v>
      </c>
      <c r="M12" s="533">
        <f t="shared" si="1"/>
        <v>0</v>
      </c>
      <c r="N12" s="534">
        <f t="shared" si="2"/>
        <v>0</v>
      </c>
      <c r="O12" s="533">
        <f t="array" ref="O12">+INDEX('[7]Réel 2023'!$A$2:$AO$501,MATCH($A12,'[7]Réel 2023'!$A$2:$A$501,0),MATCH(O$2,'[7]Réel 2023'!$A$2:$AO$2,0))</f>
        <v>0</v>
      </c>
      <c r="P12" s="532">
        <f t="shared" si="3"/>
        <v>0</v>
      </c>
      <c r="Q12" s="534">
        <f t="array" ref="Q12">+INDEX('[7]Réel 2023'!$A$2:$AO$501,MATCH($A12,'[7]Réel 2023'!$A$2:$A$501,0),MATCH(Q$2,'[7]Réel 2023'!$A$2:$AO$2,0))</f>
        <v>0</v>
      </c>
      <c r="R12" s="533">
        <f t="shared" si="4"/>
        <v>0</v>
      </c>
      <c r="S12" s="534">
        <f t="shared" si="5"/>
        <v>0</v>
      </c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</row>
    <row r="13" spans="1:40" ht="21">
      <c r="A13" s="523" t="s">
        <v>234</v>
      </c>
      <c r="B13" s="510" t="s">
        <v>0</v>
      </c>
      <c r="C13" s="537" t="s">
        <v>21</v>
      </c>
      <c r="D13" s="538">
        <f>+SUM(D6:D12)</f>
        <v>61.800000000000004</v>
      </c>
      <c r="E13" s="538">
        <f>IF(D13&lt;=0,0,F13/D13)</f>
        <v>2732.8543359122509</v>
      </c>
      <c r="F13" s="539">
        <f>+SUM(F6:F12)</f>
        <v>168890.39795937712</v>
      </c>
      <c r="G13" s="540"/>
      <c r="H13" s="538"/>
      <c r="I13" s="539"/>
      <c r="J13" s="540">
        <f t="shared" ref="J13" si="7">+SUM(J6:J12)</f>
        <v>35</v>
      </c>
      <c r="K13" s="538">
        <f>IF(J13&lt;=0,0,L13/J13)</f>
        <v>2095.4297142857122</v>
      </c>
      <c r="L13" s="539">
        <f t="shared" ref="L13" si="8">+SUM(L6:L12)</f>
        <v>73340.039999999921</v>
      </c>
      <c r="M13" s="540">
        <f>+SUM(M6:M12)</f>
        <v>-26.800000000000004</v>
      </c>
      <c r="N13" s="539">
        <f t="shared" ref="N13" si="9">+SUM(N6:N12)</f>
        <v>-95550.357959377201</v>
      </c>
      <c r="O13" s="540">
        <f>+SUM(O6:O12)</f>
        <v>89</v>
      </c>
      <c r="P13" s="538">
        <f>IF(O13&lt;=0,0,Q13/O13)</f>
        <v>2283.6498876404498</v>
      </c>
      <c r="Q13" s="539">
        <f t="shared" ref="Q13" si="10">+SUM(Q6:Q12)</f>
        <v>203244.84000000003</v>
      </c>
      <c r="R13" s="540">
        <f t="shared" ref="R13:S13" si="11">+SUM(R6:R12)</f>
        <v>-54</v>
      </c>
      <c r="S13" s="539">
        <f t="shared" si="11"/>
        <v>-129904.80000000009</v>
      </c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</row>
    <row r="14" spans="1:40" ht="20.399999999999999">
      <c r="A14" s="523" t="s">
        <v>0</v>
      </c>
      <c r="B14" s="510" t="s">
        <v>0</v>
      </c>
      <c r="C14" s="531"/>
      <c r="D14" s="510"/>
      <c r="E14" s="532"/>
      <c r="F14" s="541"/>
      <c r="G14" s="531"/>
      <c r="H14" s="532"/>
      <c r="I14" s="541"/>
      <c r="J14" s="531"/>
      <c r="K14" s="532"/>
      <c r="L14" s="541"/>
      <c r="M14" s="542">
        <f>IF(D13=0,0,M13/D13)</f>
        <v>-0.43365695792880266</v>
      </c>
      <c r="N14" s="543">
        <f>IF(F13=0,0,N13/F13)</f>
        <v>-0.56575364327319388</v>
      </c>
      <c r="O14" s="531"/>
      <c r="P14" s="532"/>
      <c r="Q14" s="541"/>
      <c r="R14" s="542">
        <f>R13/O13</f>
        <v>-0.6067415730337079</v>
      </c>
      <c r="S14" s="543">
        <f>IF(Q13=0,0,(S13/Q13))</f>
        <v>-0.63915423387870551</v>
      </c>
      <c r="T14" s="510"/>
      <c r="U14" s="510"/>
      <c r="V14" s="510"/>
      <c r="W14" s="532"/>
      <c r="X14" s="532"/>
      <c r="Y14" s="510"/>
      <c r="Z14" s="510"/>
      <c r="AA14" s="510"/>
      <c r="AB14" s="510"/>
      <c r="AC14" s="510"/>
      <c r="AD14" s="510">
        <v>20</v>
      </c>
      <c r="AE14" s="510">
        <v>1000</v>
      </c>
      <c r="AF14" s="510">
        <f>AD14*AE14</f>
        <v>20000</v>
      </c>
      <c r="AG14" s="510"/>
      <c r="AH14" s="510"/>
      <c r="AI14" s="510"/>
      <c r="AJ14" s="510"/>
      <c r="AK14" s="510"/>
      <c r="AL14" s="510"/>
      <c r="AM14" s="510"/>
      <c r="AN14" s="510"/>
    </row>
    <row r="15" spans="1:40" ht="21">
      <c r="A15" s="523" t="s">
        <v>235</v>
      </c>
      <c r="B15" s="510" t="s">
        <v>0</v>
      </c>
      <c r="C15" s="544" t="s">
        <v>22</v>
      </c>
      <c r="D15" s="528">
        <f>+INDEX('[7]Budget original'!$A$2:$AO$501,MATCH($A15,'[7]Budget original'!$A$2:$A$501,0),MATCH(D$2,'[7]Budget original'!$A$2:$AO$2,0))</f>
        <v>4.96</v>
      </c>
      <c r="E15" s="528">
        <f>IF(D15=0,0,F15/D15)</f>
        <v>2504.4547942214085</v>
      </c>
      <c r="F15" s="526">
        <f>+INDEX('[7]Budget original'!$A$2:$AO$501,MATCH($A15,'[7]Budget original'!$A$2:$A$501,0),MATCH(F$2,'[7]Budget original'!$A$2:$AO$2,0))</f>
        <v>12422.095779338186</v>
      </c>
      <c r="G15" s="545"/>
      <c r="H15" s="528"/>
      <c r="I15" s="526"/>
      <c r="J15" s="546">
        <f>-SUMIFS([7]BV_Data_An_Cour!$O:$O,[7]BV_Data_An_Cour!$U:$U,$B15,[7]BV_Data_An_Cour!$V:$V,$C15,[7]BV_Data_An_Cour!$W:$W,J$2)</f>
        <v>2</v>
      </c>
      <c r="K15" s="547">
        <f>IF(J15=0,0,L15/J15)</f>
        <v>1396.2299999999959</v>
      </c>
      <c r="L15" s="547">
        <f>-SUMIFS([7]BV_Data_An_Cour!$O:$O,[7]BV_Data_An_Cour!$U:$U,$B15,[7]BV_Data_An_Cour!$V:$V,$C15,[7]BV_Data_An_Cour!$W:$W,L$2)</f>
        <v>2792.4599999999919</v>
      </c>
      <c r="M15" s="545">
        <f>J15-D15</f>
        <v>-2.96</v>
      </c>
      <c r="N15" s="526">
        <f>L15-F15</f>
        <v>-9629.635779338194</v>
      </c>
      <c r="O15" s="546">
        <f t="array" ref="O15">+INDEX('[7]Réel 2023'!$A$2:$AO$501,MATCH($A15,'[7]Réel 2023'!$A$2:$A$501,0),MATCH(O$2,'[7]Réel 2023'!$A$2:$AO$2,0))</f>
        <v>1</v>
      </c>
      <c r="P15" s="547">
        <f>IF(O15=0,0,Q15/O15)</f>
        <v>1154.9399999999901</v>
      </c>
      <c r="Q15" s="547">
        <f t="array" ref="Q15">+INDEX('[7]Réel 2023'!$A$2:$AO$501,MATCH($A15,'[7]Réel 2023'!$A$2:$A$501,0),MATCH(Q$2,'[7]Réel 2023'!$A$2:$AO$2,0))</f>
        <v>1154.9399999999901</v>
      </c>
      <c r="R15" s="545">
        <f>J15-O15</f>
        <v>1</v>
      </c>
      <c r="S15" s="526">
        <f>L15-Q15</f>
        <v>1637.5200000000018</v>
      </c>
      <c r="T15" s="510"/>
      <c r="U15" s="523"/>
      <c r="V15" s="532"/>
      <c r="W15" s="510"/>
      <c r="X15" s="510"/>
      <c r="Y15" s="510"/>
      <c r="Z15" s="510"/>
      <c r="AA15" s="510"/>
      <c r="AB15" s="510"/>
      <c r="AC15" s="510"/>
      <c r="AD15" s="510">
        <v>25</v>
      </c>
      <c r="AE15" s="510">
        <f>AF15/AD15</f>
        <v>800</v>
      </c>
      <c r="AF15" s="510">
        <f>AF14</f>
        <v>20000</v>
      </c>
      <c r="AG15" s="510"/>
      <c r="AH15" s="510"/>
      <c r="AI15" s="510"/>
      <c r="AJ15" s="510"/>
      <c r="AK15" s="510"/>
      <c r="AL15" s="510"/>
      <c r="AM15" s="510"/>
      <c r="AN15" s="510"/>
    </row>
    <row r="16" spans="1:40" ht="21">
      <c r="A16" s="523" t="s">
        <v>0</v>
      </c>
      <c r="B16" s="510" t="s">
        <v>0</v>
      </c>
      <c r="C16" s="531"/>
      <c r="D16" s="510"/>
      <c r="E16" s="532"/>
      <c r="F16" s="541"/>
      <c r="G16" s="531"/>
      <c r="H16" s="532"/>
      <c r="I16" s="541"/>
      <c r="J16" s="531"/>
      <c r="K16" s="532"/>
      <c r="L16" s="534"/>
      <c r="M16" s="548"/>
      <c r="N16" s="549"/>
      <c r="O16" s="531"/>
      <c r="P16" s="532"/>
      <c r="Q16" s="534"/>
      <c r="R16" s="548"/>
      <c r="S16" s="549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</row>
    <row r="17" spans="1:40" ht="21">
      <c r="A17" s="523" t="s">
        <v>236</v>
      </c>
      <c r="B17" s="510" t="s">
        <v>0</v>
      </c>
      <c r="C17" s="550" t="s">
        <v>23</v>
      </c>
      <c r="D17" s="532">
        <f>+INDEX('[7]Budget original'!$A$2:$AO$501,MATCH($A17,'[7]Budget original'!$A$2:$A$501,0),MATCH(D$2,'[7]Budget original'!$A$2:$AO$2,0))</f>
        <v>4.5</v>
      </c>
      <c r="E17" s="532">
        <f>IF(D17=0,0,F17/D17)</f>
        <v>2664.4640678584237</v>
      </c>
      <c r="F17" s="532">
        <f>+INDEX('[7]Budget original'!$A$2:$AO$501,MATCH($A17,'[7]Budget original'!$A$2:$A$501,0),MATCH(F$2,'[7]Budget original'!$A$2:$AO$2,0))</f>
        <v>11990.088305362908</v>
      </c>
      <c r="G17" s="533"/>
      <c r="H17" s="532"/>
      <c r="I17" s="532"/>
      <c r="J17" s="545">
        <f>-SUMIFS([7]BV_Data_An_Cour!$O:$O,[7]BV_Data_An_Cour!$U:$U,$B17,[7]BV_Data_An_Cour!$V:$V,$C17,[7]BV_Data_An_Cour!$W:$W,J$2)</f>
        <v>3</v>
      </c>
      <c r="K17" s="532">
        <f>IF(J17=0,0,L17/J17)</f>
        <v>1478.8733333333319</v>
      </c>
      <c r="L17" s="534">
        <f>-SUMIFS([7]BV_Data_An_Cour!$O:$O,[7]BV_Data_An_Cour!$U:$U,$B17,[7]BV_Data_An_Cour!$V:$V,$C17,[7]BV_Data_An_Cour!$W:$W,L$2)</f>
        <v>4436.6199999999953</v>
      </c>
      <c r="M17" s="545">
        <f>J17-D17</f>
        <v>-1.5</v>
      </c>
      <c r="N17" s="534">
        <f>L17-F17</f>
        <v>-7553.4683053629124</v>
      </c>
      <c r="O17" s="545">
        <f t="array" ref="O17">+INDEX('[7]Réel 2023'!$A$2:$AO$501,MATCH($A17,'[7]Réel 2023'!$A$2:$A$501,0),MATCH(O$2,'[7]Réel 2023'!$A$2:$AO$2,0))</f>
        <v>2</v>
      </c>
      <c r="P17" s="532">
        <f>IF(O17=0,0,Q17/O17)</f>
        <v>3324.41</v>
      </c>
      <c r="Q17" s="534">
        <f t="array" ref="Q17">+INDEX('[7]Réel 2023'!$A$2:$AO$501,MATCH($A17,'[7]Réel 2023'!$A$2:$A$501,0),MATCH(Q$2,'[7]Réel 2023'!$A$2:$AO$2,0))</f>
        <v>6648.82</v>
      </c>
      <c r="R17" s="533">
        <f>J17-O17</f>
        <v>1</v>
      </c>
      <c r="S17" s="534">
        <f>L17-Q17</f>
        <v>-2212.2000000000044</v>
      </c>
      <c r="T17" s="510"/>
      <c r="U17" s="507"/>
      <c r="V17" s="551"/>
      <c r="W17" s="510"/>
      <c r="X17" s="510"/>
      <c r="Y17" s="510"/>
      <c r="Z17" s="510"/>
      <c r="AA17" s="532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</row>
    <row r="18" spans="1:40" ht="21">
      <c r="A18" s="523" t="s">
        <v>0</v>
      </c>
      <c r="B18" s="510" t="s">
        <v>0</v>
      </c>
      <c r="C18" s="537"/>
      <c r="D18" s="552"/>
      <c r="E18" s="552"/>
      <c r="F18" s="553"/>
      <c r="G18" s="554"/>
      <c r="H18" s="552"/>
      <c r="I18" s="553"/>
      <c r="J18" s="533"/>
      <c r="K18" s="552"/>
      <c r="L18" s="553"/>
      <c r="M18" s="533"/>
      <c r="N18" s="553"/>
      <c r="O18" s="533"/>
      <c r="P18" s="552"/>
      <c r="Q18" s="553"/>
      <c r="R18" s="554"/>
      <c r="S18" s="553"/>
      <c r="T18" s="510"/>
      <c r="U18" s="510"/>
      <c r="W18" s="510"/>
      <c r="X18" s="510"/>
      <c r="Y18" s="510"/>
      <c r="Z18" s="510"/>
      <c r="AA18" s="510"/>
      <c r="AB18" s="510"/>
      <c r="AC18" s="510"/>
      <c r="AD18" s="510"/>
      <c r="AE18" s="510"/>
      <c r="AF18" s="510"/>
      <c r="AG18" s="510"/>
      <c r="AH18" s="510"/>
      <c r="AI18" s="510"/>
      <c r="AJ18" s="510"/>
      <c r="AK18" s="510"/>
      <c r="AL18" s="510"/>
      <c r="AM18" s="510"/>
      <c r="AN18" s="510"/>
    </row>
    <row r="19" spans="1:40" ht="21">
      <c r="A19" s="523" t="s">
        <v>237</v>
      </c>
      <c r="B19" s="510" t="s">
        <v>0</v>
      </c>
      <c r="C19" s="544" t="s">
        <v>24</v>
      </c>
      <c r="D19" s="532">
        <f>+INDEX('[7]Budget original'!$A$2:$AO$501,MATCH($A19,'[7]Budget original'!$A$2:$A$501,0),MATCH(D$2,'[7]Budget original'!$A$2:$AO$2,0))</f>
        <v>0</v>
      </c>
      <c r="E19" s="532">
        <f>IF(D19=0,0,F19/D19)</f>
        <v>0</v>
      </c>
      <c r="F19" s="532">
        <f>+INDEX('[7]Budget original'!$A$2:$AO$501,MATCH($A19,'[7]Budget original'!$A$2:$A$501,0),MATCH(F$2,'[7]Budget original'!$A$2:$AO$2,0))</f>
        <v>8500</v>
      </c>
      <c r="G19" s="533"/>
      <c r="H19" s="532"/>
      <c r="I19" s="532"/>
      <c r="J19" s="545"/>
      <c r="K19" s="532"/>
      <c r="L19" s="534">
        <f>-SUMIFS([7]BV_Data_An_Cour!$O:$O,[7]BV_Data_An_Cour!$U:$U,$B19,[7]BV_Data_An_Cour!$V:$V,$C19,[7]BV_Data_An_Cour!$W:$W,L$2)</f>
        <v>7700</v>
      </c>
      <c r="M19" s="533"/>
      <c r="N19" s="534">
        <f>L19-F19</f>
        <v>-800</v>
      </c>
      <c r="O19" s="545"/>
      <c r="P19" s="532"/>
      <c r="Q19" s="534">
        <f t="array" ref="Q19">+INDEX('[7]Réel 2023'!$A$2:$AO$501,MATCH($A19,'[7]Réel 2023'!$A$2:$A$501,0),MATCH(Q$2,'[7]Réel 2023'!$A$2:$AO$2,0))</f>
        <v>3732.16</v>
      </c>
      <c r="R19" s="533">
        <f>O19-K19</f>
        <v>0</v>
      </c>
      <c r="S19" s="534">
        <f>L19-Q19</f>
        <v>3967.84</v>
      </c>
      <c r="T19" s="510"/>
      <c r="W19" s="532"/>
      <c r="X19" s="555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0"/>
      <c r="AL19" s="510"/>
      <c r="AM19" s="510"/>
      <c r="AN19" s="510"/>
    </row>
    <row r="20" spans="1:40" ht="21">
      <c r="A20" s="523" t="s">
        <v>0</v>
      </c>
      <c r="B20" s="510" t="s">
        <v>0</v>
      </c>
      <c r="C20" s="537"/>
      <c r="D20" s="552"/>
      <c r="E20" s="552"/>
      <c r="F20" s="553"/>
      <c r="G20" s="554"/>
      <c r="H20" s="552"/>
      <c r="I20" s="553"/>
      <c r="J20" s="533"/>
      <c r="K20" s="552"/>
      <c r="L20" s="553"/>
      <c r="M20" s="554"/>
      <c r="N20" s="553"/>
      <c r="O20" s="533"/>
      <c r="P20" s="552"/>
      <c r="Q20" s="553"/>
      <c r="R20" s="554"/>
      <c r="S20" s="553"/>
      <c r="T20" s="510"/>
      <c r="U20" s="510"/>
      <c r="W20" s="532"/>
      <c r="X20" s="555"/>
      <c r="Y20" s="510"/>
      <c r="Z20" s="510"/>
      <c r="AA20" s="510"/>
      <c r="AB20" s="510"/>
      <c r="AC20" s="510"/>
      <c r="AD20" s="510"/>
      <c r="AE20" s="510"/>
      <c r="AF20" s="510"/>
      <c r="AG20" s="510"/>
      <c r="AH20" s="510"/>
      <c r="AI20" s="510"/>
      <c r="AJ20" s="510"/>
      <c r="AK20" s="510"/>
      <c r="AL20" s="510"/>
      <c r="AM20" s="510"/>
      <c r="AN20" s="510"/>
    </row>
    <row r="21" spans="1:40" ht="15.75" customHeight="1">
      <c r="A21" s="523" t="s">
        <v>238</v>
      </c>
      <c r="B21" s="510" t="s">
        <v>0</v>
      </c>
      <c r="C21" s="531" t="s">
        <v>25</v>
      </c>
      <c r="D21" s="532">
        <f>+INDEX('[7]Budget original'!$A$2:$AO$501,MATCH($A21,'[7]Budget original'!$A$2:$A$501,0),MATCH(D$2,'[7]Budget original'!$A$2:$AO$2,0))</f>
        <v>0</v>
      </c>
      <c r="E21" s="532">
        <f>IF(D21=0,0,F21/D21)</f>
        <v>0</v>
      </c>
      <c r="F21" s="532">
        <f>+INDEX('[7]Budget original'!$A$2:$AO$501,MATCH($A21,'[7]Budget original'!$A$2:$A$501,0),MATCH(F$2,'[7]Budget original'!$A$2:$AO$2,0))</f>
        <v>13352.000000000002</v>
      </c>
      <c r="G21" s="533"/>
      <c r="H21" s="532"/>
      <c r="I21" s="532"/>
      <c r="J21" s="533"/>
      <c r="K21" s="532">
        <f>IF(J13=0,0,L21/(J13+J15))</f>
        <v>0</v>
      </c>
      <c r="L21" s="534">
        <f>-SUMIFS([7]BV_Data_An_Cour!$O:$O,[7]BV_Data_An_Cour!$U:$U,$B21,[7]BV_Data_An_Cour!$V:$V,$C21,[7]BV_Data_An_Cour!$W:$W,L$2)</f>
        <v>0</v>
      </c>
      <c r="M21" s="533"/>
      <c r="N21" s="534">
        <f>L21-F21</f>
        <v>-13352.000000000002</v>
      </c>
      <c r="O21" s="533"/>
      <c r="P21" s="532"/>
      <c r="Q21" s="534">
        <f t="array" ref="Q21">+INDEX('[7]Réel 2023'!$A$2:$AO$501,MATCH($A21,'[7]Réel 2023'!$A$2:$A$501,0),MATCH(Q$2,'[7]Réel 2023'!$A$2:$AO$2,0))</f>
        <v>4322.42</v>
      </c>
      <c r="R21" s="533">
        <f t="shared" ref="R21:R23" si="12">O21-K21</f>
        <v>0</v>
      </c>
      <c r="S21" s="534">
        <f t="shared" ref="S21:S24" si="13">L21-Q21</f>
        <v>-4322.42</v>
      </c>
      <c r="T21" s="510"/>
      <c r="U21" s="510"/>
      <c r="W21" s="510"/>
      <c r="X21" s="555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  <c r="AJ21" s="510"/>
      <c r="AK21" s="510"/>
      <c r="AL21" s="510"/>
      <c r="AM21" s="510"/>
      <c r="AN21" s="510"/>
    </row>
    <row r="22" spans="1:40" ht="18" customHeight="1">
      <c r="A22" s="523" t="s">
        <v>239</v>
      </c>
      <c r="B22" s="510" t="s">
        <v>0</v>
      </c>
      <c r="C22" s="531" t="s">
        <v>26</v>
      </c>
      <c r="D22" s="532">
        <f>+INDEX('[7]Budget original'!$A$2:$AO$501,MATCH($A22,'[7]Budget original'!$A$2:$A$501,0),MATCH(D$2,'[7]Budget original'!$A$2:$AO$2,0))</f>
        <v>0</v>
      </c>
      <c r="E22" s="532">
        <f>IF(D22=0,0,F22/D22)</f>
        <v>0</v>
      </c>
      <c r="F22" s="532">
        <f>+INDEX('[7]Budget original'!$A$2:$AO$501,MATCH($A22,'[7]Budget original'!$A$2:$A$501,0),MATCH(F$2,'[7]Budget original'!$A$2:$AO$2,0))</f>
        <v>72100.800000000003</v>
      </c>
      <c r="G22" s="533"/>
      <c r="H22" s="532"/>
      <c r="I22" s="532"/>
      <c r="J22" s="533"/>
      <c r="K22" s="532">
        <f>IF(J13=0,0,L22/(J13+J15))</f>
        <v>1044.0162162162162</v>
      </c>
      <c r="L22" s="534">
        <f>-SUMIFS([7]BV_Data_An_Cour!$O:$O,[7]BV_Data_An_Cour!$U:$U,$B22,[7]BV_Data_An_Cour!$V:$V,$C22,[7]BV_Data_An_Cour!$W:$W,L$2)</f>
        <v>38628.6</v>
      </c>
      <c r="M22" s="533"/>
      <c r="N22" s="534">
        <f>L22-F22</f>
        <v>-33472.200000000004</v>
      </c>
      <c r="O22" s="533"/>
      <c r="P22" s="532"/>
      <c r="Q22" s="534">
        <f t="array" ref="Q22">+INDEX('[7]Réel 2023'!$A$2:$AO$501,MATCH($A22,'[7]Réel 2023'!$A$2:$A$501,0),MATCH(Q$2,'[7]Réel 2023'!$A$2:$AO$2,0))</f>
        <v>89386.52</v>
      </c>
      <c r="R22" s="533">
        <f t="shared" si="12"/>
        <v>-1044.0162162162162</v>
      </c>
      <c r="S22" s="534">
        <f t="shared" si="13"/>
        <v>-50757.920000000006</v>
      </c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J22" s="510"/>
      <c r="AK22" s="510"/>
      <c r="AL22" s="510"/>
      <c r="AM22" s="510"/>
      <c r="AN22" s="510"/>
    </row>
    <row r="23" spans="1:40" ht="19.5" customHeight="1">
      <c r="A23" s="523" t="s">
        <v>240</v>
      </c>
      <c r="B23" s="510" t="s">
        <v>0</v>
      </c>
      <c r="C23" s="531" t="s">
        <v>27</v>
      </c>
      <c r="D23" s="532">
        <f>+INDEX('[7]Budget original'!$A$2:$AO$501,MATCH($A23,'[7]Budget original'!$A$2:$A$501,0),MATCH(D$2,'[7]Budget original'!$A$2:$AO$2,0))</f>
        <v>0</v>
      </c>
      <c r="E23" s="532">
        <f>IF(D23=0,0,F23/D23)</f>
        <v>0</v>
      </c>
      <c r="F23" s="532">
        <f>+INDEX('[7]Budget original'!$A$2:$AO$501,MATCH($A23,'[7]Budget original'!$A$2:$A$501,0),MATCH(F$2,'[7]Budget original'!$A$2:$AO$2,0))</f>
        <v>1335.2</v>
      </c>
      <c r="G23" s="533"/>
      <c r="H23" s="532"/>
      <c r="I23" s="532"/>
      <c r="J23" s="533"/>
      <c r="K23" s="532">
        <f>IF(J13=0,0,L23/(J13+J15))</f>
        <v>17.436756756756758</v>
      </c>
      <c r="L23" s="534">
        <f>-SUMIFS([7]BV_Data_An_Cour!$O:$O,[7]BV_Data_An_Cour!$U:$U,$B23,[7]BV_Data_An_Cour!$V:$V,$C23,[7]BV_Data_An_Cour!$W:$W,L$2)</f>
        <v>645.16</v>
      </c>
      <c r="M23" s="545"/>
      <c r="N23" s="534">
        <f>L23-F23</f>
        <v>-690.04000000000008</v>
      </c>
      <c r="O23" s="533"/>
      <c r="P23" s="532"/>
      <c r="Q23" s="534">
        <f t="array" ref="Q23">+INDEX('[7]Réel 2023'!$A$2:$AO$501,MATCH($A23,'[7]Réel 2023'!$A$2:$A$501,0),MATCH(Q$2,'[7]Réel 2023'!$A$2:$AO$2,0))</f>
        <v>1350.84</v>
      </c>
      <c r="R23" s="533">
        <f t="shared" si="12"/>
        <v>-17.436756756756758</v>
      </c>
      <c r="S23" s="534">
        <f t="shared" si="13"/>
        <v>-705.68</v>
      </c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</row>
    <row r="24" spans="1:40" ht="18" customHeight="1">
      <c r="A24" s="523" t="s">
        <v>241</v>
      </c>
      <c r="B24" s="510" t="s">
        <v>0</v>
      </c>
      <c r="C24" s="537" t="s">
        <v>28</v>
      </c>
      <c r="D24" s="538">
        <f>+D15+D13</f>
        <v>66.760000000000005</v>
      </c>
      <c r="E24" s="538">
        <f>IF(D24&lt;=0,0,F24/D24)</f>
        <v>1300</v>
      </c>
      <c r="F24" s="539">
        <f>F21+F22+F23</f>
        <v>86788</v>
      </c>
      <c r="G24" s="540"/>
      <c r="H24" s="538"/>
      <c r="I24" s="539"/>
      <c r="J24" s="540">
        <f>+J15+J13</f>
        <v>37</v>
      </c>
      <c r="K24" s="538">
        <f>IF(J24&lt;=0,0,L24/J24)</f>
        <v>1061.4529729729729</v>
      </c>
      <c r="L24" s="539">
        <f>L21+L22+L23</f>
        <v>39273.760000000002</v>
      </c>
      <c r="M24" s="556">
        <f>J24-D24</f>
        <v>-29.760000000000005</v>
      </c>
      <c r="N24" s="539">
        <f>L24-F24</f>
        <v>-47514.239999999998</v>
      </c>
      <c r="O24" s="540">
        <f>+O15+O13</f>
        <v>90</v>
      </c>
      <c r="P24" s="538">
        <f>IF(O24&lt;=0,0,Q24/O24)</f>
        <v>1056.2197777777778</v>
      </c>
      <c r="Q24" s="539">
        <f>Q21+Q22+Q23</f>
        <v>95059.78</v>
      </c>
      <c r="R24" s="554"/>
      <c r="S24" s="539">
        <f t="shared" si="13"/>
        <v>-55786.02</v>
      </c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  <c r="AJ24" s="510"/>
      <c r="AK24" s="510"/>
      <c r="AL24" s="510"/>
      <c r="AM24" s="510"/>
      <c r="AN24" s="510"/>
    </row>
    <row r="25" spans="1:40" ht="15.75" customHeight="1">
      <c r="A25" s="523" t="s">
        <v>0</v>
      </c>
      <c r="B25" s="510" t="s">
        <v>0</v>
      </c>
      <c r="C25" s="531"/>
      <c r="D25" s="510"/>
      <c r="E25" s="510"/>
      <c r="F25" s="557"/>
      <c r="G25" s="531"/>
      <c r="H25" s="510"/>
      <c r="I25" s="557"/>
      <c r="J25" s="531"/>
      <c r="K25" s="510"/>
      <c r="L25" s="557"/>
      <c r="M25" s="548"/>
      <c r="N25" s="549">
        <f>IF(N24=0,0,N24/F24)</f>
        <v>-0.54747476609669532</v>
      </c>
      <c r="O25" s="531"/>
      <c r="P25" s="510"/>
      <c r="Q25" s="557"/>
      <c r="R25" s="558"/>
      <c r="S25" s="549">
        <f>IF(Q24=0,0,(S24/Q24))</f>
        <v>-0.58685197882848028</v>
      </c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  <c r="AJ25" s="510"/>
      <c r="AK25" s="510"/>
      <c r="AL25" s="510"/>
      <c r="AM25" s="510"/>
      <c r="AN25" s="510"/>
    </row>
    <row r="26" spans="1:40" ht="15.75" customHeight="1" thickBot="1">
      <c r="A26" s="523" t="s">
        <v>0</v>
      </c>
      <c r="B26" s="510" t="s">
        <v>0</v>
      </c>
      <c r="C26" s="531"/>
      <c r="D26" s="510"/>
      <c r="E26" s="510"/>
      <c r="F26" s="541"/>
      <c r="G26" s="531"/>
      <c r="H26" s="510"/>
      <c r="I26" s="541"/>
      <c r="J26" s="531"/>
      <c r="K26" s="510"/>
      <c r="L26" s="541"/>
      <c r="M26" s="531"/>
      <c r="N26" s="541"/>
      <c r="O26" s="531"/>
      <c r="P26" s="510"/>
      <c r="Q26" s="541"/>
      <c r="R26" s="531"/>
      <c r="S26" s="541"/>
      <c r="T26" s="510"/>
      <c r="U26" s="510"/>
      <c r="V26" s="510"/>
      <c r="W26" s="510"/>
      <c r="X26" s="510"/>
      <c r="Y26" s="510"/>
      <c r="Z26" s="510"/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10"/>
      <c r="AN26" s="510"/>
    </row>
    <row r="27" spans="1:40" ht="18" customHeight="1" thickTop="1">
      <c r="A27" s="523" t="s">
        <v>242</v>
      </c>
      <c r="B27" s="510" t="s">
        <v>0</v>
      </c>
      <c r="C27" s="559" t="s">
        <v>29</v>
      </c>
      <c r="D27" s="560">
        <f>+D13+D15+D17</f>
        <v>71.260000000000005</v>
      </c>
      <c r="E27" s="561">
        <f>IF(D27&lt;=0,0,F27/D27)</f>
        <v>4049.8257373572578</v>
      </c>
      <c r="F27" s="562">
        <f>F13+F17+F24+F19+F15</f>
        <v>288590.58204407821</v>
      </c>
      <c r="G27" s="563"/>
      <c r="H27" s="561"/>
      <c r="I27" s="562"/>
      <c r="J27" s="563">
        <f>+J13+J15+J17</f>
        <v>40</v>
      </c>
      <c r="K27" s="561">
        <f>IF(J27&lt;=0,0,L27/J27)</f>
        <v>3188.5719999999978</v>
      </c>
      <c r="L27" s="562">
        <f>L13+L17+L24+L19+L15</f>
        <v>127542.87999999992</v>
      </c>
      <c r="M27" s="563">
        <f>J27-D27</f>
        <v>-31.260000000000005</v>
      </c>
      <c r="N27" s="562">
        <f>L27-F27</f>
        <v>-161047.70204407829</v>
      </c>
      <c r="O27" s="563">
        <f>+O13+O15+O17</f>
        <v>92</v>
      </c>
      <c r="P27" s="561">
        <f>IF(O27&lt;=0,0,Q27/O27)</f>
        <v>3367.8319565217394</v>
      </c>
      <c r="Q27" s="562">
        <f>Q13+Q17+Q24+Q19+Q15</f>
        <v>309840.54000000004</v>
      </c>
      <c r="R27" s="563">
        <f>J27-O27</f>
        <v>-52</v>
      </c>
      <c r="S27" s="562">
        <f>L27-Q27</f>
        <v>-182297.66000000012</v>
      </c>
      <c r="T27" s="510"/>
      <c r="U27" s="510"/>
      <c r="V27" s="510"/>
      <c r="W27" s="510"/>
      <c r="X27" s="510"/>
      <c r="Y27" s="510"/>
      <c r="Z27" s="510"/>
      <c r="AA27" s="510"/>
      <c r="AB27" s="510"/>
      <c r="AC27" s="510"/>
      <c r="AD27" s="510"/>
      <c r="AE27" s="510"/>
      <c r="AF27" s="510"/>
      <c r="AG27" s="510"/>
      <c r="AH27" s="510"/>
      <c r="AI27" s="510"/>
      <c r="AJ27" s="510"/>
      <c r="AK27" s="510"/>
      <c r="AL27" s="510"/>
      <c r="AM27" s="510"/>
      <c r="AN27" s="510"/>
    </row>
    <row r="28" spans="1:40" ht="22.5" customHeight="1" thickBot="1">
      <c r="A28" s="523" t="s">
        <v>0</v>
      </c>
      <c r="B28" s="510" t="s">
        <v>0</v>
      </c>
      <c r="C28" s="564"/>
      <c r="D28" s="565"/>
      <c r="E28" s="565"/>
      <c r="F28" s="566"/>
      <c r="G28" s="564"/>
      <c r="H28" s="565"/>
      <c r="I28" s="566"/>
      <c r="J28" s="564"/>
      <c r="K28" s="567"/>
      <c r="L28" s="568">
        <f>L27/F27</f>
        <v>0.44195094343210239</v>
      </c>
      <c r="M28" s="569">
        <f>M27/D27</f>
        <v>-0.43867527364580416</v>
      </c>
      <c r="N28" s="570">
        <f>N27/F27</f>
        <v>-0.55804905656789761</v>
      </c>
      <c r="O28" s="564"/>
      <c r="P28" s="565"/>
      <c r="Q28" s="566"/>
      <c r="R28" s="569">
        <f>R27/O27</f>
        <v>-0.56521739130434778</v>
      </c>
      <c r="S28" s="570">
        <f>IF(Q27=0,0,S27/Q27)</f>
        <v>-0.58835961233478384</v>
      </c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</row>
    <row r="29" spans="1:40" ht="15.75" customHeight="1" thickTop="1">
      <c r="A29" s="523" t="s">
        <v>0</v>
      </c>
      <c r="B29" s="510" t="s">
        <v>0</v>
      </c>
      <c r="C29" s="550"/>
      <c r="D29" s="571"/>
      <c r="E29" s="571"/>
      <c r="F29" s="572"/>
      <c r="G29" s="550"/>
      <c r="H29" s="571"/>
      <c r="I29" s="572"/>
      <c r="J29" s="550"/>
      <c r="K29" s="571"/>
      <c r="L29" s="572"/>
      <c r="M29" s="548"/>
      <c r="N29" s="549"/>
      <c r="O29" s="550"/>
      <c r="P29" s="571"/>
      <c r="Q29" s="572"/>
      <c r="R29" s="548"/>
      <c r="S29" s="549"/>
      <c r="T29" s="510"/>
      <c r="U29" s="573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</row>
    <row r="30" spans="1:40" ht="15.75" customHeight="1">
      <c r="A30" s="523" t="s">
        <v>243</v>
      </c>
      <c r="B30" s="510" t="s">
        <v>0</v>
      </c>
      <c r="C30" s="574" t="s">
        <v>30</v>
      </c>
      <c r="D30" s="510"/>
      <c r="E30" s="575"/>
      <c r="F30" s="557"/>
      <c r="G30" s="531"/>
      <c r="H30" s="575"/>
      <c r="I30" s="557"/>
      <c r="J30" s="531"/>
      <c r="K30" s="575"/>
      <c r="L30" s="541"/>
      <c r="M30" s="531"/>
      <c r="N30" s="541"/>
      <c r="O30" s="531"/>
      <c r="P30" s="575"/>
      <c r="Q30" s="541"/>
      <c r="R30" s="531"/>
      <c r="S30" s="541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</row>
    <row r="31" spans="1:40" ht="15.75" customHeight="1">
      <c r="A31" s="523" t="s">
        <v>244</v>
      </c>
      <c r="B31" s="510" t="s">
        <v>0</v>
      </c>
      <c r="C31" s="531" t="s">
        <v>31</v>
      </c>
      <c r="D31" s="576">
        <f>F31/(F13+F15)</f>
        <v>0.34</v>
      </c>
      <c r="E31" s="573">
        <f t="shared" ref="E31:E36" si="14">F31/D$24</f>
        <v>923.40095672802875</v>
      </c>
      <c r="F31" s="532">
        <f>+INDEX('[7]Budget original'!$A$2:$AO$501,MATCH($A31,'[7]Budget original'!$A$2:$A$501,0),MATCH(F$2,'[7]Budget original'!$A$2:$AO$2,0))</f>
        <v>61646.247871163207</v>
      </c>
      <c r="G31" s="577"/>
      <c r="H31" s="573"/>
      <c r="I31" s="532"/>
      <c r="J31" s="577">
        <f>L31/(L15+L13+L17)</f>
        <v>0.29663461633936211</v>
      </c>
      <c r="K31" s="573">
        <f t="shared" ref="K31:K40" si="15">IF(L31=0,0,L31/J$24)</f>
        <v>645.93486486486483</v>
      </c>
      <c r="L31" s="532">
        <f>SUMIFS([7]BV_Data_An_Cour!$O:$O,[7]BV_Data_An_Cour!$U:$U,$B31,[7]BV_Data_An_Cour!$V:$V,$C31,[7]BV_Data_An_Cour!$W:$W,L$2)</f>
        <v>23899.59</v>
      </c>
      <c r="M31" s="531"/>
      <c r="N31" s="557">
        <f t="shared" ref="N31:N53" si="16">L31-F31</f>
        <v>-37746.657871163203</v>
      </c>
      <c r="O31" s="578">
        <f>Q31/(Q13+Q15+Q17)</f>
        <v>0.21328163276136394</v>
      </c>
      <c r="P31" s="573">
        <f t="shared" ref="P31:P40" si="17">Q31/O$24</f>
        <v>500.14211111111115</v>
      </c>
      <c r="Q31" s="534">
        <f t="array" ref="Q31">+INDEX('[7]Réel 2023'!$A$2:$AO$501,MATCH($A31,'[7]Réel 2023'!$A$2:$A$501,0),MATCH(Q$2,'[7]Réel 2023'!$A$2:$AO$2,0))</f>
        <v>45012.79</v>
      </c>
      <c r="R31" s="531"/>
      <c r="S31" s="557">
        <f t="shared" ref="S31:S53" si="18">L31-Q31</f>
        <v>-21113.200000000001</v>
      </c>
      <c r="T31" s="510"/>
      <c r="U31" s="510"/>
      <c r="V31" s="510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  <c r="AN31" s="510"/>
    </row>
    <row r="32" spans="1:40" ht="15.75" customHeight="1">
      <c r="A32" s="523" t="s">
        <v>245</v>
      </c>
      <c r="B32" s="510" t="s">
        <v>0</v>
      </c>
      <c r="C32" s="524" t="s">
        <v>32</v>
      </c>
      <c r="D32" s="579">
        <f>F32/F24</f>
        <v>0.3</v>
      </c>
      <c r="E32" s="580">
        <f t="shared" si="14"/>
        <v>389.99999999999994</v>
      </c>
      <c r="F32" s="526">
        <f>+INDEX('[7]Budget original'!$A$2:$AO$501,MATCH($A32,'[7]Budget original'!$A$2:$A$501,0),MATCH(F$2,'[7]Budget original'!$A$2:$AO$2,0))</f>
        <v>26036.399999999998</v>
      </c>
      <c r="G32" s="581"/>
      <c r="H32" s="580"/>
      <c r="I32" s="526"/>
      <c r="J32" s="581">
        <f>L32/L24</f>
        <v>0.27998974378821889</v>
      </c>
      <c r="K32" s="580">
        <f t="shared" si="15"/>
        <v>297.19594594594594</v>
      </c>
      <c r="L32" s="526">
        <f>SUMIFS([7]BV_Data_An_Cour!$O:$O,[7]BV_Data_An_Cour!$U:$U,$B32,[7]BV_Data_An_Cour!$V:$V,$C32,[7]BV_Data_An_Cour!$W:$W,L$2)</f>
        <v>10996.25</v>
      </c>
      <c r="M32" s="524"/>
      <c r="N32" s="582">
        <f t="shared" si="16"/>
        <v>-15040.149999999998</v>
      </c>
      <c r="O32" s="583">
        <f>Q32/Q24</f>
        <v>0.29960999278559242</v>
      </c>
      <c r="P32" s="580">
        <f t="shared" si="17"/>
        <v>316.45400000000001</v>
      </c>
      <c r="Q32" s="526">
        <f t="array" ref="Q32">+INDEX('[7]Réel 2023'!$A$2:$AO$501,MATCH($A32,'[7]Réel 2023'!$A$2:$A$501,0),MATCH(Q$2,'[7]Réel 2023'!$A$2:$AO$2,0))</f>
        <v>28480.86</v>
      </c>
      <c r="R32" s="524"/>
      <c r="S32" s="582">
        <f t="shared" si="18"/>
        <v>-17484.61</v>
      </c>
      <c r="T32" s="510"/>
      <c r="Z32" s="510"/>
      <c r="AA32" s="510"/>
      <c r="AB32" s="510"/>
      <c r="AC32" s="510"/>
      <c r="AD32" s="510"/>
      <c r="AE32" s="510"/>
      <c r="AF32" s="510"/>
      <c r="AG32" s="510"/>
      <c r="AH32" s="510"/>
      <c r="AI32" s="510"/>
      <c r="AJ32" s="510"/>
      <c r="AK32" s="510"/>
      <c r="AL32" s="510"/>
      <c r="AM32" s="510"/>
      <c r="AN32" s="510"/>
    </row>
    <row r="33" spans="1:40" ht="15.75" customHeight="1">
      <c r="A33" s="523" t="s">
        <v>246</v>
      </c>
      <c r="B33" s="510" t="s">
        <v>0</v>
      </c>
      <c r="C33" s="531" t="s">
        <v>33</v>
      </c>
      <c r="D33" s="584"/>
      <c r="E33" s="573">
        <f t="shared" si="14"/>
        <v>115</v>
      </c>
      <c r="F33" s="532">
        <f>+INDEX('[7]Budget original'!$A$2:$AO$501,MATCH($A33,'[7]Budget original'!$A$2:$A$501,0),MATCH(F$2,'[7]Budget original'!$A$2:$AO$2,0))</f>
        <v>7677.4000000000005</v>
      </c>
      <c r="G33" s="585"/>
      <c r="H33" s="573"/>
      <c r="I33" s="532"/>
      <c r="J33" s="531"/>
      <c r="K33" s="573">
        <f t="shared" si="15"/>
        <v>233.92756756756756</v>
      </c>
      <c r="L33" s="532">
        <f>SUMIFS([7]BV_Data_An_Cour!$O:$O,[7]BV_Data_An_Cour!$U:$U,$B33,[7]BV_Data_An_Cour!$V:$V,$C33,[7]BV_Data_An_Cour!$W:$W,L$2)</f>
        <v>8655.32</v>
      </c>
      <c r="M33" s="531"/>
      <c r="N33" s="557">
        <f t="shared" si="16"/>
        <v>977.91999999999916</v>
      </c>
      <c r="O33" s="531"/>
      <c r="P33" s="573">
        <f t="shared" si="17"/>
        <v>138.78766666666667</v>
      </c>
      <c r="Q33" s="534">
        <f t="array" ref="Q33">+INDEX('[7]Réel 2023'!$A$2:$AO$501,MATCH($A33,'[7]Réel 2023'!$A$2:$A$501,0),MATCH(Q$2,'[7]Réel 2023'!$A$2:$AO$2,0))</f>
        <v>12490.89</v>
      </c>
      <c r="R33" s="531"/>
      <c r="S33" s="557">
        <f t="shared" si="18"/>
        <v>-3835.5699999999997</v>
      </c>
      <c r="T33" s="510"/>
      <c r="U33" s="586"/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</row>
    <row r="34" spans="1:40" ht="15.75" customHeight="1">
      <c r="A34" s="523" t="s">
        <v>247</v>
      </c>
      <c r="B34" s="510" t="s">
        <v>0</v>
      </c>
      <c r="C34" s="531" t="s">
        <v>34</v>
      </c>
      <c r="D34" s="584"/>
      <c r="E34" s="573">
        <f t="shared" si="14"/>
        <v>3</v>
      </c>
      <c r="F34" s="532">
        <f>+INDEX('[7]Budget original'!$A$2:$AO$501,MATCH($A34,'[7]Budget original'!$A$2:$A$501,0),MATCH(F$2,'[7]Budget original'!$A$2:$AO$2,0))</f>
        <v>200.28000000000003</v>
      </c>
      <c r="G34" s="585"/>
      <c r="H34" s="573"/>
      <c r="I34" s="532"/>
      <c r="J34" s="531"/>
      <c r="K34" s="573">
        <f t="shared" si="15"/>
        <v>108.85891891891893</v>
      </c>
      <c r="L34" s="532">
        <f>SUMIFS([7]BV_Data_An_Cour!$O:$O,[7]BV_Data_An_Cour!$U:$U,$B34,[7]BV_Data_An_Cour!$V:$V,$C34,[7]BV_Data_An_Cour!$W:$W,L$2)</f>
        <v>4027.78</v>
      </c>
      <c r="M34" s="531"/>
      <c r="N34" s="557">
        <f t="shared" si="16"/>
        <v>3827.5</v>
      </c>
      <c r="O34" s="531"/>
      <c r="P34" s="573">
        <f t="shared" si="17"/>
        <v>63.11022222222222</v>
      </c>
      <c r="Q34" s="534">
        <f t="array" ref="Q34">+INDEX('[7]Réel 2023'!$A$2:$AO$501,MATCH($A34,'[7]Réel 2023'!$A$2:$A$501,0),MATCH(Q$2,'[7]Réel 2023'!$A$2:$AO$2,0))</f>
        <v>5679.92</v>
      </c>
      <c r="R34" s="531"/>
      <c r="S34" s="557">
        <f t="shared" si="18"/>
        <v>-1652.1399999999999</v>
      </c>
      <c r="T34" s="510"/>
      <c r="Z34" s="510"/>
      <c r="AA34" s="510"/>
      <c r="AB34" s="510"/>
      <c r="AC34" s="510"/>
      <c r="AD34" s="510"/>
      <c r="AE34" s="510"/>
      <c r="AF34" s="510"/>
      <c r="AG34" s="510"/>
      <c r="AH34" s="510"/>
      <c r="AI34" s="510"/>
      <c r="AJ34" s="510"/>
      <c r="AK34" s="510"/>
      <c r="AL34" s="510"/>
      <c r="AM34" s="510"/>
      <c r="AN34" s="510"/>
    </row>
    <row r="35" spans="1:40" ht="15.75" customHeight="1">
      <c r="A35" s="523" t="s">
        <v>248</v>
      </c>
      <c r="B35" s="510" t="s">
        <v>0</v>
      </c>
      <c r="C35" s="524" t="s">
        <v>35</v>
      </c>
      <c r="D35" s="587"/>
      <c r="E35" s="580">
        <f t="shared" si="14"/>
        <v>85.05</v>
      </c>
      <c r="F35" s="526">
        <f>+INDEX('[7]Budget original'!$A$2:$AO$501,MATCH($A35,'[7]Budget original'!$A$2:$A$501,0),MATCH(F$2,'[7]Budget original'!$A$2:$AO$2,0))</f>
        <v>5677.9380000000001</v>
      </c>
      <c r="G35" s="588"/>
      <c r="H35" s="580"/>
      <c r="I35" s="526"/>
      <c r="J35" s="524"/>
      <c r="K35" s="580">
        <f t="shared" si="15"/>
        <v>212.08675675675676</v>
      </c>
      <c r="L35" s="526">
        <f>SUMIFS([7]BV_Data_An_Cour!$O:$O,[7]BV_Data_An_Cour!$U:$U,$B35,[7]BV_Data_An_Cour!$V:$V,$C35,[7]BV_Data_An_Cour!$W:$W,L$2)</f>
        <v>7847.21</v>
      </c>
      <c r="M35" s="524"/>
      <c r="N35" s="582">
        <f t="shared" si="16"/>
        <v>2169.2719999999999</v>
      </c>
      <c r="O35" s="524"/>
      <c r="P35" s="580">
        <f t="shared" si="17"/>
        <v>83.834222222222223</v>
      </c>
      <c r="Q35" s="534">
        <f t="array" ref="Q35">+INDEX('[7]Réel 2023'!$A$2:$AO$501,MATCH($A35,'[7]Réel 2023'!$A$2:$A$501,0),MATCH(Q$2,'[7]Réel 2023'!$A$2:$AO$2,0))</f>
        <v>7545.08</v>
      </c>
      <c r="R35" s="524"/>
      <c r="S35" s="582">
        <f t="shared" si="18"/>
        <v>302.13000000000011</v>
      </c>
      <c r="T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0"/>
      <c r="AJ35" s="510"/>
      <c r="AK35" s="510"/>
      <c r="AL35" s="510"/>
      <c r="AM35" s="510"/>
      <c r="AN35" s="510"/>
    </row>
    <row r="36" spans="1:40" ht="15.75" customHeight="1">
      <c r="A36" s="523" t="s">
        <v>249</v>
      </c>
      <c r="B36" s="510" t="s">
        <v>0</v>
      </c>
      <c r="C36" s="531" t="s">
        <v>36</v>
      </c>
      <c r="D36" s="584"/>
      <c r="E36" s="573">
        <f t="shared" si="14"/>
        <v>113.2414619532654</v>
      </c>
      <c r="F36" s="532">
        <f>+INDEX('[7]Budget original'!$A$2:$AO$501,MATCH($A36,'[7]Budget original'!$A$2:$A$501,0),MATCH(F$2,'[7]Budget original'!$A$2:$AO$2,0))</f>
        <v>7559.9999999999991</v>
      </c>
      <c r="G36" s="585"/>
      <c r="H36" s="573"/>
      <c r="I36" s="532"/>
      <c r="J36" s="531"/>
      <c r="K36" s="573">
        <f t="shared" si="15"/>
        <v>527.05567567567573</v>
      </c>
      <c r="L36" s="589">
        <f>SUMIFS([7]BV_Data_An_Cour!$O:$O,[7]BV_Data_An_Cour!$U:$U,$B36,[7]BV_Data_An_Cour!$V:$V,$C36,[7]BV_Data_An_Cour!$W:$W,L$2)</f>
        <v>19501.060000000001</v>
      </c>
      <c r="M36" s="510"/>
      <c r="N36" s="557">
        <f t="shared" si="16"/>
        <v>11941.060000000001</v>
      </c>
      <c r="O36" s="531"/>
      <c r="P36" s="573">
        <f t="shared" si="17"/>
        <v>38.481888888888776</v>
      </c>
      <c r="Q36" s="553">
        <f t="array" ref="Q36">+INDEX('[7]Réel 2023'!$A$2:$AO$501,MATCH($A36,'[7]Réel 2023'!$A$2:$A$501,0),MATCH(Q$2,'[7]Réel 2023'!$A$2:$AO$2,0))</f>
        <v>3463.3699999999899</v>
      </c>
      <c r="R36" s="531"/>
      <c r="S36" s="557">
        <f t="shared" si="18"/>
        <v>16037.690000000011</v>
      </c>
      <c r="T36" s="510"/>
      <c r="U36" s="523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</row>
    <row r="37" spans="1:40" ht="15.75" customHeight="1">
      <c r="A37" s="523" t="s">
        <v>250</v>
      </c>
      <c r="B37" s="510" t="s">
        <v>0</v>
      </c>
      <c r="C37" s="531" t="s">
        <v>37</v>
      </c>
      <c r="D37" s="584"/>
      <c r="E37" s="573">
        <f>F37/D$24</f>
        <v>188.77186563810668</v>
      </c>
      <c r="F37" s="532">
        <f>+INDEX('[7]Budget original'!$A$2:$AO$501,MATCH($A37,'[7]Budget original'!$A$2:$A$501,0),MATCH(F$2,'[7]Budget original'!$A$2:$AO$2,0))</f>
        <v>12602.409750000003</v>
      </c>
      <c r="G37" s="585"/>
      <c r="H37" s="573"/>
      <c r="I37" s="532"/>
      <c r="J37" s="531"/>
      <c r="K37" s="573">
        <f t="shared" si="15"/>
        <v>-1003.7751351351351</v>
      </c>
      <c r="L37" s="590">
        <f>SUMIFS([7]BV_Data_An_Cour!$O:$O,[7]BV_Data_An_Cour!$U:$U,$B37,[7]BV_Data_An_Cour!$V:$V,$C37,[7]BV_Data_An_Cour!$W:$W,L$2)</f>
        <v>-37139.68</v>
      </c>
      <c r="M37" s="510"/>
      <c r="N37" s="557">
        <f t="shared" si="16"/>
        <v>-49742.089749999999</v>
      </c>
      <c r="O37" s="531"/>
      <c r="P37" s="573">
        <f t="shared" si="17"/>
        <v>217.76155555555556</v>
      </c>
      <c r="Q37" s="534">
        <f t="array" ref="Q37">+INDEX('[7]Réel 2023'!$A$2:$AO$501,MATCH($A37,'[7]Réel 2023'!$A$2:$A$501,0),MATCH(Q$2,'[7]Réel 2023'!$A$2:$AO$2,0))</f>
        <v>19598.54</v>
      </c>
      <c r="R37" s="531"/>
      <c r="S37" s="557">
        <f t="shared" si="18"/>
        <v>-56738.22</v>
      </c>
      <c r="T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</row>
    <row r="38" spans="1:40" ht="15.75" hidden="1" customHeight="1">
      <c r="A38" s="523" t="s">
        <v>233</v>
      </c>
      <c r="B38" s="510" t="s">
        <v>0</v>
      </c>
      <c r="C38" s="531" t="s">
        <v>20</v>
      </c>
      <c r="D38" s="584"/>
      <c r="E38" s="573">
        <f>F38/D$24</f>
        <v>0</v>
      </c>
      <c r="F38" s="532">
        <f>+INDEX('[7]Budget original'!$A$2:$AO$501,MATCH($A38,'[7]Budget original'!$A$2:$A$501,0),MATCH(F$2,'[7]Budget original'!$A$2:$AO$2,0))</f>
        <v>0</v>
      </c>
      <c r="G38" s="585"/>
      <c r="H38" s="573"/>
      <c r="I38" s="532"/>
      <c r="J38" s="531"/>
      <c r="K38" s="573">
        <f t="shared" si="15"/>
        <v>0</v>
      </c>
      <c r="L38" s="590">
        <f>SUMIFS([7]BV_Data_An_Cour!$O:$O,[7]BV_Data_An_Cour!$U:$U,$B38,[7]BV_Data_An_Cour!$V:$V,$C38,[7]BV_Data_An_Cour!$W:$W,L$2)</f>
        <v>0</v>
      </c>
      <c r="M38" s="510"/>
      <c r="N38" s="557">
        <f t="shared" si="16"/>
        <v>0</v>
      </c>
      <c r="O38" s="531"/>
      <c r="P38" s="573">
        <f t="shared" si="17"/>
        <v>0</v>
      </c>
      <c r="Q38" s="534">
        <f t="array" ref="Q38">+INDEX('[7]Réel 2023'!$A$2:$AO$501,MATCH($A38,'[7]Réel 2023'!$A$2:$A$501,0),MATCH(Q$2,'[7]Réel 2023'!$A$2:$AO$2,0))</f>
        <v>0</v>
      </c>
      <c r="R38" s="531"/>
      <c r="S38" s="557">
        <f t="shared" si="18"/>
        <v>0</v>
      </c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</row>
    <row r="39" spans="1:40" ht="15.75" hidden="1" customHeight="1">
      <c r="A39" s="523" t="s">
        <v>233</v>
      </c>
      <c r="B39" s="510" t="s">
        <v>0</v>
      </c>
      <c r="C39" s="531" t="s">
        <v>20</v>
      </c>
      <c r="D39" s="584"/>
      <c r="E39" s="573">
        <f>F39/D$24</f>
        <v>0</v>
      </c>
      <c r="F39" s="532">
        <f>+INDEX('[7]Budget original'!$A$2:$AO$501,MATCH($A39,'[7]Budget original'!$A$2:$A$501,0),MATCH(F$2,'[7]Budget original'!$A$2:$AO$2,0))</f>
        <v>0</v>
      </c>
      <c r="G39" s="585"/>
      <c r="H39" s="573"/>
      <c r="I39" s="532"/>
      <c r="J39" s="531"/>
      <c r="K39" s="573">
        <f t="shared" si="15"/>
        <v>0</v>
      </c>
      <c r="L39" s="590">
        <f>SUMIFS([7]BV_Data_An_Cour!$O:$O,[7]BV_Data_An_Cour!$U:$U,$B39,[7]BV_Data_An_Cour!$V:$V,$C39,[7]BV_Data_An_Cour!$W:$W,L$2)</f>
        <v>0</v>
      </c>
      <c r="M39" s="510"/>
      <c r="N39" s="557">
        <f t="shared" si="16"/>
        <v>0</v>
      </c>
      <c r="O39" s="531"/>
      <c r="P39" s="573">
        <f t="shared" si="17"/>
        <v>0</v>
      </c>
      <c r="Q39" s="534">
        <f t="array" ref="Q39">+INDEX('[7]Réel 2023'!$A$2:$AO$501,MATCH($A39,'[7]Réel 2023'!$A$2:$A$501,0),MATCH(Q$2,'[7]Réel 2023'!$A$2:$AO$2,0))</f>
        <v>0</v>
      </c>
      <c r="R39" s="531"/>
      <c r="S39" s="557">
        <f t="shared" si="18"/>
        <v>0</v>
      </c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510"/>
      <c r="AL39" s="510"/>
      <c r="AM39" s="510"/>
      <c r="AN39" s="510"/>
    </row>
    <row r="40" spans="1:40" ht="15.75" hidden="1" customHeight="1">
      <c r="A40" s="523" t="s">
        <v>233</v>
      </c>
      <c r="B40" s="510" t="s">
        <v>0</v>
      </c>
      <c r="C40" s="531" t="s">
        <v>20</v>
      </c>
      <c r="D40" s="584"/>
      <c r="E40" s="573">
        <f>F40/D$24</f>
        <v>0</v>
      </c>
      <c r="F40" s="532">
        <f>+INDEX('[7]Budget original'!$A$2:$AO$501,MATCH($A40,'[7]Budget original'!$A$2:$A$501,0),MATCH(F$2,'[7]Budget original'!$A$2:$AO$2,0))</f>
        <v>0</v>
      </c>
      <c r="G40" s="585"/>
      <c r="H40" s="573"/>
      <c r="I40" s="532"/>
      <c r="J40" s="531"/>
      <c r="K40" s="573">
        <f t="shared" si="15"/>
        <v>0</v>
      </c>
      <c r="L40" s="591">
        <f>SUMIFS([7]BV_Data_An_Cour!$O:$O,[7]BV_Data_An_Cour!$U:$U,$B40,[7]BV_Data_An_Cour!$V:$V,$C40,[7]BV_Data_An_Cour!$W:$W,L$2)</f>
        <v>0</v>
      </c>
      <c r="M40" s="510"/>
      <c r="N40" s="557">
        <f t="shared" si="16"/>
        <v>0</v>
      </c>
      <c r="O40" s="531"/>
      <c r="P40" s="573">
        <f t="shared" si="17"/>
        <v>0</v>
      </c>
      <c r="Q40" s="534">
        <f t="array" ref="Q40">+INDEX('[7]Réel 2023'!$A$2:$AO$501,MATCH($A40,'[7]Réel 2023'!$A$2:$A$501,0),MATCH(Q$2,'[7]Réel 2023'!$A$2:$AO$2,0))</f>
        <v>0</v>
      </c>
      <c r="R40" s="531"/>
      <c r="S40" s="557">
        <f t="shared" si="18"/>
        <v>0</v>
      </c>
      <c r="T40" s="510"/>
      <c r="U40" s="510"/>
      <c r="V40" s="510"/>
      <c r="W40" s="510"/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0"/>
      <c r="AK40" s="510"/>
      <c r="AL40" s="510"/>
      <c r="AM40" s="510"/>
      <c r="AN40" s="510"/>
    </row>
    <row r="41" spans="1:40" ht="15.75" customHeight="1">
      <c r="A41" s="523" t="s">
        <v>251</v>
      </c>
      <c r="B41" s="510" t="s">
        <v>0</v>
      </c>
      <c r="C41" s="592" t="s">
        <v>38</v>
      </c>
      <c r="D41" s="593" t="s">
        <v>39</v>
      </c>
      <c r="E41" s="594">
        <f>F41/F$27</f>
        <v>0.42066748942840043</v>
      </c>
      <c r="F41" s="595">
        <f>SUM(F31:F40)</f>
        <v>121400.6756211632</v>
      </c>
      <c r="G41" s="596"/>
      <c r="H41" s="594"/>
      <c r="I41" s="595"/>
      <c r="J41" s="596" t="s">
        <v>39</v>
      </c>
      <c r="K41" s="594">
        <f>L41/L$27</f>
        <v>0.2962731435890425</v>
      </c>
      <c r="L41" s="595">
        <f>SUM(L31:L40)</f>
        <v>37787.529999999992</v>
      </c>
      <c r="M41" s="597"/>
      <c r="N41" s="595">
        <f t="shared" si="16"/>
        <v>-83613.145621163218</v>
      </c>
      <c r="O41" s="596" t="s">
        <v>39</v>
      </c>
      <c r="P41" s="594">
        <f>Q41/Q$27</f>
        <v>0.39462702330689187</v>
      </c>
      <c r="Q41" s="598">
        <f>SUM(Q31:Q40)</f>
        <v>122271.44999999998</v>
      </c>
      <c r="R41" s="599"/>
      <c r="S41" s="595">
        <f t="shared" si="18"/>
        <v>-84483.919999999984</v>
      </c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</row>
    <row r="42" spans="1:40" ht="15.75" customHeight="1">
      <c r="A42" s="523" t="s">
        <v>252</v>
      </c>
      <c r="B42" s="510" t="s">
        <v>0</v>
      </c>
      <c r="C42" s="600" t="s">
        <v>41</v>
      </c>
      <c r="D42" s="510"/>
      <c r="E42" s="510"/>
      <c r="F42" s="532">
        <f>+INDEX('[7]Budget original'!$A$2:$AO$501,MATCH($A42,'[7]Budget original'!$A$2:$A$501,0),MATCH(F$2,'[7]Budget original'!$A$2:$AO$2,0))</f>
        <v>21133.479166666668</v>
      </c>
      <c r="G42" s="531"/>
      <c r="H42" s="510"/>
      <c r="I42" s="532"/>
      <c r="J42" s="531"/>
      <c r="K42" s="510"/>
      <c r="L42" s="534">
        <f>SUMIFS([7]BV_Data_An_Cour!$O:$O,[7]BV_Data_An_Cour!$U:$U,$B42,[7]BV_Data_An_Cour!$V:$V,$C42,[7]BV_Data_An_Cour!$W:$W,L$2)</f>
        <v>24253.66</v>
      </c>
      <c r="M42" s="531"/>
      <c r="N42" s="557">
        <f t="shared" si="16"/>
        <v>3120.180833333332</v>
      </c>
      <c r="O42" s="531"/>
      <c r="P42" s="601">
        <f>Q42/Q27</f>
        <v>4.8101000598565952E-2</v>
      </c>
      <c r="Q42" s="534">
        <f t="array" ref="Q42">+INDEX('[7]Réel 2023'!$A$2:$AO$501,MATCH($A42,'[7]Réel 2023'!$A$2:$A$501,0),MATCH(Q$2,'[7]Réel 2023'!$A$2:$AO$2,0))</f>
        <v>14903.64</v>
      </c>
      <c r="R42" s="531"/>
      <c r="S42" s="557">
        <f t="shared" si="18"/>
        <v>9350.02</v>
      </c>
      <c r="T42" s="510"/>
      <c r="U42" s="510"/>
      <c r="V42" s="510"/>
      <c r="W42" s="510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510"/>
      <c r="AL42" s="510"/>
      <c r="AM42" s="510"/>
      <c r="AN42" s="510"/>
    </row>
    <row r="43" spans="1:40" ht="15.75" customHeight="1">
      <c r="A43" s="523" t="s">
        <v>253</v>
      </c>
      <c r="B43" s="510" t="s">
        <v>0</v>
      </c>
      <c r="C43" s="602" t="s">
        <v>42</v>
      </c>
      <c r="D43" s="584"/>
      <c r="E43" s="510"/>
      <c r="F43" s="526">
        <f>+INDEX('[7]Budget original'!$A$2:$AO$501,MATCH($A43,'[7]Budget original'!$A$2:$A$501,0),MATCH(F$2,'[7]Budget original'!$A$2:$AO$2,0))</f>
        <v>13954.388846153846</v>
      </c>
      <c r="G43" s="585"/>
      <c r="H43" s="510"/>
      <c r="I43" s="526"/>
      <c r="J43" s="531"/>
      <c r="K43" s="510"/>
      <c r="L43" s="534">
        <f>SUMIFS([7]BV_Data_An_Cour!$O:$O,[7]BV_Data_An_Cour!$U:$U,$B43,[7]BV_Data_An_Cour!$V:$V,$C43,[7]BV_Data_An_Cour!$W:$W,L$2)</f>
        <v>13792.56</v>
      </c>
      <c r="M43" s="531"/>
      <c r="N43" s="557">
        <f t="shared" si="16"/>
        <v>-161.82884615384683</v>
      </c>
      <c r="O43" s="531"/>
      <c r="P43" s="510"/>
      <c r="Q43" s="534">
        <f t="array" ref="Q43">+INDEX('[7]Réel 2023'!$A$2:$AO$501,MATCH($A43,'[7]Réel 2023'!$A$2:$A$501,0),MATCH(Q$2,'[7]Réel 2023'!$A$2:$AO$2,0))</f>
        <v>8776.4699999999993</v>
      </c>
      <c r="R43" s="531"/>
      <c r="S43" s="557">
        <f t="shared" si="18"/>
        <v>5016.09</v>
      </c>
      <c r="T43" s="510"/>
      <c r="U43" s="510"/>
      <c r="V43" s="510"/>
      <c r="W43" s="510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10"/>
      <c r="AL43" s="510"/>
      <c r="AM43" s="510"/>
      <c r="AN43" s="510"/>
    </row>
    <row r="44" spans="1:40" ht="15.75" customHeight="1">
      <c r="A44" s="523" t="s">
        <v>254</v>
      </c>
      <c r="B44" s="510" t="s">
        <v>0</v>
      </c>
      <c r="C44" s="600" t="s">
        <v>43</v>
      </c>
      <c r="D44" s="603"/>
      <c r="E44" s="604"/>
      <c r="F44" s="532">
        <f>+INDEX('[7]Budget original'!$A$2:$AO$501,MATCH($A44,'[7]Budget original'!$A$2:$A$501,0),MATCH(F$2,'[7]Budget original'!$A$2:$AO$2,0))</f>
        <v>3330.4423076923076</v>
      </c>
      <c r="G44" s="605"/>
      <c r="H44" s="604"/>
      <c r="I44" s="532"/>
      <c r="J44" s="518"/>
      <c r="K44" s="604"/>
      <c r="L44" s="553">
        <f>SUMIFS([7]BV_Data_An_Cour!$O:$O,[7]BV_Data_An_Cour!$U:$U,$B44,[7]BV_Data_An_Cour!$V:$V,$C44,[7]BV_Data_An_Cour!$W:$W,L$2)</f>
        <v>4339.5200000000004</v>
      </c>
      <c r="M44" s="518"/>
      <c r="N44" s="606">
        <f t="shared" si="16"/>
        <v>1009.0776923076928</v>
      </c>
      <c r="O44" s="518"/>
      <c r="P44" s="604"/>
      <c r="Q44" s="553">
        <f t="array" ref="Q44">+INDEX('[7]Réel 2023'!$A$2:$AO$501,MATCH($A44,'[7]Réel 2023'!$A$2:$A$501,0),MATCH(Q$2,'[7]Réel 2023'!$A$2:$AO$2,0))</f>
        <v>2988</v>
      </c>
      <c r="R44" s="518"/>
      <c r="S44" s="606">
        <f t="shared" si="18"/>
        <v>1351.5200000000004</v>
      </c>
      <c r="T44" s="510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510"/>
      <c r="AN44" s="510"/>
    </row>
    <row r="45" spans="1:40" ht="15.75" customHeight="1">
      <c r="A45" s="523" t="s">
        <v>255</v>
      </c>
      <c r="B45" s="510" t="s">
        <v>0</v>
      </c>
      <c r="C45" s="600" t="s">
        <v>44</v>
      </c>
      <c r="D45" s="584"/>
      <c r="E45" s="510"/>
      <c r="F45" s="532">
        <f>+INDEX('[7]Budget original'!$A$2:$AO$501,MATCH($A45,'[7]Budget original'!$A$2:$A$501,0),MATCH(F$2,'[7]Budget original'!$A$2:$AO$2,0))</f>
        <v>0</v>
      </c>
      <c r="G45" s="585"/>
      <c r="H45" s="510"/>
      <c r="I45" s="532"/>
      <c r="J45" s="531"/>
      <c r="K45" s="510"/>
      <c r="L45" s="534">
        <f>SUMIFS([7]BV_Data_An_Cour!$O:$O,[7]BV_Data_An_Cour!$U:$U,$B45,[7]BV_Data_An_Cour!$V:$V,$C45,[7]BV_Data_An_Cour!$W:$W,L$2)</f>
        <v>0</v>
      </c>
      <c r="M45" s="531"/>
      <c r="N45" s="557">
        <f t="shared" si="16"/>
        <v>0</v>
      </c>
      <c r="O45" s="531"/>
      <c r="P45" s="510"/>
      <c r="Q45" s="534">
        <f t="array" ref="Q45">+INDEX('[7]Réel 2023'!$A$2:$AO$501,MATCH($A45,'[7]Réel 2023'!$A$2:$A$501,0),MATCH(Q$2,'[7]Réel 2023'!$A$2:$AO$2,0))</f>
        <v>0</v>
      </c>
      <c r="R45" s="531"/>
      <c r="S45" s="557">
        <f t="shared" si="18"/>
        <v>0</v>
      </c>
      <c r="T45" s="510"/>
      <c r="U45" s="510"/>
      <c r="V45" s="510"/>
      <c r="W45" s="510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510"/>
      <c r="AL45" s="510"/>
      <c r="AM45" s="510"/>
      <c r="AN45" s="510"/>
    </row>
    <row r="46" spans="1:40" ht="15.75" hidden="1" customHeight="1">
      <c r="A46" s="523" t="s">
        <v>233</v>
      </c>
      <c r="B46" s="510" t="s">
        <v>0</v>
      </c>
      <c r="C46" s="600" t="s">
        <v>20</v>
      </c>
      <c r="D46" s="584"/>
      <c r="E46" s="510"/>
      <c r="F46" s="532">
        <f>+INDEX('[7]Budget original'!$A$2:$AO$501,MATCH($A46,'[7]Budget original'!$A$2:$A$501,0),MATCH(F$2,'[7]Budget original'!$A$2:$AO$2,0))</f>
        <v>0</v>
      </c>
      <c r="G46" s="585"/>
      <c r="H46" s="510"/>
      <c r="I46" s="532"/>
      <c r="J46" s="531"/>
      <c r="K46" s="510"/>
      <c r="L46" s="534">
        <f>SUMIFS([7]BV_Data_An_Cour!$O:$O,[7]BV_Data_An_Cour!$U:$U,$B46,[7]BV_Data_An_Cour!$V:$V,$C46,[7]BV_Data_An_Cour!$W:$W,L$2)</f>
        <v>0</v>
      </c>
      <c r="M46" s="531"/>
      <c r="N46" s="557">
        <f t="shared" si="16"/>
        <v>0</v>
      </c>
      <c r="O46" s="531"/>
      <c r="P46" s="510"/>
      <c r="Q46" s="534">
        <f t="array" ref="Q46">+INDEX('[7]Réel 2023'!$A$2:$AO$501,MATCH($A46,'[7]Réel 2023'!$A$2:$A$501,0),MATCH(Q$2,'[7]Réel 2023'!$A$2:$AO$2,0))</f>
        <v>0</v>
      </c>
      <c r="R46" s="531"/>
      <c r="S46" s="557">
        <f t="shared" si="18"/>
        <v>0</v>
      </c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10"/>
      <c r="AM46" s="510"/>
      <c r="AN46" s="510"/>
    </row>
    <row r="47" spans="1:40" ht="15.75" hidden="1" customHeight="1">
      <c r="A47" s="523" t="s">
        <v>233</v>
      </c>
      <c r="B47" s="510" t="s">
        <v>0</v>
      </c>
      <c r="C47" s="600" t="s">
        <v>20</v>
      </c>
      <c r="D47" s="584"/>
      <c r="E47" s="510"/>
      <c r="F47" s="532">
        <f>+INDEX('[7]Budget original'!$A$2:$AO$501,MATCH($A47,'[7]Budget original'!$A$2:$A$501,0),MATCH(F$2,'[7]Budget original'!$A$2:$AO$2,0))</f>
        <v>0</v>
      </c>
      <c r="G47" s="585"/>
      <c r="H47" s="510"/>
      <c r="I47" s="532"/>
      <c r="J47" s="531"/>
      <c r="K47" s="510"/>
      <c r="L47" s="534">
        <f>SUMIFS([7]BV_Data_An_Cour!$O:$O,[7]BV_Data_An_Cour!$U:$U,$B47,[7]BV_Data_An_Cour!$V:$V,$C47,[7]BV_Data_An_Cour!$W:$W,L$2)</f>
        <v>0</v>
      </c>
      <c r="M47" s="531"/>
      <c r="N47" s="557">
        <f t="shared" si="16"/>
        <v>0</v>
      </c>
      <c r="O47" s="531"/>
      <c r="P47" s="510"/>
      <c r="Q47" s="534">
        <f t="array" ref="Q47">+INDEX('[7]Réel 2023'!$A$2:$AO$501,MATCH($A47,'[7]Réel 2023'!$A$2:$A$501,0),MATCH(Q$2,'[7]Réel 2023'!$A$2:$AO$2,0))</f>
        <v>0</v>
      </c>
      <c r="R47" s="531"/>
      <c r="S47" s="557">
        <f t="shared" si="18"/>
        <v>0</v>
      </c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</row>
    <row r="48" spans="1:40" ht="15.75" hidden="1" customHeight="1">
      <c r="A48" s="523" t="s">
        <v>233</v>
      </c>
      <c r="B48" s="510" t="s">
        <v>0</v>
      </c>
      <c r="C48" s="600" t="s">
        <v>20</v>
      </c>
      <c r="D48" s="584"/>
      <c r="E48" s="510"/>
      <c r="F48" s="532">
        <f>+INDEX('[7]Budget original'!$A$2:$AO$501,MATCH($A48,'[7]Budget original'!$A$2:$A$501,0),MATCH(F$2,'[7]Budget original'!$A$2:$AO$2,0))</f>
        <v>0</v>
      </c>
      <c r="G48" s="585"/>
      <c r="H48" s="510"/>
      <c r="I48" s="532"/>
      <c r="J48" s="531"/>
      <c r="K48" s="510"/>
      <c r="L48" s="534">
        <f>SUMIFS([7]BV_Data_An_Cour!$O:$O,[7]BV_Data_An_Cour!$U:$U,$B48,[7]BV_Data_An_Cour!$V:$V,$C48,[7]BV_Data_An_Cour!$W:$W,L$2)</f>
        <v>0</v>
      </c>
      <c r="M48" s="531"/>
      <c r="N48" s="557">
        <f t="shared" si="16"/>
        <v>0</v>
      </c>
      <c r="O48" s="531"/>
      <c r="P48" s="510"/>
      <c r="Q48" s="534">
        <f t="array" ref="Q48">+INDEX('[7]Réel 2023'!$A$2:$AO$501,MATCH($A48,'[7]Réel 2023'!$A$2:$A$501,0),MATCH(Q$2,'[7]Réel 2023'!$A$2:$AO$2,0))</f>
        <v>0</v>
      </c>
      <c r="R48" s="531"/>
      <c r="S48" s="557">
        <f t="shared" si="18"/>
        <v>0</v>
      </c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</row>
    <row r="49" spans="1:40" ht="15.75" customHeight="1">
      <c r="A49" s="523" t="s">
        <v>256</v>
      </c>
      <c r="B49" s="510" t="s">
        <v>0</v>
      </c>
      <c r="C49" s="602" t="s">
        <v>45</v>
      </c>
      <c r="D49" s="584"/>
      <c r="E49" s="510"/>
      <c r="F49" s="526">
        <f>+INDEX('[7]Budget original'!$A$2:$AO$501,MATCH($A49,'[7]Budget original'!$A$2:$A$501,0),MATCH(F$2,'[7]Budget original'!$A$2:$AO$2,0))</f>
        <v>13494.083177580649</v>
      </c>
      <c r="G49" s="585"/>
      <c r="H49" s="510"/>
      <c r="I49" s="526"/>
      <c r="J49" s="531"/>
      <c r="K49" s="510"/>
      <c r="L49" s="526">
        <f>SUMIFS([7]BV_Data_An_Cour!$O:$O,[7]BV_Data_An_Cour!$U:$U,$B49,[7]BV_Data_An_Cour!$V:$V,$C49,[7]BV_Data_An_Cour!$W:$W,L$2)</f>
        <v>11233.56</v>
      </c>
      <c r="M49" s="531"/>
      <c r="N49" s="557">
        <f t="shared" si="16"/>
        <v>-2260.5231775806496</v>
      </c>
      <c r="O49" s="531"/>
      <c r="P49" s="510"/>
      <c r="Q49" s="526">
        <f t="array" ref="Q49">+INDEX('[7]Réel 2023'!$A$2:$AO$501,MATCH($A49,'[7]Réel 2023'!$A$2:$A$501,0),MATCH(Q$2,'[7]Réel 2023'!$A$2:$AO$2,0))</f>
        <v>8803.83</v>
      </c>
      <c r="R49" s="531"/>
      <c r="S49" s="557">
        <f t="shared" si="18"/>
        <v>2429.7299999999996</v>
      </c>
      <c r="T49" s="510"/>
      <c r="U49" s="510"/>
      <c r="V49" s="510"/>
      <c r="W49" s="510"/>
      <c r="X49" s="507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</row>
    <row r="50" spans="1:40" ht="15.75" customHeight="1">
      <c r="A50" s="523" t="s">
        <v>257</v>
      </c>
      <c r="B50" s="510" t="s">
        <v>0</v>
      </c>
      <c r="C50" s="600" t="s">
        <v>46</v>
      </c>
      <c r="D50" s="603"/>
      <c r="E50" s="604"/>
      <c r="F50" s="532">
        <f>+INDEX('[7]Budget original'!$A$2:$AO$501,MATCH($A50,'[7]Budget original'!$A$2:$A$501,0),MATCH(F$2,'[7]Budget original'!$A$2:$AO$2,0))</f>
        <v>16406.902894327133</v>
      </c>
      <c r="G50" s="605"/>
      <c r="H50" s="604"/>
      <c r="I50" s="532"/>
      <c r="J50" s="518"/>
      <c r="K50" s="604"/>
      <c r="L50" s="534">
        <f>SUMIFS([7]BV_Data_An_Cour!$O:$O,[7]BV_Data_An_Cour!$U:$U,$B50,[7]BV_Data_An_Cour!$V:$V,$C50,[7]BV_Data_An_Cour!$W:$W,L$2)</f>
        <v>12527.06</v>
      </c>
      <c r="M50" s="518"/>
      <c r="N50" s="606">
        <f t="shared" si="16"/>
        <v>-3879.8428943271338</v>
      </c>
      <c r="O50" s="518"/>
      <c r="P50" s="604"/>
      <c r="Q50" s="534">
        <f t="array" ref="Q50">+INDEX('[7]Réel 2023'!$A$2:$AO$501,MATCH($A50,'[7]Réel 2023'!$A$2:$A$501,0),MATCH(Q$2,'[7]Réel 2023'!$A$2:$AO$2,0))</f>
        <v>11365.4</v>
      </c>
      <c r="R50" s="518"/>
      <c r="S50" s="606">
        <f t="shared" si="18"/>
        <v>1161.6599999999999</v>
      </c>
      <c r="T50" s="510"/>
      <c r="U50" s="510"/>
      <c r="V50" s="510"/>
      <c r="W50" s="510"/>
      <c r="X50" s="507"/>
      <c r="Y50" s="510"/>
      <c r="Z50" s="510"/>
      <c r="AA50" s="510"/>
      <c r="AB50" s="510"/>
      <c r="AC50" s="510"/>
      <c r="AD50" s="510"/>
      <c r="AE50" s="510"/>
      <c r="AF50" s="510"/>
      <c r="AG50" s="510"/>
      <c r="AH50" s="510"/>
      <c r="AI50" s="510"/>
      <c r="AJ50" s="510"/>
      <c r="AK50" s="510"/>
      <c r="AL50" s="510"/>
      <c r="AM50" s="510"/>
      <c r="AN50" s="510"/>
    </row>
    <row r="51" spans="1:40" ht="15.75" customHeight="1">
      <c r="A51" s="523" t="s">
        <v>258</v>
      </c>
      <c r="B51" s="510" t="s">
        <v>0</v>
      </c>
      <c r="C51" s="600" t="s">
        <v>47</v>
      </c>
      <c r="D51" s="584"/>
      <c r="E51" s="510"/>
      <c r="F51" s="532">
        <f>+INDEX('[7]Budget original'!$A$2:$AO$501,MATCH($A51,'[7]Budget original'!$A$2:$A$501,0),MATCH(F$2,'[7]Budget original'!$A$2:$AO$2,0))</f>
        <v>8453.1217085989792</v>
      </c>
      <c r="G51" s="585"/>
      <c r="H51" s="510"/>
      <c r="I51" s="532"/>
      <c r="J51" s="531"/>
      <c r="K51" s="510"/>
      <c r="L51" s="534">
        <f>SUMIFS([7]BV_Data_An_Cour!$O:$O,[7]BV_Data_An_Cour!$U:$U,$B51,[7]BV_Data_An_Cour!$V:$V,$C51,[7]BV_Data_An_Cour!$W:$W,L$2)</f>
        <v>372.17999999999984</v>
      </c>
      <c r="M51" s="531"/>
      <c r="N51" s="557">
        <f t="shared" si="16"/>
        <v>-8080.9417085989789</v>
      </c>
      <c r="O51" s="531"/>
      <c r="P51" s="510"/>
      <c r="Q51" s="534">
        <f t="array" ref="Q51">+INDEX('[7]Réel 2023'!$A$2:$AO$501,MATCH($A51,'[7]Réel 2023'!$A$2:$A$501,0),MATCH(Q$2,'[7]Réel 2023'!$A$2:$AO$2,0))</f>
        <v>6383.8099999999904</v>
      </c>
      <c r="R51" s="531"/>
      <c r="S51" s="557">
        <f t="shared" si="18"/>
        <v>-6011.6299999999901</v>
      </c>
      <c r="T51" s="510"/>
      <c r="U51" s="510"/>
      <c r="V51" s="510"/>
      <c r="W51" s="510"/>
      <c r="X51" s="507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</row>
    <row r="52" spans="1:40" ht="15.75" customHeight="1">
      <c r="A52" s="523" t="s">
        <v>259</v>
      </c>
      <c r="B52" s="510" t="s">
        <v>0</v>
      </c>
      <c r="C52" s="600" t="s">
        <v>48</v>
      </c>
      <c r="D52" s="584"/>
      <c r="E52" s="510"/>
      <c r="F52" s="532">
        <f>+INDEX('[7]Budget original'!$A$2:$AO$501,MATCH($A52,'[7]Budget original'!$A$2:$A$501,0),MATCH(F$2,'[7]Budget original'!$A$2:$AO$2,0))</f>
        <v>3685.6086211894285</v>
      </c>
      <c r="G52" s="585"/>
      <c r="H52" s="510"/>
      <c r="I52" s="532"/>
      <c r="J52" s="531"/>
      <c r="K52" s="510"/>
      <c r="L52" s="534">
        <f>SUMIFS([7]BV_Data_An_Cour!$O:$O,[7]BV_Data_An_Cour!$U:$U,$B52,[7]BV_Data_An_Cour!$V:$V,$C52,[7]BV_Data_An_Cour!$W:$W,L$2)</f>
        <v>1645.94</v>
      </c>
      <c r="M52" s="531"/>
      <c r="N52" s="557">
        <f t="shared" si="16"/>
        <v>-2039.6686211894284</v>
      </c>
      <c r="O52" s="531"/>
      <c r="P52" s="510"/>
      <c r="Q52" s="534">
        <f t="array" ref="Q52">+INDEX('[7]Réel 2023'!$A$2:$AO$501,MATCH($A52,'[7]Réel 2023'!$A$2:$A$501,0),MATCH(Q$2,'[7]Réel 2023'!$A$2:$AO$2,0))</f>
        <v>1164.96</v>
      </c>
      <c r="R52" s="531"/>
      <c r="S52" s="557">
        <f t="shared" si="18"/>
        <v>480.98</v>
      </c>
      <c r="T52" s="510"/>
      <c r="U52" s="510"/>
      <c r="V52" s="510"/>
      <c r="W52" s="510"/>
      <c r="X52" s="507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</row>
    <row r="53" spans="1:40" ht="15.75" hidden="1" customHeight="1">
      <c r="A53" s="523" t="s">
        <v>233</v>
      </c>
      <c r="B53" s="510" t="s">
        <v>0</v>
      </c>
      <c r="C53" s="531" t="s">
        <v>20</v>
      </c>
      <c r="D53" s="587" t="e">
        <f>VLOOKUP(C53,$B$2:$B$46,1,FALSE)</f>
        <v>#N/A</v>
      </c>
      <c r="E53" s="607"/>
      <c r="F53" s="532">
        <f>+INDEX('[7]Budget original'!$A$2:$AO$501,MATCH($A53,'[7]Budget original'!$A$2:$A$501,0),MATCH(F$2,'[7]Budget original'!$A$2:$AO$2,0))</f>
        <v>0</v>
      </c>
      <c r="G53" s="588"/>
      <c r="H53" s="607"/>
      <c r="I53" s="532"/>
      <c r="J53" s="524"/>
      <c r="K53" s="607"/>
      <c r="L53" s="534">
        <f>SUMIFS([7]BV_Data_An_Cour!$O:$O,[7]BV_Data_An_Cour!$U:$U,$B53,[7]BV_Data_An_Cour!$V:$V,$C53,[7]BV_Data_An_Cour!$W:$W,L$2)</f>
        <v>0</v>
      </c>
      <c r="M53" s="524"/>
      <c r="N53" s="582">
        <f t="shared" si="16"/>
        <v>0</v>
      </c>
      <c r="O53" s="524"/>
      <c r="P53" s="607"/>
      <c r="Q53" s="534">
        <f t="array" ref="Q53">+INDEX('[7]Réel 2023'!$A$2:$AO$501,MATCH($A53,'[7]Réel 2023'!$A$2:$A$501,0),MATCH(Q$2,'[7]Réel 2023'!$A$2:$AO$2,0))</f>
        <v>0</v>
      </c>
      <c r="R53" s="524"/>
      <c r="S53" s="582">
        <f t="shared" si="18"/>
        <v>0</v>
      </c>
      <c r="T53" s="510"/>
      <c r="U53" s="510"/>
      <c r="V53" s="510"/>
      <c r="W53" s="510"/>
      <c r="X53" s="507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</row>
    <row r="54" spans="1:40" ht="15.75" customHeight="1">
      <c r="A54" s="523" t="s">
        <v>260</v>
      </c>
      <c r="B54" s="510" t="s">
        <v>0</v>
      </c>
      <c r="C54" s="592" t="s">
        <v>49</v>
      </c>
      <c r="D54" s="593" t="s">
        <v>39</v>
      </c>
      <c r="E54" s="594">
        <f>F54/F$27</f>
        <v>0.27879643941367482</v>
      </c>
      <c r="F54" s="595">
        <f>+SUM(F42:F53)</f>
        <v>80458.026722209004</v>
      </c>
      <c r="G54" s="596"/>
      <c r="H54" s="594"/>
      <c r="I54" s="595"/>
      <c r="J54" s="596" t="s">
        <v>39</v>
      </c>
      <c r="K54" s="594">
        <f>L54/L$27</f>
        <v>0.53444363182013799</v>
      </c>
      <c r="L54" s="595">
        <f>+SUM(L42:L53)</f>
        <v>68164.479999999996</v>
      </c>
      <c r="M54" s="599"/>
      <c r="N54" s="595">
        <f>+SUM(N42:N53)</f>
        <v>-12293.546722209014</v>
      </c>
      <c r="O54" s="596" t="s">
        <v>39</v>
      </c>
      <c r="P54" s="594">
        <f>Q54/Q$27</f>
        <v>0.17552935455121524</v>
      </c>
      <c r="Q54" s="595">
        <f>+SUM(Q42:Q53)</f>
        <v>54386.109999999993</v>
      </c>
      <c r="R54" s="599"/>
      <c r="S54" s="595">
        <f>+SUM(S42:S53)</f>
        <v>13778.37000000001</v>
      </c>
      <c r="T54" s="573"/>
      <c r="U54" s="510"/>
      <c r="V54" s="510"/>
      <c r="W54" s="510"/>
      <c r="X54" s="507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</row>
    <row r="55" spans="1:40" ht="15.75" hidden="1" customHeight="1">
      <c r="A55" s="523" t="s">
        <v>261</v>
      </c>
      <c r="B55" s="510" t="s">
        <v>0</v>
      </c>
      <c r="C55" s="531" t="s">
        <v>50</v>
      </c>
      <c r="D55" s="584"/>
      <c r="E55" s="510"/>
      <c r="F55" s="532">
        <f>+INDEX('[7]Budget original'!$A$2:$AO$501,MATCH($A55,'[7]Budget original'!$A$2:$A$501,0),MATCH(F$2,'[7]Budget original'!$A$2:$AO$2,0))</f>
        <v>0</v>
      </c>
      <c r="G55" s="585"/>
      <c r="H55" s="510"/>
      <c r="I55" s="532"/>
      <c r="J55" s="531"/>
      <c r="K55" s="510"/>
      <c r="L55" s="534">
        <f>SUMIFS([7]BV_Data_An_Cour!$O:$O,[7]BV_Data_An_Cour!$U:$U,$B55,[7]BV_Data_An_Cour!$V:$V,$C55,[7]BV_Data_An_Cour!$W:$W,L$2)</f>
        <v>0</v>
      </c>
      <c r="M55" s="531"/>
      <c r="N55" s="557">
        <f t="shared" ref="N55:N71" si="19">L55-F55</f>
        <v>0</v>
      </c>
      <c r="O55" s="531"/>
      <c r="P55" s="510"/>
      <c r="Q55" s="534">
        <f t="array" ref="Q55">+INDEX('[7]Réel 2023'!$A$2:$AO$501,MATCH($A55,'[7]Réel 2023'!$A$2:$A$501,0),MATCH(Q$2,'[7]Réel 2023'!$A$2:$AO$2,0))</f>
        <v>0</v>
      </c>
      <c r="R55" s="531"/>
      <c r="S55" s="557">
        <f t="shared" ref="S55:S71" si="20">L55-Q55</f>
        <v>0</v>
      </c>
      <c r="T55" s="573"/>
      <c r="U55" s="510"/>
      <c r="V55" s="510"/>
      <c r="W55" s="510"/>
      <c r="X55" s="507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</row>
    <row r="56" spans="1:40" ht="15.75" hidden="1" customHeight="1">
      <c r="A56" s="523" t="s">
        <v>262</v>
      </c>
      <c r="B56" s="510" t="s">
        <v>0</v>
      </c>
      <c r="C56" s="531" t="s">
        <v>51</v>
      </c>
      <c r="D56" s="584"/>
      <c r="E56" s="510"/>
      <c r="F56" s="532">
        <f>+INDEX('[7]Budget original'!$A$2:$AO$501,MATCH($A56,'[7]Budget original'!$A$2:$A$501,0),MATCH(F$2,'[7]Budget original'!$A$2:$AO$2,0))</f>
        <v>0</v>
      </c>
      <c r="G56" s="585"/>
      <c r="H56" s="510"/>
      <c r="I56" s="532"/>
      <c r="J56" s="531"/>
      <c r="K56" s="510"/>
      <c r="L56" s="534">
        <f>SUMIFS([7]BV_Data_An_Cour!$O:$O,[7]BV_Data_An_Cour!$U:$U,$B56,[7]BV_Data_An_Cour!$V:$V,$C56,[7]BV_Data_An_Cour!$W:$W,L$2)</f>
        <v>0</v>
      </c>
      <c r="M56" s="531"/>
      <c r="N56" s="557">
        <f t="shared" si="19"/>
        <v>0</v>
      </c>
      <c r="O56" s="531"/>
      <c r="P56" s="510"/>
      <c r="Q56" s="534">
        <f t="array" ref="Q56">+INDEX('[7]Réel 2023'!$A$2:$AO$501,MATCH($A56,'[7]Réel 2023'!$A$2:$A$501,0),MATCH(Q$2,'[7]Réel 2023'!$A$2:$AO$2,0))</f>
        <v>0</v>
      </c>
      <c r="R56" s="531"/>
      <c r="S56" s="557">
        <f t="shared" si="20"/>
        <v>0</v>
      </c>
      <c r="T56" s="573"/>
      <c r="U56" s="510"/>
      <c r="V56" s="510"/>
      <c r="W56" s="510"/>
      <c r="X56" s="507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</row>
    <row r="57" spans="1:40" ht="15.75" customHeight="1">
      <c r="A57" s="523" t="s">
        <v>263</v>
      </c>
      <c r="B57" s="510" t="s">
        <v>0</v>
      </c>
      <c r="C57" s="524" t="s">
        <v>52</v>
      </c>
      <c r="D57" s="587"/>
      <c r="E57" s="607"/>
      <c r="F57" s="526">
        <f>+INDEX('[7]Budget original'!$A$2:$AO$501,MATCH($A57,'[7]Budget original'!$A$2:$A$501,0),MATCH(F$2,'[7]Budget original'!$A$2:$AO$2,0))</f>
        <v>9200</v>
      </c>
      <c r="G57" s="588"/>
      <c r="H57" s="607"/>
      <c r="I57" s="526"/>
      <c r="J57" s="524"/>
      <c r="K57" s="607"/>
      <c r="L57" s="526">
        <f>SUMIFS([7]BV_Data_An_Cour!$O:$O,[7]BV_Data_An_Cour!$U:$U,$B57,[7]BV_Data_An_Cour!$V:$V,$C57,[7]BV_Data_An_Cour!$W:$W,L$2)</f>
        <v>8283.33</v>
      </c>
      <c r="M57" s="524"/>
      <c r="N57" s="582">
        <f t="shared" si="19"/>
        <v>-916.67000000000007</v>
      </c>
      <c r="O57" s="524"/>
      <c r="P57" s="607"/>
      <c r="Q57" s="526">
        <f t="array" ref="Q57">+INDEX('[7]Réel 2023'!$A$2:$AO$501,MATCH($A57,'[7]Réel 2023'!$A$2:$A$501,0),MATCH(Q$2,'[7]Réel 2023'!$A$2:$AO$2,0))</f>
        <v>7119.66</v>
      </c>
      <c r="R57" s="524"/>
      <c r="S57" s="582">
        <f t="shared" si="20"/>
        <v>1163.67</v>
      </c>
      <c r="T57" s="608"/>
      <c r="U57" s="510"/>
      <c r="V57" s="510"/>
      <c r="W57" s="510"/>
      <c r="X57" s="507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</row>
    <row r="58" spans="1:40" ht="15.75" customHeight="1">
      <c r="A58" s="523" t="s">
        <v>264</v>
      </c>
      <c r="B58" s="510" t="s">
        <v>0</v>
      </c>
      <c r="C58" s="531" t="s">
        <v>53</v>
      </c>
      <c r="D58" s="584"/>
      <c r="E58" s="510"/>
      <c r="F58" s="532">
        <f>+INDEX('[7]Budget original'!$A$2:$AO$501,MATCH($A58,'[7]Budget original'!$A$2:$A$501,0),MATCH(F$2,'[7]Budget original'!$A$2:$AO$2,0))</f>
        <v>9039.6954662222215</v>
      </c>
      <c r="G58" s="585"/>
      <c r="H58" s="510"/>
      <c r="I58" s="532"/>
      <c r="J58" s="531"/>
      <c r="K58" s="510"/>
      <c r="L58" s="534">
        <f>SUMIFS([7]BV_Data_An_Cour!$O:$O,[7]BV_Data_An_Cour!$U:$U,$B58,[7]BV_Data_An_Cour!$V:$V,$C58,[7]BV_Data_An_Cour!$W:$W,L$2)</f>
        <v>6688.36</v>
      </c>
      <c r="M58" s="531"/>
      <c r="N58" s="557">
        <f t="shared" si="19"/>
        <v>-2351.3354662222218</v>
      </c>
      <c r="O58" s="531"/>
      <c r="P58" s="510"/>
      <c r="Q58" s="534">
        <f t="array" ref="Q58">+INDEX('[7]Réel 2023'!$A$2:$AO$501,MATCH($A58,'[7]Réel 2023'!$A$2:$A$501,0),MATCH(Q$2,'[7]Réel 2023'!$A$2:$AO$2,0))</f>
        <v>6760.11</v>
      </c>
      <c r="R58" s="531"/>
      <c r="S58" s="557">
        <f t="shared" si="20"/>
        <v>-71.75</v>
      </c>
      <c r="T58" s="573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</row>
    <row r="59" spans="1:40" ht="15.75" customHeight="1">
      <c r="A59" s="523" t="s">
        <v>265</v>
      </c>
      <c r="B59" s="510" t="s">
        <v>0</v>
      </c>
      <c r="C59" s="531" t="s">
        <v>54</v>
      </c>
      <c r="D59" s="584"/>
      <c r="E59" s="510"/>
      <c r="F59" s="532">
        <f>+INDEX('[7]Budget original'!$A$2:$AO$501,MATCH($A59,'[7]Budget original'!$A$2:$A$501,0),MATCH(F$2,'[7]Budget original'!$A$2:$AO$2,0))</f>
        <v>1105.2258848911197</v>
      </c>
      <c r="G59" s="585"/>
      <c r="H59" s="510"/>
      <c r="I59" s="532"/>
      <c r="J59" s="531"/>
      <c r="K59" s="510"/>
      <c r="L59" s="534">
        <f>SUMIFS([7]BV_Data_An_Cour!$O:$O,[7]BV_Data_An_Cour!$U:$U,$B59,[7]BV_Data_An_Cour!$V:$V,$C59,[7]BV_Data_An_Cour!$W:$W,L$2)</f>
        <v>2373.63</v>
      </c>
      <c r="M59" s="531"/>
      <c r="N59" s="557">
        <f t="shared" si="19"/>
        <v>1268.4041151088804</v>
      </c>
      <c r="O59" s="531"/>
      <c r="P59" s="510"/>
      <c r="Q59" s="534">
        <f t="array" ref="Q59">+INDEX('[7]Réel 2023'!$A$2:$AO$501,MATCH($A59,'[7]Réel 2023'!$A$2:$A$501,0),MATCH(Q$2,'[7]Réel 2023'!$A$2:$AO$2,0))</f>
        <v>1646.26</v>
      </c>
      <c r="R59" s="531"/>
      <c r="S59" s="557">
        <f t="shared" si="20"/>
        <v>727.37000000000012</v>
      </c>
      <c r="T59" s="510"/>
      <c r="U59" s="510"/>
      <c r="V59" s="510"/>
      <c r="W59" s="510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0"/>
      <c r="AK59" s="510"/>
      <c r="AL59" s="510"/>
      <c r="AM59" s="510"/>
      <c r="AN59" s="510"/>
    </row>
    <row r="60" spans="1:40" ht="15.75" customHeight="1">
      <c r="A60" s="523" t="s">
        <v>266</v>
      </c>
      <c r="B60" s="510" t="s">
        <v>0</v>
      </c>
      <c r="C60" s="524" t="s">
        <v>55</v>
      </c>
      <c r="D60" s="587"/>
      <c r="E60" s="607"/>
      <c r="F60" s="526">
        <f>+INDEX('[7]Budget original'!$A$2:$AO$501,MATCH($A60,'[7]Budget original'!$A$2:$A$501,0),MATCH(F$2,'[7]Budget original'!$A$2:$AO$2,0))</f>
        <v>6711.4186422074081</v>
      </c>
      <c r="G60" s="588"/>
      <c r="H60" s="607"/>
      <c r="I60" s="526"/>
      <c r="J60" s="524"/>
      <c r="K60" s="607"/>
      <c r="L60" s="526">
        <f>SUMIFS([7]BV_Data_An_Cour!$O:$O,[7]BV_Data_An_Cour!$U:$U,$B60,[7]BV_Data_An_Cour!$V:$V,$C60,[7]BV_Data_An_Cour!$W:$W,L$2)</f>
        <v>7674.68</v>
      </c>
      <c r="M60" s="524"/>
      <c r="N60" s="582">
        <f t="shared" si="19"/>
        <v>963.26135779259221</v>
      </c>
      <c r="O60" s="524"/>
      <c r="P60" s="607"/>
      <c r="Q60" s="526">
        <f t="array" ref="Q60">+INDEX('[7]Réel 2023'!$A$2:$AO$501,MATCH($A60,'[7]Réel 2023'!$A$2:$A$501,0),MATCH(Q$2,'[7]Réel 2023'!$A$2:$AO$2,0))</f>
        <v>8387.93</v>
      </c>
      <c r="R60" s="524"/>
      <c r="S60" s="582">
        <f t="shared" si="20"/>
        <v>-713.25</v>
      </c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510"/>
      <c r="AG60" s="510"/>
      <c r="AH60" s="510"/>
      <c r="AI60" s="510"/>
      <c r="AJ60" s="510"/>
      <c r="AK60" s="510"/>
      <c r="AL60" s="510"/>
      <c r="AM60" s="510"/>
      <c r="AN60" s="510"/>
    </row>
    <row r="61" spans="1:40" ht="15.75" customHeight="1">
      <c r="A61" s="523" t="s">
        <v>267</v>
      </c>
      <c r="B61" s="510" t="s">
        <v>0</v>
      </c>
      <c r="C61" s="531" t="s">
        <v>56</v>
      </c>
      <c r="D61" s="584"/>
      <c r="E61" s="510"/>
      <c r="F61" s="532">
        <f>+INDEX('[7]Budget original'!$A$2:$AO$501,MATCH($A61,'[7]Budget original'!$A$2:$A$501,0),MATCH(F$2,'[7]Budget original'!$A$2:$AO$2,0))</f>
        <v>125</v>
      </c>
      <c r="G61" s="585"/>
      <c r="H61" s="510"/>
      <c r="I61" s="532"/>
      <c r="J61" s="531"/>
      <c r="K61" s="510"/>
      <c r="L61" s="534">
        <f>SUMIFS([7]BV_Data_An_Cour!$O:$O,[7]BV_Data_An_Cour!$U:$U,$B61,[7]BV_Data_An_Cour!$V:$V,$C61,[7]BV_Data_An_Cour!$W:$W,L$2)</f>
        <v>0</v>
      </c>
      <c r="M61" s="531"/>
      <c r="N61" s="557">
        <f t="shared" si="19"/>
        <v>-125</v>
      </c>
      <c r="O61" s="531"/>
      <c r="P61" s="510"/>
      <c r="Q61" s="534">
        <f t="array" ref="Q61">+INDEX('[7]Réel 2023'!$A$2:$AO$501,MATCH($A61,'[7]Réel 2023'!$A$2:$A$501,0),MATCH(Q$2,'[7]Réel 2023'!$A$2:$AO$2,0))</f>
        <v>250.25</v>
      </c>
      <c r="R61" s="531"/>
      <c r="S61" s="557">
        <f t="shared" si="20"/>
        <v>-250.25</v>
      </c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</row>
    <row r="62" spans="1:40" ht="15.75" customHeight="1">
      <c r="A62" s="523" t="s">
        <v>268</v>
      </c>
      <c r="B62" s="510" t="s">
        <v>0</v>
      </c>
      <c r="C62" s="531" t="s">
        <v>57</v>
      </c>
      <c r="D62" s="584"/>
      <c r="E62" s="510"/>
      <c r="F62" s="532">
        <f>+INDEX('[7]Budget original'!$A$2:$AO$501,MATCH($A62,'[7]Budget original'!$A$2:$A$501,0),MATCH(F$2,'[7]Budget original'!$A$2:$AO$2,0))</f>
        <v>83.333333333333329</v>
      </c>
      <c r="G62" s="585"/>
      <c r="H62" s="510"/>
      <c r="I62" s="532"/>
      <c r="J62" s="531"/>
      <c r="K62" s="510"/>
      <c r="L62" s="534">
        <f>SUMIFS([7]BV_Data_An_Cour!$O:$O,[7]BV_Data_An_Cour!$U:$U,$B62,[7]BV_Data_An_Cour!$V:$V,$C62,[7]BV_Data_An_Cour!$W:$W,L$2)</f>
        <v>0</v>
      </c>
      <c r="M62" s="531"/>
      <c r="N62" s="557">
        <f t="shared" si="19"/>
        <v>-83.333333333333329</v>
      </c>
      <c r="O62" s="531"/>
      <c r="P62" s="510"/>
      <c r="Q62" s="534">
        <f t="array" ref="Q62">+INDEX('[7]Réel 2023'!$A$2:$AO$501,MATCH($A62,'[7]Réel 2023'!$A$2:$A$501,0),MATCH(Q$2,'[7]Réel 2023'!$A$2:$AO$2,0))</f>
        <v>0</v>
      </c>
      <c r="R62" s="531"/>
      <c r="S62" s="557">
        <f t="shared" si="20"/>
        <v>0</v>
      </c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</row>
    <row r="63" spans="1:40" ht="15.75" customHeight="1">
      <c r="A63" s="523" t="s">
        <v>269</v>
      </c>
      <c r="B63" s="510" t="s">
        <v>0</v>
      </c>
      <c r="C63" s="531" t="s">
        <v>58</v>
      </c>
      <c r="D63" s="584"/>
      <c r="E63" s="510"/>
      <c r="F63" s="532">
        <f>+INDEX('[7]Budget original'!$A$2:$AO$501,MATCH($A63,'[7]Budget original'!$A$2:$A$501,0),MATCH(F$2,'[7]Budget original'!$A$2:$AO$2,0))</f>
        <v>756.94660196799998</v>
      </c>
      <c r="G63" s="585"/>
      <c r="H63" s="510"/>
      <c r="I63" s="532"/>
      <c r="J63" s="531"/>
      <c r="K63" s="510"/>
      <c r="L63" s="534">
        <f>SUMIFS([7]BV_Data_An_Cour!$O:$O,[7]BV_Data_An_Cour!$U:$U,$B63,[7]BV_Data_An_Cour!$V:$V,$C63,[7]BV_Data_An_Cour!$W:$W,L$2)</f>
        <v>1262.3399999999999</v>
      </c>
      <c r="M63" s="531"/>
      <c r="N63" s="557">
        <f t="shared" si="19"/>
        <v>505.39339803199994</v>
      </c>
      <c r="O63" s="531"/>
      <c r="P63" s="510"/>
      <c r="Q63" s="534">
        <f t="array" ref="Q63">+INDEX('[7]Réel 2023'!$A$2:$AO$501,MATCH($A63,'[7]Réel 2023'!$A$2:$A$501,0),MATCH(Q$2,'[7]Réel 2023'!$A$2:$AO$2,0))</f>
        <v>2065.7600000000002</v>
      </c>
      <c r="R63" s="531"/>
      <c r="S63" s="557">
        <f t="shared" si="20"/>
        <v>-803.4200000000003</v>
      </c>
      <c r="T63" s="510"/>
      <c r="U63" s="510"/>
      <c r="V63" s="510"/>
      <c r="W63" s="510"/>
      <c r="X63" s="510"/>
      <c r="Y63" s="510"/>
      <c r="Z63" s="510"/>
      <c r="AA63" s="510"/>
      <c r="AB63" s="510"/>
      <c r="AC63" s="510"/>
      <c r="AD63" s="510"/>
      <c r="AE63" s="510"/>
      <c r="AF63" s="510"/>
      <c r="AG63" s="510"/>
      <c r="AH63" s="510"/>
      <c r="AI63" s="510"/>
      <c r="AJ63" s="510"/>
      <c r="AK63" s="510"/>
      <c r="AL63" s="510"/>
      <c r="AM63" s="510"/>
      <c r="AN63" s="510"/>
    </row>
    <row r="64" spans="1:40" ht="15.75" customHeight="1">
      <c r="A64" s="523" t="s">
        <v>270</v>
      </c>
      <c r="B64" s="510" t="s">
        <v>0</v>
      </c>
      <c r="C64" s="531" t="s">
        <v>59</v>
      </c>
      <c r="D64" s="584"/>
      <c r="E64" s="510"/>
      <c r="F64" s="532">
        <f>+INDEX('[7]Budget original'!$A$2:$AO$501,MATCH($A64,'[7]Budget original'!$A$2:$A$501,0),MATCH(F$2,'[7]Budget original'!$A$2:$AO$2,0))</f>
        <v>309.40348505288893</v>
      </c>
      <c r="G64" s="585"/>
      <c r="H64" s="510"/>
      <c r="I64" s="532"/>
      <c r="J64" s="531"/>
      <c r="K64" s="510"/>
      <c r="L64" s="534">
        <f>SUMIFS([7]BV_Data_An_Cour!$O:$O,[7]BV_Data_An_Cour!$U:$U,$B64,[7]BV_Data_An_Cour!$V:$V,$C64,[7]BV_Data_An_Cour!$W:$W,L$2)</f>
        <v>351.63</v>
      </c>
      <c r="M64" s="531"/>
      <c r="N64" s="557">
        <f t="shared" si="19"/>
        <v>42.22651494711107</v>
      </c>
      <c r="O64" s="531"/>
      <c r="P64" s="510"/>
      <c r="Q64" s="534">
        <f t="array" ref="Q64">+INDEX('[7]Réel 2023'!$A$2:$AO$501,MATCH($A64,'[7]Réel 2023'!$A$2:$A$501,0),MATCH(Q$2,'[7]Réel 2023'!$A$2:$AO$2,0))</f>
        <v>280.55</v>
      </c>
      <c r="R64" s="531"/>
      <c r="S64" s="557">
        <f t="shared" si="20"/>
        <v>71.079999999999984</v>
      </c>
      <c r="T64" s="510"/>
      <c r="U64" s="510"/>
      <c r="V64" s="510"/>
      <c r="W64" s="510"/>
      <c r="X64" s="510"/>
      <c r="Y64" s="510"/>
      <c r="Z64" s="510"/>
      <c r="AA64" s="510"/>
      <c r="AB64" s="510"/>
      <c r="AC64" s="510"/>
      <c r="AD64" s="510"/>
      <c r="AE64" s="510"/>
      <c r="AF64" s="510"/>
      <c r="AG64" s="510"/>
      <c r="AH64" s="510"/>
      <c r="AI64" s="510"/>
      <c r="AJ64" s="510"/>
      <c r="AK64" s="510"/>
      <c r="AL64" s="510"/>
      <c r="AM64" s="510"/>
      <c r="AN64" s="510"/>
    </row>
    <row r="65" spans="1:40" ht="15.75" customHeight="1">
      <c r="A65" s="523" t="s">
        <v>271</v>
      </c>
      <c r="B65" s="510" t="s">
        <v>0</v>
      </c>
      <c r="C65" s="531" t="s">
        <v>60</v>
      </c>
      <c r="D65" s="584"/>
      <c r="E65" s="510"/>
      <c r="F65" s="532">
        <f>+INDEX('[7]Budget original'!$A$2:$AO$501,MATCH($A65,'[7]Budget original'!$A$2:$A$501,0),MATCH(F$2,'[7]Budget original'!$A$2:$AO$2,0))</f>
        <v>113.12880990711112</v>
      </c>
      <c r="G65" s="585"/>
      <c r="H65" s="510"/>
      <c r="I65" s="532"/>
      <c r="J65" s="531"/>
      <c r="K65" s="510"/>
      <c r="L65" s="534">
        <f>SUMIFS([7]BV_Data_An_Cour!$O:$O,[7]BV_Data_An_Cour!$U:$U,$B65,[7]BV_Data_An_Cour!$V:$V,$C65,[7]BV_Data_An_Cour!$W:$W,L$2)</f>
        <v>40.25</v>
      </c>
      <c r="M65" s="531"/>
      <c r="N65" s="557">
        <f t="shared" si="19"/>
        <v>-72.878809907111119</v>
      </c>
      <c r="O65" s="531"/>
      <c r="P65" s="510"/>
      <c r="Q65" s="534">
        <f t="array" ref="Q65">+INDEX('[7]Réel 2023'!$A$2:$AO$501,MATCH($A65,'[7]Réel 2023'!$A$2:$A$501,0),MATCH(Q$2,'[7]Réel 2023'!$A$2:$AO$2,0))</f>
        <v>169.87</v>
      </c>
      <c r="R65" s="531"/>
      <c r="S65" s="557">
        <f t="shared" si="20"/>
        <v>-129.62</v>
      </c>
      <c r="T65" s="510"/>
      <c r="U65" s="510"/>
      <c r="V65" s="510"/>
      <c r="W65" s="510"/>
      <c r="X65" s="510"/>
      <c r="Y65" s="510"/>
      <c r="Z65" s="510"/>
      <c r="AA65" s="510"/>
      <c r="AB65" s="510"/>
      <c r="AC65" s="510"/>
      <c r="AD65" s="510"/>
      <c r="AE65" s="510"/>
      <c r="AF65" s="510"/>
      <c r="AG65" s="510"/>
      <c r="AH65" s="510"/>
      <c r="AI65" s="510"/>
      <c r="AJ65" s="510"/>
      <c r="AK65" s="510"/>
      <c r="AL65" s="510"/>
      <c r="AM65" s="510"/>
      <c r="AN65" s="510"/>
    </row>
    <row r="66" spans="1:40" ht="15.75" customHeight="1">
      <c r="A66" s="523" t="s">
        <v>272</v>
      </c>
      <c r="B66" s="510" t="s">
        <v>0</v>
      </c>
      <c r="C66" s="531" t="s">
        <v>61</v>
      </c>
      <c r="D66" s="584"/>
      <c r="E66" s="510"/>
      <c r="F66" s="532">
        <f>+INDEX('[7]Budget original'!$A$2:$AO$501,MATCH($A66,'[7]Budget original'!$A$2:$A$501,0),MATCH(F$2,'[7]Budget original'!$A$2:$AO$2,0))</f>
        <v>282.46260343511113</v>
      </c>
      <c r="G66" s="585"/>
      <c r="H66" s="510"/>
      <c r="I66" s="532"/>
      <c r="J66" s="531"/>
      <c r="K66" s="510"/>
      <c r="L66" s="534">
        <f>SUMIFS([7]BV_Data_An_Cour!$O:$O,[7]BV_Data_An_Cour!$U:$U,$B66,[7]BV_Data_An_Cour!$V:$V,$C66,[7]BV_Data_An_Cour!$W:$W,L$2)</f>
        <v>446.81</v>
      </c>
      <c r="M66" s="531"/>
      <c r="N66" s="557">
        <f t="shared" si="19"/>
        <v>164.34739656488887</v>
      </c>
      <c r="O66" s="531"/>
      <c r="P66" s="510"/>
      <c r="Q66" s="534">
        <f t="array" ref="Q66">+INDEX('[7]Réel 2023'!$A$2:$AO$501,MATCH($A66,'[7]Réel 2023'!$A$2:$A$501,0),MATCH(Q$2,'[7]Réel 2023'!$A$2:$AO$2,0))</f>
        <v>102.8</v>
      </c>
      <c r="R66" s="531"/>
      <c r="S66" s="557">
        <f t="shared" si="20"/>
        <v>344.01</v>
      </c>
      <c r="T66" s="510"/>
      <c r="U66" s="510"/>
      <c r="V66" s="510"/>
      <c r="W66" s="510"/>
      <c r="X66" s="510"/>
      <c r="Y66" s="510"/>
      <c r="Z66" s="510"/>
      <c r="AA66" s="510"/>
      <c r="AB66" s="510"/>
      <c r="AC66" s="510"/>
      <c r="AD66" s="510"/>
      <c r="AE66" s="510"/>
      <c r="AF66" s="510"/>
      <c r="AG66" s="510"/>
      <c r="AH66" s="510"/>
      <c r="AI66" s="510"/>
      <c r="AJ66" s="510"/>
      <c r="AK66" s="510"/>
      <c r="AL66" s="510"/>
      <c r="AM66" s="510"/>
      <c r="AN66" s="510"/>
    </row>
    <row r="67" spans="1:40" ht="15.75" customHeight="1">
      <c r="A67" s="523" t="s">
        <v>273</v>
      </c>
      <c r="B67" s="510" t="s">
        <v>0</v>
      </c>
      <c r="C67" s="531" t="s">
        <v>62</v>
      </c>
      <c r="D67" s="584"/>
      <c r="E67" s="510"/>
      <c r="F67" s="532">
        <f>+INDEX('[7]Budget original'!$A$2:$AO$501,MATCH($A67,'[7]Budget original'!$A$2:$A$501,0),MATCH(F$2,'[7]Budget original'!$A$2:$AO$2,0))</f>
        <v>1899.1075000000001</v>
      </c>
      <c r="G67" s="585"/>
      <c r="H67" s="510"/>
      <c r="I67" s="532"/>
      <c r="J67" s="531"/>
      <c r="K67" s="510"/>
      <c r="L67" s="534">
        <f>SUMIFS([7]BV_Data_An_Cour!$O:$O,[7]BV_Data_An_Cour!$U:$U,$B67,[7]BV_Data_An_Cour!$V:$V,$C67,[7]BV_Data_An_Cour!$W:$W,L$2)</f>
        <v>1785.45</v>
      </c>
      <c r="M67" s="531"/>
      <c r="N67" s="557">
        <f t="shared" si="19"/>
        <v>-113.65750000000003</v>
      </c>
      <c r="O67" s="531"/>
      <c r="P67" s="510"/>
      <c r="Q67" s="534">
        <f t="array" ref="Q67">+INDEX('[7]Réel 2023'!$A$2:$AO$501,MATCH($A67,'[7]Réel 2023'!$A$2:$A$501,0),MATCH(Q$2,'[7]Réel 2023'!$A$2:$AO$2,0))</f>
        <v>2190.54</v>
      </c>
      <c r="R67" s="531"/>
      <c r="S67" s="557">
        <f t="shared" si="20"/>
        <v>-405.08999999999992</v>
      </c>
      <c r="T67" s="510"/>
      <c r="U67" s="523"/>
      <c r="X67" s="510"/>
      <c r="Y67" s="510"/>
      <c r="Z67" s="510"/>
      <c r="AA67" s="510"/>
      <c r="AB67" s="510"/>
      <c r="AC67" s="510"/>
      <c r="AD67" s="510"/>
      <c r="AE67" s="510"/>
      <c r="AF67" s="510"/>
      <c r="AG67" s="510"/>
      <c r="AH67" s="510"/>
      <c r="AI67" s="510"/>
      <c r="AJ67" s="510"/>
      <c r="AK67" s="510"/>
      <c r="AL67" s="510"/>
      <c r="AM67" s="510"/>
      <c r="AN67" s="510"/>
    </row>
    <row r="68" spans="1:40" ht="15.75" customHeight="1">
      <c r="A68" s="523" t="s">
        <v>274</v>
      </c>
      <c r="B68" s="510" t="s">
        <v>0</v>
      </c>
      <c r="C68" s="531" t="s">
        <v>63</v>
      </c>
      <c r="D68" s="584"/>
      <c r="E68" s="510"/>
      <c r="F68" s="532">
        <f>+INDEX('[7]Budget original'!$A$2:$AO$501,MATCH($A68,'[7]Budget original'!$A$2:$A$501,0),MATCH(F$2,'[7]Budget original'!$A$2:$AO$2,0))</f>
        <v>3363.2959290092826</v>
      </c>
      <c r="G68" s="585"/>
      <c r="H68" s="510"/>
      <c r="I68" s="532"/>
      <c r="J68" s="531"/>
      <c r="K68" s="510"/>
      <c r="L68" s="534">
        <f>SUMIFS([7]BV_Data_An_Cour!$O:$O,[7]BV_Data_An_Cour!$U:$U,$B68,[7]BV_Data_An_Cour!$V:$V,$C68,[7]BV_Data_An_Cour!$W:$W,L$2)</f>
        <v>6767.49</v>
      </c>
      <c r="M68" s="531"/>
      <c r="N68" s="557">
        <f t="shared" si="19"/>
        <v>3404.1940709907171</v>
      </c>
      <c r="O68" s="531"/>
      <c r="P68" s="510"/>
      <c r="Q68" s="534">
        <f t="array" ref="Q68">+INDEX('[7]Réel 2023'!$A$2:$AO$501,MATCH($A68,'[7]Réel 2023'!$A$2:$A$501,0),MATCH(Q$2,'[7]Réel 2023'!$A$2:$AO$2,0))</f>
        <v>5124.82</v>
      </c>
      <c r="R68" s="531"/>
      <c r="S68" s="557">
        <f t="shared" si="20"/>
        <v>1642.67</v>
      </c>
      <c r="T68" s="510"/>
      <c r="X68" s="510"/>
      <c r="Y68" s="510"/>
      <c r="Z68" s="510"/>
      <c r="AA68" s="510"/>
      <c r="AB68" s="510"/>
      <c r="AC68" s="510"/>
      <c r="AD68" s="510"/>
      <c r="AE68" s="510"/>
      <c r="AF68" s="510"/>
      <c r="AG68" s="510"/>
      <c r="AH68" s="510"/>
      <c r="AI68" s="510"/>
      <c r="AJ68" s="510"/>
      <c r="AK68" s="510"/>
      <c r="AL68" s="510"/>
      <c r="AM68" s="510"/>
      <c r="AN68" s="510"/>
    </row>
    <row r="69" spans="1:40" ht="15.75" hidden="1" customHeight="1">
      <c r="A69" s="523" t="s">
        <v>233</v>
      </c>
      <c r="B69" s="510" t="s">
        <v>0</v>
      </c>
      <c r="C69" s="531" t="s">
        <v>20</v>
      </c>
      <c r="D69" s="584"/>
      <c r="E69" s="510"/>
      <c r="F69" s="532">
        <f>+INDEX('[7]Budget original'!$A$2:$AO$501,MATCH($A69,'[7]Budget original'!$A$2:$A$501,0),MATCH(F$2,'[7]Budget original'!$A$2:$AO$2,0))</f>
        <v>0</v>
      </c>
      <c r="G69" s="585"/>
      <c r="H69" s="510"/>
      <c r="I69" s="532"/>
      <c r="J69" s="531"/>
      <c r="K69" s="510"/>
      <c r="L69" s="534"/>
      <c r="M69" s="531"/>
      <c r="N69" s="557">
        <f t="shared" si="19"/>
        <v>0</v>
      </c>
      <c r="O69" s="531"/>
      <c r="P69" s="510"/>
      <c r="Q69" s="534">
        <f t="array" ref="Q69">+INDEX('[7]Réel 2023'!$A$2:$AO$501,MATCH($A69,'[7]Réel 2023'!$A$2:$A$501,0),MATCH(Q$2,'[7]Réel 2023'!$A$2:$AO$2,0))</f>
        <v>0</v>
      </c>
      <c r="R69" s="531"/>
      <c r="S69" s="557">
        <f t="shared" si="20"/>
        <v>0</v>
      </c>
      <c r="T69" s="510"/>
      <c r="X69" s="510"/>
      <c r="Y69" s="510"/>
      <c r="Z69" s="510"/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  <c r="AK69" s="510"/>
      <c r="AL69" s="510"/>
      <c r="AM69" s="510"/>
      <c r="AN69" s="510"/>
    </row>
    <row r="70" spans="1:40" ht="15.75" hidden="1" customHeight="1">
      <c r="A70" s="523" t="s">
        <v>233</v>
      </c>
      <c r="B70" s="510" t="s">
        <v>0</v>
      </c>
      <c r="C70" s="531" t="s">
        <v>20</v>
      </c>
      <c r="D70" s="584"/>
      <c r="E70" s="510"/>
      <c r="F70" s="532">
        <f>+INDEX('[7]Budget original'!$A$2:$AO$501,MATCH($A70,'[7]Budget original'!$A$2:$A$501,0),MATCH(F$2,'[7]Budget original'!$A$2:$AO$2,0))</f>
        <v>0</v>
      </c>
      <c r="G70" s="585"/>
      <c r="H70" s="510"/>
      <c r="I70" s="532"/>
      <c r="J70" s="531"/>
      <c r="K70" s="510"/>
      <c r="L70" s="534">
        <f>SUMIFS([7]BV_Data_An_Cour!$O:$O,[7]BV_Data_An_Cour!$U:$U,$B70,[7]BV_Data_An_Cour!$V:$V,$C70,[7]BV_Data_An_Cour!$W:$W,L$2)</f>
        <v>0</v>
      </c>
      <c r="M70" s="531"/>
      <c r="N70" s="557">
        <f t="shared" si="19"/>
        <v>0</v>
      </c>
      <c r="O70" s="531"/>
      <c r="P70" s="510"/>
      <c r="Q70" s="534">
        <f t="array" ref="Q70">+INDEX('[7]Réel 2023'!$A$2:$AO$501,MATCH($A70,'[7]Réel 2023'!$A$2:$A$501,0),MATCH(Q$2,'[7]Réel 2023'!$A$2:$AO$2,0))</f>
        <v>0</v>
      </c>
      <c r="R70" s="531"/>
      <c r="S70" s="557">
        <f t="shared" si="20"/>
        <v>0</v>
      </c>
      <c r="T70" s="510"/>
      <c r="X70" s="510"/>
      <c r="Y70" s="510"/>
      <c r="Z70" s="510"/>
      <c r="AA70" s="510"/>
      <c r="AB70" s="510"/>
      <c r="AC70" s="510"/>
      <c r="AD70" s="510"/>
      <c r="AE70" s="510"/>
      <c r="AF70" s="510"/>
      <c r="AG70" s="510"/>
      <c r="AH70" s="510"/>
      <c r="AI70" s="510"/>
      <c r="AJ70" s="510"/>
      <c r="AK70" s="510"/>
      <c r="AL70" s="510"/>
      <c r="AM70" s="510"/>
      <c r="AN70" s="510"/>
    </row>
    <row r="71" spans="1:40" ht="15.75" hidden="1" customHeight="1">
      <c r="A71" s="523" t="s">
        <v>233</v>
      </c>
      <c r="B71" s="510" t="s">
        <v>0</v>
      </c>
      <c r="C71" s="531" t="s">
        <v>20</v>
      </c>
      <c r="D71" s="584"/>
      <c r="E71" s="510"/>
      <c r="F71" s="532">
        <f>+INDEX('[7]Budget original'!$A$2:$AO$501,MATCH($A71,'[7]Budget original'!$A$2:$A$501,0),MATCH(F$2,'[7]Budget original'!$A$2:$AO$2,0))</f>
        <v>0</v>
      </c>
      <c r="G71" s="585"/>
      <c r="H71" s="510"/>
      <c r="I71" s="532"/>
      <c r="J71" s="531"/>
      <c r="K71" s="510"/>
      <c r="L71" s="534">
        <f>SUMIFS([7]BV_Data_An_Cour!$O:$O,[7]BV_Data_An_Cour!$U:$U,$B71,[7]BV_Data_An_Cour!$V:$V,$C71,[7]BV_Data_An_Cour!$W:$W,L$2)*0.32</f>
        <v>0</v>
      </c>
      <c r="M71" s="531"/>
      <c r="N71" s="557">
        <f t="shared" si="19"/>
        <v>0</v>
      </c>
      <c r="O71" s="531"/>
      <c r="P71" s="510"/>
      <c r="Q71" s="534">
        <f t="array" ref="Q71">+INDEX('[7]Réel 2023'!$A$2:$AO$501,MATCH($A71,'[7]Réel 2023'!$A$2:$A$501,0),MATCH(Q$2,'[7]Réel 2023'!$A$2:$AO$2,0))</f>
        <v>0</v>
      </c>
      <c r="R71" s="531"/>
      <c r="S71" s="557">
        <f t="shared" si="20"/>
        <v>0</v>
      </c>
      <c r="T71" s="510"/>
      <c r="X71" s="510"/>
      <c r="Y71" s="510"/>
      <c r="Z71" s="510"/>
      <c r="AA71" s="510"/>
      <c r="AB71" s="510"/>
      <c r="AC71" s="510"/>
      <c r="AD71" s="510"/>
      <c r="AE71" s="510"/>
      <c r="AF71" s="510"/>
      <c r="AG71" s="510"/>
      <c r="AH71" s="510"/>
      <c r="AI71" s="510"/>
      <c r="AJ71" s="510"/>
      <c r="AK71" s="510"/>
      <c r="AL71" s="510"/>
      <c r="AM71" s="510"/>
      <c r="AN71" s="510"/>
    </row>
    <row r="72" spans="1:40" ht="15.75" customHeight="1">
      <c r="A72" s="523" t="s">
        <v>275</v>
      </c>
      <c r="B72" s="510" t="s">
        <v>0</v>
      </c>
      <c r="C72" s="592" t="s">
        <v>64</v>
      </c>
      <c r="D72" s="593" t="s">
        <v>39</v>
      </c>
      <c r="E72" s="594">
        <f>F72/F$27</f>
        <v>0.11431079289686542</v>
      </c>
      <c r="F72" s="595">
        <f>+SUM(F55:F71)</f>
        <v>32989.018256026473</v>
      </c>
      <c r="G72" s="596"/>
      <c r="H72" s="594"/>
      <c r="I72" s="595"/>
      <c r="J72" s="596" t="s">
        <v>39</v>
      </c>
      <c r="K72" s="594">
        <f>L72/L$27</f>
        <v>0.27970177559107984</v>
      </c>
      <c r="L72" s="595">
        <f>+SUM(L55:L71)</f>
        <v>35673.97</v>
      </c>
      <c r="M72" s="599"/>
      <c r="N72" s="595">
        <f>+SUM(N55:N71)</f>
        <v>2684.9517439735232</v>
      </c>
      <c r="O72" s="596" t="s">
        <v>39</v>
      </c>
      <c r="P72" s="594">
        <f>Q72/Q$27</f>
        <v>0.11005193187437641</v>
      </c>
      <c r="Q72" s="595">
        <f>+SUM(Q55:Q71)</f>
        <v>34098.550000000003</v>
      </c>
      <c r="R72" s="599"/>
      <c r="S72" s="595">
        <f>+SUM(S55:S71)</f>
        <v>1575.42</v>
      </c>
      <c r="T72" s="510"/>
      <c r="X72" s="510"/>
      <c r="Y72" s="510"/>
      <c r="Z72" s="510"/>
      <c r="AA72" s="510"/>
      <c r="AB72" s="510"/>
      <c r="AC72" s="510"/>
      <c r="AD72" s="510"/>
      <c r="AE72" s="510"/>
      <c r="AF72" s="510"/>
      <c r="AG72" s="510"/>
      <c r="AH72" s="510"/>
      <c r="AI72" s="510"/>
      <c r="AJ72" s="510"/>
      <c r="AK72" s="510"/>
      <c r="AL72" s="510"/>
      <c r="AM72" s="510"/>
      <c r="AN72" s="510"/>
    </row>
    <row r="73" spans="1:40" ht="15.75" customHeight="1">
      <c r="A73" s="523" t="s">
        <v>0</v>
      </c>
      <c r="B73" s="510" t="s">
        <v>0</v>
      </c>
      <c r="C73" s="524"/>
      <c r="D73" s="587"/>
      <c r="E73" s="607"/>
      <c r="F73" s="557"/>
      <c r="G73" s="588"/>
      <c r="H73" s="607"/>
      <c r="I73" s="557"/>
      <c r="J73" s="524"/>
      <c r="K73" s="607"/>
      <c r="L73" s="582"/>
      <c r="M73" s="524"/>
      <c r="N73" s="582"/>
      <c r="O73" s="524"/>
      <c r="P73" s="607"/>
      <c r="Q73" s="582"/>
      <c r="R73" s="524"/>
      <c r="S73" s="582"/>
      <c r="T73" s="510"/>
      <c r="U73" s="510"/>
      <c r="V73" s="510"/>
      <c r="W73" s="510"/>
      <c r="X73" s="510"/>
      <c r="Y73" s="510"/>
      <c r="Z73" s="510"/>
      <c r="AA73" s="510"/>
      <c r="AB73" s="510"/>
      <c r="AC73" s="510"/>
      <c r="AD73" s="510"/>
      <c r="AE73" s="510"/>
      <c r="AF73" s="510"/>
      <c r="AG73" s="510"/>
      <c r="AH73" s="510"/>
      <c r="AI73" s="510"/>
      <c r="AJ73" s="510"/>
      <c r="AK73" s="510"/>
      <c r="AL73" s="510"/>
      <c r="AM73" s="510"/>
      <c r="AN73" s="510"/>
    </row>
    <row r="74" spans="1:40" ht="15.75" customHeight="1">
      <c r="A74" s="523" t="s">
        <v>276</v>
      </c>
      <c r="B74" s="510" t="s">
        <v>0</v>
      </c>
      <c r="C74" s="592" t="s">
        <v>65</v>
      </c>
      <c r="D74" s="593" t="s">
        <v>39</v>
      </c>
      <c r="E74" s="594">
        <f>F74/F$27</f>
        <v>0.81377472173894072</v>
      </c>
      <c r="F74" s="595">
        <f>F41+F54+F72</f>
        <v>234847.72059939869</v>
      </c>
      <c r="G74" s="596"/>
      <c r="H74" s="594"/>
      <c r="I74" s="595"/>
      <c r="J74" s="596" t="s">
        <v>39</v>
      </c>
      <c r="K74" s="594">
        <f>L74/L$27</f>
        <v>1.1104185510002602</v>
      </c>
      <c r="L74" s="595">
        <f>L41+L54+L72</f>
        <v>141625.97999999998</v>
      </c>
      <c r="M74" s="599"/>
      <c r="N74" s="609">
        <f t="shared" ref="N74:N82" si="21">L74-F74</f>
        <v>-93221.740599398705</v>
      </c>
      <c r="O74" s="596" t="s">
        <v>39</v>
      </c>
      <c r="P74" s="594">
        <f>Q74/Q$27</f>
        <v>0.68020830973248358</v>
      </c>
      <c r="Q74" s="595">
        <f>Q41+Q54+Q72</f>
        <v>210756.11</v>
      </c>
      <c r="R74" s="599"/>
      <c r="S74" s="609">
        <f>L74-Q74</f>
        <v>-69130.13</v>
      </c>
      <c r="T74" s="510"/>
      <c r="U74" s="510"/>
      <c r="V74" s="510"/>
      <c r="W74" s="510"/>
      <c r="X74" s="510"/>
      <c r="Y74" s="510"/>
      <c r="Z74" s="510"/>
      <c r="AA74" s="510"/>
      <c r="AB74" s="510"/>
      <c r="AC74" s="510"/>
      <c r="AD74" s="510"/>
      <c r="AE74" s="510"/>
      <c r="AF74" s="510"/>
      <c r="AG74" s="510"/>
      <c r="AH74" s="510"/>
      <c r="AI74" s="510"/>
      <c r="AJ74" s="510"/>
      <c r="AK74" s="510"/>
      <c r="AL74" s="510"/>
      <c r="AM74" s="510"/>
      <c r="AN74" s="510"/>
    </row>
    <row r="75" spans="1:40" ht="15.75" customHeight="1">
      <c r="A75" s="523" t="s">
        <v>277</v>
      </c>
      <c r="B75" s="510" t="s">
        <v>0</v>
      </c>
      <c r="C75" s="531" t="s">
        <v>197</v>
      </c>
      <c r="D75" s="584"/>
      <c r="E75" s="510"/>
      <c r="F75" s="532">
        <f>+INDEX('[7]Budget original'!$A$2:$AO$501,MATCH($A75,'[7]Budget original'!$A$2:$A$501,0),MATCH(F$2,'[7]Budget original'!$A$2:$AO$2,0))</f>
        <v>0</v>
      </c>
      <c r="G75" s="585"/>
      <c r="H75" s="510"/>
      <c r="I75" s="532"/>
      <c r="J75" s="531"/>
      <c r="K75" s="510"/>
      <c r="L75" s="534">
        <f>-SUMIFS([7]BV_Data_An_Cour!$O:$O,[7]BV_Data_An_Cour!$U:$U,$B75,[7]BV_Data_An_Cour!$V:$V,$C75,[7]BV_Data_An_Cour!$W:$W,L$2)-L156</f>
        <v>12500</v>
      </c>
      <c r="M75" s="531"/>
      <c r="N75" s="557">
        <f t="shared" si="21"/>
        <v>12500</v>
      </c>
      <c r="O75" s="531"/>
      <c r="P75" s="510"/>
      <c r="Q75" s="534">
        <f>+INDEX('[7]Réel 2023'!$A$2:$AO$501,MATCH($A75,'[7]Réel 2023'!$A$2:$A$501,0),MATCH(Q$2,'[7]Réel 2023'!$A$2:$AO$2,0))</f>
        <v>0</v>
      </c>
      <c r="R75" s="531"/>
      <c r="S75" s="557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510"/>
      <c r="AG75" s="510"/>
      <c r="AH75" s="510"/>
      <c r="AI75" s="510"/>
      <c r="AJ75" s="510"/>
      <c r="AK75" s="510"/>
      <c r="AL75" s="510"/>
      <c r="AM75" s="510"/>
      <c r="AN75" s="510"/>
    </row>
    <row r="76" spans="1:40" ht="15.75" customHeight="1">
      <c r="A76" s="523" t="s">
        <v>278</v>
      </c>
      <c r="B76" s="510" t="s">
        <v>0</v>
      </c>
      <c r="C76" s="531" t="s">
        <v>194</v>
      </c>
      <c r="D76" s="584"/>
      <c r="E76" s="510"/>
      <c r="F76" s="532">
        <f>+INDEX('[7]Budget original'!$A$2:$AO$501,MATCH($A76,'[7]Budget original'!$A$2:$A$501,0),MATCH(F$2,'[7]Budget original'!$A$2:$AO$2,0))</f>
        <v>0</v>
      </c>
      <c r="G76" s="585"/>
      <c r="H76" s="510"/>
      <c r="I76" s="532"/>
      <c r="J76" s="531"/>
      <c r="K76" s="510"/>
      <c r="L76" s="534">
        <f>-SUMIFS([7]BV_Data_An_Cour!$O:$O,[7]BV_Data_An_Cour!$U:$U,$B76,[7]BV_Data_An_Cour!$V:$V,$C76,[7]BV_Data_An_Cour!$W:$W,L$2)</f>
        <v>0</v>
      </c>
      <c r="M76" s="531"/>
      <c r="N76" s="557">
        <f t="shared" si="21"/>
        <v>0</v>
      </c>
      <c r="O76" s="531"/>
      <c r="P76" s="510"/>
      <c r="Q76" s="534">
        <f t="array" ref="Q76">+INDEX('[7]Réel 2023'!$A$2:$AO$501,MATCH($A76,'[7]Réel 2023'!$A$2:$A$501,0),MATCH(Q$2,'[7]Réel 2023'!$A$2:$AO$2,0))</f>
        <v>0</v>
      </c>
      <c r="R76" s="531"/>
      <c r="S76" s="557">
        <f t="shared" ref="S76:S82" si="22">L76-Q76</f>
        <v>0</v>
      </c>
      <c r="T76" s="510"/>
      <c r="U76" s="510"/>
      <c r="V76" s="510"/>
      <c r="W76" s="510"/>
      <c r="X76" s="510"/>
      <c r="Y76" s="510"/>
      <c r="Z76" s="510"/>
      <c r="AA76" s="510"/>
      <c r="AB76" s="510"/>
      <c r="AC76" s="510"/>
      <c r="AD76" s="510"/>
      <c r="AE76" s="510"/>
      <c r="AF76" s="510"/>
      <c r="AG76" s="510"/>
      <c r="AH76" s="510"/>
      <c r="AI76" s="510"/>
      <c r="AJ76" s="510"/>
      <c r="AK76" s="510"/>
      <c r="AL76" s="510"/>
      <c r="AM76" s="510"/>
      <c r="AN76" s="510"/>
    </row>
    <row r="77" spans="1:40" ht="15.75" customHeight="1">
      <c r="A77" s="523" t="s">
        <v>279</v>
      </c>
      <c r="B77" s="510" t="s">
        <v>0</v>
      </c>
      <c r="C77" s="531" t="s">
        <v>68</v>
      </c>
      <c r="D77" s="584"/>
      <c r="E77" s="510"/>
      <c r="F77" s="532">
        <f>+INDEX('[7]Budget original'!$A$2:$AO$501,MATCH($A77,'[7]Budget original'!$A$2:$A$501,0),MATCH(F$2,'[7]Budget original'!$A$2:$AO$2,0))</f>
        <v>0</v>
      </c>
      <c r="G77" s="585"/>
      <c r="H77" s="510"/>
      <c r="I77" s="532"/>
      <c r="J77" s="531"/>
      <c r="K77" s="510"/>
      <c r="L77" s="534">
        <f>-SUMIFS([7]BV_Data_An_Cour!$O:$O,[7]BV_Data_An_Cour!$U:$U,$B77,[7]BV_Data_An_Cour!$V:$V,$C77,[7]BV_Data_An_Cour!$W:$W,L$2)</f>
        <v>0</v>
      </c>
      <c r="M77" s="531"/>
      <c r="N77" s="557">
        <f t="shared" si="21"/>
        <v>0</v>
      </c>
      <c r="O77" s="531"/>
      <c r="P77" s="510"/>
      <c r="Q77" s="534">
        <f t="array" ref="Q77">+INDEX('[7]Réel 2023'!$A$2:$AO$501,MATCH($A77,'[7]Réel 2023'!$A$2:$A$501,0),MATCH(Q$2,'[7]Réel 2023'!$A$2:$AO$2,0))</f>
        <v>0</v>
      </c>
      <c r="R77" s="531"/>
      <c r="S77" s="557">
        <f t="shared" si="22"/>
        <v>0</v>
      </c>
      <c r="T77" s="510"/>
      <c r="U77" s="510"/>
      <c r="V77" s="510"/>
      <c r="W77" s="510"/>
      <c r="X77" s="510"/>
      <c r="Y77" s="510"/>
      <c r="Z77" s="510"/>
      <c r="AA77" s="510"/>
      <c r="AB77" s="510"/>
      <c r="AC77" s="510"/>
      <c r="AD77" s="510"/>
      <c r="AE77" s="510"/>
      <c r="AF77" s="510"/>
      <c r="AG77" s="510"/>
      <c r="AH77" s="510"/>
      <c r="AI77" s="510"/>
      <c r="AJ77" s="510"/>
      <c r="AK77" s="510"/>
      <c r="AL77" s="510"/>
      <c r="AM77" s="510"/>
      <c r="AN77" s="510"/>
    </row>
    <row r="78" spans="1:40" ht="15.75" customHeight="1">
      <c r="A78" s="523" t="s">
        <v>280</v>
      </c>
      <c r="B78" s="510" t="s">
        <v>0</v>
      </c>
      <c r="C78" s="531" t="s">
        <v>69</v>
      </c>
      <c r="D78" s="584"/>
      <c r="E78" s="610">
        <f>+F78/D27</f>
        <v>1304.3816651980133</v>
      </c>
      <c r="F78" s="532">
        <f>+INDEX('[7]Budget original'!$A$2:$AO$501,MATCH($A78,'[7]Budget original'!$A$2:$A$501,0),MATCH(F$2,'[7]Budget original'!$A$2:$AO$2,0))</f>
        <v>92950.237462010438</v>
      </c>
      <c r="G78" s="585"/>
      <c r="H78" s="510"/>
      <c r="I78" s="532"/>
      <c r="J78" s="611"/>
      <c r="K78" s="610">
        <f>+L78/J27</f>
        <v>1378</v>
      </c>
      <c r="L78" s="534">
        <f>-SUMIFS([7]BV_Data_An_Cour!$O:$O,[7]BV_Data_An_Cour!$U:$U,$B78,[7]BV_Data_An_Cour!$V:$V,$C78,[7]BV_Data_An_Cour!$W:$W,L$2)</f>
        <v>55120</v>
      </c>
      <c r="M78" s="531"/>
      <c r="N78" s="557">
        <f t="shared" si="21"/>
        <v>-37830.237462010438</v>
      </c>
      <c r="O78" s="531"/>
      <c r="P78" s="510"/>
      <c r="Q78" s="534">
        <f t="array" ref="Q78">+INDEX('[7]Réel 2023'!$A$2:$AO$501,MATCH($A78,'[7]Réel 2023'!$A$2:$A$501,0),MATCH(Q$2,'[7]Réel 2023'!$A$2:$AO$2,0))</f>
        <v>100428</v>
      </c>
      <c r="R78" s="531"/>
      <c r="S78" s="557">
        <f t="shared" si="22"/>
        <v>-45308</v>
      </c>
      <c r="T78" s="510"/>
      <c r="U78" s="510"/>
      <c r="V78" s="510"/>
      <c r="W78" s="510"/>
      <c r="X78" s="510"/>
      <c r="Y78" s="510"/>
      <c r="Z78" s="510"/>
      <c r="AA78" s="510"/>
      <c r="AB78" s="510"/>
      <c r="AC78" s="510"/>
      <c r="AD78" s="510"/>
      <c r="AE78" s="510"/>
      <c r="AF78" s="510"/>
      <c r="AG78" s="510"/>
      <c r="AH78" s="510"/>
      <c r="AI78" s="510"/>
      <c r="AJ78" s="510"/>
      <c r="AK78" s="510"/>
      <c r="AL78" s="510"/>
      <c r="AM78" s="510"/>
      <c r="AN78" s="510"/>
    </row>
    <row r="79" spans="1:40" ht="15.75" hidden="1" customHeight="1">
      <c r="A79" s="523" t="s">
        <v>233</v>
      </c>
      <c r="B79" s="510" t="s">
        <v>0</v>
      </c>
      <c r="C79" s="531" t="s">
        <v>20</v>
      </c>
      <c r="D79" s="584"/>
      <c r="E79" s="510"/>
      <c r="F79" s="532">
        <f>+INDEX('[7]Budget original'!$A$2:$AO$501,MATCH($A79,'[7]Budget original'!$A$2:$A$501,0),MATCH(F$2,'[7]Budget original'!$A$2:$AO$2,0))</f>
        <v>0</v>
      </c>
      <c r="G79" s="585"/>
      <c r="H79" s="510"/>
      <c r="I79" s="532"/>
      <c r="J79" s="531"/>
      <c r="K79" s="510"/>
      <c r="L79" s="534">
        <f>-SUMIFS([7]BV_Data_An_Cour!$O:$O,[7]BV_Data_An_Cour!$U:$U,$B79,[7]BV_Data_An_Cour!$V:$V,$C79,[7]BV_Data_An_Cour!$W:$W,L$2)</f>
        <v>0</v>
      </c>
      <c r="M79" s="531"/>
      <c r="N79" s="557">
        <f t="shared" si="21"/>
        <v>0</v>
      </c>
      <c r="O79" s="531"/>
      <c r="P79" s="510"/>
      <c r="Q79" s="534">
        <f t="array" ref="Q79">+INDEX('[7]Réel 2023'!$A$2:$AO$501,MATCH($A79,'[7]Réel 2023'!$A$2:$A$501,0),MATCH(Q$2,'[7]Réel 2023'!$A$2:$AO$2,0))</f>
        <v>0</v>
      </c>
      <c r="R79" s="531"/>
      <c r="S79" s="557">
        <f t="shared" si="22"/>
        <v>0</v>
      </c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510"/>
      <c r="AG79" s="510"/>
      <c r="AH79" s="510"/>
      <c r="AI79" s="510"/>
      <c r="AJ79" s="510"/>
      <c r="AK79" s="510"/>
      <c r="AL79" s="510"/>
      <c r="AM79" s="510"/>
      <c r="AN79" s="510"/>
    </row>
    <row r="80" spans="1:40" ht="15.75" hidden="1" customHeight="1">
      <c r="A80" s="523" t="s">
        <v>233</v>
      </c>
      <c r="B80" s="510" t="s">
        <v>0</v>
      </c>
      <c r="C80" s="531" t="s">
        <v>20</v>
      </c>
      <c r="D80" s="584"/>
      <c r="E80" s="510"/>
      <c r="F80" s="532">
        <f>+INDEX('[7]Budget original'!$A$2:$AO$501,MATCH($A80,'[7]Budget original'!$A$2:$A$501,0),MATCH(F$2,'[7]Budget original'!$A$2:$AO$2,0))</f>
        <v>0</v>
      </c>
      <c r="G80" s="585"/>
      <c r="H80" s="510"/>
      <c r="I80" s="532"/>
      <c r="J80" s="531"/>
      <c r="K80" s="510"/>
      <c r="L80" s="534">
        <f>-SUMIFS([7]BV_Data_An_Cour!$O:$O,[7]BV_Data_An_Cour!$U:$U,$B80,[7]BV_Data_An_Cour!$V:$V,$C80,[7]BV_Data_An_Cour!$W:$W,L$2)</f>
        <v>0</v>
      </c>
      <c r="M80" s="531"/>
      <c r="N80" s="557">
        <f t="shared" si="21"/>
        <v>0</v>
      </c>
      <c r="O80" s="531"/>
      <c r="P80" s="510"/>
      <c r="Q80" s="534">
        <f t="array" ref="Q80">+INDEX('[7]Réel 2023'!$A$2:$AO$501,MATCH($A80,'[7]Réel 2023'!$A$2:$A$501,0),MATCH(Q$2,'[7]Réel 2023'!$A$2:$AO$2,0))</f>
        <v>0</v>
      </c>
      <c r="R80" s="531"/>
      <c r="S80" s="557">
        <f t="shared" si="22"/>
        <v>0</v>
      </c>
      <c r="T80" s="510"/>
      <c r="U80" s="510"/>
      <c r="V80" s="510"/>
      <c r="W80" s="510"/>
      <c r="X80" s="510"/>
      <c r="Y80" s="510"/>
      <c r="Z80" s="510"/>
      <c r="AA80" s="510"/>
      <c r="AB80" s="510"/>
      <c r="AC80" s="510"/>
      <c r="AD80" s="510"/>
      <c r="AE80" s="510"/>
      <c r="AF80" s="510"/>
      <c r="AG80" s="510"/>
      <c r="AH80" s="510"/>
      <c r="AI80" s="510"/>
      <c r="AJ80" s="510"/>
      <c r="AK80" s="510"/>
      <c r="AL80" s="510"/>
      <c r="AM80" s="510"/>
      <c r="AN80" s="510"/>
    </row>
    <row r="81" spans="1:40" ht="15.75" hidden="1" customHeight="1">
      <c r="A81" s="523" t="s">
        <v>233</v>
      </c>
      <c r="B81" s="510" t="s">
        <v>0</v>
      </c>
      <c r="C81" s="531" t="s">
        <v>20</v>
      </c>
      <c r="D81" s="584"/>
      <c r="E81" s="510"/>
      <c r="F81" s="532">
        <f>+INDEX('[7]Budget original'!$A$2:$AO$501,MATCH($A81,'[7]Budget original'!$A$2:$A$501,0),MATCH(F$2,'[7]Budget original'!$A$2:$AO$2,0))</f>
        <v>0</v>
      </c>
      <c r="G81" s="585"/>
      <c r="H81" s="510"/>
      <c r="I81" s="532"/>
      <c r="J81" s="531"/>
      <c r="K81" s="510"/>
      <c r="L81" s="534">
        <f>-SUMIFS([7]BV_Data_An_Cour!$O:$O,[7]BV_Data_An_Cour!$U:$U,$B81,[7]BV_Data_An_Cour!$V:$V,$C81,[7]BV_Data_An_Cour!$W:$W,L$2)</f>
        <v>0</v>
      </c>
      <c r="M81" s="531"/>
      <c r="N81" s="557">
        <f t="shared" si="21"/>
        <v>0</v>
      </c>
      <c r="O81" s="531"/>
      <c r="P81" s="510"/>
      <c r="Q81" s="534">
        <f t="array" ref="Q81">+INDEX('[7]Réel 2023'!$A$2:$AO$501,MATCH($A81,'[7]Réel 2023'!$A$2:$A$501,0),MATCH(Q$2,'[7]Réel 2023'!$A$2:$AO$2,0))</f>
        <v>0</v>
      </c>
      <c r="R81" s="531"/>
      <c r="S81" s="557">
        <f t="shared" si="22"/>
        <v>0</v>
      </c>
      <c r="T81" s="510"/>
      <c r="U81" s="510"/>
      <c r="V81" s="510"/>
      <c r="W81" s="510"/>
      <c r="X81" s="510"/>
      <c r="Y81" s="510"/>
      <c r="Z81" s="510"/>
      <c r="AA81" s="510"/>
      <c r="AB81" s="510"/>
      <c r="AC81" s="510"/>
      <c r="AD81" s="510"/>
      <c r="AE81" s="510"/>
      <c r="AF81" s="510"/>
      <c r="AG81" s="510"/>
      <c r="AH81" s="510"/>
      <c r="AI81" s="510"/>
      <c r="AJ81" s="510"/>
      <c r="AK81" s="510"/>
      <c r="AL81" s="510"/>
      <c r="AM81" s="510"/>
      <c r="AN81" s="510"/>
    </row>
    <row r="82" spans="1:40" ht="15.75" customHeight="1">
      <c r="A82" s="612" t="s">
        <v>281</v>
      </c>
      <c r="B82" s="613" t="s">
        <v>0</v>
      </c>
      <c r="C82" s="531" t="s">
        <v>70</v>
      </c>
      <c r="D82" s="614">
        <f>E82/499</f>
        <v>0.95</v>
      </c>
      <c r="E82" s="615">
        <f>+F82/D24</f>
        <v>474.04999999999995</v>
      </c>
      <c r="F82" s="532">
        <f>+INDEX('[7]Budget original'!$A$2:$AO$501,MATCH($A82,'[7]Budget original'!$A$2:$A$501,0),MATCH(F$2,'[7]Budget original'!$A$2:$AO$2,0))</f>
        <v>31647.577999999998</v>
      </c>
      <c r="G82" s="585"/>
      <c r="H82" s="510"/>
      <c r="I82" s="532"/>
      <c r="J82" s="616">
        <f>K82/474</f>
        <v>0.95689360246322264</v>
      </c>
      <c r="K82" s="615">
        <f>+L82/J24</f>
        <v>453.56756756756755</v>
      </c>
      <c r="L82" s="534">
        <f>-SUMIFS([7]BV_Data_An_Cour!$O:$O,[7]BV_Data_An_Cour!$U:$U,$B82,[7]BV_Data_An_Cour!$V:$V,$C82,[7]BV_Data_An_Cour!$W:$W,L$2)</f>
        <v>16782</v>
      </c>
      <c r="M82" s="531"/>
      <c r="N82" s="557">
        <f t="shared" si="21"/>
        <v>-14865.577999999998</v>
      </c>
      <c r="O82" s="531"/>
      <c r="P82" s="510"/>
      <c r="Q82" s="534">
        <f t="array" ref="Q82">+INDEX('[7]Réel 2023'!$A$2:$AO$501,MATCH($A82,'[7]Réel 2023'!$A$2:$A$501,0),MATCH(Q$2,'[7]Réel 2023'!$A$2:$AO$2,0))</f>
        <v>41872.9</v>
      </c>
      <c r="R82" s="531"/>
      <c r="S82" s="557">
        <f t="shared" si="22"/>
        <v>-25090.9</v>
      </c>
      <c r="T82" s="510"/>
      <c r="U82" s="510"/>
      <c r="V82" s="510"/>
      <c r="W82" s="510"/>
      <c r="X82" s="510"/>
      <c r="Y82" s="510"/>
      <c r="Z82" s="510"/>
      <c r="AA82" s="510"/>
      <c r="AB82" s="510"/>
      <c r="AC82" s="510"/>
      <c r="AD82" s="510"/>
      <c r="AE82" s="510"/>
      <c r="AF82" s="510"/>
      <c r="AG82" s="510"/>
      <c r="AH82" s="510"/>
      <c r="AI82" s="510"/>
      <c r="AJ82" s="510"/>
      <c r="AK82" s="510"/>
      <c r="AL82" s="510"/>
      <c r="AM82" s="510"/>
      <c r="AN82" s="510"/>
    </row>
    <row r="83" spans="1:40" ht="15.75" customHeight="1">
      <c r="A83" s="523" t="s">
        <v>282</v>
      </c>
      <c r="B83" s="510" t="s">
        <v>0</v>
      </c>
      <c r="C83" s="592" t="s">
        <v>71</v>
      </c>
      <c r="D83" s="593"/>
      <c r="E83" s="594"/>
      <c r="F83" s="595">
        <f>+SUM(F75:F82)</f>
        <v>124597.81546201043</v>
      </c>
      <c r="G83" s="596"/>
      <c r="H83" s="594"/>
      <c r="I83" s="595"/>
      <c r="J83" s="596"/>
      <c r="K83" s="594"/>
      <c r="L83" s="595">
        <f>+SUM(L75:L82)</f>
        <v>84402</v>
      </c>
      <c r="M83" s="599"/>
      <c r="N83" s="595">
        <f>+SUM(N75:N82)</f>
        <v>-40195.815462010432</v>
      </c>
      <c r="O83" s="596"/>
      <c r="P83" s="594"/>
      <c r="Q83" s="595">
        <f>+SUM(Q75:Q82)</f>
        <v>142300.9</v>
      </c>
      <c r="R83" s="599"/>
      <c r="S83" s="595">
        <f>+SUM(S75:S82)</f>
        <v>-70398.899999999994</v>
      </c>
      <c r="T83" s="510"/>
      <c r="U83" s="510"/>
      <c r="V83" s="510"/>
      <c r="W83" s="510"/>
      <c r="X83" s="510"/>
      <c r="Y83" s="510"/>
      <c r="Z83" s="510"/>
      <c r="AA83" s="510"/>
      <c r="AB83" s="510"/>
      <c r="AC83" s="510"/>
      <c r="AD83" s="510"/>
      <c r="AE83" s="510"/>
      <c r="AF83" s="510"/>
      <c r="AG83" s="510"/>
      <c r="AH83" s="510"/>
      <c r="AI83" s="510"/>
      <c r="AJ83" s="510"/>
      <c r="AK83" s="510"/>
      <c r="AL83" s="510"/>
      <c r="AM83" s="510"/>
      <c r="AN83" s="510"/>
    </row>
    <row r="84" spans="1:40" ht="15.75" customHeight="1">
      <c r="A84" s="523" t="s">
        <v>0</v>
      </c>
      <c r="B84" s="510" t="s">
        <v>0</v>
      </c>
      <c r="C84" s="617"/>
      <c r="D84" s="618"/>
      <c r="E84" s="619"/>
      <c r="F84" s="620"/>
      <c r="G84" s="621"/>
      <c r="H84" s="619"/>
      <c r="I84" s="620"/>
      <c r="J84" s="622"/>
      <c r="K84" s="623"/>
      <c r="L84" s="620"/>
      <c r="M84" s="622"/>
      <c r="N84" s="624"/>
      <c r="O84" s="622"/>
      <c r="P84" s="623"/>
      <c r="Q84" s="620"/>
      <c r="R84" s="622"/>
      <c r="S84" s="624"/>
      <c r="T84" s="510"/>
      <c r="U84" s="510"/>
      <c r="V84" s="510"/>
      <c r="W84" s="510"/>
      <c r="X84" s="510"/>
      <c r="Y84" s="510"/>
      <c r="Z84" s="510"/>
      <c r="AA84" s="510"/>
      <c r="AB84" s="510"/>
      <c r="AC84" s="510"/>
      <c r="AD84" s="510"/>
      <c r="AE84" s="510"/>
      <c r="AF84" s="510"/>
      <c r="AG84" s="510"/>
      <c r="AH84" s="510"/>
      <c r="AI84" s="510"/>
      <c r="AJ84" s="510"/>
      <c r="AK84" s="510"/>
      <c r="AL84" s="510"/>
      <c r="AM84" s="510"/>
      <c r="AN84" s="510"/>
    </row>
    <row r="85" spans="1:40" ht="22.5" customHeight="1" thickBot="1">
      <c r="A85" s="523" t="s">
        <v>283</v>
      </c>
      <c r="B85" s="510" t="s">
        <v>0</v>
      </c>
      <c r="C85" s="625" t="s">
        <v>72</v>
      </c>
      <c r="D85" s="626"/>
      <c r="E85" s="627"/>
      <c r="F85" s="628">
        <f>F27-F74+F83</f>
        <v>178340.67690668994</v>
      </c>
      <c r="G85" s="629"/>
      <c r="H85" s="627"/>
      <c r="I85" s="628"/>
      <c r="J85" s="629"/>
      <c r="K85" s="626"/>
      <c r="L85" s="628">
        <f>L27-L74+L83</f>
        <v>70318.899999999936</v>
      </c>
      <c r="M85" s="629"/>
      <c r="N85" s="628">
        <f>N27-N41-N54-N72+N83</f>
        <v>-108021.77690669002</v>
      </c>
      <c r="O85" s="629"/>
      <c r="P85" s="630">
        <f>Q85/Q5</f>
        <v>2.3778492641935125E-2</v>
      </c>
      <c r="Q85" s="628">
        <f>Q27-Q74+Q83</f>
        <v>241385.33000000005</v>
      </c>
      <c r="R85" s="629"/>
      <c r="S85" s="628">
        <f>S27-S41-S54-S72+S83</f>
        <v>-183566.43000000014</v>
      </c>
      <c r="T85" s="510"/>
      <c r="U85" s="510"/>
      <c r="V85" s="510"/>
      <c r="W85" s="510"/>
      <c r="X85" s="510"/>
      <c r="Y85" s="510"/>
      <c r="Z85" s="510"/>
      <c r="AA85" s="510"/>
      <c r="AB85" s="510"/>
      <c r="AC85" s="510"/>
      <c r="AD85" s="510"/>
      <c r="AE85" s="510"/>
      <c r="AF85" s="510"/>
      <c r="AG85" s="510"/>
      <c r="AH85" s="510"/>
      <c r="AI85" s="510"/>
      <c r="AJ85" s="510"/>
      <c r="AK85" s="510"/>
      <c r="AL85" s="510"/>
      <c r="AM85" s="510"/>
      <c r="AN85" s="510"/>
    </row>
    <row r="86" spans="1:40" ht="15.75" customHeight="1" thickTop="1">
      <c r="B86" s="631"/>
      <c r="C86" s="631"/>
      <c r="D86" s="631"/>
      <c r="E86" s="631"/>
      <c r="F86" s="631"/>
      <c r="G86" s="631"/>
      <c r="H86" s="631"/>
      <c r="I86" s="631"/>
      <c r="J86" s="632"/>
      <c r="K86" s="631"/>
      <c r="L86" s="633"/>
      <c r="M86" s="631"/>
      <c r="N86" s="631"/>
      <c r="O86" s="631"/>
      <c r="P86" s="631"/>
      <c r="Q86" s="631"/>
      <c r="R86" s="631"/>
      <c r="S86" s="631"/>
      <c r="T86" s="631"/>
      <c r="U86" s="631"/>
      <c r="V86" s="631"/>
      <c r="W86" s="631"/>
      <c r="X86" s="631"/>
      <c r="Y86" s="631"/>
      <c r="Z86" s="631"/>
      <c r="AA86" s="631"/>
      <c r="AB86" s="631"/>
      <c r="AC86" s="631"/>
      <c r="AD86" s="631"/>
      <c r="AE86" s="631"/>
      <c r="AF86" s="631"/>
      <c r="AG86" s="631"/>
      <c r="AH86" s="631"/>
      <c r="AI86" s="631"/>
      <c r="AJ86" s="631"/>
      <c r="AK86" s="631"/>
      <c r="AL86" s="631"/>
      <c r="AM86" s="631"/>
      <c r="AN86" s="631"/>
    </row>
    <row r="87" spans="1:40" ht="12.75" customHeight="1">
      <c r="B87" s="631"/>
      <c r="C87" s="631"/>
      <c r="D87" s="631"/>
      <c r="E87" s="631"/>
      <c r="F87" s="631"/>
      <c r="G87" s="631"/>
      <c r="H87" s="631"/>
      <c r="I87" s="634"/>
      <c r="J87" s="631"/>
      <c r="K87" s="631"/>
      <c r="L87" s="631"/>
      <c r="M87" s="631"/>
      <c r="N87" s="631"/>
      <c r="O87" s="631"/>
      <c r="P87" s="631"/>
      <c r="Q87" s="631"/>
      <c r="R87" s="631"/>
      <c r="S87" s="631"/>
      <c r="T87" s="631"/>
      <c r="U87" s="631"/>
      <c r="V87" s="631"/>
      <c r="W87" s="631"/>
      <c r="X87" s="631"/>
      <c r="Y87" s="631"/>
      <c r="Z87" s="631"/>
      <c r="AA87" s="631"/>
      <c r="AB87" s="631"/>
      <c r="AC87" s="631"/>
      <c r="AD87" s="631"/>
      <c r="AE87" s="631"/>
      <c r="AF87" s="631"/>
      <c r="AG87" s="631"/>
      <c r="AH87" s="631"/>
      <c r="AI87" s="631"/>
      <c r="AJ87" s="631"/>
      <c r="AK87" s="631"/>
      <c r="AL87" s="631"/>
      <c r="AM87" s="631"/>
      <c r="AN87" s="631"/>
    </row>
    <row r="88" spans="1:40" ht="15.75" hidden="1" customHeight="1">
      <c r="B88" s="504"/>
      <c r="C88" s="507"/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</row>
    <row r="89" spans="1:40" ht="33" customHeight="1">
      <c r="B89" s="496"/>
      <c r="C89" s="635" t="str">
        <f>C1</f>
        <v>Volks</v>
      </c>
      <c r="D89" s="498"/>
      <c r="E89" s="498"/>
      <c r="F89" s="498"/>
      <c r="G89" s="498"/>
      <c r="H89" s="496"/>
      <c r="I89" s="496"/>
      <c r="J89" s="496"/>
      <c r="K89" s="500" t="s">
        <v>73</v>
      </c>
      <c r="L89" s="498"/>
      <c r="M89" s="498"/>
      <c r="N89" s="496"/>
      <c r="O89" s="496"/>
      <c r="P89" s="498"/>
      <c r="Q89" s="496"/>
      <c r="R89" s="498"/>
      <c r="S89" s="636" t="str">
        <f>$S$1</f>
        <v>Réalisé, Novembre 2024</v>
      </c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  <c r="AI89" s="496"/>
      <c r="AJ89" s="496"/>
      <c r="AK89" s="496"/>
      <c r="AL89" s="496"/>
      <c r="AM89" s="496"/>
      <c r="AN89" s="496"/>
    </row>
    <row r="90" spans="1:40" ht="15.75" customHeight="1" thickBot="1">
      <c r="B90" s="504"/>
      <c r="C90" s="505"/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</row>
    <row r="91" spans="1:40" ht="15.75" customHeight="1" thickTop="1">
      <c r="B91" s="510"/>
      <c r="C91" s="511"/>
      <c r="D91" s="512" t="s">
        <v>5</v>
      </c>
      <c r="E91" s="513"/>
      <c r="F91" s="514"/>
      <c r="G91" s="515"/>
      <c r="H91" s="513"/>
      <c r="I91" s="514"/>
      <c r="J91" s="515" t="s">
        <v>7</v>
      </c>
      <c r="K91" s="513"/>
      <c r="L91" s="514"/>
      <c r="M91" s="515" t="s">
        <v>220</v>
      </c>
      <c r="N91" s="514"/>
      <c r="O91" s="512" t="s">
        <v>8</v>
      </c>
      <c r="P91" s="513"/>
      <c r="Q91" s="514"/>
      <c r="R91" s="515" t="s">
        <v>221</v>
      </c>
      <c r="S91" s="514"/>
      <c r="T91" s="510"/>
      <c r="U91" s="510"/>
      <c r="V91" s="510"/>
      <c r="W91" s="510"/>
      <c r="X91" s="510"/>
      <c r="Y91" s="510"/>
      <c r="Z91" s="510"/>
      <c r="AA91" s="510"/>
      <c r="AB91" s="510"/>
      <c r="AC91" s="510"/>
      <c r="AD91" s="510"/>
      <c r="AE91" s="510"/>
      <c r="AF91" s="510"/>
      <c r="AG91" s="510"/>
      <c r="AH91" s="510"/>
      <c r="AI91" s="510"/>
      <c r="AJ91" s="510"/>
      <c r="AK91" s="510"/>
      <c r="AL91" s="510"/>
      <c r="AM91" s="510"/>
      <c r="AN91" s="510"/>
    </row>
    <row r="92" spans="1:40" ht="15.75" customHeight="1">
      <c r="B92" s="510"/>
      <c r="C92" s="531"/>
      <c r="D92" s="519" t="s">
        <v>10</v>
      </c>
      <c r="E92" s="520" t="s">
        <v>11</v>
      </c>
      <c r="F92" s="521" t="s">
        <v>12</v>
      </c>
      <c r="G92" s="522"/>
      <c r="H92" s="520"/>
      <c r="I92" s="521"/>
      <c r="J92" s="522" t="s">
        <v>472</v>
      </c>
      <c r="K92" s="520" t="s">
        <v>13</v>
      </c>
      <c r="L92" s="521" t="s">
        <v>12</v>
      </c>
      <c r="M92" s="522" t="s">
        <v>472</v>
      </c>
      <c r="N92" s="521" t="s">
        <v>12</v>
      </c>
      <c r="O92" s="520" t="s">
        <v>10</v>
      </c>
      <c r="P92" s="520" t="s">
        <v>11</v>
      </c>
      <c r="Q92" s="521" t="s">
        <v>12</v>
      </c>
      <c r="R92" s="522" t="s">
        <v>472</v>
      </c>
      <c r="S92" s="521" t="s">
        <v>12</v>
      </c>
      <c r="T92" s="510"/>
      <c r="U92" s="510"/>
      <c r="V92" s="510"/>
      <c r="W92" s="510"/>
      <c r="X92" s="510"/>
      <c r="Y92" s="510"/>
      <c r="Z92" s="510"/>
      <c r="AA92" s="510"/>
      <c r="AB92" s="510"/>
      <c r="AC92" s="510"/>
      <c r="AD92" s="510"/>
      <c r="AE92" s="510"/>
      <c r="AF92" s="510"/>
      <c r="AG92" s="510"/>
      <c r="AH92" s="510"/>
      <c r="AI92" s="510"/>
      <c r="AJ92" s="510"/>
      <c r="AK92" s="510"/>
      <c r="AL92" s="510"/>
      <c r="AM92" s="510"/>
      <c r="AN92" s="510"/>
    </row>
    <row r="93" spans="1:40" ht="24" customHeight="1">
      <c r="A93" s="523" t="s">
        <v>284</v>
      </c>
      <c r="B93" s="510" t="s">
        <v>73</v>
      </c>
      <c r="C93" s="524" t="s">
        <v>15</v>
      </c>
      <c r="D93" s="528"/>
      <c r="E93" s="528"/>
      <c r="F93" s="526">
        <f>+INDEX('[7]Budget original'!$A$2:$AO$501,MATCH($A93,'[7]Budget original'!$A$2:$A$501,0),MATCH(F$2,'[7]Budget original'!$A$2:$AO$2,0))</f>
        <v>1824270.111212898</v>
      </c>
      <c r="G93" s="545"/>
      <c r="H93" s="528"/>
      <c r="I93" s="526"/>
      <c r="J93" s="524"/>
      <c r="K93" s="528"/>
      <c r="L93" s="526">
        <f>-SUMIFS([7]BV_Data_An_Cour!$O:$O,[7]BV_Data_An_Cour!$X:$X,"Oui",[7]BV_Data_An_Cour!$U:$U,$B93)</f>
        <v>1025214.0499999999</v>
      </c>
      <c r="M93" s="637"/>
      <c r="N93" s="638"/>
      <c r="O93" s="524"/>
      <c r="P93" s="528"/>
      <c r="Q93" s="526">
        <f t="array" ref="Q93">+INDEX('[7]Réel 2023'!$A$2:$AO$501,MATCH($A93,'[7]Réel 2023'!$A$2:$A$501,0),MATCH(Q$2,'[7]Réel 2023'!$A$2:$AO$2,0))</f>
        <v>1111062.75</v>
      </c>
      <c r="R93" s="637"/>
      <c r="S93" s="638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510"/>
      <c r="AM93" s="510"/>
      <c r="AN93" s="510"/>
    </row>
    <row r="94" spans="1:40" ht="21.75" customHeight="1">
      <c r="A94" s="523" t="s">
        <v>285</v>
      </c>
      <c r="B94" s="510" t="s">
        <v>73</v>
      </c>
      <c r="C94" s="531" t="s">
        <v>75</v>
      </c>
      <c r="D94" s="532">
        <f>+INDEX('[7]Budget original'!$A$2:$AO$501,MATCH($A94,'[7]Budget original'!$A$2:$A$501,0),MATCH(D$2,'[7]Budget original'!$A$2:$AO$2,0))</f>
        <v>33.657000000000004</v>
      </c>
      <c r="E94" s="532">
        <f>IF(D94=0,0,F94/D94)</f>
        <v>1799.9999999999998</v>
      </c>
      <c r="F94" s="532">
        <f>+INDEX('[7]Budget original'!$A$2:$AO$501,MATCH($A94,'[7]Budget original'!$A$2:$A$501,0),MATCH(F$2,'[7]Budget original'!$A$2:$AO$2,0))</f>
        <v>60582.6</v>
      </c>
      <c r="G94" s="533"/>
      <c r="H94" s="532"/>
      <c r="I94" s="532"/>
      <c r="J94" s="533">
        <f>-SUMIFS([7]BV_Data_An_Cour!$O:$O,[7]BV_Data_An_Cour!$U:$U,$B94,[7]BV_Data_An_Cour!$V:$V,$C94,[7]BV_Data_An_Cour!$W:$W,J$2)</f>
        <v>30</v>
      </c>
      <c r="K94" s="532">
        <f t="shared" ref="K94:K96" si="23">IF(J94=0,0,L94/J94)</f>
        <v>1597.6809999999998</v>
      </c>
      <c r="L94" s="534">
        <f>-SUMIFS([7]BV_Data_An_Cour!$O:$O,[7]BV_Data_An_Cour!$U:$U,$B94,[7]BV_Data_An_Cour!$V:$V,$C94,[7]BV_Data_An_Cour!$W:$W,$L2)</f>
        <v>47930.429999999993</v>
      </c>
      <c r="M94" s="533">
        <f>J94-D94</f>
        <v>-3.6570000000000036</v>
      </c>
      <c r="N94" s="534">
        <f>L94-F94</f>
        <v>-12652.170000000006</v>
      </c>
      <c r="O94" s="533">
        <f t="array" ref="O94">+INDEX('[7]Réel 2023'!$A$2:$AO$501,MATCH($A94,'[7]Réel 2023'!$A$2:$A$501,0),MATCH(O$2,'[7]Réel 2023'!$A$2:$AO$2,0))</f>
        <v>16</v>
      </c>
      <c r="P94" s="532">
        <f t="shared" ref="P94:P96" si="24">IF(O94=0,0,Q94/O94)</f>
        <v>1359.5374999999999</v>
      </c>
      <c r="Q94" s="534">
        <f t="array" ref="Q94">+INDEX('[7]Réel 2023'!$A$2:$AO$501,MATCH($A94,'[7]Réel 2023'!$A$2:$A$501,0),MATCH(Q$2,'[7]Réel 2023'!$A$2:$AO$2,0))</f>
        <v>21752.6</v>
      </c>
      <c r="R94" s="533">
        <f t="shared" ref="R94:R95" si="25">J94-O94</f>
        <v>14</v>
      </c>
      <c r="S94" s="534">
        <f t="shared" ref="S94:S95" si="26">L94-Q94</f>
        <v>26177.829999999994</v>
      </c>
      <c r="T94" s="510"/>
      <c r="U94" s="510"/>
      <c r="V94" s="510"/>
      <c r="W94" s="510"/>
      <c r="X94" s="510"/>
      <c r="Y94" s="510"/>
      <c r="Z94" s="510"/>
      <c r="AA94" s="510"/>
      <c r="AB94" s="510"/>
      <c r="AC94" s="510"/>
      <c r="AD94" s="510"/>
      <c r="AE94" s="510"/>
      <c r="AF94" s="510"/>
      <c r="AG94" s="510"/>
      <c r="AH94" s="510"/>
      <c r="AI94" s="510"/>
      <c r="AJ94" s="510"/>
      <c r="AK94" s="510"/>
      <c r="AL94" s="510"/>
      <c r="AM94" s="510"/>
      <c r="AN94" s="510"/>
    </row>
    <row r="95" spans="1:40" ht="18.75" customHeight="1">
      <c r="A95" s="523" t="s">
        <v>286</v>
      </c>
      <c r="B95" s="510" t="s">
        <v>73</v>
      </c>
      <c r="C95" s="531" t="s">
        <v>76</v>
      </c>
      <c r="D95" s="532">
        <f>+INDEX('[7]Budget original'!$A$2:$AO$501,MATCH($A95,'[7]Budget original'!$A$2:$A$501,0),MATCH(D$2,'[7]Budget original'!$A$2:$AO$2,0))</f>
        <v>1.8986000000000001</v>
      </c>
      <c r="E95" s="532">
        <f t="shared" ref="E95:E105" si="27">IF(D95=0,0,F95/D95)</f>
        <v>1800</v>
      </c>
      <c r="F95" s="532">
        <f>+INDEX('[7]Budget original'!$A$2:$AO$501,MATCH($A95,'[7]Budget original'!$A$2:$A$501,0),MATCH(F$2,'[7]Budget original'!$A$2:$AO$2,0))</f>
        <v>3417.48</v>
      </c>
      <c r="G95" s="533"/>
      <c r="H95" s="532"/>
      <c r="I95" s="532"/>
      <c r="J95" s="533">
        <f>-SUMIFS([7]BV_Data_An_Cour!$O:$O,[7]BV_Data_An_Cour!$U:$U,$B95,[7]BV_Data_An_Cour!$V:$V,$C95,[7]BV_Data_An_Cour!$W:$W,J$2)</f>
        <v>2</v>
      </c>
      <c r="K95" s="532">
        <f t="shared" si="23"/>
        <v>-1112.9599999999996</v>
      </c>
      <c r="L95" s="534">
        <f>-SUMIFS([7]BV_Data_An_Cour!$O:$O,[7]BV_Data_An_Cour!$U:$U,$B95,[7]BV_Data_An_Cour!$V:$V,$C95,[7]BV_Data_An_Cour!$W:$W,$L2)</f>
        <v>-2225.9199999999992</v>
      </c>
      <c r="M95" s="533">
        <f>J95-D95</f>
        <v>0.10139999999999993</v>
      </c>
      <c r="N95" s="534">
        <f>L95-F95</f>
        <v>-5643.4</v>
      </c>
      <c r="O95" s="533">
        <f t="array" ref="O95">+INDEX('[7]Réel 2023'!$A$2:$AO$501,MATCH($A95,'[7]Réel 2023'!$A$2:$A$501,0),MATCH(O$2,'[7]Réel 2023'!$A$2:$AO$2,0))</f>
        <v>4</v>
      </c>
      <c r="P95" s="532">
        <f t="shared" si="24"/>
        <v>817.01750000000004</v>
      </c>
      <c r="Q95" s="534">
        <f t="array" ref="Q95">+INDEX('[7]Réel 2023'!$A$2:$AO$501,MATCH($A95,'[7]Réel 2023'!$A$2:$A$501,0),MATCH(Q$2,'[7]Réel 2023'!$A$2:$AO$2,0))</f>
        <v>3268.07</v>
      </c>
      <c r="R95" s="533">
        <f t="shared" si="25"/>
        <v>-2</v>
      </c>
      <c r="S95" s="534">
        <f t="shared" si="26"/>
        <v>-5493.99</v>
      </c>
      <c r="T95" s="510"/>
      <c r="U95" s="510"/>
      <c r="V95" s="639"/>
      <c r="W95" s="510"/>
      <c r="X95" s="510"/>
      <c r="Y95" s="510"/>
      <c r="Z95" s="510"/>
      <c r="AA95" s="510"/>
      <c r="AB95" s="510"/>
      <c r="AC95" s="510"/>
      <c r="AD95" s="510"/>
      <c r="AE95" s="510"/>
      <c r="AF95" s="510"/>
      <c r="AG95" s="510"/>
      <c r="AH95" s="510"/>
      <c r="AI95" s="510"/>
      <c r="AJ95" s="510"/>
      <c r="AK95" s="510"/>
      <c r="AL95" s="510"/>
      <c r="AM95" s="510"/>
      <c r="AN95" s="510"/>
    </row>
    <row r="96" spans="1:40" ht="18.75" customHeight="1">
      <c r="A96" s="523" t="str">
        <f>B96&amp;C96</f>
        <v>Véhicules usagésAutres Marques</v>
      </c>
      <c r="B96" s="510" t="s">
        <v>73</v>
      </c>
      <c r="C96" s="531" t="s">
        <v>224</v>
      </c>
      <c r="D96" s="532">
        <f>+INDEX('[7]Budget original'!$A$2:$AO$501,MATCH($A96,'[7]Budget original'!$A$2:$A$501,0),MATCH(D$2,'[7]Budget original'!$A$2:$AO$2,0))</f>
        <v>1.1219000000000001</v>
      </c>
      <c r="E96" s="528">
        <f t="shared" si="27"/>
        <v>1799.9999999999998</v>
      </c>
      <c r="F96" s="532">
        <f>+INDEX('[7]Budget original'!$A$2:$AO$501,MATCH($A96,'[7]Budget original'!$A$2:$A$501,0),MATCH(F$2,'[7]Budget original'!$A$2:$AO$2,0))</f>
        <v>2019.42</v>
      </c>
      <c r="G96" s="533"/>
      <c r="H96" s="532"/>
      <c r="I96" s="532"/>
      <c r="J96" s="533">
        <f>-SUMIFS([7]BV_Data_An_Cour!$O:$O,[7]BV_Data_An_Cour!$U:$U,$B96,[7]BV_Data_An_Cour!$V:$V,$C96,[7]BV_Data_An_Cour!$W:$W,J$2)</f>
        <v>3</v>
      </c>
      <c r="K96" s="532">
        <f t="shared" si="23"/>
        <v>2132.8666666666663</v>
      </c>
      <c r="L96" s="534">
        <f>-SUMIFS([7]BV_Data_An_Cour!$O:$O,[7]BV_Data_An_Cour!$U:$U,$B96,[7]BV_Data_An_Cour!$V:$V,$C96,[7]BV_Data_An_Cour!$W:$W,$L2)</f>
        <v>6398.5999999999985</v>
      </c>
      <c r="M96" s="533">
        <f>J96-D96</f>
        <v>1.8780999999999999</v>
      </c>
      <c r="N96" s="534">
        <f>L96-F96</f>
        <v>4379.1799999999985</v>
      </c>
      <c r="O96" s="533">
        <f>+INDEX('[7]Réel 2023'!$A$2:$AO$501,MATCH($A96,'[7]Réel 2023'!$A$2:$A$501,0),MATCH(O$2,'[7]Réel 2023'!$A$2:$AO$2,0))</f>
        <v>0</v>
      </c>
      <c r="P96" s="532">
        <f t="shared" si="24"/>
        <v>0</v>
      </c>
      <c r="Q96" s="534">
        <f>+INDEX('[7]Réel 2023'!$A$2:$AO$501,MATCH($A96,'[7]Réel 2023'!$A$2:$A$501,0),MATCH(Q$2,'[7]Réel 2023'!$A$2:$AO$2,0))</f>
        <v>0</v>
      </c>
      <c r="R96" s="533">
        <f>J96-O96</f>
        <v>3</v>
      </c>
      <c r="S96" s="534">
        <f>L96-Q96</f>
        <v>6398.5999999999985</v>
      </c>
      <c r="T96" s="510"/>
      <c r="U96" s="510"/>
      <c r="V96" s="639"/>
      <c r="W96" s="510"/>
      <c r="X96" s="510"/>
      <c r="Y96" s="510"/>
      <c r="Z96" s="510"/>
      <c r="AA96" s="510"/>
      <c r="AB96" s="510"/>
      <c r="AC96" s="510"/>
      <c r="AD96" s="510"/>
      <c r="AE96" s="510"/>
      <c r="AF96" s="510"/>
      <c r="AG96" s="510"/>
      <c r="AH96" s="510"/>
      <c r="AI96" s="510"/>
      <c r="AJ96" s="510"/>
      <c r="AK96" s="510"/>
      <c r="AL96" s="510"/>
      <c r="AM96" s="510"/>
      <c r="AN96" s="510"/>
    </row>
    <row r="97" spans="1:40" ht="15.75" customHeight="1">
      <c r="A97" s="523" t="str">
        <f t="shared" ref="A97:A99" si="28">B97&amp;C97</f>
        <v>Véhicules usagésTotal Usagés</v>
      </c>
      <c r="B97" s="510" t="s">
        <v>73</v>
      </c>
      <c r="C97" s="537" t="s">
        <v>77</v>
      </c>
      <c r="D97" s="538">
        <f>+D95+D94+D96</f>
        <v>36.677500000000009</v>
      </c>
      <c r="E97" s="532">
        <f t="shared" si="27"/>
        <v>1799.9999999999995</v>
      </c>
      <c r="F97" s="539">
        <f>+F94+F95+F96</f>
        <v>66019.5</v>
      </c>
      <c r="G97" s="540"/>
      <c r="H97" s="538"/>
      <c r="I97" s="539"/>
      <c r="J97" s="540">
        <f>+J94+J95+J96</f>
        <v>35</v>
      </c>
      <c r="K97" s="538">
        <f>IF(J97&lt;=0,0,L97/J97)</f>
        <v>1488.6602857142855</v>
      </c>
      <c r="L97" s="539">
        <f>+L94+L95+L96</f>
        <v>52103.109999999993</v>
      </c>
      <c r="M97" s="540">
        <f>J97-D97</f>
        <v>-1.6775000000000091</v>
      </c>
      <c r="N97" s="539">
        <f>L97-F97</f>
        <v>-13916.390000000007</v>
      </c>
      <c r="O97" s="540">
        <f>+O95+O94+O96</f>
        <v>20</v>
      </c>
      <c r="P97" s="538">
        <f>IF(O97=0,0,Q97/O97)</f>
        <v>1251.0335</v>
      </c>
      <c r="Q97" s="539">
        <f>+Q94+Q95+Q96</f>
        <v>25020.67</v>
      </c>
      <c r="R97" s="540">
        <f>R94+R95</f>
        <v>12</v>
      </c>
      <c r="S97" s="539">
        <f>S94+S95</f>
        <v>20683.839999999997</v>
      </c>
      <c r="T97" s="510"/>
      <c r="U97" s="510"/>
      <c r="V97" s="510"/>
      <c r="W97" s="510"/>
      <c r="X97" s="510"/>
      <c r="Y97" s="510"/>
      <c r="Z97" s="510"/>
      <c r="AA97" s="510"/>
      <c r="AB97" s="510"/>
      <c r="AC97" s="573"/>
      <c r="AD97" s="510"/>
      <c r="AE97" s="510"/>
      <c r="AF97" s="573"/>
      <c r="AG97" s="510"/>
      <c r="AH97" s="510"/>
      <c r="AI97" s="510"/>
      <c r="AJ97" s="510"/>
      <c r="AK97" s="510"/>
      <c r="AL97" s="510"/>
      <c r="AM97" s="510"/>
      <c r="AN97" s="510"/>
    </row>
    <row r="98" spans="1:40" ht="15.75" customHeight="1">
      <c r="A98" s="523" t="str">
        <f t="shared" si="28"/>
        <v>Véhicules usagés</v>
      </c>
      <c r="B98" s="510" t="s">
        <v>73</v>
      </c>
      <c r="C98" s="531"/>
      <c r="D98" s="510"/>
      <c r="E98" s="532">
        <f t="shared" si="27"/>
        <v>0</v>
      </c>
      <c r="F98" s="541"/>
      <c r="G98" s="531"/>
      <c r="H98" s="510"/>
      <c r="I98" s="541"/>
      <c r="J98" s="531"/>
      <c r="K98" s="510"/>
      <c r="L98" s="541"/>
      <c r="M98" s="640">
        <f>M97/D97</f>
        <v>-4.5736486947038614E-2</v>
      </c>
      <c r="N98" s="641">
        <f>N97/F97</f>
        <v>-0.21079211445103352</v>
      </c>
      <c r="O98" s="531"/>
      <c r="P98" s="510">
        <f t="shared" ref="P98" si="29">IF(O98=0,0,Q98/O98)</f>
        <v>0</v>
      </c>
      <c r="Q98" s="541"/>
      <c r="R98" s="640">
        <f>R97/O97</f>
        <v>0.6</v>
      </c>
      <c r="S98" s="641">
        <f>IF(Q97=0,0,(S97/Q97))</f>
        <v>0.82667010915375161</v>
      </c>
      <c r="T98" s="510"/>
      <c r="U98" s="510"/>
      <c r="V98" s="510"/>
      <c r="W98" s="510"/>
      <c r="X98" s="510"/>
      <c r="Y98" s="510"/>
      <c r="Z98" s="510"/>
      <c r="AA98" s="510"/>
      <c r="AB98" s="510"/>
      <c r="AC98" s="510"/>
      <c r="AD98" s="510"/>
      <c r="AE98" s="510"/>
      <c r="AF98" s="510"/>
      <c r="AG98" s="510"/>
      <c r="AH98" s="510"/>
      <c r="AI98" s="510"/>
      <c r="AJ98" s="510"/>
      <c r="AK98" s="510"/>
      <c r="AL98" s="510"/>
      <c r="AM98" s="510"/>
      <c r="AN98" s="510"/>
    </row>
    <row r="99" spans="1:40" ht="15.75" customHeight="1">
      <c r="A99" s="523" t="str">
        <f t="shared" si="28"/>
        <v>Véhicules usagés</v>
      </c>
      <c r="B99" s="510" t="s">
        <v>73</v>
      </c>
      <c r="C99" s="531"/>
      <c r="D99" s="532">
        <f>+INDEX('[7]Budget original'!$A$2:$AO$501,MATCH($A99,'[7]Budget original'!$A$2:$A$501,0),MATCH(D$2,'[7]Budget original'!$A$2:$AO$2,0))</f>
        <v>0</v>
      </c>
      <c r="E99" s="532">
        <f>IF(D99=0,0,F99/D99)</f>
        <v>0</v>
      </c>
      <c r="F99" s="532">
        <f>+INDEX('[7]Budget original'!$A$2:$AO$501,MATCH($A99,'[7]Budget original'!$A$2:$A$501,0),MATCH(F$2,'[7]Budget original'!$A$2:$AO$2,0))</f>
        <v>0</v>
      </c>
      <c r="G99" s="533"/>
      <c r="H99" s="532"/>
      <c r="I99" s="532"/>
      <c r="J99" s="533"/>
      <c r="K99" s="532"/>
      <c r="L99" s="534"/>
      <c r="M99" s="533"/>
      <c r="N99" s="534"/>
      <c r="O99" s="533"/>
      <c r="P99" s="532"/>
      <c r="Q99" s="534"/>
      <c r="R99" s="533"/>
      <c r="S99" s="534"/>
      <c r="T99" s="510"/>
      <c r="U99" s="510"/>
      <c r="V99" s="510"/>
      <c r="W99" s="532"/>
      <c r="X99" s="532"/>
      <c r="Y99" s="510"/>
      <c r="Z99" s="510"/>
      <c r="AA99" s="510"/>
      <c r="AB99" s="510"/>
      <c r="AC99" s="510"/>
      <c r="AD99" s="510"/>
      <c r="AE99" s="510"/>
      <c r="AF99" s="510"/>
      <c r="AG99" s="510"/>
      <c r="AH99" s="510"/>
      <c r="AI99" s="510"/>
      <c r="AJ99" s="510"/>
      <c r="AK99" s="510"/>
      <c r="AL99" s="510"/>
      <c r="AM99" s="510"/>
      <c r="AN99" s="510"/>
    </row>
    <row r="100" spans="1:40" ht="15.75" customHeight="1">
      <c r="A100" s="523" t="s">
        <v>289</v>
      </c>
      <c r="B100" s="510" t="s">
        <v>73</v>
      </c>
      <c r="C100" s="531" t="s">
        <v>78</v>
      </c>
      <c r="D100" s="532">
        <f>+INDEX('[7]Budget original'!$A$2:$AO$501,MATCH($A100,'[7]Budget original'!$A$2:$A$501,0),MATCH(D$2,'[7]Budget original'!$A$2:$AO$2,0))</f>
        <v>37.540500000000002</v>
      </c>
      <c r="E100" s="532">
        <f t="shared" si="27"/>
        <v>400</v>
      </c>
      <c r="F100" s="532">
        <f>+INDEX('[7]Budget original'!$A$2:$AO$501,MATCH($A100,'[7]Budget original'!$A$2:$A$501,0),MATCH(F$2,'[7]Budget original'!$A$2:$AO$2,0))</f>
        <v>15016.2</v>
      </c>
      <c r="G100" s="533"/>
      <c r="H100" s="532"/>
      <c r="I100" s="532"/>
      <c r="J100" s="533">
        <f>-SUMIFS([7]BV_Data_An_Cour!$O:$O,[7]BV_Data_An_Cour!$U:$U,$B100,[7]BV_Data_An_Cour!$V:$V,$C100,[7]BV_Data_An_Cour!$W:$W,J$2)</f>
        <v>19</v>
      </c>
      <c r="K100" s="532">
        <f>IF(J100=0,0,L100/J100)</f>
        <v>279.54947368421062</v>
      </c>
      <c r="L100" s="534">
        <f>-SUMIFS([7]BV_Data_An_Cour!$O:$O,[7]BV_Data_An_Cour!$U:$U,$B100,[7]BV_Data_An_Cour!$V:$V,$C100,[7]BV_Data_An_Cour!$W:$W,L$2)</f>
        <v>5311.4400000000023</v>
      </c>
      <c r="M100" s="533">
        <f>J100-D100</f>
        <v>-18.540500000000002</v>
      </c>
      <c r="N100" s="534">
        <f>L100-F100</f>
        <v>-9704.7599999999984</v>
      </c>
      <c r="O100" s="533">
        <f t="array" ref="O100">+INDEX('[7]Réel 2023'!$A$2:$AO$501,MATCH($A100,'[7]Réel 2023'!$A$2:$A$501,0),MATCH(O$2,'[7]Réel 2023'!$A$2:$AO$2,0))</f>
        <v>31</v>
      </c>
      <c r="P100" s="532">
        <f>IF(O100=0,0,Q100/O100)</f>
        <v>15.867741935484613</v>
      </c>
      <c r="Q100" s="534">
        <f t="array" ref="Q100">+INDEX('[7]Réel 2023'!$A$2:$AO$501,MATCH($A100,'[7]Réel 2023'!$A$2:$A$501,0),MATCH(Q$2,'[7]Réel 2023'!$A$2:$AO$2,0))</f>
        <v>491.900000000023</v>
      </c>
      <c r="R100" s="533">
        <f>J100-O100</f>
        <v>-12</v>
      </c>
      <c r="S100" s="534">
        <f>L100-Q100</f>
        <v>4819.539999999979</v>
      </c>
      <c r="T100" s="510"/>
      <c r="U100" s="532"/>
      <c r="V100" s="510"/>
      <c r="W100" s="510"/>
      <c r="X100" s="510"/>
      <c r="Y100" s="510"/>
      <c r="Z100" s="510"/>
      <c r="AA100" s="510"/>
      <c r="AB100" s="510"/>
      <c r="AC100" s="573"/>
      <c r="AD100" s="510"/>
      <c r="AE100" s="510"/>
      <c r="AF100" s="642"/>
      <c r="AG100" s="510"/>
      <c r="AH100" s="510"/>
      <c r="AI100" s="510"/>
      <c r="AJ100" s="510"/>
      <c r="AK100" s="510"/>
      <c r="AL100" s="510"/>
      <c r="AM100" s="510"/>
      <c r="AN100" s="510"/>
    </row>
    <row r="101" spans="1:40" ht="15.75" customHeight="1">
      <c r="A101" s="523" t="s">
        <v>73</v>
      </c>
      <c r="B101" s="510" t="s">
        <v>73</v>
      </c>
      <c r="C101" s="524"/>
      <c r="D101" s="528"/>
      <c r="E101" s="528"/>
      <c r="F101" s="526"/>
      <c r="G101" s="545"/>
      <c r="H101" s="528"/>
      <c r="I101" s="526"/>
      <c r="J101" s="545"/>
      <c r="K101" s="528"/>
      <c r="L101" s="526"/>
      <c r="M101" s="546"/>
      <c r="N101" s="643"/>
      <c r="O101" s="545"/>
      <c r="P101" s="528"/>
      <c r="Q101" s="526"/>
      <c r="R101" s="546"/>
      <c r="S101" s="643"/>
      <c r="T101" s="510"/>
      <c r="U101" s="510"/>
      <c r="V101" s="510"/>
      <c r="W101" s="532"/>
      <c r="X101" s="510"/>
      <c r="Y101" s="510"/>
      <c r="Z101" s="510"/>
      <c r="AA101" s="510"/>
      <c r="AB101" s="510"/>
      <c r="AC101" s="510"/>
      <c r="AD101" s="510"/>
      <c r="AE101" s="510"/>
      <c r="AF101" s="642"/>
      <c r="AG101" s="510"/>
      <c r="AH101" s="510"/>
      <c r="AI101" s="510"/>
      <c r="AJ101" s="510"/>
      <c r="AK101" s="510"/>
      <c r="AL101" s="510"/>
      <c r="AM101" s="510"/>
      <c r="AN101" s="510"/>
    </row>
    <row r="102" spans="1:40" ht="15.75" customHeight="1">
      <c r="A102" s="523" t="s">
        <v>290</v>
      </c>
      <c r="B102" s="510" t="s">
        <v>73</v>
      </c>
      <c r="C102" s="531" t="s">
        <v>25</v>
      </c>
      <c r="D102" s="532">
        <f>+INDEX('[7]Budget original'!$A$2:$AO$501,MATCH($A102,'[7]Budget original'!$A$2:$A$501,0),MATCH(D$2,'[7]Budget original'!$A$2:$AO$2,0))</f>
        <v>0</v>
      </c>
      <c r="E102" s="532">
        <f t="shared" ref="E102:E112" si="30">IF(D102=0,0,F102/D102)</f>
        <v>0</v>
      </c>
      <c r="F102" s="534">
        <f>+INDEX('[7]Budget original'!$A$2:$AO$501,MATCH($A102,'[7]Budget original'!$A$2:$A$501,0),MATCH(F$2,'[7]Budget original'!$A$2:$AO$2,0))</f>
        <v>25674.250000000007</v>
      </c>
      <c r="G102" s="533"/>
      <c r="H102" s="532"/>
      <c r="I102" s="532"/>
      <c r="J102" s="533"/>
      <c r="K102" s="532">
        <f>IF(J97=0,0,L102/J97)</f>
        <v>283.59714285714284</v>
      </c>
      <c r="L102" s="534">
        <f>-SUMIFS([7]BV_Data_An_Cour!$O:$O,[7]BV_Data_An_Cour!$U:$U,$B102,[7]BV_Data_An_Cour!$V:$V,$C102,[7]BV_Data_An_Cour!$W:$W,$L2)</f>
        <v>9925.9</v>
      </c>
      <c r="M102" s="533"/>
      <c r="N102" s="534">
        <f>L102-F102</f>
        <v>-15748.350000000008</v>
      </c>
      <c r="O102" s="533"/>
      <c r="P102" s="532"/>
      <c r="Q102" s="534">
        <f t="array" ref="Q102">+INDEX('[7]Réel 2023'!$A$2:$AO$501,MATCH($A102,'[7]Réel 2023'!$A$2:$A$501,0),MATCH(Q$2,'[7]Réel 2023'!$A$2:$AO$2,0))</f>
        <v>7409.82</v>
      </c>
      <c r="R102" s="533">
        <f t="shared" ref="R102:R104" si="31">O102-K102</f>
        <v>-283.59714285714284</v>
      </c>
      <c r="S102" s="534">
        <f t="shared" ref="S102:S105" si="32">L102-Q102</f>
        <v>2516.08</v>
      </c>
      <c r="T102" s="510"/>
      <c r="U102" s="510"/>
      <c r="V102" s="510"/>
      <c r="W102" s="510"/>
      <c r="X102" s="510"/>
      <c r="Y102" s="510"/>
      <c r="Z102" s="510"/>
      <c r="AA102" s="510"/>
      <c r="AB102" s="510"/>
      <c r="AC102" s="510"/>
      <c r="AD102" s="510"/>
      <c r="AE102" s="510"/>
      <c r="AF102" s="510"/>
      <c r="AG102" s="510"/>
      <c r="AH102" s="510"/>
      <c r="AI102" s="510"/>
      <c r="AJ102" s="510"/>
      <c r="AK102" s="510"/>
      <c r="AL102" s="510"/>
      <c r="AM102" s="510"/>
      <c r="AN102" s="510"/>
    </row>
    <row r="103" spans="1:40" ht="15.75" customHeight="1">
      <c r="A103" s="523" t="s">
        <v>291</v>
      </c>
      <c r="B103" s="510" t="s">
        <v>73</v>
      </c>
      <c r="C103" s="531" t="s">
        <v>26</v>
      </c>
      <c r="D103" s="532">
        <f>+INDEX('[7]Budget original'!$A$2:$AO$501,MATCH($A103,'[7]Budget original'!$A$2:$A$501,0),MATCH(D$2,'[7]Budget original'!$A$2:$AO$2,0))</f>
        <v>0</v>
      </c>
      <c r="E103" s="532">
        <f t="shared" si="30"/>
        <v>0</v>
      </c>
      <c r="F103" s="534">
        <f>+INDEX('[7]Budget original'!$A$2:$AO$501,MATCH($A103,'[7]Budget original'!$A$2:$A$501,0),MATCH(F$2,'[7]Budget original'!$A$2:$AO$2,0))</f>
        <v>53182.375000000015</v>
      </c>
      <c r="G103" s="533"/>
      <c r="H103" s="532"/>
      <c r="I103" s="532"/>
      <c r="J103" s="533"/>
      <c r="K103" s="532">
        <f>IF(J97=0,0,L103/J97)</f>
        <v>1232.4862857142859</v>
      </c>
      <c r="L103" s="534">
        <f>-SUMIFS([7]BV_Data_An_Cour!$O:$O,[7]BV_Data_An_Cour!$U:$U,$B103,[7]BV_Data_An_Cour!$V:$V,$C103,[7]BV_Data_An_Cour!$W:$W,$L2)</f>
        <v>43137.020000000004</v>
      </c>
      <c r="M103" s="533"/>
      <c r="N103" s="534">
        <f>L103-F103</f>
        <v>-10045.35500000001</v>
      </c>
      <c r="O103" s="533"/>
      <c r="P103" s="532"/>
      <c r="Q103" s="534">
        <f t="array" ref="Q103">+INDEX('[7]Réel 2023'!$A$2:$AO$501,MATCH($A103,'[7]Réel 2023'!$A$2:$A$501,0),MATCH(Q$2,'[7]Réel 2023'!$A$2:$AO$2,0))</f>
        <v>18742.93</v>
      </c>
      <c r="R103" s="533">
        <f t="shared" si="31"/>
        <v>-1232.4862857142859</v>
      </c>
      <c r="S103" s="534">
        <f t="shared" si="32"/>
        <v>24394.090000000004</v>
      </c>
      <c r="T103" s="510"/>
      <c r="U103" s="510"/>
      <c r="V103" s="510"/>
      <c r="W103" s="510"/>
      <c r="X103" s="510"/>
      <c r="Y103" s="510"/>
      <c r="Z103" s="510"/>
      <c r="AA103" s="510"/>
      <c r="AB103" s="510"/>
      <c r="AC103" s="510"/>
      <c r="AD103" s="510"/>
      <c r="AE103" s="510"/>
      <c r="AF103" s="510"/>
      <c r="AG103" s="510"/>
      <c r="AH103" s="510"/>
      <c r="AI103" s="510"/>
      <c r="AJ103" s="510"/>
      <c r="AK103" s="510"/>
      <c r="AL103" s="510"/>
      <c r="AM103" s="510"/>
      <c r="AN103" s="510"/>
    </row>
    <row r="104" spans="1:40" ht="15.75" customHeight="1">
      <c r="A104" s="523" t="s">
        <v>292</v>
      </c>
      <c r="B104" s="510" t="s">
        <v>73</v>
      </c>
      <c r="C104" s="531" t="s">
        <v>27</v>
      </c>
      <c r="D104" s="532">
        <f>+INDEX('[7]Budget original'!$A$2:$AO$501,MATCH($A104,'[7]Budget original'!$A$2:$A$501,0),MATCH(D$2,'[7]Budget original'!$A$2:$AO$2,0))</f>
        <v>0</v>
      </c>
      <c r="E104" s="528">
        <f t="shared" si="30"/>
        <v>0</v>
      </c>
      <c r="F104" s="534">
        <f>+INDEX('[7]Budget original'!$A$2:$AO$501,MATCH($A104,'[7]Budget original'!$A$2:$A$501,0),MATCH(F$2,'[7]Budget original'!$A$2:$AO$2,0))</f>
        <v>1833.8750000000005</v>
      </c>
      <c r="G104" s="533"/>
      <c r="H104" s="528"/>
      <c r="I104" s="532"/>
      <c r="J104" s="533"/>
      <c r="K104" s="528">
        <f>IF(J97=0,0,L104/J97)</f>
        <v>16.011142857142858</v>
      </c>
      <c r="L104" s="534">
        <f>-SUMIFS([7]BV_Data_An_Cour!$O:$O,[7]BV_Data_An_Cour!$U:$U,$B104,[7]BV_Data_An_Cour!$V:$V,$C104,[7]BV_Data_An_Cour!$W:$W,$L$2)</f>
        <v>560.39</v>
      </c>
      <c r="M104" s="545"/>
      <c r="N104" s="534">
        <f>L104-F104</f>
        <v>-1273.4850000000006</v>
      </c>
      <c r="O104" s="533"/>
      <c r="P104" s="528"/>
      <c r="Q104" s="534">
        <f t="array" ref="Q104">+INDEX('[7]Réel 2023'!$A$2:$AO$501,MATCH($A104,'[7]Réel 2023'!$A$2:$A$501,0),MATCH(Q$2,'[7]Réel 2023'!$A$2:$AO$2,0))</f>
        <v>393.95</v>
      </c>
      <c r="R104" s="533">
        <f t="shared" si="31"/>
        <v>-16.011142857142858</v>
      </c>
      <c r="S104" s="534">
        <f t="shared" si="32"/>
        <v>166.44</v>
      </c>
      <c r="T104" s="510"/>
      <c r="U104" s="510"/>
      <c r="V104" s="510"/>
      <c r="W104" s="510"/>
      <c r="X104" s="510"/>
      <c r="Y104" s="510"/>
      <c r="Z104" s="510"/>
      <c r="AA104" s="510"/>
      <c r="AB104" s="510"/>
      <c r="AC104" s="510"/>
      <c r="AD104" s="510"/>
      <c r="AE104" s="510"/>
      <c r="AF104" s="510"/>
      <c r="AG104" s="510"/>
      <c r="AH104" s="510"/>
      <c r="AI104" s="510"/>
      <c r="AJ104" s="510"/>
      <c r="AK104" s="510"/>
      <c r="AL104" s="510"/>
      <c r="AM104" s="510"/>
      <c r="AN104" s="510"/>
    </row>
    <row r="105" spans="1:40" ht="15.75" customHeight="1">
      <c r="A105" s="523" t="s">
        <v>293</v>
      </c>
      <c r="B105" s="510" t="s">
        <v>73</v>
      </c>
      <c r="C105" s="537" t="s">
        <v>28</v>
      </c>
      <c r="D105" s="538">
        <f>D97</f>
        <v>36.677500000000009</v>
      </c>
      <c r="E105" s="532">
        <f t="shared" si="30"/>
        <v>2200.0000000000005</v>
      </c>
      <c r="F105" s="539">
        <f>F102+F103+F104</f>
        <v>80690.500000000029</v>
      </c>
      <c r="G105" s="540"/>
      <c r="H105" s="538"/>
      <c r="I105" s="539"/>
      <c r="J105" s="540">
        <f>J97</f>
        <v>35</v>
      </c>
      <c r="K105" s="538">
        <f>IF(J105&lt;=0,0,L105/J105)</f>
        <v>1532.0945714285715</v>
      </c>
      <c r="L105" s="539">
        <f>L102+L103+L104</f>
        <v>53623.310000000005</v>
      </c>
      <c r="M105" s="533">
        <f>J105-D105</f>
        <v>-1.6775000000000091</v>
      </c>
      <c r="N105" s="539">
        <f>L105-F105</f>
        <v>-27067.190000000024</v>
      </c>
      <c r="O105" s="540">
        <f>O97</f>
        <v>20</v>
      </c>
      <c r="P105" s="538">
        <f t="shared" ref="P105" si="33">IF(O105=0,0,Q105/O105)</f>
        <v>1327.335</v>
      </c>
      <c r="Q105" s="539">
        <f>Q102+Q103+Q104</f>
        <v>26546.7</v>
      </c>
      <c r="R105" s="554"/>
      <c r="S105" s="539">
        <f t="shared" si="32"/>
        <v>27076.610000000004</v>
      </c>
      <c r="T105" s="510"/>
      <c r="U105" s="510"/>
      <c r="V105" s="510"/>
      <c r="W105" s="510"/>
      <c r="X105" s="510"/>
      <c r="Y105" s="510"/>
      <c r="Z105" s="510"/>
      <c r="AA105" s="510"/>
      <c r="AB105" s="510"/>
      <c r="AC105" s="510"/>
      <c r="AD105" s="510"/>
      <c r="AE105" s="510"/>
      <c r="AF105" s="510"/>
      <c r="AG105" s="510"/>
      <c r="AH105" s="510"/>
      <c r="AI105" s="510"/>
      <c r="AJ105" s="510"/>
      <c r="AK105" s="510"/>
      <c r="AL105" s="510"/>
      <c r="AM105" s="510"/>
      <c r="AN105" s="510"/>
    </row>
    <row r="106" spans="1:40" ht="15.75" customHeight="1">
      <c r="A106" s="523" t="s">
        <v>73</v>
      </c>
      <c r="B106" s="510" t="s">
        <v>73</v>
      </c>
      <c r="C106" s="531"/>
      <c r="D106" s="510"/>
      <c r="E106" s="510"/>
      <c r="F106" s="557"/>
      <c r="G106" s="531"/>
      <c r="H106" s="644"/>
      <c r="I106" s="557"/>
      <c r="J106" s="531"/>
      <c r="K106" s="510"/>
      <c r="L106" s="557"/>
      <c r="M106" s="548"/>
      <c r="N106" s="549">
        <f>N105/F105</f>
        <v>-0.3354445690632728</v>
      </c>
      <c r="O106" s="531"/>
      <c r="P106" s="510"/>
      <c r="Q106" s="557"/>
      <c r="R106" s="558"/>
      <c r="S106" s="549">
        <f>IF(Q105=0,0,(S105/Q105))</f>
        <v>1.01996142646732</v>
      </c>
      <c r="T106" s="510"/>
      <c r="U106" s="510"/>
      <c r="V106" s="510"/>
      <c r="W106" s="510"/>
      <c r="X106" s="510"/>
      <c r="Y106" s="510"/>
      <c r="Z106" s="510"/>
      <c r="AA106" s="510"/>
      <c r="AB106" s="510"/>
      <c r="AC106" s="510"/>
      <c r="AD106" s="510"/>
      <c r="AE106" s="510"/>
      <c r="AF106" s="510"/>
      <c r="AG106" s="510"/>
      <c r="AH106" s="510"/>
      <c r="AI106" s="510"/>
      <c r="AJ106" s="510"/>
      <c r="AK106" s="510"/>
      <c r="AL106" s="510"/>
      <c r="AM106" s="510"/>
      <c r="AN106" s="510"/>
    </row>
    <row r="107" spans="1:40" ht="15.75" customHeight="1" thickBot="1">
      <c r="A107" s="523" t="s">
        <v>73</v>
      </c>
      <c r="B107" s="510" t="s">
        <v>73</v>
      </c>
      <c r="C107" s="531"/>
      <c r="D107" s="510"/>
      <c r="E107" s="510"/>
      <c r="F107" s="557"/>
      <c r="G107" s="531"/>
      <c r="H107" s="644"/>
      <c r="I107" s="557"/>
      <c r="J107" s="531"/>
      <c r="K107" s="510"/>
      <c r="L107" s="557"/>
      <c r="M107" s="548"/>
      <c r="N107" s="549"/>
      <c r="O107" s="531"/>
      <c r="P107" s="510"/>
      <c r="Q107" s="557"/>
      <c r="R107" s="558"/>
      <c r="S107" s="549"/>
      <c r="T107" s="510"/>
      <c r="U107" s="510"/>
      <c r="V107" s="510"/>
      <c r="W107" s="510"/>
      <c r="X107" s="510"/>
      <c r="Y107" s="510"/>
      <c r="Z107" s="510"/>
      <c r="AA107" s="510"/>
      <c r="AB107" s="510"/>
      <c r="AC107" s="510"/>
      <c r="AD107" s="510"/>
      <c r="AE107" s="510"/>
      <c r="AF107" s="510"/>
      <c r="AG107" s="510"/>
      <c r="AH107" s="510"/>
      <c r="AI107" s="510"/>
      <c r="AJ107" s="510"/>
      <c r="AK107" s="510"/>
      <c r="AL107" s="510"/>
      <c r="AM107" s="510"/>
      <c r="AN107" s="510"/>
    </row>
    <row r="108" spans="1:40" ht="23.25" customHeight="1" thickTop="1">
      <c r="A108" s="523" t="s">
        <v>294</v>
      </c>
      <c r="B108" s="510" t="s">
        <v>73</v>
      </c>
      <c r="C108" s="559" t="s">
        <v>79</v>
      </c>
      <c r="D108" s="560">
        <f>D97+D100</f>
        <v>74.218000000000018</v>
      </c>
      <c r="E108" s="561">
        <f>IF(D108&lt;=0,0,F108/D108)</f>
        <v>2179.0697674418607</v>
      </c>
      <c r="F108" s="562">
        <f>F97+F105+F100</f>
        <v>161726.20000000004</v>
      </c>
      <c r="G108" s="563"/>
      <c r="H108" s="645"/>
      <c r="I108" s="562"/>
      <c r="J108" s="563">
        <f>J97+J100</f>
        <v>54</v>
      </c>
      <c r="K108" s="561">
        <f>IF(J108&lt;=0,0,L108/J108)</f>
        <v>2056.2566666666667</v>
      </c>
      <c r="L108" s="562">
        <f>L97+L105+L100</f>
        <v>111037.86</v>
      </c>
      <c r="M108" s="563">
        <f>J108-D108</f>
        <v>-20.218000000000018</v>
      </c>
      <c r="N108" s="562">
        <f>L108-F108</f>
        <v>-50688.34000000004</v>
      </c>
      <c r="O108" s="563">
        <f>O97+O100</f>
        <v>51</v>
      </c>
      <c r="P108" s="561">
        <f>IF(O108&lt;=0,0,Q108/O108)</f>
        <v>1020.7700000000003</v>
      </c>
      <c r="Q108" s="562">
        <f>Q97+Q105+Q100</f>
        <v>52059.270000000019</v>
      </c>
      <c r="R108" s="563">
        <f>J108-O108</f>
        <v>3</v>
      </c>
      <c r="S108" s="562">
        <f>L108-Q108</f>
        <v>58978.589999999982</v>
      </c>
      <c r="T108" s="510"/>
      <c r="U108" s="510"/>
      <c r="V108" s="510"/>
      <c r="W108" s="510"/>
      <c r="X108" s="510"/>
      <c r="Y108" s="510"/>
      <c r="Z108" s="510"/>
      <c r="AA108" s="510"/>
      <c r="AB108" s="510"/>
      <c r="AC108" s="510"/>
      <c r="AD108" s="510"/>
      <c r="AE108" s="510"/>
      <c r="AF108" s="510"/>
      <c r="AG108" s="510"/>
      <c r="AH108" s="510"/>
      <c r="AI108" s="510"/>
      <c r="AJ108" s="510"/>
      <c r="AK108" s="510"/>
      <c r="AL108" s="510"/>
      <c r="AM108" s="510"/>
      <c r="AN108" s="510"/>
    </row>
    <row r="109" spans="1:40" ht="19.5" customHeight="1" thickBot="1">
      <c r="A109" s="523" t="s">
        <v>73</v>
      </c>
      <c r="B109" s="510" t="s">
        <v>73</v>
      </c>
      <c r="C109" s="564"/>
      <c r="D109" s="565"/>
      <c r="E109" s="565"/>
      <c r="F109" s="566"/>
      <c r="G109" s="564"/>
      <c r="H109" s="565"/>
      <c r="I109" s="566"/>
      <c r="J109" s="564"/>
      <c r="K109" s="565"/>
      <c r="L109" s="568">
        <f>L108/F108</f>
        <v>0.68657929265635365</v>
      </c>
      <c r="M109" s="569">
        <f>M108/D108</f>
        <v>-0.27241370018054939</v>
      </c>
      <c r="N109" s="570">
        <f>N108/F108</f>
        <v>-0.31342070734364641</v>
      </c>
      <c r="O109" s="564"/>
      <c r="P109" s="565"/>
      <c r="Q109" s="566"/>
      <c r="R109" s="646">
        <f>O108/R108</f>
        <v>17</v>
      </c>
      <c r="S109" s="647">
        <f>IF(Q108=0,0,(S108/Q108))</f>
        <v>1.1329123516330513</v>
      </c>
      <c r="T109" s="510"/>
      <c r="U109" s="510"/>
      <c r="V109" s="510"/>
      <c r="W109" s="510"/>
      <c r="X109" s="510"/>
      <c r="Y109" s="510"/>
      <c r="Z109" s="510"/>
      <c r="AA109" s="510"/>
      <c r="AB109" s="510"/>
      <c r="AC109" s="510"/>
      <c r="AD109" s="510"/>
      <c r="AE109" s="510"/>
      <c r="AF109" s="510"/>
      <c r="AG109" s="510"/>
      <c r="AH109" s="510"/>
      <c r="AI109" s="510"/>
      <c r="AJ109" s="510"/>
      <c r="AK109" s="510"/>
      <c r="AL109" s="510"/>
      <c r="AM109" s="510"/>
      <c r="AN109" s="510"/>
    </row>
    <row r="110" spans="1:40" ht="15.75" customHeight="1" thickTop="1">
      <c r="A110" s="523" t="s">
        <v>73</v>
      </c>
      <c r="B110" s="510" t="s">
        <v>73</v>
      </c>
      <c r="C110" s="550"/>
      <c r="D110" s="571"/>
      <c r="E110" s="571"/>
      <c r="F110" s="572"/>
      <c r="G110" s="550"/>
      <c r="H110" s="571"/>
      <c r="I110" s="572"/>
      <c r="J110" s="550"/>
      <c r="K110" s="571"/>
      <c r="L110" s="572"/>
      <c r="M110" s="548"/>
      <c r="N110" s="549"/>
      <c r="O110" s="550"/>
      <c r="P110" s="571"/>
      <c r="Q110" s="572"/>
      <c r="R110" s="548"/>
      <c r="S110" s="549"/>
      <c r="T110" s="510"/>
      <c r="U110" s="510"/>
      <c r="V110" s="510"/>
      <c r="W110" s="510"/>
      <c r="X110" s="510"/>
      <c r="Y110" s="510"/>
      <c r="Z110" s="510"/>
      <c r="AA110" s="510"/>
      <c r="AB110" s="510"/>
      <c r="AC110" s="510"/>
      <c r="AD110" s="510"/>
      <c r="AE110" s="510"/>
      <c r="AF110" s="510"/>
      <c r="AG110" s="510"/>
      <c r="AH110" s="510"/>
      <c r="AI110" s="510"/>
      <c r="AJ110" s="510"/>
      <c r="AK110" s="510"/>
      <c r="AL110" s="510"/>
      <c r="AM110" s="510"/>
      <c r="AN110" s="510"/>
    </row>
    <row r="111" spans="1:40" ht="15.75" customHeight="1">
      <c r="A111" s="523" t="s">
        <v>295</v>
      </c>
      <c r="B111" s="510" t="s">
        <v>73</v>
      </c>
      <c r="C111" s="574" t="s">
        <v>30</v>
      </c>
      <c r="D111" s="510"/>
      <c r="E111" s="575"/>
      <c r="F111" s="557"/>
      <c r="G111" s="531"/>
      <c r="H111" s="575"/>
      <c r="I111" s="557"/>
      <c r="J111" s="531"/>
      <c r="K111" s="575"/>
      <c r="L111" s="541"/>
      <c r="M111" s="531"/>
      <c r="N111" s="541"/>
      <c r="O111" s="531"/>
      <c r="P111" s="575"/>
      <c r="Q111" s="541"/>
      <c r="R111" s="531"/>
      <c r="S111" s="541"/>
      <c r="T111" s="510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0"/>
      <c r="AF111" s="510"/>
      <c r="AG111" s="510"/>
      <c r="AH111" s="510"/>
      <c r="AI111" s="510"/>
      <c r="AJ111" s="510"/>
      <c r="AK111" s="510"/>
      <c r="AL111" s="510"/>
      <c r="AM111" s="510"/>
      <c r="AN111" s="510"/>
    </row>
    <row r="112" spans="1:40" ht="15.75" customHeight="1">
      <c r="A112" s="523" t="s">
        <v>296</v>
      </c>
      <c r="B112" s="510" t="s">
        <v>73</v>
      </c>
      <c r="C112" s="531" t="s">
        <v>31</v>
      </c>
      <c r="D112" s="648">
        <f>F112/F97</f>
        <v>0.33</v>
      </c>
      <c r="E112" s="573">
        <f t="shared" ref="E112:E121" si="34">F112/D$97</f>
        <v>593.99999999999989</v>
      </c>
      <c r="F112" s="532">
        <f>+INDEX('[7]Budget original'!$A$2:$AO$501,MATCH($A112,'[7]Budget original'!$A$2:$A$501,0),MATCH(F$2,'[7]Budget original'!$A$2:$AO$2,0))</f>
        <v>21786.435000000001</v>
      </c>
      <c r="G112" s="577"/>
      <c r="H112" s="573"/>
      <c r="I112" s="532"/>
      <c r="J112" s="577">
        <f>L112/L97</f>
        <v>0.49452172816555484</v>
      </c>
      <c r="K112" s="573">
        <f>IF($J$97=0,0,L112/(J$94+J$95+J96))</f>
        <v>736.17485714285715</v>
      </c>
      <c r="L112" s="534">
        <f>SUMIFS([7]BV_Data_An_Cour!$O:$O,[7]BV_Data_An_Cour!$U:$U,$B112,[7]BV_Data_An_Cour!$V:$V,$C112,[7]BV_Data_An_Cour!$W:$W,$L$2)</f>
        <v>25766.12</v>
      </c>
      <c r="M112" s="531"/>
      <c r="N112" s="557">
        <f t="shared" ref="N112:N153" si="35">L112-F112</f>
        <v>3979.6849999999977</v>
      </c>
      <c r="O112" s="578">
        <f>Q112/Q97</f>
        <v>0.32932491416097176</v>
      </c>
      <c r="P112" s="573">
        <f t="shared" ref="P112:P121" si="36">Q112/O$97</f>
        <v>411.99650000000003</v>
      </c>
      <c r="Q112" s="534">
        <f t="array" ref="Q112">+INDEX('[7]Réel 2023'!$A$2:$AO$501,MATCH($A112,'[7]Réel 2023'!$A$2:$A$501,0),MATCH(Q$2,'[7]Réel 2023'!$A$2:$AO$2,0))</f>
        <v>8239.93</v>
      </c>
      <c r="R112" s="531"/>
      <c r="S112" s="557">
        <f t="shared" ref="S112:S153" si="37">L112-Q112</f>
        <v>17526.189999999999</v>
      </c>
      <c r="T112" s="510"/>
      <c r="U112" s="510"/>
      <c r="V112" s="510"/>
      <c r="W112" s="510"/>
      <c r="X112" s="510"/>
      <c r="Y112" s="510"/>
      <c r="Z112" s="510"/>
      <c r="AA112" s="510"/>
      <c r="AB112" s="510"/>
      <c r="AC112" s="510"/>
      <c r="AD112" s="510"/>
      <c r="AE112" s="510"/>
      <c r="AF112" s="510"/>
      <c r="AG112" s="510"/>
      <c r="AH112" s="510"/>
      <c r="AI112" s="510"/>
      <c r="AJ112" s="510"/>
      <c r="AK112" s="510"/>
      <c r="AL112" s="510"/>
      <c r="AM112" s="510"/>
      <c r="AN112" s="510"/>
    </row>
    <row r="113" spans="1:40" ht="15.75" customHeight="1">
      <c r="A113" s="523" t="s">
        <v>297</v>
      </c>
      <c r="B113" s="510" t="s">
        <v>73</v>
      </c>
      <c r="C113" s="524" t="s">
        <v>32</v>
      </c>
      <c r="D113" s="649">
        <f>F113/(F105)</f>
        <v>0.3</v>
      </c>
      <c r="E113" s="580">
        <f t="shared" si="34"/>
        <v>660.00000000000011</v>
      </c>
      <c r="F113" s="526">
        <f>+INDEX('[7]Budget original'!$A$2:$AO$501,MATCH($A113,'[7]Budget original'!$A$2:$A$501,0),MATCH(F$2,'[7]Budget original'!$A$2:$AO$2,0))</f>
        <v>24207.150000000009</v>
      </c>
      <c r="G113" s="581"/>
      <c r="H113" s="580"/>
      <c r="I113" s="526"/>
      <c r="J113" s="581">
        <f>L113/(L105)</f>
        <v>0.27000011748622005</v>
      </c>
      <c r="K113" s="580">
        <f>IF($J$97=0,0,L113/(J$94+J$95+J96))</f>
        <v>413.66571428571427</v>
      </c>
      <c r="L113" s="534">
        <f>SUMIFS([7]BV_Data_An_Cour!$O:$O,[7]BV_Data_An_Cour!$U:$U,$B113,[7]BV_Data_An_Cour!$V:$V,$C113,[7]BV_Data_An_Cour!$W:$W,$L$2)</f>
        <v>14478.3</v>
      </c>
      <c r="M113" s="524"/>
      <c r="N113" s="582">
        <f t="shared" si="35"/>
        <v>-9728.8500000000095</v>
      </c>
      <c r="O113" s="583">
        <f>Q113/(Q105+Q19)</f>
        <v>0.26407202913187616</v>
      </c>
      <c r="P113" s="580">
        <f t="shared" si="36"/>
        <v>399.79</v>
      </c>
      <c r="Q113" s="534">
        <f t="array" ref="Q113">+INDEX('[7]Réel 2023'!$A$2:$AO$501,MATCH($A113,'[7]Réel 2023'!$A$2:$A$501,0),MATCH(Q$2,'[7]Réel 2023'!$A$2:$AO$2,0))</f>
        <v>7995.8</v>
      </c>
      <c r="R113" s="524"/>
      <c r="S113" s="582">
        <f t="shared" si="37"/>
        <v>6482.4999999999991</v>
      </c>
      <c r="T113" s="510"/>
      <c r="U113" s="510"/>
      <c r="V113" s="510"/>
      <c r="W113" s="510"/>
      <c r="X113" s="510"/>
      <c r="Y113" s="510"/>
      <c r="Z113" s="510"/>
      <c r="AA113" s="510"/>
      <c r="AB113" s="510"/>
      <c r="AC113" s="510"/>
      <c r="AD113" s="510"/>
      <c r="AE113" s="510"/>
      <c r="AF113" s="510"/>
      <c r="AG113" s="510"/>
      <c r="AH113" s="510"/>
      <c r="AI113" s="510"/>
      <c r="AJ113" s="510"/>
      <c r="AK113" s="510"/>
      <c r="AL113" s="510"/>
      <c r="AM113" s="510"/>
      <c r="AN113" s="510"/>
    </row>
    <row r="114" spans="1:40" ht="15.75" customHeight="1">
      <c r="A114" s="523" t="s">
        <v>298</v>
      </c>
      <c r="B114" s="510" t="s">
        <v>73</v>
      </c>
      <c r="C114" s="531" t="s">
        <v>33</v>
      </c>
      <c r="D114" s="584"/>
      <c r="E114" s="573">
        <f t="shared" si="34"/>
        <v>10</v>
      </c>
      <c r="F114" s="532">
        <f>+INDEX('[7]Budget original'!$A$2:$AO$501,MATCH($A114,'[7]Budget original'!$A$2:$A$501,0),MATCH(F$2,'[7]Budget original'!$A$2:$AO$2,0))</f>
        <v>366.77500000000009</v>
      </c>
      <c r="G114" s="585"/>
      <c r="H114" s="573"/>
      <c r="I114" s="532"/>
      <c r="J114" s="531"/>
      <c r="K114" s="573">
        <f>IF($J$97=0,0,L114/(J$94+J$95+J96))</f>
        <v>-37.459714285714284</v>
      </c>
      <c r="L114" s="553">
        <f>SUMIFS([7]BV_Data_An_Cour!$O:$O,[7]BV_Data_An_Cour!$U:$U,$B114,[7]BV_Data_An_Cour!$V:$V,$C114,[7]BV_Data_An_Cour!$W:$W,$L$2)</f>
        <v>-1311.09</v>
      </c>
      <c r="M114" s="531"/>
      <c r="N114" s="557">
        <f t="shared" si="35"/>
        <v>-1677.865</v>
      </c>
      <c r="O114" s="531"/>
      <c r="P114" s="573">
        <f t="shared" si="36"/>
        <v>-11.343500000000001</v>
      </c>
      <c r="Q114" s="553">
        <f t="array" ref="Q114">+INDEX('[7]Réel 2023'!$A$2:$AO$501,MATCH($A114,'[7]Réel 2023'!$A$2:$A$501,0),MATCH(Q$2,'[7]Réel 2023'!$A$2:$AO$2,0))</f>
        <v>-226.87</v>
      </c>
      <c r="R114" s="531"/>
      <c r="S114" s="557">
        <f t="shared" si="37"/>
        <v>-1084.2199999999998</v>
      </c>
      <c r="T114" s="510"/>
      <c r="U114" s="510"/>
      <c r="V114" s="510"/>
      <c r="W114" s="532"/>
      <c r="X114" s="510"/>
      <c r="Y114" s="510"/>
      <c r="Z114" s="510"/>
      <c r="AA114" s="510"/>
      <c r="AB114" s="510"/>
      <c r="AC114" s="510"/>
      <c r="AD114" s="510"/>
      <c r="AE114" s="510"/>
      <c r="AF114" s="510"/>
      <c r="AG114" s="510"/>
      <c r="AH114" s="510"/>
      <c r="AI114" s="510"/>
      <c r="AJ114" s="510"/>
      <c r="AK114" s="510"/>
      <c r="AL114" s="510"/>
      <c r="AM114" s="510"/>
      <c r="AN114" s="510"/>
    </row>
    <row r="115" spans="1:40" ht="15.75" customHeight="1">
      <c r="A115" s="523" t="s">
        <v>299</v>
      </c>
      <c r="B115" s="510" t="s">
        <v>73</v>
      </c>
      <c r="C115" s="531" t="s">
        <v>34</v>
      </c>
      <c r="D115" s="584"/>
      <c r="E115" s="573">
        <f t="shared" si="34"/>
        <v>7</v>
      </c>
      <c r="F115" s="532">
        <f>+INDEX('[7]Budget original'!$A$2:$AO$501,MATCH($A115,'[7]Budget original'!$A$2:$A$501,0),MATCH(F$2,'[7]Budget original'!$A$2:$AO$2,0))</f>
        <v>256.74250000000006</v>
      </c>
      <c r="G115" s="585"/>
      <c r="H115" s="573"/>
      <c r="I115" s="532"/>
      <c r="J115" s="531"/>
      <c r="K115" s="573">
        <f>IF($J$97=0,0,L115/(J$94+J$95+J96))</f>
        <v>83.01828571428571</v>
      </c>
      <c r="L115" s="534">
        <f>SUMIFS([7]BV_Data_An_Cour!$O:$O,[7]BV_Data_An_Cour!$U:$U,$B115,[7]BV_Data_An_Cour!$V:$V,$C115,[7]BV_Data_An_Cour!$W:$W,$L$2)</f>
        <v>2905.64</v>
      </c>
      <c r="M115" s="531"/>
      <c r="N115" s="557">
        <f t="shared" si="35"/>
        <v>2648.8975</v>
      </c>
      <c r="O115" s="531"/>
      <c r="P115" s="573">
        <f t="shared" si="36"/>
        <v>69.605499999999992</v>
      </c>
      <c r="Q115" s="534">
        <f t="array" ref="Q115">+INDEX('[7]Réel 2023'!$A$2:$AO$501,MATCH($A115,'[7]Réel 2023'!$A$2:$A$501,0),MATCH(Q$2,'[7]Réel 2023'!$A$2:$AO$2,0))</f>
        <v>1392.11</v>
      </c>
      <c r="R115" s="531"/>
      <c r="S115" s="557">
        <f t="shared" si="37"/>
        <v>1513.53</v>
      </c>
      <c r="T115" s="510"/>
      <c r="U115" s="510"/>
      <c r="V115" s="510"/>
      <c r="W115" s="532"/>
      <c r="X115" s="510"/>
      <c r="Y115" s="510"/>
      <c r="Z115" s="510"/>
      <c r="AA115" s="510"/>
      <c r="AB115" s="510"/>
      <c r="AC115" s="510"/>
      <c r="AD115" s="510"/>
      <c r="AE115" s="510"/>
      <c r="AF115" s="510"/>
      <c r="AG115" s="510"/>
      <c r="AH115" s="510"/>
      <c r="AI115" s="510"/>
      <c r="AJ115" s="510"/>
      <c r="AK115" s="510"/>
      <c r="AL115" s="510"/>
      <c r="AM115" s="510"/>
      <c r="AN115" s="510"/>
    </row>
    <row r="116" spans="1:40" ht="15.75" customHeight="1">
      <c r="A116" s="523" t="s">
        <v>300</v>
      </c>
      <c r="B116" s="510" t="s">
        <v>73</v>
      </c>
      <c r="C116" s="524" t="s">
        <v>35</v>
      </c>
      <c r="D116" s="587"/>
      <c r="E116" s="580">
        <f t="shared" si="34"/>
        <v>162</v>
      </c>
      <c r="F116" s="526">
        <f>+INDEX('[7]Budget original'!$A$2:$AO$501,MATCH($A116,'[7]Budget original'!$A$2:$A$501,0),MATCH(F$2,'[7]Budget original'!$A$2:$AO$2,0))</f>
        <v>5941.755000000001</v>
      </c>
      <c r="G116" s="588"/>
      <c r="H116" s="580"/>
      <c r="I116" s="526"/>
      <c r="J116" s="524"/>
      <c r="K116" s="580">
        <f>IF($J$97=0,0,L116/(J$94+J$95+J96))</f>
        <v>143.69457142857144</v>
      </c>
      <c r="L116" s="526">
        <f>SUMIFS([7]BV_Data_An_Cour!$O:$O,[7]BV_Data_An_Cour!$U:$U,$B116,[7]BV_Data_An_Cour!$V:$V,$C116,[7]BV_Data_An_Cour!$W:$W,$L$2)</f>
        <v>5029.3100000000004</v>
      </c>
      <c r="M116" s="524"/>
      <c r="N116" s="582">
        <f t="shared" si="35"/>
        <v>-912.44500000000062</v>
      </c>
      <c r="O116" s="524"/>
      <c r="P116" s="580">
        <f t="shared" si="36"/>
        <v>194.48750000000001</v>
      </c>
      <c r="Q116" s="526">
        <f t="array" ref="Q116">+INDEX('[7]Réel 2023'!$A$2:$AO$501,MATCH($A116,'[7]Réel 2023'!$A$2:$A$501,0),MATCH(Q$2,'[7]Réel 2023'!$A$2:$AO$2,0))</f>
        <v>3889.75</v>
      </c>
      <c r="R116" s="524"/>
      <c r="S116" s="582">
        <f t="shared" si="37"/>
        <v>1139.5600000000004</v>
      </c>
      <c r="T116" s="510"/>
      <c r="U116" s="573"/>
      <c r="V116" s="510"/>
      <c r="W116" s="532"/>
      <c r="X116" s="510"/>
      <c r="Y116" s="510"/>
      <c r="Z116" s="510"/>
      <c r="AA116" s="510"/>
      <c r="AB116" s="510"/>
      <c r="AC116" s="510"/>
      <c r="AD116" s="510"/>
      <c r="AE116" s="510"/>
      <c r="AF116" s="510"/>
      <c r="AG116" s="510"/>
      <c r="AH116" s="510"/>
      <c r="AI116" s="510"/>
      <c r="AJ116" s="510"/>
      <c r="AK116" s="510"/>
      <c r="AL116" s="510"/>
      <c r="AM116" s="510"/>
      <c r="AN116" s="510"/>
    </row>
    <row r="117" spans="1:40" ht="19.5" customHeight="1">
      <c r="A117" s="523" t="s">
        <v>301</v>
      </c>
      <c r="B117" s="510" t="s">
        <v>73</v>
      </c>
      <c r="C117" s="531" t="s">
        <v>36</v>
      </c>
      <c r="D117" s="584"/>
      <c r="E117" s="573">
        <f t="shared" si="34"/>
        <v>313.11430713652777</v>
      </c>
      <c r="F117" s="532">
        <f>+INDEX('[7]Budget original'!$A$2:$AO$501,MATCH($A117,'[7]Budget original'!$A$2:$A$501,0),MATCH(F$2,'[7]Budget original'!$A$2:$AO$2,0))</f>
        <v>11484.25</v>
      </c>
      <c r="G117" s="585"/>
      <c r="H117" s="573"/>
      <c r="I117" s="532"/>
      <c r="J117" s="531"/>
      <c r="K117" s="573">
        <f>IF($J$97=0,0,L117/(J$94+J$95+J96))</f>
        <v>309.88885714285715</v>
      </c>
      <c r="L117" s="534">
        <f>SUMIFS([7]BV_Data_An_Cour!$O:$O,[7]BV_Data_An_Cour!$U:$U,$B117,[7]BV_Data_An_Cour!$V:$V,$C117,[7]BV_Data_An_Cour!$W:$W,$L$2)</f>
        <v>10846.11</v>
      </c>
      <c r="M117" s="531"/>
      <c r="N117" s="557">
        <f t="shared" si="35"/>
        <v>-638.13999999999942</v>
      </c>
      <c r="O117" s="531"/>
      <c r="P117" s="573">
        <f t="shared" si="36"/>
        <v>716.18000000000006</v>
      </c>
      <c r="Q117" s="534">
        <f t="array" ref="Q117">+INDEX('[7]Réel 2023'!$A$2:$AO$501,MATCH($A117,'[7]Réel 2023'!$A$2:$A$501,0),MATCH(Q$2,'[7]Réel 2023'!$A$2:$AO$2,0))</f>
        <v>14323.6</v>
      </c>
      <c r="R117" s="531"/>
      <c r="S117" s="557">
        <f t="shared" si="37"/>
        <v>-3477.49</v>
      </c>
      <c r="T117" s="510"/>
      <c r="U117" s="510"/>
      <c r="V117" s="510"/>
      <c r="W117" s="532"/>
      <c r="Z117" s="510"/>
      <c r="AA117" s="510"/>
      <c r="AB117" s="510"/>
      <c r="AC117" s="510"/>
      <c r="AD117" s="510"/>
      <c r="AE117" s="510"/>
      <c r="AF117" s="510"/>
      <c r="AG117" s="510"/>
      <c r="AH117" s="510"/>
      <c r="AI117" s="510"/>
      <c r="AJ117" s="510"/>
      <c r="AK117" s="510"/>
      <c r="AL117" s="510"/>
      <c r="AM117" s="510"/>
      <c r="AN117" s="510"/>
    </row>
    <row r="118" spans="1:40" ht="15.75" customHeight="1">
      <c r="A118" s="523" t="s">
        <v>302</v>
      </c>
      <c r="B118" s="510" t="s">
        <v>73</v>
      </c>
      <c r="C118" s="531" t="s">
        <v>37</v>
      </c>
      <c r="D118" s="584"/>
      <c r="E118" s="573">
        <f t="shared" si="34"/>
        <v>175.55673962388721</v>
      </c>
      <c r="F118" s="532">
        <f>+INDEX('[7]Budget original'!$A$2:$AO$501,MATCH($A118,'[7]Budget original'!$A$2:$A$501,0),MATCH(F$2,'[7]Budget original'!$A$2:$AO$2,0))</f>
        <v>6438.9823175551246</v>
      </c>
      <c r="G118" s="585"/>
      <c r="H118" s="573"/>
      <c r="I118" s="532"/>
      <c r="J118" s="531"/>
      <c r="K118" s="573">
        <f>IF($J$97=0,0,L118/(J$94+J$95+J96))</f>
        <v>65.676571428571421</v>
      </c>
      <c r="L118" s="534">
        <f>SUMIFS([7]BV_Data_An_Cour!$O:$O,[7]BV_Data_An_Cour!$U:$U,$B118,[7]BV_Data_An_Cour!$V:$V,$C118,[7]BV_Data_An_Cour!$W:$W,$L$2)</f>
        <v>2298.6799999999998</v>
      </c>
      <c r="M118" s="531"/>
      <c r="N118" s="557">
        <f t="shared" si="35"/>
        <v>-4140.3023175551243</v>
      </c>
      <c r="O118" s="531"/>
      <c r="P118" s="573">
        <f t="shared" si="36"/>
        <v>22.137999999999998</v>
      </c>
      <c r="Q118" s="534">
        <f t="array" ref="Q118">+INDEX('[7]Réel 2023'!$A$2:$AO$501,MATCH($A118,'[7]Réel 2023'!$A$2:$A$501,0),MATCH(Q$2,'[7]Réel 2023'!$A$2:$AO$2,0))</f>
        <v>442.76</v>
      </c>
      <c r="R118" s="531"/>
      <c r="S118" s="557">
        <f t="shared" si="37"/>
        <v>1855.9199999999998</v>
      </c>
      <c r="T118" s="510"/>
      <c r="U118" s="510"/>
      <c r="V118" s="510"/>
      <c r="W118" s="532"/>
      <c r="X118" s="510"/>
      <c r="Y118" s="510"/>
      <c r="Z118" s="510"/>
      <c r="AA118" s="510"/>
      <c r="AB118" s="510"/>
      <c r="AC118" s="510"/>
      <c r="AD118" s="510"/>
      <c r="AE118" s="510"/>
      <c r="AF118" s="510"/>
      <c r="AG118" s="510"/>
      <c r="AH118" s="510"/>
      <c r="AI118" s="510"/>
      <c r="AJ118" s="510"/>
      <c r="AK118" s="510"/>
      <c r="AL118" s="510"/>
      <c r="AM118" s="510"/>
      <c r="AN118" s="510"/>
    </row>
    <row r="119" spans="1:40" ht="15.75" hidden="1" customHeight="1">
      <c r="A119" s="523" t="s">
        <v>303</v>
      </c>
      <c r="B119" s="510" t="s">
        <v>73</v>
      </c>
      <c r="C119" s="531" t="s">
        <v>20</v>
      </c>
      <c r="D119" s="584"/>
      <c r="E119" s="573">
        <f t="shared" si="34"/>
        <v>0</v>
      </c>
      <c r="F119" s="532">
        <f>+INDEX('[7]Budget original'!$A$2:$AO$501,MATCH($A119,'[7]Budget original'!$A$2:$A$501,0),MATCH(F$2,'[7]Budget original'!$A$2:$AO$2,0))</f>
        <v>0</v>
      </c>
      <c r="G119" s="585"/>
      <c r="H119" s="573"/>
      <c r="I119" s="532"/>
      <c r="J119" s="531"/>
      <c r="K119" s="573">
        <f t="shared" ref="K119:K121" si="38">IF($J$97=0,0,L119/(J$94+J$95))</f>
        <v>0</v>
      </c>
      <c r="L119" s="534">
        <f>SUMIFS([7]BV_Data_An_Cour!$O:$O,[7]BV_Data_An_Cour!$U:$U,$B119,[7]BV_Data_An_Cour!$V:$V,$C119,[7]BV_Data_An_Cour!$W:$W,$L$2)</f>
        <v>0</v>
      </c>
      <c r="M119" s="531"/>
      <c r="N119" s="557">
        <f t="shared" si="35"/>
        <v>0</v>
      </c>
      <c r="O119" s="531"/>
      <c r="P119" s="573">
        <f t="shared" si="36"/>
        <v>0</v>
      </c>
      <c r="Q119" s="534">
        <f t="array" ref="Q119">+INDEX('[7]Réel 2023'!$A$2:$AO$501,MATCH($A119,'[7]Réel 2023'!$A$2:$A$501,0),MATCH(Q$2,'[7]Réel 2023'!$A$2:$AO$2,0))</f>
        <v>0</v>
      </c>
      <c r="R119" s="531"/>
      <c r="S119" s="557">
        <f t="shared" si="37"/>
        <v>0</v>
      </c>
      <c r="T119" s="510"/>
      <c r="U119" s="510"/>
      <c r="V119" s="510"/>
      <c r="W119" s="510"/>
      <c r="X119" s="510"/>
      <c r="Y119" s="510"/>
      <c r="Z119" s="510"/>
      <c r="AA119" s="510"/>
      <c r="AB119" s="510"/>
      <c r="AC119" s="510"/>
      <c r="AD119" s="510"/>
      <c r="AE119" s="510"/>
      <c r="AF119" s="510"/>
      <c r="AG119" s="510"/>
      <c r="AH119" s="510"/>
      <c r="AI119" s="510"/>
      <c r="AJ119" s="510"/>
      <c r="AK119" s="510"/>
      <c r="AL119" s="510"/>
      <c r="AM119" s="510"/>
      <c r="AN119" s="510"/>
    </row>
    <row r="120" spans="1:40" ht="15.75" hidden="1" customHeight="1">
      <c r="A120" s="523" t="s">
        <v>303</v>
      </c>
      <c r="B120" s="510" t="s">
        <v>73</v>
      </c>
      <c r="C120" s="531" t="s">
        <v>20</v>
      </c>
      <c r="D120" s="584"/>
      <c r="E120" s="573">
        <f t="shared" si="34"/>
        <v>0</v>
      </c>
      <c r="F120" s="532">
        <f>+INDEX('[7]Budget original'!$A$2:$AO$501,MATCH($A120,'[7]Budget original'!$A$2:$A$501,0),MATCH(F$2,'[7]Budget original'!$A$2:$AO$2,0))</f>
        <v>0</v>
      </c>
      <c r="G120" s="585"/>
      <c r="H120" s="573"/>
      <c r="I120" s="532"/>
      <c r="J120" s="531"/>
      <c r="K120" s="573">
        <f t="shared" si="38"/>
        <v>0</v>
      </c>
      <c r="L120" s="534">
        <f>SUMIFS([7]BV_Data_An_Cour!$O:$O,[7]BV_Data_An_Cour!$U:$U,$B120,[7]BV_Data_An_Cour!$V:$V,$C120,[7]BV_Data_An_Cour!$W:$W,$L$2)</f>
        <v>0</v>
      </c>
      <c r="M120" s="531"/>
      <c r="N120" s="557">
        <f t="shared" si="35"/>
        <v>0</v>
      </c>
      <c r="O120" s="531"/>
      <c r="P120" s="573">
        <f t="shared" si="36"/>
        <v>0</v>
      </c>
      <c r="Q120" s="534">
        <f t="array" ref="Q120">+INDEX('[7]Réel 2023'!$A$2:$AO$501,MATCH($A120,'[7]Réel 2023'!$A$2:$A$501,0),MATCH(Q$2,'[7]Réel 2023'!$A$2:$AO$2,0))</f>
        <v>0</v>
      </c>
      <c r="R120" s="531"/>
      <c r="S120" s="557">
        <f t="shared" si="37"/>
        <v>0</v>
      </c>
      <c r="T120" s="510"/>
      <c r="U120" s="510"/>
      <c r="V120" s="510"/>
      <c r="W120" s="510"/>
      <c r="X120" s="510"/>
      <c r="Y120" s="510"/>
      <c r="Z120" s="510"/>
      <c r="AA120" s="510"/>
      <c r="AB120" s="510"/>
      <c r="AC120" s="510"/>
      <c r="AD120" s="510"/>
      <c r="AE120" s="510"/>
      <c r="AF120" s="510"/>
      <c r="AG120" s="510"/>
      <c r="AH120" s="510"/>
      <c r="AI120" s="510"/>
      <c r="AJ120" s="510"/>
      <c r="AK120" s="510"/>
      <c r="AL120" s="510"/>
      <c r="AM120" s="510"/>
      <c r="AN120" s="510"/>
    </row>
    <row r="121" spans="1:40" ht="15.75" hidden="1" customHeight="1">
      <c r="A121" s="523" t="s">
        <v>303</v>
      </c>
      <c r="B121" s="510" t="s">
        <v>73</v>
      </c>
      <c r="C121" s="531" t="s">
        <v>20</v>
      </c>
      <c r="D121" s="584"/>
      <c r="E121" s="573">
        <f t="shared" si="34"/>
        <v>0</v>
      </c>
      <c r="F121" s="532">
        <f>+INDEX('[7]Budget original'!$A$2:$AO$501,MATCH($A121,'[7]Budget original'!$A$2:$A$501,0),MATCH(F$2,'[7]Budget original'!$A$2:$AO$2,0))</f>
        <v>0</v>
      </c>
      <c r="G121" s="585"/>
      <c r="H121" s="573"/>
      <c r="I121" s="532"/>
      <c r="J121" s="531"/>
      <c r="K121" s="573">
        <f t="shared" si="38"/>
        <v>0</v>
      </c>
      <c r="L121" s="534">
        <f>SUMIFS([7]BV_Data_An_Cour!$O:$O,[7]BV_Data_An_Cour!$U:$U,$B121,[7]BV_Data_An_Cour!$V:$V,$C121,[7]BV_Data_An_Cour!$W:$W,$L$2)</f>
        <v>0</v>
      </c>
      <c r="M121" s="531"/>
      <c r="N121" s="557">
        <f t="shared" si="35"/>
        <v>0</v>
      </c>
      <c r="O121" s="531"/>
      <c r="P121" s="573">
        <f t="shared" si="36"/>
        <v>0</v>
      </c>
      <c r="Q121" s="534">
        <f t="array" ref="Q121">+INDEX('[7]Réel 2023'!$A$2:$AO$501,MATCH($A121,'[7]Réel 2023'!$A$2:$A$501,0),MATCH(Q$2,'[7]Réel 2023'!$A$2:$AO$2,0))</f>
        <v>0</v>
      </c>
      <c r="R121" s="531"/>
      <c r="S121" s="557">
        <f t="shared" si="37"/>
        <v>0</v>
      </c>
      <c r="T121" s="510"/>
      <c r="U121" s="510"/>
      <c r="V121" s="510"/>
      <c r="W121" s="510"/>
      <c r="X121" s="510"/>
      <c r="Y121" s="510"/>
      <c r="Z121" s="510"/>
      <c r="AA121" s="510"/>
      <c r="AB121" s="510"/>
      <c r="AC121" s="510"/>
      <c r="AD121" s="510"/>
      <c r="AE121" s="510"/>
      <c r="AF121" s="510"/>
      <c r="AG121" s="510"/>
      <c r="AH121" s="510"/>
      <c r="AI121" s="510"/>
      <c r="AJ121" s="510"/>
      <c r="AK121" s="510"/>
      <c r="AL121" s="510"/>
      <c r="AM121" s="510"/>
      <c r="AN121" s="510"/>
    </row>
    <row r="122" spans="1:40" ht="15.75" customHeight="1">
      <c r="A122" s="523" t="s">
        <v>304</v>
      </c>
      <c r="B122" s="510" t="s">
        <v>73</v>
      </c>
      <c r="C122" s="592" t="s">
        <v>38</v>
      </c>
      <c r="D122" s="593" t="s">
        <v>39</v>
      </c>
      <c r="E122" s="594">
        <f>F122/F$108</f>
        <v>0.43581120324075584</v>
      </c>
      <c r="F122" s="595">
        <f>SUM(F112:F121)</f>
        <v>70482.089817555141</v>
      </c>
      <c r="G122" s="596"/>
      <c r="H122" s="594"/>
      <c r="I122" s="595"/>
      <c r="J122" s="596" t="s">
        <v>39</v>
      </c>
      <c r="K122" s="594">
        <f>L122/L$108</f>
        <v>0.54047394285156436</v>
      </c>
      <c r="L122" s="595">
        <f>SUM(L112:L121)</f>
        <v>60013.07</v>
      </c>
      <c r="M122" s="599"/>
      <c r="N122" s="595">
        <f t="shared" si="35"/>
        <v>-10469.019817555141</v>
      </c>
      <c r="O122" s="596" t="s">
        <v>39</v>
      </c>
      <c r="P122" s="594">
        <f>Q122/Q$108</f>
        <v>0.69261593564412238</v>
      </c>
      <c r="Q122" s="595">
        <f>SUM(Q112:Q121)</f>
        <v>36057.08</v>
      </c>
      <c r="R122" s="599"/>
      <c r="S122" s="595">
        <f t="shared" si="37"/>
        <v>23955.989999999998</v>
      </c>
      <c r="T122" s="510"/>
      <c r="U122" s="510"/>
      <c r="X122" s="510"/>
      <c r="Y122" s="510"/>
      <c r="Z122" s="510"/>
      <c r="AA122" s="510"/>
      <c r="AB122" s="510"/>
      <c r="AC122" s="510"/>
      <c r="AD122" s="510"/>
      <c r="AE122" s="510"/>
      <c r="AF122" s="510"/>
      <c r="AG122" s="510"/>
      <c r="AH122" s="510"/>
      <c r="AI122" s="510"/>
      <c r="AJ122" s="510"/>
      <c r="AK122" s="510"/>
      <c r="AL122" s="510"/>
      <c r="AM122" s="510"/>
      <c r="AN122" s="510"/>
    </row>
    <row r="123" spans="1:40" ht="15.75" customHeight="1">
      <c r="A123" s="523" t="s">
        <v>305</v>
      </c>
      <c r="B123" s="510" t="s">
        <v>73</v>
      </c>
      <c r="C123" s="600" t="s">
        <v>41</v>
      </c>
      <c r="D123" s="510"/>
      <c r="E123" s="510"/>
      <c r="F123" s="532">
        <f>+INDEX('[7]Budget original'!$A$2:$AO$501,MATCH($A123,'[7]Budget original'!$A$2:$A$501,0),MATCH(F$2,'[7]Budget original'!$A$2:$AO$2,0))</f>
        <v>14309.625</v>
      </c>
      <c r="G123" s="531"/>
      <c r="H123" s="510"/>
      <c r="I123" s="532"/>
      <c r="J123" s="531"/>
      <c r="K123" s="510"/>
      <c r="L123" s="534">
        <f>SUMIFS([7]BV_Data_An_Cour!$O:$O,[7]BV_Data_An_Cour!$U:$U,$B123,[7]BV_Data_An_Cour!$V:$V,$C123,[7]BV_Data_An_Cour!$W:$W,$L$2)</f>
        <v>12581.58</v>
      </c>
      <c r="M123" s="531"/>
      <c r="N123" s="557">
        <f t="shared" si="35"/>
        <v>-1728.0450000000001</v>
      </c>
      <c r="O123" s="531"/>
      <c r="P123" s="510"/>
      <c r="Q123" s="534">
        <f t="array" ref="Q123">+INDEX('[7]Réel 2023'!$A$2:$AO$501,MATCH($A123,'[7]Réel 2023'!$A$2:$A$501,0),MATCH(Q$2,'[7]Réel 2023'!$A$2:$AO$2,0))</f>
        <v>15556.27</v>
      </c>
      <c r="R123" s="531"/>
      <c r="S123" s="557">
        <f t="shared" si="37"/>
        <v>-2974.6900000000005</v>
      </c>
      <c r="T123" s="510"/>
      <c r="U123" s="510"/>
      <c r="V123" s="510"/>
      <c r="W123" s="510"/>
      <c r="X123" s="510"/>
      <c r="Y123" s="510"/>
      <c r="Z123" s="510"/>
      <c r="AA123" s="510"/>
      <c r="AB123" s="510"/>
      <c r="AC123" s="510"/>
      <c r="AD123" s="510"/>
      <c r="AE123" s="510"/>
      <c r="AF123" s="510"/>
      <c r="AG123" s="510"/>
      <c r="AH123" s="510"/>
      <c r="AI123" s="510"/>
      <c r="AJ123" s="510"/>
      <c r="AK123" s="510"/>
      <c r="AL123" s="510"/>
      <c r="AM123" s="510"/>
      <c r="AN123" s="510"/>
    </row>
    <row r="124" spans="1:40" ht="15.75" customHeight="1">
      <c r="A124" s="523" t="s">
        <v>306</v>
      </c>
      <c r="B124" s="510" t="s">
        <v>73</v>
      </c>
      <c r="C124" s="602" t="s">
        <v>42</v>
      </c>
      <c r="D124" s="584"/>
      <c r="E124" s="510"/>
      <c r="F124" s="526">
        <f>+INDEX('[7]Budget original'!$A$2:$AO$501,MATCH($A124,'[7]Budget original'!$A$2:$A$501,0),MATCH(F$2,'[7]Budget original'!$A$2:$AO$2,0))</f>
        <v>5068.7530769230771</v>
      </c>
      <c r="G124" s="585"/>
      <c r="H124" s="510"/>
      <c r="I124" s="526"/>
      <c r="J124" s="531"/>
      <c r="K124" s="510"/>
      <c r="L124" s="526">
        <f>SUMIFS([7]BV_Data_An_Cour!$O:$O,[7]BV_Data_An_Cour!$U:$U,$B124,[7]BV_Data_An_Cour!$V:$V,$C124,[7]BV_Data_An_Cour!$W:$W,$L$2)</f>
        <v>2096.35</v>
      </c>
      <c r="M124" s="531"/>
      <c r="N124" s="557">
        <f t="shared" si="35"/>
        <v>-2972.4030769230772</v>
      </c>
      <c r="O124" s="531"/>
      <c r="P124" s="510"/>
      <c r="Q124" s="526">
        <f t="array" ref="Q124">+INDEX('[7]Réel 2023'!$A$2:$AO$501,MATCH($A124,'[7]Réel 2023'!$A$2:$A$501,0),MATCH(Q$2,'[7]Réel 2023'!$A$2:$AO$2,0))</f>
        <v>6131.09</v>
      </c>
      <c r="R124" s="531"/>
      <c r="S124" s="557">
        <f t="shared" si="37"/>
        <v>-4034.7400000000002</v>
      </c>
      <c r="T124" s="510"/>
      <c r="U124" s="510"/>
      <c r="V124" s="510"/>
      <c r="W124" s="510"/>
      <c r="X124" s="510"/>
      <c r="Y124" s="510"/>
      <c r="Z124" s="510"/>
      <c r="AA124" s="510"/>
      <c r="AB124" s="510"/>
      <c r="AC124" s="510"/>
      <c r="AD124" s="510"/>
      <c r="AE124" s="510"/>
      <c r="AF124" s="510"/>
      <c r="AG124" s="510"/>
      <c r="AH124" s="510"/>
      <c r="AI124" s="510"/>
      <c r="AJ124" s="510"/>
      <c r="AK124" s="510"/>
      <c r="AL124" s="510"/>
      <c r="AM124" s="510"/>
      <c r="AN124" s="510"/>
    </row>
    <row r="125" spans="1:40" ht="15.75" customHeight="1">
      <c r="A125" s="523" t="s">
        <v>307</v>
      </c>
      <c r="B125" s="510" t="s">
        <v>73</v>
      </c>
      <c r="C125" s="600" t="s">
        <v>43</v>
      </c>
      <c r="D125" s="603"/>
      <c r="E125" s="604"/>
      <c r="F125" s="532">
        <f>+INDEX('[7]Budget original'!$A$2:$AO$501,MATCH($A125,'[7]Budget original'!$A$2:$A$501,0),MATCH(F$2,'[7]Budget original'!$A$2:$AO$2,0))</f>
        <v>7117.1153846153848</v>
      </c>
      <c r="G125" s="605"/>
      <c r="H125" s="604"/>
      <c r="I125" s="532"/>
      <c r="J125" s="518"/>
      <c r="K125" s="604"/>
      <c r="L125" s="534">
        <f>SUMIFS([7]BV_Data_An_Cour!$O:$O,[7]BV_Data_An_Cour!$U:$U,$B125,[7]BV_Data_An_Cour!$V:$V,$C125,[7]BV_Data_An_Cour!$W:$W,$L$2)</f>
        <v>7887.5</v>
      </c>
      <c r="M125" s="518"/>
      <c r="N125" s="606">
        <f t="shared" si="35"/>
        <v>770.38461538461524</v>
      </c>
      <c r="O125" s="518"/>
      <c r="P125" s="604"/>
      <c r="Q125" s="534">
        <f t="array" ref="Q125">+INDEX('[7]Réel 2023'!$A$2:$AO$501,MATCH($A125,'[7]Réel 2023'!$A$2:$A$501,0),MATCH(Q$2,'[7]Réel 2023'!$A$2:$AO$2,0))</f>
        <v>4186</v>
      </c>
      <c r="R125" s="518"/>
      <c r="S125" s="606">
        <f t="shared" si="37"/>
        <v>3701.5</v>
      </c>
      <c r="T125" s="510"/>
      <c r="U125" s="510"/>
      <c r="V125" s="510"/>
      <c r="W125" s="510"/>
      <c r="X125" s="510"/>
      <c r="Y125" s="510"/>
      <c r="Z125" s="510"/>
      <c r="AA125" s="510"/>
      <c r="AB125" s="510"/>
      <c r="AC125" s="510"/>
      <c r="AD125" s="510"/>
      <c r="AE125" s="510"/>
      <c r="AF125" s="510"/>
      <c r="AG125" s="510"/>
      <c r="AH125" s="510"/>
      <c r="AI125" s="510"/>
      <c r="AJ125" s="510"/>
      <c r="AK125" s="510"/>
      <c r="AL125" s="510"/>
      <c r="AM125" s="510"/>
      <c r="AN125" s="510"/>
    </row>
    <row r="126" spans="1:40" ht="15.75" customHeight="1">
      <c r="A126" s="523" t="s">
        <v>308</v>
      </c>
      <c r="B126" s="510" t="s">
        <v>73</v>
      </c>
      <c r="C126" s="600" t="s">
        <v>44</v>
      </c>
      <c r="D126" s="584"/>
      <c r="E126" s="510"/>
      <c r="F126" s="532">
        <f>+INDEX('[7]Budget original'!$A$2:$AO$501,MATCH($A126,'[7]Budget original'!$A$2:$A$501,0),MATCH(F$2,'[7]Budget original'!$A$2:$AO$2,0))</f>
        <v>0</v>
      </c>
      <c r="G126" s="585"/>
      <c r="H126" s="510"/>
      <c r="I126" s="532"/>
      <c r="J126" s="531"/>
      <c r="K126" s="510"/>
      <c r="L126" s="534">
        <f>SUMIFS([7]BV_Data_An_Cour!$O:$O,[7]BV_Data_An_Cour!$U:$U,$B126,[7]BV_Data_An_Cour!$V:$V,$C126,[7]BV_Data_An_Cour!$W:$W,$L$2)</f>
        <v>0</v>
      </c>
      <c r="M126" s="531"/>
      <c r="N126" s="557">
        <f t="shared" si="35"/>
        <v>0</v>
      </c>
      <c r="O126" s="531"/>
      <c r="P126" s="510"/>
      <c r="Q126" s="534">
        <f t="array" ref="Q126">+INDEX('[7]Réel 2023'!$A$2:$AO$501,MATCH($A126,'[7]Réel 2023'!$A$2:$A$501,0),MATCH(Q$2,'[7]Réel 2023'!$A$2:$AO$2,0))</f>
        <v>0</v>
      </c>
      <c r="R126" s="531"/>
      <c r="S126" s="557">
        <f t="shared" si="37"/>
        <v>0</v>
      </c>
      <c r="T126" s="510"/>
      <c r="U126" s="510"/>
      <c r="V126" s="510"/>
      <c r="W126" s="510"/>
      <c r="X126" s="510"/>
      <c r="Y126" s="510"/>
      <c r="Z126" s="510"/>
      <c r="AA126" s="510"/>
      <c r="AB126" s="510"/>
      <c r="AC126" s="510"/>
      <c r="AD126" s="510"/>
      <c r="AE126" s="510"/>
      <c r="AF126" s="510"/>
      <c r="AG126" s="510"/>
      <c r="AH126" s="510"/>
      <c r="AI126" s="510"/>
      <c r="AJ126" s="510"/>
      <c r="AK126" s="510"/>
      <c r="AL126" s="510"/>
      <c r="AM126" s="510"/>
      <c r="AN126" s="510"/>
    </row>
    <row r="127" spans="1:40" ht="15.75" hidden="1" customHeight="1">
      <c r="A127" s="523" t="s">
        <v>303</v>
      </c>
      <c r="B127" s="510" t="s">
        <v>73</v>
      </c>
      <c r="C127" s="600" t="s">
        <v>20</v>
      </c>
      <c r="D127" s="584"/>
      <c r="E127" s="510"/>
      <c r="F127" s="532">
        <f>+INDEX('[7]Budget original'!$A$2:$AO$501,MATCH($A127,'[7]Budget original'!$A$2:$A$501,0),MATCH(F$2,'[7]Budget original'!$A$2:$AO$2,0))</f>
        <v>0</v>
      </c>
      <c r="G127" s="585"/>
      <c r="H127" s="510"/>
      <c r="I127" s="532"/>
      <c r="J127" s="531"/>
      <c r="K127" s="510"/>
      <c r="L127" s="534">
        <f>SUMIFS([7]BV_Data_An_Cour!$O:$O,[7]BV_Data_An_Cour!$U:$U,$B127,[7]BV_Data_An_Cour!$V:$V,$C127,[7]BV_Data_An_Cour!$W:$W,$L$2)</f>
        <v>0</v>
      </c>
      <c r="M127" s="531"/>
      <c r="N127" s="557">
        <f t="shared" si="35"/>
        <v>0</v>
      </c>
      <c r="O127" s="531"/>
      <c r="P127" s="510"/>
      <c r="Q127" s="534">
        <f t="array" ref="Q127">+INDEX('[7]Réel 2023'!$A$2:$AO$501,MATCH($A127,'[7]Réel 2023'!$A$2:$A$501,0),MATCH(Q$2,'[7]Réel 2023'!$A$2:$AO$2,0))</f>
        <v>0</v>
      </c>
      <c r="R127" s="531"/>
      <c r="S127" s="557">
        <f t="shared" si="37"/>
        <v>0</v>
      </c>
      <c r="T127" s="510"/>
      <c r="U127" s="510"/>
      <c r="V127" s="510"/>
      <c r="W127" s="510"/>
      <c r="X127" s="510"/>
      <c r="Y127" s="510"/>
      <c r="Z127" s="510"/>
      <c r="AA127" s="510"/>
      <c r="AB127" s="510"/>
      <c r="AC127" s="510"/>
      <c r="AD127" s="510"/>
      <c r="AE127" s="510"/>
      <c r="AF127" s="510"/>
      <c r="AG127" s="510"/>
      <c r="AH127" s="510"/>
      <c r="AI127" s="510"/>
      <c r="AJ127" s="510"/>
      <c r="AK127" s="510"/>
      <c r="AL127" s="510"/>
      <c r="AM127" s="510"/>
      <c r="AN127" s="510"/>
    </row>
    <row r="128" spans="1:40" ht="15.75" hidden="1" customHeight="1">
      <c r="A128" s="523" t="s">
        <v>303</v>
      </c>
      <c r="B128" s="510" t="s">
        <v>73</v>
      </c>
      <c r="C128" s="600" t="s">
        <v>20</v>
      </c>
      <c r="D128" s="584"/>
      <c r="E128" s="510"/>
      <c r="F128" s="532">
        <f>+INDEX('[7]Budget original'!$A$2:$AO$501,MATCH($A128,'[7]Budget original'!$A$2:$A$501,0),MATCH(F$2,'[7]Budget original'!$A$2:$AO$2,0))</f>
        <v>0</v>
      </c>
      <c r="G128" s="585"/>
      <c r="H128" s="510"/>
      <c r="I128" s="532"/>
      <c r="J128" s="531"/>
      <c r="K128" s="510"/>
      <c r="L128" s="534">
        <f>SUMIFS([7]BV_Data_An_Cour!$O:$O,[7]BV_Data_An_Cour!$U:$U,$B128,[7]BV_Data_An_Cour!$V:$V,$C128,[7]BV_Data_An_Cour!$W:$W,$L$2)</f>
        <v>0</v>
      </c>
      <c r="M128" s="531"/>
      <c r="N128" s="557">
        <f t="shared" si="35"/>
        <v>0</v>
      </c>
      <c r="O128" s="531"/>
      <c r="P128" s="510"/>
      <c r="Q128" s="534">
        <f t="array" ref="Q128">+INDEX('[7]Réel 2023'!$A$2:$AO$501,MATCH($A128,'[7]Réel 2023'!$A$2:$A$501,0),MATCH(Q$2,'[7]Réel 2023'!$A$2:$AO$2,0))</f>
        <v>0</v>
      </c>
      <c r="R128" s="531"/>
      <c r="S128" s="557">
        <f t="shared" si="37"/>
        <v>0</v>
      </c>
      <c r="T128" s="510"/>
      <c r="U128" s="510"/>
      <c r="V128" s="510"/>
      <c r="W128" s="510"/>
      <c r="X128" s="510"/>
      <c r="Y128" s="510"/>
      <c r="Z128" s="510"/>
      <c r="AA128" s="510"/>
      <c r="AB128" s="510"/>
      <c r="AC128" s="510"/>
      <c r="AD128" s="510"/>
      <c r="AE128" s="510"/>
      <c r="AF128" s="510"/>
      <c r="AG128" s="510"/>
      <c r="AH128" s="510"/>
      <c r="AI128" s="510"/>
      <c r="AJ128" s="510"/>
      <c r="AK128" s="510"/>
      <c r="AL128" s="510"/>
      <c r="AM128" s="510"/>
      <c r="AN128" s="510"/>
    </row>
    <row r="129" spans="1:40" ht="15.75" hidden="1" customHeight="1">
      <c r="A129" s="523" t="s">
        <v>303</v>
      </c>
      <c r="B129" s="510" t="s">
        <v>73</v>
      </c>
      <c r="C129" s="600" t="s">
        <v>20</v>
      </c>
      <c r="D129" s="584"/>
      <c r="E129" s="510"/>
      <c r="F129" s="532">
        <f>+INDEX('[7]Budget original'!$A$2:$AO$501,MATCH($A129,'[7]Budget original'!$A$2:$A$501,0),MATCH(F$2,'[7]Budget original'!$A$2:$AO$2,0))</f>
        <v>0</v>
      </c>
      <c r="G129" s="585"/>
      <c r="H129" s="510"/>
      <c r="I129" s="532"/>
      <c r="J129" s="531"/>
      <c r="K129" s="510"/>
      <c r="L129" s="534">
        <f>SUMIFS([7]BV_Data_An_Cour!$O:$O,[7]BV_Data_An_Cour!$U:$U,$B129,[7]BV_Data_An_Cour!$V:$V,$C129,[7]BV_Data_An_Cour!$W:$W,$L$2)</f>
        <v>0</v>
      </c>
      <c r="M129" s="531"/>
      <c r="N129" s="557">
        <f t="shared" si="35"/>
        <v>0</v>
      </c>
      <c r="O129" s="531"/>
      <c r="P129" s="510"/>
      <c r="Q129" s="534">
        <f t="array" ref="Q129">+INDEX('[7]Réel 2023'!$A$2:$AO$501,MATCH($A129,'[7]Réel 2023'!$A$2:$A$501,0),MATCH(Q$2,'[7]Réel 2023'!$A$2:$AO$2,0))</f>
        <v>0</v>
      </c>
      <c r="R129" s="531"/>
      <c r="S129" s="557">
        <f t="shared" si="37"/>
        <v>0</v>
      </c>
      <c r="T129" s="510"/>
      <c r="U129" s="510"/>
      <c r="V129" s="510"/>
      <c r="W129" s="510"/>
      <c r="X129" s="510"/>
      <c r="Y129" s="510"/>
      <c r="Z129" s="510"/>
      <c r="AA129" s="510"/>
      <c r="AB129" s="510"/>
      <c r="AC129" s="510"/>
      <c r="AD129" s="510"/>
      <c r="AE129" s="510"/>
      <c r="AF129" s="510"/>
      <c r="AG129" s="510"/>
      <c r="AH129" s="510"/>
      <c r="AI129" s="510"/>
      <c r="AJ129" s="510"/>
      <c r="AK129" s="510"/>
      <c r="AL129" s="510"/>
      <c r="AM129" s="510"/>
      <c r="AN129" s="510"/>
    </row>
    <row r="130" spans="1:40" ht="15.75" customHeight="1">
      <c r="A130" s="523" t="s">
        <v>309</v>
      </c>
      <c r="B130" s="510" t="s">
        <v>73</v>
      </c>
      <c r="C130" s="602" t="s">
        <v>45</v>
      </c>
      <c r="D130" s="584"/>
      <c r="E130" s="510"/>
      <c r="F130" s="532">
        <f>+INDEX('[7]Budget original'!$A$2:$AO$501,MATCH($A130,'[7]Budget original'!$A$2:$A$501,0),MATCH(F$2,'[7]Budget original'!$A$2:$AO$2,0))</f>
        <v>8557.2787912179483</v>
      </c>
      <c r="G130" s="585"/>
      <c r="H130" s="510"/>
      <c r="I130" s="532"/>
      <c r="J130" s="531"/>
      <c r="K130" s="510"/>
      <c r="L130" s="534">
        <f>SUMIFS([7]BV_Data_An_Cour!$O:$O,[7]BV_Data_An_Cour!$U:$U,$B130,[7]BV_Data_An_Cour!$V:$V,$C130,[7]BV_Data_An_Cour!$W:$W,$L$2)</f>
        <v>2561.98</v>
      </c>
      <c r="M130" s="531"/>
      <c r="N130" s="557">
        <f t="shared" si="35"/>
        <v>-5995.2987912179487</v>
      </c>
      <c r="O130" s="531"/>
      <c r="P130" s="510"/>
      <c r="Q130" s="534">
        <f t="array" ref="Q130">+INDEX('[7]Réel 2023'!$A$2:$AO$501,MATCH($A130,'[7]Réel 2023'!$A$2:$A$501,0),MATCH(Q$2,'[7]Réel 2023'!$A$2:$AO$2,0))</f>
        <v>2437.8000000000002</v>
      </c>
      <c r="R130" s="531"/>
      <c r="S130" s="557">
        <f t="shared" si="37"/>
        <v>124.17999999999984</v>
      </c>
      <c r="T130" s="510"/>
      <c r="U130" s="510"/>
      <c r="V130" s="510"/>
      <c r="W130" s="510"/>
      <c r="X130" s="510"/>
      <c r="Y130" s="510"/>
      <c r="Z130" s="510"/>
      <c r="AA130" s="510"/>
      <c r="AB130" s="510"/>
      <c r="AC130" s="510"/>
      <c r="AD130" s="510"/>
      <c r="AE130" s="510"/>
      <c r="AF130" s="510"/>
      <c r="AG130" s="510"/>
      <c r="AH130" s="510"/>
      <c r="AI130" s="510"/>
      <c r="AJ130" s="510"/>
      <c r="AK130" s="510"/>
      <c r="AL130" s="510"/>
      <c r="AM130" s="510"/>
      <c r="AN130" s="510"/>
    </row>
    <row r="131" spans="1:40" ht="15.75" customHeight="1">
      <c r="A131" s="523" t="s">
        <v>310</v>
      </c>
      <c r="B131" s="510" t="s">
        <v>73</v>
      </c>
      <c r="C131" s="600" t="s">
        <v>46</v>
      </c>
      <c r="D131" s="603"/>
      <c r="E131" s="604"/>
      <c r="F131" s="552">
        <f>+INDEX('[7]Budget original'!$A$2:$AO$501,MATCH($A131,'[7]Budget original'!$A$2:$A$501,0),MATCH(F$2,'[7]Budget original'!$A$2:$AO$2,0))</f>
        <v>10404.444697692308</v>
      </c>
      <c r="G131" s="605"/>
      <c r="H131" s="604"/>
      <c r="I131" s="552"/>
      <c r="J131" s="518"/>
      <c r="K131" s="604"/>
      <c r="L131" s="553">
        <f>SUMIFS([7]BV_Data_An_Cour!$O:$O,[7]BV_Data_An_Cour!$U:$U,$B131,[7]BV_Data_An_Cour!$V:$V,$C131,[7]BV_Data_An_Cour!$W:$W,$L$2)</f>
        <v>7576.78</v>
      </c>
      <c r="M131" s="518"/>
      <c r="N131" s="606">
        <f t="shared" si="35"/>
        <v>-2827.6646976923084</v>
      </c>
      <c r="O131" s="518"/>
      <c r="P131" s="604"/>
      <c r="Q131" s="553">
        <f t="array" ref="Q131">+INDEX('[7]Réel 2023'!$A$2:$AO$501,MATCH($A131,'[7]Réel 2023'!$A$2:$A$501,0),MATCH(Q$2,'[7]Réel 2023'!$A$2:$AO$2,0))</f>
        <v>5730.84</v>
      </c>
      <c r="R131" s="518"/>
      <c r="S131" s="606">
        <f t="shared" si="37"/>
        <v>1845.9399999999996</v>
      </c>
      <c r="T131" s="510"/>
      <c r="U131" s="510"/>
      <c r="V131" s="510"/>
      <c r="W131" s="510"/>
      <c r="X131" s="510"/>
      <c r="Y131" s="510"/>
      <c r="Z131" s="510"/>
      <c r="AA131" s="510"/>
      <c r="AB131" s="510"/>
      <c r="AC131" s="510"/>
      <c r="AD131" s="510"/>
      <c r="AE131" s="510"/>
      <c r="AF131" s="510"/>
      <c r="AG131" s="510"/>
      <c r="AH131" s="510"/>
      <c r="AI131" s="510"/>
      <c r="AJ131" s="510"/>
      <c r="AK131" s="510"/>
      <c r="AL131" s="510"/>
      <c r="AM131" s="510"/>
      <c r="AN131" s="510"/>
    </row>
    <row r="132" spans="1:40" ht="15.75" customHeight="1">
      <c r="A132" s="523" t="s">
        <v>311</v>
      </c>
      <c r="B132" s="510" t="s">
        <v>73</v>
      </c>
      <c r="C132" s="600" t="s">
        <v>47</v>
      </c>
      <c r="D132" s="584"/>
      <c r="E132" s="510"/>
      <c r="F132" s="532">
        <f>+INDEX('[7]Budget original'!$A$2:$AO$501,MATCH($A132,'[7]Budget original'!$A$2:$A$501,0),MATCH(F$2,'[7]Budget original'!$A$2:$AO$2,0))</f>
        <v>5360.5508551153844</v>
      </c>
      <c r="G132" s="585"/>
      <c r="H132" s="510"/>
      <c r="I132" s="532"/>
      <c r="J132" s="531"/>
      <c r="K132" s="510"/>
      <c r="L132" s="534">
        <f>SUMIFS([7]BV_Data_An_Cour!$O:$O,[7]BV_Data_An_Cour!$U:$U,$B132,[7]BV_Data_An_Cour!$V:$V,$C132,[7]BV_Data_An_Cour!$W:$W,$L$2)</f>
        <v>-1684.7</v>
      </c>
      <c r="M132" s="531"/>
      <c r="N132" s="557">
        <f t="shared" si="35"/>
        <v>-7045.2508551153842</v>
      </c>
      <c r="O132" s="531"/>
      <c r="P132" s="510"/>
      <c r="Q132" s="534">
        <f t="array" ref="Q132">+INDEX('[7]Réel 2023'!$A$2:$AO$501,MATCH($A132,'[7]Réel 2023'!$A$2:$A$501,0),MATCH(Q$2,'[7]Réel 2023'!$A$2:$AO$2,0))</f>
        <v>1906.19</v>
      </c>
      <c r="R132" s="531"/>
      <c r="S132" s="557">
        <f t="shared" si="37"/>
        <v>-3590.8900000000003</v>
      </c>
      <c r="T132" s="510"/>
      <c r="U132" s="510"/>
      <c r="V132" s="510"/>
      <c r="W132" s="510"/>
      <c r="X132" s="510"/>
      <c r="Y132" s="510"/>
      <c r="Z132" s="510"/>
      <c r="AA132" s="510"/>
      <c r="AB132" s="510"/>
      <c r="AC132" s="510"/>
      <c r="AD132" s="510"/>
      <c r="AE132" s="510"/>
      <c r="AF132" s="510"/>
      <c r="AG132" s="510"/>
      <c r="AH132" s="510"/>
      <c r="AI132" s="510"/>
      <c r="AJ132" s="510"/>
      <c r="AK132" s="510"/>
      <c r="AL132" s="510"/>
      <c r="AM132" s="510"/>
      <c r="AN132" s="510"/>
    </row>
    <row r="133" spans="1:40" ht="15.75" customHeight="1">
      <c r="A133" s="523" t="s">
        <v>312</v>
      </c>
      <c r="B133" s="510" t="s">
        <v>73</v>
      </c>
      <c r="C133" s="600" t="s">
        <v>48</v>
      </c>
      <c r="D133" s="584"/>
      <c r="E133" s="510"/>
      <c r="F133" s="532">
        <f>+INDEX('[7]Budget original'!$A$2:$AO$501,MATCH($A133,'[7]Budget original'!$A$2:$A$501,0),MATCH(F$2,'[7]Budget original'!$A$2:$AO$2,0))</f>
        <v>2337.2303306410258</v>
      </c>
      <c r="G133" s="585"/>
      <c r="H133" s="510"/>
      <c r="I133" s="532"/>
      <c r="J133" s="531"/>
      <c r="K133" s="510"/>
      <c r="L133" s="534">
        <f>SUMIFS([7]BV_Data_An_Cour!$O:$O,[7]BV_Data_An_Cour!$U:$U,$B133,[7]BV_Data_An_Cour!$V:$V,$C133,[7]BV_Data_An_Cour!$W:$W,$L$2)</f>
        <v>1318.85</v>
      </c>
      <c r="M133" s="531"/>
      <c r="N133" s="557">
        <f t="shared" si="35"/>
        <v>-1018.3803306410259</v>
      </c>
      <c r="O133" s="531"/>
      <c r="P133" s="510"/>
      <c r="Q133" s="534">
        <f t="array" ref="Q133">+INDEX('[7]Réel 2023'!$A$2:$AO$501,MATCH($A133,'[7]Réel 2023'!$A$2:$A$501,0),MATCH(Q$2,'[7]Réel 2023'!$A$2:$AO$2,0))</f>
        <v>1041.1500000000001</v>
      </c>
      <c r="R133" s="531"/>
      <c r="S133" s="557">
        <f t="shared" si="37"/>
        <v>277.69999999999982</v>
      </c>
      <c r="T133" s="510"/>
      <c r="U133" s="510"/>
      <c r="V133" s="510"/>
      <c r="W133" s="510"/>
      <c r="X133" s="510"/>
      <c r="Y133" s="510"/>
      <c r="Z133" s="510"/>
      <c r="AA133" s="510"/>
      <c r="AB133" s="510"/>
      <c r="AC133" s="510"/>
      <c r="AD133" s="510"/>
      <c r="AE133" s="510"/>
      <c r="AF133" s="510"/>
      <c r="AG133" s="510"/>
      <c r="AH133" s="510"/>
      <c r="AI133" s="510"/>
      <c r="AJ133" s="510"/>
      <c r="AK133" s="510"/>
      <c r="AL133" s="510"/>
      <c r="AM133" s="510"/>
      <c r="AN133" s="510"/>
    </row>
    <row r="134" spans="1:40" ht="15.75" hidden="1" customHeight="1">
      <c r="A134" s="523" t="s">
        <v>303</v>
      </c>
      <c r="B134" s="510" t="s">
        <v>73</v>
      </c>
      <c r="C134" s="531" t="s">
        <v>20</v>
      </c>
      <c r="D134" s="587"/>
      <c r="E134" s="607"/>
      <c r="F134" s="532">
        <f>+INDEX('[7]Budget original'!$A$2:$AO$501,MATCH($A134,'[7]Budget original'!$A$2:$A$501,0),MATCH(F$2,'[7]Budget original'!$A$2:$AO$2,0))</f>
        <v>0</v>
      </c>
      <c r="G134" s="588"/>
      <c r="H134" s="607"/>
      <c r="I134" s="532"/>
      <c r="J134" s="524"/>
      <c r="K134" s="607"/>
      <c r="L134" s="534">
        <f>SUMIFS([7]BV_Data_An_Cour!$O:$O,[7]BV_Data_An_Cour!$U:$U,$B134,[7]BV_Data_An_Cour!$V:$V,$C134,[7]BV_Data_An_Cour!$W:$W,$L$2)</f>
        <v>0</v>
      </c>
      <c r="M134" s="524"/>
      <c r="N134" s="582">
        <f t="shared" si="35"/>
        <v>0</v>
      </c>
      <c r="O134" s="524"/>
      <c r="P134" s="607"/>
      <c r="Q134" s="534">
        <f t="array" ref="Q134">+INDEX('[7]Réel 2023'!$A$2:$AO$501,MATCH($A134,'[7]Réel 2023'!$A$2:$A$501,0),MATCH(Q$2,'[7]Réel 2023'!$A$2:$AO$2,0))</f>
        <v>0</v>
      </c>
      <c r="R134" s="524"/>
      <c r="S134" s="582">
        <f t="shared" si="37"/>
        <v>0</v>
      </c>
      <c r="T134" s="510"/>
      <c r="U134" s="510"/>
      <c r="V134" s="510"/>
      <c r="W134" s="510"/>
      <c r="X134" s="510"/>
      <c r="Y134" s="510"/>
      <c r="Z134" s="510"/>
      <c r="AA134" s="510"/>
      <c r="AB134" s="510"/>
      <c r="AC134" s="510"/>
      <c r="AD134" s="510"/>
      <c r="AE134" s="510"/>
      <c r="AF134" s="510"/>
      <c r="AG134" s="510"/>
      <c r="AH134" s="510"/>
      <c r="AI134" s="510"/>
      <c r="AJ134" s="510"/>
      <c r="AK134" s="510"/>
      <c r="AL134" s="510"/>
      <c r="AM134" s="510"/>
      <c r="AN134" s="510"/>
    </row>
    <row r="135" spans="1:40" ht="15.75" customHeight="1">
      <c r="A135" s="523" t="s">
        <v>313</v>
      </c>
      <c r="B135" s="510" t="s">
        <v>73</v>
      </c>
      <c r="C135" s="592" t="s">
        <v>49</v>
      </c>
      <c r="D135" s="593" t="s">
        <v>39</v>
      </c>
      <c r="E135" s="594">
        <f>F135/F$108</f>
        <v>0.32867277000390233</v>
      </c>
      <c r="F135" s="595">
        <f>+SUM(F123:F134)</f>
        <v>53154.998136205126</v>
      </c>
      <c r="G135" s="596"/>
      <c r="H135" s="594"/>
      <c r="I135" s="595"/>
      <c r="J135" s="596" t="s">
        <v>39</v>
      </c>
      <c r="K135" s="594">
        <f>L135/L$108</f>
        <v>0.29123706094479845</v>
      </c>
      <c r="L135" s="595">
        <f>SUM(L123:L134)</f>
        <v>32338.339999999997</v>
      </c>
      <c r="M135" s="650"/>
      <c r="N135" s="609">
        <f t="shared" si="35"/>
        <v>-20816.658136205129</v>
      </c>
      <c r="O135" s="596" t="s">
        <v>39</v>
      </c>
      <c r="P135" s="594">
        <f>Q135/Q$108</f>
        <v>0.71052360127216518</v>
      </c>
      <c r="Q135" s="595">
        <f>+SUM(Q123:Q134)</f>
        <v>36989.340000000004</v>
      </c>
      <c r="R135" s="650"/>
      <c r="S135" s="609">
        <f t="shared" si="37"/>
        <v>-4651.0000000000073</v>
      </c>
      <c r="T135" s="510"/>
      <c r="U135" s="510"/>
      <c r="V135" s="510"/>
      <c r="W135" s="510"/>
      <c r="X135" s="510"/>
      <c r="Y135" s="510"/>
      <c r="Z135" s="510"/>
      <c r="AA135" s="510"/>
      <c r="AB135" s="510"/>
      <c r="AC135" s="510"/>
      <c r="AD135" s="510"/>
      <c r="AE135" s="510"/>
      <c r="AF135" s="510"/>
      <c r="AG135" s="510"/>
      <c r="AH135" s="510"/>
      <c r="AI135" s="510"/>
      <c r="AJ135" s="510"/>
      <c r="AK135" s="510"/>
      <c r="AL135" s="510"/>
      <c r="AM135" s="510"/>
      <c r="AN135" s="510"/>
    </row>
    <row r="136" spans="1:40" ht="15.75" hidden="1" customHeight="1">
      <c r="A136" s="523" t="s">
        <v>314</v>
      </c>
      <c r="B136" s="510" t="s">
        <v>73</v>
      </c>
      <c r="C136" s="531" t="s">
        <v>50</v>
      </c>
      <c r="D136" s="584"/>
      <c r="E136" s="510"/>
      <c r="F136" s="532">
        <f>+INDEX('[7]Budget original'!$A$2:$AO$501,MATCH($A136,'[7]Budget original'!$A$2:$A$501,0),MATCH(F$2,'[7]Budget original'!$A$2:$AO$2,0))</f>
        <v>0</v>
      </c>
      <c r="G136" s="585"/>
      <c r="H136" s="510"/>
      <c r="I136" s="532"/>
      <c r="J136" s="531"/>
      <c r="K136" s="510"/>
      <c r="L136" s="534">
        <f>SUMIFS([7]BV_Data_An_Cour!$O:$O,[7]BV_Data_An_Cour!$U:$U,$B136,[7]BV_Data_An_Cour!$V:$V,$C136,[7]BV_Data_An_Cour!$W:$W,$L$2)</f>
        <v>0</v>
      </c>
      <c r="M136" s="531"/>
      <c r="N136" s="557">
        <f t="shared" si="35"/>
        <v>0</v>
      </c>
      <c r="O136" s="531"/>
      <c r="P136" s="510"/>
      <c r="Q136" s="534">
        <f t="array" ref="Q136">+INDEX('[7]Réel 2023'!$A$2:$AO$501,MATCH($A136,'[7]Réel 2023'!$A$2:$A$501,0),MATCH(Q$2,'[7]Réel 2023'!$A$2:$AO$2,0))</f>
        <v>0</v>
      </c>
      <c r="R136" s="531"/>
      <c r="S136" s="557">
        <f t="shared" si="37"/>
        <v>0</v>
      </c>
      <c r="T136" s="510"/>
      <c r="U136" s="510"/>
      <c r="V136" s="510"/>
      <c r="W136" s="510"/>
      <c r="X136" s="510"/>
      <c r="Y136" s="510"/>
      <c r="Z136" s="510"/>
      <c r="AA136" s="510"/>
      <c r="AB136" s="510"/>
      <c r="AC136" s="510"/>
      <c r="AD136" s="510"/>
      <c r="AE136" s="510"/>
      <c r="AF136" s="510"/>
      <c r="AG136" s="510"/>
      <c r="AH136" s="510"/>
      <c r="AI136" s="510"/>
      <c r="AJ136" s="510"/>
      <c r="AK136" s="510"/>
      <c r="AL136" s="510"/>
      <c r="AM136" s="510"/>
      <c r="AN136" s="510"/>
    </row>
    <row r="137" spans="1:40" ht="15.75" hidden="1" customHeight="1">
      <c r="A137" s="523" t="s">
        <v>315</v>
      </c>
      <c r="B137" s="510" t="s">
        <v>73</v>
      </c>
      <c r="C137" s="531" t="s">
        <v>51</v>
      </c>
      <c r="D137" s="584"/>
      <c r="E137" s="510"/>
      <c r="F137" s="532">
        <f>+INDEX('[7]Budget original'!$A$2:$AO$501,MATCH($A137,'[7]Budget original'!$A$2:$A$501,0),MATCH(F$2,'[7]Budget original'!$A$2:$AO$2,0))</f>
        <v>0</v>
      </c>
      <c r="G137" s="585"/>
      <c r="H137" s="510"/>
      <c r="I137" s="532"/>
      <c r="J137" s="531"/>
      <c r="K137" s="510"/>
      <c r="L137" s="534">
        <f>SUMIFS([7]BV_Data_An_Cour!$O:$O,[7]BV_Data_An_Cour!$U:$U,$B137,[7]BV_Data_An_Cour!$V:$V,$C137,[7]BV_Data_An_Cour!$W:$W,$L$2)</f>
        <v>0</v>
      </c>
      <c r="M137" s="531"/>
      <c r="N137" s="557">
        <f t="shared" si="35"/>
        <v>0</v>
      </c>
      <c r="O137" s="531"/>
      <c r="P137" s="510"/>
      <c r="Q137" s="534">
        <f t="array" ref="Q137">+INDEX('[7]Réel 2023'!$A$2:$AO$501,MATCH($A137,'[7]Réel 2023'!$A$2:$A$501,0),MATCH(Q$2,'[7]Réel 2023'!$A$2:$AO$2,0))</f>
        <v>0</v>
      </c>
      <c r="R137" s="531"/>
      <c r="S137" s="557">
        <f t="shared" si="37"/>
        <v>0</v>
      </c>
      <c r="T137" s="510"/>
      <c r="U137" s="510"/>
      <c r="V137" s="510"/>
      <c r="W137" s="510"/>
      <c r="X137" s="510"/>
      <c r="Y137" s="510"/>
      <c r="Z137" s="510"/>
      <c r="AA137" s="510"/>
      <c r="AB137" s="510"/>
      <c r="AC137" s="510"/>
      <c r="AD137" s="510"/>
      <c r="AE137" s="510"/>
      <c r="AF137" s="510"/>
      <c r="AG137" s="510"/>
      <c r="AH137" s="510"/>
      <c r="AI137" s="510"/>
      <c r="AJ137" s="510"/>
      <c r="AK137" s="510"/>
      <c r="AL137" s="510"/>
      <c r="AM137" s="510"/>
      <c r="AN137" s="510"/>
    </row>
    <row r="138" spans="1:40" ht="15.75" customHeight="1">
      <c r="A138" s="523" t="s">
        <v>316</v>
      </c>
      <c r="B138" s="510" t="s">
        <v>73</v>
      </c>
      <c r="C138" s="524" t="s">
        <v>52</v>
      </c>
      <c r="D138" s="587"/>
      <c r="E138" s="607"/>
      <c r="F138" s="526">
        <f>+INDEX('[7]Budget original'!$A$2:$AO$501,MATCH($A138,'[7]Budget original'!$A$2:$A$501,0),MATCH(F$2,'[7]Budget original'!$A$2:$AO$2,0))</f>
        <v>2458.3333333333335</v>
      </c>
      <c r="G138" s="588"/>
      <c r="H138" s="607"/>
      <c r="I138" s="526"/>
      <c r="J138" s="524"/>
      <c r="K138" s="607"/>
      <c r="L138" s="526">
        <f>SUMIFS([7]BV_Data_An_Cour!$O:$O,[7]BV_Data_An_Cour!$U:$U,$B138,[7]BV_Data_An_Cour!$V:$V,$C138,[7]BV_Data_An_Cour!$W:$W,$L$2)</f>
        <v>3842.56</v>
      </c>
      <c r="M138" s="524"/>
      <c r="N138" s="582">
        <f t="shared" si="35"/>
        <v>1384.2266666666665</v>
      </c>
      <c r="O138" s="524"/>
      <c r="P138" s="607"/>
      <c r="Q138" s="526">
        <f t="array" ref="Q138">+INDEX('[7]Réel 2023'!$A$2:$AO$501,MATCH($A138,'[7]Réel 2023'!$A$2:$A$501,0),MATCH(Q$2,'[7]Réel 2023'!$A$2:$AO$2,0))</f>
        <v>561.08000000000004</v>
      </c>
      <c r="R138" s="524"/>
      <c r="S138" s="582">
        <f t="shared" si="37"/>
        <v>3281.48</v>
      </c>
      <c r="T138" s="510"/>
      <c r="U138" s="510"/>
      <c r="V138" s="510"/>
      <c r="W138" s="510"/>
      <c r="X138" s="510"/>
      <c r="Y138" s="510"/>
      <c r="Z138" s="510"/>
      <c r="AA138" s="510"/>
      <c r="AB138" s="510"/>
      <c r="AC138" s="510"/>
      <c r="AD138" s="510"/>
      <c r="AE138" s="510"/>
      <c r="AF138" s="510"/>
      <c r="AG138" s="510"/>
      <c r="AH138" s="510"/>
      <c r="AI138" s="510"/>
      <c r="AJ138" s="510"/>
      <c r="AK138" s="510"/>
      <c r="AL138" s="510"/>
      <c r="AM138" s="510"/>
      <c r="AN138" s="510"/>
    </row>
    <row r="139" spans="1:40" ht="15.75" customHeight="1">
      <c r="A139" s="523" t="s">
        <v>317</v>
      </c>
      <c r="B139" s="510" t="s">
        <v>73</v>
      </c>
      <c r="C139" s="531" t="s">
        <v>53</v>
      </c>
      <c r="D139" s="584"/>
      <c r="E139" s="510"/>
      <c r="F139" s="532">
        <f>+INDEX('[7]Budget original'!$A$2:$AO$501,MATCH($A139,'[7]Budget original'!$A$2:$A$501,0),MATCH(F$2,'[7]Budget original'!$A$2:$AO$2,0))</f>
        <v>3627.0415373333331</v>
      </c>
      <c r="G139" s="585"/>
      <c r="H139" s="510"/>
      <c r="I139" s="532"/>
      <c r="J139" s="531"/>
      <c r="K139" s="510"/>
      <c r="L139" s="534">
        <f>SUMIFS([7]BV_Data_An_Cour!$O:$O,[7]BV_Data_An_Cour!$U:$U,$B139,[7]BV_Data_An_Cour!$V:$V,$C139,[7]BV_Data_An_Cour!$W:$W,$L$2)</f>
        <v>3362.33</v>
      </c>
      <c r="M139" s="531"/>
      <c r="N139" s="557">
        <f t="shared" si="35"/>
        <v>-264.71153733333313</v>
      </c>
      <c r="O139" s="531"/>
      <c r="P139" s="510"/>
      <c r="Q139" s="534">
        <f t="array" ref="Q139">+INDEX('[7]Réel 2023'!$A$2:$AO$501,MATCH($A139,'[7]Réel 2023'!$A$2:$A$501,0),MATCH(Q$2,'[7]Réel 2023'!$A$2:$AO$2,0))</f>
        <v>3471.27</v>
      </c>
      <c r="R139" s="531"/>
      <c r="S139" s="557">
        <f t="shared" si="37"/>
        <v>-108.94000000000005</v>
      </c>
      <c r="T139" s="510"/>
      <c r="U139" s="510"/>
      <c r="V139" s="510"/>
      <c r="W139" s="510"/>
      <c r="X139" s="510"/>
      <c r="Y139" s="510"/>
      <c r="Z139" s="510"/>
      <c r="AA139" s="510"/>
      <c r="AB139" s="510"/>
      <c r="AC139" s="510"/>
      <c r="AD139" s="510"/>
      <c r="AE139" s="510"/>
      <c r="AF139" s="510"/>
      <c r="AG139" s="510"/>
      <c r="AH139" s="510"/>
      <c r="AI139" s="510"/>
      <c r="AJ139" s="510"/>
      <c r="AK139" s="510"/>
      <c r="AL139" s="510"/>
      <c r="AM139" s="510"/>
      <c r="AN139" s="510"/>
    </row>
    <row r="140" spans="1:40" ht="15.75" customHeight="1">
      <c r="A140" s="523" t="s">
        <v>318</v>
      </c>
      <c r="B140" s="510" t="s">
        <v>73</v>
      </c>
      <c r="C140" s="531" t="s">
        <v>54</v>
      </c>
      <c r="D140" s="584"/>
      <c r="E140" s="510"/>
      <c r="F140" s="532">
        <f>+INDEX('[7]Budget original'!$A$2:$AO$501,MATCH($A140,'[7]Budget original'!$A$2:$A$501,0),MATCH(F$2,'[7]Budget original'!$A$2:$AO$2,0))</f>
        <v>521.10924639426287</v>
      </c>
      <c r="G140" s="585"/>
      <c r="H140" s="510"/>
      <c r="I140" s="532"/>
      <c r="J140" s="531"/>
      <c r="K140" s="510"/>
      <c r="L140" s="534">
        <f>SUMIFS([7]BV_Data_An_Cour!$O:$O,[7]BV_Data_An_Cour!$U:$U,$B140,[7]BV_Data_An_Cour!$V:$V,$C140,[7]BV_Data_An_Cour!$W:$W,$L$2)</f>
        <v>701.68</v>
      </c>
      <c r="M140" s="531"/>
      <c r="N140" s="557">
        <f t="shared" si="35"/>
        <v>180.57075360573708</v>
      </c>
      <c r="O140" s="531"/>
      <c r="P140" s="510"/>
      <c r="Q140" s="534">
        <f t="array" ref="Q140">+INDEX('[7]Réel 2023'!$A$2:$AO$501,MATCH($A140,'[7]Réel 2023'!$A$2:$A$501,0),MATCH(Q$2,'[7]Réel 2023'!$A$2:$AO$2,0))</f>
        <v>491.66</v>
      </c>
      <c r="R140" s="531"/>
      <c r="S140" s="557">
        <f t="shared" si="37"/>
        <v>210.01999999999992</v>
      </c>
      <c r="T140" s="648"/>
      <c r="U140" s="510"/>
      <c r="V140" s="510"/>
      <c r="W140" s="510"/>
      <c r="X140" s="510"/>
      <c r="Y140" s="510"/>
      <c r="Z140" s="510"/>
      <c r="AA140" s="510"/>
      <c r="AB140" s="510"/>
      <c r="AC140" s="510"/>
      <c r="AD140" s="510"/>
      <c r="AE140" s="510"/>
      <c r="AF140" s="510"/>
      <c r="AG140" s="510"/>
      <c r="AH140" s="510"/>
      <c r="AI140" s="510"/>
      <c r="AJ140" s="510"/>
      <c r="AK140" s="510"/>
      <c r="AL140" s="510"/>
      <c r="AM140" s="510"/>
      <c r="AN140" s="510"/>
    </row>
    <row r="141" spans="1:40" ht="15.75" customHeight="1">
      <c r="A141" s="523" t="s">
        <v>319</v>
      </c>
      <c r="B141" s="510" t="s">
        <v>73</v>
      </c>
      <c r="C141" s="524" t="s">
        <v>55</v>
      </c>
      <c r="D141" s="587"/>
      <c r="E141" s="607"/>
      <c r="F141" s="526">
        <f>+INDEX('[7]Budget original'!$A$2:$AO$501,MATCH($A141,'[7]Budget original'!$A$2:$A$501,0),MATCH(F$2,'[7]Budget original'!$A$2:$AO$2,0))</f>
        <v>1489.5910533277777</v>
      </c>
      <c r="G141" s="588"/>
      <c r="H141" s="607"/>
      <c r="I141" s="526"/>
      <c r="J141" s="524"/>
      <c r="K141" s="607"/>
      <c r="L141" s="526">
        <f>SUMIFS([7]BV_Data_An_Cour!$O:$O,[7]BV_Data_An_Cour!$U:$U,$B141,[7]BV_Data_An_Cour!$V:$V,$C141,[7]BV_Data_An_Cour!$W:$W,$L$2)</f>
        <v>2428.6999999999998</v>
      </c>
      <c r="M141" s="524"/>
      <c r="N141" s="582">
        <f t="shared" si="35"/>
        <v>939.10894667222215</v>
      </c>
      <c r="O141" s="524"/>
      <c r="P141" s="607"/>
      <c r="Q141" s="526">
        <f t="array" ref="Q141">+INDEX('[7]Réel 2023'!$A$2:$AO$501,MATCH($A141,'[7]Réel 2023'!$A$2:$A$501,0),MATCH(Q$2,'[7]Réel 2023'!$A$2:$AO$2,0))</f>
        <v>1983.25</v>
      </c>
      <c r="R141" s="524"/>
      <c r="S141" s="582">
        <f t="shared" si="37"/>
        <v>445.44999999999982</v>
      </c>
      <c r="T141" s="510"/>
      <c r="U141" s="510"/>
      <c r="V141" s="510"/>
      <c r="W141" s="510"/>
      <c r="X141" s="510"/>
      <c r="Y141" s="510"/>
      <c r="Z141" s="510"/>
      <c r="AA141" s="510"/>
      <c r="AB141" s="510"/>
      <c r="AC141" s="510"/>
      <c r="AD141" s="510"/>
      <c r="AE141" s="510"/>
      <c r="AF141" s="510"/>
      <c r="AG141" s="510"/>
      <c r="AH141" s="510"/>
      <c r="AI141" s="510"/>
      <c r="AJ141" s="510"/>
      <c r="AK141" s="510"/>
      <c r="AL141" s="510"/>
      <c r="AM141" s="510"/>
      <c r="AN141" s="510"/>
    </row>
    <row r="142" spans="1:40" ht="15.75" customHeight="1">
      <c r="A142" s="523" t="s">
        <v>320</v>
      </c>
      <c r="B142" s="510" t="s">
        <v>73</v>
      </c>
      <c r="C142" s="531" t="s">
        <v>56</v>
      </c>
      <c r="D142" s="584"/>
      <c r="E142" s="510"/>
      <c r="F142" s="532">
        <f>+INDEX('[7]Budget original'!$A$2:$AO$501,MATCH($A142,'[7]Budget original'!$A$2:$A$501,0),MATCH(F$2,'[7]Budget original'!$A$2:$AO$2,0))</f>
        <v>125</v>
      </c>
      <c r="G142" s="585"/>
      <c r="H142" s="510"/>
      <c r="I142" s="532"/>
      <c r="J142" s="531"/>
      <c r="K142" s="510"/>
      <c r="L142" s="534">
        <f>SUMIFS([7]BV_Data_An_Cour!$O:$O,[7]BV_Data_An_Cour!$U:$U,$B142,[7]BV_Data_An_Cour!$V:$V,$C142,[7]BV_Data_An_Cour!$W:$W,$L$2)</f>
        <v>0</v>
      </c>
      <c r="M142" s="531"/>
      <c r="N142" s="557">
        <f t="shared" si="35"/>
        <v>-125</v>
      </c>
      <c r="O142" s="531"/>
      <c r="P142" s="510"/>
      <c r="Q142" s="534">
        <f t="array" ref="Q142">+INDEX('[7]Réel 2023'!$A$2:$AO$501,MATCH($A142,'[7]Réel 2023'!$A$2:$A$501,0),MATCH(Q$2,'[7]Réel 2023'!$A$2:$AO$2,0))</f>
        <v>115.35</v>
      </c>
      <c r="R142" s="531"/>
      <c r="S142" s="557">
        <f t="shared" si="37"/>
        <v>-115.35</v>
      </c>
      <c r="T142" s="510"/>
      <c r="U142" s="510"/>
      <c r="V142" s="510"/>
      <c r="W142" s="510"/>
      <c r="X142" s="510"/>
      <c r="Y142" s="510"/>
      <c r="Z142" s="510"/>
      <c r="AA142" s="510"/>
      <c r="AB142" s="510"/>
      <c r="AC142" s="510"/>
      <c r="AD142" s="510"/>
      <c r="AE142" s="510"/>
      <c r="AF142" s="510"/>
      <c r="AG142" s="510"/>
      <c r="AH142" s="510"/>
      <c r="AI142" s="510"/>
      <c r="AJ142" s="510"/>
      <c r="AK142" s="510"/>
      <c r="AL142" s="510"/>
      <c r="AM142" s="510"/>
      <c r="AN142" s="510"/>
    </row>
    <row r="143" spans="1:40" ht="15.75" customHeight="1">
      <c r="A143" s="523" t="s">
        <v>321</v>
      </c>
      <c r="B143" s="510" t="s">
        <v>73</v>
      </c>
      <c r="C143" s="531" t="s">
        <v>57</v>
      </c>
      <c r="D143" s="584"/>
      <c r="E143" s="510"/>
      <c r="F143" s="532">
        <f>+INDEX('[7]Budget original'!$A$2:$AO$501,MATCH($A143,'[7]Budget original'!$A$2:$A$501,0),MATCH(F$2,'[7]Budget original'!$A$2:$AO$2,0))</f>
        <v>83.333333333333329</v>
      </c>
      <c r="G143" s="585"/>
      <c r="H143" s="510"/>
      <c r="I143" s="532"/>
      <c r="J143" s="531"/>
      <c r="K143" s="510"/>
      <c r="L143" s="534">
        <f>SUMIFS([7]BV_Data_An_Cour!$O:$O,[7]BV_Data_An_Cour!$U:$U,$B143,[7]BV_Data_An_Cour!$V:$V,$C143,[7]BV_Data_An_Cour!$W:$W,$L$2)</f>
        <v>0</v>
      </c>
      <c r="M143" s="531"/>
      <c r="N143" s="557">
        <f t="shared" si="35"/>
        <v>-83.333333333333329</v>
      </c>
      <c r="O143" s="531"/>
      <c r="P143" s="510"/>
      <c r="Q143" s="534">
        <f t="array" ref="Q143">+INDEX('[7]Réel 2023'!$A$2:$AO$501,MATCH($A143,'[7]Réel 2023'!$A$2:$A$501,0),MATCH(Q$2,'[7]Réel 2023'!$A$2:$AO$2,0))</f>
        <v>0</v>
      </c>
      <c r="R143" s="531"/>
      <c r="S143" s="557">
        <f t="shared" si="37"/>
        <v>0</v>
      </c>
      <c r="T143" s="510"/>
      <c r="U143" s="510"/>
      <c r="V143" s="510"/>
      <c r="W143" s="510"/>
      <c r="X143" s="510"/>
      <c r="Y143" s="510"/>
      <c r="Z143" s="510"/>
      <c r="AA143" s="510"/>
      <c r="AB143" s="510"/>
      <c r="AC143" s="510"/>
      <c r="AD143" s="510"/>
      <c r="AE143" s="510"/>
      <c r="AF143" s="510"/>
      <c r="AG143" s="510"/>
      <c r="AH143" s="510"/>
      <c r="AI143" s="510"/>
      <c r="AJ143" s="510"/>
      <c r="AK143" s="510"/>
      <c r="AL143" s="510"/>
      <c r="AM143" s="510"/>
      <c r="AN143" s="510"/>
    </row>
    <row r="144" spans="1:40" ht="15.75" customHeight="1">
      <c r="A144" s="523" t="s">
        <v>322</v>
      </c>
      <c r="B144" s="510" t="s">
        <v>73</v>
      </c>
      <c r="C144" s="531" t="s">
        <v>58</v>
      </c>
      <c r="D144" s="584"/>
      <c r="E144" s="510"/>
      <c r="F144" s="532">
        <f>+INDEX('[7]Budget original'!$A$2:$AO$501,MATCH($A144,'[7]Budget original'!$A$2:$A$501,0),MATCH(F$2,'[7]Budget original'!$A$2:$AO$2,0))</f>
        <v>306.78425698799998</v>
      </c>
      <c r="G144" s="585"/>
      <c r="H144" s="510"/>
      <c r="I144" s="532"/>
      <c r="J144" s="531"/>
      <c r="K144" s="510"/>
      <c r="L144" s="534">
        <f>SUMIFS([7]BV_Data_An_Cour!$O:$O,[7]BV_Data_An_Cour!$U:$U,$B144,[7]BV_Data_An_Cour!$V:$V,$C144,[7]BV_Data_An_Cour!$W:$W,$L$2)</f>
        <v>473.37</v>
      </c>
      <c r="M144" s="531"/>
      <c r="N144" s="557">
        <f t="shared" si="35"/>
        <v>166.58574301200002</v>
      </c>
      <c r="O144" s="531"/>
      <c r="P144" s="510"/>
      <c r="Q144" s="534">
        <f t="array" ref="Q144">+INDEX('[7]Réel 2023'!$A$2:$AO$501,MATCH($A144,'[7]Réel 2023'!$A$2:$A$501,0),MATCH(Q$2,'[7]Réel 2023'!$A$2:$AO$2,0))</f>
        <v>774.66</v>
      </c>
      <c r="R144" s="531"/>
      <c r="S144" s="557">
        <f t="shared" si="37"/>
        <v>-301.28999999999996</v>
      </c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510"/>
      <c r="AH144" s="510"/>
      <c r="AI144" s="510"/>
      <c r="AJ144" s="510"/>
      <c r="AK144" s="510"/>
      <c r="AL144" s="510"/>
      <c r="AM144" s="510"/>
      <c r="AN144" s="510"/>
    </row>
    <row r="145" spans="1:40" ht="15.75" customHeight="1">
      <c r="A145" s="523" t="s">
        <v>323</v>
      </c>
      <c r="B145" s="510" t="s">
        <v>73</v>
      </c>
      <c r="C145" s="531" t="s">
        <v>59</v>
      </c>
      <c r="D145" s="584"/>
      <c r="E145" s="510"/>
      <c r="F145" s="532">
        <f>+INDEX('[7]Budget original'!$A$2:$AO$501,MATCH($A145,'[7]Budget original'!$A$2:$A$501,0),MATCH(F$2,'[7]Budget original'!$A$2:$AO$2,0))</f>
        <v>84.486631894833309</v>
      </c>
      <c r="G145" s="585"/>
      <c r="H145" s="510"/>
      <c r="I145" s="532"/>
      <c r="J145" s="531"/>
      <c r="K145" s="510"/>
      <c r="L145" s="534">
        <f>SUMIFS([7]BV_Data_An_Cour!$O:$O,[7]BV_Data_An_Cour!$U:$U,$B145,[7]BV_Data_An_Cour!$V:$V,$C145,[7]BV_Data_An_Cour!$W:$W,$L$2)</f>
        <v>92.04</v>
      </c>
      <c r="M145" s="531"/>
      <c r="N145" s="557">
        <f t="shared" si="35"/>
        <v>7.5533681051666974</v>
      </c>
      <c r="O145" s="531"/>
      <c r="P145" s="510"/>
      <c r="Q145" s="534">
        <f t="array" ref="Q145">+INDEX('[7]Réel 2023'!$A$2:$AO$501,MATCH($A145,'[7]Réel 2023'!$A$2:$A$501,0),MATCH(Q$2,'[7]Réel 2023'!$A$2:$AO$2,0))</f>
        <v>113.83</v>
      </c>
      <c r="R145" s="531"/>
      <c r="S145" s="557">
        <f t="shared" si="37"/>
        <v>-21.789999999999992</v>
      </c>
      <c r="T145" s="510"/>
      <c r="U145" s="510"/>
      <c r="V145" s="510"/>
      <c r="W145" s="510"/>
      <c r="X145" s="510"/>
      <c r="Y145" s="510"/>
      <c r="Z145" s="510"/>
      <c r="AA145" s="510"/>
      <c r="AB145" s="510"/>
      <c r="AC145" s="510"/>
      <c r="AD145" s="510"/>
      <c r="AE145" s="510"/>
      <c r="AF145" s="510"/>
      <c r="AG145" s="510"/>
      <c r="AH145" s="510"/>
      <c r="AI145" s="510"/>
      <c r="AJ145" s="510"/>
      <c r="AK145" s="510"/>
      <c r="AL145" s="510"/>
      <c r="AM145" s="510"/>
      <c r="AN145" s="510"/>
    </row>
    <row r="146" spans="1:40" ht="15.75" customHeight="1">
      <c r="A146" s="523" t="s">
        <v>324</v>
      </c>
      <c r="B146" s="510" t="s">
        <v>73</v>
      </c>
      <c r="C146" s="531" t="s">
        <v>60</v>
      </c>
      <c r="D146" s="584"/>
      <c r="E146" s="510"/>
      <c r="F146" s="532">
        <f>+INDEX('[7]Budget original'!$A$2:$AO$501,MATCH($A146,'[7]Budget original'!$A$2:$A$501,0),MATCH(F$2,'[7]Budget original'!$A$2:$AO$2,0))</f>
        <v>60.326747465166655</v>
      </c>
      <c r="G146" s="585"/>
      <c r="H146" s="510"/>
      <c r="I146" s="532"/>
      <c r="J146" s="531"/>
      <c r="K146" s="510"/>
      <c r="L146" s="534">
        <f>SUMIFS([7]BV_Data_An_Cour!$O:$O,[7]BV_Data_An_Cour!$U:$U,$B146,[7]BV_Data_An_Cour!$V:$V,$C146,[7]BV_Data_An_Cour!$W:$W,$L$2)</f>
        <v>15.09</v>
      </c>
      <c r="M146" s="531"/>
      <c r="N146" s="557">
        <f t="shared" si="35"/>
        <v>-45.236747465166658</v>
      </c>
      <c r="O146" s="531"/>
      <c r="P146" s="510"/>
      <c r="Q146" s="534">
        <f t="array" ref="Q146">+INDEX('[7]Réel 2023'!$A$2:$AO$501,MATCH($A146,'[7]Réel 2023'!$A$2:$A$501,0),MATCH(Q$2,'[7]Réel 2023'!$A$2:$AO$2,0))</f>
        <v>84.69</v>
      </c>
      <c r="R146" s="531"/>
      <c r="S146" s="557">
        <f t="shared" si="37"/>
        <v>-69.599999999999994</v>
      </c>
      <c r="T146" s="510"/>
      <c r="U146" s="510"/>
      <c r="V146" s="510"/>
      <c r="W146" s="510"/>
      <c r="X146" s="510"/>
      <c r="Y146" s="510"/>
      <c r="Z146" s="510"/>
      <c r="AA146" s="510"/>
      <c r="AB146" s="510"/>
      <c r="AC146" s="510"/>
      <c r="AD146" s="510"/>
      <c r="AE146" s="510"/>
      <c r="AF146" s="510"/>
      <c r="AG146" s="510"/>
      <c r="AH146" s="510"/>
      <c r="AI146" s="510"/>
      <c r="AJ146" s="510"/>
      <c r="AK146" s="510"/>
      <c r="AL146" s="510"/>
      <c r="AM146" s="510"/>
      <c r="AN146" s="510"/>
    </row>
    <row r="147" spans="1:40" ht="15.75" customHeight="1">
      <c r="A147" s="523" t="s">
        <v>325</v>
      </c>
      <c r="B147" s="510" t="s">
        <v>73</v>
      </c>
      <c r="C147" s="531" t="s">
        <v>61</v>
      </c>
      <c r="D147" s="584"/>
      <c r="E147" s="510"/>
      <c r="F147" s="532">
        <f>+INDEX('[7]Budget original'!$A$2:$AO$501,MATCH($A147,'[7]Budget original'!$A$2:$A$501,0),MATCH(F$2,'[7]Budget original'!$A$2:$AO$2,0))</f>
        <v>199.78005128816665</v>
      </c>
      <c r="G147" s="585"/>
      <c r="H147" s="510"/>
      <c r="I147" s="532"/>
      <c r="J147" s="531"/>
      <c r="K147" s="510"/>
      <c r="L147" s="534">
        <f>SUMIFS([7]BV_Data_An_Cour!$O:$O,[7]BV_Data_An_Cour!$U:$U,$B147,[7]BV_Data_An_Cour!$V:$V,$C147,[7]BV_Data_An_Cour!$W:$W,$L$2)</f>
        <v>167.55</v>
      </c>
      <c r="M147" s="531"/>
      <c r="N147" s="557">
        <f t="shared" si="35"/>
        <v>-32.230051288166635</v>
      </c>
      <c r="O147" s="531"/>
      <c r="P147" s="510"/>
      <c r="Q147" s="534">
        <f t="array" ref="Q147">+INDEX('[7]Réel 2023'!$A$2:$AO$501,MATCH($A147,'[7]Réel 2023'!$A$2:$A$501,0),MATCH(Q$2,'[7]Réel 2023'!$A$2:$AO$2,0))</f>
        <v>38.549999999999997</v>
      </c>
      <c r="R147" s="531"/>
      <c r="S147" s="557">
        <f t="shared" si="37"/>
        <v>129</v>
      </c>
      <c r="T147" s="510"/>
      <c r="U147" s="510"/>
      <c r="V147" s="510"/>
      <c r="W147" s="510"/>
      <c r="X147" s="510"/>
      <c r="Y147" s="510"/>
      <c r="Z147" s="510"/>
      <c r="AA147" s="510"/>
      <c r="AB147" s="510"/>
      <c r="AC147" s="510"/>
      <c r="AD147" s="510"/>
      <c r="AE147" s="510"/>
      <c r="AF147" s="510"/>
      <c r="AG147" s="510"/>
      <c r="AH147" s="510"/>
      <c r="AI147" s="510"/>
      <c r="AJ147" s="510"/>
      <c r="AK147" s="510"/>
      <c r="AL147" s="510"/>
      <c r="AM147" s="510"/>
      <c r="AN147" s="510"/>
    </row>
    <row r="148" spans="1:40" ht="15.75" customHeight="1">
      <c r="A148" s="523" t="s">
        <v>326</v>
      </c>
      <c r="B148" s="510" t="s">
        <v>73</v>
      </c>
      <c r="C148" s="531" t="s">
        <v>62</v>
      </c>
      <c r="D148" s="584"/>
      <c r="E148" s="510"/>
      <c r="F148" s="532">
        <f>+INDEX('[7]Budget original'!$A$2:$AO$501,MATCH($A148,'[7]Budget original'!$A$2:$A$501,0),MATCH(F$2,'[7]Budget original'!$A$2:$AO$2,0))</f>
        <v>502.23226969701432</v>
      </c>
      <c r="G148" s="585"/>
      <c r="H148" s="510"/>
      <c r="I148" s="532"/>
      <c r="J148" s="531"/>
      <c r="K148" s="510"/>
      <c r="L148" s="534">
        <f>SUMIFS([7]BV_Data_An_Cour!$O:$O,[7]BV_Data_An_Cour!$U:$U,$B148,[7]BV_Data_An_Cour!$V:$V,$C148,[7]BV_Data_An_Cour!$W:$W,$L$2)</f>
        <v>267.42</v>
      </c>
      <c r="M148" s="531"/>
      <c r="N148" s="557">
        <f t="shared" si="35"/>
        <v>-234.8122696970143</v>
      </c>
      <c r="O148" s="531"/>
      <c r="P148" s="510"/>
      <c r="Q148" s="534">
        <f t="array" ref="Q148">+INDEX('[7]Réel 2023'!$A$2:$AO$501,MATCH($A148,'[7]Réel 2023'!$A$2:$A$501,0),MATCH(Q$2,'[7]Réel 2023'!$A$2:$AO$2,0))</f>
        <v>558.28</v>
      </c>
      <c r="R148" s="531"/>
      <c r="S148" s="557">
        <f t="shared" si="37"/>
        <v>-290.85999999999996</v>
      </c>
      <c r="T148" s="510"/>
      <c r="X148" s="510"/>
      <c r="Y148" s="510"/>
      <c r="Z148" s="510"/>
      <c r="AA148" s="510"/>
      <c r="AB148" s="510"/>
      <c r="AC148" s="510"/>
      <c r="AD148" s="510"/>
      <c r="AE148" s="510"/>
      <c r="AF148" s="510"/>
      <c r="AG148" s="510"/>
      <c r="AH148" s="510"/>
      <c r="AI148" s="510"/>
      <c r="AJ148" s="510"/>
      <c r="AK148" s="510"/>
      <c r="AL148" s="510"/>
      <c r="AM148" s="510"/>
      <c r="AN148" s="510"/>
    </row>
    <row r="149" spans="1:40" ht="15.75" customHeight="1">
      <c r="A149" s="523" t="s">
        <v>327</v>
      </c>
      <c r="B149" s="510" t="s">
        <v>73</v>
      </c>
      <c r="C149" s="531" t="s">
        <v>63</v>
      </c>
      <c r="D149" s="584"/>
      <c r="E149" s="510"/>
      <c r="F149" s="532">
        <f>+INDEX('[7]Budget original'!$A$2:$AO$501,MATCH($A149,'[7]Budget original'!$A$2:$A$501,0),MATCH(F$2,'[7]Budget original'!$A$2:$AO$2,0))</f>
        <v>782.17457105829214</v>
      </c>
      <c r="G149" s="585"/>
      <c r="H149" s="510"/>
      <c r="I149" s="532"/>
      <c r="J149" s="531"/>
      <c r="K149" s="510"/>
      <c r="L149" s="534">
        <f>SUMIFS([7]BV_Data_An_Cour!$O:$O,[7]BV_Data_An_Cour!$U:$U,$B149,[7]BV_Data_An_Cour!$V:$V,$C149,[7]BV_Data_An_Cour!$W:$W,$L$2)</f>
        <v>1548.29</v>
      </c>
      <c r="M149" s="531"/>
      <c r="N149" s="557">
        <f t="shared" si="35"/>
        <v>766.11542894170782</v>
      </c>
      <c r="O149" s="531"/>
      <c r="P149" s="510"/>
      <c r="Q149" s="534">
        <f t="array" ref="Q149">+INDEX('[7]Réel 2023'!$A$2:$AO$501,MATCH($A149,'[7]Réel 2023'!$A$2:$A$501,0),MATCH(Q$2,'[7]Réel 2023'!$A$2:$AO$2,0))</f>
        <v>1138.8699999999999</v>
      </c>
      <c r="R149" s="531"/>
      <c r="S149" s="557">
        <f t="shared" si="37"/>
        <v>409.42000000000007</v>
      </c>
      <c r="T149" s="573"/>
      <c r="X149" s="510"/>
      <c r="Y149" s="510"/>
      <c r="Z149" s="510"/>
      <c r="AA149" s="510"/>
      <c r="AB149" s="510"/>
      <c r="AC149" s="510"/>
      <c r="AD149" s="510"/>
      <c r="AE149" s="510"/>
      <c r="AF149" s="510"/>
      <c r="AG149" s="510"/>
      <c r="AH149" s="510"/>
      <c r="AI149" s="510"/>
      <c r="AJ149" s="510"/>
      <c r="AK149" s="510"/>
      <c r="AL149" s="510"/>
      <c r="AM149" s="510"/>
      <c r="AN149" s="510"/>
    </row>
    <row r="150" spans="1:40" ht="15.75" hidden="1" customHeight="1">
      <c r="A150" s="523" t="s">
        <v>303</v>
      </c>
      <c r="B150" s="510" t="s">
        <v>73</v>
      </c>
      <c r="C150" s="531" t="s">
        <v>20</v>
      </c>
      <c r="D150" s="584"/>
      <c r="E150" s="510"/>
      <c r="F150" s="532">
        <f>+INDEX('[7]Budget original'!$A$2:$AO$501,MATCH($A150,'[7]Budget original'!$A$2:$A$501,0),MATCH(F$2,'[7]Budget original'!$A$2:$AO$2,0))</f>
        <v>0</v>
      </c>
      <c r="G150" s="585"/>
      <c r="H150" s="510"/>
      <c r="I150" s="532"/>
      <c r="J150" s="531"/>
      <c r="K150" s="510"/>
      <c r="L150" s="534">
        <f>SUMIFS([7]BV_Data_An_Cour!$O:$O,[7]BV_Data_An_Cour!$U:$U,$B150,[7]BV_Data_An_Cour!$V:$V,$C150,[7]BV_Data_An_Cour!$W:$W,$L$2)</f>
        <v>0</v>
      </c>
      <c r="M150" s="531"/>
      <c r="N150" s="557">
        <f t="shared" si="35"/>
        <v>0</v>
      </c>
      <c r="O150" s="531"/>
      <c r="P150" s="510"/>
      <c r="Q150" s="534">
        <f t="array" ref="Q150">+INDEX('[7]Réel 2023'!$A$2:$AO$501,MATCH($A150,'[7]Réel 2023'!$A$2:$A$501,0),MATCH(Q$2,'[7]Réel 2023'!$A$2:$AO$2,0))</f>
        <v>0</v>
      </c>
      <c r="R150" s="531"/>
      <c r="S150" s="557">
        <f t="shared" si="37"/>
        <v>0</v>
      </c>
      <c r="T150" s="510"/>
      <c r="X150" s="510"/>
      <c r="Y150" s="510"/>
      <c r="Z150" s="510"/>
      <c r="AA150" s="510"/>
      <c r="AB150" s="510"/>
      <c r="AC150" s="510"/>
      <c r="AD150" s="510"/>
      <c r="AE150" s="510"/>
      <c r="AF150" s="510"/>
      <c r="AG150" s="510"/>
      <c r="AH150" s="510"/>
      <c r="AI150" s="510"/>
      <c r="AJ150" s="510"/>
      <c r="AK150" s="510"/>
      <c r="AL150" s="510"/>
      <c r="AM150" s="510"/>
      <c r="AN150" s="510"/>
    </row>
    <row r="151" spans="1:40" ht="15.75" hidden="1" customHeight="1">
      <c r="A151" s="523" t="s">
        <v>303</v>
      </c>
      <c r="B151" s="510" t="s">
        <v>73</v>
      </c>
      <c r="C151" s="531" t="s">
        <v>20</v>
      </c>
      <c r="D151" s="584"/>
      <c r="E151" s="510"/>
      <c r="F151" s="532">
        <f>+INDEX('[7]Budget original'!$A$2:$AO$501,MATCH($A151,'[7]Budget original'!$A$2:$A$501,0),MATCH(F$2,'[7]Budget original'!$A$2:$AO$2,0))</f>
        <v>0</v>
      </c>
      <c r="G151" s="585"/>
      <c r="H151" s="510"/>
      <c r="I151" s="532"/>
      <c r="J151" s="531"/>
      <c r="K151" s="510"/>
      <c r="L151" s="534">
        <f>SUMIFS([7]BV_Data_An_Cour!$O:$O,[7]BV_Data_An_Cour!$U:$U,$B151,[7]BV_Data_An_Cour!$V:$V,$C151,[7]BV_Data_An_Cour!$W:$W,$L$2)</f>
        <v>0</v>
      </c>
      <c r="M151" s="531"/>
      <c r="N151" s="557">
        <f t="shared" si="35"/>
        <v>0</v>
      </c>
      <c r="O151" s="531"/>
      <c r="P151" s="510"/>
      <c r="Q151" s="534">
        <f t="array" ref="Q151">+INDEX('[7]Réel 2023'!$A$2:$AO$501,MATCH($A151,'[7]Réel 2023'!$A$2:$A$501,0),MATCH(Q$2,'[7]Réel 2023'!$A$2:$AO$2,0))</f>
        <v>0</v>
      </c>
      <c r="R151" s="531"/>
      <c r="S151" s="557">
        <f t="shared" si="37"/>
        <v>0</v>
      </c>
      <c r="T151" s="510"/>
      <c r="X151" s="510"/>
      <c r="Y151" s="510"/>
      <c r="Z151" s="510"/>
      <c r="AA151" s="510"/>
      <c r="AB151" s="510"/>
      <c r="AC151" s="510"/>
      <c r="AD151" s="510"/>
      <c r="AE151" s="510"/>
      <c r="AF151" s="510"/>
      <c r="AG151" s="510"/>
      <c r="AH151" s="510"/>
      <c r="AI151" s="510"/>
      <c r="AJ151" s="510"/>
      <c r="AK151" s="510"/>
      <c r="AL151" s="510"/>
      <c r="AM151" s="510"/>
      <c r="AN151" s="510"/>
    </row>
    <row r="152" spans="1:40" ht="15.75" hidden="1" customHeight="1">
      <c r="A152" s="523" t="s">
        <v>303</v>
      </c>
      <c r="B152" s="510" t="s">
        <v>73</v>
      </c>
      <c r="C152" s="531" t="s">
        <v>20</v>
      </c>
      <c r="D152" s="584"/>
      <c r="E152" s="510"/>
      <c r="F152" s="532">
        <f>+INDEX('[7]Budget original'!$A$2:$AO$501,MATCH($A152,'[7]Budget original'!$A$2:$A$501,0),MATCH(F$2,'[7]Budget original'!$A$2:$AO$2,0))</f>
        <v>0</v>
      </c>
      <c r="G152" s="585"/>
      <c r="H152" s="510"/>
      <c r="I152" s="532"/>
      <c r="J152" s="531"/>
      <c r="K152" s="510"/>
      <c r="L152" s="534">
        <f>SUMIFS([7]BV_Data_An_Cour!$O:$O,[7]BV_Data_An_Cour!$U:$U,$B152,[7]BV_Data_An_Cour!$V:$V,$C152,[7]BV_Data_An_Cour!$W:$W,$L$2)</f>
        <v>0</v>
      </c>
      <c r="M152" s="531"/>
      <c r="N152" s="557">
        <f t="shared" si="35"/>
        <v>0</v>
      </c>
      <c r="O152" s="531"/>
      <c r="P152" s="510"/>
      <c r="Q152" s="534">
        <f t="array" ref="Q152">+INDEX('[7]Réel 2023'!$A$2:$AO$501,MATCH($A152,'[7]Réel 2023'!$A$2:$A$501,0),MATCH(Q$2,'[7]Réel 2023'!$A$2:$AO$2,0))</f>
        <v>0</v>
      </c>
      <c r="R152" s="531"/>
      <c r="S152" s="557">
        <f t="shared" si="37"/>
        <v>0</v>
      </c>
      <c r="T152" s="573"/>
      <c r="X152" s="510"/>
      <c r="Y152" s="510"/>
      <c r="Z152" s="510"/>
      <c r="AA152" s="510"/>
      <c r="AB152" s="510"/>
      <c r="AC152" s="510"/>
      <c r="AD152" s="510"/>
      <c r="AE152" s="510"/>
      <c r="AF152" s="510"/>
      <c r="AG152" s="510"/>
      <c r="AH152" s="510"/>
      <c r="AI152" s="510"/>
      <c r="AJ152" s="510"/>
      <c r="AK152" s="510"/>
      <c r="AL152" s="510"/>
      <c r="AM152" s="510"/>
      <c r="AN152" s="510"/>
    </row>
    <row r="153" spans="1:40" ht="15.75" customHeight="1">
      <c r="A153" s="523" t="s">
        <v>328</v>
      </c>
      <c r="B153" s="510" t="s">
        <v>73</v>
      </c>
      <c r="C153" s="592" t="s">
        <v>64</v>
      </c>
      <c r="D153" s="593" t="s">
        <v>39</v>
      </c>
      <c r="E153" s="594">
        <f>F153/F$108</f>
        <v>6.3318083477590603E-2</v>
      </c>
      <c r="F153" s="595">
        <f>+SUM(F136:F152)</f>
        <v>10240.193032113515</v>
      </c>
      <c r="G153" s="596"/>
      <c r="H153" s="594"/>
      <c r="I153" s="595"/>
      <c r="J153" s="596" t="s">
        <v>39</v>
      </c>
      <c r="K153" s="594">
        <f>L153/L$108</f>
        <v>0.11616785481996864</v>
      </c>
      <c r="L153" s="595">
        <f>+SUM(L136:L152)</f>
        <v>12899.030000000002</v>
      </c>
      <c r="M153" s="599"/>
      <c r="N153" s="595">
        <f t="shared" si="35"/>
        <v>2658.8369678864874</v>
      </c>
      <c r="O153" s="596" t="s">
        <v>39</v>
      </c>
      <c r="P153" s="594">
        <f>Q153/Q$108</f>
        <v>0.17924742317746672</v>
      </c>
      <c r="Q153" s="595">
        <f>+SUM(Q136:Q152)</f>
        <v>9331.4900000000016</v>
      </c>
      <c r="R153" s="599"/>
      <c r="S153" s="595">
        <f t="shared" si="37"/>
        <v>3567.5400000000009</v>
      </c>
      <c r="T153" s="608"/>
      <c r="X153" s="510"/>
      <c r="Y153" s="510"/>
      <c r="Z153" s="510"/>
      <c r="AA153" s="510"/>
      <c r="AB153" s="510"/>
      <c r="AC153" s="510"/>
      <c r="AD153" s="510"/>
      <c r="AE153" s="510"/>
      <c r="AF153" s="510"/>
      <c r="AG153" s="510"/>
      <c r="AH153" s="510"/>
      <c r="AI153" s="510"/>
      <c r="AJ153" s="510"/>
      <c r="AK153" s="510"/>
      <c r="AL153" s="510"/>
      <c r="AM153" s="510"/>
      <c r="AN153" s="510"/>
    </row>
    <row r="154" spans="1:40" ht="15.75" customHeight="1">
      <c r="A154" s="523" t="s">
        <v>73</v>
      </c>
      <c r="B154" s="510" t="s">
        <v>73</v>
      </c>
      <c r="C154" s="524"/>
      <c r="D154" s="587"/>
      <c r="E154" s="607"/>
      <c r="F154" s="557"/>
      <c r="G154" s="588"/>
      <c r="H154" s="607"/>
      <c r="I154" s="557"/>
      <c r="J154" s="524"/>
      <c r="K154" s="607"/>
      <c r="L154" s="582"/>
      <c r="M154" s="524"/>
      <c r="N154" s="582"/>
      <c r="O154" s="524"/>
      <c r="P154" s="607"/>
      <c r="Q154" s="582"/>
      <c r="R154" s="524"/>
      <c r="S154" s="582"/>
      <c r="T154" s="608"/>
      <c r="U154" s="510"/>
      <c r="V154" s="510"/>
      <c r="W154" s="510"/>
      <c r="X154" s="510"/>
      <c r="Y154" s="510"/>
      <c r="Z154" s="510"/>
      <c r="AA154" s="510"/>
      <c r="AB154" s="510"/>
      <c r="AC154" s="510"/>
      <c r="AD154" s="510"/>
      <c r="AE154" s="510"/>
      <c r="AF154" s="510"/>
      <c r="AG154" s="510"/>
      <c r="AH154" s="510"/>
      <c r="AI154" s="510"/>
      <c r="AJ154" s="510"/>
      <c r="AK154" s="510"/>
      <c r="AL154" s="510"/>
      <c r="AM154" s="510"/>
      <c r="AN154" s="510"/>
    </row>
    <row r="155" spans="1:40" ht="15.75" customHeight="1">
      <c r="A155" s="523" t="s">
        <v>329</v>
      </c>
      <c r="B155" s="510" t="s">
        <v>73</v>
      </c>
      <c r="C155" s="592" t="s">
        <v>65</v>
      </c>
      <c r="D155" s="593" t="s">
        <v>39</v>
      </c>
      <c r="E155" s="594">
        <f>F155/F$108</f>
        <v>0.82780205672224871</v>
      </c>
      <c r="F155" s="595">
        <f>F122+F135+F153</f>
        <v>133877.28098587377</v>
      </c>
      <c r="G155" s="596"/>
      <c r="H155" s="594"/>
      <c r="I155" s="595"/>
      <c r="J155" s="596" t="s">
        <v>39</v>
      </c>
      <c r="K155" s="594">
        <f>L155/L$108</f>
        <v>0.94787885861633137</v>
      </c>
      <c r="L155" s="595">
        <f>L122+L135+L153</f>
        <v>105250.44</v>
      </c>
      <c r="M155" s="599"/>
      <c r="N155" s="609">
        <f t="shared" ref="N155:N162" si="39">L155-F155</f>
        <v>-28626.840985873772</v>
      </c>
      <c r="O155" s="596" t="s">
        <v>39</v>
      </c>
      <c r="P155" s="594">
        <f>Q155/Q$108</f>
        <v>1.5823869600937543</v>
      </c>
      <c r="Q155" s="595">
        <f>Q122+Q135+Q153</f>
        <v>82377.910000000018</v>
      </c>
      <c r="R155" s="599"/>
      <c r="S155" s="609">
        <f t="shared" ref="S155:S162" si="40">L155-Q155</f>
        <v>22872.529999999984</v>
      </c>
      <c r="T155" s="608"/>
      <c r="U155" s="510"/>
      <c r="V155" s="510"/>
      <c r="W155" s="510"/>
      <c r="X155" s="510"/>
      <c r="Y155" s="510"/>
      <c r="Z155" s="510"/>
      <c r="AA155" s="510"/>
      <c r="AB155" s="510"/>
      <c r="AC155" s="510"/>
      <c r="AD155" s="510"/>
      <c r="AE155" s="510"/>
      <c r="AF155" s="510"/>
      <c r="AG155" s="510"/>
      <c r="AH155" s="510"/>
      <c r="AI155" s="510"/>
      <c r="AJ155" s="510"/>
      <c r="AK155" s="510"/>
      <c r="AL155" s="510"/>
      <c r="AM155" s="510"/>
      <c r="AN155" s="510"/>
    </row>
    <row r="156" spans="1:40" ht="15.75" customHeight="1">
      <c r="A156" s="523" t="s">
        <v>330</v>
      </c>
      <c r="B156" s="510" t="s">
        <v>73</v>
      </c>
      <c r="C156" s="531" t="s">
        <v>225</v>
      </c>
      <c r="D156" s="651"/>
      <c r="E156" s="652"/>
      <c r="F156" s="532">
        <f>+INDEX('[7]Budget original'!$A$2:$AO$501,MATCH($A156,'[7]Budget original'!$A$2:$A$501,0),MATCH(F$2,'[7]Budget original'!$A$2:$AO$2,0))</f>
        <v>0</v>
      </c>
      <c r="G156" s="653"/>
      <c r="H156" s="652"/>
      <c r="I156" s="532"/>
      <c r="J156" s="653"/>
      <c r="K156" s="652"/>
      <c r="L156" s="534">
        <v>0</v>
      </c>
      <c r="M156" s="531"/>
      <c r="N156" s="557">
        <f t="shared" si="39"/>
        <v>0</v>
      </c>
      <c r="O156" s="653"/>
      <c r="P156" s="652"/>
      <c r="Q156" s="534">
        <f t="array" ref="Q156">+INDEX('[7]Réel 2023'!$A$2:$AO$501,MATCH($A156,'[7]Réel 2023'!$A$2:$A$501,0),MATCH(Q$2,'[7]Réel 2023'!$A$2:$AO$2,0))</f>
        <v>0</v>
      </c>
      <c r="R156" s="531"/>
      <c r="S156" s="557">
        <f t="shared" si="40"/>
        <v>0</v>
      </c>
      <c r="T156" s="608"/>
      <c r="U156" s="510"/>
      <c r="V156" s="510"/>
      <c r="W156" s="510"/>
      <c r="X156" s="510"/>
      <c r="Y156" s="510"/>
      <c r="Z156" s="510"/>
      <c r="AA156" s="510"/>
      <c r="AB156" s="510"/>
      <c r="AC156" s="510"/>
      <c r="AD156" s="510"/>
      <c r="AE156" s="510"/>
      <c r="AF156" s="510"/>
      <c r="AG156" s="510"/>
      <c r="AH156" s="510"/>
      <c r="AI156" s="510"/>
      <c r="AJ156" s="510"/>
      <c r="AK156" s="510"/>
      <c r="AL156" s="510"/>
      <c r="AM156" s="510"/>
      <c r="AN156" s="510"/>
    </row>
    <row r="157" spans="1:40" ht="15.75" customHeight="1">
      <c r="A157" s="523" t="s">
        <v>331</v>
      </c>
      <c r="B157" s="510" t="s">
        <v>73</v>
      </c>
      <c r="C157" s="531" t="s">
        <v>81</v>
      </c>
      <c r="D157" s="651"/>
      <c r="E157" s="652"/>
      <c r="F157" s="532">
        <f>+INDEX('[7]Budget original'!$A$2:$AO$501,MATCH($A157,'[7]Budget original'!$A$2:$A$501,0),MATCH(F$2,'[7]Budget original'!$A$2:$AO$2,0))</f>
        <v>0</v>
      </c>
      <c r="G157" s="653"/>
      <c r="H157" s="652"/>
      <c r="I157" s="532"/>
      <c r="J157" s="653"/>
      <c r="K157" s="652"/>
      <c r="L157" s="534">
        <f>-SUMIFS([7]BV_Data_An_Cour!$O:$O,[7]BV_Data_An_Cour!$U:$U,$B157,[7]BV_Data_An_Cour!$V:$V,$C157,[7]BV_Data_An_Cour!$W:$W,$L$2)</f>
        <v>0</v>
      </c>
      <c r="M157" s="531"/>
      <c r="N157" s="557">
        <f t="shared" si="39"/>
        <v>0</v>
      </c>
      <c r="O157" s="653"/>
      <c r="P157" s="652"/>
      <c r="Q157" s="534">
        <f t="array" ref="Q157">+INDEX('[7]Réel 2023'!$A$2:$AO$501,MATCH($A157,'[7]Réel 2023'!$A$2:$A$501,0),MATCH(Q$2,'[7]Réel 2023'!$A$2:$AO$2,0))</f>
        <v>0</v>
      </c>
      <c r="R157" s="531"/>
      <c r="S157" s="557">
        <f t="shared" si="40"/>
        <v>0</v>
      </c>
      <c r="T157" s="608"/>
      <c r="U157" s="510"/>
      <c r="V157" s="510"/>
      <c r="W157" s="510"/>
      <c r="X157" s="510"/>
      <c r="Y157" s="510"/>
      <c r="Z157" s="510"/>
      <c r="AA157" s="510"/>
      <c r="AB157" s="510"/>
      <c r="AC157" s="510"/>
      <c r="AD157" s="510"/>
      <c r="AE157" s="510"/>
      <c r="AF157" s="510"/>
      <c r="AG157" s="510"/>
      <c r="AH157" s="510"/>
      <c r="AI157" s="510"/>
      <c r="AJ157" s="510"/>
      <c r="AK157" s="510"/>
      <c r="AL157" s="510"/>
      <c r="AM157" s="510"/>
      <c r="AN157" s="510"/>
    </row>
    <row r="158" spans="1:40" ht="15.75" customHeight="1">
      <c r="A158" s="523" t="s">
        <v>332</v>
      </c>
      <c r="B158" s="510" t="s">
        <v>73</v>
      </c>
      <c r="C158" s="531" t="s">
        <v>82</v>
      </c>
      <c r="D158" s="584"/>
      <c r="E158" s="510"/>
      <c r="F158" s="532">
        <f>+INDEX('[7]Budget original'!$A$2:$AO$501,MATCH($A158,'[7]Budget original'!$A$2:$A$501,0),MATCH(F$2,'[7]Budget original'!$A$2:$AO$2,0))</f>
        <v>0</v>
      </c>
      <c r="G158" s="585"/>
      <c r="H158" s="510"/>
      <c r="I158" s="532"/>
      <c r="J158" s="531"/>
      <c r="K158" s="510"/>
      <c r="L158" s="534">
        <f>-SUMIFS([7]BV_Data_An_Cour!$O:$O,[7]BV_Data_An_Cour!$U:$U,$B158,[7]BV_Data_An_Cour!$V:$V,$C158,[7]BV_Data_An_Cour!$W:$W,$L$2)</f>
        <v>0</v>
      </c>
      <c r="M158" s="531"/>
      <c r="N158" s="557">
        <f t="shared" si="39"/>
        <v>0</v>
      </c>
      <c r="O158" s="531"/>
      <c r="P158" s="510"/>
      <c r="Q158" s="534">
        <f t="array" ref="Q158">+INDEX('[7]Réel 2023'!$A$2:$AO$501,MATCH($A158,'[7]Réel 2023'!$A$2:$A$501,0),MATCH(Q$2,'[7]Réel 2023'!$A$2:$AO$2,0))</f>
        <v>0</v>
      </c>
      <c r="R158" s="531"/>
      <c r="S158" s="557">
        <f t="shared" si="40"/>
        <v>0</v>
      </c>
      <c r="T158" s="608"/>
      <c r="U158" s="510"/>
      <c r="V158" s="510"/>
      <c r="W158" s="510"/>
      <c r="X158" s="510"/>
      <c r="Y158" s="510"/>
      <c r="Z158" s="510"/>
      <c r="AA158" s="510"/>
      <c r="AB158" s="510"/>
      <c r="AC158" s="510"/>
      <c r="AD158" s="510"/>
      <c r="AE158" s="510"/>
      <c r="AF158" s="510"/>
      <c r="AG158" s="510"/>
      <c r="AH158" s="510"/>
      <c r="AI158" s="510"/>
      <c r="AJ158" s="510"/>
      <c r="AK158" s="510"/>
      <c r="AL158" s="510"/>
      <c r="AM158" s="510"/>
      <c r="AN158" s="510"/>
    </row>
    <row r="159" spans="1:40" ht="15.75" customHeight="1">
      <c r="A159" s="523" t="s">
        <v>333</v>
      </c>
      <c r="B159" s="510" t="s">
        <v>73</v>
      </c>
      <c r="C159" s="531" t="s">
        <v>70</v>
      </c>
      <c r="D159" s="654">
        <f>E159/474</f>
        <v>1.0001054852320677</v>
      </c>
      <c r="E159" s="615">
        <f>F159/D97</f>
        <v>474.05000000000007</v>
      </c>
      <c r="F159" s="532">
        <f>+INDEX('[7]Budget original'!$A$2:$AO$501,MATCH($A159,'[7]Budget original'!$A$2:$A$501,0),MATCH(F$2,'[7]Budget original'!$A$2:$AO$2,0))</f>
        <v>17386.968875000006</v>
      </c>
      <c r="G159" s="585"/>
      <c r="H159" s="510"/>
      <c r="I159" s="532"/>
      <c r="J159" s="616">
        <f>K159/474</f>
        <v>0.90831826401446658</v>
      </c>
      <c r="K159" s="615">
        <f>L159/J97</f>
        <v>430.54285714285714</v>
      </c>
      <c r="L159" s="534">
        <f>-SUMIFS([7]BV_Data_An_Cour!$O:$O,[7]BV_Data_An_Cour!$U:$U,$B159,[7]BV_Data_An_Cour!$V:$V,$C159,[7]BV_Data_An_Cour!$W:$W,L$2)</f>
        <v>15069</v>
      </c>
      <c r="M159" s="531"/>
      <c r="N159" s="557">
        <f t="shared" si="39"/>
        <v>-2317.9688750000059</v>
      </c>
      <c r="O159" s="531"/>
      <c r="P159" s="510"/>
      <c r="Q159" s="534">
        <f t="array" ref="Q159">+INDEX('[7]Réel 2023'!$A$2:$AO$501,MATCH($A159,'[7]Réel 2023'!$A$2:$A$501,0),MATCH(Q$2,'[7]Réel 2023'!$A$2:$AO$2,0))</f>
        <v>7749</v>
      </c>
      <c r="R159" s="531"/>
      <c r="S159" s="557">
        <f t="shared" si="40"/>
        <v>7320</v>
      </c>
      <c r="T159" s="608"/>
      <c r="U159" s="510"/>
      <c r="V159" s="510"/>
      <c r="W159" s="510"/>
      <c r="X159" s="510"/>
      <c r="Y159" s="510"/>
      <c r="Z159" s="510"/>
      <c r="AA159" s="510"/>
      <c r="AB159" s="510"/>
      <c r="AC159" s="510"/>
      <c r="AD159" s="510"/>
      <c r="AE159" s="510"/>
      <c r="AF159" s="510"/>
      <c r="AG159" s="510"/>
      <c r="AH159" s="510"/>
      <c r="AI159" s="510"/>
      <c r="AJ159" s="510"/>
      <c r="AK159" s="510"/>
      <c r="AL159" s="510"/>
      <c r="AM159" s="510"/>
      <c r="AN159" s="510"/>
    </row>
    <row r="160" spans="1:40" ht="15.75" hidden="1" customHeight="1">
      <c r="A160" s="523" t="s">
        <v>303</v>
      </c>
      <c r="B160" s="510" t="s">
        <v>73</v>
      </c>
      <c r="C160" s="531" t="s">
        <v>20</v>
      </c>
      <c r="D160" s="584"/>
      <c r="E160" s="510"/>
      <c r="F160" s="532">
        <f>+INDEX('[7]Budget original'!$A$2:$AO$501,MATCH($A160,'[7]Budget original'!$A$2:$A$501,0),MATCH(F$2,'[7]Budget original'!$A$2:$AO$2,0))</f>
        <v>0</v>
      </c>
      <c r="G160" s="585"/>
      <c r="H160" s="510"/>
      <c r="I160" s="532"/>
      <c r="J160" s="531"/>
      <c r="K160" s="510"/>
      <c r="L160" s="534">
        <f>-SUMIFS([7]BV_Data_An_Cour!$O:$O,[7]BV_Data_An_Cour!$U:$U,$B160,[7]BV_Data_An_Cour!$V:$V,$C160,[7]BV_Data_An_Cour!$W:$W,$L$2)</f>
        <v>0</v>
      </c>
      <c r="M160" s="531"/>
      <c r="N160" s="557">
        <f t="shared" si="39"/>
        <v>0</v>
      </c>
      <c r="O160" s="531"/>
      <c r="P160" s="510"/>
      <c r="Q160" s="534">
        <f t="array" ref="Q160">+INDEX('[7]Réel 2023'!$A$2:$AO$501,MATCH($A160,'[7]Réel 2023'!$A$2:$A$501,0),MATCH(Q$2,'[7]Réel 2023'!$A$2:$AO$2,0))</f>
        <v>0</v>
      </c>
      <c r="R160" s="531"/>
      <c r="S160" s="557">
        <f t="shared" si="40"/>
        <v>0</v>
      </c>
      <c r="T160" s="608"/>
      <c r="U160" s="510"/>
      <c r="V160" s="510"/>
      <c r="W160" s="510"/>
      <c r="X160" s="510"/>
      <c r="Y160" s="510"/>
      <c r="Z160" s="510"/>
      <c r="AA160" s="510"/>
      <c r="AB160" s="510"/>
      <c r="AC160" s="510"/>
      <c r="AD160" s="510"/>
      <c r="AE160" s="510"/>
      <c r="AF160" s="510"/>
      <c r="AG160" s="510"/>
      <c r="AH160" s="510"/>
      <c r="AI160" s="510"/>
      <c r="AJ160" s="510"/>
      <c r="AK160" s="510"/>
      <c r="AL160" s="510"/>
      <c r="AM160" s="510"/>
      <c r="AN160" s="510"/>
    </row>
    <row r="161" spans="1:40" ht="15.75" hidden="1" customHeight="1">
      <c r="A161" s="523" t="s">
        <v>303</v>
      </c>
      <c r="B161" s="510" t="s">
        <v>73</v>
      </c>
      <c r="C161" s="531" t="s">
        <v>20</v>
      </c>
      <c r="D161" s="584"/>
      <c r="E161" s="510"/>
      <c r="F161" s="532">
        <f>+INDEX('[7]Budget original'!$A$2:$AO$501,MATCH($A161,'[7]Budget original'!$A$2:$A$501,0),MATCH(F$2,'[7]Budget original'!$A$2:$AO$2,0))</f>
        <v>0</v>
      </c>
      <c r="G161" s="585"/>
      <c r="H161" s="510"/>
      <c r="I161" s="532"/>
      <c r="J161" s="531"/>
      <c r="K161" s="510"/>
      <c r="L161" s="534">
        <f>-SUMIFS([7]BV_Data_An_Cour!$O:$O,[7]BV_Data_An_Cour!$U:$U,$B161,[7]BV_Data_An_Cour!$V:$V,$C161,[7]BV_Data_An_Cour!$W:$W,$L$2)</f>
        <v>0</v>
      </c>
      <c r="M161" s="531"/>
      <c r="N161" s="557">
        <f t="shared" si="39"/>
        <v>0</v>
      </c>
      <c r="O161" s="531"/>
      <c r="P161" s="510"/>
      <c r="Q161" s="534">
        <f t="array" ref="Q161">+INDEX('[7]Réel 2023'!$A$2:$AO$501,MATCH($A161,'[7]Réel 2023'!$A$2:$A$501,0),MATCH(Q$2,'[7]Réel 2023'!$A$2:$AO$2,0))</f>
        <v>0</v>
      </c>
      <c r="R161" s="531"/>
      <c r="S161" s="557">
        <f t="shared" si="40"/>
        <v>0</v>
      </c>
      <c r="T161" s="608"/>
      <c r="U161" s="510"/>
      <c r="V161" s="510"/>
      <c r="W161" s="510"/>
      <c r="X161" s="510"/>
      <c r="Y161" s="510"/>
      <c r="Z161" s="510"/>
      <c r="AA161" s="510"/>
      <c r="AB161" s="510"/>
      <c r="AC161" s="510"/>
      <c r="AD161" s="510"/>
      <c r="AE161" s="510"/>
      <c r="AF161" s="510"/>
      <c r="AG161" s="510"/>
      <c r="AH161" s="510"/>
      <c r="AI161" s="510"/>
      <c r="AJ161" s="510"/>
      <c r="AK161" s="510"/>
      <c r="AL161" s="510"/>
      <c r="AM161" s="510"/>
      <c r="AN161" s="510"/>
    </row>
    <row r="162" spans="1:40" ht="15.75" hidden="1" customHeight="1">
      <c r="A162" s="523" t="s">
        <v>303</v>
      </c>
      <c r="B162" s="510" t="s">
        <v>73</v>
      </c>
      <c r="C162" s="524" t="s">
        <v>20</v>
      </c>
      <c r="D162" s="587"/>
      <c r="E162" s="607"/>
      <c r="F162" s="532">
        <f>+INDEX('[7]Budget original'!$A$2:$AO$501,MATCH($A162,'[7]Budget original'!$A$2:$A$501,0),MATCH(F$2,'[7]Budget original'!$A$2:$AO$2,0))</f>
        <v>0</v>
      </c>
      <c r="G162" s="585"/>
      <c r="H162" s="510"/>
      <c r="I162" s="532"/>
      <c r="J162" s="531"/>
      <c r="K162" s="510"/>
      <c r="L162" s="534">
        <f>-SUMIFS([7]BV_Data_An_Cour!$O:$O,[7]BV_Data_An_Cour!$U:$U,$B162,[7]BV_Data_An_Cour!$V:$V,$C162,[7]BV_Data_An_Cour!$W:$W,$L$2)</f>
        <v>0</v>
      </c>
      <c r="M162" s="531"/>
      <c r="N162" s="557">
        <f t="shared" si="39"/>
        <v>0</v>
      </c>
      <c r="O162" s="531"/>
      <c r="P162" s="510"/>
      <c r="Q162" s="534">
        <f t="array" ref="Q162">+INDEX('[7]Réel 2023'!$A$2:$AO$501,MATCH($A162,'[7]Réel 2023'!$A$2:$A$501,0),MATCH(Q$2,'[7]Réel 2023'!$A$2:$AO$2,0))</f>
        <v>0</v>
      </c>
      <c r="R162" s="531"/>
      <c r="S162" s="557">
        <f t="shared" si="40"/>
        <v>0</v>
      </c>
      <c r="T162" s="608"/>
      <c r="U162" s="510"/>
      <c r="V162" s="510"/>
      <c r="W162" s="510"/>
      <c r="X162" s="510"/>
      <c r="Y162" s="510"/>
      <c r="Z162" s="510"/>
      <c r="AA162" s="510"/>
      <c r="AB162" s="510"/>
      <c r="AC162" s="510"/>
      <c r="AD162" s="510"/>
      <c r="AE162" s="510"/>
      <c r="AF162" s="510"/>
      <c r="AG162" s="510"/>
      <c r="AH162" s="510"/>
      <c r="AI162" s="510"/>
      <c r="AJ162" s="510"/>
      <c r="AK162" s="510"/>
      <c r="AL162" s="510"/>
      <c r="AM162" s="510"/>
      <c r="AN162" s="510"/>
    </row>
    <row r="163" spans="1:40" ht="15.75" customHeight="1">
      <c r="B163" s="510"/>
      <c r="C163" s="592" t="s">
        <v>71</v>
      </c>
      <c r="D163" s="593"/>
      <c r="E163" s="594"/>
      <c r="F163" s="595">
        <f>+SUM(F156:F162)</f>
        <v>17386.968875000006</v>
      </c>
      <c r="G163" s="596"/>
      <c r="H163" s="594"/>
      <c r="I163" s="595"/>
      <c r="J163" s="596"/>
      <c r="K163" s="594"/>
      <c r="L163" s="595">
        <f>+SUM(L156:L162)</f>
        <v>15069</v>
      </c>
      <c r="M163" s="599"/>
      <c r="N163" s="595">
        <f>SUM(N156:N159)</f>
        <v>-2317.9688750000059</v>
      </c>
      <c r="O163" s="596"/>
      <c r="P163" s="594"/>
      <c r="Q163" s="595">
        <f>+SUM(Q156:Q162)</f>
        <v>7749</v>
      </c>
      <c r="R163" s="599"/>
      <c r="S163" s="595">
        <f>+SUM(S156:S162)</f>
        <v>7320</v>
      </c>
      <c r="T163" s="608"/>
      <c r="U163" s="510"/>
      <c r="V163" s="510"/>
      <c r="W163" s="510"/>
      <c r="X163" s="510"/>
      <c r="Y163" s="510"/>
      <c r="Z163" s="510"/>
      <c r="AA163" s="510"/>
      <c r="AB163" s="510"/>
      <c r="AC163" s="510"/>
      <c r="AD163" s="510"/>
      <c r="AE163" s="510"/>
      <c r="AF163" s="510"/>
      <c r="AG163" s="510"/>
      <c r="AH163" s="510"/>
      <c r="AI163" s="510"/>
      <c r="AJ163" s="510"/>
      <c r="AK163" s="510"/>
      <c r="AL163" s="510"/>
      <c r="AM163" s="510"/>
      <c r="AN163" s="510"/>
    </row>
    <row r="164" spans="1:40" ht="15.75" customHeight="1">
      <c r="B164" s="510"/>
      <c r="C164" s="531"/>
      <c r="D164" s="584"/>
      <c r="E164" s="510"/>
      <c r="F164" s="557"/>
      <c r="G164" s="585"/>
      <c r="H164" s="510"/>
      <c r="I164" s="557"/>
      <c r="J164" s="531"/>
      <c r="K164" s="510"/>
      <c r="L164" s="557"/>
      <c r="M164" s="531"/>
      <c r="N164" s="557"/>
      <c r="O164" s="531"/>
      <c r="P164" s="510"/>
      <c r="Q164" s="557"/>
      <c r="R164" s="531"/>
      <c r="S164" s="557"/>
      <c r="T164" s="652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510"/>
      <c r="AE164" s="510"/>
      <c r="AF164" s="510"/>
      <c r="AG164" s="510"/>
      <c r="AH164" s="510"/>
      <c r="AI164" s="510"/>
      <c r="AJ164" s="510"/>
      <c r="AK164" s="510"/>
      <c r="AL164" s="510"/>
      <c r="AM164" s="510"/>
      <c r="AN164" s="510"/>
    </row>
    <row r="165" spans="1:40" ht="15.75" customHeight="1" thickBot="1">
      <c r="B165" s="510"/>
      <c r="C165" s="625" t="s">
        <v>72</v>
      </c>
      <c r="D165" s="655"/>
      <c r="E165" s="626"/>
      <c r="F165" s="628">
        <f>F108-F155+F163</f>
        <v>45235.887889126272</v>
      </c>
      <c r="G165" s="656"/>
      <c r="H165" s="626"/>
      <c r="I165" s="628"/>
      <c r="J165" s="625"/>
      <c r="K165" s="627"/>
      <c r="L165" s="628">
        <f>L108-L155+L163</f>
        <v>20856.419999999998</v>
      </c>
      <c r="M165" s="625"/>
      <c r="N165" s="628">
        <f>L165-F165</f>
        <v>-24379.467889126274</v>
      </c>
      <c r="O165" s="625"/>
      <c r="P165" s="630">
        <f>+Q165/Q93</f>
        <v>-2.0313560147705429E-2</v>
      </c>
      <c r="Q165" s="628">
        <f>Q108-Q155+Q163</f>
        <v>-22569.64</v>
      </c>
      <c r="R165" s="625"/>
      <c r="S165" s="628">
        <f>L165-Q165</f>
        <v>43426.06</v>
      </c>
      <c r="T165" s="573"/>
      <c r="U165" s="510"/>
      <c r="V165" s="510"/>
      <c r="W165" s="510"/>
      <c r="X165" s="510"/>
      <c r="Y165" s="510"/>
      <c r="Z165" s="510"/>
      <c r="AA165" s="510"/>
      <c r="AB165" s="510"/>
      <c r="AC165" s="510"/>
      <c r="AD165" s="510"/>
      <c r="AE165" s="510"/>
      <c r="AF165" s="510"/>
      <c r="AG165" s="510"/>
      <c r="AH165" s="510"/>
      <c r="AI165" s="510"/>
      <c r="AJ165" s="510"/>
      <c r="AK165" s="510"/>
      <c r="AL165" s="510"/>
      <c r="AM165" s="510"/>
      <c r="AN165" s="510"/>
    </row>
    <row r="166" spans="1:40" ht="15.75" customHeight="1" thickTop="1">
      <c r="B166" s="510"/>
      <c r="C166" s="507"/>
      <c r="D166" s="507"/>
      <c r="E166" s="507"/>
      <c r="F166" s="657"/>
      <c r="G166" s="507"/>
      <c r="H166" s="507"/>
      <c r="I166" s="507"/>
      <c r="J166" s="507"/>
      <c r="K166" s="507"/>
      <c r="L166" s="657"/>
      <c r="M166" s="507"/>
      <c r="N166" s="507"/>
      <c r="O166" s="507"/>
      <c r="P166" s="507"/>
      <c r="Q166" s="507"/>
      <c r="R166" s="507"/>
      <c r="S166" s="507"/>
      <c r="T166" s="657"/>
      <c r="U166" s="507"/>
      <c r="V166" s="510"/>
      <c r="W166" s="510"/>
      <c r="X166" s="510"/>
      <c r="Y166" s="510"/>
      <c r="Z166" s="510"/>
      <c r="AA166" s="510"/>
      <c r="AB166" s="510"/>
      <c r="AC166" s="510"/>
      <c r="AD166" s="510"/>
      <c r="AE166" s="510"/>
      <c r="AF166" s="510"/>
      <c r="AG166" s="510"/>
      <c r="AH166" s="510"/>
      <c r="AI166" s="510"/>
      <c r="AJ166" s="510"/>
      <c r="AK166" s="510"/>
      <c r="AL166" s="510"/>
      <c r="AM166" s="510"/>
      <c r="AN166" s="510"/>
    </row>
    <row r="167" spans="1:40" ht="8.25" customHeight="1">
      <c r="B167" s="510"/>
      <c r="C167" s="507"/>
      <c r="D167" s="507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657"/>
      <c r="U167" s="507"/>
      <c r="V167" s="507"/>
      <c r="W167" s="507"/>
      <c r="X167" s="507"/>
      <c r="Y167" s="507"/>
      <c r="Z167" s="507"/>
      <c r="AA167" s="507"/>
      <c r="AB167" s="507"/>
      <c r="AC167" s="507"/>
      <c r="AD167" s="507"/>
      <c r="AE167" s="507"/>
      <c r="AF167" s="507"/>
      <c r="AG167" s="507"/>
      <c r="AH167" s="507"/>
      <c r="AI167" s="507"/>
      <c r="AJ167" s="507"/>
      <c r="AK167" s="507"/>
      <c r="AL167" s="507"/>
      <c r="AM167" s="507"/>
      <c r="AN167" s="507"/>
    </row>
    <row r="168" spans="1:40" ht="33.75" customHeight="1">
      <c r="B168" s="510"/>
      <c r="C168" s="635" t="str">
        <f>C1</f>
        <v>Volks</v>
      </c>
      <c r="D168" s="498"/>
      <c r="E168" s="498"/>
      <c r="F168" s="498"/>
      <c r="G168" s="498"/>
      <c r="H168" s="496"/>
      <c r="I168" s="496"/>
      <c r="J168" s="496"/>
      <c r="K168" s="500" t="s">
        <v>83</v>
      </c>
      <c r="L168" s="498"/>
      <c r="M168" s="498"/>
      <c r="N168" s="496"/>
      <c r="O168" s="496"/>
      <c r="P168" s="498"/>
      <c r="Q168" s="496"/>
      <c r="R168" s="498"/>
      <c r="S168" s="636" t="str">
        <f>$S$1</f>
        <v>Réalisé, Novembre 2024</v>
      </c>
      <c r="T168" s="498"/>
      <c r="U168" s="496"/>
      <c r="V168" s="507"/>
      <c r="W168" s="507"/>
      <c r="X168" s="507"/>
      <c r="Y168" s="507"/>
      <c r="Z168" s="507"/>
      <c r="AA168" s="507"/>
      <c r="AB168" s="507"/>
      <c r="AC168" s="507"/>
      <c r="AD168" s="507"/>
      <c r="AE168" s="507"/>
      <c r="AF168" s="507"/>
      <c r="AG168" s="507"/>
      <c r="AH168" s="507"/>
      <c r="AI168" s="507"/>
      <c r="AJ168" s="507"/>
      <c r="AK168" s="507"/>
      <c r="AL168" s="507"/>
      <c r="AM168" s="507"/>
      <c r="AN168" s="507"/>
    </row>
    <row r="169" spans="1:40" ht="15.75" customHeight="1" thickBot="1">
      <c r="B169" s="510"/>
      <c r="C169" s="505"/>
      <c r="D169" s="507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496"/>
      <c r="W169" s="496"/>
      <c r="X169" s="496"/>
      <c r="Y169" s="496"/>
      <c r="Z169" s="496"/>
      <c r="AA169" s="496"/>
      <c r="AB169" s="496"/>
      <c r="AC169" s="496"/>
      <c r="AD169" s="496"/>
      <c r="AE169" s="496"/>
      <c r="AF169" s="496"/>
      <c r="AG169" s="496"/>
      <c r="AH169" s="496"/>
      <c r="AI169" s="496"/>
      <c r="AJ169" s="496"/>
      <c r="AK169" s="496"/>
      <c r="AL169" s="496"/>
      <c r="AM169" s="496"/>
      <c r="AN169" s="496"/>
    </row>
    <row r="170" spans="1:40" ht="15.75" customHeight="1" thickTop="1">
      <c r="B170" s="510"/>
      <c r="C170" s="511"/>
      <c r="D170" s="512" t="s">
        <v>5</v>
      </c>
      <c r="E170" s="513"/>
      <c r="F170" s="514"/>
      <c r="G170" s="515"/>
      <c r="H170" s="513"/>
      <c r="I170" s="514"/>
      <c r="J170" s="515" t="s">
        <v>7</v>
      </c>
      <c r="K170" s="513"/>
      <c r="L170" s="514"/>
      <c r="M170" s="515" t="s">
        <v>220</v>
      </c>
      <c r="N170" s="514"/>
      <c r="O170" s="512" t="s">
        <v>8</v>
      </c>
      <c r="P170" s="513"/>
      <c r="Q170" s="514"/>
      <c r="R170" s="515" t="s">
        <v>221</v>
      </c>
      <c r="S170" s="514"/>
      <c r="T170" s="651"/>
      <c r="AA170" s="507"/>
      <c r="AB170" s="507"/>
      <c r="AC170" s="507"/>
      <c r="AD170" s="507"/>
      <c r="AE170" s="507"/>
      <c r="AF170" s="507"/>
      <c r="AG170" s="507"/>
      <c r="AH170" s="507"/>
      <c r="AI170" s="507"/>
      <c r="AJ170" s="507"/>
      <c r="AK170" s="507"/>
      <c r="AL170" s="507"/>
      <c r="AM170" s="507"/>
      <c r="AN170" s="507"/>
    </row>
    <row r="171" spans="1:40" ht="15.75" customHeight="1">
      <c r="A171" s="523" t="s">
        <v>83</v>
      </c>
      <c r="B171" s="510" t="s">
        <v>83</v>
      </c>
      <c r="C171" s="531"/>
      <c r="D171" s="575" t="s">
        <v>40</v>
      </c>
      <c r="E171" s="575" t="s">
        <v>84</v>
      </c>
      <c r="F171" s="658" t="s">
        <v>12</v>
      </c>
      <c r="G171" s="659"/>
      <c r="H171" s="575"/>
      <c r="I171" s="658"/>
      <c r="J171" s="659" t="s">
        <v>40</v>
      </c>
      <c r="K171" s="575" t="s">
        <v>84</v>
      </c>
      <c r="L171" s="658" t="s">
        <v>12</v>
      </c>
      <c r="M171" s="659" t="s">
        <v>226</v>
      </c>
      <c r="N171" s="658" t="s">
        <v>223</v>
      </c>
      <c r="O171" s="575" t="s">
        <v>40</v>
      </c>
      <c r="P171" s="575" t="s">
        <v>84</v>
      </c>
      <c r="Q171" s="658" t="s">
        <v>12</v>
      </c>
      <c r="R171" s="659" t="s">
        <v>85</v>
      </c>
      <c r="S171" s="658" t="s">
        <v>12</v>
      </c>
      <c r="T171" s="575"/>
      <c r="AA171" s="510"/>
      <c r="AB171" s="510"/>
      <c r="AC171" s="510"/>
      <c r="AD171" s="510"/>
      <c r="AE171" s="510"/>
      <c r="AF171" s="510"/>
      <c r="AG171" s="510"/>
      <c r="AH171" s="510"/>
      <c r="AI171" s="510"/>
      <c r="AJ171" s="510"/>
      <c r="AK171" s="510"/>
      <c r="AL171" s="510"/>
      <c r="AM171" s="510"/>
      <c r="AN171" s="510"/>
    </row>
    <row r="172" spans="1:40" ht="15.75" customHeight="1">
      <c r="A172" s="523" t="s">
        <v>334</v>
      </c>
      <c r="B172" s="510" t="s">
        <v>83</v>
      </c>
      <c r="C172" s="531" t="s">
        <v>86</v>
      </c>
      <c r="D172" s="573">
        <f>+INDEX('[7]Budget original'!$A$2:$AO$501,MATCH($A172,'[7]Budget original'!$A$2:$A$501,0),MATCH(D$2,'[7]Budget original'!$A$2:$AO$2,0))</f>
        <v>905.70659999999998</v>
      </c>
      <c r="E172" s="573">
        <f>+INDEX('[7]Budget original'!$A$2:$AO$501,MATCH($A172,'[7]Budget original'!$A$2:$A$501,0),MATCH(E$2,'[7]Budget original'!$A$2:$AO$2,0))</f>
        <v>298883.17800000001</v>
      </c>
      <c r="F172" s="573">
        <f>+INDEX('[7]Budget original'!$A$2:$AO$501,MATCH($A172,'[7]Budget original'!$A$2:$A$501,0),MATCH(F$2,'[7]Budget original'!$A$2:$AO$2,0))</f>
        <v>227151.21528</v>
      </c>
      <c r="G172" s="558"/>
      <c r="H172" s="573"/>
      <c r="I172" s="573"/>
      <c r="J172" s="558">
        <f>-SUMIFS([7]BV_Data_An_Cour!$O:$O,[7]BV_Data_An_Cour!$U:$U,$B172,[7]BV_Data_An_Cour!$V:$V,$C172,[7]BV_Data_An_Cour!$W:$W,J$2)</f>
        <v>965</v>
      </c>
      <c r="K172" s="532">
        <f>-SUMIFS([7]BV_Data_An_Cour!$O:$O,[7]BV_Data_An_Cour!$X:$X,"Oui",[7]BV_Data_An_Cour!$U:$U,$B172,[7]BV_Data_An_Cour!$V:$V,$C172)</f>
        <v>297786.23</v>
      </c>
      <c r="L172" s="534">
        <f>-SUMIFS([7]BV_Data_An_Cour!$O:$O,[7]BV_Data_An_Cour!$U:$U,$B172,[7]BV_Data_An_Cour!$V:$V,$C172,[7]BV_Data_An_Cour!$W:$W,$L$2)</f>
        <v>242253.66999999998</v>
      </c>
      <c r="M172" s="577">
        <f>(K172-E172)/E172</f>
        <v>-3.670156371262999E-3</v>
      </c>
      <c r="N172" s="557">
        <f>L172-F172</f>
        <v>15102.45471999998</v>
      </c>
      <c r="O172" s="558">
        <f t="array" ref="O172">+INDEX('[7]Réel 2023'!$A$2:$AO$501,MATCH($A172,'[7]Réel 2023'!$A$2:$A$501,0),MATCH(O$2,'[7]Réel 2023'!$A$2:$AO$2,0))</f>
        <v>1003</v>
      </c>
      <c r="P172" s="532">
        <f t="array" ref="P172">+INDEX('[7]Réel 2023'!$A$2:$AO$501,MATCH($A172,'[7]Réel 2023'!$A$2:$A$501,0),MATCH(P$2,'[7]Réel 2023'!$A$2:$AO$2,0))</f>
        <v>245740.65</v>
      </c>
      <c r="Q172" s="534">
        <f t="array" ref="Q172">+INDEX('[7]Réel 2023'!$A$2:$AO$501,MATCH($A172,'[7]Réel 2023'!$A$2:$A$501,0),MATCH(Q$2,'[7]Réel 2023'!$A$2:$AO$2,0))</f>
        <v>184881.37</v>
      </c>
      <c r="R172" s="577">
        <f>IF(O172=0,0,J172/O172)</f>
        <v>0.96211365902293122</v>
      </c>
      <c r="S172" s="557">
        <f>L172-Q172</f>
        <v>57372.299999999988</v>
      </c>
      <c r="T172" s="573"/>
      <c r="AA172" s="510"/>
      <c r="AB172" s="510"/>
      <c r="AC172" s="510"/>
      <c r="AD172" s="510"/>
      <c r="AE172" s="510"/>
      <c r="AF172" s="510"/>
      <c r="AG172" s="510"/>
      <c r="AH172" s="510"/>
      <c r="AI172" s="510"/>
      <c r="AJ172" s="510"/>
      <c r="AK172" s="510"/>
      <c r="AL172" s="510"/>
      <c r="AM172" s="510"/>
      <c r="AN172" s="510"/>
    </row>
    <row r="173" spans="1:40" ht="15.75" customHeight="1">
      <c r="A173" s="523" t="s">
        <v>335</v>
      </c>
      <c r="B173" s="510" t="s">
        <v>83</v>
      </c>
      <c r="C173" s="531" t="s">
        <v>87</v>
      </c>
      <c r="D173" s="573"/>
      <c r="E173" s="644"/>
      <c r="F173" s="660">
        <f>F172/E172</f>
        <v>0.76</v>
      </c>
      <c r="G173" s="558"/>
      <c r="H173" s="644"/>
      <c r="I173" s="660"/>
      <c r="J173" s="558"/>
      <c r="K173" s="510"/>
      <c r="L173" s="660">
        <f>IF(L172=0,0,L172/K172)</f>
        <v>0.81351535294294841</v>
      </c>
      <c r="M173" s="577"/>
      <c r="N173" s="557"/>
      <c r="O173" s="558"/>
      <c r="P173" s="510"/>
      <c r="Q173" s="660">
        <f>Q172/P172</f>
        <v>0.75234345640413991</v>
      </c>
      <c r="R173" s="558"/>
      <c r="S173" s="557"/>
      <c r="T173" s="573"/>
      <c r="AA173" s="510"/>
      <c r="AB173" s="510"/>
      <c r="AC173" s="510"/>
      <c r="AD173" s="510"/>
      <c r="AE173" s="510"/>
      <c r="AF173" s="510"/>
      <c r="AG173" s="510"/>
      <c r="AH173" s="510"/>
      <c r="AI173" s="510"/>
      <c r="AJ173" s="510"/>
      <c r="AK173" s="510"/>
      <c r="AL173" s="510"/>
      <c r="AM173" s="510"/>
      <c r="AN173" s="510"/>
    </row>
    <row r="174" spans="1:40" ht="15.75" customHeight="1">
      <c r="A174" s="523" t="s">
        <v>83</v>
      </c>
      <c r="B174" s="510" t="s">
        <v>83</v>
      </c>
      <c r="C174" s="524"/>
      <c r="D174" s="580"/>
      <c r="E174" s="661">
        <f>IFERROR(E172/D172,0)</f>
        <v>330</v>
      </c>
      <c r="F174" s="662"/>
      <c r="G174" s="663"/>
      <c r="H174" s="661"/>
      <c r="I174" s="662"/>
      <c r="J174" s="663"/>
      <c r="K174" s="661">
        <f>IFERROR(K172/J172,0)</f>
        <v>308.58676683937824</v>
      </c>
      <c r="L174" s="662"/>
      <c r="M174" s="581"/>
      <c r="N174" s="582"/>
      <c r="O174" s="663"/>
      <c r="P174" s="661">
        <f>IFERROR(P172/O172,0)</f>
        <v>245.00563310069791</v>
      </c>
      <c r="Q174" s="662"/>
      <c r="R174" s="663"/>
      <c r="S174" s="582"/>
      <c r="T174" s="573"/>
      <c r="AA174" s="510"/>
      <c r="AB174" s="510"/>
      <c r="AC174" s="510"/>
      <c r="AD174" s="510"/>
      <c r="AE174" s="510"/>
      <c r="AF174" s="510"/>
      <c r="AG174" s="510"/>
      <c r="AH174" s="510"/>
      <c r="AI174" s="510"/>
      <c r="AJ174" s="510"/>
      <c r="AK174" s="510"/>
      <c r="AL174" s="510"/>
      <c r="AM174" s="510"/>
      <c r="AN174" s="510"/>
    </row>
    <row r="175" spans="1:40" ht="18" customHeight="1">
      <c r="A175" s="523" t="s">
        <v>336</v>
      </c>
      <c r="B175" s="510" t="s">
        <v>83</v>
      </c>
      <c r="C175" s="518" t="s">
        <v>88</v>
      </c>
      <c r="D175" s="664">
        <f>+INDEX('[7]Budget original'!$A$2:$AO$501,MATCH($A175,'[7]Budget original'!$A$2:$A$501,0),MATCH(D$2,'[7]Budget original'!$A$2:$AO$2,0))</f>
        <v>191.81870000000001</v>
      </c>
      <c r="E175" s="573">
        <f>+INDEX('[7]Budget original'!$A$2:$AO$501,MATCH($A175,'[7]Budget original'!$A$2:$A$501,0),MATCH(E$2,'[7]Budget original'!$A$2:$AO$2,0))</f>
        <v>51791.048999999999</v>
      </c>
      <c r="F175" s="573">
        <f>+INDEX('[7]Budget original'!$A$2:$AO$501,MATCH($A175,'[7]Budget original'!$A$2:$A$501,0),MATCH(F$2,'[7]Budget original'!$A$2:$AO$2,0))</f>
        <v>33146.271359999999</v>
      </c>
      <c r="G175" s="665"/>
      <c r="H175" s="573"/>
      <c r="I175" s="573"/>
      <c r="J175" s="665">
        <f>-SUMIFS([7]BV_Data_An_Cour!$O:$O,[7]BV_Data_An_Cour!$U:$U,$B175,[7]BV_Data_An_Cour!$V:$V,$C175,[7]BV_Data_An_Cour!$W:$W,J$2)</f>
        <v>155</v>
      </c>
      <c r="K175" s="552">
        <f>-SUMIFS([7]BV_Data_An_Cour!$O:$O,[7]BV_Data_An_Cour!$X:$X,"Oui",[7]BV_Data_An_Cour!$U:$U,$B175,[7]BV_Data_An_Cour!$V:$V,$C175)</f>
        <v>33909.660000000003</v>
      </c>
      <c r="L175" s="534">
        <f>-SUMIFS([7]BV_Data_An_Cour!$O:$O,[7]BV_Data_An_Cour!$U:$U,$B175,[7]BV_Data_An_Cour!$V:$V,$C175,[7]BV_Data_An_Cour!$W:$W,$L$2)</f>
        <v>21381.65</v>
      </c>
      <c r="M175" s="577">
        <f>(K175-E175)/E175</f>
        <v>-0.34526022054505973</v>
      </c>
      <c r="N175" s="606">
        <f>L175-F175</f>
        <v>-11764.621359999997</v>
      </c>
      <c r="O175" s="665">
        <f t="array" ref="O175">+INDEX('[7]Réel 2023'!$A$2:$AO$501,MATCH($A175,'[7]Réel 2023'!$A$2:$A$501,0),MATCH(O$2,'[7]Réel 2023'!$A$2:$AO$2,0))</f>
        <v>116</v>
      </c>
      <c r="P175" s="552">
        <f t="array" ref="P175">+INDEX('[7]Réel 2023'!$A$2:$AO$501,MATCH($A175,'[7]Réel 2023'!$A$2:$A$501,0),MATCH(P$2,'[7]Réel 2023'!$A$2:$AO$2,0))</f>
        <v>22849.53</v>
      </c>
      <c r="Q175" s="534">
        <f t="array" ref="Q175">+INDEX('[7]Réel 2023'!$A$2:$AO$501,MATCH($A175,'[7]Réel 2023'!$A$2:$A$501,0),MATCH(Q$2,'[7]Réel 2023'!$A$2:$AO$2,0))</f>
        <v>12512.06</v>
      </c>
      <c r="R175" s="577">
        <f>IF(O175=0,0,J175/O175)</f>
        <v>1.3362068965517242</v>
      </c>
      <c r="S175" s="557">
        <f>L175-Q175</f>
        <v>8869.590000000002</v>
      </c>
      <c r="T175" s="573"/>
      <c r="U175" s="510"/>
      <c r="V175" s="532"/>
      <c r="W175" s="510"/>
      <c r="AA175" s="510"/>
      <c r="AB175" s="510"/>
      <c r="AC175" s="510"/>
      <c r="AD175" s="510"/>
      <c r="AE175" s="510"/>
      <c r="AF175" s="510"/>
      <c r="AG175" s="510"/>
      <c r="AH175" s="510"/>
      <c r="AI175" s="510"/>
      <c r="AJ175" s="510"/>
      <c r="AK175" s="510"/>
      <c r="AL175" s="510"/>
      <c r="AM175" s="510"/>
      <c r="AN175" s="510"/>
    </row>
    <row r="176" spans="1:40" ht="15.75" customHeight="1">
      <c r="A176" s="523" t="s">
        <v>335</v>
      </c>
      <c r="B176" s="510" t="s">
        <v>83</v>
      </c>
      <c r="C176" s="531" t="s">
        <v>87</v>
      </c>
      <c r="D176" s="510"/>
      <c r="E176" s="510"/>
      <c r="F176" s="660">
        <f>F175/E175</f>
        <v>0.64</v>
      </c>
      <c r="G176" s="531"/>
      <c r="H176" s="510"/>
      <c r="I176" s="660"/>
      <c r="J176" s="531"/>
      <c r="K176" s="510"/>
      <c r="L176" s="660">
        <f>IF(L175=0,0,L175/K175)</f>
        <v>0.63054746051715049</v>
      </c>
      <c r="M176" s="548"/>
      <c r="N176" s="549"/>
      <c r="O176" s="531"/>
      <c r="P176" s="510"/>
      <c r="Q176" s="660">
        <f>Q175/P175</f>
        <v>0.54758500503073804</v>
      </c>
      <c r="R176" s="548"/>
      <c r="S176" s="549"/>
      <c r="T176" s="510"/>
      <c r="U176" s="510"/>
      <c r="V176" s="532"/>
      <c r="W176" s="666"/>
      <c r="AA176" s="510"/>
      <c r="AB176" s="510"/>
      <c r="AC176" s="510"/>
      <c r="AD176" s="510"/>
      <c r="AE176" s="510"/>
      <c r="AF176" s="510"/>
      <c r="AG176" s="510"/>
      <c r="AH176" s="510"/>
      <c r="AI176" s="510"/>
      <c r="AJ176" s="510"/>
      <c r="AK176" s="510"/>
      <c r="AL176" s="510"/>
      <c r="AM176" s="510"/>
      <c r="AN176" s="510"/>
    </row>
    <row r="177" spans="1:40" ht="15.75" customHeight="1">
      <c r="A177" s="523" t="s">
        <v>83</v>
      </c>
      <c r="B177" s="510" t="s">
        <v>83</v>
      </c>
      <c r="C177" s="524"/>
      <c r="D177" s="607"/>
      <c r="E177" s="661">
        <f>IFERROR(E175/D175,0)</f>
        <v>270</v>
      </c>
      <c r="F177" s="662"/>
      <c r="G177" s="663"/>
      <c r="H177" s="661"/>
      <c r="I177" s="662"/>
      <c r="J177" s="663"/>
      <c r="K177" s="661">
        <f>IFERROR(K175/J175,0)</f>
        <v>218.77200000000002</v>
      </c>
      <c r="L177" s="662"/>
      <c r="M177" s="581"/>
      <c r="N177" s="582"/>
      <c r="O177" s="663"/>
      <c r="P177" s="661">
        <f>IFERROR(P175/O175,0)</f>
        <v>196.97870689655173</v>
      </c>
      <c r="Q177" s="662"/>
      <c r="R177" s="667"/>
      <c r="S177" s="668"/>
      <c r="T177" s="510"/>
      <c r="AA177" s="510"/>
      <c r="AB177" s="510"/>
      <c r="AC177" s="510"/>
      <c r="AD177" s="510"/>
      <c r="AE177" s="510"/>
      <c r="AF177" s="510"/>
      <c r="AG177" s="510"/>
      <c r="AH177" s="510"/>
      <c r="AI177" s="510"/>
      <c r="AJ177" s="510"/>
      <c r="AK177" s="510"/>
      <c r="AL177" s="510"/>
      <c r="AM177" s="510"/>
      <c r="AN177" s="510"/>
    </row>
    <row r="178" spans="1:40" ht="15.75" customHeight="1">
      <c r="A178" s="523" t="s">
        <v>337</v>
      </c>
      <c r="B178" s="510" t="s">
        <v>83</v>
      </c>
      <c r="C178" s="531" t="s">
        <v>89</v>
      </c>
      <c r="D178" s="573">
        <f>+INDEX('[7]Budget original'!$A$2:$AO$501,MATCH($A178,'[7]Budget original'!$A$2:$A$501,0),MATCH(D$2,'[7]Budget original'!$A$2:$AO$2,0))</f>
        <v>262.5</v>
      </c>
      <c r="E178" s="573">
        <f>+INDEX('[7]Budget original'!$A$2:$AO$501,MATCH($A178,'[7]Budget original'!$A$2:$A$501,0),MATCH(E$2,'[7]Budget original'!$A$2:$AO$2,0))</f>
        <v>77175</v>
      </c>
      <c r="F178" s="573">
        <f>+INDEX('[7]Budget original'!$A$2:$AO$501,MATCH($A178,'[7]Budget original'!$A$2:$A$501,0),MATCH(F$2,'[7]Budget original'!$A$2:$AO$2,0))</f>
        <v>57109.5</v>
      </c>
      <c r="G178" s="558"/>
      <c r="H178" s="573"/>
      <c r="I178" s="573"/>
      <c r="J178" s="558">
        <f>-SUMIFS([7]BV_Data_An_Cour!$O:$O,[7]BV_Data_An_Cour!$U:$U,$B178,[7]BV_Data_An_Cour!$V:$V,$C178,[7]BV_Data_An_Cour!$W:$W,J$2)</f>
        <v>285</v>
      </c>
      <c r="K178" s="552">
        <f>-SUMIFS([7]BV_Data_An_Cour!$O:$O,[7]BV_Data_An_Cour!$X:$X,"Oui",[7]BV_Data_An_Cour!$U:$U,$B178,[7]BV_Data_An_Cour!$V:$V,$C178)</f>
        <v>85492.57</v>
      </c>
      <c r="L178" s="534">
        <f>-SUMIFS([7]BV_Data_An_Cour!$O:$O,[7]BV_Data_An_Cour!$U:$U,$B178,[7]BV_Data_An_Cour!$V:$V,$C178,[7]BV_Data_An_Cour!$W:$W,$L$2)</f>
        <v>65968.960000000006</v>
      </c>
      <c r="M178" s="577">
        <f>(K178-E178)/E178</f>
        <v>0.10777544541626183</v>
      </c>
      <c r="N178" s="557">
        <f>L178-F178</f>
        <v>8859.4600000000064</v>
      </c>
      <c r="O178" s="558">
        <f t="array" ref="O178">+INDEX('[7]Réel 2023'!$A$2:$AO$501,MATCH($A178,'[7]Réel 2023'!$A$2:$A$501,0),MATCH(O$2,'[7]Réel 2023'!$A$2:$AO$2,0))</f>
        <v>339</v>
      </c>
      <c r="P178" s="552">
        <f t="array" ref="P178">+INDEX('[7]Réel 2023'!$A$2:$AO$501,MATCH($A178,'[7]Réel 2023'!$A$2:$A$501,0),MATCH(P$2,'[7]Réel 2023'!$A$2:$AO$2,0))</f>
        <v>94484.31</v>
      </c>
      <c r="Q178" s="534">
        <f t="array" ref="Q178">+INDEX('[7]Réel 2023'!$A$2:$AO$501,MATCH($A178,'[7]Réel 2023'!$A$2:$A$501,0),MATCH(Q$2,'[7]Réel 2023'!$A$2:$AO$2,0))</f>
        <v>69294.319999999905</v>
      </c>
      <c r="R178" s="577">
        <f>IF(O178=0,0,J178/O178)</f>
        <v>0.84070796460176989</v>
      </c>
      <c r="S178" s="557">
        <f>L178-Q178</f>
        <v>-3325.3599999998987</v>
      </c>
      <c r="T178" s="573"/>
      <c r="AA178" s="510"/>
      <c r="AB178" s="510"/>
      <c r="AC178" s="510"/>
      <c r="AD178" s="510"/>
      <c r="AE178" s="510"/>
      <c r="AF178" s="510"/>
      <c r="AG178" s="510"/>
      <c r="AH178" s="510"/>
      <c r="AI178" s="510"/>
      <c r="AJ178" s="510"/>
      <c r="AK178" s="510"/>
      <c r="AL178" s="510"/>
      <c r="AM178" s="510"/>
      <c r="AN178" s="510"/>
    </row>
    <row r="179" spans="1:40" ht="15.75" customHeight="1">
      <c r="A179" s="523" t="s">
        <v>335</v>
      </c>
      <c r="B179" s="510" t="s">
        <v>83</v>
      </c>
      <c r="C179" s="531" t="s">
        <v>87</v>
      </c>
      <c r="D179" s="573"/>
      <c r="E179" s="644"/>
      <c r="F179" s="660">
        <f>F178/E178</f>
        <v>0.74</v>
      </c>
      <c r="G179" s="558"/>
      <c r="H179" s="644"/>
      <c r="I179" s="660"/>
      <c r="J179" s="558"/>
      <c r="K179" s="644"/>
      <c r="L179" s="660">
        <f>IF(L178=0,0,L178/K178)</f>
        <v>0.77163383905759297</v>
      </c>
      <c r="M179" s="577"/>
      <c r="N179" s="557">
        <f>L179-F179</f>
        <v>3.1633839057592983E-2</v>
      </c>
      <c r="O179" s="558"/>
      <c r="P179" s="644"/>
      <c r="Q179" s="660">
        <f>Q178/P178</f>
        <v>0.73339499436467182</v>
      </c>
      <c r="R179" s="558">
        <f>O179-K179</f>
        <v>0</v>
      </c>
      <c r="S179" s="557"/>
      <c r="T179" s="573"/>
      <c r="AA179" s="510"/>
      <c r="AB179" s="510"/>
      <c r="AC179" s="510"/>
      <c r="AD179" s="510"/>
      <c r="AE179" s="510"/>
      <c r="AF179" s="510"/>
      <c r="AG179" s="510"/>
      <c r="AH179" s="510"/>
      <c r="AI179" s="510"/>
      <c r="AJ179" s="510"/>
      <c r="AK179" s="510"/>
      <c r="AL179" s="510"/>
      <c r="AM179" s="510"/>
      <c r="AN179" s="510"/>
    </row>
    <row r="180" spans="1:40" ht="15.75" customHeight="1">
      <c r="A180" s="523" t="s">
        <v>83</v>
      </c>
      <c r="B180" s="510" t="s">
        <v>83</v>
      </c>
      <c r="C180" s="531"/>
      <c r="D180" s="573"/>
      <c r="E180" s="661">
        <f>IFERROR(E178/D178,0)</f>
        <v>294</v>
      </c>
      <c r="F180" s="662"/>
      <c r="G180" s="663"/>
      <c r="H180" s="661"/>
      <c r="I180" s="662"/>
      <c r="J180" s="663"/>
      <c r="K180" s="661">
        <f>IFERROR(K178/J178,0)</f>
        <v>299.97392982456142</v>
      </c>
      <c r="L180" s="662"/>
      <c r="M180" s="581"/>
      <c r="N180" s="582"/>
      <c r="O180" s="663"/>
      <c r="P180" s="661">
        <f>IFERROR(P178/O178,0)</f>
        <v>278.71477876106195</v>
      </c>
      <c r="Q180" s="660"/>
      <c r="R180" s="663"/>
      <c r="S180" s="557"/>
      <c r="T180" s="573"/>
      <c r="U180" s="551"/>
      <c r="AA180" s="510"/>
      <c r="AB180" s="510"/>
      <c r="AC180" s="510"/>
      <c r="AD180" s="510"/>
      <c r="AE180" s="510"/>
      <c r="AF180" s="510"/>
      <c r="AG180" s="510"/>
      <c r="AH180" s="510"/>
      <c r="AI180" s="510"/>
      <c r="AJ180" s="510"/>
      <c r="AK180" s="510"/>
      <c r="AL180" s="510"/>
      <c r="AM180" s="510"/>
      <c r="AN180" s="510"/>
    </row>
    <row r="181" spans="1:40" ht="15.75" customHeight="1">
      <c r="A181" s="523" t="s">
        <v>338</v>
      </c>
      <c r="B181" s="510" t="s">
        <v>83</v>
      </c>
      <c r="C181" s="518" t="s">
        <v>90</v>
      </c>
      <c r="D181" s="664">
        <f>+INDEX('[7]Budget original'!$A$2:$AO$501,MATCH($A181,'[7]Budget original'!$A$2:$A$501,0),MATCH(D$2,'[7]Budget original'!$A$2:$AO$2,0))</f>
        <v>116.32497850919506</v>
      </c>
      <c r="E181" s="573">
        <f>+INDEX('[7]Budget original'!$A$2:$AO$501,MATCH($A181,'[7]Budget original'!$A$2:$A$501,0),MATCH(E$2,'[7]Budget original'!$A$2:$AO$2,0))</f>
        <v>11632.497850919506</v>
      </c>
      <c r="F181" s="573">
        <f>+INDEX('[7]Budget original'!$A$2:$AO$501,MATCH($A181,'[7]Budget original'!$A$2:$A$501,0),MATCH(F$2,'[7]Budget original'!$A$2:$AO$2,0))</f>
        <v>8840.6983666988253</v>
      </c>
      <c r="G181" s="665"/>
      <c r="H181" s="573"/>
      <c r="I181" s="573"/>
      <c r="J181" s="665">
        <f>-SUMIFS([7]BV_Data_An_Cour!$O:$O,[7]BV_Data_An_Cour!$U:$U,$B181,[7]BV_Data_An_Cour!$V:$V,$C181,[7]BV_Data_An_Cour!$W:$W,J$2)</f>
        <v>0</v>
      </c>
      <c r="K181" s="552">
        <f>-SUMIFS([7]BV_Data_An_Cour!$O:$O,[7]BV_Data_An_Cour!$X:$X,"Oui",[7]BV_Data_An_Cour!$U:$U,$B181,[7]BV_Data_An_Cour!$V:$V,$C181)</f>
        <v>21385.759999999998</v>
      </c>
      <c r="L181" s="553">
        <f>-SUMIFS([7]BV_Data_An_Cour!$O:$O,[7]BV_Data_An_Cour!$U:$U,$B181,[7]BV_Data_An_Cour!$V:$V,$C181,[7]BV_Data_An_Cour!$W:$W,$L$2)</f>
        <v>15606.169999999998</v>
      </c>
      <c r="M181" s="669">
        <f>IF(E181=0,0,(K181-E181)/E181)</f>
        <v>0.83844951222660513</v>
      </c>
      <c r="N181" s="606">
        <f>L181-F181</f>
        <v>6765.4716333011729</v>
      </c>
      <c r="O181" s="665">
        <f t="array" ref="O181">+INDEX('[7]Réel 2023'!$A$2:$AO$501,MATCH($A181,'[7]Réel 2023'!$A$2:$A$501,0),MATCH(O$2,'[7]Réel 2023'!$A$2:$AO$2,0))</f>
        <v>0</v>
      </c>
      <c r="P181" s="552">
        <f t="array" ref="P181">+INDEX('[7]Réel 2023'!$A$2:$AO$501,MATCH($A181,'[7]Réel 2023'!$A$2:$A$501,0),MATCH(P$2,'[7]Réel 2023'!$A$2:$AO$2,0))</f>
        <v>17546.61</v>
      </c>
      <c r="Q181" s="553">
        <f t="array" ref="Q181">+INDEX('[7]Réel 2023'!$A$2:$AO$501,MATCH($A181,'[7]Réel 2023'!$A$2:$A$501,0),MATCH(Q$2,'[7]Réel 2023'!$A$2:$AO$2,0))</f>
        <v>12159.81</v>
      </c>
      <c r="R181" s="577">
        <f>IF(O181=0,0,J181/O181)</f>
        <v>0</v>
      </c>
      <c r="S181" s="606">
        <f>L181-Q181</f>
        <v>3446.3599999999988</v>
      </c>
      <c r="T181" s="573"/>
      <c r="U181" s="551"/>
      <c r="AA181" s="510"/>
      <c r="AB181" s="510"/>
      <c r="AC181" s="510"/>
      <c r="AD181" s="510"/>
      <c r="AE181" s="510"/>
      <c r="AF181" s="510"/>
      <c r="AG181" s="510"/>
      <c r="AH181" s="510"/>
      <c r="AI181" s="510"/>
      <c r="AJ181" s="510"/>
      <c r="AK181" s="510"/>
      <c r="AL181" s="510"/>
      <c r="AM181" s="510"/>
      <c r="AN181" s="510"/>
    </row>
    <row r="182" spans="1:40" ht="15.75" customHeight="1">
      <c r="A182" s="523" t="s">
        <v>335</v>
      </c>
      <c r="B182" s="510" t="s">
        <v>83</v>
      </c>
      <c r="C182" s="531" t="s">
        <v>87</v>
      </c>
      <c r="D182" s="571"/>
      <c r="E182" s="670"/>
      <c r="F182" s="660">
        <f>IFERROR(F181/E181,0)</f>
        <v>0.76</v>
      </c>
      <c r="G182" s="550"/>
      <c r="H182" s="670"/>
      <c r="I182" s="660"/>
      <c r="J182" s="671"/>
      <c r="K182" s="670">
        <f>IF(J182&lt;=0,0,L182/J182)</f>
        <v>0</v>
      </c>
      <c r="L182" s="660">
        <f>IF(L181=0,0,L181/K181)</f>
        <v>0.72974586827870502</v>
      </c>
      <c r="M182" s="558">
        <f>J182-D182</f>
        <v>0</v>
      </c>
      <c r="N182" s="672"/>
      <c r="O182" s="671"/>
      <c r="P182" s="670"/>
      <c r="Q182" s="660">
        <f>IFERROR(Q181/P181,0)</f>
        <v>0.69300052830717718</v>
      </c>
      <c r="R182" s="531"/>
      <c r="S182" s="672"/>
      <c r="T182" s="608"/>
      <c r="U182" s="551"/>
      <c r="AA182" s="510"/>
      <c r="AB182" s="510"/>
      <c r="AC182" s="510"/>
      <c r="AD182" s="510"/>
      <c r="AE182" s="510"/>
      <c r="AF182" s="510"/>
      <c r="AG182" s="510"/>
      <c r="AH182" s="510"/>
      <c r="AI182" s="510"/>
      <c r="AJ182" s="510"/>
      <c r="AK182" s="510"/>
      <c r="AL182" s="510"/>
      <c r="AM182" s="510"/>
      <c r="AN182" s="510"/>
    </row>
    <row r="183" spans="1:40" ht="15.75" customHeight="1">
      <c r="A183" s="523" t="s">
        <v>83</v>
      </c>
      <c r="B183" s="510" t="s">
        <v>83</v>
      </c>
      <c r="C183" s="524"/>
      <c r="D183" s="673"/>
      <c r="E183" s="674"/>
      <c r="F183" s="662"/>
      <c r="G183" s="544"/>
      <c r="H183" s="674"/>
      <c r="I183" s="662"/>
      <c r="J183" s="675"/>
      <c r="K183" s="528"/>
      <c r="L183" s="662"/>
      <c r="M183" s="663"/>
      <c r="N183" s="676"/>
      <c r="O183" s="675"/>
      <c r="P183" s="528">
        <f>IFERROR(P181/O181,0)</f>
        <v>0</v>
      </c>
      <c r="Q183" s="662"/>
      <c r="R183" s="524"/>
      <c r="S183" s="676"/>
      <c r="T183" s="608"/>
      <c r="AA183" s="510"/>
      <c r="AB183" s="510"/>
      <c r="AC183" s="510"/>
      <c r="AD183" s="510"/>
      <c r="AE183" s="510"/>
      <c r="AF183" s="510"/>
      <c r="AG183" s="510"/>
      <c r="AH183" s="510"/>
      <c r="AI183" s="510"/>
      <c r="AJ183" s="510"/>
      <c r="AK183" s="510"/>
      <c r="AL183" s="510"/>
      <c r="AM183" s="510"/>
      <c r="AN183" s="510"/>
    </row>
    <row r="184" spans="1:40" ht="26.25" customHeight="1" thickBot="1">
      <c r="A184" s="523" t="s">
        <v>339</v>
      </c>
      <c r="B184" s="510" t="s">
        <v>83</v>
      </c>
      <c r="C184" s="531" t="s">
        <v>91</v>
      </c>
      <c r="D184" s="510"/>
      <c r="E184" s="510"/>
      <c r="F184" s="557">
        <f>+INDEX('[7]Budget original'!$A$2:$AO$501,MATCH($A184,'[7]Budget original'!$A$2:$A$501,0),MATCH(F$2,'[7]Budget original'!$A$2:$AO$2,0))</f>
        <v>-5087.5973124709253</v>
      </c>
      <c r="G184" s="531"/>
      <c r="H184" s="573"/>
      <c r="I184" s="573"/>
      <c r="J184" s="558"/>
      <c r="K184" s="573"/>
      <c r="L184" s="573">
        <f>-SUMIFS([7]BV_Data_An_Cour!$O:$O,[7]BV_Data_An_Cour!$U:$U,$B184,[7]BV_Data_An_Cour!$V:$V,$C184,[7]BV_Data_An_Cour!$W:$W,$L$2)</f>
        <v>-1452.11</v>
      </c>
      <c r="M184" s="671"/>
      <c r="N184" s="557">
        <f>L184-F184</f>
        <v>3635.4873124709256</v>
      </c>
      <c r="O184" s="558"/>
      <c r="P184" s="573"/>
      <c r="Q184" s="534">
        <f t="array" ref="Q184">+INDEX('[7]Réel 2023'!$A$2:$AO$501,MATCH($A184,'[7]Réel 2023'!$A$2:$A$501,0),MATCH(Q$2,'[7]Réel 2023'!$A$2:$AO$2,0))</f>
        <v>-1433.5</v>
      </c>
      <c r="R184" s="677"/>
      <c r="S184" s="557">
        <f t="shared" ref="S184:S185" si="41">L184-Q184</f>
        <v>-18.6099999999999</v>
      </c>
      <c r="T184" s="510"/>
      <c r="U184" s="510"/>
      <c r="V184" s="510"/>
      <c r="W184" s="510"/>
      <c r="X184" s="510"/>
      <c r="Y184" s="510"/>
      <c r="Z184" s="510"/>
      <c r="AA184" s="510"/>
      <c r="AB184" s="510"/>
      <c r="AC184" s="510"/>
      <c r="AD184" s="510"/>
      <c r="AE184" s="510"/>
      <c r="AF184" s="510"/>
      <c r="AG184" s="510"/>
      <c r="AH184" s="510"/>
      <c r="AI184" s="510"/>
      <c r="AJ184" s="510"/>
      <c r="AK184" s="510"/>
      <c r="AL184" s="510"/>
      <c r="AM184" s="510"/>
      <c r="AN184" s="510"/>
    </row>
    <row r="185" spans="1:40" ht="15.75" customHeight="1" thickTop="1">
      <c r="A185" s="523" t="s">
        <v>340</v>
      </c>
      <c r="B185" s="510" t="s">
        <v>83</v>
      </c>
      <c r="C185" s="678" t="s">
        <v>92</v>
      </c>
      <c r="D185" s="679">
        <f>D172+D175+D178+D181+D184</f>
        <v>1476.350278509195</v>
      </c>
      <c r="E185" s="679">
        <f>E172+E175+E178+E181+E184</f>
        <v>439481.72485091951</v>
      </c>
      <c r="F185" s="680">
        <f>F172+F175+F178+F181+F184</f>
        <v>321160.08769422793</v>
      </c>
      <c r="G185" s="681"/>
      <c r="H185" s="679"/>
      <c r="I185" s="680"/>
      <c r="J185" s="681">
        <f t="shared" ref="J185:L185" si="42">J172+J175+J178+J181+J184</f>
        <v>1405</v>
      </c>
      <c r="K185" s="679">
        <f t="shared" si="42"/>
        <v>438574.22000000003</v>
      </c>
      <c r="L185" s="680">
        <f t="shared" si="42"/>
        <v>343758.34</v>
      </c>
      <c r="M185" s="682">
        <f>(K185-E185)/E185</f>
        <v>-2.0649433175573286E-3</v>
      </c>
      <c r="N185" s="680">
        <f>L185-F185</f>
        <v>22598.252305772097</v>
      </c>
      <c r="O185" s="681">
        <f t="shared" ref="O185:Q185" si="43">O172+O175+O178+O181+O184</f>
        <v>1458</v>
      </c>
      <c r="P185" s="679">
        <f t="shared" si="43"/>
        <v>380621.1</v>
      </c>
      <c r="Q185" s="680">
        <f t="shared" si="43"/>
        <v>277414.05999999988</v>
      </c>
      <c r="R185" s="548">
        <f>IF(O185=0,0,J185/O185)</f>
        <v>0.96364883401920443</v>
      </c>
      <c r="S185" s="680">
        <f t="shared" si="41"/>
        <v>66344.280000000144</v>
      </c>
      <c r="T185" s="608"/>
      <c r="U185" s="510"/>
      <c r="V185" s="510"/>
      <c r="W185" s="510"/>
      <c r="X185" s="510"/>
      <c r="Y185" s="510"/>
      <c r="Z185" s="510"/>
      <c r="AA185" s="510"/>
      <c r="AB185" s="510"/>
      <c r="AC185" s="510"/>
      <c r="AD185" s="510"/>
      <c r="AE185" s="510"/>
      <c r="AF185" s="510"/>
      <c r="AG185" s="510"/>
      <c r="AH185" s="510"/>
      <c r="AI185" s="510"/>
      <c r="AJ185" s="510"/>
      <c r="AK185" s="510"/>
      <c r="AL185" s="510"/>
      <c r="AM185" s="510"/>
      <c r="AN185" s="510"/>
    </row>
    <row r="186" spans="1:40" ht="15.75" customHeight="1">
      <c r="A186" s="523" t="s">
        <v>341</v>
      </c>
      <c r="B186" s="510" t="s">
        <v>83</v>
      </c>
      <c r="C186" s="683" t="s">
        <v>93</v>
      </c>
      <c r="D186" s="684"/>
      <c r="E186" s="685"/>
      <c r="F186" s="686">
        <f>F185/E185</f>
        <v>0.73077006285795276</v>
      </c>
      <c r="G186" s="687"/>
      <c r="H186" s="685"/>
      <c r="I186" s="549"/>
      <c r="J186" s="687"/>
      <c r="K186" s="685">
        <f>IF(J185=0,0,K185/J185)</f>
        <v>312.15246975088968</v>
      </c>
      <c r="L186" s="549">
        <f>IF(L185=0,0,L185/K185)</f>
        <v>0.78380881575757011</v>
      </c>
      <c r="M186" s="687"/>
      <c r="N186" s="686">
        <f>N185/F185</f>
        <v>7.0364448048375119E-2</v>
      </c>
      <c r="O186" s="687"/>
      <c r="P186" s="685">
        <f>IF(O185=0,0,P185/O185)</f>
        <v>261.05699588477364</v>
      </c>
      <c r="Q186" s="549">
        <f>Q185/P185</f>
        <v>0.7288457208494219</v>
      </c>
      <c r="R186" s="687"/>
      <c r="S186" s="549">
        <f>S185/Q185</f>
        <v>0.23915255052321491</v>
      </c>
      <c r="T186" s="608"/>
      <c r="U186" s="510"/>
      <c r="V186" s="510"/>
      <c r="W186" s="510"/>
      <c r="X186" s="510"/>
      <c r="Y186" s="510"/>
      <c r="Z186" s="510"/>
      <c r="AA186" s="510"/>
      <c r="AB186" s="510"/>
      <c r="AC186" s="510"/>
      <c r="AD186" s="510"/>
      <c r="AE186" s="510"/>
      <c r="AF186" s="510"/>
      <c r="AG186" s="510"/>
      <c r="AH186" s="510"/>
      <c r="AI186" s="510"/>
      <c r="AJ186" s="510"/>
      <c r="AK186" s="510"/>
      <c r="AL186" s="510"/>
      <c r="AM186" s="510"/>
      <c r="AN186" s="510"/>
    </row>
    <row r="187" spans="1:40" ht="15.75" customHeight="1">
      <c r="A187" s="523" t="s">
        <v>83</v>
      </c>
      <c r="B187" s="510" t="s">
        <v>83</v>
      </c>
      <c r="C187" s="537"/>
      <c r="D187" s="688"/>
      <c r="E187" s="689"/>
      <c r="F187" s="690"/>
      <c r="G187" s="691"/>
      <c r="H187" s="689"/>
      <c r="I187" s="690"/>
      <c r="J187" s="691"/>
      <c r="K187" s="689"/>
      <c r="L187" s="690"/>
      <c r="M187" s="691"/>
      <c r="N187" s="690"/>
      <c r="O187" s="691"/>
      <c r="P187" s="689"/>
      <c r="Q187" s="690"/>
      <c r="R187" s="691"/>
      <c r="S187" s="690"/>
      <c r="T187" s="608"/>
      <c r="U187" s="510"/>
      <c r="V187" s="510"/>
      <c r="W187" s="510"/>
      <c r="X187" s="510"/>
      <c r="Y187" s="510"/>
      <c r="Z187" s="510"/>
      <c r="AA187" s="510"/>
      <c r="AB187" s="510"/>
      <c r="AC187" s="510"/>
      <c r="AD187" s="510"/>
      <c r="AE187" s="510"/>
      <c r="AF187" s="510"/>
      <c r="AG187" s="510"/>
      <c r="AH187" s="510"/>
      <c r="AI187" s="510"/>
      <c r="AJ187" s="510"/>
      <c r="AK187" s="510"/>
      <c r="AL187" s="510"/>
      <c r="AM187" s="510"/>
      <c r="AN187" s="510"/>
    </row>
    <row r="188" spans="1:40" ht="19.5" customHeight="1">
      <c r="A188" s="523" t="s">
        <v>342</v>
      </c>
      <c r="B188" s="510" t="s">
        <v>83</v>
      </c>
      <c r="C188" s="531" t="s">
        <v>94</v>
      </c>
      <c r="D188" s="573"/>
      <c r="E188" s="573">
        <f>+INDEX('[7]Budget original'!$A$2:$AO$501,MATCH($A188,'[7]Budget original'!$A$2:$A$501,0),MATCH(E$2,'[7]Budget original'!$A$2:$AO$2,0))</f>
        <v>21585</v>
      </c>
      <c r="F188" s="573">
        <f>+INDEX('[7]Budget original'!$A$2:$AO$501,MATCH($A188,'[7]Budget original'!$A$2:$A$501,0),MATCH(F$2,'[7]Budget original'!$A$2:$AO$2,0))</f>
        <v>4748.7</v>
      </c>
      <c r="G188" s="558"/>
      <c r="H188" s="573"/>
      <c r="I188" s="573"/>
      <c r="J188" s="558"/>
      <c r="K188" s="532">
        <f>-SUMIFS([7]BV_Data_An_Cour!$O:$O,[7]BV_Data_An_Cour!$X:$X,"Oui",[7]BV_Data_An_Cour!$U:$U,$B188,[7]BV_Data_An_Cour!$V:$V,$C188)</f>
        <v>13819.95</v>
      </c>
      <c r="L188" s="534">
        <f>-SUMIFS([7]BV_Data_An_Cour!$O:$O,[7]BV_Data_An_Cour!$U:$U,$B188,[7]BV_Data_An_Cour!$V:$V,$C188,[7]BV_Data_An_Cour!$W:$W,$L$2)</f>
        <v>2749.2500000000009</v>
      </c>
      <c r="M188" s="577">
        <f>IF(E188=0,0,(K188-E188)/E188)</f>
        <v>-0.35974287699791518</v>
      </c>
      <c r="N188" s="557">
        <f>L188-F188</f>
        <v>-1999.4499999999989</v>
      </c>
      <c r="O188" s="558"/>
      <c r="P188" s="532">
        <f t="array" ref="P188">+INDEX('[7]Réel 2023'!$A$2:$AO$501,MATCH($A188,'[7]Réel 2023'!$A$2:$A$501,0),MATCH(P$2,'[7]Réel 2023'!$A$2:$AO$2,0))</f>
        <v>15124.4</v>
      </c>
      <c r="Q188" s="534">
        <f t="array" ref="Q188">+INDEX('[7]Réel 2023'!$A$2:$AO$501,MATCH($A188,'[7]Réel 2023'!$A$2:$A$501,0),MATCH(Q$2,'[7]Réel 2023'!$A$2:$AO$2,0))</f>
        <v>3157.1899999999901</v>
      </c>
      <c r="R188" s="577">
        <f>IF(O188=0,0,J188/O188)</f>
        <v>0</v>
      </c>
      <c r="S188" s="557">
        <f>L188-Q188</f>
        <v>-407.93999999998914</v>
      </c>
      <c r="T188" s="608"/>
      <c r="U188" s="510"/>
      <c r="V188" s="510"/>
      <c r="W188" s="510"/>
      <c r="X188" s="510"/>
      <c r="Y188" s="510"/>
      <c r="Z188" s="510"/>
      <c r="AA188" s="510"/>
      <c r="AB188" s="510"/>
      <c r="AC188" s="510"/>
      <c r="AD188" s="510"/>
      <c r="AE188" s="510"/>
      <c r="AF188" s="510"/>
      <c r="AG188" s="510"/>
      <c r="AH188" s="510"/>
      <c r="AI188" s="510"/>
      <c r="AJ188" s="510"/>
      <c r="AK188" s="510"/>
      <c r="AL188" s="510"/>
      <c r="AM188" s="510"/>
      <c r="AN188" s="510"/>
    </row>
    <row r="189" spans="1:40" ht="21" customHeight="1">
      <c r="A189" s="523" t="s">
        <v>335</v>
      </c>
      <c r="B189" s="510" t="s">
        <v>83</v>
      </c>
      <c r="C189" s="531" t="s">
        <v>87</v>
      </c>
      <c r="D189" s="510"/>
      <c r="E189" s="644"/>
      <c r="F189" s="660">
        <f>IFERROR(F188/E188,0)</f>
        <v>0.22</v>
      </c>
      <c r="G189" s="531"/>
      <c r="H189" s="644"/>
      <c r="I189" s="660"/>
      <c r="J189" s="671"/>
      <c r="K189" s="670"/>
      <c r="L189" s="660">
        <f>IF(L188=0,0,L188/K188)</f>
        <v>0.19893342595306066</v>
      </c>
      <c r="M189" s="671"/>
      <c r="N189" s="672"/>
      <c r="O189" s="671"/>
      <c r="P189" s="670"/>
      <c r="Q189" s="660">
        <f>IFERROR(Q188/P188,0)</f>
        <v>0.20874811562772672</v>
      </c>
      <c r="R189" s="671"/>
      <c r="S189" s="672"/>
      <c r="T189" s="608"/>
      <c r="U189" s="510"/>
      <c r="V189" s="510"/>
      <c r="W189" s="510"/>
      <c r="X189" s="510"/>
      <c r="Y189" s="510"/>
      <c r="Z189" s="510"/>
      <c r="AA189" s="510"/>
      <c r="AB189" s="510"/>
      <c r="AC189" s="510"/>
      <c r="AD189" s="510"/>
      <c r="AE189" s="510"/>
      <c r="AF189" s="510"/>
      <c r="AG189" s="510"/>
      <c r="AH189" s="510"/>
      <c r="AI189" s="510"/>
      <c r="AJ189" s="510"/>
      <c r="AK189" s="510"/>
      <c r="AL189" s="510"/>
      <c r="AM189" s="510"/>
      <c r="AN189" s="510"/>
    </row>
    <row r="190" spans="1:40" ht="15.75" customHeight="1">
      <c r="A190" s="523" t="s">
        <v>83</v>
      </c>
      <c r="B190" s="510" t="s">
        <v>83</v>
      </c>
      <c r="C190" s="531"/>
      <c r="D190" s="510"/>
      <c r="E190" s="644"/>
      <c r="F190" s="660"/>
      <c r="G190" s="531"/>
      <c r="H190" s="644"/>
      <c r="I190" s="660"/>
      <c r="J190" s="671"/>
      <c r="K190" s="670"/>
      <c r="L190" s="660"/>
      <c r="M190" s="671"/>
      <c r="N190" s="672"/>
      <c r="O190" s="671"/>
      <c r="P190" s="670"/>
      <c r="Q190" s="660"/>
      <c r="R190" s="671"/>
      <c r="S190" s="672"/>
      <c r="T190" s="608"/>
      <c r="U190" s="510"/>
      <c r="V190" s="510"/>
      <c r="W190" s="510"/>
      <c r="X190" s="510"/>
      <c r="Y190" s="510"/>
      <c r="Z190" s="510"/>
      <c r="AA190" s="510"/>
      <c r="AB190" s="510"/>
      <c r="AC190" s="510"/>
      <c r="AD190" s="510"/>
      <c r="AE190" s="510"/>
      <c r="AF190" s="510"/>
      <c r="AG190" s="510"/>
      <c r="AH190" s="510"/>
      <c r="AI190" s="510"/>
      <c r="AJ190" s="510"/>
      <c r="AK190" s="510"/>
      <c r="AL190" s="510"/>
      <c r="AM190" s="510"/>
      <c r="AN190" s="510"/>
    </row>
    <row r="191" spans="1:40" ht="15.75" customHeight="1">
      <c r="A191" s="523" t="s">
        <v>343</v>
      </c>
      <c r="B191" s="510" t="s">
        <v>83</v>
      </c>
      <c r="C191" s="531" t="s">
        <v>95</v>
      </c>
      <c r="D191" s="510"/>
      <c r="E191" s="573">
        <f>+INDEX('[7]Budget original'!$A$2:$AO$501,MATCH($A191,'[7]Budget original'!$A$2:$A$501,0),MATCH(E$2,'[7]Budget original'!$A$2:$AO$2,0))</f>
        <v>11632.497850919506</v>
      </c>
      <c r="F191" s="573">
        <f>+INDEX('[7]Budget original'!$A$2:$AO$501,MATCH($A191,'[7]Budget original'!$A$2:$A$501,0),MATCH(F$2,'[7]Budget original'!$A$2:$AO$2,0))</f>
        <v>8142.7484956436538</v>
      </c>
      <c r="G191" s="531"/>
      <c r="H191" s="573"/>
      <c r="I191" s="573"/>
      <c r="J191" s="558">
        <f>-SUMIFS([7]BV_Data_An_Cour!$O:$O,[7]BV_Data_An_Cour!$U:$U,$B191,[7]BV_Data_An_Cour!$V:$V,$C191,[7]BV_Data_An_Cour!$W:$W,J$2)</f>
        <v>35</v>
      </c>
      <c r="K191" s="532">
        <f>-SUMIFS([7]BV_Data_An_Cour!$O:$O,[7]BV_Data_An_Cour!$X:$X,"Oui",[7]BV_Data_An_Cour!$U:$U,$B191,[7]BV_Data_An_Cour!$V:$V,$C191)</f>
        <v>8099.9</v>
      </c>
      <c r="L191" s="534">
        <f>-SUMIFS([7]BV_Data_An_Cour!$O:$O,[7]BV_Data_An_Cour!$U:$U,$B191,[7]BV_Data_An_Cour!$V:$V,$C191,[7]BV_Data_An_Cour!$W:$W,$L$2)</f>
        <v>5810.2899999999991</v>
      </c>
      <c r="M191" s="577">
        <f>IF(E191=0,0,(K191-E191)/E191)</f>
        <v>-0.30368351631719992</v>
      </c>
      <c r="N191" s="557">
        <f>L191-F191</f>
        <v>-2332.4584956436547</v>
      </c>
      <c r="O191" s="671"/>
      <c r="P191" s="532">
        <f t="array" ref="P191">+INDEX('[7]Réel 2023'!$A$2:$AO$501,MATCH($A191,'[7]Réel 2023'!$A$2:$A$501,0),MATCH(P$2,'[7]Réel 2023'!$A$2:$AO$2,0))</f>
        <v>12814.91</v>
      </c>
      <c r="Q191" s="534">
        <f t="array" ref="Q191">+INDEX('[7]Réel 2023'!$A$2:$AO$501,MATCH($A191,'[7]Réel 2023'!$A$2:$A$501,0),MATCH(Q$2,'[7]Réel 2023'!$A$2:$AO$2,0))</f>
        <v>9705.07</v>
      </c>
      <c r="R191" s="671"/>
      <c r="S191" s="672"/>
      <c r="T191" s="608"/>
      <c r="U191" s="510"/>
      <c r="V191" s="510"/>
      <c r="W191" s="510"/>
      <c r="X191" s="510"/>
      <c r="Y191" s="510"/>
      <c r="Z191" s="510"/>
      <c r="AA191" s="510"/>
      <c r="AB191" s="510"/>
      <c r="AC191" s="510"/>
      <c r="AD191" s="510"/>
      <c r="AE191" s="510"/>
      <c r="AF191" s="510"/>
      <c r="AG191" s="510"/>
      <c r="AH191" s="510"/>
      <c r="AI191" s="510"/>
      <c r="AJ191" s="510"/>
      <c r="AK191" s="510"/>
      <c r="AL191" s="510"/>
      <c r="AM191" s="510"/>
      <c r="AN191" s="510"/>
    </row>
    <row r="192" spans="1:40" ht="15.75" customHeight="1">
      <c r="A192" s="523" t="s">
        <v>335</v>
      </c>
      <c r="B192" s="510" t="s">
        <v>83</v>
      </c>
      <c r="C192" s="531" t="s">
        <v>87</v>
      </c>
      <c r="D192" s="510"/>
      <c r="E192" s="644"/>
      <c r="F192" s="660">
        <f>IF(F191=0,0,F191/E191)</f>
        <v>0.7</v>
      </c>
      <c r="G192" s="531"/>
      <c r="H192" s="644"/>
      <c r="I192" s="660"/>
      <c r="J192" s="671"/>
      <c r="K192" s="670"/>
      <c r="L192" s="660">
        <f>IF(L191=0,0,L191/K191)</f>
        <v>0.7173286089951727</v>
      </c>
      <c r="M192" s="671"/>
      <c r="N192" s="672"/>
      <c r="O192" s="671"/>
      <c r="P192" s="670"/>
      <c r="Q192" s="660">
        <f>IF(Q191=0,0,Q191/P191)</f>
        <v>0.75732642679503792</v>
      </c>
      <c r="R192" s="671"/>
      <c r="S192" s="672"/>
      <c r="T192" s="608"/>
      <c r="U192" s="532"/>
      <c r="V192" s="510"/>
      <c r="W192" s="510"/>
      <c r="X192" s="510"/>
      <c r="Y192" s="510"/>
      <c r="Z192" s="510"/>
      <c r="AA192" s="510"/>
      <c r="AB192" s="510"/>
      <c r="AC192" s="510"/>
      <c r="AD192" s="510"/>
      <c r="AE192" s="510"/>
      <c r="AF192" s="510"/>
      <c r="AG192" s="510"/>
      <c r="AH192" s="510"/>
      <c r="AI192" s="510"/>
      <c r="AJ192" s="510"/>
      <c r="AK192" s="510"/>
      <c r="AL192" s="510"/>
      <c r="AM192" s="510"/>
      <c r="AN192" s="510"/>
    </row>
    <row r="193" spans="1:40" ht="15.75" customHeight="1" thickBot="1">
      <c r="A193" s="523" t="s">
        <v>83</v>
      </c>
      <c r="B193" s="510" t="s">
        <v>83</v>
      </c>
      <c r="C193" s="692"/>
      <c r="D193" s="693"/>
      <c r="E193" s="694"/>
      <c r="F193" s="695"/>
      <c r="G193" s="696"/>
      <c r="H193" s="694"/>
      <c r="I193" s="695"/>
      <c r="J193" s="696"/>
      <c r="K193" s="694"/>
      <c r="L193" s="695"/>
      <c r="M193" s="696"/>
      <c r="N193" s="695"/>
      <c r="O193" s="696"/>
      <c r="P193" s="694"/>
      <c r="Q193" s="695"/>
      <c r="R193" s="696"/>
      <c r="S193" s="695"/>
      <c r="T193" s="608"/>
      <c r="U193" s="510"/>
      <c r="V193" s="510"/>
      <c r="W193" s="510"/>
      <c r="X193" s="510"/>
      <c r="Y193" s="510"/>
      <c r="Z193" s="510"/>
      <c r="AA193" s="510"/>
      <c r="AB193" s="510"/>
      <c r="AC193" s="510"/>
      <c r="AD193" s="510"/>
      <c r="AE193" s="510"/>
      <c r="AF193" s="510"/>
      <c r="AG193" s="510"/>
      <c r="AH193" s="510"/>
      <c r="AI193" s="510"/>
      <c r="AJ193" s="510"/>
      <c r="AK193" s="510"/>
      <c r="AL193" s="510"/>
      <c r="AM193" s="510"/>
      <c r="AN193" s="510"/>
    </row>
    <row r="194" spans="1:40" ht="24.75" customHeight="1" thickTop="1">
      <c r="A194" s="523" t="s">
        <v>344</v>
      </c>
      <c r="B194" s="510" t="s">
        <v>83</v>
      </c>
      <c r="C194" s="559" t="s">
        <v>96</v>
      </c>
      <c r="D194" s="560"/>
      <c r="E194" s="560">
        <f>E185+E188+E191</f>
        <v>472699.222701839</v>
      </c>
      <c r="F194" s="562">
        <f>F185+F188+F191</f>
        <v>334051.53618987161</v>
      </c>
      <c r="G194" s="563"/>
      <c r="H194" s="560"/>
      <c r="I194" s="562"/>
      <c r="J194" s="563"/>
      <c r="K194" s="560">
        <f t="shared" ref="K194:L194" si="44">K185+K188+K191</f>
        <v>460494.07000000007</v>
      </c>
      <c r="L194" s="562">
        <f t="shared" si="44"/>
        <v>352317.88</v>
      </c>
      <c r="M194" s="697">
        <f>L195-F195</f>
        <v>5.8397268846204997E-2</v>
      </c>
      <c r="N194" s="562">
        <f>L194-F194</f>
        <v>18266.343810128397</v>
      </c>
      <c r="O194" s="563"/>
      <c r="P194" s="560">
        <f t="shared" ref="P194:Q194" si="45">P185+P188+P191</f>
        <v>408560.41</v>
      </c>
      <c r="Q194" s="562">
        <f t="shared" si="45"/>
        <v>290276.31999999989</v>
      </c>
      <c r="R194" s="697"/>
      <c r="S194" s="562">
        <f>L194-Q194</f>
        <v>62041.560000000114</v>
      </c>
      <c r="T194" s="608"/>
      <c r="U194" s="654"/>
      <c r="V194" s="510"/>
      <c r="W194" s="510"/>
      <c r="X194" s="510"/>
      <c r="Y194" s="510"/>
      <c r="Z194" s="510"/>
      <c r="AA194" s="510"/>
      <c r="AB194" s="510"/>
      <c r="AC194" s="510"/>
      <c r="AD194" s="510"/>
      <c r="AE194" s="510"/>
      <c r="AF194" s="510"/>
      <c r="AG194" s="510"/>
      <c r="AH194" s="510"/>
      <c r="AI194" s="510"/>
      <c r="AJ194" s="510"/>
      <c r="AK194" s="510"/>
      <c r="AL194" s="510"/>
      <c r="AM194" s="510"/>
      <c r="AN194" s="510"/>
    </row>
    <row r="195" spans="1:40" ht="24" customHeight="1" thickBot="1">
      <c r="A195" s="523" t="s">
        <v>83</v>
      </c>
      <c r="B195" s="510" t="s">
        <v>83</v>
      </c>
      <c r="C195" s="564"/>
      <c r="D195" s="565"/>
      <c r="E195" s="565"/>
      <c r="F195" s="570">
        <f>F194/E194</f>
        <v>0.70668941294320431</v>
      </c>
      <c r="G195" s="564"/>
      <c r="H195" s="565"/>
      <c r="I195" s="570"/>
      <c r="J195" s="564"/>
      <c r="K195" s="565"/>
      <c r="L195" s="570">
        <f>L194/K194</f>
        <v>0.76508668178940931</v>
      </c>
      <c r="M195" s="569"/>
      <c r="N195" s="570">
        <f>N194/F194</f>
        <v>5.4681214816344949E-2</v>
      </c>
      <c r="O195" s="564"/>
      <c r="P195" s="565"/>
      <c r="Q195" s="570">
        <f>Q194/P194</f>
        <v>0.71048567823788877</v>
      </c>
      <c r="R195" s="569"/>
      <c r="S195" s="570">
        <f>L194/S194</f>
        <v>5.6787398640524085</v>
      </c>
      <c r="T195" s="571"/>
      <c r="U195" s="510"/>
      <c r="V195" s="510"/>
      <c r="W195" s="510"/>
      <c r="X195" s="510"/>
      <c r="Y195" s="510"/>
      <c r="Z195" s="510"/>
      <c r="AA195" s="510"/>
      <c r="AB195" s="510"/>
      <c r="AC195" s="510"/>
      <c r="AD195" s="510"/>
      <c r="AE195" s="510"/>
      <c r="AF195" s="510"/>
      <c r="AG195" s="510"/>
      <c r="AH195" s="510"/>
      <c r="AI195" s="510"/>
      <c r="AJ195" s="510"/>
      <c r="AK195" s="510"/>
      <c r="AL195" s="510"/>
      <c r="AM195" s="510"/>
      <c r="AN195" s="510"/>
    </row>
    <row r="196" spans="1:40" ht="15.75" customHeight="1" thickTop="1">
      <c r="A196" s="523" t="s">
        <v>83</v>
      </c>
      <c r="B196" s="510" t="s">
        <v>83</v>
      </c>
      <c r="C196" s="550"/>
      <c r="D196" s="571"/>
      <c r="E196" s="571"/>
      <c r="F196" s="549"/>
      <c r="G196" s="550"/>
      <c r="H196" s="571"/>
      <c r="I196" s="549"/>
      <c r="J196" s="550"/>
      <c r="K196" s="608"/>
      <c r="L196" s="549"/>
      <c r="M196" s="548"/>
      <c r="N196" s="549"/>
      <c r="O196" s="550"/>
      <c r="P196" s="571"/>
      <c r="Q196" s="549"/>
      <c r="R196" s="548"/>
      <c r="S196" s="549"/>
      <c r="T196" s="571"/>
      <c r="U196" s="510"/>
      <c r="V196" s="510"/>
      <c r="W196" s="510"/>
      <c r="X196" s="510"/>
      <c r="Y196" s="510"/>
      <c r="Z196" s="510"/>
      <c r="AA196" s="510"/>
      <c r="AB196" s="510"/>
      <c r="AC196" s="510"/>
      <c r="AD196" s="510"/>
      <c r="AE196" s="510"/>
      <c r="AF196" s="510"/>
      <c r="AG196" s="510"/>
      <c r="AH196" s="510"/>
      <c r="AI196" s="510"/>
      <c r="AJ196" s="510"/>
      <c r="AK196" s="510"/>
      <c r="AL196" s="510"/>
      <c r="AM196" s="510"/>
      <c r="AN196" s="510"/>
    </row>
    <row r="197" spans="1:40" ht="15.75" customHeight="1">
      <c r="A197" s="523" t="s">
        <v>345</v>
      </c>
      <c r="B197" s="510" t="s">
        <v>83</v>
      </c>
      <c r="C197" s="574" t="s">
        <v>30</v>
      </c>
      <c r="D197" s="510"/>
      <c r="E197" s="510"/>
      <c r="F197" s="557"/>
      <c r="G197" s="531"/>
      <c r="H197" s="510"/>
      <c r="I197" s="557"/>
      <c r="J197" s="531"/>
      <c r="K197" s="510"/>
      <c r="L197" s="541"/>
      <c r="M197" s="531"/>
      <c r="N197" s="541"/>
      <c r="O197" s="531"/>
      <c r="P197" s="510"/>
      <c r="Q197" s="541"/>
      <c r="R197" s="531"/>
      <c r="S197" s="541"/>
      <c r="T197" s="510"/>
      <c r="U197" s="510"/>
      <c r="V197" s="510"/>
      <c r="W197" s="510"/>
      <c r="X197" s="510"/>
      <c r="Y197" s="510"/>
      <c r="Z197" s="510"/>
      <c r="AA197" s="510"/>
      <c r="AB197" s="510"/>
      <c r="AC197" s="510"/>
      <c r="AD197" s="510"/>
      <c r="AE197" s="510"/>
      <c r="AF197" s="510"/>
      <c r="AG197" s="510"/>
      <c r="AH197" s="510"/>
      <c r="AI197" s="510"/>
      <c r="AJ197" s="510"/>
      <c r="AK197" s="510"/>
      <c r="AL197" s="510"/>
      <c r="AM197" s="510"/>
      <c r="AN197" s="510"/>
    </row>
    <row r="198" spans="1:40" ht="15.75" customHeight="1">
      <c r="A198" s="523" t="s">
        <v>346</v>
      </c>
      <c r="B198" s="510" t="s">
        <v>83</v>
      </c>
      <c r="C198" s="600" t="s">
        <v>41</v>
      </c>
      <c r="D198" s="510"/>
      <c r="E198" s="510"/>
      <c r="F198" s="532">
        <f>+INDEX('[7]Budget original'!$A$2:$AO$501,MATCH($A198,'[7]Budget original'!$A$2:$A$501,0),MATCH(F$2,'[7]Budget original'!$A$2:$AO$2,0))</f>
        <v>18569.281891025639</v>
      </c>
      <c r="G198" s="531"/>
      <c r="H198" s="510"/>
      <c r="I198" s="532"/>
      <c r="J198" s="531"/>
      <c r="K198" s="510"/>
      <c r="L198" s="534">
        <f>SUMIFS([7]BV_Data_An_Cour!$O:$O,[7]BV_Data_An_Cour!$U:$U,$B198,[7]BV_Data_An_Cour!$V:$V,$C198,[7]BV_Data_An_Cour!$W:$W,$L$2)</f>
        <v>15943.06</v>
      </c>
      <c r="M198" s="531"/>
      <c r="N198" s="534">
        <f t="shared" ref="N198:N229" si="46">L198-F198</f>
        <v>-2626.2218910256397</v>
      </c>
      <c r="O198" s="531"/>
      <c r="P198" s="510"/>
      <c r="Q198" s="534">
        <f t="array" ref="Q198">+INDEX('[7]Réel 2023'!$A$2:$AO$501,MATCH($A198,'[7]Réel 2023'!$A$2:$A$501,0),MATCH(Q$2,'[7]Réel 2023'!$A$2:$AO$2,0))</f>
        <v>20516.509999999998</v>
      </c>
      <c r="R198" s="531"/>
      <c r="S198" s="534">
        <f t="shared" ref="S198:S229" si="47">L198-Q198</f>
        <v>-4573.4499999999989</v>
      </c>
      <c r="T198" s="510"/>
      <c r="U198" s="510"/>
      <c r="V198" s="510"/>
      <c r="W198" s="510"/>
      <c r="X198" s="510"/>
      <c r="Y198" s="510"/>
      <c r="Z198" s="510"/>
      <c r="AA198" s="510"/>
      <c r="AB198" s="510"/>
      <c r="AC198" s="510"/>
      <c r="AD198" s="510"/>
      <c r="AE198" s="510"/>
      <c r="AF198" s="510"/>
      <c r="AG198" s="510"/>
      <c r="AH198" s="510"/>
      <c r="AI198" s="510"/>
      <c r="AJ198" s="510"/>
      <c r="AK198" s="510"/>
      <c r="AL198" s="510"/>
      <c r="AM198" s="510"/>
      <c r="AN198" s="510"/>
    </row>
    <row r="199" spans="1:40" ht="15.75" customHeight="1">
      <c r="A199" s="523" t="s">
        <v>347</v>
      </c>
      <c r="B199" s="510" t="s">
        <v>83</v>
      </c>
      <c r="C199" s="602" t="s">
        <v>42</v>
      </c>
      <c r="D199" s="584"/>
      <c r="E199" s="510"/>
      <c r="F199" s="526">
        <f>+INDEX('[7]Budget original'!$A$2:$AO$501,MATCH($A199,'[7]Budget original'!$A$2:$A$501,0),MATCH(F$2,'[7]Budget original'!$A$2:$AO$2,0))</f>
        <v>10551.194423076922</v>
      </c>
      <c r="G199" s="585"/>
      <c r="H199" s="510"/>
      <c r="I199" s="526"/>
      <c r="J199" s="531"/>
      <c r="K199" s="510"/>
      <c r="L199" s="534">
        <f>SUMIFS([7]BV_Data_An_Cour!$O:$O,[7]BV_Data_An_Cour!$U:$U,$B199,[7]BV_Data_An_Cour!$V:$V,$C199,[7]BV_Data_An_Cour!$W:$W,$L$2)</f>
        <v>9929.2199999999993</v>
      </c>
      <c r="M199" s="531"/>
      <c r="N199" s="534">
        <f t="shared" si="46"/>
        <v>-621.9744230769229</v>
      </c>
      <c r="O199" s="531"/>
      <c r="P199" s="510"/>
      <c r="Q199" s="534">
        <f t="array" ref="Q199">+INDEX('[7]Réel 2023'!$A$2:$AO$501,MATCH($A199,'[7]Réel 2023'!$A$2:$A$501,0),MATCH(Q$2,'[7]Réel 2023'!$A$2:$AO$2,0))</f>
        <v>8125.49</v>
      </c>
      <c r="R199" s="531"/>
      <c r="S199" s="557">
        <f t="shared" si="47"/>
        <v>1803.7299999999996</v>
      </c>
      <c r="T199" s="510"/>
      <c r="U199" s="510"/>
      <c r="V199" s="510"/>
      <c r="W199" s="510"/>
      <c r="X199" s="510"/>
      <c r="Y199" s="510"/>
      <c r="Z199" s="510"/>
      <c r="AA199" s="510"/>
      <c r="AB199" s="510"/>
      <c r="AC199" s="510"/>
      <c r="AD199" s="510"/>
      <c r="AE199" s="510"/>
      <c r="AF199" s="510"/>
      <c r="AG199" s="510"/>
      <c r="AH199" s="510"/>
      <c r="AI199" s="510"/>
      <c r="AJ199" s="510"/>
      <c r="AK199" s="510"/>
      <c r="AL199" s="510"/>
      <c r="AM199" s="510"/>
      <c r="AN199" s="510"/>
    </row>
    <row r="200" spans="1:40" ht="20.399999999999999">
      <c r="A200" s="523" t="s">
        <v>348</v>
      </c>
      <c r="B200" s="510" t="s">
        <v>83</v>
      </c>
      <c r="C200" s="600" t="s">
        <v>43</v>
      </c>
      <c r="D200" s="603"/>
      <c r="E200" s="604"/>
      <c r="F200" s="532">
        <f>+INDEX('[7]Budget original'!$A$2:$AO$501,MATCH($A200,'[7]Budget original'!$A$2:$A$501,0),MATCH(F$2,'[7]Budget original'!$A$2:$AO$2,0))</f>
        <v>21608.221153846152</v>
      </c>
      <c r="G200" s="605"/>
      <c r="H200" s="604"/>
      <c r="I200" s="532"/>
      <c r="J200" s="518"/>
      <c r="K200" s="604"/>
      <c r="L200" s="553">
        <f>SUMIFS([7]BV_Data_An_Cour!$O:$O,[7]BV_Data_An_Cour!$U:$U,$B200,[7]BV_Data_An_Cour!$V:$V,$C200,[7]BV_Data_An_Cour!$W:$W,$L$2)</f>
        <v>39324.92</v>
      </c>
      <c r="M200" s="518"/>
      <c r="N200" s="553">
        <f t="shared" si="46"/>
        <v>17716.698846153846</v>
      </c>
      <c r="O200" s="518"/>
      <c r="P200" s="604"/>
      <c r="Q200" s="553">
        <f t="array" ref="Q200">+INDEX('[7]Réel 2023'!$A$2:$AO$501,MATCH($A200,'[7]Réel 2023'!$A$2:$A$501,0),MATCH(Q$2,'[7]Réel 2023'!$A$2:$AO$2,0))</f>
        <v>49361.41</v>
      </c>
      <c r="R200" s="518"/>
      <c r="S200" s="606">
        <f t="shared" si="47"/>
        <v>-10036.490000000005</v>
      </c>
      <c r="T200" s="510"/>
      <c r="U200" s="510"/>
      <c r="V200" s="510"/>
      <c r="W200" s="510"/>
      <c r="X200" s="510"/>
      <c r="Y200" s="510"/>
      <c r="Z200" s="510"/>
      <c r="AA200" s="510"/>
      <c r="AB200" s="510"/>
      <c r="AC200" s="510"/>
      <c r="AD200" s="510"/>
      <c r="AE200" s="510"/>
      <c r="AF200" s="510"/>
      <c r="AG200" s="510"/>
      <c r="AH200" s="510"/>
      <c r="AI200" s="510"/>
      <c r="AJ200" s="510"/>
      <c r="AK200" s="510"/>
      <c r="AL200" s="510"/>
      <c r="AM200" s="510"/>
      <c r="AN200" s="510"/>
    </row>
    <row r="201" spans="1:40" ht="20.399999999999999">
      <c r="A201" s="523" t="s">
        <v>349</v>
      </c>
      <c r="B201" s="510" t="s">
        <v>83</v>
      </c>
      <c r="C201" s="600" t="s">
        <v>44</v>
      </c>
      <c r="D201" s="584"/>
      <c r="E201" s="601">
        <f>F201/E172</f>
        <v>0.14873860000511638</v>
      </c>
      <c r="F201" s="532">
        <f>+INDEX('[7]Budget original'!$A$2:$AO$501,MATCH($A201,'[7]Budget original'!$A$2:$A$501,0),MATCH(F$2,'[7]Budget original'!$A$2:$AO$2,0))</f>
        <v>44455.465460799998</v>
      </c>
      <c r="G201" s="585"/>
      <c r="H201" s="510"/>
      <c r="I201" s="532"/>
      <c r="J201" s="531"/>
      <c r="K201" s="698">
        <f>L201/K172</f>
        <v>0.13203850963827307</v>
      </c>
      <c r="L201" s="534">
        <f>SUMIFS([7]BV_Data_An_Cour!$O:$O,[7]BV_Data_An_Cour!$U:$U,$B201,[7]BV_Data_An_Cour!$V:$V,$C201,[7]BV_Data_An_Cour!$W:$W,$L$2)</f>
        <v>39319.25</v>
      </c>
      <c r="M201" s="531"/>
      <c r="N201" s="534">
        <f t="shared" si="46"/>
        <v>-5136.2154607999983</v>
      </c>
      <c r="O201" s="531"/>
      <c r="P201" s="510"/>
      <c r="Q201" s="534">
        <f t="array" ref="Q201">+INDEX('[7]Réel 2023'!$A$2:$AO$501,MATCH($A201,'[7]Réel 2023'!$A$2:$A$501,0),MATCH(Q$2,'[7]Réel 2023'!$A$2:$AO$2,0))</f>
        <v>20706.29</v>
      </c>
      <c r="R201" s="531"/>
      <c r="S201" s="557">
        <f t="shared" si="47"/>
        <v>18612.96</v>
      </c>
      <c r="T201" s="510"/>
      <c r="U201" s="510"/>
      <c r="V201" s="510"/>
      <c r="W201" s="510"/>
      <c r="X201" s="510"/>
      <c r="Y201" s="510"/>
      <c r="Z201" s="510"/>
      <c r="AA201" s="510"/>
      <c r="AB201" s="510"/>
      <c r="AC201" s="510"/>
      <c r="AD201" s="510"/>
      <c r="AE201" s="510"/>
      <c r="AF201" s="510"/>
      <c r="AG201" s="510"/>
      <c r="AH201" s="510"/>
      <c r="AI201" s="510"/>
      <c r="AJ201" s="510"/>
      <c r="AK201" s="510"/>
      <c r="AL201" s="510"/>
      <c r="AM201" s="510"/>
      <c r="AN201" s="510"/>
    </row>
    <row r="202" spans="1:40" ht="15.75" hidden="1" customHeight="1">
      <c r="A202" s="523" t="s">
        <v>350</v>
      </c>
      <c r="B202" s="510" t="s">
        <v>83</v>
      </c>
      <c r="C202" s="531" t="s">
        <v>20</v>
      </c>
      <c r="D202" s="584"/>
      <c r="E202" s="510"/>
      <c r="F202" s="532">
        <f>+INDEX('[7]Budget original'!$A$2:$AO$501,MATCH($A202,'[7]Budget original'!$A$2:$A$501,0),MATCH(F$2,'[7]Budget original'!$A$2:$AO$2,0))</f>
        <v>0</v>
      </c>
      <c r="G202" s="585"/>
      <c r="H202" s="510"/>
      <c r="I202" s="532"/>
      <c r="J202" s="531"/>
      <c r="K202" s="510"/>
      <c r="L202" s="534">
        <f>SUMIFS([7]BV_Data_An_Cour!$O:$O,[7]BV_Data_An_Cour!$U:$U,$B202,[7]BV_Data_An_Cour!$V:$V,$C202,[7]BV_Data_An_Cour!$W:$W,$L$2)</f>
        <v>0</v>
      </c>
      <c r="M202" s="531"/>
      <c r="N202" s="534">
        <f t="shared" si="46"/>
        <v>0</v>
      </c>
      <c r="O202" s="531"/>
      <c r="P202" s="510"/>
      <c r="Q202" s="534">
        <f t="array" ref="Q202">+INDEX('[7]Réel 2023'!$A$2:$AO$501,MATCH($A202,'[7]Réel 2023'!$A$2:$A$501,0),MATCH(Q$2,'[7]Réel 2023'!$A$2:$AO$2,0))</f>
        <v>0</v>
      </c>
      <c r="R202" s="531"/>
      <c r="S202" s="557">
        <f t="shared" si="47"/>
        <v>0</v>
      </c>
      <c r="T202" s="510"/>
      <c r="U202" s="510"/>
      <c r="V202" s="510"/>
      <c r="W202" s="510"/>
      <c r="X202" s="510"/>
      <c r="Y202" s="510"/>
      <c r="Z202" s="510"/>
      <c r="AA202" s="510"/>
      <c r="AB202" s="510"/>
      <c r="AC202" s="510"/>
      <c r="AD202" s="510"/>
      <c r="AE202" s="510"/>
      <c r="AF202" s="510"/>
      <c r="AG202" s="510"/>
      <c r="AH202" s="510"/>
      <c r="AI202" s="510"/>
      <c r="AJ202" s="510"/>
      <c r="AK202" s="510"/>
      <c r="AL202" s="510"/>
      <c r="AM202" s="510"/>
      <c r="AN202" s="510"/>
    </row>
    <row r="203" spans="1:40" ht="15.75" hidden="1" customHeight="1">
      <c r="A203" s="523" t="s">
        <v>350</v>
      </c>
      <c r="B203" s="510" t="s">
        <v>83</v>
      </c>
      <c r="C203" s="531" t="s">
        <v>20</v>
      </c>
      <c r="D203" s="584"/>
      <c r="E203" s="510"/>
      <c r="F203" s="532">
        <f>+INDEX('[7]Budget original'!$A$2:$AO$501,MATCH($A203,'[7]Budget original'!$A$2:$A$501,0),MATCH(F$2,'[7]Budget original'!$A$2:$AO$2,0))</f>
        <v>0</v>
      </c>
      <c r="G203" s="585"/>
      <c r="H203" s="510"/>
      <c r="I203" s="532"/>
      <c r="J203" s="531"/>
      <c r="K203" s="510"/>
      <c r="L203" s="534">
        <f>SUMIFS([7]BV_Data_An_Cour!$O:$O,[7]BV_Data_An_Cour!$U:$U,$B203,[7]BV_Data_An_Cour!$V:$V,$C203,[7]BV_Data_An_Cour!$W:$W,$L$2)</f>
        <v>0</v>
      </c>
      <c r="M203" s="531"/>
      <c r="N203" s="534">
        <f t="shared" si="46"/>
        <v>0</v>
      </c>
      <c r="O203" s="531"/>
      <c r="P203" s="510"/>
      <c r="Q203" s="534">
        <f t="array" ref="Q203">+INDEX('[7]Réel 2023'!$A$2:$AO$501,MATCH($A203,'[7]Réel 2023'!$A$2:$A$501,0),MATCH(Q$2,'[7]Réel 2023'!$A$2:$AO$2,0))</f>
        <v>0</v>
      </c>
      <c r="R203" s="531"/>
      <c r="S203" s="557">
        <f t="shared" si="47"/>
        <v>0</v>
      </c>
      <c r="T203" s="510"/>
      <c r="U203" s="510"/>
      <c r="V203" s="510"/>
      <c r="W203" s="510"/>
      <c r="X203" s="510"/>
      <c r="Y203" s="510"/>
      <c r="Z203" s="510"/>
      <c r="AA203" s="510"/>
      <c r="AB203" s="510"/>
      <c r="AC203" s="510"/>
      <c r="AD203" s="510"/>
      <c r="AE203" s="510"/>
      <c r="AF203" s="510"/>
      <c r="AG203" s="510"/>
      <c r="AH203" s="510"/>
      <c r="AI203" s="510"/>
      <c r="AJ203" s="510"/>
      <c r="AK203" s="510"/>
      <c r="AL203" s="510"/>
      <c r="AM203" s="510"/>
      <c r="AN203" s="510"/>
    </row>
    <row r="204" spans="1:40" ht="15.75" hidden="1" customHeight="1">
      <c r="A204" s="523" t="s">
        <v>350</v>
      </c>
      <c r="B204" s="510" t="s">
        <v>83</v>
      </c>
      <c r="C204" s="531" t="s">
        <v>20</v>
      </c>
      <c r="D204" s="584"/>
      <c r="E204" s="510"/>
      <c r="F204" s="532">
        <f>+INDEX('[7]Budget original'!$A$2:$AO$501,MATCH($A204,'[7]Budget original'!$A$2:$A$501,0),MATCH(F$2,'[7]Budget original'!$A$2:$AO$2,0))</f>
        <v>0</v>
      </c>
      <c r="G204" s="585"/>
      <c r="H204" s="510"/>
      <c r="I204" s="532"/>
      <c r="J204" s="531"/>
      <c r="K204" s="510"/>
      <c r="L204" s="534">
        <f>SUMIFS([7]BV_Data_An_Cour!$O:$O,[7]BV_Data_An_Cour!$U:$U,$B204,[7]BV_Data_An_Cour!$V:$V,$C204,[7]BV_Data_An_Cour!$W:$W,$L$2)</f>
        <v>0</v>
      </c>
      <c r="M204" s="531"/>
      <c r="N204" s="534">
        <f t="shared" si="46"/>
        <v>0</v>
      </c>
      <c r="O204" s="531"/>
      <c r="P204" s="510"/>
      <c r="Q204" s="534">
        <f t="array" ref="Q204">+INDEX('[7]Réel 2023'!$A$2:$AO$501,MATCH($A204,'[7]Réel 2023'!$A$2:$A$501,0),MATCH(Q$2,'[7]Réel 2023'!$A$2:$AO$2,0))</f>
        <v>0</v>
      </c>
      <c r="R204" s="531"/>
      <c r="S204" s="557">
        <f t="shared" si="47"/>
        <v>0</v>
      </c>
      <c r="T204" s="510"/>
      <c r="U204" s="510"/>
      <c r="V204" s="510"/>
      <c r="W204" s="510"/>
      <c r="X204" s="510"/>
      <c r="Y204" s="510"/>
      <c r="Z204" s="510"/>
      <c r="AA204" s="510"/>
      <c r="AB204" s="510"/>
      <c r="AC204" s="510"/>
      <c r="AD204" s="510"/>
      <c r="AE204" s="510"/>
      <c r="AF204" s="510"/>
      <c r="AG204" s="510"/>
      <c r="AH204" s="510"/>
      <c r="AI204" s="510"/>
      <c r="AJ204" s="510"/>
      <c r="AK204" s="510"/>
      <c r="AL204" s="510"/>
      <c r="AM204" s="510"/>
      <c r="AN204" s="510"/>
    </row>
    <row r="205" spans="1:40" ht="20.399999999999999">
      <c r="A205" s="523" t="s">
        <v>351</v>
      </c>
      <c r="B205" s="510" t="s">
        <v>83</v>
      </c>
      <c r="C205" s="602" t="s">
        <v>45</v>
      </c>
      <c r="D205" s="584"/>
      <c r="E205" s="510"/>
      <c r="F205" s="532">
        <f>+INDEX('[7]Budget original'!$A$2:$AO$501,MATCH($A205,'[7]Budget original'!$A$2:$A$501,0),MATCH(F$2,'[7]Budget original'!$A$2:$AO$2,0))</f>
        <v>24642.155259697473</v>
      </c>
      <c r="G205" s="585"/>
      <c r="H205" s="510"/>
      <c r="I205" s="532"/>
      <c r="J205" s="531"/>
      <c r="K205" s="510"/>
      <c r="L205" s="534">
        <f>SUMIFS([7]BV_Data_An_Cour!$O:$O,[7]BV_Data_An_Cour!$U:$U,$B205,[7]BV_Data_An_Cour!$V:$V,$C205,[7]BV_Data_An_Cour!$W:$W,$L$2)</f>
        <v>13701.18</v>
      </c>
      <c r="M205" s="531"/>
      <c r="N205" s="534">
        <f t="shared" si="46"/>
        <v>-10940.975259697472</v>
      </c>
      <c r="O205" s="531"/>
      <c r="P205" s="510"/>
      <c r="Q205" s="534">
        <f t="array" ref="Q205">+INDEX('[7]Réel 2023'!$A$2:$AO$501,MATCH($A205,'[7]Réel 2023'!$A$2:$A$501,0),MATCH(Q$2,'[7]Réel 2023'!$A$2:$AO$2,0))</f>
        <v>11221.96</v>
      </c>
      <c r="R205" s="531"/>
      <c r="S205" s="557">
        <f t="shared" si="47"/>
        <v>2479.2200000000012</v>
      </c>
      <c r="T205" s="510"/>
      <c r="U205" s="510"/>
      <c r="V205" s="510"/>
      <c r="W205" s="510"/>
      <c r="X205" s="510"/>
      <c r="Y205" s="510"/>
      <c r="Z205" s="510"/>
      <c r="AA205" s="510"/>
      <c r="AB205" s="510"/>
      <c r="AC205" s="510"/>
      <c r="AD205" s="510"/>
      <c r="AE205" s="510"/>
      <c r="AF205" s="510"/>
      <c r="AG205" s="510"/>
      <c r="AH205" s="510"/>
      <c r="AI205" s="510"/>
      <c r="AJ205" s="510"/>
      <c r="AK205" s="510"/>
      <c r="AL205" s="510"/>
      <c r="AM205" s="510"/>
      <c r="AN205" s="510"/>
    </row>
    <row r="206" spans="1:40" ht="15.75" customHeight="1">
      <c r="A206" s="523" t="s">
        <v>352</v>
      </c>
      <c r="B206" s="510" t="s">
        <v>83</v>
      </c>
      <c r="C206" s="600" t="s">
        <v>46</v>
      </c>
      <c r="D206" s="603"/>
      <c r="E206" s="604"/>
      <c r="F206" s="553">
        <f>+INDEX('[7]Budget original'!$A$2:$AO$501,MATCH($A206,'[7]Budget original'!$A$2:$A$501,0),MATCH(F$2,'[7]Budget original'!$A$2:$AO$2,0))</f>
        <v>29961.387011790761</v>
      </c>
      <c r="G206" s="605"/>
      <c r="H206" s="604"/>
      <c r="I206" s="553"/>
      <c r="J206" s="518"/>
      <c r="K206" s="604"/>
      <c r="L206" s="553">
        <f>SUMIFS([7]BV_Data_An_Cour!$O:$O,[7]BV_Data_An_Cour!$U:$U,$B206,[7]BV_Data_An_Cour!$V:$V,$C206,[7]BV_Data_An_Cour!$W:$W,$L$2)</f>
        <v>23066.27</v>
      </c>
      <c r="M206" s="518"/>
      <c r="N206" s="553">
        <f t="shared" si="46"/>
        <v>-6895.1170117907604</v>
      </c>
      <c r="O206" s="518"/>
      <c r="P206" s="604"/>
      <c r="Q206" s="553">
        <f t="array" ref="Q206">+INDEX('[7]Réel 2023'!$A$2:$AO$501,MATCH($A206,'[7]Réel 2023'!$A$2:$A$501,0),MATCH(Q$2,'[7]Réel 2023'!$A$2:$AO$2,0))</f>
        <v>22418.080000000002</v>
      </c>
      <c r="R206" s="518"/>
      <c r="S206" s="606">
        <f t="shared" si="47"/>
        <v>648.18999999999869</v>
      </c>
      <c r="T206" s="510"/>
      <c r="U206" s="510"/>
      <c r="V206" s="510"/>
      <c r="W206" s="510"/>
      <c r="X206" s="510"/>
      <c r="Y206" s="510"/>
      <c r="Z206" s="510"/>
      <c r="AA206" s="510"/>
      <c r="AB206" s="510"/>
      <c r="AC206" s="510"/>
      <c r="AD206" s="510"/>
      <c r="AE206" s="510"/>
      <c r="AF206" s="510"/>
      <c r="AG206" s="510"/>
      <c r="AH206" s="510"/>
      <c r="AI206" s="510"/>
      <c r="AJ206" s="510"/>
      <c r="AK206" s="510"/>
      <c r="AL206" s="510"/>
      <c r="AM206" s="510"/>
      <c r="AN206" s="510"/>
    </row>
    <row r="207" spans="1:40" ht="15.75" customHeight="1">
      <c r="A207" s="523" t="s">
        <v>353</v>
      </c>
      <c r="B207" s="510" t="s">
        <v>83</v>
      </c>
      <c r="C207" s="600" t="s">
        <v>47</v>
      </c>
      <c r="D207" s="584"/>
      <c r="E207" s="510"/>
      <c r="F207" s="532">
        <f>+INDEX('[7]Budget original'!$A$2:$AO$501,MATCH($A207,'[7]Budget original'!$A$2:$A$501,0),MATCH(F$2,'[7]Budget original'!$A$2:$AO$2,0))</f>
        <v>15436.627656074805</v>
      </c>
      <c r="G207" s="585"/>
      <c r="H207" s="510"/>
      <c r="I207" s="532"/>
      <c r="J207" s="531"/>
      <c r="K207" s="510"/>
      <c r="L207" s="534">
        <f>SUMIFS([7]BV_Data_An_Cour!$O:$O,[7]BV_Data_An_Cour!$U:$U,$B207,[7]BV_Data_An_Cour!$V:$V,$C207,[7]BV_Data_An_Cour!$W:$W,$L$2)</f>
        <v>7838.14</v>
      </c>
      <c r="M207" s="531"/>
      <c r="N207" s="534">
        <f t="shared" si="46"/>
        <v>-7598.4876560748044</v>
      </c>
      <c r="O207" s="531"/>
      <c r="P207" s="510"/>
      <c r="Q207" s="534">
        <f t="array" ref="Q207">+INDEX('[7]Réel 2023'!$A$2:$AO$501,MATCH($A207,'[7]Réel 2023'!$A$2:$A$501,0),MATCH(Q$2,'[7]Réel 2023'!$A$2:$AO$2,0))</f>
        <v>10662.57</v>
      </c>
      <c r="R207" s="531"/>
      <c r="S207" s="557">
        <f t="shared" si="47"/>
        <v>-2824.4299999999994</v>
      </c>
      <c r="T207" s="510"/>
      <c r="U207" s="510"/>
      <c r="V207" s="510"/>
      <c r="W207" s="510"/>
      <c r="X207" s="510"/>
      <c r="Y207" s="510"/>
      <c r="Z207" s="510"/>
      <c r="AA207" s="510"/>
      <c r="AB207" s="510"/>
      <c r="AC207" s="510"/>
      <c r="AD207" s="510"/>
      <c r="AE207" s="510"/>
      <c r="AF207" s="510"/>
      <c r="AG207" s="510"/>
      <c r="AH207" s="510"/>
      <c r="AI207" s="510"/>
      <c r="AJ207" s="510"/>
      <c r="AK207" s="510"/>
      <c r="AL207" s="510"/>
      <c r="AM207" s="510"/>
      <c r="AN207" s="510"/>
    </row>
    <row r="208" spans="1:40" ht="15.75" customHeight="1">
      <c r="A208" s="523" t="s">
        <v>354</v>
      </c>
      <c r="B208" s="510" t="s">
        <v>83</v>
      </c>
      <c r="C208" s="600" t="s">
        <v>48</v>
      </c>
      <c r="D208" s="584"/>
      <c r="E208" s="510"/>
      <c r="F208" s="532">
        <f>+INDEX('[7]Budget original'!$A$2:$AO$501,MATCH($A208,'[7]Budget original'!$A$2:$A$501,0),MATCH(F$2,'[7]Budget original'!$A$2:$AO$2,0))</f>
        <v>6730.4565026486489</v>
      </c>
      <c r="G208" s="585"/>
      <c r="H208" s="510"/>
      <c r="I208" s="532"/>
      <c r="J208" s="531"/>
      <c r="K208" s="510"/>
      <c r="L208" s="534">
        <f>SUMIFS([7]BV_Data_An_Cour!$O:$O,[7]BV_Data_An_Cour!$U:$U,$B208,[7]BV_Data_An_Cour!$V:$V,$C208,[7]BV_Data_An_Cour!$W:$W,$L$2)</f>
        <v>4479.8999999999996</v>
      </c>
      <c r="M208" s="531"/>
      <c r="N208" s="534">
        <f t="shared" si="46"/>
        <v>-2250.5565026486493</v>
      </c>
      <c r="O208" s="531"/>
      <c r="P208" s="510"/>
      <c r="Q208" s="534">
        <f t="array" ref="Q208">+INDEX('[7]Réel 2023'!$A$2:$AO$501,MATCH($A208,'[7]Réel 2023'!$A$2:$A$501,0),MATCH(Q$2,'[7]Réel 2023'!$A$2:$AO$2,0))</f>
        <v>4648.37</v>
      </c>
      <c r="R208" s="531"/>
      <c r="S208" s="557">
        <f t="shared" si="47"/>
        <v>-168.47000000000025</v>
      </c>
      <c r="T208" s="510"/>
      <c r="U208" s="510"/>
      <c r="V208" s="510"/>
      <c r="W208" s="510"/>
      <c r="X208" s="510"/>
      <c r="Y208" s="510"/>
      <c r="Z208" s="510"/>
      <c r="AA208" s="510"/>
      <c r="AB208" s="510"/>
      <c r="AC208" s="510"/>
      <c r="AD208" s="510"/>
      <c r="AE208" s="510"/>
      <c r="AF208" s="510"/>
      <c r="AG208" s="510"/>
      <c r="AH208" s="510"/>
      <c r="AI208" s="510"/>
      <c r="AJ208" s="510"/>
      <c r="AK208" s="510"/>
      <c r="AL208" s="510"/>
      <c r="AM208" s="510"/>
      <c r="AN208" s="510"/>
    </row>
    <row r="209" spans="1:40" ht="15.75" hidden="1" customHeight="1">
      <c r="A209" s="523" t="s">
        <v>350</v>
      </c>
      <c r="B209" s="510" t="s">
        <v>83</v>
      </c>
      <c r="C209" s="531" t="s">
        <v>20</v>
      </c>
      <c r="D209" s="587"/>
      <c r="E209" s="607"/>
      <c r="F209" s="532">
        <f>+INDEX('[7]Budget original'!$A$2:$AO$501,MATCH($A209,'[7]Budget original'!$A$2:$A$501,0),MATCH(F$2,'[7]Budget original'!$A$2:$AO$2,0))</f>
        <v>0</v>
      </c>
      <c r="G209" s="588"/>
      <c r="H209" s="607"/>
      <c r="I209" s="532"/>
      <c r="J209" s="524"/>
      <c r="K209" s="607"/>
      <c r="L209" s="534">
        <f>SUMIFS([7]BV_Data_An_Cour!$O:$O,[7]BV_Data_An_Cour!$U:$U,$B209,[7]BV_Data_An_Cour!$V:$V,$C209,[7]BV_Data_An_Cour!$W:$W,$L$2)</f>
        <v>0</v>
      </c>
      <c r="M209" s="524"/>
      <c r="N209" s="534">
        <f t="shared" si="46"/>
        <v>0</v>
      </c>
      <c r="O209" s="524"/>
      <c r="P209" s="607"/>
      <c r="Q209" s="534">
        <f t="array" ref="Q209">+INDEX('[7]Réel 2023'!$A$2:$AO$501,MATCH($A209,'[7]Réel 2023'!$A$2:$A$501,0),MATCH(Q$2,'[7]Réel 2023'!$A$2:$AO$2,0))</f>
        <v>0</v>
      </c>
      <c r="R209" s="524"/>
      <c r="S209" s="582">
        <f t="shared" si="47"/>
        <v>0</v>
      </c>
      <c r="T209" s="510"/>
      <c r="U209" s="510"/>
      <c r="V209" s="510"/>
      <c r="W209" s="510"/>
      <c r="X209" s="510"/>
      <c r="Y209" s="510"/>
      <c r="Z209" s="510"/>
      <c r="AA209" s="510"/>
      <c r="AB209" s="510"/>
      <c r="AC209" s="510"/>
      <c r="AD209" s="510"/>
      <c r="AE209" s="510"/>
      <c r="AF209" s="510"/>
      <c r="AG209" s="510"/>
      <c r="AH209" s="510"/>
      <c r="AI209" s="510"/>
      <c r="AJ209" s="510"/>
      <c r="AK209" s="510"/>
      <c r="AL209" s="510"/>
      <c r="AM209" s="510"/>
      <c r="AN209" s="510"/>
    </row>
    <row r="210" spans="1:40" ht="15.75" customHeight="1">
      <c r="A210" s="523" t="s">
        <v>355</v>
      </c>
      <c r="B210" s="510" t="s">
        <v>83</v>
      </c>
      <c r="C210" s="592" t="s">
        <v>49</v>
      </c>
      <c r="D210" s="593" t="s">
        <v>97</v>
      </c>
      <c r="E210" s="594">
        <f>F210/F$194</f>
        <v>0.51475527195666892</v>
      </c>
      <c r="F210" s="595">
        <f>+SUM(F198:F209)</f>
        <v>171954.78935896041</v>
      </c>
      <c r="G210" s="596"/>
      <c r="H210" s="594"/>
      <c r="I210" s="595"/>
      <c r="J210" s="596" t="s">
        <v>97</v>
      </c>
      <c r="K210" s="594">
        <f>L210/L$194</f>
        <v>0.43597543218641077</v>
      </c>
      <c r="L210" s="595">
        <f>+SUM(L198:L209)</f>
        <v>153601.94</v>
      </c>
      <c r="M210" s="650"/>
      <c r="N210" s="595">
        <f t="shared" si="46"/>
        <v>-18352.849358960404</v>
      </c>
      <c r="O210" s="596" t="s">
        <v>97</v>
      </c>
      <c r="P210" s="594">
        <f>Q210/Q$194</f>
        <v>0.50869006469421985</v>
      </c>
      <c r="Q210" s="595">
        <f>+SUM(Q198:Q209)</f>
        <v>147660.68</v>
      </c>
      <c r="R210" s="650"/>
      <c r="S210" s="609">
        <f t="shared" si="47"/>
        <v>5941.2600000000093</v>
      </c>
      <c r="T210" s="510"/>
      <c r="U210" s="510"/>
      <c r="V210" s="510"/>
      <c r="W210" s="510"/>
      <c r="X210" s="510"/>
      <c r="Y210" s="510"/>
      <c r="Z210" s="510"/>
      <c r="AA210" s="510"/>
      <c r="AB210" s="510"/>
      <c r="AC210" s="510"/>
      <c r="AD210" s="510"/>
      <c r="AE210" s="510"/>
      <c r="AF210" s="510"/>
      <c r="AG210" s="510"/>
      <c r="AH210" s="510"/>
      <c r="AI210" s="510"/>
      <c r="AJ210" s="510"/>
      <c r="AK210" s="510"/>
      <c r="AL210" s="510"/>
      <c r="AM210" s="510"/>
      <c r="AN210" s="510"/>
    </row>
    <row r="211" spans="1:40" ht="15.75" customHeight="1">
      <c r="A211" s="523" t="s">
        <v>356</v>
      </c>
      <c r="B211" s="510" t="s">
        <v>83</v>
      </c>
      <c r="C211" s="531" t="s">
        <v>50</v>
      </c>
      <c r="D211" s="584"/>
      <c r="E211" s="510"/>
      <c r="F211" s="532">
        <f>+INDEX('[7]Budget original'!$A$2:$AO$501,MATCH($A211,'[7]Budget original'!$A$2:$A$501,0),MATCH(F$2,'[7]Budget original'!$A$2:$AO$2,0))</f>
        <v>10386.992319131941</v>
      </c>
      <c r="G211" s="585"/>
      <c r="H211" s="510"/>
      <c r="I211" s="532"/>
      <c r="J211" s="531"/>
      <c r="K211" s="510"/>
      <c r="L211" s="534">
        <f>SUMIFS([7]BV_Data_An_Cour!$O:$O,[7]BV_Data_An_Cour!$U:$U,$B211,[7]BV_Data_An_Cour!$V:$V,$C211,[7]BV_Data_An_Cour!$W:$W,$L$2)</f>
        <v>11959.51</v>
      </c>
      <c r="M211" s="531"/>
      <c r="N211" s="557">
        <f t="shared" si="46"/>
        <v>1572.517680868059</v>
      </c>
      <c r="O211" s="531"/>
      <c r="P211" s="510"/>
      <c r="Q211" s="534">
        <f t="array" ref="Q211">+INDEX('[7]Réel 2023'!$A$2:$AO$501,MATCH($A211,'[7]Réel 2023'!$A$2:$A$501,0),MATCH(Q$2,'[7]Réel 2023'!$A$2:$AO$2,0))</f>
        <v>11066.65</v>
      </c>
      <c r="R211" s="531"/>
      <c r="S211" s="557">
        <f t="shared" si="47"/>
        <v>892.86000000000058</v>
      </c>
      <c r="T211" s="510"/>
      <c r="U211" s="510"/>
      <c r="V211" s="510"/>
      <c r="W211" s="510"/>
      <c r="X211" s="510"/>
      <c r="Y211" s="510"/>
      <c r="Z211" s="510"/>
      <c r="AA211" s="510"/>
      <c r="AB211" s="510"/>
      <c r="AC211" s="510"/>
      <c r="AD211" s="510"/>
      <c r="AE211" s="510"/>
      <c r="AF211" s="510"/>
      <c r="AG211" s="510"/>
      <c r="AH211" s="510"/>
      <c r="AI211" s="510"/>
      <c r="AJ211" s="510"/>
      <c r="AK211" s="510"/>
      <c r="AL211" s="510"/>
      <c r="AM211" s="510"/>
      <c r="AN211" s="510"/>
    </row>
    <row r="212" spans="1:40" ht="15.75" customHeight="1">
      <c r="A212" s="523" t="s">
        <v>357</v>
      </c>
      <c r="B212" s="510" t="s">
        <v>83</v>
      </c>
      <c r="C212" s="531" t="s">
        <v>51</v>
      </c>
      <c r="D212" s="584"/>
      <c r="E212" s="510"/>
      <c r="F212" s="532">
        <f>+INDEX('[7]Budget original'!$A$2:$AO$501,MATCH($A212,'[7]Budget original'!$A$2:$A$501,0),MATCH(F$2,'[7]Budget original'!$A$2:$AO$2,0))</f>
        <v>3860.3926568344446</v>
      </c>
      <c r="G212" s="585"/>
      <c r="H212" s="510"/>
      <c r="I212" s="532"/>
      <c r="J212" s="531"/>
      <c r="K212" s="510"/>
      <c r="L212" s="534">
        <f>SUMIFS([7]BV_Data_An_Cour!$O:$O,[7]BV_Data_An_Cour!$U:$U,$B212,[7]BV_Data_An_Cour!$V:$V,$C212,[7]BV_Data_An_Cour!$W:$W,$L$2)</f>
        <v>5712.0099999999993</v>
      </c>
      <c r="M212" s="531"/>
      <c r="N212" s="557">
        <f t="shared" si="46"/>
        <v>1851.6173431655548</v>
      </c>
      <c r="O212" s="531"/>
      <c r="P212" s="510"/>
      <c r="Q212" s="534">
        <f t="array" ref="Q212">+INDEX('[7]Réel 2023'!$A$2:$AO$501,MATCH($A212,'[7]Réel 2023'!$A$2:$A$501,0),MATCH(Q$2,'[7]Réel 2023'!$A$2:$AO$2,0))</f>
        <v>9363.8799999999901</v>
      </c>
      <c r="R212" s="531"/>
      <c r="S212" s="557">
        <f t="shared" si="47"/>
        <v>-3651.8699999999908</v>
      </c>
      <c r="T212" s="510"/>
      <c r="U212" s="523"/>
      <c r="V212" s="510"/>
      <c r="W212" s="510"/>
      <c r="X212" s="510"/>
      <c r="Y212" s="510"/>
      <c r="Z212" s="510"/>
      <c r="AA212" s="510"/>
      <c r="AB212" s="510"/>
      <c r="AC212" s="510"/>
      <c r="AD212" s="510"/>
      <c r="AE212" s="510"/>
      <c r="AF212" s="510"/>
      <c r="AG212" s="510"/>
      <c r="AH212" s="510"/>
      <c r="AI212" s="510"/>
      <c r="AJ212" s="510"/>
      <c r="AK212" s="510"/>
      <c r="AL212" s="510"/>
      <c r="AM212" s="510"/>
      <c r="AN212" s="510"/>
    </row>
    <row r="213" spans="1:40" ht="15.75" customHeight="1">
      <c r="A213" s="523" t="s">
        <v>358</v>
      </c>
      <c r="B213" s="510" t="s">
        <v>83</v>
      </c>
      <c r="C213" s="524" t="s">
        <v>52</v>
      </c>
      <c r="D213" s="587"/>
      <c r="E213" s="607"/>
      <c r="F213" s="526">
        <f>+INDEX('[7]Budget original'!$A$2:$AO$501,MATCH($A213,'[7]Budget original'!$A$2:$A$501,0),MATCH(F$2,'[7]Budget original'!$A$2:$AO$2,0))</f>
        <v>13333.333333333334</v>
      </c>
      <c r="G213" s="588"/>
      <c r="H213" s="607"/>
      <c r="I213" s="526"/>
      <c r="J213" s="524"/>
      <c r="K213" s="607"/>
      <c r="L213" s="534">
        <f>SUMIFS([7]BV_Data_An_Cour!$O:$O,[7]BV_Data_An_Cour!$U:$U,$B213,[7]BV_Data_An_Cour!$V:$V,$C213,[7]BV_Data_An_Cour!$W:$W,$L$2)</f>
        <v>17367.310000000001</v>
      </c>
      <c r="M213" s="524"/>
      <c r="N213" s="582">
        <f t="shared" si="46"/>
        <v>4033.9766666666674</v>
      </c>
      <c r="O213" s="524"/>
      <c r="P213" s="607"/>
      <c r="Q213" s="534">
        <f t="array" ref="Q213">+INDEX('[7]Réel 2023'!$A$2:$AO$501,MATCH($A213,'[7]Réel 2023'!$A$2:$A$501,0),MATCH(Q$2,'[7]Réel 2023'!$A$2:$AO$2,0))</f>
        <v>16921.98</v>
      </c>
      <c r="R213" s="524"/>
      <c r="S213" s="582">
        <f t="shared" si="47"/>
        <v>445.33000000000175</v>
      </c>
      <c r="T213" s="510"/>
      <c r="U213" s="510"/>
      <c r="V213" s="510"/>
      <c r="W213" s="510"/>
      <c r="X213" s="510"/>
      <c r="Y213" s="510"/>
      <c r="Z213" s="510"/>
      <c r="AA213" s="510"/>
      <c r="AB213" s="510"/>
      <c r="AC213" s="510"/>
      <c r="AD213" s="510"/>
      <c r="AE213" s="510"/>
      <c r="AF213" s="510"/>
      <c r="AG213" s="510"/>
      <c r="AH213" s="510"/>
      <c r="AI213" s="510"/>
      <c r="AJ213" s="510"/>
      <c r="AK213" s="510"/>
      <c r="AL213" s="510"/>
      <c r="AM213" s="510"/>
      <c r="AN213" s="510"/>
    </row>
    <row r="214" spans="1:40" ht="15.75" customHeight="1">
      <c r="A214" s="523" t="s">
        <v>359</v>
      </c>
      <c r="B214" s="510" t="s">
        <v>83</v>
      </c>
      <c r="C214" s="531" t="s">
        <v>53</v>
      </c>
      <c r="D214" s="584"/>
      <c r="E214" s="510"/>
      <c r="F214" s="532">
        <f>+INDEX('[7]Budget original'!$A$2:$AO$501,MATCH($A214,'[7]Budget original'!$A$2:$A$501,0),MATCH(F$2,'[7]Budget original'!$A$2:$AO$2,0))</f>
        <v>4360.8818746666657</v>
      </c>
      <c r="G214" s="585"/>
      <c r="H214" s="510"/>
      <c r="I214" s="532"/>
      <c r="J214" s="531"/>
      <c r="K214" s="510"/>
      <c r="L214" s="553">
        <f>SUMIFS([7]BV_Data_An_Cour!$O:$O,[7]BV_Data_An_Cour!$U:$U,$B214,[7]BV_Data_An_Cour!$V:$V,$C214,[7]BV_Data_An_Cour!$W:$W,$L$2)</f>
        <v>4203.6499999999996</v>
      </c>
      <c r="M214" s="531"/>
      <c r="N214" s="557">
        <f t="shared" si="46"/>
        <v>-157.23187466666604</v>
      </c>
      <c r="O214" s="531"/>
      <c r="P214" s="510"/>
      <c r="Q214" s="553">
        <f t="array" ref="Q214">+INDEX('[7]Réel 2023'!$A$2:$AO$501,MATCH($A214,'[7]Réel 2023'!$A$2:$A$501,0),MATCH(Q$2,'[7]Réel 2023'!$A$2:$AO$2,0))</f>
        <v>5124.75</v>
      </c>
      <c r="R214" s="531"/>
      <c r="S214" s="557">
        <f t="shared" si="47"/>
        <v>-921.10000000000036</v>
      </c>
      <c r="T214" s="510"/>
      <c r="U214" s="510"/>
      <c r="V214" s="510"/>
      <c r="W214" s="510"/>
      <c r="X214" s="510"/>
      <c r="Y214" s="510"/>
      <c r="Z214" s="510"/>
      <c r="AA214" s="510"/>
      <c r="AB214" s="510"/>
      <c r="AC214" s="510"/>
      <c r="AD214" s="510"/>
      <c r="AE214" s="510"/>
      <c r="AF214" s="510"/>
      <c r="AG214" s="510"/>
      <c r="AH214" s="510"/>
      <c r="AI214" s="510"/>
      <c r="AJ214" s="510"/>
      <c r="AK214" s="510"/>
      <c r="AL214" s="510"/>
      <c r="AM214" s="510"/>
      <c r="AN214" s="510"/>
    </row>
    <row r="215" spans="1:40" ht="15.75" customHeight="1">
      <c r="A215" s="523" t="s">
        <v>360</v>
      </c>
      <c r="B215" s="510" t="s">
        <v>83</v>
      </c>
      <c r="C215" s="531" t="s">
        <v>54</v>
      </c>
      <c r="D215" s="584"/>
      <c r="E215" s="510"/>
      <c r="F215" s="532">
        <f>+INDEX('[7]Budget original'!$A$2:$AO$501,MATCH($A215,'[7]Budget original'!$A$2:$A$501,0),MATCH(F$2,'[7]Budget original'!$A$2:$AO$2,0))</f>
        <v>1099.3818546873238</v>
      </c>
      <c r="G215" s="585"/>
      <c r="H215" s="510"/>
      <c r="I215" s="532"/>
      <c r="J215" s="531"/>
      <c r="K215" s="510"/>
      <c r="L215" s="534">
        <f>SUMIFS([7]BV_Data_An_Cour!$O:$O,[7]BV_Data_An_Cour!$U:$U,$B215,[7]BV_Data_An_Cour!$V:$V,$C215,[7]BV_Data_An_Cour!$W:$W,$L$2)</f>
        <v>2288.3200000000002</v>
      </c>
      <c r="M215" s="531"/>
      <c r="N215" s="557">
        <f t="shared" si="46"/>
        <v>1188.9381453126764</v>
      </c>
      <c r="O215" s="531"/>
      <c r="P215" s="510"/>
      <c r="Q215" s="534">
        <f t="array" ref="Q215">+INDEX('[7]Réel 2023'!$A$2:$AO$501,MATCH($A215,'[7]Réel 2023'!$A$2:$A$501,0),MATCH(Q$2,'[7]Réel 2023'!$A$2:$AO$2,0))</f>
        <v>1212.22</v>
      </c>
      <c r="R215" s="531"/>
      <c r="S215" s="557">
        <f t="shared" si="47"/>
        <v>1076.1000000000001</v>
      </c>
      <c r="T215" s="510"/>
      <c r="U215" s="510"/>
      <c r="V215" s="510"/>
      <c r="W215" s="510"/>
      <c r="X215" s="510"/>
      <c r="Y215" s="510"/>
      <c r="Z215" s="510"/>
      <c r="AA215" s="510"/>
      <c r="AB215" s="510"/>
      <c r="AC215" s="510"/>
      <c r="AD215" s="510"/>
      <c r="AE215" s="510"/>
      <c r="AF215" s="510"/>
      <c r="AG215" s="510"/>
      <c r="AH215" s="510"/>
      <c r="AI215" s="510"/>
      <c r="AJ215" s="510"/>
      <c r="AK215" s="510"/>
      <c r="AL215" s="510"/>
      <c r="AM215" s="510"/>
      <c r="AN215" s="510"/>
    </row>
    <row r="216" spans="1:40" ht="15.75" customHeight="1">
      <c r="A216" s="523" t="s">
        <v>361</v>
      </c>
      <c r="B216" s="510" t="s">
        <v>83</v>
      </c>
      <c r="C216" s="524" t="s">
        <v>55</v>
      </c>
      <c r="D216" s="587"/>
      <c r="E216" s="607"/>
      <c r="F216" s="526">
        <f>+INDEX('[7]Budget original'!$A$2:$AO$501,MATCH($A216,'[7]Budget original'!$A$2:$A$501,0),MATCH(F$2,'[7]Budget original'!$A$2:$AO$2,0))</f>
        <v>15141.772002488889</v>
      </c>
      <c r="G216" s="588"/>
      <c r="H216" s="607"/>
      <c r="I216" s="526"/>
      <c r="J216" s="524"/>
      <c r="K216" s="607"/>
      <c r="L216" s="534">
        <f>SUMIFS([7]BV_Data_An_Cour!$O:$O,[7]BV_Data_An_Cour!$U:$U,$B216,[7]BV_Data_An_Cour!$V:$V,$C216,[7]BV_Data_An_Cour!$W:$W,$L$2)</f>
        <v>14870.17</v>
      </c>
      <c r="M216" s="524"/>
      <c r="N216" s="582">
        <f t="shared" si="46"/>
        <v>-271.60200248888941</v>
      </c>
      <c r="O216" s="524"/>
      <c r="P216" s="607"/>
      <c r="Q216" s="534">
        <f t="array" ref="Q216">+INDEX('[7]Réel 2023'!$A$2:$AO$501,MATCH($A216,'[7]Réel 2023'!$A$2:$A$501,0),MATCH(Q$2,'[7]Réel 2023'!$A$2:$AO$2,0))</f>
        <v>11810.48</v>
      </c>
      <c r="R216" s="524"/>
      <c r="S216" s="582">
        <f t="shared" si="47"/>
        <v>3059.6900000000005</v>
      </c>
      <c r="T216" s="510"/>
      <c r="U216" s="507" t="s">
        <v>476</v>
      </c>
      <c r="V216" s="510"/>
      <c r="W216" s="510"/>
      <c r="X216" s="510"/>
      <c r="Y216" s="510"/>
      <c r="Z216" s="510"/>
      <c r="AA216" s="510"/>
      <c r="AB216" s="510"/>
      <c r="AC216" s="510"/>
      <c r="AD216" s="510"/>
      <c r="AE216" s="510"/>
      <c r="AF216" s="510"/>
      <c r="AG216" s="510"/>
      <c r="AH216" s="510"/>
      <c r="AI216" s="510"/>
      <c r="AJ216" s="510"/>
      <c r="AK216" s="510"/>
      <c r="AL216" s="510"/>
      <c r="AM216" s="510"/>
      <c r="AN216" s="510"/>
    </row>
    <row r="217" spans="1:40" ht="15.75" customHeight="1">
      <c r="A217" s="523" t="s">
        <v>362</v>
      </c>
      <c r="B217" s="510" t="s">
        <v>83</v>
      </c>
      <c r="C217" s="531" t="s">
        <v>98</v>
      </c>
      <c r="D217" s="584"/>
      <c r="E217" s="510"/>
      <c r="F217" s="532"/>
      <c r="G217" s="585"/>
      <c r="H217" s="510"/>
      <c r="I217" s="532"/>
      <c r="J217" s="531"/>
      <c r="K217" s="510"/>
      <c r="L217" s="553">
        <f>SUMIFS([7]BV_Data_An_Cour!$O:$O,[7]BV_Data_An_Cour!$U:$U,$B217,[7]BV_Data_An_Cour!$V:$V,$C217,[7]BV_Data_An_Cour!$W:$W,$L$2)</f>
        <v>0</v>
      </c>
      <c r="M217" s="531"/>
      <c r="N217" s="557">
        <f t="shared" si="46"/>
        <v>0</v>
      </c>
      <c r="O217" s="531"/>
      <c r="P217" s="510"/>
      <c r="Q217" s="553">
        <f t="array" ref="Q217">+INDEX('[7]Réel 2023'!$A$2:$AO$501,MATCH($A217,'[7]Réel 2023'!$A$2:$A$501,0),MATCH(Q$2,'[7]Réel 2023'!$A$2:$AO$2,0))</f>
        <v>0</v>
      </c>
      <c r="R217" s="531"/>
      <c r="S217" s="557">
        <f t="shared" si="47"/>
        <v>0</v>
      </c>
      <c r="T217" s="510"/>
      <c r="U217" s="510"/>
      <c r="V217" s="510"/>
      <c r="W217" s="510"/>
      <c r="X217" s="510"/>
      <c r="Y217" s="510"/>
      <c r="Z217" s="510"/>
      <c r="AA217" s="510"/>
      <c r="AB217" s="510"/>
      <c r="AC217" s="510"/>
      <c r="AD217" s="510"/>
      <c r="AE217" s="510"/>
      <c r="AF217" s="510"/>
      <c r="AG217" s="510"/>
      <c r="AH217" s="510"/>
      <c r="AI217" s="510"/>
      <c r="AJ217" s="510"/>
      <c r="AK217" s="510"/>
      <c r="AL217" s="510"/>
      <c r="AM217" s="510"/>
      <c r="AN217" s="510"/>
    </row>
    <row r="218" spans="1:40" ht="15.75" customHeight="1">
      <c r="A218" s="523" t="s">
        <v>363</v>
      </c>
      <c r="B218" s="510" t="s">
        <v>83</v>
      </c>
      <c r="C218" s="531" t="s">
        <v>56</v>
      </c>
      <c r="D218" s="584"/>
      <c r="E218" s="510"/>
      <c r="F218" s="532">
        <f>+INDEX('[7]Budget original'!$A$2:$AO$501,MATCH($A218,'[7]Budget original'!$A$2:$A$501,0),MATCH(F$2,'[7]Budget original'!$A$2:$AO$2,0))</f>
        <v>5583.333333333333</v>
      </c>
      <c r="G218" s="585"/>
      <c r="H218" s="510"/>
      <c r="I218" s="532"/>
      <c r="J218" s="531"/>
      <c r="K218" s="510"/>
      <c r="L218" s="534">
        <f>SUMIFS([7]BV_Data_An_Cour!$O:$O,[7]BV_Data_An_Cour!$U:$U,$B218,[7]BV_Data_An_Cour!$V:$V,$C218,[7]BV_Data_An_Cour!$W:$W,$L$2)</f>
        <v>4375.9799999999996</v>
      </c>
      <c r="M218" s="531"/>
      <c r="N218" s="557">
        <f t="shared" si="46"/>
        <v>-1207.3533333333335</v>
      </c>
      <c r="O218" s="531"/>
      <c r="P218" s="510"/>
      <c r="Q218" s="534">
        <f t="array" ref="Q218">+INDEX('[7]Réel 2023'!$A$2:$AO$501,MATCH($A218,'[7]Réel 2023'!$A$2:$A$501,0),MATCH(Q$2,'[7]Réel 2023'!$A$2:$AO$2,0))</f>
        <v>10655.23</v>
      </c>
      <c r="R218" s="531"/>
      <c r="S218" s="557">
        <f t="shared" si="47"/>
        <v>-6279.25</v>
      </c>
      <c r="T218" s="510"/>
      <c r="U218" s="510"/>
      <c r="V218" s="510"/>
      <c r="W218" s="510"/>
      <c r="X218" s="510"/>
      <c r="Y218" s="510"/>
      <c r="Z218" s="510"/>
      <c r="AA218" s="510"/>
      <c r="AB218" s="510"/>
      <c r="AC218" s="510"/>
      <c r="AD218" s="510"/>
      <c r="AE218" s="510"/>
      <c r="AF218" s="510"/>
      <c r="AG218" s="510"/>
      <c r="AH218" s="510"/>
      <c r="AI218" s="510"/>
      <c r="AJ218" s="510"/>
      <c r="AK218" s="510"/>
      <c r="AL218" s="510"/>
      <c r="AM218" s="510"/>
      <c r="AN218" s="510"/>
    </row>
    <row r="219" spans="1:40" ht="15.75" customHeight="1">
      <c r="A219" s="523" t="s">
        <v>364</v>
      </c>
      <c r="B219" s="510" t="s">
        <v>83</v>
      </c>
      <c r="C219" s="531" t="s">
        <v>57</v>
      </c>
      <c r="D219" s="584"/>
      <c r="E219" s="510"/>
      <c r="F219" s="532">
        <f>+INDEX('[7]Budget original'!$A$2:$AO$501,MATCH($A219,'[7]Budget original'!$A$2:$A$501,0),MATCH(F$2,'[7]Budget original'!$A$2:$AO$2,0))</f>
        <v>1221.9416376071097</v>
      </c>
      <c r="G219" s="585"/>
      <c r="H219" s="510"/>
      <c r="I219" s="532"/>
      <c r="J219" s="531"/>
      <c r="K219" s="510"/>
      <c r="L219" s="534">
        <f>SUMIFS([7]BV_Data_An_Cour!$O:$O,[7]BV_Data_An_Cour!$U:$U,$B219,[7]BV_Data_An_Cour!$V:$V,$C219,[7]BV_Data_An_Cour!$W:$W,$L$2)</f>
        <v>960.28</v>
      </c>
      <c r="M219" s="531"/>
      <c r="N219" s="557">
        <f t="shared" si="46"/>
        <v>-261.6616376071097</v>
      </c>
      <c r="O219" s="531"/>
      <c r="P219" s="510"/>
      <c r="Q219" s="534">
        <f t="array" ref="Q219">+INDEX('[7]Réel 2023'!$A$2:$AO$501,MATCH($A219,'[7]Réel 2023'!$A$2:$A$501,0),MATCH(Q$2,'[7]Réel 2023'!$A$2:$AO$2,0))</f>
        <v>1903.87</v>
      </c>
      <c r="R219" s="531"/>
      <c r="S219" s="557">
        <f t="shared" si="47"/>
        <v>-943.58999999999992</v>
      </c>
      <c r="T219" s="510"/>
      <c r="U219" s="510"/>
      <c r="V219" s="510"/>
      <c r="W219" s="510"/>
      <c r="X219" s="510"/>
      <c r="Y219" s="510"/>
      <c r="Z219" s="510"/>
      <c r="AA219" s="510"/>
      <c r="AB219" s="510"/>
      <c r="AC219" s="510"/>
      <c r="AD219" s="510"/>
      <c r="AE219" s="510"/>
      <c r="AF219" s="510"/>
      <c r="AG219" s="510"/>
      <c r="AH219" s="510"/>
      <c r="AI219" s="510"/>
      <c r="AJ219" s="510"/>
      <c r="AK219" s="510"/>
      <c r="AL219" s="510"/>
      <c r="AM219" s="510"/>
      <c r="AN219" s="510"/>
    </row>
    <row r="220" spans="1:40" ht="15.75" customHeight="1">
      <c r="A220" s="523" t="s">
        <v>365</v>
      </c>
      <c r="B220" s="510" t="s">
        <v>83</v>
      </c>
      <c r="C220" s="531" t="s">
        <v>58</v>
      </c>
      <c r="D220" s="584"/>
      <c r="E220" s="510"/>
      <c r="F220" s="532">
        <f>+INDEX('[7]Budget original'!$A$2:$AO$501,MATCH($A220,'[7]Budget original'!$A$2:$A$501,0),MATCH(F$2,'[7]Budget original'!$A$2:$AO$2,0))</f>
        <v>748.20426397599988</v>
      </c>
      <c r="G220" s="585"/>
      <c r="H220" s="510"/>
      <c r="I220" s="532"/>
      <c r="J220" s="531"/>
      <c r="K220" s="510"/>
      <c r="L220" s="534">
        <f>SUMIFS([7]BV_Data_An_Cour!$O:$O,[7]BV_Data_An_Cour!$U:$U,$B220,[7]BV_Data_An_Cour!$V:$V,$C220,[7]BV_Data_An_Cour!$W:$W,$L$2)</f>
        <v>1316.02</v>
      </c>
      <c r="M220" s="531"/>
      <c r="N220" s="557">
        <f t="shared" si="46"/>
        <v>567.8157360240001</v>
      </c>
      <c r="O220" s="531"/>
      <c r="P220" s="510"/>
      <c r="Q220" s="534">
        <f t="array" ref="Q220">+INDEX('[7]Réel 2023'!$A$2:$AO$501,MATCH($A220,'[7]Réel 2023'!$A$2:$A$501,0),MATCH(Q$2,'[7]Réel 2023'!$A$2:$AO$2,0))</f>
        <v>1549.31</v>
      </c>
      <c r="R220" s="531"/>
      <c r="S220" s="557">
        <f t="shared" si="47"/>
        <v>-233.28999999999996</v>
      </c>
      <c r="T220" s="510"/>
      <c r="U220" s="510"/>
      <c r="V220" s="510"/>
      <c r="W220" s="510"/>
      <c r="X220" s="510"/>
      <c r="Y220" s="510"/>
      <c r="Z220" s="510"/>
      <c r="AA220" s="510"/>
      <c r="AB220" s="510"/>
      <c r="AC220" s="510"/>
      <c r="AD220" s="510"/>
      <c r="AE220" s="510"/>
      <c r="AF220" s="510"/>
      <c r="AG220" s="510"/>
      <c r="AH220" s="510"/>
      <c r="AI220" s="510"/>
      <c r="AJ220" s="510"/>
      <c r="AK220" s="510"/>
      <c r="AL220" s="510"/>
      <c r="AM220" s="510"/>
      <c r="AN220" s="510"/>
    </row>
    <row r="221" spans="1:40" ht="15.75" customHeight="1">
      <c r="A221" s="523" t="s">
        <v>366</v>
      </c>
      <c r="B221" s="510" t="s">
        <v>83</v>
      </c>
      <c r="C221" s="531" t="s">
        <v>59</v>
      </c>
      <c r="D221" s="584"/>
      <c r="E221" s="510"/>
      <c r="F221" s="532">
        <f>+INDEX('[7]Budget original'!$A$2:$AO$501,MATCH($A221,'[7]Budget original'!$A$2:$A$501,0),MATCH(F$2,'[7]Budget original'!$A$2:$AO$2,0))</f>
        <v>216.08706378966664</v>
      </c>
      <c r="G221" s="585"/>
      <c r="H221" s="510"/>
      <c r="I221" s="532"/>
      <c r="J221" s="531"/>
      <c r="K221" s="510"/>
      <c r="L221" s="534">
        <f>SUMIFS([7]BV_Data_An_Cour!$O:$O,[7]BV_Data_An_Cour!$U:$U,$B221,[7]BV_Data_An_Cour!$V:$V,$C221,[7]BV_Data_An_Cour!$W:$W,$L$2)</f>
        <v>184.09</v>
      </c>
      <c r="M221" s="531"/>
      <c r="N221" s="557">
        <f t="shared" si="46"/>
        <v>-31.99706378966664</v>
      </c>
      <c r="O221" s="531"/>
      <c r="P221" s="510"/>
      <c r="Q221" s="534">
        <f t="array" ref="Q221">+INDEX('[7]Réel 2023'!$A$2:$AO$501,MATCH($A221,'[7]Réel 2023'!$A$2:$A$501,0),MATCH(Q$2,'[7]Réel 2023'!$A$2:$AO$2,0))</f>
        <v>153.81</v>
      </c>
      <c r="R221" s="531"/>
      <c r="S221" s="557">
        <f t="shared" si="47"/>
        <v>30.28</v>
      </c>
      <c r="T221" s="510"/>
      <c r="U221" s="510"/>
      <c r="V221" s="510"/>
      <c r="W221" s="510"/>
      <c r="X221" s="510"/>
      <c r="Y221" s="510"/>
      <c r="Z221" s="510"/>
      <c r="AA221" s="510"/>
      <c r="AB221" s="510"/>
      <c r="AC221" s="510"/>
      <c r="AD221" s="510"/>
      <c r="AE221" s="510"/>
      <c r="AF221" s="510"/>
      <c r="AG221" s="510"/>
      <c r="AH221" s="510"/>
      <c r="AI221" s="510"/>
      <c r="AJ221" s="510"/>
      <c r="AK221" s="510"/>
      <c r="AL221" s="510"/>
      <c r="AM221" s="510"/>
      <c r="AN221" s="510"/>
    </row>
    <row r="222" spans="1:40" ht="15.75" customHeight="1">
      <c r="A222" s="523" t="s">
        <v>367</v>
      </c>
      <c r="B222" s="510" t="s">
        <v>83</v>
      </c>
      <c r="C222" s="531" t="s">
        <v>60</v>
      </c>
      <c r="D222" s="584"/>
      <c r="E222" s="510"/>
      <c r="F222" s="532">
        <f>+INDEX('[7]Budget original'!$A$2:$AO$501,MATCH($A222,'[7]Budget original'!$A$2:$A$501,0),MATCH(F$2,'[7]Budget original'!$A$2:$AO$2,0))</f>
        <v>103.77844493033332</v>
      </c>
      <c r="G222" s="585"/>
      <c r="H222" s="510"/>
      <c r="I222" s="532"/>
      <c r="J222" s="531"/>
      <c r="K222" s="510"/>
      <c r="L222" s="534">
        <f>SUMIFS([7]BV_Data_An_Cour!$O:$O,[7]BV_Data_An_Cour!$U:$U,$B222,[7]BV_Data_An_Cour!$V:$V,$C222,[7]BV_Data_An_Cour!$W:$W,$L$2)</f>
        <v>30.18</v>
      </c>
      <c r="M222" s="531"/>
      <c r="N222" s="557">
        <f t="shared" si="46"/>
        <v>-73.598444930333329</v>
      </c>
      <c r="O222" s="531"/>
      <c r="P222" s="510"/>
      <c r="Q222" s="534">
        <f t="array" ref="Q222">+INDEX('[7]Réel 2023'!$A$2:$AO$501,MATCH($A222,'[7]Réel 2023'!$A$2:$A$501,0),MATCH(Q$2,'[7]Réel 2023'!$A$2:$AO$2,0))</f>
        <v>127.41</v>
      </c>
      <c r="R222" s="531"/>
      <c r="S222" s="557">
        <f t="shared" si="47"/>
        <v>-97.22999999999999</v>
      </c>
      <c r="T222" s="510"/>
      <c r="U222" s="510"/>
      <c r="V222" s="510"/>
      <c r="W222" s="510"/>
      <c r="X222" s="510"/>
      <c r="Y222" s="510"/>
      <c r="Z222" s="510"/>
      <c r="AA222" s="510"/>
      <c r="AB222" s="510"/>
      <c r="AC222" s="510"/>
      <c r="AD222" s="510"/>
      <c r="AE222" s="510"/>
      <c r="AF222" s="510"/>
      <c r="AG222" s="510"/>
      <c r="AH222" s="510"/>
      <c r="AI222" s="510"/>
      <c r="AJ222" s="510"/>
      <c r="AK222" s="510"/>
      <c r="AL222" s="510"/>
      <c r="AM222" s="510"/>
      <c r="AN222" s="510"/>
    </row>
    <row r="223" spans="1:40" ht="15.75" customHeight="1">
      <c r="A223" s="523" t="s">
        <v>368</v>
      </c>
      <c r="B223" s="510" t="s">
        <v>83</v>
      </c>
      <c r="C223" s="531" t="s">
        <v>61</v>
      </c>
      <c r="D223" s="584"/>
      <c r="E223" s="510"/>
      <c r="F223" s="532">
        <f>+INDEX('[7]Budget original'!$A$2:$AO$501,MATCH($A223,'[7]Budget original'!$A$2:$A$501,0),MATCH(F$2,'[7]Budget original'!$A$2:$AO$2,0))</f>
        <v>216.4726525763333</v>
      </c>
      <c r="G223" s="585"/>
      <c r="H223" s="510"/>
      <c r="I223" s="532"/>
      <c r="J223" s="531"/>
      <c r="K223" s="510"/>
      <c r="L223" s="534">
        <f>SUMIFS([7]BV_Data_An_Cour!$O:$O,[7]BV_Data_An_Cour!$U:$U,$B223,[7]BV_Data_An_Cour!$V:$V,$C223,[7]BV_Data_An_Cour!$W:$W,$L$2)</f>
        <v>335.11</v>
      </c>
      <c r="M223" s="531"/>
      <c r="N223" s="557">
        <f t="shared" si="46"/>
        <v>118.63734742366671</v>
      </c>
      <c r="O223" s="531"/>
      <c r="P223" s="510"/>
      <c r="Q223" s="534">
        <f t="array" ref="Q223">+INDEX('[7]Réel 2023'!$A$2:$AO$501,MATCH($A223,'[7]Réel 2023'!$A$2:$A$501,0),MATCH(Q$2,'[7]Réel 2023'!$A$2:$AO$2,0))</f>
        <v>-172.89</v>
      </c>
      <c r="R223" s="531"/>
      <c r="S223" s="557">
        <f t="shared" si="47"/>
        <v>508</v>
      </c>
      <c r="T223" s="510"/>
      <c r="U223" s="510"/>
      <c r="V223" s="510"/>
      <c r="W223" s="510"/>
      <c r="X223" s="510"/>
      <c r="Y223" s="510"/>
      <c r="Z223" s="510"/>
      <c r="AA223" s="510"/>
      <c r="AB223" s="510"/>
      <c r="AC223" s="510"/>
      <c r="AD223" s="510"/>
      <c r="AE223" s="510"/>
      <c r="AF223" s="510"/>
      <c r="AG223" s="510"/>
      <c r="AH223" s="510"/>
      <c r="AI223" s="510"/>
      <c r="AJ223" s="510"/>
      <c r="AK223" s="510"/>
      <c r="AL223" s="510"/>
      <c r="AM223" s="510"/>
      <c r="AN223" s="510"/>
    </row>
    <row r="224" spans="1:40" ht="15.75" customHeight="1">
      <c r="A224" s="523" t="s">
        <v>369</v>
      </c>
      <c r="B224" s="510" t="s">
        <v>83</v>
      </c>
      <c r="C224" s="531" t="s">
        <v>62</v>
      </c>
      <c r="D224" s="584"/>
      <c r="E224" s="510"/>
      <c r="F224" s="532">
        <f>+INDEX('[7]Budget original'!$A$2:$AO$501,MATCH($A224,'[7]Budget original'!$A$2:$A$501,0),MATCH(F$2,'[7]Budget original'!$A$2:$AO$2,0))</f>
        <v>3986.4545554484885</v>
      </c>
      <c r="G224" s="585"/>
      <c r="H224" s="510"/>
      <c r="I224" s="532"/>
      <c r="J224" s="531"/>
      <c r="K224" s="510"/>
      <c r="L224" s="534">
        <f>SUMIFS([7]BV_Data_An_Cour!$O:$O,[7]BV_Data_An_Cour!$U:$U,$B224,[7]BV_Data_An_Cour!$V:$V,$C224,[7]BV_Data_An_Cour!$W:$W,$L$2)</f>
        <v>342.09</v>
      </c>
      <c r="M224" s="531"/>
      <c r="N224" s="557">
        <f t="shared" si="46"/>
        <v>-3644.3645554484883</v>
      </c>
      <c r="O224" s="531"/>
      <c r="P224" s="510"/>
      <c r="Q224" s="534">
        <f t="array" ref="Q224">+INDEX('[7]Réel 2023'!$A$2:$AO$501,MATCH($A224,'[7]Réel 2023'!$A$2:$A$501,0),MATCH(Q$2,'[7]Réel 2023'!$A$2:$AO$2,0))</f>
        <v>8573.24</v>
      </c>
      <c r="R224" s="531"/>
      <c r="S224" s="557">
        <f t="shared" si="47"/>
        <v>-8231.15</v>
      </c>
      <c r="T224" s="510"/>
      <c r="X224" s="510"/>
      <c r="Y224" s="510"/>
      <c r="Z224" s="510"/>
      <c r="AA224" s="510"/>
      <c r="AB224" s="510"/>
      <c r="AC224" s="510"/>
      <c r="AD224" s="510"/>
      <c r="AE224" s="510"/>
      <c r="AF224" s="510"/>
      <c r="AG224" s="510"/>
      <c r="AH224" s="510"/>
      <c r="AI224" s="510"/>
      <c r="AJ224" s="510"/>
      <c r="AK224" s="510"/>
      <c r="AL224" s="510"/>
      <c r="AM224" s="510"/>
      <c r="AN224" s="510"/>
    </row>
    <row r="225" spans="1:40" ht="15.75" customHeight="1">
      <c r="A225" s="523" t="s">
        <v>370</v>
      </c>
      <c r="B225" s="510" t="s">
        <v>83</v>
      </c>
      <c r="C225" s="531" t="s">
        <v>63</v>
      </c>
      <c r="D225" s="584"/>
      <c r="E225" s="510"/>
      <c r="F225" s="532">
        <f>+INDEX('[7]Budget original'!$A$2:$AO$501,MATCH($A225,'[7]Budget original'!$A$2:$A$501,0),MATCH(F$2,'[7]Budget original'!$A$2:$AO$2,0))</f>
        <v>1949.8633978543896</v>
      </c>
      <c r="G225" s="585"/>
      <c r="H225" s="510"/>
      <c r="I225" s="532"/>
      <c r="J225" s="531"/>
      <c r="K225" s="510"/>
      <c r="L225" s="534">
        <f>SUMIFS([7]BV_Data_An_Cour!$O:$O,[7]BV_Data_An_Cour!$U:$U,$B225,[7]BV_Data_An_Cour!$V:$V,$C225,[7]BV_Data_An_Cour!$W:$W,$L$2)</f>
        <v>3383.76</v>
      </c>
      <c r="M225" s="531"/>
      <c r="N225" s="557">
        <f t="shared" si="46"/>
        <v>1433.8966021456106</v>
      </c>
      <c r="O225" s="531"/>
      <c r="P225" s="510"/>
      <c r="Q225" s="534">
        <f t="array" ref="Q225">+INDEX('[7]Réel 2023'!$A$2:$AO$501,MATCH($A225,'[7]Réel 2023'!$A$2:$A$501,0),MATCH(Q$2,'[7]Réel 2023'!$A$2:$AO$2,0))</f>
        <v>2562.4</v>
      </c>
      <c r="R225" s="531"/>
      <c r="S225" s="557">
        <f t="shared" si="47"/>
        <v>821.36000000000013</v>
      </c>
      <c r="T225" s="510"/>
      <c r="X225" s="510"/>
      <c r="Y225" s="510"/>
      <c r="Z225" s="510"/>
      <c r="AA225" s="510"/>
      <c r="AB225" s="510"/>
      <c r="AC225" s="510"/>
      <c r="AD225" s="510"/>
      <c r="AE225" s="510"/>
      <c r="AF225" s="510"/>
      <c r="AG225" s="510"/>
      <c r="AH225" s="510"/>
      <c r="AI225" s="510"/>
      <c r="AJ225" s="510"/>
      <c r="AK225" s="510"/>
      <c r="AL225" s="510"/>
      <c r="AM225" s="510"/>
      <c r="AN225" s="510"/>
    </row>
    <row r="226" spans="1:40" ht="15.75" hidden="1" customHeight="1">
      <c r="A226" s="523" t="s">
        <v>350</v>
      </c>
      <c r="B226" s="510" t="s">
        <v>83</v>
      </c>
      <c r="C226" s="531" t="s">
        <v>20</v>
      </c>
      <c r="D226" s="584"/>
      <c r="E226" s="510"/>
      <c r="F226" s="532">
        <f>+INDEX('[7]Budget original'!$A$2:$AO$501,MATCH($A226,'[7]Budget original'!$A$2:$A$501,0),MATCH(F$2,'[7]Budget original'!$A$2:$AO$2,0))</f>
        <v>0</v>
      </c>
      <c r="G226" s="585"/>
      <c r="H226" s="510"/>
      <c r="I226" s="532"/>
      <c r="J226" s="531"/>
      <c r="K226" s="510"/>
      <c r="L226" s="534">
        <f>SUMIFS([7]BV_Data_An_Cour!$O:$O,[7]BV_Data_An_Cour!$U:$U,$B226,[7]BV_Data_An_Cour!$V:$V,$C226,[7]BV_Data_An_Cour!$W:$W,$L$2)</f>
        <v>0</v>
      </c>
      <c r="M226" s="531"/>
      <c r="N226" s="557">
        <f t="shared" si="46"/>
        <v>0</v>
      </c>
      <c r="O226" s="531"/>
      <c r="P226" s="510"/>
      <c r="Q226" s="534">
        <f t="array" ref="Q226">+INDEX('[7]Réel 2023'!$A$2:$AO$501,MATCH($A226,'[7]Réel 2023'!$A$2:$A$501,0),MATCH(Q$2,'[7]Réel 2023'!$A$2:$AO$2,0))</f>
        <v>0</v>
      </c>
      <c r="R226" s="531"/>
      <c r="S226" s="557">
        <f t="shared" si="47"/>
        <v>0</v>
      </c>
      <c r="T226" s="510"/>
      <c r="U226" s="510"/>
      <c r="V226" s="510"/>
      <c r="W226" s="510"/>
      <c r="X226" s="510"/>
      <c r="Y226" s="510"/>
      <c r="Z226" s="510"/>
      <c r="AA226" s="510"/>
      <c r="AB226" s="510"/>
      <c r="AC226" s="510"/>
      <c r="AD226" s="510"/>
      <c r="AE226" s="510"/>
      <c r="AF226" s="510"/>
      <c r="AG226" s="510"/>
      <c r="AH226" s="510"/>
      <c r="AI226" s="510"/>
      <c r="AJ226" s="510"/>
      <c r="AK226" s="510"/>
      <c r="AL226" s="510"/>
      <c r="AM226" s="510"/>
      <c r="AN226" s="510"/>
    </row>
    <row r="227" spans="1:40" ht="15.75" hidden="1" customHeight="1">
      <c r="A227" s="523" t="s">
        <v>350</v>
      </c>
      <c r="B227" s="510" t="s">
        <v>83</v>
      </c>
      <c r="C227" s="531" t="s">
        <v>20</v>
      </c>
      <c r="D227" s="584"/>
      <c r="E227" s="510"/>
      <c r="F227" s="532">
        <f>+INDEX('[7]Budget original'!$A$2:$AO$501,MATCH($A227,'[7]Budget original'!$A$2:$A$501,0),MATCH(F$2,'[7]Budget original'!$A$2:$AO$2,0))</f>
        <v>0</v>
      </c>
      <c r="G227" s="585"/>
      <c r="H227" s="510"/>
      <c r="I227" s="532"/>
      <c r="J227" s="531"/>
      <c r="K227" s="510"/>
      <c r="L227" s="534">
        <f>SUMIFS([7]BV_Data_An_Cour!$O:$O,[7]BV_Data_An_Cour!$U:$U,$B227,[7]BV_Data_An_Cour!$V:$V,$C227,[7]BV_Data_An_Cour!$W:$W,$L$2)</f>
        <v>0</v>
      </c>
      <c r="M227" s="531"/>
      <c r="N227" s="557">
        <f t="shared" si="46"/>
        <v>0</v>
      </c>
      <c r="O227" s="531"/>
      <c r="P227" s="510"/>
      <c r="Q227" s="534">
        <f t="array" ref="Q227">+INDEX('[7]Réel 2023'!$A$2:$AO$501,MATCH($A227,'[7]Réel 2023'!$A$2:$A$501,0),MATCH(Q$2,'[7]Réel 2023'!$A$2:$AO$2,0))</f>
        <v>0</v>
      </c>
      <c r="R227" s="531"/>
      <c r="S227" s="557">
        <f t="shared" si="47"/>
        <v>0</v>
      </c>
      <c r="T227" s="510"/>
      <c r="U227" s="510"/>
      <c r="V227" s="510"/>
      <c r="W227" s="510"/>
      <c r="X227" s="510"/>
      <c r="Y227" s="510"/>
      <c r="Z227" s="510"/>
      <c r="AA227" s="510"/>
      <c r="AB227" s="510"/>
      <c r="AC227" s="510"/>
      <c r="AD227" s="510"/>
      <c r="AE227" s="510"/>
      <c r="AF227" s="510"/>
      <c r="AG227" s="510"/>
      <c r="AH227" s="510"/>
      <c r="AI227" s="510"/>
      <c r="AJ227" s="510"/>
      <c r="AK227" s="510"/>
      <c r="AL227" s="510"/>
      <c r="AM227" s="510"/>
      <c r="AN227" s="510"/>
    </row>
    <row r="228" spans="1:40" ht="15.75" hidden="1" customHeight="1">
      <c r="A228" s="523" t="s">
        <v>350</v>
      </c>
      <c r="B228" s="510" t="s">
        <v>83</v>
      </c>
      <c r="C228" s="531" t="s">
        <v>20</v>
      </c>
      <c r="D228" s="584"/>
      <c r="E228" s="510"/>
      <c r="F228" s="532">
        <f>+INDEX('[7]Budget original'!$A$2:$AO$501,MATCH($A228,'[7]Budget original'!$A$2:$A$501,0),MATCH(F$2,'[7]Budget original'!$A$2:$AO$2,0))</f>
        <v>0</v>
      </c>
      <c r="G228" s="585"/>
      <c r="H228" s="510"/>
      <c r="I228" s="532"/>
      <c r="J228" s="531"/>
      <c r="K228" s="510"/>
      <c r="L228" s="534">
        <f>SUMIFS([7]BV_Data_An_Cour!$O:$O,[7]BV_Data_An_Cour!$U:$U,$B228,[7]BV_Data_An_Cour!$V:$V,$C228,[7]BV_Data_An_Cour!$W:$W,$L$2)</f>
        <v>0</v>
      </c>
      <c r="M228" s="531"/>
      <c r="N228" s="557">
        <f t="shared" si="46"/>
        <v>0</v>
      </c>
      <c r="O228" s="531"/>
      <c r="P228" s="510"/>
      <c r="Q228" s="534">
        <f t="array" ref="Q228">+INDEX('[7]Réel 2023'!$A$2:$AO$501,MATCH($A228,'[7]Réel 2023'!$A$2:$A$501,0),MATCH(Q$2,'[7]Réel 2023'!$A$2:$AO$2,0))</f>
        <v>0</v>
      </c>
      <c r="R228" s="531"/>
      <c r="S228" s="557">
        <f t="shared" si="47"/>
        <v>0</v>
      </c>
      <c r="T228" s="510"/>
      <c r="U228" s="510"/>
      <c r="V228" s="510"/>
      <c r="W228" s="510"/>
      <c r="X228" s="510"/>
      <c r="Y228" s="510"/>
      <c r="Z228" s="510"/>
      <c r="AA228" s="510"/>
      <c r="AB228" s="510"/>
      <c r="AC228" s="510"/>
      <c r="AD228" s="510"/>
      <c r="AE228" s="510"/>
      <c r="AF228" s="510"/>
      <c r="AG228" s="510"/>
      <c r="AH228" s="510"/>
      <c r="AI228" s="510"/>
      <c r="AJ228" s="510"/>
      <c r="AK228" s="510"/>
      <c r="AL228" s="510"/>
      <c r="AM228" s="510"/>
      <c r="AN228" s="510"/>
    </row>
    <row r="229" spans="1:40" ht="15.75" customHeight="1">
      <c r="B229" s="510"/>
      <c r="C229" s="592" t="s">
        <v>64</v>
      </c>
      <c r="D229" s="593" t="s">
        <v>97</v>
      </c>
      <c r="E229" s="594">
        <f>F229/F$194</f>
        <v>0.18622542527479752</v>
      </c>
      <c r="F229" s="595">
        <f>+SUM(F211:F228)</f>
        <v>62208.889390658253</v>
      </c>
      <c r="G229" s="596"/>
      <c r="H229" s="594"/>
      <c r="I229" s="595"/>
      <c r="J229" s="596" t="s">
        <v>97</v>
      </c>
      <c r="K229" s="594">
        <f>L229/L$194</f>
        <v>0.19110151321301089</v>
      </c>
      <c r="L229" s="595">
        <f>+SUM(L211:L228)</f>
        <v>67328.479999999981</v>
      </c>
      <c r="M229" s="599"/>
      <c r="N229" s="595">
        <f t="shared" si="46"/>
        <v>5119.5906093417289</v>
      </c>
      <c r="O229" s="596" t="s">
        <v>97</v>
      </c>
      <c r="P229" s="594">
        <f>Q229/Q$194</f>
        <v>0.27853577584282457</v>
      </c>
      <c r="Q229" s="595">
        <f>+SUM(Q211:Q228)</f>
        <v>80852.339999999982</v>
      </c>
      <c r="R229" s="599"/>
      <c r="S229" s="595">
        <f t="shared" si="47"/>
        <v>-13523.86</v>
      </c>
      <c r="T229" s="510"/>
      <c r="U229" s="510"/>
      <c r="V229" s="510"/>
      <c r="W229" s="510"/>
      <c r="X229" s="510"/>
      <c r="Y229" s="510"/>
      <c r="Z229" s="510"/>
      <c r="AA229" s="510"/>
      <c r="AB229" s="510"/>
      <c r="AC229" s="510"/>
      <c r="AD229" s="510"/>
      <c r="AE229" s="510"/>
      <c r="AF229" s="510"/>
      <c r="AG229" s="510"/>
      <c r="AH229" s="510"/>
      <c r="AI229" s="510"/>
      <c r="AJ229" s="510"/>
      <c r="AK229" s="510"/>
      <c r="AL229" s="510"/>
      <c r="AM229" s="510"/>
      <c r="AN229" s="510"/>
    </row>
    <row r="230" spans="1:40" ht="15.75" customHeight="1">
      <c r="B230" s="510"/>
      <c r="C230" s="524"/>
      <c r="D230" s="587"/>
      <c r="E230" s="607"/>
      <c r="F230" s="557"/>
      <c r="G230" s="588"/>
      <c r="H230" s="607"/>
      <c r="I230" s="557"/>
      <c r="J230" s="524"/>
      <c r="K230" s="607"/>
      <c r="L230" s="582"/>
      <c r="M230" s="524"/>
      <c r="N230" s="582"/>
      <c r="O230" s="524"/>
      <c r="P230" s="607"/>
      <c r="Q230" s="582"/>
      <c r="R230" s="524"/>
      <c r="S230" s="582"/>
      <c r="T230" s="510"/>
      <c r="U230" s="510"/>
      <c r="V230" s="510"/>
      <c r="W230" s="510"/>
      <c r="X230" s="510"/>
      <c r="Y230" s="510"/>
      <c r="Z230" s="510"/>
      <c r="AA230" s="510"/>
      <c r="AB230" s="510"/>
      <c r="AC230" s="510"/>
      <c r="AD230" s="510"/>
      <c r="AE230" s="510"/>
      <c r="AF230" s="510"/>
      <c r="AG230" s="510"/>
      <c r="AH230" s="510"/>
      <c r="AI230" s="510"/>
      <c r="AJ230" s="510"/>
      <c r="AK230" s="510"/>
      <c r="AL230" s="510"/>
      <c r="AM230" s="510"/>
      <c r="AN230" s="510"/>
    </row>
    <row r="231" spans="1:40" ht="15.75" customHeight="1">
      <c r="B231" s="510"/>
      <c r="C231" s="592" t="s">
        <v>65</v>
      </c>
      <c r="D231" s="593" t="s">
        <v>39</v>
      </c>
      <c r="E231" s="594">
        <f>F231/F$194</f>
        <v>0.70098069723146639</v>
      </c>
      <c r="F231" s="595">
        <f>F210+F229</f>
        <v>234163.67874961864</v>
      </c>
      <c r="G231" s="596"/>
      <c r="H231" s="594"/>
      <c r="I231" s="595"/>
      <c r="J231" s="596" t="s">
        <v>39</v>
      </c>
      <c r="K231" s="594">
        <f>L231/L$194</f>
        <v>0.6270769453994216</v>
      </c>
      <c r="L231" s="595">
        <f>L210+L229</f>
        <v>220930.41999999998</v>
      </c>
      <c r="M231" s="599"/>
      <c r="N231" s="609">
        <f>L231-F231</f>
        <v>-13233.258749618661</v>
      </c>
      <c r="O231" s="596" t="s">
        <v>39</v>
      </c>
      <c r="P231" s="594">
        <f>Q231/Q$194</f>
        <v>0.78722584053704436</v>
      </c>
      <c r="Q231" s="595">
        <f>Q210+Q229</f>
        <v>228513.01999999996</v>
      </c>
      <c r="R231" s="599"/>
      <c r="S231" s="609">
        <f>L231-Q231</f>
        <v>-7582.5999999999767</v>
      </c>
      <c r="T231" s="510"/>
      <c r="U231" s="510"/>
      <c r="V231" s="510"/>
      <c r="W231" s="510"/>
      <c r="X231" s="510"/>
      <c r="Y231" s="510"/>
      <c r="Z231" s="510"/>
      <c r="AA231" s="510"/>
      <c r="AB231" s="510"/>
      <c r="AC231" s="510"/>
      <c r="AD231" s="510"/>
      <c r="AE231" s="510"/>
      <c r="AF231" s="510"/>
      <c r="AG231" s="510"/>
      <c r="AH231" s="510"/>
      <c r="AI231" s="510"/>
      <c r="AJ231" s="510"/>
      <c r="AK231" s="510"/>
      <c r="AL231" s="510"/>
      <c r="AM231" s="510"/>
      <c r="AN231" s="510"/>
    </row>
    <row r="232" spans="1:40" ht="15.75" customHeight="1">
      <c r="B232" s="510"/>
      <c r="C232" s="531"/>
      <c r="D232" s="584"/>
      <c r="E232" s="510"/>
      <c r="F232" s="557"/>
      <c r="G232" s="585"/>
      <c r="H232" s="510"/>
      <c r="I232" s="557"/>
      <c r="J232" s="531"/>
      <c r="K232" s="510"/>
      <c r="L232" s="557"/>
      <c r="M232" s="531"/>
      <c r="N232" s="557">
        <f>L232-F232</f>
        <v>0</v>
      </c>
      <c r="O232" s="531"/>
      <c r="P232" s="510"/>
      <c r="Q232" s="557"/>
      <c r="R232" s="531"/>
      <c r="S232" s="557"/>
      <c r="T232" s="510"/>
      <c r="U232" s="510"/>
      <c r="V232" s="510"/>
      <c r="W232" s="510"/>
      <c r="X232" s="510"/>
      <c r="Y232" s="510"/>
      <c r="Z232" s="510"/>
      <c r="AA232" s="510"/>
      <c r="AB232" s="510"/>
      <c r="AC232" s="510"/>
      <c r="AD232" s="510"/>
      <c r="AE232" s="510"/>
      <c r="AF232" s="510"/>
      <c r="AG232" s="510"/>
      <c r="AH232" s="510"/>
      <c r="AI232" s="510"/>
      <c r="AJ232" s="510"/>
      <c r="AK232" s="510"/>
      <c r="AL232" s="510"/>
      <c r="AM232" s="510"/>
      <c r="AN232" s="510"/>
    </row>
    <row r="233" spans="1:40" ht="15.75" customHeight="1" thickBot="1">
      <c r="B233" s="510"/>
      <c r="C233" s="625" t="s">
        <v>72</v>
      </c>
      <c r="D233" s="655"/>
      <c r="E233" s="626"/>
      <c r="F233" s="628">
        <f>F194-F231</f>
        <v>99887.857440252963</v>
      </c>
      <c r="G233" s="656"/>
      <c r="H233" s="626"/>
      <c r="I233" s="628"/>
      <c r="J233" s="625"/>
      <c r="K233" s="627"/>
      <c r="L233" s="628">
        <f>L194-L231</f>
        <v>131387.46000000002</v>
      </c>
      <c r="M233" s="625"/>
      <c r="N233" s="628">
        <f>L233-F233</f>
        <v>31499.602559747058</v>
      </c>
      <c r="O233" s="625"/>
      <c r="P233" s="630">
        <f>+Q233/P194</f>
        <v>0.15117299299753476</v>
      </c>
      <c r="Q233" s="628">
        <f>Q194-Q231</f>
        <v>61763.29999999993</v>
      </c>
      <c r="R233" s="625"/>
      <c r="S233" s="628">
        <f>L233-Q233</f>
        <v>69624.160000000091</v>
      </c>
      <c r="T233" s="510"/>
      <c r="U233" s="510"/>
      <c r="V233" s="510"/>
      <c r="W233" s="510"/>
      <c r="X233" s="510"/>
      <c r="Y233" s="510"/>
      <c r="Z233" s="510"/>
      <c r="AA233" s="510"/>
      <c r="AB233" s="510"/>
      <c r="AC233" s="510"/>
      <c r="AD233" s="510"/>
      <c r="AE233" s="510"/>
      <c r="AF233" s="510"/>
      <c r="AG233" s="510"/>
      <c r="AH233" s="510"/>
      <c r="AI233" s="510"/>
      <c r="AJ233" s="510"/>
      <c r="AK233" s="510"/>
      <c r="AL233" s="510"/>
      <c r="AM233" s="510"/>
      <c r="AN233" s="510"/>
    </row>
    <row r="234" spans="1:40" ht="15.75" customHeight="1" thickTop="1">
      <c r="B234" s="510"/>
      <c r="C234" s="510"/>
      <c r="D234" s="510"/>
      <c r="E234" s="510"/>
      <c r="F234" s="510"/>
      <c r="G234" s="510"/>
      <c r="H234" s="510"/>
      <c r="I234" s="510"/>
      <c r="J234" s="510"/>
      <c r="K234" s="510"/>
      <c r="L234" s="573"/>
      <c r="M234" s="573"/>
      <c r="N234" s="510"/>
      <c r="O234" s="573"/>
      <c r="P234" s="510"/>
      <c r="Q234" s="573"/>
      <c r="R234" s="510"/>
      <c r="S234" s="510"/>
      <c r="T234" s="510"/>
      <c r="U234" s="510"/>
      <c r="V234" s="510"/>
      <c r="W234" s="510"/>
      <c r="X234" s="510"/>
      <c r="Y234" s="510"/>
      <c r="Z234" s="510"/>
      <c r="AA234" s="510"/>
      <c r="AB234" s="510"/>
      <c r="AC234" s="510"/>
      <c r="AD234" s="510"/>
      <c r="AE234" s="510"/>
      <c r="AF234" s="510"/>
      <c r="AG234" s="510"/>
      <c r="AH234" s="510"/>
      <c r="AI234" s="510"/>
      <c r="AJ234" s="510"/>
      <c r="AK234" s="510"/>
      <c r="AL234" s="510"/>
      <c r="AM234" s="510"/>
      <c r="AN234" s="510"/>
    </row>
    <row r="235" spans="1:40" ht="15.75" customHeight="1">
      <c r="B235" s="510"/>
      <c r="C235" s="507"/>
      <c r="D235" s="507"/>
      <c r="E235" s="507"/>
      <c r="F235" s="507"/>
      <c r="G235" s="507"/>
      <c r="H235" s="507"/>
      <c r="I235" s="507"/>
      <c r="J235" s="507"/>
      <c r="K235" s="507"/>
      <c r="L235" s="657"/>
      <c r="M235" s="657"/>
      <c r="N235" s="507"/>
      <c r="O235" s="657"/>
      <c r="P235" s="507"/>
      <c r="Q235" s="657"/>
      <c r="R235" s="507"/>
      <c r="S235" s="507"/>
      <c r="T235" s="507"/>
      <c r="U235" s="507"/>
      <c r="V235" s="510"/>
      <c r="W235" s="510"/>
      <c r="X235" s="510"/>
      <c r="Y235" s="510"/>
      <c r="Z235" s="510"/>
      <c r="AA235" s="510"/>
      <c r="AB235" s="510"/>
      <c r="AC235" s="510"/>
      <c r="AD235" s="510"/>
      <c r="AE235" s="510"/>
      <c r="AF235" s="510"/>
      <c r="AG235" s="510"/>
      <c r="AH235" s="510"/>
      <c r="AI235" s="510"/>
      <c r="AJ235" s="510"/>
      <c r="AK235" s="510"/>
      <c r="AL235" s="510"/>
      <c r="AM235" s="510"/>
      <c r="AN235" s="510"/>
    </row>
    <row r="236" spans="1:40" ht="33" customHeight="1">
      <c r="B236" s="510"/>
      <c r="C236" s="635" t="str">
        <f>C1</f>
        <v>Volks</v>
      </c>
      <c r="D236" s="498"/>
      <c r="E236" s="498"/>
      <c r="F236" s="498"/>
      <c r="G236" s="498"/>
      <c r="H236" s="496"/>
      <c r="I236" s="496"/>
      <c r="J236" s="496"/>
      <c r="K236" s="500" t="s">
        <v>99</v>
      </c>
      <c r="L236" s="498"/>
      <c r="M236" s="498"/>
      <c r="N236" s="496"/>
      <c r="O236" s="496"/>
      <c r="P236" s="498"/>
      <c r="Q236" s="496"/>
      <c r="R236" s="498"/>
      <c r="S236" s="636" t="str">
        <f>$S$1</f>
        <v>Réalisé, Novembre 2024</v>
      </c>
      <c r="T236" s="498"/>
      <c r="U236" s="496"/>
      <c r="V236" s="507"/>
      <c r="W236" s="507"/>
      <c r="X236" s="507"/>
      <c r="Y236" s="507"/>
      <c r="Z236" s="507"/>
      <c r="AA236" s="507"/>
      <c r="AB236" s="507"/>
      <c r="AC236" s="507"/>
      <c r="AD236" s="507"/>
      <c r="AE236" s="507"/>
      <c r="AF236" s="507"/>
      <c r="AG236" s="507"/>
      <c r="AH236" s="507"/>
      <c r="AI236" s="507"/>
      <c r="AJ236" s="507"/>
      <c r="AK236" s="507"/>
      <c r="AL236" s="507"/>
      <c r="AM236" s="507"/>
      <c r="AN236" s="507"/>
    </row>
    <row r="237" spans="1:40" ht="24" customHeight="1" thickBot="1">
      <c r="B237" s="510"/>
      <c r="C237" s="505"/>
      <c r="D237" s="507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496"/>
      <c r="W237" s="496"/>
      <c r="X237" s="496"/>
      <c r="Y237" s="496"/>
      <c r="Z237" s="496"/>
      <c r="AA237" s="496"/>
      <c r="AB237" s="496"/>
      <c r="AC237" s="496"/>
      <c r="AD237" s="496"/>
      <c r="AE237" s="496"/>
      <c r="AF237" s="496"/>
      <c r="AG237" s="496"/>
      <c r="AH237" s="496"/>
      <c r="AI237" s="496"/>
      <c r="AJ237" s="496"/>
      <c r="AK237" s="496"/>
      <c r="AL237" s="496"/>
      <c r="AM237" s="496"/>
      <c r="AN237" s="496"/>
    </row>
    <row r="238" spans="1:40" ht="15.75" customHeight="1" thickTop="1">
      <c r="B238" s="510"/>
      <c r="C238" s="511"/>
      <c r="D238" s="512" t="s">
        <v>5</v>
      </c>
      <c r="E238" s="513"/>
      <c r="F238" s="514"/>
      <c r="G238" s="515"/>
      <c r="H238" s="513"/>
      <c r="I238" s="514"/>
      <c r="J238" s="515" t="s">
        <v>7</v>
      </c>
      <c r="K238" s="513"/>
      <c r="L238" s="514"/>
      <c r="M238" s="515" t="s">
        <v>220</v>
      </c>
      <c r="N238" s="514"/>
      <c r="O238" s="512" t="s">
        <v>8</v>
      </c>
      <c r="P238" s="513"/>
      <c r="Q238" s="514"/>
      <c r="R238" s="515" t="s">
        <v>221</v>
      </c>
      <c r="S238" s="514"/>
      <c r="T238" s="651"/>
      <c r="U238" s="510"/>
      <c r="V238" s="507"/>
      <c r="W238" s="507"/>
      <c r="X238" s="507"/>
      <c r="Y238" s="507"/>
      <c r="Z238" s="507"/>
      <c r="AA238" s="507"/>
      <c r="AB238" s="507"/>
      <c r="AC238" s="507"/>
      <c r="AD238" s="507"/>
      <c r="AE238" s="507"/>
      <c r="AF238" s="507"/>
      <c r="AG238" s="507"/>
      <c r="AH238" s="507"/>
      <c r="AI238" s="507"/>
      <c r="AJ238" s="507"/>
      <c r="AK238" s="507"/>
      <c r="AL238" s="507"/>
      <c r="AM238" s="507"/>
      <c r="AN238" s="507"/>
    </row>
    <row r="239" spans="1:40" ht="15.75" customHeight="1">
      <c r="A239" s="523" t="s">
        <v>99</v>
      </c>
      <c r="B239" s="510" t="s">
        <v>99</v>
      </c>
      <c r="C239" s="531"/>
      <c r="D239" s="575" t="s">
        <v>40</v>
      </c>
      <c r="E239" s="575" t="s">
        <v>84</v>
      </c>
      <c r="F239" s="658" t="s">
        <v>12</v>
      </c>
      <c r="G239" s="659"/>
      <c r="H239" s="575"/>
      <c r="I239" s="658"/>
      <c r="J239" s="659" t="s">
        <v>40</v>
      </c>
      <c r="K239" s="575" t="s">
        <v>84</v>
      </c>
      <c r="L239" s="658" t="s">
        <v>12</v>
      </c>
      <c r="M239" s="659" t="s">
        <v>40</v>
      </c>
      <c r="N239" s="658" t="s">
        <v>223</v>
      </c>
      <c r="O239" s="575" t="s">
        <v>40</v>
      </c>
      <c r="P239" s="575" t="s">
        <v>84</v>
      </c>
      <c r="Q239" s="658" t="s">
        <v>12</v>
      </c>
      <c r="R239" s="659" t="s">
        <v>85</v>
      </c>
      <c r="S239" s="658" t="s">
        <v>12</v>
      </c>
      <c r="T239" s="575"/>
      <c r="U239" s="510"/>
      <c r="V239" s="510"/>
      <c r="W239" s="510"/>
      <c r="X239" s="510"/>
      <c r="Y239" s="510"/>
      <c r="Z239" s="510"/>
      <c r="AA239" s="510"/>
      <c r="AB239" s="510"/>
      <c r="AC239" s="510"/>
      <c r="AD239" s="510"/>
      <c r="AE239" s="510"/>
      <c r="AF239" s="510"/>
      <c r="AG239" s="510"/>
      <c r="AH239" s="510"/>
      <c r="AI239" s="510"/>
      <c r="AJ239" s="510"/>
      <c r="AK239" s="510"/>
      <c r="AL239" s="510"/>
      <c r="AM239" s="510"/>
      <c r="AN239" s="510"/>
    </row>
    <row r="240" spans="1:40" ht="15.75" customHeight="1">
      <c r="A240" s="523" t="s">
        <v>99</v>
      </c>
      <c r="B240" s="510" t="s">
        <v>99</v>
      </c>
      <c r="C240" s="531"/>
      <c r="D240" s="575"/>
      <c r="E240" s="575"/>
      <c r="F240" s="658"/>
      <c r="G240" s="659"/>
      <c r="H240" s="575"/>
      <c r="I240" s="658"/>
      <c r="J240" s="659"/>
      <c r="K240" s="532"/>
      <c r="L240" s="534"/>
      <c r="M240" s="659"/>
      <c r="N240" s="658"/>
      <c r="O240" s="575"/>
      <c r="P240" s="575"/>
      <c r="Q240" s="658"/>
      <c r="R240" s="659"/>
      <c r="S240" s="658"/>
      <c r="T240" s="575"/>
      <c r="U240" s="510"/>
      <c r="V240" s="510"/>
      <c r="W240" s="510"/>
      <c r="X240" s="510"/>
      <c r="Y240" s="510"/>
      <c r="Z240" s="510"/>
      <c r="AA240" s="510"/>
      <c r="AB240" s="510"/>
      <c r="AC240" s="510"/>
      <c r="AD240" s="510"/>
      <c r="AE240" s="510"/>
      <c r="AF240" s="510"/>
      <c r="AG240" s="510"/>
      <c r="AH240" s="510"/>
      <c r="AI240" s="510"/>
      <c r="AJ240" s="510"/>
      <c r="AK240" s="510"/>
      <c r="AL240" s="510"/>
      <c r="AM240" s="510"/>
      <c r="AN240" s="510"/>
    </row>
    <row r="241" spans="1:40" ht="15.75" customHeight="1">
      <c r="A241" s="523" t="s">
        <v>371</v>
      </c>
      <c r="B241" s="510" t="s">
        <v>99</v>
      </c>
      <c r="C241" s="531" t="s">
        <v>100</v>
      </c>
      <c r="D241" s="699">
        <f>+INDEX('[7]Budget original'!$A$2:$AO$501,MATCH($A241,'[7]Budget original'!$A$2:$A$501,0),MATCH(D$2,'[7]Budget original'!$A$2:$AO$2,0))</f>
        <v>0</v>
      </c>
      <c r="E241" s="573">
        <f>+INDEX('[7]Budget original'!$A$2:$AO$501,MATCH($A241,'[7]Budget original'!$A$2:$A$501,0),MATCH(E$2,'[7]Budget original'!$A$2:$AO$2,0))</f>
        <v>108565.13624085431</v>
      </c>
      <c r="F241" s="573">
        <f>+INDEX('[7]Budget original'!$A$2:$AO$501,MATCH($A241,'[7]Budget original'!$A$2:$A$501,0),MATCH(F$2,'[7]Budget original'!$A$2:$AO$2,0))</f>
        <v>16284.770436128145</v>
      </c>
      <c r="G241" s="700"/>
      <c r="H241" s="573"/>
      <c r="I241" s="573"/>
      <c r="J241" s="558">
        <f>-SUMIFS([7]BV_Data_An_Cour!$O:$O,[7]BV_Data_An_Cour!$U:$U,$B241,[7]BV_Data_An_Cour!$V:$V,$C241,[7]BV_Data_An_Cour!$W:$W,J$2)</f>
        <v>3</v>
      </c>
      <c r="K241" s="532">
        <f>-SUMIFS([7]BV_Data_An_Cour!$O:$O,[7]BV_Data_An_Cour!$X:$X,"Oui",[7]BV_Data_An_Cour!$U:$U,$B241,[7]BV_Data_An_Cour!$V:$V,$C241)</f>
        <v>8391.06</v>
      </c>
      <c r="L241" s="534">
        <f>-SUMIFS([7]BV_Data_An_Cour!$O:$O,[7]BV_Data_An_Cour!$U:$U,$B241,[7]BV_Data_An_Cour!$V:$V,$C241,[7]BV_Data_An_Cour!$W:$W,$L$2)</f>
        <v>2134.2399999999998</v>
      </c>
      <c r="M241" s="577">
        <f>IFERROR((K241-E241)/E241,0)</f>
        <v>-0.92270944162604618</v>
      </c>
      <c r="N241" s="557">
        <f>L241-F241</f>
        <v>-14150.530436128145</v>
      </c>
      <c r="O241" s="558">
        <f t="array" ref="O241">+INDEX('[7]Réel 2023'!$A$2:$AO$501,MATCH($A241,'[7]Réel 2023'!$A$2:$A$501,0),MATCH(O$2,'[7]Réel 2023'!$A$2:$AO$2,0))</f>
        <v>42</v>
      </c>
      <c r="P241" s="532">
        <f t="array" ref="P241">+INDEX('[7]Réel 2023'!$A$2:$AO$501,MATCH($A241,'[7]Réel 2023'!$A$2:$A$501,0),MATCH(P$2,'[7]Réel 2023'!$A$2:$AO$2,0))</f>
        <v>66881.5</v>
      </c>
      <c r="Q241" s="534">
        <f t="array" ref="Q241">+INDEX('[7]Réel 2023'!$A$2:$AO$501,MATCH($A241,'[7]Réel 2023'!$A$2:$A$501,0),MATCH(Q$2,'[7]Réel 2023'!$A$2:$AO$2,0))</f>
        <v>11630.529999999901</v>
      </c>
      <c r="R241" s="577">
        <f>IF(O241=0,0,J241/O241)</f>
        <v>7.1428571428571425E-2</v>
      </c>
      <c r="S241" s="557">
        <f>L241-Q241</f>
        <v>-9496.2899999999008</v>
      </c>
      <c r="T241" s="575"/>
      <c r="U241" s="510"/>
      <c r="V241" s="510"/>
      <c r="W241" s="510"/>
      <c r="X241" s="510"/>
      <c r="Y241" s="510"/>
      <c r="Z241" s="510"/>
      <c r="AA241" s="510"/>
      <c r="AB241" s="510"/>
      <c r="AC241" s="510"/>
      <c r="AD241" s="510"/>
      <c r="AE241" s="510"/>
      <c r="AF241" s="510"/>
      <c r="AG241" s="510"/>
      <c r="AH241" s="510"/>
      <c r="AI241" s="510"/>
      <c r="AJ241" s="510"/>
      <c r="AK241" s="510"/>
      <c r="AL241" s="510"/>
      <c r="AM241" s="510"/>
      <c r="AN241" s="510"/>
    </row>
    <row r="242" spans="1:40" ht="15.75" customHeight="1">
      <c r="A242" s="523" t="s">
        <v>372</v>
      </c>
      <c r="B242" s="510" t="s">
        <v>99</v>
      </c>
      <c r="C242" s="531" t="s">
        <v>87</v>
      </c>
      <c r="D242" s="575"/>
      <c r="E242" s="644"/>
      <c r="F242" s="660">
        <f>IFERROR(F241/E241,0)</f>
        <v>0.15</v>
      </c>
      <c r="G242" s="531"/>
      <c r="H242" s="644"/>
      <c r="I242" s="660"/>
      <c r="J242" s="558"/>
      <c r="K242" s="510"/>
      <c r="L242" s="660">
        <f>IFERROR(L241/K241,0)</f>
        <v>0.25434688823581286</v>
      </c>
      <c r="M242" s="577"/>
      <c r="N242" s="557">
        <f>IFERROR(N241/M241,0)</f>
        <v>15335.846581553724</v>
      </c>
      <c r="O242" s="558"/>
      <c r="P242" s="510"/>
      <c r="Q242" s="660">
        <f>IFERROR(Q241/P241,0)</f>
        <v>0.17389756509647511</v>
      </c>
      <c r="R242" s="558"/>
      <c r="S242" s="557">
        <f>IFERROR(S241/R241,0)</f>
        <v>-132948.05999999863</v>
      </c>
      <c r="T242" s="575"/>
      <c r="U242" s="510"/>
      <c r="V242" s="510"/>
      <c r="W242" s="510"/>
      <c r="X242" s="510"/>
      <c r="Y242" s="510"/>
      <c r="Z242" s="510"/>
      <c r="AA242" s="510"/>
      <c r="AB242" s="510"/>
      <c r="AC242" s="510"/>
      <c r="AD242" s="510"/>
      <c r="AE242" s="510"/>
      <c r="AF242" s="510"/>
      <c r="AG242" s="510"/>
      <c r="AH242" s="510"/>
      <c r="AI242" s="510"/>
      <c r="AJ242" s="510"/>
      <c r="AK242" s="510"/>
      <c r="AL242" s="510"/>
      <c r="AM242" s="510"/>
      <c r="AN242" s="510"/>
    </row>
    <row r="243" spans="1:40" ht="15.75" customHeight="1">
      <c r="A243" s="523" t="s">
        <v>99</v>
      </c>
      <c r="B243" s="510" t="s">
        <v>99</v>
      </c>
      <c r="C243" s="531"/>
      <c r="D243" s="575"/>
      <c r="E243" s="701"/>
      <c r="F243" s="638"/>
      <c r="G243" s="659"/>
      <c r="H243" s="701"/>
      <c r="I243" s="638"/>
      <c r="J243" s="659"/>
      <c r="K243" s="575"/>
      <c r="L243" s="658"/>
      <c r="M243" s="659"/>
      <c r="N243" s="658"/>
      <c r="O243" s="659"/>
      <c r="P243" s="575"/>
      <c r="Q243" s="658"/>
      <c r="R243" s="637"/>
      <c r="S243" s="658"/>
      <c r="T243" s="575"/>
      <c r="U243" s="510"/>
      <c r="V243" s="510"/>
      <c r="W243" s="510"/>
      <c r="X243" s="510"/>
      <c r="Y243" s="510"/>
      <c r="Z243" s="510"/>
      <c r="AA243" s="510"/>
      <c r="AB243" s="510"/>
      <c r="AC243" s="510"/>
      <c r="AD243" s="510"/>
      <c r="AE243" s="510"/>
      <c r="AF243" s="510"/>
      <c r="AG243" s="510"/>
      <c r="AH243" s="510"/>
      <c r="AI243" s="510"/>
      <c r="AJ243" s="510"/>
      <c r="AK243" s="510"/>
      <c r="AL243" s="510"/>
      <c r="AM243" s="510"/>
      <c r="AN243" s="510"/>
    </row>
    <row r="244" spans="1:40" ht="15.75" customHeight="1">
      <c r="A244" s="523" t="s">
        <v>373</v>
      </c>
      <c r="B244" s="510" t="s">
        <v>99</v>
      </c>
      <c r="C244" s="518" t="s">
        <v>101</v>
      </c>
      <c r="D244" s="664">
        <f>+INDEX('[7]Budget original'!$A$2:$AO$501,MATCH($A244,'[7]Budget original'!$A$2:$A$501,0),MATCH(D$2,'[7]Budget original'!$A$2:$AO$2,0))</f>
        <v>0</v>
      </c>
      <c r="E244" s="573">
        <f>+INDEX('[7]Budget original'!$A$2:$AO$501,MATCH($A244,'[7]Budget original'!$A$2:$A$501,0),MATCH(E$2,'[7]Budget original'!$A$2:$AO$2,0))</f>
        <v>0</v>
      </c>
      <c r="F244" s="573">
        <f>+INDEX('[7]Budget original'!$A$2:$AO$501,MATCH($A244,'[7]Budget original'!$A$2:$A$501,0),MATCH(F$2,'[7]Budget original'!$A$2:$AO$2,0))</f>
        <v>0</v>
      </c>
      <c r="G244" s="702"/>
      <c r="H244" s="573"/>
      <c r="I244" s="573"/>
      <c r="J244" s="665">
        <f>SUMIFS([7]BV_Data_An_Cour!$C$1:$C$386,[7]BV_Data_An_Cour!$V$1:$V$386,$C244,[7]BV_Data_An_Cour!$U$1:$U$386,$K$236)</f>
        <v>0</v>
      </c>
      <c r="K244" s="552">
        <f>-SUMIFS([7]BV_Data_An_Cour!$O:$O,[7]BV_Data_An_Cour!$X:$X,"Oui",[7]BV_Data_An_Cour!$U:$U,$B244,[7]BV_Data_An_Cour!$V:$V,$C244)</f>
        <v>0</v>
      </c>
      <c r="L244" s="553">
        <f>-SUMIFS([7]BV_Data_An_Cour!$O:$O,[7]BV_Data_An_Cour!$U:$U,$B244,[7]BV_Data_An_Cour!$V:$V,$C244,[7]BV_Data_An_Cour!$W:$W,$L$2)</f>
        <v>0</v>
      </c>
      <c r="M244" s="669">
        <f>IFERROR((K244-E244)/E244,0)</f>
        <v>0</v>
      </c>
      <c r="N244" s="606">
        <f>L244-F244</f>
        <v>0</v>
      </c>
      <c r="O244" s="665">
        <f t="array" ref="O244">+INDEX('[7]Réel 2023'!$A$2:$AO$501,MATCH($A244,'[7]Réel 2023'!$A$2:$A$501,0),MATCH(O$2,'[7]Réel 2023'!$A$2:$AO$2,0))</f>
        <v>0</v>
      </c>
      <c r="P244" s="552">
        <f t="array" ref="P244">+INDEX('[7]Réel 2023'!$A$2:$AO$501,MATCH($A244,'[7]Réel 2023'!$A$2:$A$501,0),MATCH(P$2,'[7]Réel 2023'!$A$2:$AO$2,0))</f>
        <v>0</v>
      </c>
      <c r="Q244" s="553">
        <f t="array" ref="Q244">+INDEX('[7]Réel 2023'!$A$2:$AO$501,MATCH($A244,'[7]Réel 2023'!$A$2:$A$501,0),MATCH(Q$2,'[7]Réel 2023'!$A$2:$AO$2,0))</f>
        <v>0</v>
      </c>
      <c r="R244" s="577">
        <f>IF(O244=0,0,J244/O244)</f>
        <v>0</v>
      </c>
      <c r="S244" s="606">
        <f>L244-Q244</f>
        <v>0</v>
      </c>
      <c r="T244" s="648"/>
      <c r="U244" s="510"/>
      <c r="V244" s="510"/>
      <c r="W244" s="510"/>
      <c r="X244" s="510"/>
      <c r="Y244" s="510"/>
      <c r="Z244" s="510"/>
      <c r="AA244" s="510"/>
      <c r="AB244" s="510"/>
      <c r="AC244" s="510"/>
      <c r="AD244" s="510"/>
      <c r="AE244" s="510"/>
      <c r="AF244" s="510"/>
      <c r="AG244" s="510"/>
      <c r="AH244" s="510"/>
      <c r="AI244" s="510"/>
      <c r="AJ244" s="510"/>
      <c r="AK244" s="510"/>
      <c r="AL244" s="510"/>
      <c r="AM244" s="510"/>
      <c r="AN244" s="510"/>
    </row>
    <row r="245" spans="1:40" ht="15.75" customHeight="1">
      <c r="A245" s="523" t="s">
        <v>372</v>
      </c>
      <c r="B245" s="510" t="s">
        <v>99</v>
      </c>
      <c r="C245" s="531" t="s">
        <v>87</v>
      </c>
      <c r="D245" s="510"/>
      <c r="E245" s="644"/>
      <c r="F245" s="660" t="e">
        <f>F244/E244</f>
        <v>#DIV/0!</v>
      </c>
      <c r="G245" s="531"/>
      <c r="H245" s="644"/>
      <c r="I245" s="660"/>
      <c r="J245" s="558"/>
      <c r="K245" s="510"/>
      <c r="L245" s="660">
        <f>IFERROR(L244/K244,0)</f>
        <v>0</v>
      </c>
      <c r="M245" s="577"/>
      <c r="N245" s="557">
        <f>IFERROR(N244/F244,0)</f>
        <v>0</v>
      </c>
      <c r="O245" s="558"/>
      <c r="P245" s="510"/>
      <c r="Q245" s="660">
        <f>IFERROR(Q244/P244,0)</f>
        <v>0</v>
      </c>
      <c r="R245" s="558"/>
      <c r="S245" s="557">
        <f>IF(Q244=0,0,S244/Q244)</f>
        <v>0</v>
      </c>
      <c r="T245" s="648"/>
      <c r="U245" s="510"/>
      <c r="V245" s="510"/>
      <c r="W245" s="510"/>
      <c r="X245" s="510"/>
      <c r="Y245" s="510"/>
      <c r="Z245" s="510"/>
      <c r="AA245" s="510"/>
      <c r="AB245" s="510"/>
      <c r="AC245" s="510"/>
      <c r="AD245" s="510"/>
      <c r="AE245" s="510"/>
      <c r="AF245" s="510"/>
      <c r="AG245" s="510"/>
      <c r="AH245" s="510"/>
      <c r="AI245" s="510"/>
      <c r="AJ245" s="510"/>
      <c r="AK245" s="510"/>
      <c r="AL245" s="510"/>
      <c r="AM245" s="510"/>
      <c r="AN245" s="510"/>
    </row>
    <row r="246" spans="1:40" ht="15.75" customHeight="1">
      <c r="A246" s="523" t="s">
        <v>99</v>
      </c>
      <c r="B246" s="510" t="s">
        <v>99</v>
      </c>
      <c r="C246" s="524"/>
      <c r="D246" s="607"/>
      <c r="E246" s="703"/>
      <c r="F246" s="662"/>
      <c r="G246" s="524"/>
      <c r="H246" s="703"/>
      <c r="I246" s="662"/>
      <c r="J246" s="663"/>
      <c r="K246" s="704"/>
      <c r="L246" s="662"/>
      <c r="M246" s="581"/>
      <c r="N246" s="582"/>
      <c r="O246" s="663"/>
      <c r="P246" s="704"/>
      <c r="Q246" s="662"/>
      <c r="R246" s="663"/>
      <c r="S246" s="582"/>
      <c r="T246" s="648"/>
      <c r="U246" s="510"/>
      <c r="V246" s="510"/>
      <c r="W246" s="510"/>
      <c r="X246" s="510"/>
      <c r="Y246" s="510"/>
      <c r="Z246" s="510"/>
      <c r="AA246" s="510"/>
      <c r="AB246" s="510"/>
      <c r="AC246" s="510"/>
      <c r="AD246" s="510"/>
      <c r="AE246" s="510"/>
      <c r="AF246" s="510"/>
      <c r="AG246" s="510"/>
      <c r="AH246" s="510"/>
      <c r="AI246" s="510"/>
      <c r="AJ246" s="510"/>
      <c r="AK246" s="510"/>
      <c r="AL246" s="510"/>
      <c r="AM246" s="510"/>
      <c r="AN246" s="510"/>
    </row>
    <row r="247" spans="1:40" ht="15.75" customHeight="1">
      <c r="A247" s="523" t="s">
        <v>374</v>
      </c>
      <c r="B247" s="510" t="s">
        <v>99</v>
      </c>
      <c r="C247" s="518" t="s">
        <v>102</v>
      </c>
      <c r="D247" s="664">
        <v>0</v>
      </c>
      <c r="E247" s="573">
        <v>0</v>
      </c>
      <c r="F247" s="573">
        <v>0</v>
      </c>
      <c r="G247" s="665"/>
      <c r="H247" s="573"/>
      <c r="I247" s="573"/>
      <c r="J247" s="665">
        <f>SUMIFS([7]BV_Data_An_Cour!$C$1:$C$386,[7]BV_Data_An_Cour!$V$1:$V$386,$C247,[7]BV_Data_An_Cour!$U$1:$U$386,$K$236)</f>
        <v>0</v>
      </c>
      <c r="K247" s="532">
        <f>-SUMIFS([7]BV_Data_An_Cour!$O:$O,[7]BV_Data_An_Cour!$X:$X,"Oui",[7]BV_Data_An_Cour!$U:$U,$B247,[7]BV_Data_An_Cour!$V:$V,$C247)</f>
        <v>0</v>
      </c>
      <c r="L247" s="534">
        <f>-SUMIFS([7]BV_Data_An_Cour!$O:$O,[7]BV_Data_An_Cour!$U:$U,$B247,[7]BV_Data_An_Cour!$V:$V,$C247,[7]BV_Data_An_Cour!$W:$W,$L$2)</f>
        <v>0</v>
      </c>
      <c r="M247" s="577">
        <f>IFERROR((K247-E247)/E247,0)</f>
        <v>0</v>
      </c>
      <c r="N247" s="606">
        <f>L247-F247</f>
        <v>0</v>
      </c>
      <c r="O247" s="665">
        <v>0</v>
      </c>
      <c r="P247" s="532">
        <v>0</v>
      </c>
      <c r="Q247" s="534">
        <v>0</v>
      </c>
      <c r="R247" s="577">
        <f>IF(O247=0,0,J247/O247)</f>
        <v>0</v>
      </c>
      <c r="S247" s="557">
        <f>L247-Q247</f>
        <v>0</v>
      </c>
      <c r="T247" s="648"/>
      <c r="U247" s="510"/>
      <c r="V247" s="510"/>
      <c r="W247" s="510"/>
      <c r="X247" s="510"/>
      <c r="Y247" s="510"/>
      <c r="Z247" s="510"/>
      <c r="AA247" s="510"/>
      <c r="AB247" s="510"/>
      <c r="AC247" s="510"/>
      <c r="AD247" s="510"/>
      <c r="AE247" s="510"/>
      <c r="AF247" s="510"/>
      <c r="AG247" s="510"/>
      <c r="AH247" s="510"/>
      <c r="AI247" s="510"/>
      <c r="AJ247" s="510"/>
      <c r="AK247" s="510"/>
      <c r="AL247" s="510"/>
      <c r="AM247" s="510"/>
      <c r="AN247" s="510"/>
    </row>
    <row r="248" spans="1:40" ht="15.75" customHeight="1">
      <c r="A248" s="523" t="s">
        <v>372</v>
      </c>
      <c r="B248" s="510" t="s">
        <v>99</v>
      </c>
      <c r="C248" s="531" t="s">
        <v>87</v>
      </c>
      <c r="D248" s="510"/>
      <c r="E248" s="510"/>
      <c r="F248" s="660" t="e">
        <f>F247/E247</f>
        <v>#DIV/0!</v>
      </c>
      <c r="G248" s="531"/>
      <c r="H248" s="510"/>
      <c r="I248" s="660"/>
      <c r="J248" s="531"/>
      <c r="K248" s="510"/>
      <c r="L248" s="660">
        <f>IFERROR(L247/K247,0)</f>
        <v>0</v>
      </c>
      <c r="M248" s="548"/>
      <c r="N248" s="549">
        <f>IF(L247=0,0,N247/L247)</f>
        <v>0</v>
      </c>
      <c r="O248" s="531"/>
      <c r="P248" s="510"/>
      <c r="Q248" s="660">
        <f>IFERROR(Q247/P247,0)</f>
        <v>0</v>
      </c>
      <c r="R248" s="548"/>
      <c r="S248" s="549">
        <f>IF(Q247=0,0,S247/Q247)</f>
        <v>0</v>
      </c>
      <c r="T248" s="648"/>
      <c r="U248" s="510"/>
      <c r="V248" s="510"/>
      <c r="W248" s="510"/>
      <c r="X248" s="510"/>
      <c r="Y248" s="510"/>
      <c r="Z248" s="510"/>
      <c r="AA248" s="510"/>
      <c r="AB248" s="510"/>
      <c r="AC248" s="510"/>
      <c r="AD248" s="510"/>
      <c r="AE248" s="510"/>
      <c r="AF248" s="510"/>
      <c r="AG248" s="510"/>
      <c r="AH248" s="510"/>
      <c r="AI248" s="510"/>
      <c r="AJ248" s="510"/>
      <c r="AK248" s="510"/>
      <c r="AL248" s="510"/>
      <c r="AM248" s="510"/>
      <c r="AN248" s="510"/>
    </row>
    <row r="249" spans="1:40" ht="15.75" customHeight="1" thickBot="1">
      <c r="A249" s="523" t="s">
        <v>99</v>
      </c>
      <c r="B249" s="510" t="s">
        <v>99</v>
      </c>
      <c r="C249" s="531"/>
      <c r="D249" s="510"/>
      <c r="E249" s="510"/>
      <c r="F249" s="660"/>
      <c r="G249" s="531"/>
      <c r="H249" s="510"/>
      <c r="I249" s="660"/>
      <c r="J249" s="531"/>
      <c r="K249" s="510"/>
      <c r="L249" s="660"/>
      <c r="M249" s="548"/>
      <c r="N249" s="549"/>
      <c r="O249" s="531"/>
      <c r="P249" s="510"/>
      <c r="Q249" s="660"/>
      <c r="R249" s="548"/>
      <c r="S249" s="549"/>
      <c r="T249" s="648"/>
      <c r="U249" s="510"/>
      <c r="V249" s="510"/>
      <c r="W249" s="510"/>
      <c r="X249" s="510"/>
      <c r="Y249" s="510"/>
      <c r="Z249" s="510"/>
      <c r="AA249" s="510"/>
      <c r="AB249" s="510"/>
      <c r="AC249" s="510"/>
      <c r="AD249" s="510"/>
      <c r="AE249" s="510"/>
      <c r="AF249" s="510"/>
      <c r="AG249" s="510"/>
      <c r="AH249" s="510"/>
      <c r="AI249" s="510"/>
      <c r="AJ249" s="510"/>
      <c r="AK249" s="510"/>
      <c r="AL249" s="510"/>
      <c r="AM249" s="510"/>
      <c r="AN249" s="510"/>
    </row>
    <row r="250" spans="1:40" ht="15.75" customHeight="1" thickTop="1">
      <c r="A250" s="523" t="s">
        <v>375</v>
      </c>
      <c r="B250" s="510" t="s">
        <v>99</v>
      </c>
      <c r="C250" s="559" t="s">
        <v>96</v>
      </c>
      <c r="D250" s="560"/>
      <c r="E250" s="560">
        <f>E244+E247+E241</f>
        <v>108565.13624085431</v>
      </c>
      <c r="F250" s="562">
        <f>F244+F247+F241</f>
        <v>16284.770436128145</v>
      </c>
      <c r="G250" s="563"/>
      <c r="H250" s="560"/>
      <c r="I250" s="562"/>
      <c r="J250" s="563"/>
      <c r="K250" s="560">
        <f t="shared" ref="K250:L250" si="48">K244+K247+K241</f>
        <v>8391.06</v>
      </c>
      <c r="L250" s="562">
        <f t="shared" si="48"/>
        <v>2134.2399999999998</v>
      </c>
      <c r="M250" s="697">
        <f>L251-F251</f>
        <v>0.10434688823581287</v>
      </c>
      <c r="N250" s="562">
        <f>L250-F250</f>
        <v>-14150.530436128145</v>
      </c>
      <c r="O250" s="563"/>
      <c r="P250" s="560">
        <f t="shared" ref="P250:Q250" si="49">P244+P247+P241</f>
        <v>66881.5</v>
      </c>
      <c r="Q250" s="562">
        <f t="shared" si="49"/>
        <v>11630.529999999901</v>
      </c>
      <c r="R250" s="705">
        <f>L251-Q251</f>
        <v>8.0449323139337753E-2</v>
      </c>
      <c r="S250" s="562">
        <f>L250-Q250</f>
        <v>-9496.2899999999008</v>
      </c>
      <c r="T250" s="648"/>
      <c r="U250" s="510"/>
      <c r="V250" s="510"/>
      <c r="W250" s="510"/>
      <c r="X250" s="510"/>
      <c r="Y250" s="510"/>
      <c r="Z250" s="510"/>
      <c r="AA250" s="510"/>
      <c r="AB250" s="510"/>
      <c r="AC250" s="510"/>
      <c r="AD250" s="510"/>
      <c r="AE250" s="510"/>
      <c r="AF250" s="510"/>
      <c r="AG250" s="510"/>
      <c r="AH250" s="510"/>
      <c r="AI250" s="510"/>
      <c r="AJ250" s="510"/>
      <c r="AK250" s="510"/>
      <c r="AL250" s="510"/>
      <c r="AM250" s="510"/>
      <c r="AN250" s="510"/>
    </row>
    <row r="251" spans="1:40" ht="23.25" customHeight="1" thickBot="1">
      <c r="A251" s="523" t="s">
        <v>99</v>
      </c>
      <c r="B251" s="510" t="s">
        <v>99</v>
      </c>
      <c r="C251" s="564"/>
      <c r="D251" s="565"/>
      <c r="E251" s="565"/>
      <c r="F251" s="570">
        <f>F250/E250</f>
        <v>0.15</v>
      </c>
      <c r="G251" s="564"/>
      <c r="H251" s="565"/>
      <c r="I251" s="570"/>
      <c r="J251" s="564"/>
      <c r="K251" s="565"/>
      <c r="L251" s="570">
        <f>IF(K250=0,0,L250/K250)</f>
        <v>0.25434688823581286</v>
      </c>
      <c r="M251" s="569"/>
      <c r="N251" s="570">
        <f>N250/F250</f>
        <v>-0.86894257991717594</v>
      </c>
      <c r="O251" s="564"/>
      <c r="P251" s="565"/>
      <c r="Q251" s="570">
        <f>Q250/P250</f>
        <v>0.17389756509647511</v>
      </c>
      <c r="R251" s="569"/>
      <c r="S251" s="570">
        <f>S250/Q250</f>
        <v>-0.81649675466208183</v>
      </c>
      <c r="T251" s="648"/>
      <c r="U251" s="510"/>
      <c r="V251" s="510"/>
      <c r="W251" s="510"/>
      <c r="X251" s="510"/>
      <c r="Y251" s="510"/>
      <c r="Z251" s="510"/>
      <c r="AA251" s="510"/>
      <c r="AB251" s="510"/>
      <c r="AC251" s="510"/>
      <c r="AD251" s="510"/>
      <c r="AE251" s="510"/>
      <c r="AF251" s="510"/>
      <c r="AG251" s="510"/>
      <c r="AH251" s="510"/>
      <c r="AI251" s="510"/>
      <c r="AJ251" s="510"/>
      <c r="AK251" s="510"/>
      <c r="AL251" s="510"/>
      <c r="AM251" s="510"/>
      <c r="AN251" s="510"/>
    </row>
    <row r="252" spans="1:40" ht="15.75" customHeight="1" thickTop="1">
      <c r="A252" s="523" t="s">
        <v>99</v>
      </c>
      <c r="B252" s="510" t="s">
        <v>99</v>
      </c>
      <c r="C252" s="531"/>
      <c r="D252" s="510"/>
      <c r="E252" s="510"/>
      <c r="F252" s="557"/>
      <c r="G252" s="531"/>
      <c r="H252" s="510"/>
      <c r="I252" s="557"/>
      <c r="J252" s="531"/>
      <c r="K252" s="510"/>
      <c r="L252" s="541"/>
      <c r="M252" s="531"/>
      <c r="N252" s="541"/>
      <c r="O252" s="531"/>
      <c r="P252" s="510"/>
      <c r="Q252" s="541"/>
      <c r="R252" s="531"/>
      <c r="S252" s="541"/>
      <c r="T252" s="510"/>
      <c r="U252" s="510"/>
      <c r="V252" s="510"/>
      <c r="W252" s="510"/>
      <c r="X252" s="510"/>
      <c r="Y252" s="510"/>
      <c r="Z252" s="510"/>
      <c r="AA252" s="510"/>
      <c r="AB252" s="510"/>
      <c r="AC252" s="510"/>
      <c r="AD252" s="510"/>
      <c r="AE252" s="510"/>
      <c r="AF252" s="510"/>
      <c r="AG252" s="510"/>
      <c r="AH252" s="510"/>
      <c r="AI252" s="510"/>
      <c r="AJ252" s="510"/>
      <c r="AK252" s="510"/>
      <c r="AL252" s="510"/>
      <c r="AM252" s="510"/>
      <c r="AN252" s="510"/>
    </row>
    <row r="253" spans="1:40" ht="15.75" customHeight="1">
      <c r="A253" s="523" t="s">
        <v>376</v>
      </c>
      <c r="B253" s="510" t="s">
        <v>99</v>
      </c>
      <c r="C253" s="574" t="s">
        <v>30</v>
      </c>
      <c r="D253" s="510"/>
      <c r="E253" s="510"/>
      <c r="F253" s="557"/>
      <c r="G253" s="531"/>
      <c r="H253" s="510"/>
      <c r="I253" s="557"/>
      <c r="J253" s="531"/>
      <c r="K253" s="510"/>
      <c r="L253" s="541"/>
      <c r="M253" s="531"/>
      <c r="N253" s="541"/>
      <c r="O253" s="531"/>
      <c r="P253" s="510"/>
      <c r="Q253" s="541"/>
      <c r="R253" s="531"/>
      <c r="S253" s="541"/>
      <c r="T253" s="510"/>
      <c r="U253" s="510"/>
      <c r="V253" s="510"/>
      <c r="W253" s="510"/>
      <c r="X253" s="510"/>
      <c r="Y253" s="510"/>
      <c r="Z253" s="510"/>
      <c r="AA253" s="510"/>
      <c r="AB253" s="510"/>
      <c r="AC253" s="510"/>
      <c r="AD253" s="510"/>
      <c r="AE253" s="510"/>
      <c r="AF253" s="510"/>
      <c r="AG253" s="510"/>
      <c r="AH253" s="510"/>
      <c r="AI253" s="510"/>
      <c r="AJ253" s="510"/>
      <c r="AK253" s="510"/>
      <c r="AL253" s="510"/>
      <c r="AM253" s="510"/>
      <c r="AN253" s="510"/>
    </row>
    <row r="254" spans="1:40" ht="15.75" customHeight="1">
      <c r="A254" s="523" t="s">
        <v>377</v>
      </c>
      <c r="B254" s="510" t="s">
        <v>99</v>
      </c>
      <c r="C254" s="600" t="s">
        <v>41</v>
      </c>
      <c r="D254" s="510"/>
      <c r="E254" s="510"/>
      <c r="F254" s="532">
        <f>+INDEX('[7]Budget original'!$A$2:$AO$501,MATCH($A254,'[7]Budget original'!$A$2:$A$501,0),MATCH(F$2,'[7]Budget original'!$A$2:$AO$2,0))</f>
        <v>371.65625000000006</v>
      </c>
      <c r="G254" s="531"/>
      <c r="H254" s="510"/>
      <c r="I254" s="532"/>
      <c r="J254" s="531"/>
      <c r="K254" s="510"/>
      <c r="L254" s="534">
        <f>SUMIFS([7]BV_Data_An_Cour!$O:$O,[7]BV_Data_An_Cour!$U:$U,$B254,[7]BV_Data_An_Cour!$V:$V,$C254,[7]BV_Data_An_Cour!$W:$W,$L$2)</f>
        <v>901.88</v>
      </c>
      <c r="M254" s="531"/>
      <c r="N254" s="557">
        <f t="shared" ref="N254:N284" si="50">L254-F254</f>
        <v>530.22374999999988</v>
      </c>
      <c r="O254" s="531"/>
      <c r="P254" s="510"/>
      <c r="Q254" s="534">
        <f t="array" ref="Q254">+INDEX('[7]Réel 2023'!$A$2:$AO$501,MATCH($A254,'[7]Réel 2023'!$A$2:$A$501,0),MATCH(Q$2,'[7]Réel 2023'!$A$2:$AO$2,0))</f>
        <v>901.88</v>
      </c>
      <c r="R254" s="531"/>
      <c r="S254" s="534">
        <f t="shared" ref="S254:S285" si="51">L254-Q254</f>
        <v>0</v>
      </c>
      <c r="T254" s="510"/>
      <c r="U254" s="510"/>
      <c r="V254" s="510"/>
      <c r="W254" s="510"/>
      <c r="X254" s="510"/>
      <c r="Y254" s="510"/>
      <c r="Z254" s="510"/>
      <c r="AA254" s="510"/>
      <c r="AB254" s="510"/>
      <c r="AC254" s="510"/>
      <c r="AD254" s="510"/>
      <c r="AE254" s="510"/>
      <c r="AF254" s="510"/>
      <c r="AG254" s="510"/>
      <c r="AH254" s="510"/>
      <c r="AI254" s="510"/>
      <c r="AJ254" s="510"/>
      <c r="AK254" s="510"/>
      <c r="AL254" s="510"/>
      <c r="AM254" s="510"/>
      <c r="AN254" s="510"/>
    </row>
    <row r="255" spans="1:40" ht="15.75" customHeight="1">
      <c r="A255" s="523" t="s">
        <v>378</v>
      </c>
      <c r="B255" s="510" t="s">
        <v>99</v>
      </c>
      <c r="C255" s="602" t="s">
        <v>42</v>
      </c>
      <c r="D255" s="584"/>
      <c r="E255" s="510"/>
      <c r="F255" s="526">
        <f>+INDEX('[7]Budget original'!$A$2:$AO$501,MATCH($A255,'[7]Budget original'!$A$2:$A$501,0),MATCH(F$2,'[7]Budget original'!$A$2:$AO$2,0))</f>
        <v>5749.688269230769</v>
      </c>
      <c r="G255" s="585"/>
      <c r="H255" s="510"/>
      <c r="I255" s="526"/>
      <c r="J255" s="531"/>
      <c r="K255" s="510"/>
      <c r="L255" s="534">
        <f>SUMIFS([7]BV_Data_An_Cour!$O:$O,[7]BV_Data_An_Cour!$U:$U,$B255,[7]BV_Data_An_Cour!$V:$V,$C255,[7]BV_Data_An_Cour!$W:$W,$L$2)</f>
        <v>5141.84</v>
      </c>
      <c r="M255" s="531"/>
      <c r="N255" s="557">
        <f t="shared" si="50"/>
        <v>-607.84826923076889</v>
      </c>
      <c r="O255" s="531"/>
      <c r="P255" s="510"/>
      <c r="Q255" s="534">
        <f t="array" ref="Q255">+INDEX('[7]Réel 2023'!$A$2:$AO$501,MATCH($A255,'[7]Réel 2023'!$A$2:$A$501,0),MATCH(Q$2,'[7]Réel 2023'!$A$2:$AO$2,0))</f>
        <v>0</v>
      </c>
      <c r="R255" s="531"/>
      <c r="S255" s="557">
        <f t="shared" si="51"/>
        <v>5141.84</v>
      </c>
      <c r="T255" s="510"/>
      <c r="U255" s="510"/>
      <c r="V255" s="510"/>
      <c r="W255" s="510"/>
      <c r="X255" s="510"/>
      <c r="Y255" s="510"/>
      <c r="Z255" s="510"/>
      <c r="AA255" s="510"/>
      <c r="AB255" s="510"/>
      <c r="AC255" s="510"/>
      <c r="AD255" s="510"/>
      <c r="AE255" s="510"/>
      <c r="AF255" s="510"/>
      <c r="AG255" s="510"/>
      <c r="AH255" s="510"/>
      <c r="AI255" s="510"/>
      <c r="AJ255" s="510"/>
      <c r="AK255" s="510"/>
      <c r="AL255" s="510"/>
      <c r="AM255" s="510"/>
      <c r="AN255" s="510"/>
    </row>
    <row r="256" spans="1:40" ht="15.75" customHeight="1">
      <c r="A256" s="523" t="s">
        <v>379</v>
      </c>
      <c r="B256" s="510" t="s">
        <v>99</v>
      </c>
      <c r="C256" s="600" t="s">
        <v>43</v>
      </c>
      <c r="D256" s="603"/>
      <c r="E256" s="604"/>
      <c r="F256" s="532">
        <f>+INDEX('[7]Budget original'!$A$2:$AO$501,MATCH($A256,'[7]Budget original'!$A$2:$A$501,0),MATCH(F$2,'[7]Budget original'!$A$2:$AO$2,0))</f>
        <v>21.91346153846154</v>
      </c>
      <c r="G256" s="605"/>
      <c r="H256" s="604"/>
      <c r="I256" s="532"/>
      <c r="J256" s="518"/>
      <c r="K256" s="604"/>
      <c r="L256" s="553">
        <f>SUMIFS([7]BV_Data_An_Cour!$O:$O,[7]BV_Data_An_Cour!$U:$U,$B256,[7]BV_Data_An_Cour!$V:$V,$C256,[7]BV_Data_An_Cour!$W:$W,$L$2)</f>
        <v>0.08</v>
      </c>
      <c r="M256" s="518"/>
      <c r="N256" s="606">
        <f t="shared" si="50"/>
        <v>-21.833461538461542</v>
      </c>
      <c r="O256" s="518"/>
      <c r="P256" s="604"/>
      <c r="Q256" s="553">
        <f t="array" ref="Q256">+INDEX('[7]Réel 2023'!$A$2:$AO$501,MATCH($A256,'[7]Réel 2023'!$A$2:$A$501,0),MATCH(Q$2,'[7]Réel 2023'!$A$2:$AO$2,0))</f>
        <v>0.08</v>
      </c>
      <c r="R256" s="518"/>
      <c r="S256" s="606">
        <f t="shared" si="51"/>
        <v>0</v>
      </c>
      <c r="T256" s="510"/>
      <c r="U256" s="510"/>
      <c r="V256" s="510"/>
      <c r="W256" s="510"/>
      <c r="X256" s="510"/>
      <c r="Y256" s="510"/>
      <c r="Z256" s="510"/>
      <c r="AA256" s="510"/>
      <c r="AB256" s="510"/>
      <c r="AC256" s="510"/>
      <c r="AD256" s="510"/>
      <c r="AE256" s="510"/>
      <c r="AF256" s="510"/>
      <c r="AG256" s="510"/>
      <c r="AH256" s="510"/>
      <c r="AI256" s="510"/>
      <c r="AJ256" s="510"/>
      <c r="AK256" s="510"/>
      <c r="AL256" s="510"/>
      <c r="AM256" s="510"/>
      <c r="AN256" s="510"/>
    </row>
    <row r="257" spans="1:40" ht="15.75" customHeight="1">
      <c r="A257" s="523" t="s">
        <v>380</v>
      </c>
      <c r="B257" s="510" t="s">
        <v>99</v>
      </c>
      <c r="C257" s="600" t="s">
        <v>44</v>
      </c>
      <c r="D257" s="584"/>
      <c r="E257" s="510"/>
      <c r="F257" s="532">
        <f>+INDEX('[7]Budget original'!$A$2:$AO$501,MATCH($A257,'[7]Budget original'!$A$2:$A$501,0),MATCH(F$2,'[7]Budget original'!$A$2:$AO$2,0))</f>
        <v>0</v>
      </c>
      <c r="G257" s="585"/>
      <c r="H257" s="510"/>
      <c r="I257" s="532"/>
      <c r="J257" s="531"/>
      <c r="K257" s="510"/>
      <c r="L257" s="534">
        <f>SUMIFS([7]BV_Data_An_Cour!$O:$O,[7]BV_Data_An_Cour!$U:$U,$B257,[7]BV_Data_An_Cour!$V:$V,$C257,[7]BV_Data_An_Cour!$W:$W,$L$2)</f>
        <v>0</v>
      </c>
      <c r="M257" s="531"/>
      <c r="N257" s="557">
        <f t="shared" si="50"/>
        <v>0</v>
      </c>
      <c r="O257" s="531"/>
      <c r="P257" s="510"/>
      <c r="Q257" s="534">
        <f t="array" ref="Q257">+INDEX('[7]Réel 2023'!$A$2:$AO$501,MATCH($A257,'[7]Réel 2023'!$A$2:$A$501,0),MATCH(Q$2,'[7]Réel 2023'!$A$2:$AO$2,0))</f>
        <v>4680.32</v>
      </c>
      <c r="R257" s="531"/>
      <c r="S257" s="557">
        <f t="shared" si="51"/>
        <v>-4680.32</v>
      </c>
      <c r="T257" s="510"/>
      <c r="U257" s="510"/>
      <c r="V257" s="510"/>
      <c r="W257" s="510"/>
      <c r="X257" s="510"/>
      <c r="Y257" s="510"/>
      <c r="Z257" s="510"/>
      <c r="AA257" s="510"/>
      <c r="AB257" s="510"/>
      <c r="AC257" s="510"/>
      <c r="AD257" s="510"/>
      <c r="AE257" s="510"/>
      <c r="AF257" s="510"/>
      <c r="AG257" s="510"/>
      <c r="AH257" s="510"/>
      <c r="AI257" s="510"/>
      <c r="AJ257" s="510"/>
      <c r="AK257" s="510"/>
      <c r="AL257" s="510"/>
      <c r="AM257" s="510"/>
      <c r="AN257" s="510"/>
    </row>
    <row r="258" spans="1:40" ht="15.75" hidden="1" customHeight="1">
      <c r="A258" s="523" t="s">
        <v>381</v>
      </c>
      <c r="B258" s="510" t="s">
        <v>99</v>
      </c>
      <c r="C258" s="531" t="s">
        <v>20</v>
      </c>
      <c r="D258" s="584"/>
      <c r="E258" s="510"/>
      <c r="F258" s="532">
        <f>+INDEX('[7]Budget original'!$A$2:$AO$501,MATCH($A258,'[7]Budget original'!$A$2:$A$501,0),MATCH(F$2,'[7]Budget original'!$A$2:$AO$2,0))</f>
        <v>0</v>
      </c>
      <c r="G258" s="585"/>
      <c r="H258" s="510"/>
      <c r="I258" s="532"/>
      <c r="J258" s="531"/>
      <c r="K258" s="510"/>
      <c r="L258" s="534">
        <f>SUMIFS([7]BV_Data_An_Cour!$O:$O,[7]BV_Data_An_Cour!$U:$U,$B258,[7]BV_Data_An_Cour!$V:$V,$C258,[7]BV_Data_An_Cour!$W:$W,$L$2)</f>
        <v>0</v>
      </c>
      <c r="M258" s="531"/>
      <c r="N258" s="557">
        <f t="shared" si="50"/>
        <v>0</v>
      </c>
      <c r="O258" s="531"/>
      <c r="P258" s="510"/>
      <c r="Q258" s="534">
        <f t="array" ref="Q258">+INDEX('[7]Réel 2023'!$A$2:$AO$501,MATCH($A258,'[7]Réel 2023'!$A$2:$A$501,0),MATCH(Q$2,'[7]Réel 2023'!$A$2:$AO$2,0))</f>
        <v>0</v>
      </c>
      <c r="R258" s="531"/>
      <c r="S258" s="557">
        <f t="shared" si="51"/>
        <v>0</v>
      </c>
      <c r="T258" s="510"/>
      <c r="U258" s="510"/>
      <c r="V258" s="510"/>
      <c r="W258" s="510"/>
      <c r="X258" s="510"/>
      <c r="Y258" s="510"/>
      <c r="Z258" s="510"/>
      <c r="AA258" s="510"/>
      <c r="AB258" s="510"/>
      <c r="AC258" s="510"/>
      <c r="AD258" s="510"/>
      <c r="AE258" s="510"/>
      <c r="AF258" s="510"/>
      <c r="AG258" s="510"/>
      <c r="AH258" s="510"/>
      <c r="AI258" s="510"/>
      <c r="AJ258" s="510"/>
      <c r="AK258" s="510"/>
      <c r="AL258" s="510"/>
      <c r="AM258" s="510"/>
      <c r="AN258" s="510"/>
    </row>
    <row r="259" spans="1:40" ht="15.75" hidden="1" customHeight="1">
      <c r="A259" s="523" t="s">
        <v>381</v>
      </c>
      <c r="B259" s="510" t="s">
        <v>99</v>
      </c>
      <c r="C259" s="531" t="s">
        <v>20</v>
      </c>
      <c r="D259" s="584"/>
      <c r="E259" s="510"/>
      <c r="F259" s="532">
        <f>+INDEX('[7]Budget original'!$A$2:$AO$501,MATCH($A259,'[7]Budget original'!$A$2:$A$501,0),MATCH(F$2,'[7]Budget original'!$A$2:$AO$2,0))</f>
        <v>0</v>
      </c>
      <c r="G259" s="585"/>
      <c r="H259" s="510"/>
      <c r="I259" s="532"/>
      <c r="J259" s="531"/>
      <c r="K259" s="510"/>
      <c r="L259" s="534">
        <f>SUMIFS([7]BV_Data_An_Cour!$O:$O,[7]BV_Data_An_Cour!$U:$U,$B259,[7]BV_Data_An_Cour!$V:$V,$C259,[7]BV_Data_An_Cour!$W:$W,$L$2)</f>
        <v>0</v>
      </c>
      <c r="M259" s="531"/>
      <c r="N259" s="557">
        <f t="shared" si="50"/>
        <v>0</v>
      </c>
      <c r="O259" s="531"/>
      <c r="P259" s="510"/>
      <c r="Q259" s="534">
        <f t="array" ref="Q259">+INDEX('[7]Réel 2023'!$A$2:$AO$501,MATCH($A259,'[7]Réel 2023'!$A$2:$A$501,0),MATCH(Q$2,'[7]Réel 2023'!$A$2:$AO$2,0))</f>
        <v>0</v>
      </c>
      <c r="R259" s="531"/>
      <c r="S259" s="557">
        <f t="shared" si="51"/>
        <v>0</v>
      </c>
      <c r="T259" s="510"/>
      <c r="U259" s="510"/>
      <c r="V259" s="510"/>
      <c r="W259" s="510"/>
      <c r="X259" s="510"/>
      <c r="Y259" s="510"/>
      <c r="Z259" s="510"/>
      <c r="AA259" s="510"/>
      <c r="AB259" s="510"/>
      <c r="AC259" s="510"/>
      <c r="AD259" s="510"/>
      <c r="AE259" s="510"/>
      <c r="AF259" s="510"/>
      <c r="AG259" s="510"/>
      <c r="AH259" s="510"/>
      <c r="AI259" s="510"/>
      <c r="AJ259" s="510"/>
      <c r="AK259" s="510"/>
      <c r="AL259" s="510"/>
      <c r="AM259" s="510"/>
      <c r="AN259" s="510"/>
    </row>
    <row r="260" spans="1:40" ht="15.75" hidden="1" customHeight="1">
      <c r="A260" s="523" t="s">
        <v>381</v>
      </c>
      <c r="B260" s="510" t="s">
        <v>99</v>
      </c>
      <c r="C260" s="531" t="s">
        <v>20</v>
      </c>
      <c r="D260" s="584"/>
      <c r="E260" s="510"/>
      <c r="F260" s="532">
        <f>+INDEX('[7]Budget original'!$A$2:$AO$501,MATCH($A260,'[7]Budget original'!$A$2:$A$501,0),MATCH(F$2,'[7]Budget original'!$A$2:$AO$2,0))</f>
        <v>0</v>
      </c>
      <c r="G260" s="585"/>
      <c r="H260" s="510"/>
      <c r="I260" s="532"/>
      <c r="J260" s="531"/>
      <c r="K260" s="510"/>
      <c r="L260" s="534">
        <f>SUMIFS([7]BV_Data_An_Cour!$O:$O,[7]BV_Data_An_Cour!$U:$U,$B260,[7]BV_Data_An_Cour!$V:$V,$C260,[7]BV_Data_An_Cour!$W:$W,$L$2)</f>
        <v>0</v>
      </c>
      <c r="M260" s="531"/>
      <c r="N260" s="557">
        <f t="shared" si="50"/>
        <v>0</v>
      </c>
      <c r="O260" s="531"/>
      <c r="P260" s="510"/>
      <c r="Q260" s="534">
        <f t="array" ref="Q260">+INDEX('[7]Réel 2023'!$A$2:$AO$501,MATCH($A260,'[7]Réel 2023'!$A$2:$A$501,0),MATCH(Q$2,'[7]Réel 2023'!$A$2:$AO$2,0))</f>
        <v>0</v>
      </c>
      <c r="R260" s="531"/>
      <c r="S260" s="557">
        <f t="shared" si="51"/>
        <v>0</v>
      </c>
      <c r="T260" s="510"/>
      <c r="U260" s="510"/>
      <c r="V260" s="510"/>
      <c r="W260" s="510"/>
      <c r="X260" s="510"/>
      <c r="Y260" s="510"/>
      <c r="Z260" s="510"/>
      <c r="AA260" s="510"/>
      <c r="AB260" s="510"/>
      <c r="AC260" s="510"/>
      <c r="AD260" s="510"/>
      <c r="AE260" s="510"/>
      <c r="AF260" s="510"/>
      <c r="AG260" s="510"/>
      <c r="AH260" s="510"/>
      <c r="AI260" s="510"/>
      <c r="AJ260" s="510"/>
      <c r="AK260" s="510"/>
      <c r="AL260" s="510"/>
      <c r="AM260" s="510"/>
      <c r="AN260" s="510"/>
    </row>
    <row r="261" spans="1:40" ht="15.75" customHeight="1">
      <c r="A261" s="523" t="s">
        <v>382</v>
      </c>
      <c r="B261" s="510" t="s">
        <v>99</v>
      </c>
      <c r="C261" s="602" t="s">
        <v>45</v>
      </c>
      <c r="D261" s="584"/>
      <c r="E261" s="510"/>
      <c r="F261" s="526">
        <f>+INDEX('[7]Budget original'!$A$2:$AO$501,MATCH($A261,'[7]Budget original'!$A$2:$A$501,0),MATCH(F$2,'[7]Budget original'!$A$2:$AO$2,0))</f>
        <v>731.02603081730774</v>
      </c>
      <c r="G261" s="585"/>
      <c r="H261" s="510"/>
      <c r="I261" s="526"/>
      <c r="J261" s="531"/>
      <c r="K261" s="510"/>
      <c r="L261" s="534">
        <f>SUMIFS([7]BV_Data_An_Cour!$O:$O,[7]BV_Data_An_Cour!$U:$U,$B261,[7]BV_Data_An_Cour!$V:$V,$C261,[7]BV_Data_An_Cour!$W:$W,$L$2)</f>
        <v>406.6</v>
      </c>
      <c r="M261" s="531"/>
      <c r="N261" s="557">
        <f t="shared" si="50"/>
        <v>-324.42603081730772</v>
      </c>
      <c r="O261" s="531"/>
      <c r="P261" s="510"/>
      <c r="Q261" s="534">
        <f t="array" ref="Q261">+INDEX('[7]Réel 2023'!$A$2:$AO$501,MATCH($A261,'[7]Réel 2023'!$A$2:$A$501,0),MATCH(Q$2,'[7]Réel 2023'!$A$2:$AO$2,0))</f>
        <v>259.37</v>
      </c>
      <c r="R261" s="531"/>
      <c r="S261" s="557">
        <f t="shared" si="51"/>
        <v>147.23000000000002</v>
      </c>
      <c r="T261" s="510"/>
      <c r="U261" s="510"/>
      <c r="V261" s="510"/>
      <c r="W261" s="510"/>
      <c r="X261" s="510"/>
      <c r="Y261" s="510"/>
      <c r="Z261" s="510"/>
      <c r="AA261" s="510"/>
      <c r="AB261" s="510"/>
      <c r="AC261" s="510"/>
      <c r="AD261" s="510"/>
      <c r="AE261" s="510"/>
      <c r="AF261" s="510"/>
      <c r="AG261" s="510"/>
      <c r="AH261" s="510"/>
      <c r="AI261" s="510"/>
      <c r="AJ261" s="510"/>
      <c r="AK261" s="510"/>
      <c r="AL261" s="510"/>
      <c r="AM261" s="510"/>
      <c r="AN261" s="510"/>
    </row>
    <row r="262" spans="1:40" ht="15.75" customHeight="1">
      <c r="A262" s="523" t="s">
        <v>383</v>
      </c>
      <c r="B262" s="510" t="s">
        <v>99</v>
      </c>
      <c r="C262" s="600" t="s">
        <v>46</v>
      </c>
      <c r="D262" s="603"/>
      <c r="E262" s="604"/>
      <c r="F262" s="532">
        <f>+INDEX('[7]Budget original'!$A$2:$AO$501,MATCH($A262,'[7]Budget original'!$A$2:$A$501,0),MATCH(F$2,'[7]Budget original'!$A$2:$AO$2,0))</f>
        <v>888.82460134615394</v>
      </c>
      <c r="G262" s="605"/>
      <c r="H262" s="604"/>
      <c r="I262" s="532"/>
      <c r="J262" s="518"/>
      <c r="K262" s="604"/>
      <c r="L262" s="553">
        <f>SUMIFS([7]BV_Data_An_Cour!$O:$O,[7]BV_Data_An_Cour!$U:$U,$B262,[7]BV_Data_An_Cour!$V:$V,$C262,[7]BV_Data_An_Cour!$W:$W,$L$2)</f>
        <v>1444.92</v>
      </c>
      <c r="M262" s="518"/>
      <c r="N262" s="606">
        <f t="shared" si="50"/>
        <v>556.09539865384613</v>
      </c>
      <c r="O262" s="518"/>
      <c r="P262" s="604"/>
      <c r="Q262" s="553">
        <f t="array" ref="Q262">+INDEX('[7]Réel 2023'!$A$2:$AO$501,MATCH($A262,'[7]Réel 2023'!$A$2:$A$501,0),MATCH(Q$2,'[7]Réel 2023'!$A$2:$AO$2,0))</f>
        <v>1309.81</v>
      </c>
      <c r="R262" s="518"/>
      <c r="S262" s="606">
        <f t="shared" si="51"/>
        <v>135.11000000000013</v>
      </c>
      <c r="T262" s="510"/>
      <c r="U262" s="510"/>
      <c r="V262" s="510"/>
      <c r="W262" s="510"/>
      <c r="X262" s="510"/>
      <c r="Y262" s="510"/>
      <c r="Z262" s="510"/>
      <c r="AA262" s="510"/>
      <c r="AB262" s="510"/>
      <c r="AC262" s="510"/>
      <c r="AD262" s="510"/>
      <c r="AE262" s="510"/>
      <c r="AF262" s="510"/>
      <c r="AG262" s="510"/>
      <c r="AH262" s="510"/>
      <c r="AI262" s="510"/>
      <c r="AJ262" s="510"/>
      <c r="AK262" s="510"/>
      <c r="AL262" s="510"/>
      <c r="AM262" s="510"/>
      <c r="AN262" s="510"/>
    </row>
    <row r="263" spans="1:40" ht="15.75" customHeight="1">
      <c r="A263" s="523" t="s">
        <v>384</v>
      </c>
      <c r="B263" s="510" t="s">
        <v>99</v>
      </c>
      <c r="C263" s="600" t="s">
        <v>47</v>
      </c>
      <c r="D263" s="584"/>
      <c r="E263" s="510"/>
      <c r="F263" s="532">
        <f>+INDEX('[7]Budget original'!$A$2:$AO$501,MATCH($A263,'[7]Budget original'!$A$2:$A$501,0),MATCH(F$2,'[7]Budget original'!$A$2:$AO$2,0))</f>
        <v>457.93789243269231</v>
      </c>
      <c r="G263" s="585"/>
      <c r="H263" s="510"/>
      <c r="I263" s="532"/>
      <c r="J263" s="531"/>
      <c r="K263" s="510"/>
      <c r="L263" s="534">
        <f>SUMIFS([7]BV_Data_An_Cour!$O:$O,[7]BV_Data_An_Cour!$U:$U,$B263,[7]BV_Data_An_Cour!$V:$V,$C263,[7]BV_Data_An_Cour!$W:$W,$L$2)</f>
        <v>-1117.54</v>
      </c>
      <c r="M263" s="531"/>
      <c r="N263" s="557">
        <f t="shared" si="50"/>
        <v>-1575.4778924326922</v>
      </c>
      <c r="O263" s="531"/>
      <c r="P263" s="510"/>
      <c r="Q263" s="534">
        <f t="array" ref="Q263">+INDEX('[7]Réel 2023'!$A$2:$AO$501,MATCH($A263,'[7]Réel 2023'!$A$2:$A$501,0),MATCH(Q$2,'[7]Réel 2023'!$A$2:$AO$2,0))</f>
        <v>345.19</v>
      </c>
      <c r="R263" s="531"/>
      <c r="S263" s="557">
        <f t="shared" si="51"/>
        <v>-1462.73</v>
      </c>
      <c r="T263" s="510"/>
      <c r="U263" s="510"/>
      <c r="V263" s="510"/>
      <c r="W263" s="510"/>
      <c r="X263" s="510"/>
      <c r="Y263" s="510"/>
      <c r="Z263" s="510"/>
      <c r="AA263" s="510"/>
      <c r="AB263" s="510"/>
      <c r="AC263" s="510"/>
      <c r="AD263" s="510"/>
      <c r="AE263" s="510"/>
      <c r="AF263" s="510"/>
      <c r="AG263" s="510"/>
      <c r="AH263" s="510"/>
      <c r="AI263" s="510"/>
      <c r="AJ263" s="510"/>
      <c r="AK263" s="510"/>
      <c r="AL263" s="510"/>
      <c r="AM263" s="510"/>
      <c r="AN263" s="510"/>
    </row>
    <row r="264" spans="1:40" ht="15.75" customHeight="1">
      <c r="A264" s="523" t="s">
        <v>385</v>
      </c>
      <c r="B264" s="510" t="s">
        <v>99</v>
      </c>
      <c r="C264" s="600" t="s">
        <v>48</v>
      </c>
      <c r="D264" s="584"/>
      <c r="E264" s="510"/>
      <c r="F264" s="532">
        <f>+INDEX('[7]Budget original'!$A$2:$AO$501,MATCH($A264,'[7]Budget original'!$A$2:$A$501,0),MATCH(F$2,'[7]Budget original'!$A$2:$AO$2,0))</f>
        <v>199.66349740384615</v>
      </c>
      <c r="G264" s="585"/>
      <c r="H264" s="510"/>
      <c r="I264" s="532"/>
      <c r="J264" s="531"/>
      <c r="K264" s="510"/>
      <c r="L264" s="534">
        <f>SUMIFS([7]BV_Data_An_Cour!$O:$O,[7]BV_Data_An_Cour!$U:$U,$B264,[7]BV_Data_An_Cour!$V:$V,$C264,[7]BV_Data_An_Cour!$W:$W,$L$2)</f>
        <v>151.38999999999999</v>
      </c>
      <c r="M264" s="531"/>
      <c r="N264" s="557">
        <f t="shared" si="50"/>
        <v>-48.273497403846164</v>
      </c>
      <c r="O264" s="531"/>
      <c r="P264" s="510"/>
      <c r="Q264" s="534">
        <f t="array" ref="Q264">+INDEX('[7]Réel 2023'!$A$2:$AO$501,MATCH($A264,'[7]Réel 2023'!$A$2:$A$501,0),MATCH(Q$2,'[7]Réel 2023'!$A$2:$AO$2,0))</f>
        <v>120.56</v>
      </c>
      <c r="R264" s="531"/>
      <c r="S264" s="557">
        <f t="shared" si="51"/>
        <v>30.829999999999984</v>
      </c>
      <c r="T264" s="510"/>
      <c r="U264" s="510"/>
      <c r="V264" s="510"/>
      <c r="W264" s="510"/>
      <c r="X264" s="510"/>
      <c r="Y264" s="510"/>
      <c r="Z264" s="510"/>
      <c r="AA264" s="510"/>
      <c r="AB264" s="510"/>
      <c r="AC264" s="510"/>
      <c r="AD264" s="510"/>
      <c r="AE264" s="510"/>
      <c r="AF264" s="510"/>
      <c r="AG264" s="510"/>
      <c r="AH264" s="510"/>
      <c r="AI264" s="510"/>
      <c r="AJ264" s="510"/>
      <c r="AK264" s="510"/>
      <c r="AL264" s="510"/>
      <c r="AM264" s="510"/>
      <c r="AN264" s="510"/>
    </row>
    <row r="265" spans="1:40" ht="15.75" hidden="1" customHeight="1">
      <c r="A265" s="523" t="s">
        <v>381</v>
      </c>
      <c r="B265" s="510" t="s">
        <v>99</v>
      </c>
      <c r="C265" s="531" t="s">
        <v>20</v>
      </c>
      <c r="D265" s="587"/>
      <c r="E265" s="607"/>
      <c r="F265" s="532">
        <f>+INDEX('[7]Budget original'!$A$2:$AO$501,MATCH($A265,'[7]Budget original'!$A$2:$A$501,0),MATCH(F$2,'[7]Budget original'!$A$2:$AO$2,0))</f>
        <v>0</v>
      </c>
      <c r="G265" s="588"/>
      <c r="H265" s="607"/>
      <c r="I265" s="532"/>
      <c r="J265" s="524"/>
      <c r="K265" s="607"/>
      <c r="L265" s="534">
        <f>SUMIFS([7]BV_Data_An_Cour!$O:$O,[7]BV_Data_An_Cour!$U:$U,$B265,[7]BV_Data_An_Cour!$V:$V,$C265,[7]BV_Data_An_Cour!$W:$W,$L$2)</f>
        <v>0</v>
      </c>
      <c r="M265" s="524"/>
      <c r="N265" s="582">
        <f t="shared" si="50"/>
        <v>0</v>
      </c>
      <c r="O265" s="524"/>
      <c r="P265" s="607"/>
      <c r="Q265" s="534">
        <f t="array" ref="Q265">+INDEX('[7]Réel 2023'!$A$2:$AO$501,MATCH($A265,'[7]Réel 2023'!$A$2:$A$501,0),MATCH(Q$2,'[7]Réel 2023'!$A$2:$AO$2,0))</f>
        <v>0</v>
      </c>
      <c r="R265" s="524"/>
      <c r="S265" s="582">
        <f t="shared" si="51"/>
        <v>0</v>
      </c>
      <c r="T265" s="510"/>
      <c r="U265" s="510"/>
      <c r="V265" s="510"/>
      <c r="W265" s="510"/>
      <c r="X265" s="510"/>
      <c r="Y265" s="510"/>
      <c r="Z265" s="510"/>
      <c r="AA265" s="510"/>
      <c r="AB265" s="510"/>
      <c r="AC265" s="510"/>
      <c r="AD265" s="510"/>
      <c r="AE265" s="510"/>
      <c r="AF265" s="510"/>
      <c r="AG265" s="510"/>
      <c r="AH265" s="510"/>
      <c r="AI265" s="510"/>
      <c r="AJ265" s="510"/>
      <c r="AK265" s="510"/>
      <c r="AL265" s="510"/>
      <c r="AM265" s="510"/>
      <c r="AN265" s="510"/>
    </row>
    <row r="266" spans="1:40" ht="15.75" customHeight="1">
      <c r="A266" s="523" t="s">
        <v>386</v>
      </c>
      <c r="B266" s="510" t="s">
        <v>99</v>
      </c>
      <c r="C266" s="592" t="s">
        <v>49</v>
      </c>
      <c r="D266" s="593" t="s">
        <v>39</v>
      </c>
      <c r="E266" s="594">
        <f>F266/F$250</f>
        <v>0.51709110888586352</v>
      </c>
      <c r="F266" s="595">
        <f>+SUM(F254:F265)</f>
        <v>8420.7100027692304</v>
      </c>
      <c r="G266" s="596"/>
      <c r="H266" s="594"/>
      <c r="I266" s="595"/>
      <c r="J266" s="596" t="s">
        <v>39</v>
      </c>
      <c r="K266" s="594">
        <f>IF(L250=0,0,L266/L$250)</f>
        <v>3.2466686033435797</v>
      </c>
      <c r="L266" s="595">
        <f>+SUM(L254:L265)</f>
        <v>6929.170000000001</v>
      </c>
      <c r="M266" s="650"/>
      <c r="N266" s="609">
        <f t="shared" si="50"/>
        <v>-1491.5400027692294</v>
      </c>
      <c r="O266" s="596" t="s">
        <v>39</v>
      </c>
      <c r="P266" s="594">
        <f>IF(Q244=0,0,Q266/Q$244)</f>
        <v>0</v>
      </c>
      <c r="Q266" s="595">
        <f>+SUM(Q254:Q265)</f>
        <v>7617.2099999999991</v>
      </c>
      <c r="R266" s="650"/>
      <c r="S266" s="609">
        <f t="shared" si="51"/>
        <v>-688.03999999999814</v>
      </c>
      <c r="T266" s="510"/>
      <c r="U266" s="510"/>
      <c r="V266" s="510"/>
      <c r="W266" s="510"/>
      <c r="X266" s="510"/>
      <c r="Y266" s="510"/>
      <c r="Z266" s="510"/>
      <c r="AA266" s="510"/>
      <c r="AB266" s="510"/>
      <c r="AC266" s="510"/>
      <c r="AD266" s="510"/>
      <c r="AE266" s="510"/>
      <c r="AF266" s="510"/>
      <c r="AG266" s="510"/>
      <c r="AH266" s="510"/>
      <c r="AI266" s="510"/>
      <c r="AJ266" s="510"/>
      <c r="AK266" s="510"/>
      <c r="AL266" s="510"/>
      <c r="AM266" s="510"/>
      <c r="AN266" s="510"/>
    </row>
    <row r="267" spans="1:40" ht="15.75" customHeight="1">
      <c r="A267" s="523" t="s">
        <v>387</v>
      </c>
      <c r="B267" s="510" t="s">
        <v>99</v>
      </c>
      <c r="C267" s="706" t="s">
        <v>50</v>
      </c>
      <c r="D267" s="584"/>
      <c r="E267" s="510"/>
      <c r="F267" s="532">
        <f>+INDEX('[7]Budget original'!$A$2:$AO$501,MATCH($A267,'[7]Budget original'!$A$2:$A$501,0),MATCH(F$2,'[7]Budget original'!$A$2:$AO$2,0))</f>
        <v>0</v>
      </c>
      <c r="G267" s="585"/>
      <c r="H267" s="510"/>
      <c r="I267" s="532"/>
      <c r="J267" s="531"/>
      <c r="K267" s="510"/>
      <c r="L267" s="534">
        <f>SUMIFS([7]BV_Data_An_Cour!$O:$O,[7]BV_Data_An_Cour!$U:$U,$B267,[7]BV_Data_An_Cour!$V:$V,$C267,[7]BV_Data_An_Cour!$W:$W,$L$2)</f>
        <v>142.51</v>
      </c>
      <c r="M267" s="531"/>
      <c r="N267" s="557">
        <f t="shared" si="50"/>
        <v>142.51</v>
      </c>
      <c r="O267" s="531"/>
      <c r="P267" s="510"/>
      <c r="Q267" s="557">
        <f t="array" ref="Q267">+INDEX('[7]Réel 2023'!$A$2:$AO$501,MATCH($A267,'[7]Réel 2023'!$A$2:$A$501,0),MATCH(Q$2,'[7]Réel 2023'!$A$2:$AO$2,0))</f>
        <v>35.03</v>
      </c>
      <c r="R267" s="531"/>
      <c r="S267" s="557">
        <f t="shared" si="51"/>
        <v>107.47999999999999</v>
      </c>
      <c r="T267" s="510"/>
      <c r="U267" s="510"/>
      <c r="V267" s="510"/>
      <c r="W267" s="510"/>
      <c r="X267" s="510"/>
      <c r="Y267" s="510"/>
      <c r="Z267" s="510"/>
      <c r="AA267" s="510"/>
      <c r="AB267" s="510"/>
      <c r="AC267" s="510"/>
      <c r="AD267" s="510"/>
      <c r="AE267" s="510"/>
      <c r="AF267" s="510"/>
      <c r="AG267" s="510"/>
      <c r="AH267" s="510"/>
      <c r="AI267" s="510"/>
      <c r="AJ267" s="510"/>
      <c r="AK267" s="510"/>
      <c r="AL267" s="510"/>
      <c r="AM267" s="510"/>
      <c r="AN267" s="510"/>
    </row>
    <row r="268" spans="1:40" ht="15.75" customHeight="1">
      <c r="A268" s="523" t="s">
        <v>388</v>
      </c>
      <c r="B268" s="510" t="s">
        <v>99</v>
      </c>
      <c r="C268" s="600" t="s">
        <v>51</v>
      </c>
      <c r="D268" s="584"/>
      <c r="E268" s="510"/>
      <c r="F268" s="532">
        <f>+INDEX('[7]Budget original'!$A$2:$AO$501,MATCH($A268,'[7]Budget original'!$A$2:$A$501,0),MATCH(F$2,'[7]Budget original'!$A$2:$AO$2,0))</f>
        <v>593.90656258991453</v>
      </c>
      <c r="G268" s="585"/>
      <c r="H268" s="510"/>
      <c r="I268" s="532"/>
      <c r="J268" s="531"/>
      <c r="K268" s="510"/>
      <c r="L268" s="534">
        <f>SUMIFS([7]BV_Data_An_Cour!$O:$O,[7]BV_Data_An_Cour!$U:$U,$B268,[7]BV_Data_An_Cour!$V:$V,$C268,[7]BV_Data_An_Cour!$W:$W,$L$2)</f>
        <v>2866.52</v>
      </c>
      <c r="M268" s="531"/>
      <c r="N268" s="557">
        <f t="shared" si="50"/>
        <v>2272.6134374100857</v>
      </c>
      <c r="O268" s="531"/>
      <c r="P268" s="510"/>
      <c r="Q268" s="557">
        <f t="array" ref="Q268">+INDEX('[7]Réel 2023'!$A$2:$AO$501,MATCH($A268,'[7]Réel 2023'!$A$2:$A$501,0),MATCH(Q$2,'[7]Réel 2023'!$A$2:$AO$2,0))</f>
        <v>3488.78</v>
      </c>
      <c r="R268" s="531"/>
      <c r="S268" s="557">
        <f t="shared" si="51"/>
        <v>-622.26000000000022</v>
      </c>
      <c r="T268" s="510"/>
      <c r="U268" s="523"/>
      <c r="V268" s="510"/>
      <c r="W268" s="510"/>
      <c r="X268" s="510"/>
      <c r="Y268" s="510"/>
      <c r="Z268" s="510"/>
      <c r="AA268" s="510"/>
      <c r="AB268" s="510"/>
      <c r="AC268" s="510"/>
      <c r="AD268" s="510"/>
      <c r="AE268" s="510"/>
      <c r="AF268" s="510"/>
      <c r="AG268" s="510"/>
      <c r="AH268" s="510"/>
      <c r="AI268" s="510"/>
      <c r="AJ268" s="510"/>
      <c r="AK268" s="510"/>
      <c r="AL268" s="510"/>
      <c r="AM268" s="510"/>
      <c r="AN268" s="510"/>
    </row>
    <row r="269" spans="1:40" ht="15.75" customHeight="1">
      <c r="A269" s="523" t="s">
        <v>389</v>
      </c>
      <c r="B269" s="510" t="s">
        <v>99</v>
      </c>
      <c r="C269" s="602" t="s">
        <v>52</v>
      </c>
      <c r="D269" s="587"/>
      <c r="E269" s="607"/>
      <c r="F269" s="526">
        <f>+INDEX('[7]Budget original'!$A$2:$AO$501,MATCH($A269,'[7]Budget original'!$A$2:$A$501,0),MATCH(F$2,'[7]Budget original'!$A$2:$AO$2,0))</f>
        <v>0</v>
      </c>
      <c r="G269" s="588"/>
      <c r="H269" s="607"/>
      <c r="I269" s="526"/>
      <c r="J269" s="524"/>
      <c r="K269" s="607"/>
      <c r="L269" s="534">
        <f>SUMIFS([7]BV_Data_An_Cour!$O:$O,[7]BV_Data_An_Cour!$U:$U,$B269,[7]BV_Data_An_Cour!$V:$V,$C269,[7]BV_Data_An_Cour!$W:$W,$L$2)</f>
        <v>327.31</v>
      </c>
      <c r="M269" s="524"/>
      <c r="N269" s="582">
        <f t="shared" si="50"/>
        <v>327.31</v>
      </c>
      <c r="O269" s="524"/>
      <c r="P269" s="607"/>
      <c r="Q269" s="582">
        <f t="array" ref="Q269">+INDEX('[7]Réel 2023'!$A$2:$AO$501,MATCH($A269,'[7]Réel 2023'!$A$2:$A$501,0),MATCH(Q$2,'[7]Réel 2023'!$A$2:$AO$2,0))</f>
        <v>1070.53</v>
      </c>
      <c r="R269" s="524"/>
      <c r="S269" s="582">
        <f t="shared" si="51"/>
        <v>-743.22</v>
      </c>
      <c r="T269" s="510"/>
      <c r="U269" s="510" t="s">
        <v>1</v>
      </c>
      <c r="V269" s="510"/>
      <c r="W269" s="510"/>
      <c r="X269" s="510"/>
      <c r="Y269" s="510"/>
      <c r="Z269" s="510"/>
      <c r="AA269" s="510"/>
      <c r="AB269" s="510"/>
      <c r="AC269" s="510"/>
      <c r="AD269" s="510"/>
      <c r="AE269" s="510"/>
      <c r="AF269" s="510"/>
      <c r="AG269" s="510"/>
      <c r="AH269" s="510"/>
      <c r="AI269" s="510"/>
      <c r="AJ269" s="510"/>
      <c r="AK269" s="510"/>
      <c r="AL269" s="510"/>
      <c r="AM269" s="510"/>
      <c r="AN269" s="510"/>
    </row>
    <row r="270" spans="1:40" ht="15.75" customHeight="1">
      <c r="A270" s="523" t="s">
        <v>390</v>
      </c>
      <c r="B270" s="510" t="s">
        <v>99</v>
      </c>
      <c r="C270" s="600" t="s">
        <v>53</v>
      </c>
      <c r="D270" s="584"/>
      <c r="E270" s="510"/>
      <c r="F270" s="532">
        <f>+INDEX('[7]Budget original'!$A$2:$AO$501,MATCH($A270,'[7]Budget original'!$A$2:$A$501,0),MATCH(F$2,'[7]Budget original'!$A$2:$AO$2,0))</f>
        <v>1434.1339301111113</v>
      </c>
      <c r="G270" s="585"/>
      <c r="H270" s="510"/>
      <c r="I270" s="532"/>
      <c r="J270" s="531"/>
      <c r="K270" s="510"/>
      <c r="L270" s="553">
        <f>SUMIFS([7]BV_Data_An_Cour!$O:$O,[7]BV_Data_An_Cour!$U:$U,$B270,[7]BV_Data_An_Cour!$V:$V,$C270,[7]BV_Data_An_Cour!$W:$W,$L$2)</f>
        <v>1468.27</v>
      </c>
      <c r="M270" s="531"/>
      <c r="N270" s="557">
        <f t="shared" si="50"/>
        <v>34.136069888888642</v>
      </c>
      <c r="O270" s="531"/>
      <c r="P270" s="510"/>
      <c r="Q270" s="557">
        <f t="array" ref="Q270">+INDEX('[7]Réel 2023'!$A$2:$AO$501,MATCH($A270,'[7]Réel 2023'!$A$2:$A$501,0),MATCH(Q$2,'[7]Réel 2023'!$A$2:$AO$2,0))</f>
        <v>1443.09</v>
      </c>
      <c r="R270" s="531"/>
      <c r="S270" s="557">
        <f t="shared" si="51"/>
        <v>25.180000000000064</v>
      </c>
      <c r="T270" s="510"/>
      <c r="U270" s="510"/>
      <c r="V270" s="510"/>
      <c r="W270" s="510"/>
      <c r="X270" s="510"/>
      <c r="Y270" s="510"/>
      <c r="Z270" s="510"/>
      <c r="AA270" s="510"/>
      <c r="AB270" s="510"/>
      <c r="AC270" s="510"/>
      <c r="AD270" s="510"/>
      <c r="AE270" s="510"/>
      <c r="AF270" s="510"/>
      <c r="AG270" s="510"/>
      <c r="AH270" s="510"/>
      <c r="AI270" s="510"/>
      <c r="AJ270" s="510"/>
      <c r="AK270" s="510"/>
      <c r="AL270" s="510"/>
      <c r="AM270" s="510"/>
      <c r="AN270" s="510"/>
    </row>
    <row r="271" spans="1:40" ht="15.75" customHeight="1">
      <c r="A271" s="523" t="s">
        <v>391</v>
      </c>
      <c r="B271" s="510" t="s">
        <v>99</v>
      </c>
      <c r="C271" s="600" t="s">
        <v>54</v>
      </c>
      <c r="D271" s="584"/>
      <c r="E271" s="510"/>
      <c r="F271" s="532">
        <f>+INDEX('[7]Budget original'!$A$2:$AO$501,MATCH($A271,'[7]Budget original'!$A$2:$A$501,0),MATCH(F$2,'[7]Budget original'!$A$2:$AO$2,0))</f>
        <v>178.43173052524097</v>
      </c>
      <c r="G271" s="585"/>
      <c r="H271" s="510"/>
      <c r="I271" s="532"/>
      <c r="J271" s="531"/>
      <c r="K271" s="510"/>
      <c r="L271" s="534">
        <f>SUMIFS([7]BV_Data_An_Cour!$O:$O,[7]BV_Data_An_Cour!$U:$U,$B271,[7]BV_Data_An_Cour!$V:$V,$C271,[7]BV_Data_An_Cour!$W:$W,$L$2)</f>
        <v>409.31</v>
      </c>
      <c r="M271" s="531"/>
      <c r="N271" s="557">
        <f t="shared" si="50"/>
        <v>230.87826947475904</v>
      </c>
      <c r="O271" s="531"/>
      <c r="P271" s="510"/>
      <c r="Q271" s="557">
        <f t="array" ref="Q271">+INDEX('[7]Réel 2023'!$A$2:$AO$501,MATCH($A271,'[7]Réel 2023'!$A$2:$A$501,0),MATCH(Q$2,'[7]Réel 2023'!$A$2:$AO$2,0))</f>
        <v>264.20999999999998</v>
      </c>
      <c r="R271" s="531"/>
      <c r="S271" s="557">
        <f t="shared" si="51"/>
        <v>145.10000000000002</v>
      </c>
      <c r="T271" s="510"/>
      <c r="U271" s="510"/>
      <c r="V271" s="510"/>
      <c r="W271" s="510"/>
      <c r="X271" s="510"/>
      <c r="Y271" s="510"/>
      <c r="Z271" s="510"/>
      <c r="AA271" s="510"/>
      <c r="AB271" s="510"/>
      <c r="AC271" s="510"/>
      <c r="AD271" s="510"/>
      <c r="AE271" s="510"/>
      <c r="AF271" s="510"/>
      <c r="AG271" s="510"/>
      <c r="AH271" s="510"/>
      <c r="AI271" s="510"/>
      <c r="AJ271" s="510"/>
      <c r="AK271" s="510"/>
      <c r="AL271" s="510"/>
      <c r="AM271" s="510"/>
      <c r="AN271" s="510"/>
    </row>
    <row r="272" spans="1:40" ht="15.75" customHeight="1">
      <c r="A272" s="523" t="s">
        <v>392</v>
      </c>
      <c r="B272" s="510" t="s">
        <v>99</v>
      </c>
      <c r="C272" s="600" t="s">
        <v>55</v>
      </c>
      <c r="D272" s="587"/>
      <c r="E272" s="607"/>
      <c r="F272" s="526">
        <f>+INDEX('[7]Budget original'!$A$2:$AO$501,MATCH($A272,'[7]Budget original'!$A$2:$A$501,0),MATCH(F$2,'[7]Budget original'!$A$2:$AO$2,0))</f>
        <v>676.55120298287022</v>
      </c>
      <c r="G272" s="588"/>
      <c r="H272" s="607"/>
      <c r="I272" s="526"/>
      <c r="J272" s="524"/>
      <c r="K272" s="607"/>
      <c r="L272" s="534">
        <f>SUMIFS([7]BV_Data_An_Cour!$O:$O,[7]BV_Data_An_Cour!$U:$U,$B272,[7]BV_Data_An_Cour!$V:$V,$C272,[7]BV_Data_An_Cour!$W:$W,$L$2)</f>
        <v>820.44</v>
      </c>
      <c r="M272" s="524"/>
      <c r="N272" s="582">
        <f t="shared" si="50"/>
        <v>143.88879701712983</v>
      </c>
      <c r="O272" s="524"/>
      <c r="P272" s="607"/>
      <c r="Q272" s="582">
        <f t="array" ref="Q272">+INDEX('[7]Réel 2023'!$A$2:$AO$501,MATCH($A272,'[7]Réel 2023'!$A$2:$A$501,0),MATCH(Q$2,'[7]Réel 2023'!$A$2:$AO$2,0))</f>
        <v>976.45</v>
      </c>
      <c r="R272" s="524"/>
      <c r="S272" s="582">
        <f t="shared" si="51"/>
        <v>-156.01</v>
      </c>
      <c r="T272" s="510"/>
      <c r="U272" s="510"/>
      <c r="V272" s="510"/>
      <c r="W272" s="510"/>
      <c r="X272" s="510"/>
      <c r="Y272" s="510"/>
      <c r="Z272" s="510"/>
      <c r="AA272" s="510"/>
      <c r="AB272" s="510"/>
      <c r="AC272" s="510"/>
      <c r="AD272" s="510"/>
      <c r="AE272" s="510"/>
      <c r="AF272" s="510"/>
      <c r="AG272" s="510"/>
      <c r="AH272" s="510"/>
      <c r="AI272" s="510"/>
      <c r="AJ272" s="510"/>
      <c r="AK272" s="510"/>
      <c r="AL272" s="510"/>
      <c r="AM272" s="510"/>
      <c r="AN272" s="510"/>
    </row>
    <row r="273" spans="1:40" ht="15.75" customHeight="1">
      <c r="A273" s="523" t="s">
        <v>393</v>
      </c>
      <c r="B273" s="510" t="s">
        <v>99</v>
      </c>
      <c r="C273" s="706" t="s">
        <v>98</v>
      </c>
      <c r="D273" s="584"/>
      <c r="E273" s="510"/>
      <c r="F273" s="532"/>
      <c r="G273" s="585"/>
      <c r="H273" s="510"/>
      <c r="I273" s="532"/>
      <c r="J273" s="531"/>
      <c r="K273" s="510"/>
      <c r="L273" s="553">
        <f>SUMIFS([7]BV_Data_An_Cour!$O:$O,[7]BV_Data_An_Cour!$U:$U,$B273,[7]BV_Data_An_Cour!$V:$V,$C273,[7]BV_Data_An_Cour!$W:$W,$L$2)</f>
        <v>0</v>
      </c>
      <c r="M273" s="531"/>
      <c r="N273" s="557">
        <f t="shared" si="50"/>
        <v>0</v>
      </c>
      <c r="O273" s="531"/>
      <c r="P273" s="510"/>
      <c r="Q273" s="557">
        <f t="array" ref="Q273">+INDEX('[7]Réel 2023'!$A$2:$AO$501,MATCH($A273,'[7]Réel 2023'!$A$2:$A$501,0),MATCH(Q$2,'[7]Réel 2023'!$A$2:$AO$2,0))</f>
        <v>0</v>
      </c>
      <c r="R273" s="531"/>
      <c r="S273" s="557">
        <f t="shared" si="51"/>
        <v>0</v>
      </c>
      <c r="T273" s="510"/>
      <c r="U273" s="510"/>
      <c r="V273" s="510"/>
      <c r="W273" s="510"/>
      <c r="X273" s="510"/>
      <c r="Y273" s="510"/>
      <c r="Z273" s="510"/>
      <c r="AA273" s="510"/>
      <c r="AB273" s="510"/>
      <c r="AC273" s="510"/>
      <c r="AD273" s="510"/>
      <c r="AE273" s="510"/>
      <c r="AF273" s="510"/>
      <c r="AG273" s="510"/>
      <c r="AH273" s="510"/>
      <c r="AI273" s="510"/>
      <c r="AJ273" s="510"/>
      <c r="AK273" s="510"/>
      <c r="AL273" s="510"/>
      <c r="AM273" s="510"/>
      <c r="AN273" s="510"/>
    </row>
    <row r="274" spans="1:40" ht="15.75" customHeight="1">
      <c r="A274" s="523" t="s">
        <v>394</v>
      </c>
      <c r="B274" s="510" t="s">
        <v>99</v>
      </c>
      <c r="C274" s="600" t="s">
        <v>56</v>
      </c>
      <c r="D274" s="584"/>
      <c r="E274" s="510"/>
      <c r="F274" s="532">
        <f>+INDEX('[7]Budget original'!$A$2:$AO$501,MATCH($A274,'[7]Budget original'!$A$2:$A$501,0),MATCH(F$2,'[7]Budget original'!$A$2:$AO$2,0))</f>
        <v>125</v>
      </c>
      <c r="G274" s="585"/>
      <c r="H274" s="510"/>
      <c r="I274" s="532"/>
      <c r="J274" s="531"/>
      <c r="K274" s="510"/>
      <c r="L274" s="534">
        <f>SUMIFS([7]BV_Data_An_Cour!$O:$O,[7]BV_Data_An_Cour!$U:$U,$B274,[7]BV_Data_An_Cour!$V:$V,$C274,[7]BV_Data_An_Cour!$W:$W,$L$2)</f>
        <v>0</v>
      </c>
      <c r="M274" s="531"/>
      <c r="N274" s="557">
        <f t="shared" si="50"/>
        <v>-125</v>
      </c>
      <c r="O274" s="531"/>
      <c r="P274" s="510"/>
      <c r="Q274" s="557">
        <f t="array" ref="Q274">+INDEX('[7]Réel 2023'!$A$2:$AO$501,MATCH($A274,'[7]Réel 2023'!$A$2:$A$501,0),MATCH(Q$2,'[7]Réel 2023'!$A$2:$AO$2,0))</f>
        <v>47.22</v>
      </c>
      <c r="R274" s="531"/>
      <c r="S274" s="557">
        <f t="shared" si="51"/>
        <v>-47.22</v>
      </c>
      <c r="T274" s="510"/>
      <c r="U274" s="510"/>
      <c r="V274" s="510"/>
      <c r="W274" s="510"/>
      <c r="X274" s="510"/>
      <c r="Y274" s="510"/>
      <c r="Z274" s="510"/>
      <c r="AA274" s="510"/>
      <c r="AB274" s="510"/>
      <c r="AC274" s="510"/>
      <c r="AD274" s="510"/>
      <c r="AE274" s="510"/>
      <c r="AF274" s="510"/>
      <c r="AG274" s="510"/>
      <c r="AH274" s="510"/>
      <c r="AI274" s="510"/>
      <c r="AJ274" s="510"/>
      <c r="AK274" s="510"/>
      <c r="AL274" s="510"/>
      <c r="AM274" s="510"/>
      <c r="AN274" s="510"/>
    </row>
    <row r="275" spans="1:40" ht="15.75" customHeight="1">
      <c r="A275" s="523" t="s">
        <v>395</v>
      </c>
      <c r="B275" s="510" t="s">
        <v>99</v>
      </c>
      <c r="C275" s="600" t="s">
        <v>57</v>
      </c>
      <c r="D275" s="584"/>
      <c r="E275" s="510"/>
      <c r="F275" s="532">
        <f>+INDEX('[7]Budget original'!$A$2:$AO$501,MATCH($A275,'[7]Budget original'!$A$2:$A$501,0),MATCH(F$2,'[7]Budget original'!$A$2:$AO$2,0))</f>
        <v>83.333333333333329</v>
      </c>
      <c r="G275" s="585"/>
      <c r="H275" s="510"/>
      <c r="I275" s="532"/>
      <c r="J275" s="531"/>
      <c r="K275" s="510"/>
      <c r="L275" s="534">
        <f>SUMIFS([7]BV_Data_An_Cour!$O:$O,[7]BV_Data_An_Cour!$U:$U,$B275,[7]BV_Data_An_Cour!$V:$V,$C275,[7]BV_Data_An_Cour!$W:$W,$L$2)</f>
        <v>0</v>
      </c>
      <c r="M275" s="531"/>
      <c r="N275" s="557">
        <f t="shared" si="50"/>
        <v>-83.333333333333329</v>
      </c>
      <c r="O275" s="531"/>
      <c r="P275" s="510"/>
      <c r="Q275" s="557">
        <f t="array" ref="Q275">+INDEX('[7]Réel 2023'!$A$2:$AO$501,MATCH($A275,'[7]Réel 2023'!$A$2:$A$501,0),MATCH(Q$2,'[7]Réel 2023'!$A$2:$AO$2,0))</f>
        <v>0</v>
      </c>
      <c r="R275" s="531"/>
      <c r="S275" s="557">
        <f t="shared" si="51"/>
        <v>0</v>
      </c>
      <c r="T275" s="510"/>
      <c r="U275" s="510"/>
      <c r="V275" s="510"/>
      <c r="W275" s="510"/>
      <c r="X275" s="510"/>
      <c r="Y275" s="510"/>
      <c r="Z275" s="510"/>
      <c r="AA275" s="510"/>
      <c r="AB275" s="510"/>
      <c r="AC275" s="510"/>
      <c r="AD275" s="510"/>
      <c r="AE275" s="510"/>
      <c r="AF275" s="510"/>
      <c r="AG275" s="510"/>
      <c r="AH275" s="510"/>
      <c r="AI275" s="510"/>
      <c r="AJ275" s="510"/>
      <c r="AK275" s="510"/>
      <c r="AL275" s="510"/>
      <c r="AM275" s="510"/>
      <c r="AN275" s="510"/>
    </row>
    <row r="276" spans="1:40" ht="15.75" customHeight="1">
      <c r="A276" s="523" t="s">
        <v>396</v>
      </c>
      <c r="B276" s="510" t="s">
        <v>99</v>
      </c>
      <c r="C276" s="600" t="s">
        <v>58</v>
      </c>
      <c r="D276" s="584"/>
      <c r="E276" s="510"/>
      <c r="F276" s="532">
        <f>+INDEX('[7]Budget original'!$A$2:$AO$501,MATCH($A276,'[7]Budget original'!$A$2:$A$501,0),MATCH(F$2,'[7]Budget original'!$A$2:$AO$2,0))</f>
        <v>157.558520743</v>
      </c>
      <c r="G276" s="585"/>
      <c r="H276" s="510"/>
      <c r="I276" s="532"/>
      <c r="J276" s="531"/>
      <c r="K276" s="510"/>
      <c r="L276" s="534">
        <f>SUMIFS([7]BV_Data_An_Cour!$O:$O,[7]BV_Data_An_Cour!$U:$U,$B276,[7]BV_Data_An_Cour!$V:$V,$C276,[7]BV_Data_An_Cour!$W:$W,$L$2)</f>
        <v>276.14</v>
      </c>
      <c r="M276" s="531"/>
      <c r="N276" s="557">
        <f t="shared" si="50"/>
        <v>118.58147925699998</v>
      </c>
      <c r="O276" s="531"/>
      <c r="P276" s="510"/>
      <c r="Q276" s="557">
        <f t="array" ref="Q276">+INDEX('[7]Réel 2023'!$A$2:$AO$501,MATCH($A276,'[7]Réel 2023'!$A$2:$A$501,0),MATCH(Q$2,'[7]Réel 2023'!$A$2:$AO$2,0))</f>
        <v>451.88</v>
      </c>
      <c r="R276" s="531"/>
      <c r="S276" s="557">
        <f t="shared" si="51"/>
        <v>-175.74</v>
      </c>
      <c r="T276" s="510"/>
      <c r="U276" s="510"/>
      <c r="V276" s="510"/>
      <c r="W276" s="510"/>
      <c r="X276" s="510"/>
      <c r="Y276" s="510"/>
      <c r="Z276" s="510"/>
      <c r="AA276" s="510"/>
      <c r="AB276" s="510"/>
      <c r="AC276" s="510"/>
      <c r="AD276" s="510"/>
      <c r="AE276" s="510"/>
      <c r="AF276" s="510"/>
      <c r="AG276" s="510"/>
      <c r="AH276" s="510"/>
      <c r="AI276" s="510"/>
      <c r="AJ276" s="510"/>
      <c r="AK276" s="510"/>
      <c r="AL276" s="510"/>
      <c r="AM276" s="510"/>
      <c r="AN276" s="510"/>
    </row>
    <row r="277" spans="1:40" ht="15.75" customHeight="1">
      <c r="A277" s="523" t="s">
        <v>397</v>
      </c>
      <c r="B277" s="510" t="s">
        <v>99</v>
      </c>
      <c r="C277" s="600" t="s">
        <v>59</v>
      </c>
      <c r="D277" s="584"/>
      <c r="E277" s="510"/>
      <c r="F277" s="532">
        <f>+INDEX('[7]Budget original'!$A$2:$AO$501,MATCH($A277,'[7]Budget original'!$A$2:$A$501,0),MATCH(F$2,'[7]Budget original'!$A$2:$AO$2,0))</f>
        <v>36.780368605319445</v>
      </c>
      <c r="G277" s="585"/>
      <c r="H277" s="510"/>
      <c r="I277" s="532"/>
      <c r="J277" s="531"/>
      <c r="K277" s="510"/>
      <c r="L277" s="534">
        <f>SUMIFS([7]BV_Data_An_Cour!$O:$O,[7]BV_Data_An_Cour!$U:$U,$B277,[7]BV_Data_An_Cour!$V:$V,$C277,[7]BV_Data_An_Cour!$W:$W,$L$2)</f>
        <v>26.78</v>
      </c>
      <c r="M277" s="531"/>
      <c r="N277" s="557">
        <f t="shared" si="50"/>
        <v>-10.000368605319444</v>
      </c>
      <c r="O277" s="531"/>
      <c r="P277" s="510"/>
      <c r="Q277" s="557">
        <f t="array" ref="Q277">+INDEX('[7]Réel 2023'!$A$2:$AO$501,MATCH($A277,'[7]Réel 2023'!$A$2:$A$501,0),MATCH(Q$2,'[7]Réel 2023'!$A$2:$AO$2,0))</f>
        <v>23.32</v>
      </c>
      <c r="R277" s="531"/>
      <c r="S277" s="557">
        <f t="shared" si="51"/>
        <v>3.4600000000000009</v>
      </c>
      <c r="T277" s="510"/>
      <c r="U277" s="510"/>
      <c r="V277" s="510"/>
      <c r="W277" s="510"/>
      <c r="X277" s="510"/>
      <c r="Y277" s="510"/>
      <c r="Z277" s="510"/>
      <c r="AA277" s="510"/>
      <c r="AB277" s="510"/>
      <c r="AC277" s="510"/>
      <c r="AD277" s="510"/>
      <c r="AE277" s="510"/>
      <c r="AF277" s="510"/>
      <c r="AG277" s="510"/>
      <c r="AH277" s="510"/>
      <c r="AI277" s="510"/>
      <c r="AJ277" s="510"/>
      <c r="AK277" s="510"/>
      <c r="AL277" s="510"/>
      <c r="AM277" s="510"/>
      <c r="AN277" s="510"/>
    </row>
    <row r="278" spans="1:40" ht="15.75" customHeight="1">
      <c r="A278" s="523" t="s">
        <v>398</v>
      </c>
      <c r="B278" s="510" t="s">
        <v>99</v>
      </c>
      <c r="C278" s="600" t="s">
        <v>60</v>
      </c>
      <c r="D278" s="584"/>
      <c r="E278" s="510"/>
      <c r="F278" s="532">
        <f>+INDEX('[7]Budget original'!$A$2:$AO$501,MATCH($A278,'[7]Budget original'!$A$2:$A$501,0),MATCH(F$2,'[7]Budget original'!$A$2:$AO$2,0))</f>
        <v>24.745731854680557</v>
      </c>
      <c r="G278" s="585"/>
      <c r="H278" s="510"/>
      <c r="I278" s="532"/>
      <c r="J278" s="531"/>
      <c r="K278" s="510"/>
      <c r="L278" s="534">
        <f>SUMIFS([7]BV_Data_An_Cour!$O:$O,[7]BV_Data_An_Cour!$U:$U,$B278,[7]BV_Data_An_Cour!$V:$V,$C278,[7]BV_Data_An_Cour!$W:$W,$L$2)</f>
        <v>8.8000000000000007</v>
      </c>
      <c r="M278" s="531"/>
      <c r="N278" s="557">
        <f t="shared" si="50"/>
        <v>-15.945731854680556</v>
      </c>
      <c r="O278" s="531"/>
      <c r="P278" s="510"/>
      <c r="Q278" s="557">
        <f t="array" ref="Q278">+INDEX('[7]Réel 2023'!$A$2:$AO$501,MATCH($A278,'[7]Réel 2023'!$A$2:$A$501,0),MATCH(Q$2,'[7]Réel 2023'!$A$2:$AO$2,0))</f>
        <v>37.15</v>
      </c>
      <c r="R278" s="531"/>
      <c r="S278" s="557">
        <f t="shared" si="51"/>
        <v>-28.349999999999998</v>
      </c>
      <c r="T278" s="510"/>
      <c r="U278" s="510"/>
      <c r="V278" s="510"/>
      <c r="W278" s="510"/>
      <c r="X278" s="510"/>
      <c r="Y278" s="510"/>
      <c r="Z278" s="510"/>
      <c r="AA278" s="510"/>
      <c r="AB278" s="510"/>
      <c r="AC278" s="510"/>
      <c r="AD278" s="510"/>
      <c r="AE278" s="510"/>
      <c r="AF278" s="510"/>
      <c r="AG278" s="510"/>
      <c r="AH278" s="510"/>
      <c r="AI278" s="510"/>
      <c r="AJ278" s="510"/>
      <c r="AK278" s="510"/>
      <c r="AL278" s="510"/>
      <c r="AM278" s="510"/>
      <c r="AN278" s="510"/>
    </row>
    <row r="279" spans="1:40" ht="15.75" customHeight="1">
      <c r="A279" s="523" t="s">
        <v>399</v>
      </c>
      <c r="B279" s="510" t="s">
        <v>99</v>
      </c>
      <c r="C279" s="600" t="s">
        <v>61</v>
      </c>
      <c r="D279" s="584"/>
      <c r="E279" s="510"/>
      <c r="F279" s="532">
        <f>+INDEX('[7]Budget original'!$A$2:$AO$501,MATCH($A279,'[7]Budget original'!$A$2:$A$501,0),MATCH(F$2,'[7]Budget original'!$A$2:$AO$2,0))</f>
        <v>234.99946325143051</v>
      </c>
      <c r="G279" s="585"/>
      <c r="H279" s="510"/>
      <c r="I279" s="532"/>
      <c r="J279" s="531"/>
      <c r="K279" s="510"/>
      <c r="L279" s="534">
        <f>SUMIFS([7]BV_Data_An_Cour!$O:$O,[7]BV_Data_An_Cour!$U:$U,$B279,[7]BV_Data_An_Cour!$V:$V,$C279,[7]BV_Data_An_Cour!$W:$W,$L$2)</f>
        <v>97.74</v>
      </c>
      <c r="M279" s="531"/>
      <c r="N279" s="557">
        <f t="shared" si="50"/>
        <v>-137.25946325143053</v>
      </c>
      <c r="O279" s="531"/>
      <c r="P279" s="510"/>
      <c r="Q279" s="557">
        <f t="array" ref="Q279">+INDEX('[7]Réel 2023'!$A$2:$AO$501,MATCH($A279,'[7]Réel 2023'!$A$2:$A$501,0),MATCH(Q$2,'[7]Réel 2023'!$A$2:$AO$2,0))</f>
        <v>22.49</v>
      </c>
      <c r="R279" s="531"/>
      <c r="S279" s="557">
        <f t="shared" si="51"/>
        <v>75.25</v>
      </c>
      <c r="T279" s="510"/>
      <c r="U279" s="510"/>
      <c r="V279" s="510"/>
      <c r="W279" s="510"/>
      <c r="X279" s="510"/>
      <c r="Y279" s="510"/>
      <c r="Z279" s="510"/>
      <c r="AA279" s="510"/>
      <c r="AB279" s="510"/>
      <c r="AC279" s="510"/>
      <c r="AD279" s="510"/>
      <c r="AE279" s="510"/>
      <c r="AF279" s="510"/>
      <c r="AG279" s="510"/>
      <c r="AH279" s="510"/>
      <c r="AI279" s="510"/>
      <c r="AJ279" s="510"/>
      <c r="AK279" s="510"/>
      <c r="AL279" s="510"/>
      <c r="AM279" s="510"/>
      <c r="AN279" s="510"/>
    </row>
    <row r="280" spans="1:40" ht="15.75" customHeight="1">
      <c r="A280" s="523" t="s">
        <v>400</v>
      </c>
      <c r="B280" s="510" t="s">
        <v>99</v>
      </c>
      <c r="C280" s="600" t="s">
        <v>62</v>
      </c>
      <c r="D280" s="584"/>
      <c r="E280" s="510"/>
      <c r="F280" s="532">
        <f>+INDEX('[7]Budget original'!$A$2:$AO$501,MATCH($A280,'[7]Budget original'!$A$2:$A$501,0),MATCH(F$2,'[7]Budget original'!$A$2:$AO$2,0))</f>
        <v>434.32515231465453</v>
      </c>
      <c r="G280" s="585"/>
      <c r="H280" s="510"/>
      <c r="I280" s="532"/>
      <c r="J280" s="531"/>
      <c r="K280" s="510"/>
      <c r="L280" s="534">
        <f>SUMIFS([7]BV_Data_An_Cour!$O:$O,[7]BV_Data_An_Cour!$U:$U,$B280,[7]BV_Data_An_Cour!$V:$V,$C280,[7]BV_Data_An_Cour!$W:$W,$L$2)</f>
        <v>155.99</v>
      </c>
      <c r="M280" s="531"/>
      <c r="N280" s="557">
        <f t="shared" si="50"/>
        <v>-278.33515231465452</v>
      </c>
      <c r="O280" s="531"/>
      <c r="P280" s="510"/>
      <c r="Q280" s="557">
        <f t="array" ref="Q280">+INDEX('[7]Réel 2023'!$A$2:$AO$501,MATCH($A280,'[7]Réel 2023'!$A$2:$A$501,0),MATCH(Q$2,'[7]Réel 2023'!$A$2:$AO$2,0))</f>
        <v>92.33</v>
      </c>
      <c r="R280" s="531"/>
      <c r="S280" s="557">
        <f t="shared" si="51"/>
        <v>63.660000000000011</v>
      </c>
      <c r="T280" s="510"/>
      <c r="X280" s="510"/>
      <c r="Y280" s="510"/>
      <c r="Z280" s="510"/>
      <c r="AA280" s="510"/>
      <c r="AB280" s="510"/>
      <c r="AC280" s="510"/>
      <c r="AD280" s="510"/>
      <c r="AE280" s="510"/>
      <c r="AF280" s="510"/>
      <c r="AG280" s="510"/>
      <c r="AH280" s="510"/>
      <c r="AI280" s="510"/>
      <c r="AJ280" s="510"/>
      <c r="AK280" s="510"/>
      <c r="AL280" s="510"/>
      <c r="AM280" s="510"/>
      <c r="AN280" s="510"/>
    </row>
    <row r="281" spans="1:40" ht="15.75" customHeight="1">
      <c r="A281" s="523" t="s">
        <v>401</v>
      </c>
      <c r="B281" s="510" t="s">
        <v>99</v>
      </c>
      <c r="C281" s="600" t="s">
        <v>63</v>
      </c>
      <c r="D281" s="584"/>
      <c r="E281" s="510"/>
      <c r="F281" s="532">
        <f>+INDEX('[7]Budget original'!$A$2:$AO$501,MATCH($A281,'[7]Budget original'!$A$2:$A$501,0),MATCH(F$2,'[7]Budget original'!$A$2:$AO$2,0))</f>
        <v>205.2815388471198</v>
      </c>
      <c r="G281" s="585"/>
      <c r="H281" s="510"/>
      <c r="I281" s="532"/>
      <c r="J281" s="531"/>
      <c r="K281" s="510"/>
      <c r="L281" s="534">
        <f>SUMIFS([7]BV_Data_An_Cour!$O:$O,[7]BV_Data_An_Cour!$U:$U,$B281,[7]BV_Data_An_Cour!$V:$V,$C281,[7]BV_Data_An_Cour!$W:$W,$L$2)</f>
        <v>375.98</v>
      </c>
      <c r="M281" s="531"/>
      <c r="N281" s="557">
        <f t="shared" si="50"/>
        <v>170.69846115288021</v>
      </c>
      <c r="O281" s="531"/>
      <c r="P281" s="510"/>
      <c r="Q281" s="557">
        <f t="array" ref="Q281">+INDEX('[7]Réel 2023'!$A$2:$AO$501,MATCH($A281,'[7]Réel 2023'!$A$2:$A$501,0),MATCH(Q$2,'[7]Réel 2023'!$A$2:$AO$2,0))</f>
        <v>284.70999999999998</v>
      </c>
      <c r="R281" s="531"/>
      <c r="S281" s="557">
        <f t="shared" si="51"/>
        <v>91.270000000000039</v>
      </c>
      <c r="T281" s="510"/>
      <c r="X281" s="510"/>
      <c r="Y281" s="510"/>
      <c r="Z281" s="510"/>
      <c r="AA281" s="510"/>
      <c r="AB281" s="510"/>
      <c r="AC281" s="510"/>
      <c r="AD281" s="510"/>
      <c r="AE281" s="510"/>
      <c r="AF281" s="510"/>
      <c r="AG281" s="510"/>
      <c r="AH281" s="510"/>
      <c r="AI281" s="510"/>
      <c r="AJ281" s="510"/>
      <c r="AK281" s="510"/>
      <c r="AL281" s="510"/>
      <c r="AM281" s="510"/>
      <c r="AN281" s="510"/>
    </row>
    <row r="282" spans="1:40" ht="15.75" hidden="1" customHeight="1">
      <c r="A282" s="523" t="s">
        <v>381</v>
      </c>
      <c r="B282" s="510" t="s">
        <v>99</v>
      </c>
      <c r="C282" s="600" t="s">
        <v>20</v>
      </c>
      <c r="D282" s="584"/>
      <c r="E282" s="510"/>
      <c r="F282" s="532">
        <f>+INDEX('[7]Budget original'!$A$2:$AO$501,MATCH($A282,'[7]Budget original'!$A$2:$A$501,0),MATCH(F$2,'[7]Budget original'!$A$2:$AO$2,0))</f>
        <v>0</v>
      </c>
      <c r="G282" s="585"/>
      <c r="H282" s="510"/>
      <c r="I282" s="532"/>
      <c r="J282" s="531"/>
      <c r="K282" s="510"/>
      <c r="L282" s="534">
        <f>SUMIFS([7]BV_Data_An_Cour!$O:$O,[7]BV_Data_An_Cour!$U:$U,$B282,[7]BV_Data_An_Cour!$V:$V,$C282,[7]BV_Data_An_Cour!$W:$W,$L$2)</f>
        <v>0</v>
      </c>
      <c r="M282" s="531"/>
      <c r="N282" s="557">
        <f t="shared" si="50"/>
        <v>0</v>
      </c>
      <c r="O282" s="531"/>
      <c r="P282" s="510"/>
      <c r="Q282" s="534">
        <f t="array" ref="Q282">+INDEX('[7]Réel 2023'!$A$2:$AO$501,MATCH($A282,'[7]Réel 2023'!$A$2:$A$501,0),MATCH(Q$2,'[7]Réel 2023'!$A$2:$AO$2,0))</f>
        <v>0</v>
      </c>
      <c r="R282" s="531"/>
      <c r="S282" s="557">
        <f t="shared" si="51"/>
        <v>0</v>
      </c>
      <c r="T282" s="510"/>
      <c r="X282" s="510"/>
      <c r="Y282" s="510"/>
      <c r="Z282" s="510"/>
      <c r="AA282" s="510"/>
      <c r="AB282" s="510"/>
      <c r="AC282" s="510"/>
      <c r="AD282" s="510"/>
      <c r="AE282" s="510"/>
      <c r="AF282" s="510"/>
      <c r="AG282" s="510"/>
      <c r="AH282" s="510"/>
      <c r="AI282" s="510"/>
      <c r="AJ282" s="510"/>
      <c r="AK282" s="510"/>
      <c r="AL282" s="510"/>
      <c r="AM282" s="510"/>
      <c r="AN282" s="510"/>
    </row>
    <row r="283" spans="1:40" ht="15.75" hidden="1" customHeight="1">
      <c r="A283" s="523" t="s">
        <v>381</v>
      </c>
      <c r="B283" s="510" t="s">
        <v>99</v>
      </c>
      <c r="C283" s="600" t="s">
        <v>20</v>
      </c>
      <c r="D283" s="584"/>
      <c r="E283" s="510"/>
      <c r="F283" s="532">
        <f>+INDEX('[7]Budget original'!$A$2:$AO$501,MATCH($A283,'[7]Budget original'!$A$2:$A$501,0),MATCH(F$2,'[7]Budget original'!$A$2:$AO$2,0))</f>
        <v>0</v>
      </c>
      <c r="G283" s="585"/>
      <c r="H283" s="510"/>
      <c r="I283" s="532"/>
      <c r="J283" s="531"/>
      <c r="K283" s="510"/>
      <c r="L283" s="534">
        <f>SUMIFS([7]BV_Data_An_Cour!$O:$O,[7]BV_Data_An_Cour!$U:$U,$B283,[7]BV_Data_An_Cour!$V:$V,$C283,[7]BV_Data_An_Cour!$W:$W,$L$2)</f>
        <v>0</v>
      </c>
      <c r="M283" s="531"/>
      <c r="N283" s="557">
        <f t="shared" si="50"/>
        <v>0</v>
      </c>
      <c r="O283" s="531"/>
      <c r="P283" s="510"/>
      <c r="Q283" s="534">
        <f t="array" ref="Q283">+INDEX('[7]Réel 2023'!$A$2:$AO$501,MATCH($A283,'[7]Réel 2023'!$A$2:$A$501,0),MATCH(Q$2,'[7]Réel 2023'!$A$2:$AO$2,0))</f>
        <v>0</v>
      </c>
      <c r="R283" s="531"/>
      <c r="S283" s="557">
        <f t="shared" si="51"/>
        <v>0</v>
      </c>
      <c r="T283" s="510"/>
      <c r="X283" s="510"/>
      <c r="Y283" s="510"/>
      <c r="Z283" s="510"/>
      <c r="AA283" s="510"/>
      <c r="AB283" s="510"/>
      <c r="AC283" s="510"/>
      <c r="AD283" s="510"/>
      <c r="AE283" s="510"/>
      <c r="AF283" s="510"/>
      <c r="AG283" s="510"/>
      <c r="AH283" s="510"/>
      <c r="AI283" s="510"/>
      <c r="AJ283" s="510"/>
      <c r="AK283" s="510"/>
      <c r="AL283" s="510"/>
      <c r="AM283" s="510"/>
      <c r="AN283" s="510"/>
    </row>
    <row r="284" spans="1:40" ht="15.75" hidden="1" customHeight="1">
      <c r="A284" s="523" t="s">
        <v>381</v>
      </c>
      <c r="B284" s="510" t="s">
        <v>99</v>
      </c>
      <c r="C284" s="600" t="s">
        <v>20</v>
      </c>
      <c r="D284" s="584"/>
      <c r="E284" s="510"/>
      <c r="F284" s="532">
        <f>+INDEX('[7]Budget original'!$A$2:$AO$501,MATCH($A284,'[7]Budget original'!$A$2:$A$501,0),MATCH(F$2,'[7]Budget original'!$A$2:$AO$2,0))</f>
        <v>0</v>
      </c>
      <c r="G284" s="585"/>
      <c r="H284" s="510"/>
      <c r="I284" s="532"/>
      <c r="J284" s="531"/>
      <c r="K284" s="510"/>
      <c r="L284" s="534">
        <f>SUMIFS([7]BV_Data_An_Cour!$O:$O,[7]BV_Data_An_Cour!$U:$U,$B284,[7]BV_Data_An_Cour!$V:$V,$C284,[7]BV_Data_An_Cour!$W:$W,$L$2)</f>
        <v>0</v>
      </c>
      <c r="M284" s="531"/>
      <c r="N284" s="557">
        <f t="shared" si="50"/>
        <v>0</v>
      </c>
      <c r="O284" s="531"/>
      <c r="P284" s="510"/>
      <c r="Q284" s="534">
        <f t="array" ref="Q284">+INDEX('[7]Réel 2023'!$A$2:$AO$501,MATCH($A284,'[7]Réel 2023'!$A$2:$A$501,0),MATCH(Q$2,'[7]Réel 2023'!$A$2:$AO$2,0))</f>
        <v>0</v>
      </c>
      <c r="R284" s="531"/>
      <c r="S284" s="557">
        <f t="shared" si="51"/>
        <v>0</v>
      </c>
      <c r="T284" s="510"/>
      <c r="X284" s="510"/>
      <c r="Y284" s="510"/>
      <c r="Z284" s="510"/>
      <c r="AA284" s="510"/>
      <c r="AB284" s="510"/>
      <c r="AC284" s="510"/>
      <c r="AD284" s="510"/>
      <c r="AE284" s="510"/>
      <c r="AF284" s="510"/>
      <c r="AG284" s="510"/>
      <c r="AH284" s="510"/>
      <c r="AI284" s="510"/>
      <c r="AJ284" s="510"/>
      <c r="AK284" s="510"/>
      <c r="AL284" s="510"/>
      <c r="AM284" s="510"/>
      <c r="AN284" s="510"/>
    </row>
    <row r="285" spans="1:40" ht="15.75" customHeight="1">
      <c r="B285" s="510"/>
      <c r="C285" s="592" t="s">
        <v>64</v>
      </c>
      <c r="D285" s="593" t="s">
        <v>39</v>
      </c>
      <c r="E285" s="594" t="e">
        <f>F285/F$244</f>
        <v>#DIV/0!</v>
      </c>
      <c r="F285" s="595">
        <f>+SUM(F267:F284)</f>
        <v>4185.0475351586747</v>
      </c>
      <c r="G285" s="596"/>
      <c r="H285" s="594"/>
      <c r="I285" s="595"/>
      <c r="J285" s="596" t="s">
        <v>39</v>
      </c>
      <c r="K285" s="594">
        <f>L285/L$250</f>
        <v>3.2685124447109986</v>
      </c>
      <c r="L285" s="595">
        <f>+SUM(L267:L284)</f>
        <v>6975.7900000000009</v>
      </c>
      <c r="M285" s="599"/>
      <c r="N285" s="595">
        <f>+SUM(N267:N284)</f>
        <v>2790.7424648413253</v>
      </c>
      <c r="O285" s="596" t="s">
        <v>39</v>
      </c>
      <c r="P285" s="594">
        <f>IF(Q$244=0,0,Q285/Q$244)</f>
        <v>0</v>
      </c>
      <c r="Q285" s="595">
        <f>+SUM(Q267:Q284)</f>
        <v>8237.1899999999987</v>
      </c>
      <c r="R285" s="599"/>
      <c r="S285" s="595">
        <f t="shared" si="51"/>
        <v>-1261.3999999999978</v>
      </c>
      <c r="T285" s="571"/>
      <c r="X285" s="510"/>
      <c r="Y285" s="510"/>
      <c r="Z285" s="510"/>
      <c r="AA285" s="510"/>
      <c r="AB285" s="510"/>
      <c r="AC285" s="510"/>
      <c r="AD285" s="510"/>
      <c r="AE285" s="510"/>
      <c r="AF285" s="510"/>
      <c r="AG285" s="510"/>
      <c r="AH285" s="510"/>
      <c r="AI285" s="510"/>
      <c r="AJ285" s="510"/>
      <c r="AK285" s="510"/>
      <c r="AL285" s="510"/>
      <c r="AM285" s="510"/>
      <c r="AN285" s="510"/>
    </row>
    <row r="286" spans="1:40" ht="15.75" customHeight="1">
      <c r="B286" s="510"/>
      <c r="C286" s="524"/>
      <c r="D286" s="587"/>
      <c r="E286" s="607"/>
      <c r="F286" s="557"/>
      <c r="G286" s="588"/>
      <c r="H286" s="607"/>
      <c r="I286" s="557"/>
      <c r="J286" s="524"/>
      <c r="K286" s="607"/>
      <c r="L286" s="582"/>
      <c r="M286" s="524"/>
      <c r="N286" s="582"/>
      <c r="O286" s="524"/>
      <c r="P286" s="607"/>
      <c r="Q286" s="582"/>
      <c r="R286" s="524"/>
      <c r="S286" s="582"/>
      <c r="T286" s="571"/>
      <c r="U286" s="510"/>
      <c r="V286" s="510"/>
      <c r="W286" s="510"/>
      <c r="X286" s="510"/>
      <c r="Y286" s="510"/>
      <c r="Z286" s="510"/>
      <c r="AA286" s="510"/>
      <c r="AB286" s="510"/>
      <c r="AC286" s="510"/>
      <c r="AD286" s="510"/>
      <c r="AE286" s="510"/>
      <c r="AF286" s="510"/>
      <c r="AG286" s="510"/>
      <c r="AH286" s="510"/>
      <c r="AI286" s="510"/>
      <c r="AJ286" s="510"/>
      <c r="AK286" s="510"/>
      <c r="AL286" s="510"/>
      <c r="AM286" s="510"/>
      <c r="AN286" s="510"/>
    </row>
    <row r="287" spans="1:40" ht="15.75" customHeight="1">
      <c r="B287" s="510"/>
      <c r="C287" s="592" t="s">
        <v>65</v>
      </c>
      <c r="D287" s="593" t="s">
        <v>39</v>
      </c>
      <c r="E287" s="594" t="e">
        <f>F287/F$244</f>
        <v>#DIV/0!</v>
      </c>
      <c r="F287" s="595">
        <f>F266+F285</f>
        <v>12605.757537927904</v>
      </c>
      <c r="G287" s="596"/>
      <c r="H287" s="594"/>
      <c r="I287" s="595"/>
      <c r="J287" s="596" t="s">
        <v>39</v>
      </c>
      <c r="K287" s="594">
        <f>L287/L$250</f>
        <v>6.5151810480545791</v>
      </c>
      <c r="L287" s="595">
        <f>L266+L285</f>
        <v>13904.960000000003</v>
      </c>
      <c r="M287" s="599"/>
      <c r="N287" s="609">
        <f>L287-F287</f>
        <v>1299.2024620720986</v>
      </c>
      <c r="O287" s="596" t="s">
        <v>39</v>
      </c>
      <c r="P287" s="594">
        <f>IF(Q$244=0,0,Q287/Q$244)</f>
        <v>0</v>
      </c>
      <c r="Q287" s="595">
        <f>Q266+Q285</f>
        <v>15854.399999999998</v>
      </c>
      <c r="R287" s="599"/>
      <c r="S287" s="609">
        <f>L287-Q287</f>
        <v>-1949.4399999999951</v>
      </c>
      <c r="T287" s="571"/>
      <c r="U287" s="510"/>
      <c r="V287" s="510"/>
      <c r="W287" s="510"/>
      <c r="X287" s="510"/>
      <c r="Y287" s="510"/>
      <c r="Z287" s="510"/>
      <c r="AA287" s="510"/>
      <c r="AB287" s="510"/>
      <c r="AC287" s="510"/>
      <c r="AD287" s="510"/>
      <c r="AE287" s="510"/>
      <c r="AF287" s="510"/>
      <c r="AG287" s="510"/>
      <c r="AH287" s="510"/>
      <c r="AI287" s="510"/>
      <c r="AJ287" s="510"/>
      <c r="AK287" s="510"/>
      <c r="AL287" s="510"/>
      <c r="AM287" s="510"/>
      <c r="AN287" s="510"/>
    </row>
    <row r="288" spans="1:40" ht="15.75" customHeight="1">
      <c r="B288" s="510"/>
      <c r="C288" s="531"/>
      <c r="D288" s="584"/>
      <c r="E288" s="510"/>
      <c r="F288" s="557"/>
      <c r="G288" s="585"/>
      <c r="H288" s="510"/>
      <c r="I288" s="557"/>
      <c r="J288" s="531"/>
      <c r="K288" s="510"/>
      <c r="L288" s="557"/>
      <c r="M288" s="531"/>
      <c r="N288" s="557">
        <f>L288-F288</f>
        <v>0</v>
      </c>
      <c r="O288" s="531"/>
      <c r="P288" s="510"/>
      <c r="Q288" s="557"/>
      <c r="R288" s="531"/>
      <c r="S288" s="557"/>
      <c r="T288" s="510"/>
      <c r="U288" s="510"/>
      <c r="V288" s="510"/>
      <c r="W288" s="510"/>
      <c r="X288" s="510"/>
      <c r="Y288" s="510"/>
      <c r="Z288" s="510"/>
      <c r="AA288" s="510"/>
      <c r="AB288" s="510"/>
      <c r="AC288" s="510"/>
      <c r="AD288" s="510"/>
      <c r="AE288" s="510"/>
      <c r="AF288" s="510"/>
      <c r="AG288" s="510"/>
      <c r="AH288" s="510"/>
      <c r="AI288" s="510"/>
      <c r="AJ288" s="510"/>
      <c r="AK288" s="510"/>
      <c r="AL288" s="510"/>
      <c r="AM288" s="510"/>
      <c r="AN288" s="510"/>
    </row>
    <row r="289" spans="1:40" ht="29.25" customHeight="1" thickBot="1">
      <c r="B289" s="510"/>
      <c r="C289" s="625" t="s">
        <v>72</v>
      </c>
      <c r="D289" s="655"/>
      <c r="E289" s="626"/>
      <c r="F289" s="628">
        <f>F250-F287</f>
        <v>3679.0128982002407</v>
      </c>
      <c r="G289" s="656"/>
      <c r="H289" s="626"/>
      <c r="I289" s="628"/>
      <c r="J289" s="625"/>
      <c r="K289" s="627"/>
      <c r="L289" s="628">
        <f>L250-L287</f>
        <v>-11770.720000000003</v>
      </c>
      <c r="M289" s="625"/>
      <c r="N289" s="628">
        <f>L289-F289</f>
        <v>-15449.732898200244</v>
      </c>
      <c r="O289" s="625"/>
      <c r="P289" s="630">
        <f>+Q289/P250</f>
        <v>-6.3154534512534818E-2</v>
      </c>
      <c r="Q289" s="628">
        <f>Q250-Q287</f>
        <v>-4223.8700000000972</v>
      </c>
      <c r="R289" s="625"/>
      <c r="S289" s="628">
        <f>L289-Q289</f>
        <v>-7546.8499999999058</v>
      </c>
      <c r="T289" s="571"/>
      <c r="U289" s="510"/>
      <c r="V289" s="510"/>
      <c r="W289" s="510"/>
      <c r="X289" s="510"/>
      <c r="Y289" s="510"/>
      <c r="Z289" s="510"/>
      <c r="AA289" s="510"/>
      <c r="AB289" s="510"/>
      <c r="AC289" s="510"/>
      <c r="AD289" s="510"/>
      <c r="AE289" s="510"/>
      <c r="AF289" s="510"/>
      <c r="AG289" s="510"/>
      <c r="AH289" s="510"/>
      <c r="AI289" s="510"/>
      <c r="AJ289" s="510"/>
      <c r="AK289" s="510"/>
      <c r="AL289" s="510"/>
      <c r="AM289" s="510"/>
      <c r="AN289" s="510"/>
    </row>
    <row r="290" spans="1:40" ht="15.75" customHeight="1" thickTop="1">
      <c r="B290" s="510"/>
      <c r="C290" s="510"/>
      <c r="D290" s="510"/>
      <c r="E290" s="510"/>
      <c r="F290" s="510"/>
      <c r="G290" s="510"/>
      <c r="H290" s="510"/>
      <c r="I290" s="510"/>
      <c r="J290" s="510"/>
      <c r="K290" s="510"/>
      <c r="L290" s="573"/>
      <c r="M290" s="510"/>
      <c r="N290" s="510"/>
      <c r="O290" s="510"/>
      <c r="P290" s="510"/>
      <c r="Q290" s="510"/>
      <c r="R290" s="510"/>
      <c r="S290" s="510"/>
      <c r="T290" s="510"/>
      <c r="U290" s="510"/>
      <c r="V290" s="510"/>
      <c r="W290" s="510"/>
      <c r="X290" s="510"/>
      <c r="Y290" s="510"/>
      <c r="Z290" s="510"/>
      <c r="AA290" s="510"/>
      <c r="AB290" s="510"/>
      <c r="AC290" s="510"/>
      <c r="AD290" s="510"/>
      <c r="AE290" s="510"/>
      <c r="AF290" s="510"/>
      <c r="AG290" s="510"/>
      <c r="AH290" s="510"/>
      <c r="AI290" s="510"/>
      <c r="AJ290" s="510"/>
      <c r="AK290" s="510"/>
      <c r="AL290" s="510"/>
      <c r="AM290" s="510"/>
      <c r="AN290" s="510"/>
    </row>
    <row r="291" spans="1:40" ht="36" customHeight="1">
      <c r="B291" s="510"/>
      <c r="C291" s="635" t="str">
        <f>C1</f>
        <v>Volks</v>
      </c>
      <c r="D291" s="498"/>
      <c r="E291" s="498"/>
      <c r="F291" s="498"/>
      <c r="G291" s="498"/>
      <c r="H291" s="496"/>
      <c r="I291" s="496"/>
      <c r="J291" s="496"/>
      <c r="K291" s="500" t="s">
        <v>103</v>
      </c>
      <c r="L291" s="498"/>
      <c r="M291" s="498"/>
      <c r="N291" s="496"/>
      <c r="O291" s="496"/>
      <c r="P291" s="498"/>
      <c r="Q291" s="496"/>
      <c r="R291" s="498"/>
      <c r="S291" s="636" t="str">
        <f>$S$1</f>
        <v>Réalisé, Novembre 2024</v>
      </c>
      <c r="T291" s="510"/>
      <c r="U291" s="510"/>
      <c r="V291" s="510"/>
      <c r="W291" s="510"/>
      <c r="X291" s="510"/>
      <c r="Y291" s="510"/>
      <c r="Z291" s="510"/>
      <c r="AA291" s="510"/>
      <c r="AB291" s="510"/>
      <c r="AC291" s="510"/>
      <c r="AD291" s="510"/>
      <c r="AE291" s="510"/>
      <c r="AF291" s="510"/>
      <c r="AG291" s="510"/>
      <c r="AH291" s="510"/>
      <c r="AI291" s="510"/>
      <c r="AJ291" s="510"/>
      <c r="AK291" s="510"/>
      <c r="AL291" s="510"/>
      <c r="AM291" s="510"/>
      <c r="AN291" s="510"/>
    </row>
    <row r="292" spans="1:40" ht="15.75" customHeight="1" thickBot="1">
      <c r="B292" s="510"/>
      <c r="C292" s="505"/>
      <c r="D292" s="507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10"/>
      <c r="U292" s="510"/>
      <c r="V292" s="510"/>
      <c r="W292" s="510"/>
      <c r="X292" s="510"/>
      <c r="Y292" s="510"/>
      <c r="Z292" s="510"/>
      <c r="AA292" s="510"/>
      <c r="AB292" s="510"/>
      <c r="AC292" s="510"/>
      <c r="AD292" s="510"/>
      <c r="AE292" s="510"/>
      <c r="AF292" s="510"/>
      <c r="AG292" s="510"/>
      <c r="AH292" s="510"/>
      <c r="AI292" s="510"/>
      <c r="AJ292" s="510"/>
      <c r="AK292" s="510"/>
      <c r="AL292" s="510"/>
      <c r="AM292" s="510"/>
      <c r="AN292" s="510"/>
    </row>
    <row r="293" spans="1:40" ht="15.75" customHeight="1" thickTop="1">
      <c r="B293" s="510"/>
      <c r="C293" s="511"/>
      <c r="D293" s="512" t="s">
        <v>5</v>
      </c>
      <c r="E293" s="513"/>
      <c r="F293" s="514"/>
      <c r="G293" s="515"/>
      <c r="H293" s="513"/>
      <c r="I293" s="514"/>
      <c r="J293" s="515" t="s">
        <v>7</v>
      </c>
      <c r="K293" s="513"/>
      <c r="L293" s="514"/>
      <c r="M293" s="515" t="s">
        <v>220</v>
      </c>
      <c r="N293" s="514"/>
      <c r="O293" s="512" t="s">
        <v>8</v>
      </c>
      <c r="P293" s="513"/>
      <c r="Q293" s="514"/>
      <c r="R293" s="515" t="s">
        <v>221</v>
      </c>
      <c r="S293" s="514"/>
      <c r="T293" s="510"/>
      <c r="U293" s="510"/>
      <c r="V293" s="510"/>
      <c r="W293" s="510"/>
      <c r="X293" s="510"/>
      <c r="Y293" s="510"/>
      <c r="Z293" s="510"/>
      <c r="AA293" s="510"/>
      <c r="AB293" s="510"/>
      <c r="AC293" s="510"/>
      <c r="AD293" s="510"/>
      <c r="AE293" s="510"/>
      <c r="AF293" s="510"/>
      <c r="AG293" s="510"/>
      <c r="AH293" s="510"/>
      <c r="AI293" s="510"/>
      <c r="AJ293" s="510"/>
      <c r="AK293" s="510"/>
      <c r="AL293" s="510"/>
      <c r="AM293" s="510"/>
      <c r="AN293" s="510"/>
    </row>
    <row r="294" spans="1:40" ht="15.75" customHeight="1">
      <c r="A294" s="523" t="s">
        <v>103</v>
      </c>
      <c r="B294" s="510" t="s">
        <v>103</v>
      </c>
      <c r="C294" s="531"/>
      <c r="D294" s="575" t="s">
        <v>84</v>
      </c>
      <c r="E294" s="575" t="s">
        <v>104</v>
      </c>
      <c r="F294" s="658" t="s">
        <v>12</v>
      </c>
      <c r="G294" s="659"/>
      <c r="H294" s="575"/>
      <c r="I294" s="658"/>
      <c r="J294" s="659" t="s">
        <v>84</v>
      </c>
      <c r="K294" s="575" t="s">
        <v>104</v>
      </c>
      <c r="L294" s="658" t="s">
        <v>12</v>
      </c>
      <c r="M294" s="659" t="s">
        <v>40</v>
      </c>
      <c r="N294" s="658" t="s">
        <v>223</v>
      </c>
      <c r="O294" s="575" t="s">
        <v>84</v>
      </c>
      <c r="P294" s="575" t="s">
        <v>104</v>
      </c>
      <c r="Q294" s="658" t="s">
        <v>12</v>
      </c>
      <c r="R294" s="659" t="s">
        <v>85</v>
      </c>
      <c r="S294" s="658" t="s">
        <v>12</v>
      </c>
      <c r="T294" s="510"/>
      <c r="U294" s="510"/>
      <c r="V294" s="510"/>
      <c r="W294" s="510"/>
      <c r="X294" s="510"/>
      <c r="Y294" s="510"/>
      <c r="Z294" s="510"/>
      <c r="AA294" s="510"/>
      <c r="AB294" s="510"/>
      <c r="AC294" s="510"/>
      <c r="AD294" s="510"/>
      <c r="AE294" s="510"/>
      <c r="AF294" s="510"/>
      <c r="AG294" s="510"/>
      <c r="AH294" s="510"/>
      <c r="AI294" s="510"/>
      <c r="AJ294" s="510"/>
      <c r="AK294" s="510"/>
      <c r="AL294" s="510"/>
      <c r="AM294" s="510"/>
      <c r="AN294" s="510"/>
    </row>
    <row r="295" spans="1:40" ht="15.75" customHeight="1">
      <c r="A295" s="523" t="s">
        <v>402</v>
      </c>
      <c r="B295" s="510" t="s">
        <v>103</v>
      </c>
      <c r="C295" s="531" t="s">
        <v>105</v>
      </c>
      <c r="D295" s="573">
        <f>+INDEX('[7]Budget original'!$A$2:$AO$501,MATCH($A295,'[7]Budget original'!$A$2:$A$501,0),MATCH(D$2,'[7]Budget original'!$A$2:$AO$2,0))</f>
        <v>209218.22459999999</v>
      </c>
      <c r="E295" s="648">
        <f>IF(D295=0,0,F295/D295)</f>
        <v>0.34200000000000003</v>
      </c>
      <c r="F295" s="557">
        <f>+INDEX('[7]Budget original'!$A$2:$AO$501,MATCH($A295,'[7]Budget original'!$A$2:$A$501,0),MATCH(F$2,'[7]Budget original'!$A$2:$AO$2,0))</f>
        <v>71552.632813200005</v>
      </c>
      <c r="G295" s="573"/>
      <c r="H295" s="648"/>
      <c r="I295" s="557"/>
      <c r="J295" s="532">
        <f>-SUMIFS([7]BV_Data_An_Cour!$O:$O,[7]BV_Data_An_Cour!$X:$X,"Oui",[7]BV_Data_An_Cour!$U:$U,$B295,[7]BV_Data_An_Cour!$V:$V,$C295)</f>
        <v>160638.01</v>
      </c>
      <c r="K295" s="648">
        <f t="shared" ref="K295:K304" si="52">IF(J295&lt;=0,0,L295/J295)</f>
        <v>0.28651469225745518</v>
      </c>
      <c r="L295" s="557">
        <f>-SUMIFS([7]BV_Data_An_Cour!$O:$O,[7]BV_Data_An_Cour!$U:$U,$B295,[7]BV_Data_An_Cour!$V:$V,$C295,[7]BV_Data_An_Cour!$W:$W,$L$2)</f>
        <v>46025.150000000009</v>
      </c>
      <c r="M295" s="577">
        <f t="shared" ref="M295:M301" si="53">(+J295-D295)/D295</f>
        <v>-0.23219877089043983</v>
      </c>
      <c r="N295" s="557">
        <f t="shared" ref="N295:N304" si="54">L295-F295</f>
        <v>-25527.482813199997</v>
      </c>
      <c r="O295" s="532">
        <f t="array" ref="O295">+INDEX('[7]Réel 2023'!$A$2:$AO$501,MATCH($A295,'[7]Réel 2023'!$A$2:$A$501,0),MATCH(O$2,'[7]Réel 2023'!$A$2:$AO$2,0))</f>
        <v>133780.1</v>
      </c>
      <c r="P295" s="648">
        <f t="shared" ref="P295:P303" si="55">IF(O295=0,0,Q295/O295)</f>
        <v>0.36223406919265272</v>
      </c>
      <c r="Q295" s="557">
        <f t="array" ref="Q295">+INDEX('[7]Réel 2023'!$A$2:$AO$501,MATCH($A295,'[7]Réel 2023'!$A$2:$A$501,0),MATCH(Q$2,'[7]Réel 2023'!$A$2:$AO$2,0))</f>
        <v>48459.71</v>
      </c>
      <c r="R295" s="577">
        <f t="shared" ref="R295:R304" si="56">IF(O295=0,0,(J295-O295)/O295)</f>
        <v>0.20076162299176037</v>
      </c>
      <c r="S295" s="557">
        <f t="shared" ref="S295:S304" si="57">L295-Q295</f>
        <v>-2434.5599999999904</v>
      </c>
      <c r="T295" s="510"/>
      <c r="U295" s="510"/>
      <c r="V295" s="510"/>
      <c r="W295" s="510"/>
      <c r="X295" s="510"/>
      <c r="Y295" s="510"/>
      <c r="Z295" s="510"/>
      <c r="AA295" s="510"/>
      <c r="AB295" s="510"/>
      <c r="AC295" s="510"/>
      <c r="AD295" s="510"/>
      <c r="AE295" s="510"/>
      <c r="AF295" s="510"/>
      <c r="AG295" s="510"/>
      <c r="AH295" s="510"/>
      <c r="AI295" s="510"/>
      <c r="AJ295" s="510"/>
      <c r="AK295" s="510"/>
      <c r="AL295" s="510"/>
      <c r="AM295" s="510"/>
      <c r="AN295" s="510"/>
    </row>
    <row r="296" spans="1:40" ht="15.75" customHeight="1">
      <c r="A296" s="523" t="s">
        <v>403</v>
      </c>
      <c r="B296" s="510" t="s">
        <v>103</v>
      </c>
      <c r="C296" s="531" t="s">
        <v>106</v>
      </c>
      <c r="D296" s="573">
        <f>+INDEX('[7]Budget original'!$A$2:$AO$501,MATCH($A296,'[7]Budget original'!$A$2:$A$501,0),MATCH(D$2,'[7]Budget original'!$A$2:$AO$2,0))</f>
        <v>74393.158025585159</v>
      </c>
      <c r="E296" s="648">
        <f t="shared" ref="E296:E303" si="58">IF(D296=0,0,F296/D296)</f>
        <v>0.248</v>
      </c>
      <c r="F296" s="557">
        <f>+INDEX('[7]Budget original'!$A$2:$AO$501,MATCH($A296,'[7]Budget original'!$A$2:$A$501,0),MATCH(F$2,'[7]Budget original'!$A$2:$AO$2,0))</f>
        <v>18449.50319034512</v>
      </c>
      <c r="G296" s="573"/>
      <c r="H296" s="648"/>
      <c r="I296" s="557"/>
      <c r="J296" s="532">
        <f>-SUMIFS([7]BV_Data_An_Cour!$O:$O,[7]BV_Data_An_Cour!$X:$X,"Oui",[7]BV_Data_An_Cour!$U:$U,$B296,[7]BV_Data_An_Cour!$V:$V,$C296)</f>
        <v>5618.74</v>
      </c>
      <c r="K296" s="648">
        <f t="shared" si="52"/>
        <v>0.27197200795907978</v>
      </c>
      <c r="L296" s="557">
        <f>-SUMIFS([7]BV_Data_An_Cour!$O:$O,[7]BV_Data_An_Cour!$U:$U,$B296,[7]BV_Data_An_Cour!$V:$V,$C296,[7]BV_Data_An_Cour!$W:$W,$L$2)</f>
        <v>1528.1399999999999</v>
      </c>
      <c r="M296" s="577">
        <f t="shared" si="53"/>
        <v>-0.92447235540037676</v>
      </c>
      <c r="N296" s="557">
        <f t="shared" si="54"/>
        <v>-16921.363190345121</v>
      </c>
      <c r="O296" s="532">
        <f t="array" ref="O296">+INDEX('[7]Réel 2023'!$A$2:$AO$501,MATCH($A296,'[7]Réel 2023'!$A$2:$A$501,0),MATCH(O$2,'[7]Réel 2023'!$A$2:$AO$2,0))</f>
        <v>36556.910000000003</v>
      </c>
      <c r="P296" s="648">
        <f t="shared" si="55"/>
        <v>0.24894773655650873</v>
      </c>
      <c r="Q296" s="557">
        <f t="array" ref="Q296">+INDEX('[7]Réel 2023'!$A$2:$AO$501,MATCH($A296,'[7]Réel 2023'!$A$2:$A$501,0),MATCH(Q$2,'[7]Réel 2023'!$A$2:$AO$2,0))</f>
        <v>9100.76</v>
      </c>
      <c r="R296" s="577">
        <f t="shared" si="56"/>
        <v>-0.84630156104550414</v>
      </c>
      <c r="S296" s="557">
        <f t="shared" si="57"/>
        <v>-7572.6200000000008</v>
      </c>
      <c r="T296" s="510"/>
      <c r="U296" s="510"/>
      <c r="V296" s="510"/>
      <c r="W296" s="510"/>
      <c r="X296" s="510"/>
      <c r="Y296" s="510"/>
      <c r="Z296" s="510"/>
      <c r="AA296" s="510"/>
      <c r="AB296" s="510"/>
      <c r="AC296" s="510"/>
      <c r="AD296" s="510"/>
      <c r="AE296" s="510"/>
      <c r="AF296" s="510"/>
      <c r="AG296" s="510"/>
      <c r="AH296" s="510"/>
      <c r="AI296" s="510"/>
      <c r="AJ296" s="510"/>
      <c r="AK296" s="510"/>
      <c r="AL296" s="510"/>
      <c r="AM296" s="510"/>
      <c r="AN296" s="510"/>
    </row>
    <row r="297" spans="1:40" ht="15.75" customHeight="1">
      <c r="A297" s="523" t="s">
        <v>404</v>
      </c>
      <c r="B297" s="510" t="s">
        <v>103</v>
      </c>
      <c r="C297" s="531" t="s">
        <v>107</v>
      </c>
      <c r="D297" s="573">
        <f>+INDEX('[7]Budget original'!$A$2:$AO$501,MATCH($A297,'[7]Budget original'!$A$2:$A$501,0),MATCH(D$2,'[7]Budget original'!$A$2:$AO$2,0))</f>
        <v>77706</v>
      </c>
      <c r="E297" s="648">
        <f t="shared" si="58"/>
        <v>0.24300000000000002</v>
      </c>
      <c r="F297" s="557">
        <f>+INDEX('[7]Budget original'!$A$2:$AO$501,MATCH($A297,'[7]Budget original'!$A$2:$A$501,0),MATCH(F$2,'[7]Budget original'!$A$2:$AO$2,0))</f>
        <v>18882.558000000001</v>
      </c>
      <c r="G297" s="573"/>
      <c r="H297" s="648"/>
      <c r="I297" s="557"/>
      <c r="J297" s="532">
        <f>-SUMIFS([7]BV_Data_An_Cour!$O:$O,[7]BV_Data_An_Cour!$X:$X,"Oui",[7]BV_Data_An_Cour!$U:$U,$B297,[7]BV_Data_An_Cour!$V:$V,$C297)</f>
        <v>45564.35</v>
      </c>
      <c r="K297" s="648">
        <f t="shared" si="52"/>
        <v>0.23116120387978759</v>
      </c>
      <c r="L297" s="557">
        <f>-SUMIFS([7]BV_Data_An_Cour!$O:$O,[7]BV_Data_An_Cour!$U:$U,$B297,[7]BV_Data_An_Cour!$V:$V,$C297,[7]BV_Data_An_Cour!$W:$W,$L$2)</f>
        <v>10532.71</v>
      </c>
      <c r="M297" s="577">
        <f t="shared" si="53"/>
        <v>-0.41363150850642166</v>
      </c>
      <c r="N297" s="557">
        <f t="shared" si="54"/>
        <v>-8349.8480000000018</v>
      </c>
      <c r="O297" s="532">
        <f t="array" ref="O297">+INDEX('[7]Réel 2023'!$A$2:$AO$501,MATCH($A297,'[7]Réel 2023'!$A$2:$A$501,0),MATCH(O$2,'[7]Réel 2023'!$A$2:$AO$2,0))</f>
        <v>27809.93</v>
      </c>
      <c r="P297" s="648">
        <f t="shared" si="55"/>
        <v>0.1430377566574238</v>
      </c>
      <c r="Q297" s="557">
        <f t="array" ref="Q297">+INDEX('[7]Réel 2023'!$A$2:$AO$501,MATCH($A297,'[7]Réel 2023'!$A$2:$A$501,0),MATCH(Q$2,'[7]Réel 2023'!$A$2:$AO$2,0))</f>
        <v>3977.8699999999899</v>
      </c>
      <c r="R297" s="577">
        <f t="shared" si="56"/>
        <v>0.63842016143154612</v>
      </c>
      <c r="S297" s="557">
        <f t="shared" si="57"/>
        <v>6554.8400000000092</v>
      </c>
      <c r="T297" s="510"/>
      <c r="U297" s="510"/>
      <c r="V297" s="510"/>
      <c r="W297" s="510"/>
      <c r="X297" s="510"/>
      <c r="Y297" s="510"/>
      <c r="Z297" s="510"/>
      <c r="AA297" s="510"/>
      <c r="AB297" s="510"/>
      <c r="AC297" s="510"/>
      <c r="AD297" s="510"/>
      <c r="AE297" s="510"/>
      <c r="AF297" s="510"/>
      <c r="AG297" s="510"/>
      <c r="AH297" s="510"/>
      <c r="AI297" s="510"/>
      <c r="AJ297" s="510"/>
      <c r="AK297" s="510"/>
      <c r="AL297" s="510"/>
      <c r="AM297" s="510"/>
      <c r="AN297" s="510"/>
    </row>
    <row r="298" spans="1:40" ht="15.75" customHeight="1">
      <c r="A298" s="523" t="s">
        <v>405</v>
      </c>
      <c r="B298" s="510" t="s">
        <v>103</v>
      </c>
      <c r="C298" s="531" t="s">
        <v>108</v>
      </c>
      <c r="D298" s="573">
        <f>+INDEX('[7]Budget original'!$A$2:$AO$501,MATCH($A298,'[7]Budget original'!$A$2:$A$501,0),MATCH(D$2,'[7]Budget original'!$A$2:$AO$2,0))</f>
        <v>56005.685384712364</v>
      </c>
      <c r="E298" s="648">
        <f t="shared" si="58"/>
        <v>0.316</v>
      </c>
      <c r="F298" s="557">
        <f>+INDEX('[7]Budget original'!$A$2:$AO$501,MATCH($A298,'[7]Budget original'!$A$2:$A$501,0),MATCH(F$2,'[7]Budget original'!$A$2:$AO$2,0))</f>
        <v>17697.796581569106</v>
      </c>
      <c r="G298" s="573"/>
      <c r="H298" s="648"/>
      <c r="I298" s="557"/>
      <c r="J298" s="532">
        <f>-SUMIFS([7]BV_Data_An_Cour!$O:$O,[7]BV_Data_An_Cour!$X:$X,"Oui",[7]BV_Data_An_Cour!$U:$U,$B298,[7]BV_Data_An_Cour!$V:$V,$C298)</f>
        <v>70580.36</v>
      </c>
      <c r="K298" s="648">
        <f t="shared" si="52"/>
        <v>0.28399415928170391</v>
      </c>
      <c r="L298" s="557">
        <f>-SUMIFS([7]BV_Data_An_Cour!$O:$O,[7]BV_Data_An_Cour!$U:$U,$B298,[7]BV_Data_An_Cour!$V:$V,$C298,[7]BV_Data_An_Cour!$W:$W,$L$2)</f>
        <v>20044.410000000003</v>
      </c>
      <c r="M298" s="577">
        <f t="shared" si="53"/>
        <v>0.26023562635064235</v>
      </c>
      <c r="N298" s="557">
        <f t="shared" si="54"/>
        <v>2346.6134184308976</v>
      </c>
      <c r="O298" s="532">
        <f t="array" ref="O298">+INDEX('[7]Réel 2023'!$A$2:$AO$501,MATCH($A298,'[7]Réel 2023'!$A$2:$A$501,0),MATCH(O$2,'[7]Réel 2023'!$A$2:$AO$2,0))</f>
        <v>67622.210000000006</v>
      </c>
      <c r="P298" s="648">
        <f t="shared" si="55"/>
        <v>0.28324288721116919</v>
      </c>
      <c r="Q298" s="557">
        <f t="array" ref="Q298">+INDEX('[7]Réel 2023'!$A$2:$AO$501,MATCH($A298,'[7]Réel 2023'!$A$2:$A$501,0),MATCH(Q$2,'[7]Réel 2023'!$A$2:$AO$2,0))</f>
        <v>19153.509999999998</v>
      </c>
      <c r="R298" s="577">
        <f t="shared" si="56"/>
        <v>4.3745242872127277E-2</v>
      </c>
      <c r="S298" s="557">
        <f t="shared" si="57"/>
        <v>890.90000000000509</v>
      </c>
      <c r="T298" s="510"/>
      <c r="U298" s="510"/>
      <c r="V298" s="510"/>
      <c r="W298" s="510"/>
      <c r="X298" s="510"/>
      <c r="Y298" s="510"/>
      <c r="Z298" s="510"/>
      <c r="AA298" s="510"/>
      <c r="AB298" s="510"/>
      <c r="AC298" s="510"/>
      <c r="AD298" s="510"/>
      <c r="AE298" s="510"/>
      <c r="AF298" s="510"/>
      <c r="AG298" s="510"/>
      <c r="AH298" s="510"/>
      <c r="AI298" s="510"/>
      <c r="AJ298" s="510"/>
      <c r="AK298" s="510"/>
      <c r="AL298" s="510"/>
      <c r="AM298" s="510"/>
      <c r="AN298" s="510"/>
    </row>
    <row r="299" spans="1:40" ht="15.75" customHeight="1">
      <c r="A299" s="523" t="s">
        <v>406</v>
      </c>
      <c r="B299" s="510" t="s">
        <v>103</v>
      </c>
      <c r="C299" s="531" t="s">
        <v>109</v>
      </c>
      <c r="D299" s="573">
        <f>+INDEX('[7]Budget original'!$A$2:$AO$501,MATCH($A299,'[7]Budget original'!$A$2:$A$501,0),MATCH(D$2,'[7]Budget original'!$A$2:$AO$2,0))</f>
        <v>25563.600000000002</v>
      </c>
      <c r="E299" s="648">
        <f t="shared" si="58"/>
        <v>0.26500000000000001</v>
      </c>
      <c r="F299" s="557">
        <f>+INDEX('[7]Budget original'!$A$2:$AO$501,MATCH($A299,'[7]Budget original'!$A$2:$A$501,0),MATCH(F$2,'[7]Budget original'!$A$2:$AO$2,0))</f>
        <v>6774.3540000000012</v>
      </c>
      <c r="G299" s="573"/>
      <c r="H299" s="648"/>
      <c r="I299" s="557"/>
      <c r="J299" s="532">
        <f>-SUMIFS([7]BV_Data_An_Cour!$O:$O,[7]BV_Data_An_Cour!$X:$X,"Oui",[7]BV_Data_An_Cour!$U:$U,$B299,[7]BV_Data_An_Cour!$V:$V,$C299)</f>
        <v>32301.17</v>
      </c>
      <c r="K299" s="648">
        <f t="shared" si="52"/>
        <v>0.21911373488947916</v>
      </c>
      <c r="L299" s="557">
        <f>-SUMIFS([7]BV_Data_An_Cour!$O:$O,[7]BV_Data_An_Cour!$U:$U,$B299,[7]BV_Data_An_Cour!$V:$V,$C299,[7]BV_Data_An_Cour!$W:$W,$L$2)</f>
        <v>7077.6299999999974</v>
      </c>
      <c r="M299" s="577">
        <f t="shared" si="53"/>
        <v>0.26356107903425163</v>
      </c>
      <c r="N299" s="557">
        <f t="shared" si="54"/>
        <v>303.2759999999962</v>
      </c>
      <c r="O299" s="532">
        <f t="array" ref="O299">+INDEX('[7]Réel 2023'!$A$2:$AO$501,MATCH($A299,'[7]Réel 2023'!$A$2:$A$501,0),MATCH(O$2,'[7]Réel 2023'!$A$2:$AO$2,0))</f>
        <v>22817.25</v>
      </c>
      <c r="P299" s="648">
        <f t="shared" si="55"/>
        <v>0.23199027051901522</v>
      </c>
      <c r="Q299" s="557">
        <f t="array" ref="Q299">+INDEX('[7]Réel 2023'!$A$2:$AO$501,MATCH($A299,'[7]Réel 2023'!$A$2:$A$501,0),MATCH(Q$2,'[7]Réel 2023'!$A$2:$AO$2,0))</f>
        <v>5293.38</v>
      </c>
      <c r="R299" s="577">
        <f t="shared" si="56"/>
        <v>0.41564693378912876</v>
      </c>
      <c r="S299" s="557">
        <f t="shared" si="57"/>
        <v>1784.2499999999973</v>
      </c>
      <c r="T299" s="510"/>
      <c r="U299" s="510"/>
      <c r="V299" s="510"/>
      <c r="W299" s="510"/>
      <c r="X299" s="510"/>
      <c r="Y299" s="510"/>
      <c r="Z299" s="510"/>
      <c r="AA299" s="510"/>
      <c r="AB299" s="510"/>
      <c r="AC299" s="510"/>
      <c r="AD299" s="510"/>
      <c r="AE299" s="510"/>
      <c r="AF299" s="510"/>
      <c r="AG299" s="510"/>
      <c r="AH299" s="510"/>
      <c r="AI299" s="510"/>
      <c r="AJ299" s="510"/>
      <c r="AK299" s="510"/>
      <c r="AL299" s="510"/>
      <c r="AM299" s="510"/>
      <c r="AN299" s="510"/>
    </row>
    <row r="300" spans="1:40" ht="15.75" customHeight="1">
      <c r="A300" s="523" t="s">
        <v>407</v>
      </c>
      <c r="B300" s="510" t="s">
        <v>103</v>
      </c>
      <c r="C300" s="531" t="s">
        <v>110</v>
      </c>
      <c r="D300" s="573">
        <f>+INDEX('[7]Budget original'!$A$2:$AO$501,MATCH($A300,'[7]Budget original'!$A$2:$A$501,0),MATCH(D$2,'[7]Budget original'!$A$2:$AO$2,0))</f>
        <v>140837.08896621366</v>
      </c>
      <c r="E300" s="648">
        <f t="shared" si="58"/>
        <v>0.14499999999999999</v>
      </c>
      <c r="F300" s="557">
        <f>+INDEX('[7]Budget original'!$A$2:$AO$501,MATCH($A300,'[7]Budget original'!$A$2:$A$501,0),MATCH(F$2,'[7]Budget original'!$A$2:$AO$2,0))</f>
        <v>20421.377900100979</v>
      </c>
      <c r="G300" s="573"/>
      <c r="H300" s="648"/>
      <c r="I300" s="557"/>
      <c r="J300" s="532">
        <f>-SUMIFS([7]BV_Data_An_Cour!$O:$O,[7]BV_Data_An_Cour!$X:$X,"Oui",[7]BV_Data_An_Cour!$U:$U,$B300,[7]BV_Data_An_Cour!$V:$V,$C300)</f>
        <v>140151.78</v>
      </c>
      <c r="K300" s="648">
        <f t="shared" si="52"/>
        <v>0.13822022096330133</v>
      </c>
      <c r="L300" s="557">
        <f>-SUMIFS([7]BV_Data_An_Cour!$O:$O,[7]BV_Data_An_Cour!$U:$U,$B300,[7]BV_Data_An_Cour!$V:$V,$C300,[7]BV_Data_An_Cour!$W:$W,$L$2)</f>
        <v>19371.809999999998</v>
      </c>
      <c r="M300" s="577">
        <f t="shared" si="53"/>
        <v>-4.8659694065251941E-3</v>
      </c>
      <c r="N300" s="557">
        <f t="shared" si="54"/>
        <v>-1049.5679001009812</v>
      </c>
      <c r="O300" s="532">
        <f t="array" ref="O300">+INDEX('[7]Réel 2023'!$A$2:$AO$501,MATCH($A300,'[7]Réel 2023'!$A$2:$A$501,0),MATCH(O$2,'[7]Réel 2023'!$A$2:$AO$2,0))</f>
        <v>123520.37</v>
      </c>
      <c r="P300" s="648">
        <f t="shared" si="55"/>
        <v>0.17072520103364247</v>
      </c>
      <c r="Q300" s="557">
        <f t="array" ref="Q300">+INDEX('[7]Réel 2023'!$A$2:$AO$501,MATCH($A300,'[7]Réel 2023'!$A$2:$A$501,0),MATCH(Q$2,'[7]Réel 2023'!$A$2:$AO$2,0))</f>
        <v>21088.039999999899</v>
      </c>
      <c r="R300" s="577">
        <f t="shared" si="56"/>
        <v>0.13464507918815338</v>
      </c>
      <c r="S300" s="557">
        <f t="shared" si="57"/>
        <v>-1716.2299999999013</v>
      </c>
      <c r="T300" s="510"/>
      <c r="U300" s="510"/>
      <c r="V300" s="510"/>
      <c r="W300" s="510"/>
      <c r="X300" s="510"/>
      <c r="Y300" s="510"/>
      <c r="Z300" s="510"/>
      <c r="AA300" s="510"/>
      <c r="AB300" s="510"/>
      <c r="AC300" s="510"/>
      <c r="AD300" s="510"/>
      <c r="AE300" s="510"/>
      <c r="AF300" s="510"/>
      <c r="AG300" s="510"/>
      <c r="AH300" s="510"/>
      <c r="AI300" s="510"/>
      <c r="AJ300" s="510"/>
      <c r="AK300" s="510"/>
      <c r="AL300" s="510"/>
      <c r="AM300" s="510"/>
      <c r="AN300" s="510"/>
    </row>
    <row r="301" spans="1:40" ht="15.75" hidden="1" customHeight="1">
      <c r="A301" s="523" t="s">
        <v>408</v>
      </c>
      <c r="B301" s="510" t="s">
        <v>103</v>
      </c>
      <c r="C301" s="531" t="s">
        <v>20</v>
      </c>
      <c r="D301" s="573">
        <f>+INDEX('[7]Budget original'!$A$2:$AO$501,MATCH($A301,'[7]Budget original'!$A$2:$A$501,0),MATCH(D$2,'[7]Budget original'!$A$2:$AO$2,0))</f>
        <v>0</v>
      </c>
      <c r="E301" s="648">
        <f>IF(D301=0,0,F301/D301)</f>
        <v>0</v>
      </c>
      <c r="F301" s="557">
        <f>+INDEX('[7]Budget original'!$A$2:$AO$501,MATCH($A301,'[7]Budget original'!$A$2:$A$501,0),MATCH(F$2,'[7]Budget original'!$A$2:$AO$2,0))</f>
        <v>0</v>
      </c>
      <c r="G301" s="573"/>
      <c r="H301" s="648"/>
      <c r="I301" s="557"/>
      <c r="J301" s="532">
        <f>-SUMIFS([7]BV_Data_An_Cour!$O:$O,[7]BV_Data_An_Cour!$X:$X,"Oui",[7]BV_Data_An_Cour!$U:$U,$B301,[7]BV_Data_An_Cour!$V:$V,$C301)</f>
        <v>0</v>
      </c>
      <c r="K301" s="648">
        <f t="shared" si="52"/>
        <v>0</v>
      </c>
      <c r="L301" s="557">
        <f>-SUMIFS([7]BV_Data_An_Cour!$O:$O,[7]BV_Data_An_Cour!$U:$U,$B301,[7]BV_Data_An_Cour!$V:$V,$C301,[7]BV_Data_An_Cour!$W:$W,$L$2)</f>
        <v>0</v>
      </c>
      <c r="M301" s="577" t="e">
        <f t="shared" si="53"/>
        <v>#DIV/0!</v>
      </c>
      <c r="N301" s="557">
        <f t="shared" si="54"/>
        <v>0</v>
      </c>
      <c r="O301" s="532">
        <f t="array" ref="O301">+INDEX('[7]Réel 2023'!$A$2:$AO$501,MATCH($A301,'[7]Réel 2023'!$A$2:$A$501,0),MATCH(O$2,'[7]Réel 2023'!$A$2:$AO$2,0))</f>
        <v>0</v>
      </c>
      <c r="P301" s="648">
        <f t="shared" si="55"/>
        <v>0</v>
      </c>
      <c r="Q301" s="557">
        <f t="array" ref="Q301">+INDEX('[7]Réel 2023'!$A$2:$AO$501,MATCH($A301,'[7]Réel 2023'!$A$2:$A$501,0),MATCH(Q$2,'[7]Réel 2023'!$A$2:$AO$2,0))</f>
        <v>0</v>
      </c>
      <c r="R301" s="577">
        <f t="shared" si="56"/>
        <v>0</v>
      </c>
      <c r="S301" s="557">
        <f t="shared" si="57"/>
        <v>0</v>
      </c>
      <c r="T301" s="510"/>
      <c r="U301" s="510"/>
      <c r="V301" s="510"/>
      <c r="W301" s="510"/>
      <c r="X301" s="510"/>
      <c r="Y301" s="510"/>
      <c r="Z301" s="510"/>
      <c r="AA301" s="510"/>
      <c r="AB301" s="510"/>
      <c r="AC301" s="510"/>
      <c r="AD301" s="510"/>
      <c r="AE301" s="510"/>
      <c r="AF301" s="510"/>
      <c r="AG301" s="510"/>
      <c r="AH301" s="510"/>
      <c r="AI301" s="510"/>
      <c r="AJ301" s="510"/>
      <c r="AK301" s="510"/>
      <c r="AL301" s="510"/>
      <c r="AM301" s="510"/>
      <c r="AN301" s="510"/>
    </row>
    <row r="302" spans="1:40" ht="15.75" customHeight="1">
      <c r="A302" s="523" t="s">
        <v>409</v>
      </c>
      <c r="B302" s="510" t="s">
        <v>103</v>
      </c>
      <c r="C302" s="531" t="s">
        <v>111</v>
      </c>
      <c r="D302" s="573">
        <f>+INDEX('[7]Budget original'!$A$2:$AO$501,MATCH($A302,'[7]Budget original'!$A$2:$A$501,0),MATCH(D$2,'[7]Budget original'!$A$2:$AO$2,0))</f>
        <v>0</v>
      </c>
      <c r="E302" s="648">
        <f t="shared" ref="E302:E309" si="59">IF(D302=0,0,F302/D302)</f>
        <v>0</v>
      </c>
      <c r="F302" s="557">
        <f>+INDEX('[7]Budget original'!$A$2:$AO$501,MATCH($A302,'[7]Budget original'!$A$2:$A$501,0),MATCH(F$2,'[7]Budget original'!$A$2:$AO$2,0))</f>
        <v>10680.709323510635</v>
      </c>
      <c r="G302" s="573"/>
      <c r="H302" s="648"/>
      <c r="I302" s="557"/>
      <c r="J302" s="532">
        <f>-SUMIFS([7]BV_Data_An_Cour!$O:$O,[7]BV_Data_An_Cour!$X:$X,"Oui",[7]BV_Data_An_Cour!$U:$U,$B302,[7]BV_Data_An_Cour!$V:$V,$C302)</f>
        <v>0</v>
      </c>
      <c r="K302" s="648">
        <f t="shared" si="52"/>
        <v>0</v>
      </c>
      <c r="L302" s="557">
        <f>-SUMIFS([7]BV_Data_An_Cour!$O:$O,[7]BV_Data_An_Cour!$U:$U,$B302,[7]BV_Data_An_Cour!$V:$V,$C302,[7]BV_Data_An_Cour!$W:$W,$L$2)</f>
        <v>14951.3</v>
      </c>
      <c r="M302" s="577"/>
      <c r="N302" s="557">
        <f t="shared" si="54"/>
        <v>4270.5906764893643</v>
      </c>
      <c r="O302" s="532">
        <f t="array" ref="O302">+INDEX('[7]Réel 2023'!$A$2:$AO$501,MATCH($A302,'[7]Réel 2023'!$A$2:$A$501,0),MATCH(O$2,'[7]Réel 2023'!$A$2:$AO$2,0))</f>
        <v>0</v>
      </c>
      <c r="P302" s="648">
        <f t="shared" si="55"/>
        <v>0</v>
      </c>
      <c r="Q302" s="557">
        <f t="array" ref="Q302">+INDEX('[7]Réel 2023'!$A$2:$AO$501,MATCH($A302,'[7]Réel 2023'!$A$2:$A$501,0),MATCH(Q$2,'[7]Réel 2023'!$A$2:$AO$2,0))</f>
        <v>18021.03</v>
      </c>
      <c r="R302" s="577">
        <f t="shared" si="56"/>
        <v>0</v>
      </c>
      <c r="S302" s="557">
        <f t="shared" si="57"/>
        <v>-3069.7299999999996</v>
      </c>
      <c r="T302" s="510"/>
      <c r="U302" s="510"/>
      <c r="V302" s="510"/>
      <c r="W302" s="510"/>
      <c r="X302" s="510"/>
      <c r="Y302" s="510"/>
      <c r="Z302" s="510"/>
      <c r="AA302" s="510"/>
      <c r="AB302" s="510"/>
      <c r="AC302" s="510"/>
      <c r="AD302" s="510"/>
      <c r="AE302" s="510"/>
      <c r="AF302" s="510"/>
      <c r="AG302" s="510"/>
      <c r="AH302" s="510"/>
      <c r="AI302" s="510"/>
      <c r="AJ302" s="510"/>
      <c r="AK302" s="510"/>
      <c r="AL302" s="510"/>
      <c r="AM302" s="510"/>
      <c r="AN302" s="510"/>
    </row>
    <row r="303" spans="1:40" ht="15.75" customHeight="1">
      <c r="A303" s="523" t="s">
        <v>410</v>
      </c>
      <c r="B303" s="510" t="s">
        <v>103</v>
      </c>
      <c r="C303" s="524" t="s">
        <v>112</v>
      </c>
      <c r="D303" s="573">
        <f>+INDEX('[7]Budget original'!$A$2:$AO$501,MATCH($A303,'[7]Budget original'!$A$2:$A$501,0),MATCH(D$2,'[7]Budget original'!$A$2:$AO$2,0))</f>
        <v>0</v>
      </c>
      <c r="E303" s="648">
        <f t="shared" si="59"/>
        <v>0</v>
      </c>
      <c r="F303" s="557">
        <f>+INDEX('[7]Budget original'!$A$2:$AO$501,MATCH($A303,'[7]Budget original'!$A$2:$A$501,0),MATCH(F$2,'[7]Budget original'!$A$2:$AO$2,0))</f>
        <v>0</v>
      </c>
      <c r="G303" s="573"/>
      <c r="H303" s="648"/>
      <c r="I303" s="557"/>
      <c r="J303" s="532">
        <f>-SUMIFS([7]BV_Data_An_Cour!$O:$O,[7]BV_Data_An_Cour!$X:$X,"Oui",[7]BV_Data_An_Cour!$U:$U,$B303,[7]BV_Data_An_Cour!$V:$V,$C303)</f>
        <v>0</v>
      </c>
      <c r="K303" s="648">
        <f t="shared" si="52"/>
        <v>0</v>
      </c>
      <c r="L303" s="557">
        <f>-SUMIFS([7]BV_Data_An_Cour!$O:$O,[7]BV_Data_An_Cour!$U:$U,$B303,[7]BV_Data_An_Cour!$V:$V,$C303,[7]BV_Data_An_Cour!$W:$W,$L$2)</f>
        <v>0</v>
      </c>
      <c r="M303" s="577"/>
      <c r="N303" s="557">
        <f t="shared" si="54"/>
        <v>0</v>
      </c>
      <c r="O303" s="532">
        <f t="array" ref="O303">+INDEX('[7]Réel 2023'!$A$2:$AO$501,MATCH($A303,'[7]Réel 2023'!$A$2:$A$501,0),MATCH(O$2,'[7]Réel 2023'!$A$2:$AO$2,0))</f>
        <v>0</v>
      </c>
      <c r="P303" s="648">
        <f t="shared" si="55"/>
        <v>0</v>
      </c>
      <c r="Q303" s="557">
        <f t="array" ref="Q303">+INDEX('[7]Réel 2023'!$A$2:$AO$501,MATCH($A303,'[7]Réel 2023'!$A$2:$A$501,0),MATCH(Q$2,'[7]Réel 2023'!$A$2:$AO$2,0))</f>
        <v>0</v>
      </c>
      <c r="R303" s="577">
        <f t="shared" si="56"/>
        <v>0</v>
      </c>
      <c r="S303" s="557">
        <f t="shared" si="57"/>
        <v>0</v>
      </c>
      <c r="T303" s="510"/>
      <c r="U303" s="510"/>
      <c r="V303" s="510"/>
      <c r="W303" s="510"/>
      <c r="X303" s="510"/>
      <c r="Y303" s="510"/>
      <c r="Z303" s="510"/>
      <c r="AA303" s="510"/>
      <c r="AB303" s="510"/>
      <c r="AC303" s="510"/>
      <c r="AD303" s="510"/>
      <c r="AE303" s="510"/>
      <c r="AF303" s="510"/>
      <c r="AG303" s="510"/>
      <c r="AH303" s="510"/>
      <c r="AI303" s="510"/>
      <c r="AJ303" s="510"/>
      <c r="AK303" s="510"/>
      <c r="AL303" s="510"/>
      <c r="AM303" s="510"/>
      <c r="AN303" s="510"/>
    </row>
    <row r="304" spans="1:40" ht="15.75" customHeight="1">
      <c r="A304" s="523" t="s">
        <v>411</v>
      </c>
      <c r="B304" s="510" t="s">
        <v>103</v>
      </c>
      <c r="C304" s="550" t="s">
        <v>113</v>
      </c>
      <c r="D304" s="688">
        <f>SUM(D295:D303)</f>
        <v>583723.7569765111</v>
      </c>
      <c r="E304" s="707">
        <f>IF(D304&lt;=0,0,F304/D304)</f>
        <v>0.28174102877115492</v>
      </c>
      <c r="F304" s="690">
        <f>SUM(F295:F303)</f>
        <v>164458.93180872584</v>
      </c>
      <c r="G304" s="688"/>
      <c r="H304" s="707"/>
      <c r="I304" s="690"/>
      <c r="J304" s="688">
        <f t="shared" ref="J304" si="60">SUM(J295:J303)</f>
        <v>454854.41000000003</v>
      </c>
      <c r="K304" s="707">
        <f t="shared" si="52"/>
        <v>0.26278991117179673</v>
      </c>
      <c r="L304" s="690">
        <f>SUM(L295:L303)</f>
        <v>119531.15000000001</v>
      </c>
      <c r="M304" s="708">
        <f>(+J304-D304)/D304</f>
        <v>-0.2207711189347682</v>
      </c>
      <c r="N304" s="690">
        <f t="shared" si="54"/>
        <v>-44927.781808725835</v>
      </c>
      <c r="O304" s="688">
        <f>SUM(O295:O303)</f>
        <v>412106.77</v>
      </c>
      <c r="P304" s="707">
        <f>IF(O304&lt;=0,0,Q304/O304)</f>
        <v>0.30354827706421783</v>
      </c>
      <c r="Q304" s="690">
        <f t="shared" ref="Q304" si="61">SUM(Q295:Q303)</f>
        <v>125094.2999999999</v>
      </c>
      <c r="R304" s="708">
        <f t="shared" si="56"/>
        <v>0.10372952620991888</v>
      </c>
      <c r="S304" s="690">
        <f t="shared" si="57"/>
        <v>-5563.1499999998923</v>
      </c>
      <c r="T304" s="510"/>
      <c r="U304" s="510"/>
      <c r="V304" s="510"/>
      <c r="W304" s="510"/>
      <c r="X304" s="510"/>
      <c r="Y304" s="510"/>
      <c r="Z304" s="510"/>
      <c r="AA304" s="510"/>
      <c r="AB304" s="510"/>
      <c r="AC304" s="510"/>
      <c r="AD304" s="510"/>
      <c r="AE304" s="510"/>
      <c r="AF304" s="510"/>
      <c r="AG304" s="510"/>
      <c r="AH304" s="510"/>
      <c r="AI304" s="510"/>
      <c r="AJ304" s="510"/>
      <c r="AK304" s="510"/>
      <c r="AL304" s="510"/>
      <c r="AM304" s="510"/>
      <c r="AN304" s="510"/>
    </row>
    <row r="305" spans="1:40" ht="15.75" customHeight="1">
      <c r="A305" s="523" t="s">
        <v>103</v>
      </c>
      <c r="B305" s="510" t="s">
        <v>103</v>
      </c>
      <c r="C305" s="531"/>
      <c r="D305" s="510"/>
      <c r="E305" s="510"/>
      <c r="F305" s="541"/>
      <c r="G305" s="531"/>
      <c r="H305" s="510"/>
      <c r="I305" s="541"/>
      <c r="J305" s="531"/>
      <c r="K305" s="510"/>
      <c r="L305" s="541"/>
      <c r="M305" s="531"/>
      <c r="N305" s="549">
        <f>N304/F304</f>
        <v>-0.27318541665453078</v>
      </c>
      <c r="O305" s="531"/>
      <c r="P305" s="510"/>
      <c r="Q305" s="541"/>
      <c r="R305" s="531"/>
      <c r="S305" s="549">
        <f>IF(Q304=0,0,S304/Q304)</f>
        <v>-4.4471650586796495E-2</v>
      </c>
      <c r="T305" s="510"/>
      <c r="U305" s="510"/>
      <c r="V305" s="510"/>
      <c r="W305" s="510"/>
      <c r="X305" s="510"/>
      <c r="Y305" s="510"/>
      <c r="Z305" s="510"/>
      <c r="AA305" s="510"/>
      <c r="AB305" s="510"/>
      <c r="AC305" s="510"/>
      <c r="AD305" s="510"/>
      <c r="AE305" s="510"/>
      <c r="AF305" s="510"/>
      <c r="AG305" s="510"/>
      <c r="AH305" s="510"/>
      <c r="AI305" s="510"/>
      <c r="AJ305" s="510"/>
      <c r="AK305" s="510"/>
      <c r="AL305" s="510"/>
      <c r="AM305" s="510"/>
      <c r="AN305" s="510"/>
    </row>
    <row r="306" spans="1:40" ht="15.75" customHeight="1">
      <c r="A306" s="523" t="s">
        <v>103</v>
      </c>
      <c r="B306" s="510" t="s">
        <v>103</v>
      </c>
      <c r="C306" s="524"/>
      <c r="D306" s="607"/>
      <c r="E306" s="607"/>
      <c r="F306" s="709"/>
      <c r="G306" s="524"/>
      <c r="H306" s="607"/>
      <c r="I306" s="709"/>
      <c r="J306" s="524"/>
      <c r="K306" s="607"/>
      <c r="L306" s="709"/>
      <c r="M306" s="524"/>
      <c r="N306" s="668"/>
      <c r="O306" s="524"/>
      <c r="P306" s="607"/>
      <c r="Q306" s="709"/>
      <c r="R306" s="524"/>
      <c r="S306" s="668"/>
      <c r="T306" s="510"/>
      <c r="U306" s="510"/>
      <c r="V306" s="510"/>
      <c r="W306" s="510"/>
      <c r="X306" s="510"/>
      <c r="Y306" s="510"/>
      <c r="Z306" s="510"/>
      <c r="AA306" s="510"/>
      <c r="AB306" s="510"/>
      <c r="AC306" s="510"/>
      <c r="AD306" s="510"/>
      <c r="AE306" s="510"/>
      <c r="AF306" s="510"/>
      <c r="AG306" s="510"/>
      <c r="AH306" s="510"/>
      <c r="AI306" s="510"/>
      <c r="AJ306" s="510"/>
      <c r="AK306" s="510"/>
      <c r="AL306" s="510"/>
      <c r="AM306" s="510"/>
      <c r="AN306" s="510"/>
    </row>
    <row r="307" spans="1:40" ht="15.75" customHeight="1">
      <c r="A307" s="523" t="s">
        <v>412</v>
      </c>
      <c r="B307" s="510" t="s">
        <v>103</v>
      </c>
      <c r="C307" s="531" t="s">
        <v>114</v>
      </c>
      <c r="D307" s="573">
        <f>+INDEX('[7]Budget original'!$A$2:$AO$501,MATCH($A307,'[7]Budget original'!$A$2:$A$501,0),MATCH(D$2,'[7]Budget original'!$A$2:$AO$2,0))</f>
        <v>56512.9</v>
      </c>
      <c r="E307" s="648">
        <f>IF(D307=0,0,F307/D307)</f>
        <v>0.18</v>
      </c>
      <c r="F307" s="606">
        <f>+INDEX('[7]Budget original'!$A$2:$AO$501,MATCH($A307,'[7]Budget original'!$A$2:$A$501,0),MATCH(F$2,'[7]Budget original'!$A$2:$AO$2,0))</f>
        <v>10172.322</v>
      </c>
      <c r="G307" s="573"/>
      <c r="H307" s="648"/>
      <c r="I307" s="606"/>
      <c r="J307" s="532">
        <f>-SUMIFS([7]BV_Data_An_Cour!$O:$O,[7]BV_Data_An_Cour!$X:$X,"Oui",[7]BV_Data_An_Cour!$U:$U,$B307,[7]BV_Data_An_Cour!$V:$V,$C307)</f>
        <v>125231.29000000001</v>
      </c>
      <c r="K307" s="648">
        <f t="shared" ref="K307:K309" si="62">IF(J307&lt;=0,0,L307/J307)</f>
        <v>0.16861201381859128</v>
      </c>
      <c r="L307" s="606">
        <f>-SUMIFS([7]BV_Data_An_Cour!$O:$O,[7]BV_Data_An_Cour!$U:$U,$B307,[7]BV_Data_An_Cour!$V:$V,$C307,[7]BV_Data_An_Cour!$W:$W,$L$2)</f>
        <v>21115.500000000015</v>
      </c>
      <c r="M307" s="577">
        <f>(+J307-D307)/D307</f>
        <v>1.2159770601048612</v>
      </c>
      <c r="N307" s="557">
        <f>L307-F307</f>
        <v>10943.178000000014</v>
      </c>
      <c r="O307" s="532">
        <f t="array" ref="O307">+INDEX('[7]Réel 2023'!$A$2:$AO$501,MATCH($A307,'[7]Réel 2023'!$A$2:$A$501,0),MATCH(O$2,'[7]Réel 2023'!$A$2:$AO$2,0))</f>
        <v>150650.59</v>
      </c>
      <c r="P307" s="648">
        <f t="shared" ref="P307:P308" si="63">IF(O307=0,0,Q307/O307)</f>
        <v>0.17327439607106748</v>
      </c>
      <c r="Q307" s="606">
        <f t="array" ref="Q307">+INDEX('[7]Réel 2023'!$A$2:$AO$501,MATCH($A307,'[7]Réel 2023'!$A$2:$A$501,0),MATCH(Q$2,'[7]Réel 2023'!$A$2:$AO$2,0))</f>
        <v>26103.89</v>
      </c>
      <c r="R307" s="577">
        <f t="shared" ref="R307:R309" si="64">IF(O307=0,0,(J307-O307)/O307)</f>
        <v>-0.16873017224824668</v>
      </c>
      <c r="S307" s="557">
        <f t="shared" ref="S307:S309" si="65">L307-Q307</f>
        <v>-4988.3899999999849</v>
      </c>
      <c r="T307" s="510"/>
      <c r="U307" s="510"/>
      <c r="V307" s="510"/>
      <c r="W307" s="510"/>
      <c r="X307" s="510"/>
      <c r="Y307" s="510"/>
      <c r="Z307" s="510"/>
      <c r="AA307" s="510"/>
      <c r="AB307" s="510"/>
      <c r="AC307" s="510"/>
      <c r="AD307" s="510"/>
      <c r="AE307" s="510"/>
      <c r="AF307" s="510"/>
      <c r="AG307" s="510"/>
      <c r="AH307" s="510"/>
      <c r="AI307" s="510"/>
      <c r="AJ307" s="510"/>
      <c r="AK307" s="510"/>
      <c r="AL307" s="510"/>
      <c r="AM307" s="510"/>
      <c r="AN307" s="510"/>
    </row>
    <row r="308" spans="1:40" ht="15.75" customHeight="1">
      <c r="A308" s="523" t="s">
        <v>413</v>
      </c>
      <c r="B308" s="510" t="s">
        <v>103</v>
      </c>
      <c r="C308" s="524" t="s">
        <v>115</v>
      </c>
      <c r="D308" s="573">
        <f>+INDEX('[7]Budget original'!$A$2:$AO$501,MATCH($A308,'[7]Budget original'!$A$2:$A$501,0),MATCH(D$2,'[7]Budget original'!$A$2:$AO$2,0))</f>
        <v>40489.862500000003</v>
      </c>
      <c r="E308" s="648">
        <f>IF(D308=0,0,F308/D308)</f>
        <v>0.26</v>
      </c>
      <c r="F308" s="582">
        <f>+INDEX('[7]Budget original'!$A$2:$AO$501,MATCH($A308,'[7]Budget original'!$A$2:$A$501,0),MATCH(F$2,'[7]Budget original'!$A$2:$AO$2,0))</f>
        <v>10527.364250000001</v>
      </c>
      <c r="G308" s="573"/>
      <c r="H308" s="648"/>
      <c r="I308" s="582"/>
      <c r="J308" s="532">
        <f>-SUMIFS([7]BV_Data_An_Cour!$O:$O,[7]BV_Data_An_Cour!$X:$X,"Oui",[7]BV_Data_An_Cour!$U:$U,$B308,[7]BV_Data_An_Cour!$V:$V,$C308)</f>
        <v>42571.25</v>
      </c>
      <c r="K308" s="648">
        <f t="shared" si="62"/>
        <v>0.26211375047714125</v>
      </c>
      <c r="L308" s="582">
        <f>-SUMIFS([7]BV_Data_An_Cour!$O:$O,[7]BV_Data_An_Cour!$U:$U,$B308,[7]BV_Data_An_Cour!$V:$V,$C308,[7]BV_Data_An_Cour!$W:$W,$L$2)</f>
        <v>11158.509999999998</v>
      </c>
      <c r="M308" s="577">
        <f>(+J308-D308)/D308</f>
        <v>5.1405151104180632E-2</v>
      </c>
      <c r="N308" s="557">
        <f>L308-F308</f>
        <v>631.14574999999786</v>
      </c>
      <c r="O308" s="532">
        <f t="array" ref="O308">+INDEX('[7]Réel 2023'!$A$2:$AO$501,MATCH($A308,'[7]Réel 2023'!$A$2:$A$501,0),MATCH(O$2,'[7]Réel 2023'!$A$2:$AO$2,0))</f>
        <v>34386.25</v>
      </c>
      <c r="P308" s="648">
        <f t="shared" si="63"/>
        <v>0.23183917990475844</v>
      </c>
      <c r="Q308" s="582">
        <f t="array" ref="Q308">+INDEX('[7]Réel 2023'!$A$2:$AO$501,MATCH($A308,'[7]Réel 2023'!$A$2:$A$501,0),MATCH(Q$2,'[7]Réel 2023'!$A$2:$AO$2,0))</f>
        <v>7972.08</v>
      </c>
      <c r="R308" s="577">
        <f t="shared" si="64"/>
        <v>0.23803118979243157</v>
      </c>
      <c r="S308" s="557">
        <f t="shared" si="65"/>
        <v>3186.4299999999985</v>
      </c>
      <c r="T308" s="510"/>
      <c r="U308" s="510"/>
      <c r="V308" s="510"/>
      <c r="W308" s="510"/>
      <c r="X308" s="510"/>
      <c r="Y308" s="510"/>
      <c r="Z308" s="510"/>
      <c r="AA308" s="510"/>
      <c r="AB308" s="510"/>
      <c r="AC308" s="510"/>
      <c r="AD308" s="510"/>
      <c r="AE308" s="510"/>
      <c r="AF308" s="510"/>
      <c r="AG308" s="510"/>
      <c r="AH308" s="510"/>
      <c r="AI308" s="510"/>
      <c r="AJ308" s="510"/>
      <c r="AK308" s="510"/>
      <c r="AL308" s="510"/>
      <c r="AM308" s="510"/>
      <c r="AN308" s="510"/>
    </row>
    <row r="309" spans="1:40" ht="15.75" customHeight="1">
      <c r="A309" s="523" t="s">
        <v>414</v>
      </c>
      <c r="B309" s="510" t="s">
        <v>103</v>
      </c>
      <c r="C309" s="550" t="s">
        <v>116</v>
      </c>
      <c r="D309" s="688">
        <f>D304+D307+D308</f>
        <v>680726.51947651117</v>
      </c>
      <c r="E309" s="707">
        <f>IF(D309&lt;=0,0,F309/D309)</f>
        <v>0.27200147601288638</v>
      </c>
      <c r="F309" s="690">
        <f>F304+F307+F308</f>
        <v>185158.61805872587</v>
      </c>
      <c r="G309" s="691"/>
      <c r="H309" s="707"/>
      <c r="I309" s="690"/>
      <c r="J309" s="691">
        <f t="shared" ref="J309" si="66">J304+J307+J308</f>
        <v>622656.95000000007</v>
      </c>
      <c r="K309" s="707">
        <f t="shared" si="62"/>
        <v>0.24380224134653924</v>
      </c>
      <c r="L309" s="690">
        <f>L304+L307+L308</f>
        <v>151805.16000000003</v>
      </c>
      <c r="M309" s="708">
        <f>(+J309-D309)/D309</f>
        <v>-8.5305284596767963E-2</v>
      </c>
      <c r="N309" s="690">
        <f>L309-F309</f>
        <v>-33353.458058725839</v>
      </c>
      <c r="O309" s="691">
        <f>O304+O307+O308</f>
        <v>597143.61</v>
      </c>
      <c r="P309" s="707">
        <f>IF(O309&lt;=0,0,Q309/O309)</f>
        <v>0.26655274767153564</v>
      </c>
      <c r="Q309" s="690">
        <f t="shared" ref="Q309" si="67">Q304+Q307+Q308</f>
        <v>159170.26999999987</v>
      </c>
      <c r="R309" s="708">
        <f t="shared" si="64"/>
        <v>4.2725635128206568E-2</v>
      </c>
      <c r="S309" s="690">
        <f t="shared" si="65"/>
        <v>-7365.1099999998405</v>
      </c>
      <c r="T309" s="510"/>
      <c r="U309" s="573"/>
      <c r="V309" s="510"/>
      <c r="W309" s="510"/>
      <c r="X309" s="510"/>
      <c r="Y309" s="510"/>
      <c r="Z309" s="510"/>
      <c r="AA309" s="510"/>
      <c r="AB309" s="510"/>
      <c r="AC309" s="510"/>
      <c r="AD309" s="510"/>
      <c r="AE309" s="510"/>
      <c r="AF309" s="510"/>
      <c r="AG309" s="510"/>
      <c r="AH309" s="510"/>
      <c r="AI309" s="510"/>
      <c r="AJ309" s="510"/>
      <c r="AK309" s="510"/>
      <c r="AL309" s="510"/>
      <c r="AM309" s="510"/>
      <c r="AN309" s="510"/>
    </row>
    <row r="310" spans="1:40" ht="15.75" customHeight="1">
      <c r="A310" s="523" t="s">
        <v>103</v>
      </c>
      <c r="B310" s="510" t="s">
        <v>103</v>
      </c>
      <c r="C310" s="531"/>
      <c r="D310" s="510"/>
      <c r="E310" s="510"/>
      <c r="F310" s="541"/>
      <c r="G310" s="531"/>
      <c r="H310" s="510"/>
      <c r="I310" s="541"/>
      <c r="J310" s="531"/>
      <c r="K310" s="510"/>
      <c r="L310" s="541"/>
      <c r="M310" s="531"/>
      <c r="N310" s="549">
        <f>N309/F309</f>
        <v>-0.18013451606204622</v>
      </c>
      <c r="O310" s="531"/>
      <c r="P310" s="510"/>
      <c r="Q310" s="541"/>
      <c r="R310" s="531"/>
      <c r="S310" s="549">
        <f>IF(Q309=0,0,S309/Q309)</f>
        <v>-4.6271894870818821E-2</v>
      </c>
      <c r="T310" s="510"/>
      <c r="U310" s="510"/>
      <c r="V310" s="510"/>
      <c r="W310" s="510"/>
      <c r="X310" s="510"/>
      <c r="Y310" s="510"/>
      <c r="Z310" s="510"/>
      <c r="AA310" s="510"/>
      <c r="AB310" s="510"/>
      <c r="AC310" s="510"/>
      <c r="AD310" s="510"/>
      <c r="AE310" s="510"/>
      <c r="AF310" s="510"/>
      <c r="AG310" s="510"/>
      <c r="AH310" s="510"/>
      <c r="AI310" s="510"/>
      <c r="AJ310" s="510"/>
      <c r="AK310" s="510"/>
      <c r="AL310" s="510"/>
      <c r="AM310" s="510"/>
      <c r="AN310" s="510"/>
    </row>
    <row r="311" spans="1:40" ht="15.75" customHeight="1">
      <c r="A311" s="523" t="s">
        <v>103</v>
      </c>
      <c r="B311" s="510" t="s">
        <v>103</v>
      </c>
      <c r="C311" s="531"/>
      <c r="D311" s="510"/>
      <c r="E311" s="510"/>
      <c r="F311" s="541"/>
      <c r="G311" s="531"/>
      <c r="H311" s="510"/>
      <c r="I311" s="541"/>
      <c r="J311" s="531"/>
      <c r="K311" s="510"/>
      <c r="L311" s="541"/>
      <c r="M311" s="531"/>
      <c r="N311" s="549"/>
      <c r="O311" s="531"/>
      <c r="P311" s="510"/>
      <c r="Q311" s="541"/>
      <c r="R311" s="531"/>
      <c r="S311" s="549"/>
      <c r="T311" s="510"/>
      <c r="U311" s="510"/>
      <c r="V311" s="510"/>
      <c r="W311" s="510"/>
      <c r="X311" s="510"/>
      <c r="Y311" s="510"/>
      <c r="Z311" s="510"/>
      <c r="AA311" s="510"/>
      <c r="AB311" s="510"/>
      <c r="AC311" s="510"/>
      <c r="AD311" s="510"/>
      <c r="AE311" s="510"/>
      <c r="AF311" s="510"/>
      <c r="AG311" s="510"/>
      <c r="AH311" s="510"/>
      <c r="AI311" s="510"/>
      <c r="AJ311" s="510"/>
      <c r="AK311" s="510"/>
      <c r="AL311" s="510"/>
      <c r="AM311" s="510"/>
      <c r="AN311" s="510"/>
    </row>
    <row r="312" spans="1:40" ht="15.75" customHeight="1">
      <c r="A312" s="523" t="s">
        <v>415</v>
      </c>
      <c r="B312" s="510" t="s">
        <v>103</v>
      </c>
      <c r="C312" s="524" t="s">
        <v>117</v>
      </c>
      <c r="D312" s="580">
        <f>+INDEX('[7]Budget original'!$A$2:$AO$501,MATCH($A312,'[7]Budget original'!$A$2:$A$501,0),MATCH(D$2,'[7]Budget original'!$A$2:$AO$2,0))</f>
        <v>0</v>
      </c>
      <c r="E312" s="710">
        <f>IF(D312=0,0,F312/D312)</f>
        <v>0</v>
      </c>
      <c r="F312" s="582">
        <f>+INDEX('[7]Budget original'!$A$2:$AO$501,MATCH($A312,'[7]Budget original'!$A$2:$A$501,0),MATCH(F$2,'[7]Budget original'!$A$2:$AO$2,0))</f>
        <v>0</v>
      </c>
      <c r="G312" s="663"/>
      <c r="H312" s="710"/>
      <c r="I312" s="582"/>
      <c r="J312" s="545">
        <f>-SUMIFS([7]BV_Data_An_Cour!$O:$O,[7]BV_Data_An_Cour!$X:$X,"Oui",[7]BV_Data_An_Cour!$U:$U,$B312,[7]BV_Data_An_Cour!$V:$V,$C312)</f>
        <v>0</v>
      </c>
      <c r="K312" s="710">
        <f>IF(J312&lt;=0,0,L312/J312)</f>
        <v>0</v>
      </c>
      <c r="L312" s="526">
        <f>-SUMIFS([7]BV_Data_An_Cour!$O:$O,[7]BV_Data_An_Cour!$U:$U,$B312,[7]BV_Data_An_Cour!$V:$V,$C312,[7]BV_Data_An_Cour!$W:$W,$L$2)</f>
        <v>0</v>
      </c>
      <c r="M312" s="710">
        <f>IF(F312=0,0,(+L312-F312)/F312)</f>
        <v>0</v>
      </c>
      <c r="N312" s="582">
        <f>L312-F312</f>
        <v>0</v>
      </c>
      <c r="O312" s="545">
        <f t="array" ref="O312">+INDEX('[7]Réel 2023'!$A$2:$AO$501,MATCH($A312,'[7]Réel 2023'!$A$2:$A$501,0),MATCH(O$2,'[7]Réel 2023'!$A$2:$AO$2,0))</f>
        <v>0</v>
      </c>
      <c r="P312" s="710">
        <f>IF(O312=0,0,Q312/O312)</f>
        <v>0</v>
      </c>
      <c r="Q312" s="526">
        <f t="array" ref="Q312">+INDEX('[7]Réel 2023'!$A$2:$AO$501,MATCH($A312,'[7]Réel 2023'!$A$2:$A$501,0),MATCH(Q$2,'[7]Réel 2023'!$A$2:$AO$2,0))</f>
        <v>0</v>
      </c>
      <c r="R312" s="710">
        <f>IF(S312=0,0,(+O312-K312)/K312)</f>
        <v>0</v>
      </c>
      <c r="S312" s="582">
        <f>L312-Q312</f>
        <v>0</v>
      </c>
      <c r="T312" s="510"/>
      <c r="U312" s="573"/>
      <c r="V312" s="510"/>
      <c r="W312" s="510"/>
      <c r="X312" s="510"/>
      <c r="Y312" s="510"/>
      <c r="Z312" s="510"/>
      <c r="AA312" s="510"/>
      <c r="AB312" s="510"/>
      <c r="AC312" s="510"/>
      <c r="AD312" s="510"/>
      <c r="AE312" s="510"/>
      <c r="AF312" s="510"/>
      <c r="AG312" s="510"/>
      <c r="AH312" s="510"/>
      <c r="AI312" s="510"/>
      <c r="AJ312" s="510"/>
      <c r="AK312" s="510"/>
      <c r="AL312" s="510"/>
      <c r="AM312" s="510"/>
      <c r="AN312" s="510"/>
    </row>
    <row r="313" spans="1:40" ht="15.75" customHeight="1" thickBot="1">
      <c r="A313" s="523" t="s">
        <v>103</v>
      </c>
      <c r="B313" s="510" t="s">
        <v>103</v>
      </c>
      <c r="C313" s="531"/>
      <c r="D313" s="573"/>
      <c r="E313" s="648"/>
      <c r="F313" s="557"/>
      <c r="G313" s="558"/>
      <c r="H313" s="648"/>
      <c r="I313" s="557"/>
      <c r="J313" s="558"/>
      <c r="K313" s="648"/>
      <c r="L313" s="557"/>
      <c r="M313" s="577"/>
      <c r="N313" s="557"/>
      <c r="O313" s="558"/>
      <c r="P313" s="648"/>
      <c r="Q313" s="557"/>
      <c r="R313" s="577"/>
      <c r="S313" s="557"/>
      <c r="T313" s="510"/>
      <c r="U313" s="510"/>
      <c r="V313" s="510"/>
      <c r="W313" s="510"/>
      <c r="X313" s="510"/>
      <c r="Y313" s="510"/>
      <c r="Z313" s="510"/>
      <c r="AA313" s="510"/>
      <c r="AB313" s="510"/>
      <c r="AC313" s="510"/>
      <c r="AD313" s="510"/>
      <c r="AE313" s="510"/>
      <c r="AF313" s="510"/>
      <c r="AG313" s="510"/>
      <c r="AH313" s="510"/>
      <c r="AI313" s="510"/>
      <c r="AJ313" s="510"/>
      <c r="AK313" s="510"/>
      <c r="AL313" s="510"/>
      <c r="AM313" s="510"/>
      <c r="AN313" s="510"/>
    </row>
    <row r="314" spans="1:40" ht="15.75" customHeight="1" thickTop="1">
      <c r="A314" s="523" t="s">
        <v>416</v>
      </c>
      <c r="B314" s="510" t="s">
        <v>103</v>
      </c>
      <c r="C314" s="559" t="s">
        <v>118</v>
      </c>
      <c r="D314" s="560">
        <f>D309+D312</f>
        <v>680726.51947651117</v>
      </c>
      <c r="E314" s="711">
        <f>IF(D314&lt;=0,0,F314/D314)</f>
        <v>0.27200147601288638</v>
      </c>
      <c r="F314" s="562">
        <f>F309+F312</f>
        <v>185158.61805872587</v>
      </c>
      <c r="G314" s="563"/>
      <c r="H314" s="711"/>
      <c r="I314" s="562"/>
      <c r="J314" s="563">
        <f t="shared" ref="J314" si="68">J309+J312</f>
        <v>622656.95000000007</v>
      </c>
      <c r="K314" s="711">
        <f>IF(J314&lt;=0,0,L314/J314)</f>
        <v>0.24380224134653924</v>
      </c>
      <c r="L314" s="562">
        <f>L309+L312</f>
        <v>151805.16000000003</v>
      </c>
      <c r="M314" s="712">
        <f>(+J314-D314)/D314</f>
        <v>-8.5305284596767963E-2</v>
      </c>
      <c r="N314" s="713">
        <f>L314-F314</f>
        <v>-33353.458058725839</v>
      </c>
      <c r="O314" s="563">
        <f>O309+O312</f>
        <v>597143.61</v>
      </c>
      <c r="P314" s="711">
        <f>IF(O314&lt;=0,0,Q314/O314)</f>
        <v>0.26655274767153564</v>
      </c>
      <c r="Q314" s="562">
        <f t="shared" ref="Q314" si="69">Q309+Q312</f>
        <v>159170.26999999987</v>
      </c>
      <c r="R314" s="712">
        <f>IF(O314=0,0,(J314-O314)/O314)</f>
        <v>4.2725635128206568E-2</v>
      </c>
      <c r="S314" s="713">
        <f>L314-Q314</f>
        <v>-7365.1099999998405</v>
      </c>
      <c r="T314" s="510"/>
      <c r="U314" s="573"/>
      <c r="V314" s="573"/>
      <c r="W314" s="573"/>
      <c r="X314" s="510"/>
      <c r="Y314" s="510"/>
      <c r="Z314" s="510"/>
      <c r="AA314" s="510"/>
      <c r="AB314" s="510"/>
      <c r="AC314" s="510"/>
      <c r="AD314" s="510"/>
      <c r="AE314" s="510"/>
      <c r="AF314" s="510"/>
      <c r="AG314" s="510"/>
      <c r="AH314" s="510"/>
      <c r="AI314" s="510"/>
      <c r="AJ314" s="510"/>
      <c r="AK314" s="510"/>
      <c r="AL314" s="510"/>
      <c r="AM314" s="510"/>
      <c r="AN314" s="510"/>
    </row>
    <row r="315" spans="1:40" ht="15.75" customHeight="1" thickBot="1">
      <c r="A315" s="523" t="s">
        <v>103</v>
      </c>
      <c r="B315" s="510" t="s">
        <v>103</v>
      </c>
      <c r="C315" s="625"/>
      <c r="D315" s="714"/>
      <c r="E315" s="715"/>
      <c r="F315" s="628"/>
      <c r="G315" s="716"/>
      <c r="H315" s="715"/>
      <c r="I315" s="628"/>
      <c r="J315" s="716"/>
      <c r="K315" s="715"/>
      <c r="L315" s="717">
        <f>L314/F314</f>
        <v>0.81986548393795378</v>
      </c>
      <c r="M315" s="718"/>
      <c r="N315" s="570">
        <f>N314/F314</f>
        <v>-0.18013451606204622</v>
      </c>
      <c r="O315" s="716"/>
      <c r="P315" s="715"/>
      <c r="Q315" s="628"/>
      <c r="R315" s="718"/>
      <c r="S315" s="570">
        <f>IF(Q314=0,0,S314/Q314)</f>
        <v>-4.6271894870818821E-2</v>
      </c>
      <c r="T315" s="510"/>
      <c r="U315" s="510"/>
      <c r="V315" s="510"/>
      <c r="W315" s="510"/>
      <c r="X315" s="510"/>
      <c r="Y315" s="510"/>
      <c r="Z315" s="510"/>
      <c r="AA315" s="510"/>
      <c r="AB315" s="510"/>
      <c r="AC315" s="510"/>
      <c r="AD315" s="510"/>
      <c r="AE315" s="510"/>
      <c r="AF315" s="510"/>
      <c r="AG315" s="510"/>
      <c r="AH315" s="510"/>
      <c r="AI315" s="510"/>
      <c r="AJ315" s="510"/>
      <c r="AK315" s="510"/>
      <c r="AL315" s="510"/>
      <c r="AM315" s="510"/>
      <c r="AN315" s="510"/>
    </row>
    <row r="316" spans="1:40" ht="15.75" customHeight="1" thickTop="1">
      <c r="A316" s="523" t="s">
        <v>103</v>
      </c>
      <c r="B316" s="510" t="s">
        <v>103</v>
      </c>
      <c r="C316" s="550"/>
      <c r="D316" s="608"/>
      <c r="E316" s="670"/>
      <c r="F316" s="672"/>
      <c r="G316" s="671"/>
      <c r="H316" s="670"/>
      <c r="I316" s="672"/>
      <c r="J316" s="671"/>
      <c r="K316" s="670"/>
      <c r="L316" s="672"/>
      <c r="M316" s="531"/>
      <c r="N316" s="549"/>
      <c r="O316" s="671"/>
      <c r="P316" s="670"/>
      <c r="Q316" s="672"/>
      <c r="R316" s="531"/>
      <c r="S316" s="549"/>
      <c r="T316" s="510"/>
      <c r="U316" s="510"/>
      <c r="V316" s="510"/>
      <c r="W316" s="510"/>
      <c r="X316" s="510"/>
      <c r="Y316" s="510"/>
      <c r="Z316" s="510"/>
      <c r="AA316" s="510"/>
      <c r="AB316" s="510"/>
      <c r="AC316" s="510"/>
      <c r="AD316" s="510"/>
      <c r="AE316" s="510"/>
      <c r="AF316" s="510"/>
      <c r="AG316" s="510"/>
      <c r="AH316" s="510"/>
      <c r="AI316" s="510"/>
      <c r="AJ316" s="510"/>
      <c r="AK316" s="510"/>
      <c r="AL316" s="510"/>
      <c r="AM316" s="510"/>
      <c r="AN316" s="510"/>
    </row>
    <row r="317" spans="1:40" ht="15.75" customHeight="1">
      <c r="A317" s="523" t="s">
        <v>417</v>
      </c>
      <c r="B317" s="510" t="s">
        <v>103</v>
      </c>
      <c r="C317" s="574" t="s">
        <v>30</v>
      </c>
      <c r="D317" s="510"/>
      <c r="E317" s="510"/>
      <c r="F317" s="557"/>
      <c r="G317" s="531"/>
      <c r="H317" s="510"/>
      <c r="I317" s="557"/>
      <c r="J317" s="531"/>
      <c r="K317" s="510"/>
      <c r="L317" s="541"/>
      <c r="M317" s="531"/>
      <c r="N317" s="541"/>
      <c r="O317" s="531"/>
      <c r="P317" s="510"/>
      <c r="Q317" s="541"/>
      <c r="R317" s="531"/>
      <c r="S317" s="541"/>
      <c r="T317" s="510"/>
      <c r="U317" s="510"/>
      <c r="V317" s="510"/>
      <c r="W317" s="510"/>
      <c r="X317" s="510"/>
      <c r="Y317" s="510"/>
      <c r="Z317" s="510"/>
      <c r="AA317" s="510"/>
      <c r="AB317" s="510"/>
      <c r="AC317" s="510"/>
      <c r="AD317" s="510"/>
      <c r="AE317" s="510"/>
      <c r="AF317" s="510"/>
      <c r="AG317" s="510"/>
      <c r="AH317" s="510"/>
      <c r="AI317" s="510"/>
      <c r="AJ317" s="510"/>
      <c r="AK317" s="510"/>
      <c r="AL317" s="510"/>
      <c r="AM317" s="510"/>
      <c r="AN317" s="510"/>
    </row>
    <row r="318" spans="1:40" ht="15.75" customHeight="1">
      <c r="A318" s="523" t="s">
        <v>418</v>
      </c>
      <c r="B318" s="510" t="s">
        <v>103</v>
      </c>
      <c r="C318" s="600" t="s">
        <v>41</v>
      </c>
      <c r="D318" s="510"/>
      <c r="E318" s="510"/>
      <c r="F318" s="532">
        <f>+INDEX('[7]Budget original'!$A$2:$AO$501,MATCH($A318,'[7]Budget original'!$A$2:$A$501,0),MATCH(F$2,'[7]Budget original'!$A$2:$AO$2,0))</f>
        <v>7767.2782051282065</v>
      </c>
      <c r="G318" s="531"/>
      <c r="H318" s="510"/>
      <c r="I318" s="532"/>
      <c r="J318" s="531"/>
      <c r="K318" s="510"/>
      <c r="L318" s="534">
        <f>SUMIFS([7]BV_Data_An_Cour!$O:$O,[7]BV_Data_An_Cour!$U:$U,$B318,[7]BV_Data_An_Cour!$V:$V,$C318,[7]BV_Data_An_Cour!$W:$W,$L$2)</f>
        <v>8668.85</v>
      </c>
      <c r="M318" s="531"/>
      <c r="N318" s="534">
        <f t="shared" ref="N318:N348" si="70">L318-F318</f>
        <v>901.57179487179383</v>
      </c>
      <c r="O318" s="531"/>
      <c r="P318" s="510"/>
      <c r="Q318" s="534">
        <f t="array" ref="Q318">+INDEX('[7]Réel 2023'!$A$2:$AO$501,MATCH($A318,'[7]Réel 2023'!$A$2:$A$501,0),MATCH(Q$2,'[7]Réel 2023'!$A$2:$AO$2,0))</f>
        <v>10881.83</v>
      </c>
      <c r="R318" s="531"/>
      <c r="S318" s="534">
        <f t="shared" ref="S318:S348" si="71">L318-Q318</f>
        <v>-2212.9799999999996</v>
      </c>
      <c r="T318" s="510"/>
      <c r="U318" s="510"/>
      <c r="V318" s="510"/>
      <c r="W318" s="510"/>
      <c r="X318" s="510"/>
      <c r="Y318" s="510"/>
      <c r="Z318" s="510"/>
      <c r="AA318" s="510"/>
      <c r="AB318" s="510"/>
      <c r="AC318" s="510"/>
      <c r="AD318" s="510"/>
      <c r="AE318" s="510"/>
      <c r="AF318" s="510"/>
      <c r="AG318" s="510"/>
      <c r="AH318" s="510"/>
      <c r="AI318" s="510"/>
      <c r="AJ318" s="510"/>
      <c r="AK318" s="510"/>
      <c r="AL318" s="510"/>
      <c r="AM318" s="510"/>
      <c r="AN318" s="510"/>
    </row>
    <row r="319" spans="1:40" ht="15.75" customHeight="1">
      <c r="A319" s="523" t="s">
        <v>419</v>
      </c>
      <c r="B319" s="510" t="s">
        <v>103</v>
      </c>
      <c r="C319" s="602" t="s">
        <v>42</v>
      </c>
      <c r="D319" s="584"/>
      <c r="E319" s="510"/>
      <c r="F319" s="526">
        <f>+INDEX('[7]Budget original'!$A$2:$AO$501,MATCH($A319,'[7]Budget original'!$A$2:$A$501,0),MATCH(F$2,'[7]Budget original'!$A$2:$AO$2,0))</f>
        <v>32882.606153846158</v>
      </c>
      <c r="G319" s="585"/>
      <c r="H319" s="510"/>
      <c r="I319" s="526"/>
      <c r="J319" s="531"/>
      <c r="K319" s="510"/>
      <c r="L319" s="534">
        <f>SUMIFS([7]BV_Data_An_Cour!$O:$O,[7]BV_Data_An_Cour!$U:$U,$B319,[7]BV_Data_An_Cour!$V:$V,$C319,[7]BV_Data_An_Cour!$W:$W,$L$2)</f>
        <v>33164.269999999997</v>
      </c>
      <c r="M319" s="531"/>
      <c r="N319" s="534">
        <f t="shared" si="70"/>
        <v>281.66384615383868</v>
      </c>
      <c r="O319" s="531"/>
      <c r="P319" s="510"/>
      <c r="Q319" s="534">
        <f t="array" ref="Q319">+INDEX('[7]Réel 2023'!$A$2:$AO$501,MATCH($A319,'[7]Réel 2023'!$A$2:$A$501,0),MATCH(Q$2,'[7]Réel 2023'!$A$2:$AO$2,0))</f>
        <v>26228.09</v>
      </c>
      <c r="R319" s="531"/>
      <c r="S319" s="557">
        <f t="shared" si="71"/>
        <v>6936.1799999999967</v>
      </c>
      <c r="T319" s="510"/>
      <c r="U319" s="510"/>
      <c r="V319" s="510"/>
      <c r="W319" s="510"/>
      <c r="X319" s="510"/>
      <c r="Y319" s="510"/>
      <c r="Z319" s="510"/>
      <c r="AA319" s="510"/>
      <c r="AB319" s="510"/>
      <c r="AC319" s="510"/>
      <c r="AD319" s="510"/>
      <c r="AE319" s="510"/>
      <c r="AF319" s="510"/>
      <c r="AG319" s="510"/>
      <c r="AH319" s="510"/>
      <c r="AI319" s="510"/>
      <c r="AJ319" s="510"/>
      <c r="AK319" s="510"/>
      <c r="AL319" s="510"/>
      <c r="AM319" s="510"/>
      <c r="AN319" s="510"/>
    </row>
    <row r="320" spans="1:40" ht="15.75" customHeight="1">
      <c r="A320" s="523" t="s">
        <v>420</v>
      </c>
      <c r="B320" s="510" t="s">
        <v>103</v>
      </c>
      <c r="C320" s="600" t="s">
        <v>43</v>
      </c>
      <c r="D320" s="603"/>
      <c r="E320" s="604"/>
      <c r="F320" s="532">
        <f>+INDEX('[7]Budget original'!$A$2:$AO$501,MATCH($A320,'[7]Budget original'!$A$2:$A$501,0),MATCH(F$2,'[7]Budget original'!$A$2:$AO$2,0))</f>
        <v>175.30769230769232</v>
      </c>
      <c r="G320" s="605"/>
      <c r="H320" s="604"/>
      <c r="I320" s="532"/>
      <c r="J320" s="518"/>
      <c r="K320" s="604"/>
      <c r="L320" s="553">
        <f>SUMIFS([7]BV_Data_An_Cour!$O:$O,[7]BV_Data_An_Cour!$U:$U,$B320,[7]BV_Data_An_Cour!$V:$V,$C320,[7]BV_Data_An_Cour!$W:$W,$L$2)</f>
        <v>113.92</v>
      </c>
      <c r="M320" s="518"/>
      <c r="N320" s="553">
        <f t="shared" si="70"/>
        <v>-61.387692307692319</v>
      </c>
      <c r="O320" s="518"/>
      <c r="P320" s="604"/>
      <c r="Q320" s="553">
        <f t="array" ref="Q320">+INDEX('[7]Réel 2023'!$A$2:$AO$501,MATCH($A320,'[7]Réel 2023'!$A$2:$A$501,0),MATCH(Q$2,'[7]Réel 2023'!$A$2:$AO$2,0))</f>
        <v>113.92</v>
      </c>
      <c r="R320" s="518"/>
      <c r="S320" s="606">
        <f t="shared" si="71"/>
        <v>0</v>
      </c>
      <c r="T320" s="510"/>
      <c r="U320" s="719"/>
      <c r="V320" s="719"/>
      <c r="W320" s="510"/>
      <c r="X320" s="510"/>
      <c r="Y320" s="510"/>
      <c r="Z320" s="510"/>
      <c r="AA320" s="510"/>
      <c r="AB320" s="510"/>
      <c r="AC320" s="510"/>
      <c r="AD320" s="510"/>
      <c r="AE320" s="510"/>
      <c r="AF320" s="510"/>
      <c r="AG320" s="510"/>
      <c r="AH320" s="510"/>
      <c r="AI320" s="510"/>
      <c r="AJ320" s="510"/>
      <c r="AK320" s="510"/>
      <c r="AL320" s="510"/>
      <c r="AM320" s="510"/>
      <c r="AN320" s="510"/>
    </row>
    <row r="321" spans="1:40" ht="15.75" customHeight="1">
      <c r="A321" s="523" t="s">
        <v>421</v>
      </c>
      <c r="B321" s="510" t="s">
        <v>103</v>
      </c>
      <c r="C321" s="600" t="s">
        <v>44</v>
      </c>
      <c r="D321" s="584"/>
      <c r="E321" s="510"/>
      <c r="F321" s="532">
        <f>+INDEX('[7]Budget original'!$A$2:$AO$501,MATCH($A321,'[7]Budget original'!$A$2:$A$501,0),MATCH(F$2,'[7]Budget original'!$A$2:$AO$2,0))</f>
        <v>0</v>
      </c>
      <c r="G321" s="585"/>
      <c r="H321" s="510"/>
      <c r="I321" s="532"/>
      <c r="J321" s="531"/>
      <c r="K321" s="510"/>
      <c r="L321" s="534">
        <f>SUMIFS([7]BV_Data_An_Cour!$O:$O,[7]BV_Data_An_Cour!$U:$U,$B321,[7]BV_Data_An_Cour!$V:$V,$C321,[7]BV_Data_An_Cour!$W:$W,$L$2)</f>
        <v>0</v>
      </c>
      <c r="M321" s="531"/>
      <c r="N321" s="534">
        <f t="shared" si="70"/>
        <v>0</v>
      </c>
      <c r="O321" s="531"/>
      <c r="P321" s="510"/>
      <c r="Q321" s="534">
        <f t="array" ref="Q321">+INDEX('[7]Réel 2023'!$A$2:$AO$501,MATCH($A321,'[7]Réel 2023'!$A$2:$A$501,0),MATCH(Q$2,'[7]Réel 2023'!$A$2:$AO$2,0))</f>
        <v>0</v>
      </c>
      <c r="R321" s="531"/>
      <c r="S321" s="557">
        <f t="shared" si="71"/>
        <v>0</v>
      </c>
      <c r="T321" s="510"/>
      <c r="U321" s="510"/>
      <c r="V321" s="510"/>
      <c r="W321" s="510"/>
      <c r="X321" s="510"/>
      <c r="Y321" s="510"/>
      <c r="Z321" s="510"/>
      <c r="AA321" s="510"/>
      <c r="AB321" s="510"/>
      <c r="AC321" s="510"/>
      <c r="AD321" s="510"/>
      <c r="AE321" s="510"/>
      <c r="AF321" s="510"/>
      <c r="AG321" s="510"/>
      <c r="AH321" s="510"/>
      <c r="AI321" s="510"/>
      <c r="AJ321" s="510"/>
      <c r="AK321" s="510"/>
      <c r="AL321" s="510"/>
      <c r="AM321" s="510"/>
      <c r="AN321" s="510"/>
    </row>
    <row r="322" spans="1:40" ht="15.75" hidden="1" customHeight="1">
      <c r="A322" s="523" t="s">
        <v>408</v>
      </c>
      <c r="B322" s="510" t="s">
        <v>103</v>
      </c>
      <c r="C322" s="531" t="s">
        <v>20</v>
      </c>
      <c r="D322" s="584"/>
      <c r="E322" s="510"/>
      <c r="F322" s="532">
        <f>+INDEX('[7]Budget original'!$A$2:$AO$501,MATCH($A322,'[7]Budget original'!$A$2:$A$501,0),MATCH(F$2,'[7]Budget original'!$A$2:$AO$2,0))</f>
        <v>0</v>
      </c>
      <c r="G322" s="585"/>
      <c r="H322" s="510"/>
      <c r="I322" s="532"/>
      <c r="J322" s="531"/>
      <c r="K322" s="510"/>
      <c r="L322" s="534">
        <f>SUMIFS([7]BV_Data_An_Cour!$O:$O,[7]BV_Data_An_Cour!$U:$U,$B322,[7]BV_Data_An_Cour!$V:$V,$C322,[7]BV_Data_An_Cour!$W:$W,$L$2)</f>
        <v>0</v>
      </c>
      <c r="M322" s="531"/>
      <c r="N322" s="534">
        <f t="shared" si="70"/>
        <v>0</v>
      </c>
      <c r="O322" s="531"/>
      <c r="P322" s="510"/>
      <c r="Q322" s="534">
        <f t="array" ref="Q322">+INDEX('[7]Réel 2023'!$A$2:$AO$501,MATCH($A322,'[7]Réel 2023'!$A$2:$A$501,0),MATCH(Q$2,'[7]Réel 2023'!$A$2:$AO$2,0))</f>
        <v>0</v>
      </c>
      <c r="R322" s="531"/>
      <c r="S322" s="557">
        <f t="shared" si="71"/>
        <v>0</v>
      </c>
      <c r="T322" s="510"/>
      <c r="U322" s="510"/>
      <c r="V322" s="510"/>
      <c r="W322" s="510"/>
      <c r="X322" s="510"/>
      <c r="Y322" s="510"/>
      <c r="Z322" s="510"/>
      <c r="AA322" s="510"/>
      <c r="AB322" s="510"/>
      <c r="AC322" s="510"/>
      <c r="AD322" s="510"/>
      <c r="AE322" s="510"/>
      <c r="AF322" s="510"/>
      <c r="AG322" s="510"/>
      <c r="AH322" s="510"/>
      <c r="AI322" s="510"/>
      <c r="AJ322" s="510"/>
      <c r="AK322" s="510"/>
      <c r="AL322" s="510"/>
      <c r="AM322" s="510"/>
      <c r="AN322" s="510"/>
    </row>
    <row r="323" spans="1:40" ht="15.75" hidden="1" customHeight="1">
      <c r="A323" s="523" t="s">
        <v>408</v>
      </c>
      <c r="B323" s="510" t="s">
        <v>103</v>
      </c>
      <c r="C323" s="531" t="s">
        <v>20</v>
      </c>
      <c r="D323" s="584"/>
      <c r="E323" s="510"/>
      <c r="F323" s="532">
        <f>+INDEX('[7]Budget original'!$A$2:$AO$501,MATCH($A323,'[7]Budget original'!$A$2:$A$501,0),MATCH(F$2,'[7]Budget original'!$A$2:$AO$2,0))</f>
        <v>0</v>
      </c>
      <c r="G323" s="585"/>
      <c r="H323" s="510"/>
      <c r="I323" s="532"/>
      <c r="J323" s="531"/>
      <c r="K323" s="510"/>
      <c r="L323" s="534">
        <f>SUMIFS([7]BV_Data_An_Cour!$O:$O,[7]BV_Data_An_Cour!$U:$U,$B323,[7]BV_Data_An_Cour!$V:$V,$C323,[7]BV_Data_An_Cour!$W:$W,$L$2)</f>
        <v>0</v>
      </c>
      <c r="M323" s="531"/>
      <c r="N323" s="534">
        <f t="shared" si="70"/>
        <v>0</v>
      </c>
      <c r="O323" s="531"/>
      <c r="P323" s="510"/>
      <c r="Q323" s="534">
        <f t="array" ref="Q323">+INDEX('[7]Réel 2023'!$A$2:$AO$501,MATCH($A323,'[7]Réel 2023'!$A$2:$A$501,0),MATCH(Q$2,'[7]Réel 2023'!$A$2:$AO$2,0))</f>
        <v>0</v>
      </c>
      <c r="R323" s="531"/>
      <c r="S323" s="557">
        <f t="shared" si="71"/>
        <v>0</v>
      </c>
      <c r="T323" s="510"/>
      <c r="U323" s="510"/>
      <c r="V323" s="510"/>
      <c r="W323" s="510"/>
      <c r="X323" s="510"/>
      <c r="Y323" s="510"/>
      <c r="Z323" s="510"/>
      <c r="AA323" s="510"/>
      <c r="AB323" s="510"/>
      <c r="AC323" s="510"/>
      <c r="AD323" s="510"/>
      <c r="AE323" s="510"/>
      <c r="AF323" s="510"/>
      <c r="AG323" s="510"/>
      <c r="AH323" s="510"/>
      <c r="AI323" s="510"/>
      <c r="AJ323" s="510"/>
      <c r="AK323" s="510"/>
      <c r="AL323" s="510"/>
      <c r="AM323" s="510"/>
      <c r="AN323" s="510"/>
    </row>
    <row r="324" spans="1:40" ht="15.75" hidden="1" customHeight="1">
      <c r="A324" s="523" t="s">
        <v>408</v>
      </c>
      <c r="B324" s="510" t="s">
        <v>103</v>
      </c>
      <c r="C324" s="531" t="s">
        <v>20</v>
      </c>
      <c r="D324" s="584"/>
      <c r="E324" s="510"/>
      <c r="F324" s="532">
        <f>+INDEX('[7]Budget original'!$A$2:$AO$501,MATCH($A324,'[7]Budget original'!$A$2:$A$501,0),MATCH(F$2,'[7]Budget original'!$A$2:$AO$2,0))</f>
        <v>0</v>
      </c>
      <c r="G324" s="585"/>
      <c r="H324" s="510"/>
      <c r="I324" s="532"/>
      <c r="J324" s="531"/>
      <c r="K324" s="510"/>
      <c r="L324" s="534">
        <f>SUMIFS([7]BV_Data_An_Cour!$O:$O,[7]BV_Data_An_Cour!$U:$U,$B324,[7]BV_Data_An_Cour!$V:$V,$C324,[7]BV_Data_An_Cour!$W:$W,$L$2)</f>
        <v>0</v>
      </c>
      <c r="M324" s="531"/>
      <c r="N324" s="534">
        <f t="shared" si="70"/>
        <v>0</v>
      </c>
      <c r="O324" s="531"/>
      <c r="P324" s="510"/>
      <c r="Q324" s="534">
        <f t="array" ref="Q324">+INDEX('[7]Réel 2023'!$A$2:$AO$501,MATCH($A324,'[7]Réel 2023'!$A$2:$A$501,0),MATCH(Q$2,'[7]Réel 2023'!$A$2:$AO$2,0))</f>
        <v>0</v>
      </c>
      <c r="R324" s="531"/>
      <c r="S324" s="557">
        <f t="shared" si="71"/>
        <v>0</v>
      </c>
      <c r="T324" s="510"/>
      <c r="U324" s="510"/>
      <c r="V324" s="510"/>
      <c r="W324" s="510"/>
      <c r="X324" s="510"/>
      <c r="Y324" s="510"/>
      <c r="Z324" s="510"/>
      <c r="AA324" s="510"/>
      <c r="AB324" s="510"/>
      <c r="AC324" s="510"/>
      <c r="AD324" s="510"/>
      <c r="AE324" s="510"/>
      <c r="AF324" s="510"/>
      <c r="AG324" s="510"/>
      <c r="AH324" s="510"/>
      <c r="AI324" s="510"/>
      <c r="AJ324" s="510"/>
      <c r="AK324" s="510"/>
      <c r="AL324" s="510"/>
      <c r="AM324" s="510"/>
      <c r="AN324" s="510"/>
    </row>
    <row r="325" spans="1:40" ht="15.75" customHeight="1">
      <c r="A325" s="523" t="s">
        <v>422</v>
      </c>
      <c r="B325" s="510" t="s">
        <v>103</v>
      </c>
      <c r="C325" s="602" t="s">
        <v>45</v>
      </c>
      <c r="D325" s="584"/>
      <c r="E325" s="510"/>
      <c r="F325" s="526">
        <f>+INDEX('[7]Budget original'!$A$2:$AO$501,MATCH($A325,'[7]Budget original'!$A$2:$A$501,0),MATCH(F$2,'[7]Budget original'!$A$2:$AO$2,0))</f>
        <v>4997.4343644871806</v>
      </c>
      <c r="G325" s="585"/>
      <c r="H325" s="510"/>
      <c r="I325" s="526"/>
      <c r="J325" s="531"/>
      <c r="K325" s="510"/>
      <c r="L325" s="534">
        <f>SUMIFS([7]BV_Data_An_Cour!$O:$O,[7]BV_Data_An_Cour!$U:$U,$B325,[7]BV_Data_An_Cour!$V:$V,$C325,[7]BV_Data_An_Cour!$W:$W,$L$2)</f>
        <v>2955.12</v>
      </c>
      <c r="M325" s="531"/>
      <c r="N325" s="534">
        <f t="shared" si="70"/>
        <v>-2042.3143644871807</v>
      </c>
      <c r="O325" s="531"/>
      <c r="P325" s="510"/>
      <c r="Q325" s="534">
        <f t="array" ref="Q325">+INDEX('[7]Réel 2023'!$A$2:$AO$501,MATCH($A325,'[7]Réel 2023'!$A$2:$A$501,0),MATCH(Q$2,'[7]Réel 2023'!$A$2:$AO$2,0))</f>
        <v>2051.38</v>
      </c>
      <c r="R325" s="531"/>
      <c r="S325" s="557">
        <f t="shared" si="71"/>
        <v>903.73999999999978</v>
      </c>
      <c r="T325" s="510"/>
      <c r="U325" s="510"/>
      <c r="V325" s="510"/>
      <c r="W325" s="510"/>
      <c r="X325" s="510"/>
      <c r="Y325" s="510"/>
      <c r="Z325" s="510"/>
      <c r="AA325" s="510"/>
      <c r="AB325" s="510"/>
      <c r="AC325" s="510"/>
      <c r="AD325" s="510"/>
      <c r="AE325" s="510"/>
      <c r="AF325" s="510"/>
      <c r="AG325" s="510"/>
      <c r="AH325" s="510"/>
      <c r="AI325" s="510"/>
      <c r="AJ325" s="510"/>
      <c r="AK325" s="510"/>
      <c r="AL325" s="510"/>
      <c r="AM325" s="510"/>
      <c r="AN325" s="510"/>
    </row>
    <row r="326" spans="1:40" ht="15.75" customHeight="1">
      <c r="A326" s="523" t="s">
        <v>423</v>
      </c>
      <c r="B326" s="510" t="s">
        <v>103</v>
      </c>
      <c r="C326" s="600" t="s">
        <v>46</v>
      </c>
      <c r="D326" s="603"/>
      <c r="E326" s="604"/>
      <c r="F326" s="532">
        <f>+INDEX('[7]Budget original'!$A$2:$AO$501,MATCH($A326,'[7]Budget original'!$A$2:$A$501,0),MATCH(F$2,'[7]Budget original'!$A$2:$AO$2,0))</f>
        <v>6076.175703076924</v>
      </c>
      <c r="G326" s="605"/>
      <c r="H326" s="604"/>
      <c r="I326" s="532"/>
      <c r="J326" s="518"/>
      <c r="K326" s="604"/>
      <c r="L326" s="553">
        <f>SUMIFS([7]BV_Data_An_Cour!$O:$O,[7]BV_Data_An_Cour!$U:$U,$B326,[7]BV_Data_An_Cour!$V:$V,$C326,[7]BV_Data_An_Cour!$W:$W,$L$2)</f>
        <v>6903.0199999999995</v>
      </c>
      <c r="M326" s="518"/>
      <c r="N326" s="553">
        <f t="shared" si="70"/>
        <v>826.84429692307549</v>
      </c>
      <c r="O326" s="518"/>
      <c r="P326" s="604"/>
      <c r="Q326" s="553">
        <f t="array" ref="Q326">+INDEX('[7]Réel 2023'!$A$2:$AO$501,MATCH($A326,'[7]Réel 2023'!$A$2:$A$501,0),MATCH(Q$2,'[7]Réel 2023'!$A$2:$AO$2,0))</f>
        <v>6537.46</v>
      </c>
      <c r="R326" s="518"/>
      <c r="S326" s="606">
        <f t="shared" si="71"/>
        <v>365.55999999999949</v>
      </c>
      <c r="T326" s="510"/>
      <c r="U326" s="510"/>
      <c r="V326" s="510"/>
      <c r="W326" s="510"/>
      <c r="X326" s="510"/>
      <c r="Y326" s="510"/>
      <c r="Z326" s="510"/>
      <c r="AA326" s="510"/>
      <c r="AB326" s="510"/>
      <c r="AC326" s="510"/>
      <c r="AD326" s="510"/>
      <c r="AE326" s="510"/>
      <c r="AF326" s="510"/>
      <c r="AG326" s="510"/>
      <c r="AH326" s="510"/>
      <c r="AI326" s="510"/>
      <c r="AJ326" s="510"/>
      <c r="AK326" s="510"/>
      <c r="AL326" s="510"/>
      <c r="AM326" s="510"/>
      <c r="AN326" s="510"/>
    </row>
    <row r="327" spans="1:40" ht="15.75" customHeight="1">
      <c r="A327" s="523" t="s">
        <v>424</v>
      </c>
      <c r="B327" s="510" t="s">
        <v>103</v>
      </c>
      <c r="C327" s="600" t="s">
        <v>47</v>
      </c>
      <c r="D327" s="584"/>
      <c r="E327" s="510"/>
      <c r="F327" s="532">
        <f>+INDEX('[7]Budget original'!$A$2:$AO$501,MATCH($A327,'[7]Budget original'!$A$2:$A$501,0),MATCH(F$2,'[7]Budget original'!$A$2:$AO$2,0))</f>
        <v>3130.5513948461539</v>
      </c>
      <c r="G327" s="585"/>
      <c r="H327" s="510"/>
      <c r="I327" s="532"/>
      <c r="J327" s="531"/>
      <c r="K327" s="510"/>
      <c r="L327" s="534">
        <f>SUMIFS([7]BV_Data_An_Cour!$O:$O,[7]BV_Data_An_Cour!$U:$U,$B327,[7]BV_Data_An_Cour!$V:$V,$C327,[7]BV_Data_An_Cour!$W:$W,$L$2)</f>
        <v>-3783.47</v>
      </c>
      <c r="M327" s="531"/>
      <c r="N327" s="534">
        <f t="shared" si="70"/>
        <v>-6914.0213948461533</v>
      </c>
      <c r="O327" s="531"/>
      <c r="P327" s="510"/>
      <c r="Q327" s="534">
        <f t="array" ref="Q327">+INDEX('[7]Réel 2023'!$A$2:$AO$501,MATCH($A327,'[7]Réel 2023'!$A$2:$A$501,0),MATCH(Q$2,'[7]Réel 2023'!$A$2:$AO$2,0))</f>
        <v>999.12</v>
      </c>
      <c r="R327" s="531"/>
      <c r="S327" s="557">
        <f t="shared" si="71"/>
        <v>-4782.59</v>
      </c>
      <c r="T327" s="510"/>
      <c r="U327" s="510"/>
      <c r="V327" s="510"/>
      <c r="W327" s="510"/>
      <c r="X327" s="510"/>
      <c r="Y327" s="510"/>
      <c r="Z327" s="510"/>
      <c r="AA327" s="510"/>
      <c r="AB327" s="510"/>
      <c r="AC327" s="510"/>
      <c r="AD327" s="510"/>
      <c r="AE327" s="510"/>
      <c r="AF327" s="510"/>
      <c r="AG327" s="510"/>
      <c r="AH327" s="510"/>
      <c r="AI327" s="510"/>
      <c r="AJ327" s="510"/>
      <c r="AK327" s="510"/>
      <c r="AL327" s="510"/>
      <c r="AM327" s="510"/>
      <c r="AN327" s="510"/>
    </row>
    <row r="328" spans="1:40" ht="15.75" customHeight="1">
      <c r="A328" s="523" t="s">
        <v>425</v>
      </c>
      <c r="B328" s="510" t="s">
        <v>103</v>
      </c>
      <c r="C328" s="600" t="s">
        <v>48</v>
      </c>
      <c r="D328" s="584"/>
      <c r="E328" s="510"/>
      <c r="F328" s="532">
        <f>+INDEX('[7]Budget original'!$A$2:$AO$501,MATCH($A328,'[7]Budget original'!$A$2:$A$501,0),MATCH(F$2,'[7]Budget original'!$A$2:$AO$2,0))</f>
        <v>1364.9380202564105</v>
      </c>
      <c r="G328" s="585"/>
      <c r="H328" s="510"/>
      <c r="I328" s="532"/>
      <c r="J328" s="531"/>
      <c r="K328" s="510"/>
      <c r="L328" s="534">
        <f>SUMIFS([7]BV_Data_An_Cour!$O:$O,[7]BV_Data_An_Cour!$U:$U,$B328,[7]BV_Data_An_Cour!$V:$V,$C328,[7]BV_Data_An_Cour!$W:$W,$L$2)</f>
        <v>891.5</v>
      </c>
      <c r="M328" s="531"/>
      <c r="N328" s="534">
        <f t="shared" si="70"/>
        <v>-473.43802025641048</v>
      </c>
      <c r="O328" s="531"/>
      <c r="P328" s="510"/>
      <c r="Q328" s="534">
        <f t="array" ref="Q328">+INDEX('[7]Réel 2023'!$A$2:$AO$501,MATCH($A328,'[7]Réel 2023'!$A$2:$A$501,0),MATCH(Q$2,'[7]Réel 2023'!$A$2:$AO$2,0))</f>
        <v>797.39</v>
      </c>
      <c r="R328" s="531"/>
      <c r="S328" s="557">
        <f t="shared" si="71"/>
        <v>94.110000000000014</v>
      </c>
      <c r="T328" s="510"/>
      <c r="U328" s="510"/>
      <c r="V328" s="510"/>
      <c r="W328" s="510"/>
      <c r="X328" s="510"/>
      <c r="Y328" s="510"/>
      <c r="Z328" s="510"/>
      <c r="AA328" s="510"/>
      <c r="AB328" s="510"/>
      <c r="AC328" s="510"/>
      <c r="AD328" s="510"/>
      <c r="AE328" s="510"/>
      <c r="AF328" s="510"/>
      <c r="AG328" s="510"/>
      <c r="AH328" s="510"/>
      <c r="AI328" s="510"/>
      <c r="AJ328" s="510"/>
      <c r="AK328" s="510"/>
      <c r="AL328" s="510"/>
      <c r="AM328" s="510"/>
      <c r="AN328" s="510"/>
    </row>
    <row r="329" spans="1:40" ht="15.75" hidden="1" customHeight="1">
      <c r="A329" s="523" t="s">
        <v>408</v>
      </c>
      <c r="B329" s="510" t="s">
        <v>103</v>
      </c>
      <c r="C329" s="531" t="s">
        <v>20</v>
      </c>
      <c r="D329" s="587"/>
      <c r="E329" s="607"/>
      <c r="F329" s="532">
        <f>+INDEX('[7]Budget original'!$A$2:$AO$501,MATCH($A329,'[7]Budget original'!$A$2:$A$501,0),MATCH(F$2,'[7]Budget original'!$A$2:$AO$2,0))</f>
        <v>0</v>
      </c>
      <c r="G329" s="588"/>
      <c r="H329" s="607"/>
      <c r="I329" s="532"/>
      <c r="J329" s="524"/>
      <c r="K329" s="607"/>
      <c r="L329" s="534">
        <f>SUMIFS([7]BV_Data_An_Cour!$O:$O,[7]BV_Data_An_Cour!$U:$U,$B329,[7]BV_Data_An_Cour!$V:$V,$C329,[7]BV_Data_An_Cour!$W:$W,$L$2)</f>
        <v>0</v>
      </c>
      <c r="M329" s="524"/>
      <c r="N329" s="582">
        <f t="shared" si="70"/>
        <v>0</v>
      </c>
      <c r="O329" s="524"/>
      <c r="P329" s="607"/>
      <c r="Q329" s="534">
        <f t="array" ref="Q329">+INDEX('[7]Réel 2023'!$A$2:$AO$501,MATCH($A329,'[7]Réel 2023'!$A$2:$A$501,0),MATCH(Q$2,'[7]Réel 2023'!$A$2:$AO$2,0))</f>
        <v>0</v>
      </c>
      <c r="R329" s="524"/>
      <c r="S329" s="582">
        <f t="shared" si="71"/>
        <v>0</v>
      </c>
      <c r="T329" s="510"/>
      <c r="U329" s="510"/>
      <c r="V329" s="510"/>
      <c r="W329" s="510"/>
      <c r="X329" s="510"/>
      <c r="Y329" s="510"/>
      <c r="Z329" s="510"/>
      <c r="AA329" s="510"/>
      <c r="AB329" s="510"/>
      <c r="AC329" s="510"/>
      <c r="AD329" s="510"/>
      <c r="AE329" s="510"/>
      <c r="AF329" s="510"/>
      <c r="AG329" s="510"/>
      <c r="AH329" s="510"/>
      <c r="AI329" s="510"/>
      <c r="AJ329" s="510"/>
      <c r="AK329" s="510"/>
      <c r="AL329" s="510"/>
      <c r="AM329" s="510"/>
      <c r="AN329" s="510"/>
    </row>
    <row r="330" spans="1:40" ht="15.75" customHeight="1">
      <c r="A330" s="523" t="s">
        <v>426</v>
      </c>
      <c r="B330" s="510" t="s">
        <v>103</v>
      </c>
      <c r="C330" s="592" t="s">
        <v>49</v>
      </c>
      <c r="D330" s="593" t="s">
        <v>39</v>
      </c>
      <c r="E330" s="594">
        <f>F330/F$314</f>
        <v>0.30457286906333692</v>
      </c>
      <c r="F330" s="595">
        <f>+SUM(F318:F329)</f>
        <v>56394.291533948723</v>
      </c>
      <c r="G330" s="596"/>
      <c r="H330" s="594"/>
      <c r="I330" s="595"/>
      <c r="J330" s="596" t="s">
        <v>39</v>
      </c>
      <c r="K330" s="594">
        <f>L330/L$314</f>
        <v>0.32221045714124591</v>
      </c>
      <c r="L330" s="595">
        <f>+SUM(L318:L329)</f>
        <v>48913.209999999992</v>
      </c>
      <c r="M330" s="650"/>
      <c r="N330" s="609">
        <f t="shared" si="70"/>
        <v>-7481.0815339487308</v>
      </c>
      <c r="O330" s="596" t="s">
        <v>39</v>
      </c>
      <c r="P330" s="594">
        <f>Q330/Q$314</f>
        <v>0.29910855840101314</v>
      </c>
      <c r="Q330" s="595">
        <f>+SUM(Q318:Q329)</f>
        <v>47609.189999999995</v>
      </c>
      <c r="R330" s="650"/>
      <c r="S330" s="609">
        <f t="shared" si="71"/>
        <v>1304.0199999999968</v>
      </c>
      <c r="T330" s="510"/>
      <c r="U330" s="510"/>
      <c r="V330" s="510"/>
      <c r="W330" s="510"/>
      <c r="X330" s="510"/>
      <c r="Y330" s="510"/>
      <c r="Z330" s="510"/>
      <c r="AA330" s="510"/>
      <c r="AB330" s="510"/>
      <c r="AC330" s="510"/>
      <c r="AD330" s="510"/>
      <c r="AE330" s="510"/>
      <c r="AF330" s="510"/>
      <c r="AG330" s="510"/>
      <c r="AH330" s="510"/>
      <c r="AI330" s="510"/>
      <c r="AJ330" s="510"/>
      <c r="AK330" s="510"/>
      <c r="AL330" s="510"/>
      <c r="AM330" s="510"/>
      <c r="AN330" s="510"/>
    </row>
    <row r="331" spans="1:40" ht="15.75" customHeight="1">
      <c r="A331" s="523" t="s">
        <v>427</v>
      </c>
      <c r="B331" s="510" t="s">
        <v>103</v>
      </c>
      <c r="C331" s="706" t="s">
        <v>50</v>
      </c>
      <c r="D331" s="584"/>
      <c r="E331" s="510"/>
      <c r="F331" s="532">
        <f>+INDEX('[7]Budget original'!$A$2:$AO$501,MATCH($A331,'[7]Budget original'!$A$2:$A$501,0),MATCH(F$2,'[7]Budget original'!$A$2:$AO$2,0))</f>
        <v>4451.5681367708321</v>
      </c>
      <c r="G331" s="585"/>
      <c r="H331" s="510"/>
      <c r="I331" s="532"/>
      <c r="J331" s="531"/>
      <c r="K331" s="510"/>
      <c r="L331" s="534">
        <f>SUMIFS([7]BV_Data_An_Cour!$O:$O,[7]BV_Data_An_Cour!$U:$U,$B331,[7]BV_Data_An_Cour!$V:$V,$C331,[7]BV_Data_An_Cour!$W:$W,$L$2)</f>
        <v>3939.83</v>
      </c>
      <c r="M331" s="531"/>
      <c r="N331" s="557">
        <f t="shared" si="70"/>
        <v>-511.73813677083217</v>
      </c>
      <c r="O331" s="531"/>
      <c r="P331" s="510"/>
      <c r="Q331" s="534">
        <f t="array" ref="Q331">+INDEX('[7]Réel 2023'!$A$2:$AO$501,MATCH($A331,'[7]Réel 2023'!$A$2:$A$501,0),MATCH(Q$2,'[7]Réel 2023'!$A$2:$AO$2,0))</f>
        <v>3984.93</v>
      </c>
      <c r="R331" s="531"/>
      <c r="S331" s="557">
        <f t="shared" si="71"/>
        <v>-45.099999999999909</v>
      </c>
      <c r="T331" s="510"/>
      <c r="U331" s="510"/>
      <c r="V331" s="510"/>
      <c r="W331" s="573"/>
      <c r="X331" s="510"/>
      <c r="Y331" s="510"/>
      <c r="Z331" s="510"/>
      <c r="AA331" s="510"/>
      <c r="AB331" s="510"/>
      <c r="AC331" s="510"/>
      <c r="AD331" s="510"/>
      <c r="AE331" s="510"/>
      <c r="AF331" s="510"/>
      <c r="AG331" s="510"/>
      <c r="AH331" s="510"/>
      <c r="AI331" s="510"/>
      <c r="AJ331" s="510"/>
      <c r="AK331" s="510"/>
      <c r="AL331" s="510"/>
      <c r="AM331" s="510"/>
      <c r="AN331" s="510"/>
    </row>
    <row r="332" spans="1:40" ht="15.75" customHeight="1">
      <c r="A332" s="523" t="s">
        <v>428</v>
      </c>
      <c r="B332" s="510" t="s">
        <v>103</v>
      </c>
      <c r="C332" s="600" t="s">
        <v>51</v>
      </c>
      <c r="D332" s="584"/>
      <c r="E332" s="510"/>
      <c r="F332" s="532">
        <f>+INDEX('[7]Budget original'!$A$2:$AO$501,MATCH($A332,'[7]Budget original'!$A$2:$A$501,0),MATCH(F$2,'[7]Budget original'!$A$2:$AO$2,0))</f>
        <v>1484.7664064747862</v>
      </c>
      <c r="G332" s="585"/>
      <c r="H332" s="510"/>
      <c r="I332" s="532"/>
      <c r="J332" s="531"/>
      <c r="K332" s="510"/>
      <c r="L332" s="534">
        <f>SUMIFS([7]BV_Data_An_Cour!$O:$O,[7]BV_Data_An_Cour!$U:$U,$B332,[7]BV_Data_An_Cour!$V:$V,$C332,[7]BV_Data_An_Cour!$W:$W,$L$2)</f>
        <v>666.15</v>
      </c>
      <c r="M332" s="531"/>
      <c r="N332" s="557">
        <f t="shared" si="70"/>
        <v>-818.61640647478623</v>
      </c>
      <c r="O332" s="531"/>
      <c r="P332" s="510"/>
      <c r="Q332" s="534">
        <f t="array" ref="Q332">+INDEX('[7]Réel 2023'!$A$2:$AO$501,MATCH($A332,'[7]Réel 2023'!$A$2:$A$501,0),MATCH(Q$2,'[7]Réel 2023'!$A$2:$AO$2,0))</f>
        <v>1834.86</v>
      </c>
      <c r="R332" s="531"/>
      <c r="S332" s="557">
        <f t="shared" si="71"/>
        <v>-1168.71</v>
      </c>
      <c r="T332" s="510"/>
      <c r="U332" s="510"/>
      <c r="V332" s="510"/>
      <c r="W332" s="510"/>
      <c r="X332" s="510"/>
      <c r="Y332" s="510"/>
      <c r="Z332" s="510"/>
      <c r="AA332" s="510"/>
      <c r="AB332" s="510"/>
      <c r="AC332" s="510"/>
      <c r="AD332" s="510"/>
      <c r="AE332" s="510"/>
      <c r="AF332" s="510"/>
      <c r="AG332" s="510"/>
      <c r="AH332" s="510"/>
      <c r="AI332" s="510"/>
      <c r="AJ332" s="510"/>
      <c r="AK332" s="510"/>
      <c r="AL332" s="510"/>
      <c r="AM332" s="510"/>
      <c r="AN332" s="510"/>
    </row>
    <row r="333" spans="1:40" ht="15.75" customHeight="1">
      <c r="A333" s="523" t="s">
        <v>429</v>
      </c>
      <c r="B333" s="510" t="s">
        <v>103</v>
      </c>
      <c r="C333" s="602" t="s">
        <v>52</v>
      </c>
      <c r="D333" s="587"/>
      <c r="E333" s="607"/>
      <c r="F333" s="526">
        <f>+INDEX('[7]Budget original'!$A$2:$AO$501,MATCH($A333,'[7]Budget original'!$A$2:$A$501,0),MATCH(F$2,'[7]Budget original'!$A$2:$AO$2,0))</f>
        <v>1083.3333333333333</v>
      </c>
      <c r="G333" s="588"/>
      <c r="H333" s="607"/>
      <c r="I333" s="526"/>
      <c r="J333" s="524"/>
      <c r="K333" s="607"/>
      <c r="L333" s="534">
        <f>SUMIFS([7]BV_Data_An_Cour!$O:$O,[7]BV_Data_An_Cour!$U:$U,$B333,[7]BV_Data_An_Cour!$V:$V,$C333,[7]BV_Data_An_Cour!$W:$W,$L$2)</f>
        <v>1351.28</v>
      </c>
      <c r="M333" s="524"/>
      <c r="N333" s="582">
        <f t="shared" si="70"/>
        <v>267.94666666666672</v>
      </c>
      <c r="O333" s="524"/>
      <c r="P333" s="607"/>
      <c r="Q333" s="534">
        <f t="array" ref="Q333">+INDEX('[7]Réel 2023'!$A$2:$AO$501,MATCH($A333,'[7]Réel 2023'!$A$2:$A$501,0),MATCH(Q$2,'[7]Réel 2023'!$A$2:$AO$2,0))</f>
        <v>1022.19</v>
      </c>
      <c r="R333" s="524"/>
      <c r="S333" s="582">
        <f t="shared" si="71"/>
        <v>329.08999999999992</v>
      </c>
      <c r="T333" s="510"/>
      <c r="U333" s="510"/>
      <c r="V333" s="510"/>
      <c r="W333" s="510"/>
      <c r="X333" s="510"/>
      <c r="Y333" s="510"/>
      <c r="Z333" s="510"/>
      <c r="AA333" s="510"/>
      <c r="AB333" s="510"/>
      <c r="AC333" s="510"/>
      <c r="AD333" s="510"/>
      <c r="AE333" s="510"/>
      <c r="AF333" s="510"/>
      <c r="AG333" s="510"/>
      <c r="AH333" s="510"/>
      <c r="AI333" s="510"/>
      <c r="AJ333" s="510"/>
      <c r="AK333" s="510"/>
      <c r="AL333" s="510"/>
      <c r="AM333" s="510"/>
      <c r="AN333" s="510"/>
    </row>
    <row r="334" spans="1:40" ht="15.75" customHeight="1">
      <c r="A334" s="523" t="s">
        <v>430</v>
      </c>
      <c r="B334" s="510" t="s">
        <v>103</v>
      </c>
      <c r="C334" s="600" t="s">
        <v>53</v>
      </c>
      <c r="D334" s="584"/>
      <c r="E334" s="510"/>
      <c r="F334" s="532">
        <f>+INDEX('[7]Budget original'!$A$2:$AO$501,MATCH($A334,'[7]Budget original'!$A$2:$A$501,0),MATCH(F$2,'[7]Budget original'!$A$2:$AO$2,0))</f>
        <v>3808.9357027777774</v>
      </c>
      <c r="G334" s="585"/>
      <c r="H334" s="510"/>
      <c r="I334" s="532"/>
      <c r="J334" s="531"/>
      <c r="K334" s="510"/>
      <c r="L334" s="553">
        <f>SUMIFS([7]BV_Data_An_Cour!$O:$O,[7]BV_Data_An_Cour!$U:$U,$B334,[7]BV_Data_An_Cour!$V:$V,$C334,[7]BV_Data_An_Cour!$W:$W,$L$2)</f>
        <v>4553.7700000000004</v>
      </c>
      <c r="M334" s="531"/>
      <c r="N334" s="557">
        <f t="shared" si="70"/>
        <v>744.83429722222309</v>
      </c>
      <c r="O334" s="531"/>
      <c r="P334" s="510"/>
      <c r="Q334" s="553">
        <f t="array" ref="Q334">+INDEX('[7]Réel 2023'!$A$2:$AO$501,MATCH($A334,'[7]Réel 2023'!$A$2:$A$501,0),MATCH(Q$2,'[7]Réel 2023'!$A$2:$AO$2,0))</f>
        <v>3858.32</v>
      </c>
      <c r="R334" s="531"/>
      <c r="S334" s="557">
        <f t="shared" si="71"/>
        <v>695.45000000000027</v>
      </c>
      <c r="T334" s="510"/>
      <c r="U334" s="510"/>
      <c r="V334" s="510"/>
      <c r="W334" s="510"/>
      <c r="X334" s="510"/>
      <c r="Y334" s="510"/>
      <c r="Z334" s="510"/>
      <c r="AA334" s="510"/>
      <c r="AB334" s="510"/>
      <c r="AC334" s="510"/>
      <c r="AD334" s="510"/>
      <c r="AE334" s="510"/>
      <c r="AF334" s="510"/>
      <c r="AG334" s="510"/>
      <c r="AH334" s="510"/>
      <c r="AI334" s="510"/>
      <c r="AJ334" s="510"/>
      <c r="AK334" s="510"/>
      <c r="AL334" s="510"/>
      <c r="AM334" s="510"/>
      <c r="AN334" s="510"/>
    </row>
    <row r="335" spans="1:40" ht="15.75" customHeight="1">
      <c r="A335" s="523" t="s">
        <v>431</v>
      </c>
      <c r="B335" s="510" t="s">
        <v>103</v>
      </c>
      <c r="C335" s="600" t="s">
        <v>54</v>
      </c>
      <c r="D335" s="584"/>
      <c r="E335" s="510"/>
      <c r="F335" s="532">
        <f>+INDEX('[7]Budget original'!$A$2:$AO$501,MATCH($A335,'[7]Budget original'!$A$2:$A$501,0),MATCH(F$2,'[7]Budget original'!$A$2:$AO$2,0))</f>
        <v>685.62049669649684</v>
      </c>
      <c r="G335" s="585"/>
      <c r="H335" s="510"/>
      <c r="I335" s="532"/>
      <c r="J335" s="531"/>
      <c r="K335" s="510"/>
      <c r="L335" s="534">
        <f>SUMIFS([7]BV_Data_An_Cour!$O:$O,[7]BV_Data_An_Cour!$U:$U,$B335,[7]BV_Data_An_Cour!$V:$V,$C335,[7]BV_Data_An_Cour!$W:$W,$L$2)</f>
        <v>1461.86</v>
      </c>
      <c r="M335" s="531"/>
      <c r="N335" s="557">
        <f t="shared" si="70"/>
        <v>776.23950330350306</v>
      </c>
      <c r="O335" s="531"/>
      <c r="P335" s="510"/>
      <c r="Q335" s="534">
        <f t="array" ref="Q335">+INDEX('[7]Réel 2023'!$A$2:$AO$501,MATCH($A335,'[7]Réel 2023'!$A$2:$A$501,0),MATCH(Q$2,'[7]Réel 2023'!$A$2:$AO$2,0))</f>
        <v>1568.23</v>
      </c>
      <c r="R335" s="531"/>
      <c r="S335" s="557">
        <f t="shared" si="71"/>
        <v>-106.37000000000012</v>
      </c>
      <c r="T335" s="510"/>
      <c r="U335" s="510"/>
      <c r="V335" s="510"/>
      <c r="W335" s="510"/>
      <c r="X335" s="510"/>
      <c r="Y335" s="510"/>
      <c r="Z335" s="510"/>
      <c r="AA335" s="510"/>
      <c r="AB335" s="510"/>
      <c r="AC335" s="510"/>
      <c r="AD335" s="510"/>
      <c r="AE335" s="510"/>
      <c r="AF335" s="510"/>
      <c r="AG335" s="510"/>
      <c r="AH335" s="510"/>
      <c r="AI335" s="510"/>
      <c r="AJ335" s="510"/>
      <c r="AK335" s="510"/>
      <c r="AL335" s="510"/>
      <c r="AM335" s="510"/>
      <c r="AN335" s="510"/>
    </row>
    <row r="336" spans="1:40" ht="15.75" customHeight="1">
      <c r="A336" s="523" t="s">
        <v>432</v>
      </c>
      <c r="B336" s="510" t="s">
        <v>103</v>
      </c>
      <c r="C336" s="602" t="s">
        <v>55</v>
      </c>
      <c r="D336" s="587"/>
      <c r="E336" s="607"/>
      <c r="F336" s="526">
        <f>+INDEX('[7]Budget original'!$A$2:$AO$501,MATCH($A336,'[7]Budget original'!$A$2:$A$501,0),MATCH(F$2,'[7]Budget original'!$A$2:$AO$2,0))</f>
        <v>12416.827750532408</v>
      </c>
      <c r="G336" s="588"/>
      <c r="H336" s="607"/>
      <c r="I336" s="526"/>
      <c r="J336" s="524"/>
      <c r="K336" s="607"/>
      <c r="L336" s="526">
        <f>SUMIFS([7]BV_Data_An_Cour!$O:$O,[7]BV_Data_An_Cour!$U:$U,$B336,[7]BV_Data_An_Cour!$V:$V,$C336,[7]BV_Data_An_Cour!$W:$W,$L$2)</f>
        <v>11143.02</v>
      </c>
      <c r="M336" s="524"/>
      <c r="N336" s="582">
        <f t="shared" si="70"/>
        <v>-1273.8077505324072</v>
      </c>
      <c r="O336" s="524"/>
      <c r="P336" s="607"/>
      <c r="Q336" s="526">
        <f t="array" ref="Q336">+INDEX('[7]Réel 2023'!$A$2:$AO$501,MATCH($A336,'[7]Réel 2023'!$A$2:$A$501,0),MATCH(Q$2,'[7]Réel 2023'!$A$2:$AO$2,0))</f>
        <v>16850.41</v>
      </c>
      <c r="R336" s="524"/>
      <c r="S336" s="582">
        <f t="shared" si="71"/>
        <v>-5707.3899999999994</v>
      </c>
      <c r="T336" s="510"/>
      <c r="U336" s="510"/>
      <c r="V336" s="510"/>
      <c r="W336" s="510"/>
      <c r="X336" s="510"/>
      <c r="Y336" s="510"/>
      <c r="Z336" s="510"/>
      <c r="AA336" s="510"/>
      <c r="AB336" s="510"/>
      <c r="AC336" s="510"/>
      <c r="AD336" s="510"/>
      <c r="AE336" s="510"/>
      <c r="AF336" s="510"/>
      <c r="AG336" s="510"/>
      <c r="AH336" s="510"/>
      <c r="AI336" s="510"/>
      <c r="AJ336" s="510"/>
      <c r="AK336" s="510"/>
      <c r="AL336" s="510"/>
      <c r="AM336" s="510"/>
      <c r="AN336" s="510"/>
    </row>
    <row r="337" spans="1:40" ht="15.75" customHeight="1">
      <c r="A337" s="523" t="s">
        <v>433</v>
      </c>
      <c r="B337" s="510" t="s">
        <v>103</v>
      </c>
      <c r="C337" s="600" t="s">
        <v>98</v>
      </c>
      <c r="D337" s="584"/>
      <c r="E337" s="510"/>
      <c r="F337" s="532"/>
      <c r="G337" s="585"/>
      <c r="H337" s="510"/>
      <c r="I337" s="532"/>
      <c r="J337" s="531"/>
      <c r="K337" s="510"/>
      <c r="L337" s="534">
        <f>SUMIFS([7]BV_Data_An_Cour!$O:$O,[7]BV_Data_An_Cour!$U:$U,$B337,[7]BV_Data_An_Cour!$V:$V,$C337,[7]BV_Data_An_Cour!$W:$W,$L$2)</f>
        <v>0</v>
      </c>
      <c r="M337" s="531"/>
      <c r="N337" s="557">
        <f t="shared" si="70"/>
        <v>0</v>
      </c>
      <c r="O337" s="531"/>
      <c r="P337" s="510"/>
      <c r="Q337" s="534">
        <f>+INDEX('[7]Réel 2023'!$A$2:$AO$501,MATCH($A337,'[7]Réel 2023'!$A$2:$A$501,0),MATCH(Q$2,'[7]Réel 2023'!$A$2:$AO$2,0))</f>
        <v>0</v>
      </c>
      <c r="R337" s="531"/>
      <c r="S337" s="557">
        <f t="shared" si="71"/>
        <v>0</v>
      </c>
      <c r="T337" s="510"/>
      <c r="U337" s="510"/>
      <c r="V337" s="510"/>
      <c r="W337" s="510"/>
      <c r="X337" s="510"/>
      <c r="Y337" s="510"/>
      <c r="Z337" s="510"/>
      <c r="AA337" s="510"/>
      <c r="AB337" s="510"/>
      <c r="AC337" s="510"/>
      <c r="AD337" s="510"/>
      <c r="AE337" s="510"/>
      <c r="AF337" s="510"/>
      <c r="AG337" s="510"/>
      <c r="AH337" s="510"/>
      <c r="AI337" s="510"/>
      <c r="AJ337" s="510"/>
      <c r="AK337" s="510"/>
      <c r="AL337" s="510"/>
      <c r="AM337" s="510"/>
      <c r="AN337" s="510"/>
    </row>
    <row r="338" spans="1:40" ht="15.75" customHeight="1">
      <c r="A338" s="523" t="s">
        <v>434</v>
      </c>
      <c r="B338" s="510" t="s">
        <v>103</v>
      </c>
      <c r="C338" s="600" t="s">
        <v>56</v>
      </c>
      <c r="D338" s="584"/>
      <c r="E338" s="510"/>
      <c r="F338" s="532">
        <f>+INDEX('[7]Budget original'!$A$2:$AO$501,MATCH($A338,'[7]Budget original'!$A$2:$A$501,0),MATCH(F$2,'[7]Budget original'!$A$2:$AO$2,0))</f>
        <v>125</v>
      </c>
      <c r="G338" s="585"/>
      <c r="H338" s="510"/>
      <c r="I338" s="532"/>
      <c r="J338" s="531"/>
      <c r="K338" s="510"/>
      <c r="L338" s="534">
        <f>SUMIFS([7]BV_Data_An_Cour!$O:$O,[7]BV_Data_An_Cour!$U:$U,$B338,[7]BV_Data_An_Cour!$V:$V,$C338,[7]BV_Data_An_Cour!$W:$W,$L$2)</f>
        <v>129.94999999999999</v>
      </c>
      <c r="M338" s="531"/>
      <c r="N338" s="557">
        <f t="shared" si="70"/>
        <v>4.9499999999999886</v>
      </c>
      <c r="O338" s="531"/>
      <c r="P338" s="510"/>
      <c r="Q338" s="534">
        <f t="array" ref="Q338">+INDEX('[7]Réel 2023'!$A$2:$AO$501,MATCH($A338,'[7]Réel 2023'!$A$2:$A$501,0),MATCH(Q$2,'[7]Réel 2023'!$A$2:$AO$2,0))</f>
        <v>168.63</v>
      </c>
      <c r="R338" s="531"/>
      <c r="S338" s="557">
        <f t="shared" si="71"/>
        <v>-38.680000000000007</v>
      </c>
      <c r="T338" s="510"/>
      <c r="U338" s="510"/>
      <c r="V338" s="510"/>
      <c r="W338" s="510"/>
      <c r="X338" s="510"/>
      <c r="Y338" s="510"/>
      <c r="Z338" s="510"/>
      <c r="AA338" s="510"/>
      <c r="AB338" s="510"/>
      <c r="AC338" s="510"/>
      <c r="AD338" s="510"/>
      <c r="AE338" s="510"/>
      <c r="AF338" s="510"/>
      <c r="AG338" s="510"/>
      <c r="AH338" s="510"/>
      <c r="AI338" s="510"/>
      <c r="AJ338" s="510"/>
      <c r="AK338" s="510"/>
      <c r="AL338" s="510"/>
      <c r="AM338" s="510"/>
      <c r="AN338" s="510"/>
    </row>
    <row r="339" spans="1:40" ht="15.75" customHeight="1">
      <c r="A339" s="523" t="s">
        <v>435</v>
      </c>
      <c r="B339" s="510" t="s">
        <v>103</v>
      </c>
      <c r="C339" s="600" t="s">
        <v>57</v>
      </c>
      <c r="D339" s="584"/>
      <c r="E339" s="510"/>
      <c r="F339" s="532">
        <f>+INDEX('[7]Budget original'!$A$2:$AO$501,MATCH($A339,'[7]Budget original'!$A$2:$A$501,0),MATCH(F$2,'[7]Budget original'!$A$2:$AO$2,0))</f>
        <v>83.333333333333329</v>
      </c>
      <c r="G339" s="585"/>
      <c r="H339" s="510"/>
      <c r="I339" s="532"/>
      <c r="J339" s="531"/>
      <c r="K339" s="510"/>
      <c r="L339" s="534">
        <f>SUMIFS([7]BV_Data_An_Cour!$O:$O,[7]BV_Data_An_Cour!$U:$U,$B339,[7]BV_Data_An_Cour!$V:$V,$C339,[7]BV_Data_An_Cour!$W:$W,$L$2)</f>
        <v>240</v>
      </c>
      <c r="M339" s="531"/>
      <c r="N339" s="557">
        <f t="shared" si="70"/>
        <v>156.66666666666669</v>
      </c>
      <c r="O339" s="531"/>
      <c r="P339" s="510"/>
      <c r="Q339" s="534">
        <f t="array" ref="Q339">+INDEX('[7]Réel 2023'!$A$2:$AO$501,MATCH($A339,'[7]Réel 2023'!$A$2:$A$501,0),MATCH(Q$2,'[7]Réel 2023'!$A$2:$AO$2,0))</f>
        <v>0</v>
      </c>
      <c r="R339" s="531"/>
      <c r="S339" s="557">
        <f t="shared" si="71"/>
        <v>240</v>
      </c>
      <c r="T339" s="510"/>
      <c r="U339" s="510"/>
      <c r="V339" s="510"/>
      <c r="W339" s="510"/>
      <c r="X339" s="510"/>
      <c r="Y339" s="510"/>
      <c r="Z339" s="510"/>
      <c r="AA339" s="510"/>
      <c r="AB339" s="510"/>
      <c r="AC339" s="510"/>
      <c r="AD339" s="510"/>
      <c r="AE339" s="510"/>
      <c r="AF339" s="510"/>
      <c r="AG339" s="510"/>
      <c r="AH339" s="510"/>
      <c r="AI339" s="510"/>
      <c r="AJ339" s="510"/>
      <c r="AK339" s="510"/>
      <c r="AL339" s="510"/>
      <c r="AM339" s="510"/>
      <c r="AN339" s="510"/>
    </row>
    <row r="340" spans="1:40" ht="15.75" customHeight="1">
      <c r="A340" s="523" t="s">
        <v>436</v>
      </c>
      <c r="B340" s="510" t="s">
        <v>103</v>
      </c>
      <c r="C340" s="600" t="s">
        <v>58</v>
      </c>
      <c r="D340" s="584"/>
      <c r="E340" s="510"/>
      <c r="F340" s="532">
        <f>+INDEX('[7]Budget original'!$A$2:$AO$501,MATCH($A340,'[7]Budget original'!$A$2:$A$501,0),MATCH(F$2,'[7]Budget original'!$A$2:$AO$2,0))</f>
        <v>617.95293122500004</v>
      </c>
      <c r="G340" s="585"/>
      <c r="H340" s="510"/>
      <c r="I340" s="532"/>
      <c r="J340" s="531"/>
      <c r="K340" s="510"/>
      <c r="L340" s="534">
        <f>SUMIFS([7]BV_Data_An_Cour!$O:$O,[7]BV_Data_An_Cour!$U:$U,$B340,[7]BV_Data_An_Cour!$V:$V,$C340,[7]BV_Data_An_Cour!$W:$W,$L$2)</f>
        <v>986.2</v>
      </c>
      <c r="M340" s="531"/>
      <c r="N340" s="557">
        <f t="shared" si="70"/>
        <v>368.247068775</v>
      </c>
      <c r="O340" s="531"/>
      <c r="P340" s="510"/>
      <c r="Q340" s="534">
        <f t="array" ref="Q340">+INDEX('[7]Réel 2023'!$A$2:$AO$501,MATCH($A340,'[7]Réel 2023'!$A$2:$A$501,0),MATCH(Q$2,'[7]Réel 2023'!$A$2:$AO$2,0))</f>
        <v>1613.87</v>
      </c>
      <c r="R340" s="531"/>
      <c r="S340" s="557">
        <f t="shared" si="71"/>
        <v>-627.66999999999985</v>
      </c>
      <c r="T340" s="510"/>
      <c r="U340" s="510"/>
      <c r="V340" s="510"/>
      <c r="W340" s="510"/>
      <c r="X340" s="510"/>
      <c r="Y340" s="510"/>
      <c r="Z340" s="510"/>
      <c r="AA340" s="510"/>
      <c r="AB340" s="510"/>
      <c r="AC340" s="510"/>
      <c r="AD340" s="510"/>
      <c r="AE340" s="510"/>
      <c r="AF340" s="510"/>
      <c r="AG340" s="510"/>
      <c r="AH340" s="510"/>
      <c r="AI340" s="510"/>
      <c r="AJ340" s="510"/>
      <c r="AK340" s="510"/>
      <c r="AL340" s="510"/>
      <c r="AM340" s="510"/>
      <c r="AN340" s="510"/>
    </row>
    <row r="341" spans="1:40" ht="15.75" customHeight="1">
      <c r="A341" s="523" t="s">
        <v>437</v>
      </c>
      <c r="B341" s="510" t="s">
        <v>103</v>
      </c>
      <c r="C341" s="600" t="s">
        <v>59</v>
      </c>
      <c r="D341" s="584"/>
      <c r="E341" s="510"/>
      <c r="F341" s="532">
        <f>+INDEX('[7]Budget original'!$A$2:$AO$501,MATCH($A341,'[7]Budget original'!$A$2:$A$501,0),MATCH(F$2,'[7]Budget original'!$A$2:$AO$2,0))</f>
        <v>131.35821644756945</v>
      </c>
      <c r="G341" s="585"/>
      <c r="H341" s="510"/>
      <c r="I341" s="532"/>
      <c r="J341" s="531"/>
      <c r="K341" s="510"/>
      <c r="L341" s="534">
        <f>SUMIFS([7]BV_Data_An_Cour!$O:$O,[7]BV_Data_An_Cour!$U:$U,$B341,[7]BV_Data_An_Cour!$V:$V,$C341,[7]BV_Data_An_Cour!$W:$W,$L$2)</f>
        <v>95.55</v>
      </c>
      <c r="M341" s="531"/>
      <c r="N341" s="557">
        <f t="shared" si="70"/>
        <v>-35.80821644756945</v>
      </c>
      <c r="O341" s="531"/>
      <c r="P341" s="510"/>
      <c r="Q341" s="534">
        <f t="array" ref="Q341">+INDEX('[7]Réel 2023'!$A$2:$AO$501,MATCH($A341,'[7]Réel 2023'!$A$2:$A$501,0),MATCH(Q$2,'[7]Réel 2023'!$A$2:$AO$2,0))</f>
        <v>83.3</v>
      </c>
      <c r="R341" s="531"/>
      <c r="S341" s="557">
        <f t="shared" si="71"/>
        <v>12.25</v>
      </c>
      <c r="T341" s="510"/>
      <c r="U341" s="510"/>
      <c r="V341" s="510"/>
      <c r="W341" s="510"/>
      <c r="X341" s="510"/>
      <c r="Y341" s="510"/>
      <c r="Z341" s="510"/>
      <c r="AA341" s="510"/>
      <c r="AB341" s="510"/>
      <c r="AC341" s="510"/>
      <c r="AD341" s="510"/>
      <c r="AE341" s="510"/>
      <c r="AF341" s="510"/>
      <c r="AG341" s="510"/>
      <c r="AH341" s="510"/>
      <c r="AI341" s="510"/>
      <c r="AJ341" s="510"/>
      <c r="AK341" s="510"/>
      <c r="AL341" s="510"/>
      <c r="AM341" s="510"/>
      <c r="AN341" s="510"/>
    </row>
    <row r="342" spans="1:40" ht="15.75" customHeight="1">
      <c r="A342" s="523" t="s">
        <v>438</v>
      </c>
      <c r="B342" s="510" t="s">
        <v>103</v>
      </c>
      <c r="C342" s="600" t="s">
        <v>60</v>
      </c>
      <c r="D342" s="584"/>
      <c r="E342" s="510"/>
      <c r="F342" s="532">
        <f>+INDEX('[7]Budget original'!$A$2:$AO$501,MATCH($A342,'[7]Budget original'!$A$2:$A$501,0),MATCH(F$2,'[7]Budget original'!$A$2:$AO$2,0))</f>
        <v>160.29647805243053</v>
      </c>
      <c r="G342" s="585"/>
      <c r="H342" s="510"/>
      <c r="I342" s="532"/>
      <c r="J342" s="531"/>
      <c r="K342" s="510"/>
      <c r="L342" s="534">
        <f>SUMIFS([7]BV_Data_An_Cour!$O:$O,[7]BV_Data_An_Cour!$U:$U,$B342,[7]BV_Data_An_Cour!$V:$V,$C342,[7]BV_Data_An_Cour!$W:$W,$L$2)</f>
        <v>-148.9</v>
      </c>
      <c r="M342" s="531"/>
      <c r="N342" s="557">
        <f t="shared" si="70"/>
        <v>-309.19647805243051</v>
      </c>
      <c r="O342" s="531"/>
      <c r="P342" s="510"/>
      <c r="Q342" s="534">
        <f t="array" ref="Q342">+INDEX('[7]Réel 2023'!$A$2:$AO$501,MATCH($A342,'[7]Réel 2023'!$A$2:$A$501,0),MATCH(Q$2,'[7]Réel 2023'!$A$2:$AO$2,0))</f>
        <v>-1293.8599999999999</v>
      </c>
      <c r="R342" s="531"/>
      <c r="S342" s="557">
        <f t="shared" si="71"/>
        <v>1144.9599999999998</v>
      </c>
      <c r="T342" s="510"/>
      <c r="U342" s="510"/>
      <c r="V342" s="510"/>
      <c r="W342" s="510"/>
      <c r="X342" s="510"/>
      <c r="Y342" s="510"/>
      <c r="Z342" s="510"/>
      <c r="AA342" s="510"/>
      <c r="AB342" s="510"/>
      <c r="AC342" s="510"/>
      <c r="AD342" s="510"/>
      <c r="AE342" s="510"/>
      <c r="AF342" s="510"/>
      <c r="AG342" s="510"/>
      <c r="AH342" s="510"/>
      <c r="AI342" s="510"/>
      <c r="AJ342" s="510"/>
      <c r="AK342" s="510"/>
      <c r="AL342" s="510"/>
      <c r="AM342" s="510"/>
      <c r="AN342" s="510"/>
    </row>
    <row r="343" spans="1:40" ht="15.75" customHeight="1">
      <c r="A343" s="523" t="s">
        <v>439</v>
      </c>
      <c r="B343" s="510" t="s">
        <v>103</v>
      </c>
      <c r="C343" s="600" t="s">
        <v>61</v>
      </c>
      <c r="D343" s="584"/>
      <c r="E343" s="510"/>
      <c r="F343" s="532">
        <f>+INDEX('[7]Budget original'!$A$2:$AO$501,MATCH($A343,'[7]Budget original'!$A$2:$A$501,0),MATCH(F$2,'[7]Budget original'!$A$2:$AO$2,0))</f>
        <v>218.76449018368055</v>
      </c>
      <c r="G343" s="585"/>
      <c r="H343" s="510"/>
      <c r="I343" s="532"/>
      <c r="J343" s="531"/>
      <c r="K343" s="510"/>
      <c r="L343" s="534">
        <f>SUMIFS([7]BV_Data_An_Cour!$O:$O,[7]BV_Data_An_Cour!$U:$U,$B343,[7]BV_Data_An_Cour!$V:$V,$C343,[7]BV_Data_An_Cour!$W:$W,$L$2)</f>
        <v>349.07</v>
      </c>
      <c r="M343" s="531"/>
      <c r="N343" s="557">
        <f t="shared" si="70"/>
        <v>130.30550981631944</v>
      </c>
      <c r="O343" s="531"/>
      <c r="P343" s="510"/>
      <c r="Q343" s="534">
        <f t="array" ref="Q343">+INDEX('[7]Réel 2023'!$A$2:$AO$501,MATCH($A343,'[7]Réel 2023'!$A$2:$A$501,0),MATCH(Q$2,'[7]Réel 2023'!$A$2:$AO$2,0))</f>
        <v>80.349999999999994</v>
      </c>
      <c r="R343" s="531"/>
      <c r="S343" s="557">
        <f t="shared" si="71"/>
        <v>268.72000000000003</v>
      </c>
      <c r="T343" s="510"/>
      <c r="U343" s="510"/>
      <c r="V343" s="510"/>
      <c r="W343" s="510"/>
      <c r="X343" s="510"/>
      <c r="Y343" s="510"/>
      <c r="Z343" s="510"/>
      <c r="AA343" s="510"/>
      <c r="AB343" s="510"/>
      <c r="AC343" s="510"/>
      <c r="AD343" s="510"/>
      <c r="AE343" s="510"/>
      <c r="AF343" s="510"/>
      <c r="AG343" s="510"/>
      <c r="AH343" s="510"/>
      <c r="AI343" s="510"/>
      <c r="AJ343" s="510"/>
      <c r="AK343" s="510"/>
      <c r="AL343" s="510"/>
      <c r="AM343" s="510"/>
      <c r="AN343" s="510"/>
    </row>
    <row r="344" spans="1:40" ht="15.75" customHeight="1">
      <c r="A344" s="523" t="s">
        <v>440</v>
      </c>
      <c r="B344" s="510" t="s">
        <v>103</v>
      </c>
      <c r="C344" s="600" t="s">
        <v>62</v>
      </c>
      <c r="D344" s="584"/>
      <c r="E344" s="510"/>
      <c r="F344" s="532">
        <f>+INDEX('[7]Budget original'!$A$2:$AO$501,MATCH($A344,'[7]Budget original'!$A$2:$A$501,0),MATCH(F$2,'[7]Budget original'!$A$2:$AO$2,0))</f>
        <v>822.25903298327421</v>
      </c>
      <c r="G344" s="585"/>
      <c r="H344" s="510"/>
      <c r="I344" s="532"/>
      <c r="J344" s="531"/>
      <c r="K344" s="510"/>
      <c r="L344" s="534">
        <f>SUMIFS([7]BV_Data_An_Cour!$O:$O,[7]BV_Data_An_Cour!$U:$U,$B344,[7]BV_Data_An_Cour!$V:$V,$C344,[7]BV_Data_An_Cour!$W:$W,$L$2)</f>
        <v>557.11</v>
      </c>
      <c r="M344" s="531"/>
      <c r="N344" s="557">
        <f t="shared" si="70"/>
        <v>-265.1490329832742</v>
      </c>
      <c r="O344" s="531"/>
      <c r="P344" s="510"/>
      <c r="Q344" s="534">
        <f t="array" ref="Q344">+INDEX('[7]Réel 2023'!$A$2:$AO$501,MATCH($A344,'[7]Réel 2023'!$A$2:$A$501,0),MATCH(Q$2,'[7]Réel 2023'!$A$2:$AO$2,0))</f>
        <v>329.75</v>
      </c>
      <c r="R344" s="531"/>
      <c r="S344" s="557">
        <f t="shared" si="71"/>
        <v>227.36</v>
      </c>
      <c r="T344" s="510"/>
      <c r="X344" s="510"/>
      <c r="Y344" s="510"/>
      <c r="Z344" s="510"/>
      <c r="AA344" s="510"/>
      <c r="AB344" s="510"/>
      <c r="AC344" s="510"/>
      <c r="AD344" s="510"/>
      <c r="AE344" s="510"/>
      <c r="AF344" s="510"/>
      <c r="AG344" s="510"/>
      <c r="AH344" s="510"/>
      <c r="AI344" s="510"/>
      <c r="AJ344" s="510"/>
      <c r="AK344" s="510"/>
      <c r="AL344" s="510"/>
      <c r="AM344" s="510"/>
      <c r="AN344" s="510"/>
    </row>
    <row r="345" spans="1:40" ht="15.75" customHeight="1">
      <c r="A345" s="523" t="s">
        <v>441</v>
      </c>
      <c r="B345" s="510" t="s">
        <v>103</v>
      </c>
      <c r="C345" s="600" t="s">
        <v>63</v>
      </c>
      <c r="D345" s="584"/>
      <c r="E345" s="510"/>
      <c r="F345" s="532">
        <f>+INDEX('[7]Budget original'!$A$2:$AO$501,MATCH($A345,'[7]Budget original'!$A$2:$A$501,0),MATCH(F$2,'[7]Budget original'!$A$2:$AO$2,0))</f>
        <v>1479.6608489796454</v>
      </c>
      <c r="G345" s="585"/>
      <c r="H345" s="510"/>
      <c r="I345" s="532"/>
      <c r="J345" s="531"/>
      <c r="K345" s="510"/>
      <c r="L345" s="534">
        <f>SUMIFS([7]BV_Data_An_Cour!$O:$O,[7]BV_Data_An_Cour!$U:$U,$B345,[7]BV_Data_An_Cour!$V:$V,$C345,[7]BV_Data_An_Cour!$W:$W,$L$2)</f>
        <v>3033.34</v>
      </c>
      <c r="M345" s="531"/>
      <c r="N345" s="557">
        <f t="shared" si="70"/>
        <v>1553.6791510203548</v>
      </c>
      <c r="O345" s="531"/>
      <c r="P345" s="510"/>
      <c r="Q345" s="534">
        <f t="array" ref="Q345">+INDEX('[7]Réel 2023'!$A$2:$AO$501,MATCH($A345,'[7]Réel 2023'!$A$2:$A$501,0),MATCH(Q$2,'[7]Réel 2023'!$A$2:$AO$2,0))</f>
        <v>2277.67</v>
      </c>
      <c r="R345" s="531"/>
      <c r="S345" s="557">
        <f t="shared" si="71"/>
        <v>755.67000000000007</v>
      </c>
      <c r="T345" s="510"/>
      <c r="X345" s="510"/>
      <c r="Y345" s="510"/>
      <c r="Z345" s="510"/>
      <c r="AA345" s="510"/>
      <c r="AB345" s="510"/>
      <c r="AC345" s="510"/>
      <c r="AD345" s="510"/>
      <c r="AE345" s="510"/>
      <c r="AF345" s="510"/>
      <c r="AG345" s="510"/>
      <c r="AH345" s="510"/>
      <c r="AI345" s="510"/>
      <c r="AJ345" s="510"/>
      <c r="AK345" s="510"/>
      <c r="AL345" s="510"/>
      <c r="AM345" s="510"/>
      <c r="AN345" s="510"/>
    </row>
    <row r="346" spans="1:40" ht="15.75" hidden="1" customHeight="1">
      <c r="A346" s="523" t="s">
        <v>408</v>
      </c>
      <c r="B346" s="510" t="s">
        <v>103</v>
      </c>
      <c r="C346" s="600" t="s">
        <v>20</v>
      </c>
      <c r="D346" s="584"/>
      <c r="E346" s="510"/>
      <c r="F346" s="532">
        <f>+INDEX('[7]Budget original'!$A$2:$AO$501,MATCH($A346,'[7]Budget original'!$A$2:$A$501,0),MATCH(F$2,'[7]Budget original'!$A$2:$AO$2,0))</f>
        <v>0</v>
      </c>
      <c r="G346" s="585"/>
      <c r="H346" s="510"/>
      <c r="I346" s="532"/>
      <c r="J346" s="531"/>
      <c r="K346" s="510"/>
      <c r="L346" s="534">
        <f>SUMIFS([7]BV_Data_An_Cour!$O:$O,[7]BV_Data_An_Cour!$U:$U,$B346,[7]BV_Data_An_Cour!$V:$V,$C346,[7]BV_Data_An_Cour!$W:$W,$L$2)</f>
        <v>0</v>
      </c>
      <c r="M346" s="531"/>
      <c r="N346" s="557">
        <f t="shared" si="70"/>
        <v>0</v>
      </c>
      <c r="O346" s="531"/>
      <c r="P346" s="510"/>
      <c r="Q346" s="534">
        <f t="array" ref="Q346">+INDEX('[7]Réel 2023'!$A$2:$AO$501,MATCH($A346,'[7]Réel 2023'!$A$2:$A$501,0),MATCH(Q$2,'[7]Réel 2023'!$A$2:$AO$2,0))</f>
        <v>0</v>
      </c>
      <c r="R346" s="531"/>
      <c r="S346" s="557">
        <f t="shared" si="71"/>
        <v>0</v>
      </c>
      <c r="T346" s="510"/>
      <c r="X346" s="510"/>
      <c r="Y346" s="510"/>
      <c r="Z346" s="510"/>
      <c r="AA346" s="510"/>
      <c r="AB346" s="510"/>
      <c r="AC346" s="510"/>
      <c r="AD346" s="510"/>
      <c r="AE346" s="510"/>
      <c r="AF346" s="510"/>
      <c r="AG346" s="510"/>
      <c r="AH346" s="510"/>
      <c r="AI346" s="510"/>
      <c r="AJ346" s="510"/>
      <c r="AK346" s="510"/>
      <c r="AL346" s="510"/>
      <c r="AM346" s="510"/>
      <c r="AN346" s="510"/>
    </row>
    <row r="347" spans="1:40" ht="15.75" hidden="1" customHeight="1">
      <c r="A347" s="523" t="s">
        <v>408</v>
      </c>
      <c r="B347" s="510" t="s">
        <v>103</v>
      </c>
      <c r="C347" s="600" t="s">
        <v>20</v>
      </c>
      <c r="D347" s="584"/>
      <c r="E347" s="510"/>
      <c r="F347" s="532">
        <f>+INDEX('[7]Budget original'!$A$2:$AO$501,MATCH($A347,'[7]Budget original'!$A$2:$A$501,0),MATCH(F$2,'[7]Budget original'!$A$2:$AO$2,0))</f>
        <v>0</v>
      </c>
      <c r="G347" s="585"/>
      <c r="H347" s="510"/>
      <c r="I347" s="532"/>
      <c r="J347" s="531"/>
      <c r="K347" s="510"/>
      <c r="L347" s="534">
        <f>SUMIFS([7]BV_Data_An_Cour!$O:$O,[7]BV_Data_An_Cour!$U:$U,$B347,[7]BV_Data_An_Cour!$V:$V,$C347,[7]BV_Data_An_Cour!$W:$W,$L$2)</f>
        <v>0</v>
      </c>
      <c r="M347" s="531"/>
      <c r="N347" s="557">
        <f t="shared" si="70"/>
        <v>0</v>
      </c>
      <c r="O347" s="531"/>
      <c r="P347" s="510"/>
      <c r="Q347" s="534">
        <f t="array" ref="Q347">+INDEX('[7]Réel 2023'!$A$2:$AO$501,MATCH($A347,'[7]Réel 2023'!$A$2:$A$501,0),MATCH(Q$2,'[7]Réel 2023'!$A$2:$AO$2,0))</f>
        <v>0</v>
      </c>
      <c r="R347" s="531"/>
      <c r="S347" s="557">
        <f t="shared" si="71"/>
        <v>0</v>
      </c>
      <c r="T347" s="510"/>
      <c r="X347" s="510"/>
      <c r="Y347" s="510"/>
      <c r="Z347" s="510"/>
      <c r="AA347" s="510"/>
      <c r="AB347" s="510"/>
      <c r="AC347" s="510"/>
      <c r="AD347" s="510"/>
      <c r="AE347" s="510"/>
      <c r="AF347" s="510"/>
      <c r="AG347" s="510"/>
      <c r="AH347" s="510"/>
      <c r="AI347" s="510"/>
      <c r="AJ347" s="510"/>
      <c r="AK347" s="510"/>
      <c r="AL347" s="510"/>
      <c r="AM347" s="510"/>
      <c r="AN347" s="510"/>
    </row>
    <row r="348" spans="1:40" ht="15.75" hidden="1" customHeight="1">
      <c r="A348" s="523" t="s">
        <v>408</v>
      </c>
      <c r="B348" s="510" t="s">
        <v>103</v>
      </c>
      <c r="C348" s="600" t="s">
        <v>20</v>
      </c>
      <c r="D348" s="584"/>
      <c r="E348" s="510"/>
      <c r="F348" s="532">
        <f>+INDEX('[7]Budget original'!$A$2:$AO$501,MATCH($A348,'[7]Budget original'!$A$2:$A$501,0),MATCH(F$2,'[7]Budget original'!$A$2:$AO$2,0))</f>
        <v>0</v>
      </c>
      <c r="G348" s="585"/>
      <c r="H348" s="510"/>
      <c r="I348" s="532"/>
      <c r="J348" s="531"/>
      <c r="K348" s="510"/>
      <c r="L348" s="534">
        <f>SUMIFS([7]BV_Data_An_Cour!$O:$O,[7]BV_Data_An_Cour!$U:$U,$B348,[7]BV_Data_An_Cour!$V:$V,$C348,[7]BV_Data_An_Cour!$W:$W,$L$2)</f>
        <v>0</v>
      </c>
      <c r="M348" s="531"/>
      <c r="N348" s="557">
        <f t="shared" si="70"/>
        <v>0</v>
      </c>
      <c r="O348" s="531"/>
      <c r="P348" s="510"/>
      <c r="Q348" s="534">
        <f t="array" ref="Q348">+INDEX('[7]Réel 2023'!$A$2:$AO$501,MATCH($A348,'[7]Réel 2023'!$A$2:$A$501,0),MATCH(Q$2,'[7]Réel 2023'!$A$2:$AO$2,0))</f>
        <v>0</v>
      </c>
      <c r="R348" s="531"/>
      <c r="S348" s="557">
        <f t="shared" si="71"/>
        <v>0</v>
      </c>
      <c r="T348" s="510"/>
      <c r="X348" s="510"/>
      <c r="Y348" s="510"/>
      <c r="Z348" s="510"/>
      <c r="AA348" s="510"/>
      <c r="AB348" s="510"/>
      <c r="AC348" s="510"/>
      <c r="AD348" s="510"/>
      <c r="AE348" s="510"/>
      <c r="AF348" s="510"/>
      <c r="AG348" s="510"/>
      <c r="AH348" s="510"/>
      <c r="AI348" s="510"/>
      <c r="AJ348" s="510"/>
      <c r="AK348" s="510"/>
      <c r="AL348" s="510"/>
      <c r="AM348" s="510"/>
      <c r="AN348" s="510"/>
    </row>
    <row r="349" spans="1:40" ht="15.75" customHeight="1">
      <c r="B349" s="504"/>
      <c r="C349" s="592" t="s">
        <v>64</v>
      </c>
      <c r="D349" s="593" t="s">
        <v>39</v>
      </c>
      <c r="E349" s="594">
        <f>F349/F$314</f>
        <v>0.14889761787402422</v>
      </c>
      <c r="F349" s="595">
        <f>+SUM(F331:F348)</f>
        <v>27569.677157790564</v>
      </c>
      <c r="G349" s="596"/>
      <c r="H349" s="594"/>
      <c r="I349" s="595"/>
      <c r="J349" s="596" t="s">
        <v>39</v>
      </c>
      <c r="K349" s="594">
        <f>L349/L$314</f>
        <v>0.18680675940132729</v>
      </c>
      <c r="L349" s="595">
        <f>+SUM(L331:L348)</f>
        <v>28358.23</v>
      </c>
      <c r="M349" s="599"/>
      <c r="N349" s="595">
        <f>+SUM(N331:N348)</f>
        <v>788.55284220943372</v>
      </c>
      <c r="O349" s="596" t="s">
        <v>39</v>
      </c>
      <c r="P349" s="594">
        <f>Q349/Q$314</f>
        <v>0.20342146809199996</v>
      </c>
      <c r="Q349" s="595">
        <f>+SUM(Q331:Q348)</f>
        <v>32378.649999999994</v>
      </c>
      <c r="R349" s="599"/>
      <c r="S349" s="595">
        <f>+SUM(S331:S348)</f>
        <v>-4020.4199999999992</v>
      </c>
      <c r="T349" s="510"/>
      <c r="X349" s="510"/>
      <c r="Y349" s="510"/>
      <c r="Z349" s="510"/>
      <c r="AA349" s="510"/>
      <c r="AB349" s="510"/>
      <c r="AC349" s="510"/>
      <c r="AD349" s="510"/>
      <c r="AE349" s="510"/>
      <c r="AF349" s="510"/>
      <c r="AG349" s="510"/>
      <c r="AH349" s="510"/>
      <c r="AI349" s="510"/>
      <c r="AJ349" s="510"/>
      <c r="AK349" s="510"/>
      <c r="AL349" s="510"/>
      <c r="AM349" s="510"/>
      <c r="AN349" s="510"/>
    </row>
    <row r="350" spans="1:40" ht="15.75" customHeight="1">
      <c r="B350" s="504"/>
      <c r="C350" s="524"/>
      <c r="D350" s="587"/>
      <c r="E350" s="607"/>
      <c r="F350" s="557"/>
      <c r="G350" s="588"/>
      <c r="H350" s="607"/>
      <c r="I350" s="557"/>
      <c r="J350" s="524"/>
      <c r="K350" s="607"/>
      <c r="L350" s="582"/>
      <c r="M350" s="524"/>
      <c r="N350" s="582"/>
      <c r="O350" s="524"/>
      <c r="P350" s="607"/>
      <c r="Q350" s="582"/>
      <c r="R350" s="524"/>
      <c r="S350" s="582"/>
      <c r="T350" s="510"/>
      <c r="U350" s="510"/>
      <c r="V350" s="510"/>
      <c r="W350" s="510"/>
      <c r="X350" s="510"/>
      <c r="Y350" s="510"/>
      <c r="Z350" s="510"/>
      <c r="AA350" s="510"/>
      <c r="AB350" s="510"/>
      <c r="AC350" s="510"/>
      <c r="AD350" s="510"/>
      <c r="AE350" s="510"/>
      <c r="AF350" s="510"/>
      <c r="AG350" s="510"/>
      <c r="AH350" s="510"/>
      <c r="AI350" s="510"/>
      <c r="AJ350" s="510"/>
      <c r="AK350" s="510"/>
      <c r="AL350" s="510"/>
      <c r="AM350" s="510"/>
      <c r="AN350" s="510"/>
    </row>
    <row r="351" spans="1:40" ht="15.75" customHeight="1">
      <c r="B351" s="504"/>
      <c r="C351" s="592" t="s">
        <v>65</v>
      </c>
      <c r="D351" s="593" t="s">
        <v>39</v>
      </c>
      <c r="E351" s="594">
        <f>F351/F$314</f>
        <v>0.45347048693736108</v>
      </c>
      <c r="F351" s="595">
        <f>F330+F349</f>
        <v>83963.968691739283</v>
      </c>
      <c r="G351" s="596"/>
      <c r="H351" s="594"/>
      <c r="I351" s="595"/>
      <c r="J351" s="596" t="s">
        <v>39</v>
      </c>
      <c r="K351" s="594">
        <f>L351/L$314</f>
        <v>0.50901721654257315</v>
      </c>
      <c r="L351" s="595">
        <f>L330+L349</f>
        <v>77271.439999999988</v>
      </c>
      <c r="M351" s="599"/>
      <c r="N351" s="609">
        <f>L351-F351</f>
        <v>-6692.528691739295</v>
      </c>
      <c r="O351" s="596" t="s">
        <v>39</v>
      </c>
      <c r="P351" s="594">
        <f>Q351/Q$314</f>
        <v>0.50253002649301315</v>
      </c>
      <c r="Q351" s="595">
        <f>Q330+Q349</f>
        <v>79987.839999999997</v>
      </c>
      <c r="R351" s="599"/>
      <c r="S351" s="609">
        <f>L351-Q351</f>
        <v>-2716.4000000000087</v>
      </c>
      <c r="T351" s="510"/>
      <c r="U351" s="510"/>
      <c r="V351" s="510"/>
      <c r="W351" s="510"/>
      <c r="X351" s="510"/>
      <c r="Y351" s="510"/>
      <c r="Z351" s="510"/>
      <c r="AA351" s="510"/>
      <c r="AB351" s="510"/>
      <c r="AC351" s="510"/>
      <c r="AD351" s="510"/>
      <c r="AE351" s="510"/>
      <c r="AF351" s="510"/>
      <c r="AG351" s="510"/>
      <c r="AH351" s="510"/>
      <c r="AI351" s="510"/>
      <c r="AJ351" s="510"/>
      <c r="AK351" s="510"/>
      <c r="AL351" s="510"/>
      <c r="AM351" s="510"/>
      <c r="AN351" s="510"/>
    </row>
    <row r="352" spans="1:40" ht="15.75" customHeight="1">
      <c r="B352" s="504"/>
      <c r="C352" s="531"/>
      <c r="D352" s="584"/>
      <c r="E352" s="510"/>
      <c r="F352" s="557"/>
      <c r="G352" s="585"/>
      <c r="H352" s="510"/>
      <c r="I352" s="557"/>
      <c r="J352" s="531"/>
      <c r="K352" s="510"/>
      <c r="L352" s="557"/>
      <c r="M352" s="531"/>
      <c r="N352" s="557">
        <f>L352-F352</f>
        <v>0</v>
      </c>
      <c r="O352" s="531"/>
      <c r="P352" s="510"/>
      <c r="Q352" s="557"/>
      <c r="R352" s="531"/>
      <c r="S352" s="557"/>
      <c r="T352" s="510"/>
      <c r="U352" s="510"/>
      <c r="V352" s="510"/>
      <c r="W352" s="510"/>
      <c r="X352" s="510"/>
      <c r="Y352" s="510"/>
      <c r="Z352" s="510"/>
      <c r="AA352" s="510"/>
      <c r="AB352" s="510"/>
      <c r="AC352" s="510"/>
      <c r="AD352" s="510"/>
      <c r="AE352" s="510"/>
      <c r="AF352" s="510"/>
      <c r="AG352" s="510"/>
      <c r="AH352" s="510"/>
      <c r="AI352" s="510"/>
      <c r="AJ352" s="510"/>
      <c r="AK352" s="510"/>
      <c r="AL352" s="510"/>
      <c r="AM352" s="510"/>
      <c r="AN352" s="510"/>
    </row>
    <row r="353" spans="1:40" ht="24" customHeight="1" thickBot="1">
      <c r="B353" s="504"/>
      <c r="C353" s="625" t="s">
        <v>72</v>
      </c>
      <c r="D353" s="655"/>
      <c r="E353" s="626"/>
      <c r="F353" s="628">
        <f>F314-F351</f>
        <v>101194.64936698659</v>
      </c>
      <c r="G353" s="656"/>
      <c r="H353" s="626"/>
      <c r="I353" s="628"/>
      <c r="J353" s="625"/>
      <c r="K353" s="627"/>
      <c r="L353" s="628">
        <f>L314-L351</f>
        <v>74533.720000000045</v>
      </c>
      <c r="M353" s="625"/>
      <c r="N353" s="628">
        <f>L353-F353</f>
        <v>-26660.929366986544</v>
      </c>
      <c r="O353" s="625"/>
      <c r="P353" s="630">
        <f>+Q353/O314</f>
        <v>0.13260198832237338</v>
      </c>
      <c r="Q353" s="628">
        <f>Q314-Q351</f>
        <v>79182.429999999877</v>
      </c>
      <c r="R353" s="625"/>
      <c r="S353" s="628">
        <f>L353-Q353</f>
        <v>-4648.7099999998318</v>
      </c>
      <c r="T353" s="510"/>
      <c r="U353" s="510"/>
      <c r="V353" s="510"/>
      <c r="W353" s="510"/>
      <c r="X353" s="510"/>
      <c r="Y353" s="510"/>
      <c r="Z353" s="510"/>
      <c r="AA353" s="510"/>
      <c r="AB353" s="510"/>
      <c r="AC353" s="510"/>
      <c r="AD353" s="510"/>
      <c r="AE353" s="510"/>
      <c r="AF353" s="510"/>
      <c r="AG353" s="510"/>
      <c r="AH353" s="510"/>
      <c r="AI353" s="510"/>
      <c r="AJ353" s="510"/>
      <c r="AK353" s="510"/>
      <c r="AL353" s="510"/>
      <c r="AM353" s="510"/>
      <c r="AN353" s="510"/>
    </row>
    <row r="354" spans="1:40" ht="15.75" customHeight="1" thickTop="1">
      <c r="B354" s="504"/>
      <c r="C354" s="571"/>
      <c r="D354" s="584"/>
      <c r="E354" s="510"/>
      <c r="F354" s="608"/>
      <c r="G354" s="584"/>
      <c r="H354" s="510"/>
      <c r="I354" s="608"/>
      <c r="J354" s="571"/>
      <c r="K354" s="571"/>
      <c r="L354" s="608"/>
      <c r="M354" s="571"/>
      <c r="N354" s="608"/>
      <c r="O354" s="571"/>
      <c r="P354" s="571"/>
      <c r="Q354" s="608"/>
      <c r="R354" s="571"/>
      <c r="S354" s="608"/>
      <c r="T354" s="510"/>
      <c r="U354" s="510"/>
      <c r="V354" s="510"/>
      <c r="W354" s="510"/>
      <c r="X354" s="510"/>
      <c r="Y354" s="510"/>
      <c r="Z354" s="510"/>
      <c r="AA354" s="510"/>
      <c r="AB354" s="510"/>
      <c r="AC354" s="510"/>
      <c r="AD354" s="510"/>
      <c r="AE354" s="510"/>
      <c r="AF354" s="510"/>
      <c r="AG354" s="510"/>
      <c r="AH354" s="510"/>
      <c r="AI354" s="510"/>
      <c r="AJ354" s="510"/>
      <c r="AK354" s="510"/>
      <c r="AL354" s="510"/>
      <c r="AM354" s="510"/>
      <c r="AN354" s="510"/>
    </row>
    <row r="355" spans="1:40" ht="15.75" hidden="1" customHeight="1">
      <c r="B355" s="504"/>
      <c r="C355" s="571"/>
      <c r="D355" s="584"/>
      <c r="E355" s="510"/>
      <c r="F355" s="608"/>
      <c r="G355" s="584"/>
      <c r="H355" s="510"/>
      <c r="I355" s="608"/>
      <c r="J355" s="571"/>
      <c r="K355" s="571"/>
      <c r="L355" s="608"/>
      <c r="M355" s="571"/>
      <c r="N355" s="608"/>
      <c r="O355" s="571"/>
      <c r="P355" s="571"/>
      <c r="Q355" s="608"/>
      <c r="R355" s="571"/>
      <c r="S355" s="608"/>
      <c r="T355" s="510"/>
      <c r="U355" s="510"/>
      <c r="V355" s="510"/>
      <c r="W355" s="510"/>
      <c r="X355" s="510"/>
      <c r="Y355" s="510"/>
      <c r="Z355" s="510"/>
      <c r="AA355" s="510"/>
      <c r="AB355" s="510"/>
      <c r="AC355" s="510"/>
      <c r="AD355" s="510"/>
      <c r="AE355" s="510"/>
      <c r="AF355" s="510"/>
      <c r="AG355" s="510"/>
      <c r="AH355" s="510"/>
      <c r="AI355" s="510"/>
      <c r="AJ355" s="510"/>
      <c r="AK355" s="510"/>
      <c r="AL355" s="510"/>
      <c r="AM355" s="510"/>
      <c r="AN355" s="510"/>
    </row>
    <row r="356" spans="1:40" ht="34.5" hidden="1" customHeight="1">
      <c r="B356" s="504"/>
      <c r="C356" s="635" t="str">
        <f>+C291</f>
        <v>Volks</v>
      </c>
      <c r="D356" s="498"/>
      <c r="E356" s="498"/>
      <c r="F356" s="498"/>
      <c r="G356" s="498"/>
      <c r="H356" s="496"/>
      <c r="I356" s="496"/>
      <c r="J356" s="496"/>
      <c r="K356" s="500" t="s">
        <v>119</v>
      </c>
      <c r="L356" s="498"/>
      <c r="M356" s="498"/>
      <c r="N356" s="496"/>
      <c r="O356" s="496"/>
      <c r="P356" s="498"/>
      <c r="Q356" s="496"/>
      <c r="R356" s="498"/>
      <c r="S356" s="636" t="str">
        <f>$S$1</f>
        <v>Réalisé, Novembre 2024</v>
      </c>
      <c r="T356" s="507"/>
      <c r="U356" s="507"/>
      <c r="V356" s="510"/>
      <c r="W356" s="507"/>
      <c r="X356" s="507"/>
      <c r="Y356" s="507"/>
      <c r="Z356" s="507"/>
      <c r="AA356" s="507"/>
      <c r="AB356" s="507"/>
      <c r="AC356" s="507"/>
      <c r="AD356" s="507"/>
      <c r="AE356" s="507"/>
      <c r="AF356" s="507"/>
      <c r="AG356" s="507"/>
      <c r="AH356" s="507"/>
      <c r="AI356" s="507"/>
      <c r="AJ356" s="507"/>
      <c r="AK356" s="507"/>
      <c r="AL356" s="507"/>
      <c r="AM356" s="507"/>
      <c r="AN356" s="507"/>
    </row>
    <row r="357" spans="1:40" ht="15.75" hidden="1" customHeight="1">
      <c r="B357" s="504"/>
      <c r="C357" s="505"/>
      <c r="D357" s="507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10"/>
      <c r="W357" s="507"/>
      <c r="X357" s="507"/>
      <c r="Y357" s="507"/>
      <c r="Z357" s="507"/>
      <c r="AA357" s="507"/>
      <c r="AB357" s="507"/>
      <c r="AC357" s="507"/>
      <c r="AD357" s="507"/>
      <c r="AE357" s="507"/>
      <c r="AF357" s="507"/>
      <c r="AG357" s="507"/>
      <c r="AH357" s="507"/>
      <c r="AI357" s="507"/>
      <c r="AJ357" s="507"/>
      <c r="AK357" s="507"/>
      <c r="AL357" s="507"/>
      <c r="AM357" s="507"/>
      <c r="AN357" s="507"/>
    </row>
    <row r="358" spans="1:40" ht="15.75" hidden="1" customHeight="1">
      <c r="B358" s="504"/>
      <c r="C358" s="511"/>
      <c r="D358" s="512" t="s">
        <v>5</v>
      </c>
      <c r="E358" s="513"/>
      <c r="F358" s="514"/>
      <c r="G358" s="515"/>
      <c r="H358" s="513"/>
      <c r="I358" s="514"/>
      <c r="J358" s="515" t="s">
        <v>7</v>
      </c>
      <c r="K358" s="513"/>
      <c r="L358" s="514"/>
      <c r="M358" s="515"/>
      <c r="N358" s="514"/>
      <c r="O358" s="512" t="s">
        <v>8</v>
      </c>
      <c r="P358" s="513"/>
      <c r="Q358" s="514"/>
      <c r="R358" s="515" t="s">
        <v>9</v>
      </c>
      <c r="S358" s="514"/>
      <c r="T358" s="507"/>
      <c r="U358" s="507"/>
      <c r="V358" s="510"/>
      <c r="W358" s="507"/>
      <c r="X358" s="507"/>
      <c r="Y358" s="507"/>
      <c r="Z358" s="507"/>
      <c r="AA358" s="507"/>
      <c r="AB358" s="507"/>
      <c r="AC358" s="507"/>
      <c r="AD358" s="507"/>
      <c r="AE358" s="507"/>
      <c r="AF358" s="507"/>
      <c r="AG358" s="507"/>
      <c r="AH358" s="507"/>
      <c r="AI358" s="507"/>
      <c r="AJ358" s="507"/>
      <c r="AK358" s="507"/>
      <c r="AL358" s="507"/>
      <c r="AM358" s="507"/>
      <c r="AN358" s="507"/>
    </row>
    <row r="359" spans="1:40" ht="15.75" hidden="1" customHeight="1">
      <c r="A359" s="523" t="s">
        <v>119</v>
      </c>
      <c r="B359" s="510" t="s">
        <v>119</v>
      </c>
      <c r="C359" s="531"/>
      <c r="D359" s="720" t="s">
        <v>84</v>
      </c>
      <c r="E359" s="720" t="s">
        <v>104</v>
      </c>
      <c r="F359" s="721" t="s">
        <v>12</v>
      </c>
      <c r="G359" s="722"/>
      <c r="H359" s="720"/>
      <c r="I359" s="721"/>
      <c r="J359" s="659" t="s">
        <v>84</v>
      </c>
      <c r="K359" s="575" t="s">
        <v>104</v>
      </c>
      <c r="L359" s="658" t="s">
        <v>12</v>
      </c>
      <c r="M359" s="659"/>
      <c r="N359" s="658"/>
      <c r="O359" s="659" t="s">
        <v>84</v>
      </c>
      <c r="P359" s="575" t="s">
        <v>104</v>
      </c>
      <c r="Q359" s="658" t="s">
        <v>12</v>
      </c>
      <c r="R359" s="659" t="s">
        <v>85</v>
      </c>
      <c r="S359" s="658" t="s">
        <v>12</v>
      </c>
      <c r="T359" s="507"/>
      <c r="U359" s="507"/>
      <c r="V359" s="510"/>
      <c r="W359" s="507"/>
      <c r="X359" s="507"/>
      <c r="Y359" s="507"/>
      <c r="Z359" s="507"/>
      <c r="AA359" s="507"/>
      <c r="AB359" s="507"/>
      <c r="AC359" s="507"/>
      <c r="AD359" s="507"/>
      <c r="AE359" s="507"/>
      <c r="AF359" s="507"/>
      <c r="AG359" s="507"/>
      <c r="AH359" s="507"/>
      <c r="AI359" s="507"/>
      <c r="AJ359" s="507"/>
      <c r="AK359" s="507"/>
      <c r="AL359" s="507"/>
      <c r="AM359" s="507"/>
      <c r="AN359" s="507"/>
    </row>
    <row r="360" spans="1:40" ht="15.75" hidden="1" customHeight="1">
      <c r="A360" s="523" t="s">
        <v>442</v>
      </c>
      <c r="B360" s="510" t="s">
        <v>119</v>
      </c>
      <c r="C360" s="559" t="s">
        <v>119</v>
      </c>
      <c r="D360" s="723">
        <f>+INDEX('[7]Budget original'!$A$2:$AO$501,MATCH($A360,'[7]Budget original'!$A$2:$A$501,0),MATCH(D$2,'[7]Budget original'!$A$2:$AO$2,0))</f>
        <v>0</v>
      </c>
      <c r="E360" s="724">
        <f>IFERROR(F360/D360,0)</f>
        <v>0</v>
      </c>
      <c r="F360" s="725">
        <f>+INDEX('[7]Budget original'!$A$2:$AO$501,MATCH($A360,'[7]Budget original'!$A$2:$A$501,0),MATCH(F$2,'[7]Budget original'!$A$2:$AO$2,0))</f>
        <v>0</v>
      </c>
      <c r="G360" s="723"/>
      <c r="H360" s="724"/>
      <c r="I360" s="723"/>
      <c r="J360" s="726">
        <f>-SUMIFS([7]BV_Data_An_Cour!$O:$O,[7]BV_Data_An_Cour!$X:$X,"Oui",[7]BV_Data_An_Cour!$U:$U,$B360,[7]BV_Data_An_Cour!$V:$V,$C360)</f>
        <v>0</v>
      </c>
      <c r="K360" s="711">
        <f>IF(J360&lt;=0,0,L360/J360)</f>
        <v>0</v>
      </c>
      <c r="L360" s="727">
        <f>-SUMIFS([7]BV_Data_An_Cour!$O:$O,[7]BV_Data_An_Cour!$X:$X,"Oui",[7]BV_Data_An_Cour!$U:$U,$B360,[7]BV_Data_An_Cour!$V:$V,$C360)</f>
        <v>0</v>
      </c>
      <c r="M360" s="712"/>
      <c r="N360" s="713"/>
      <c r="O360" s="726">
        <f t="array" ref="O360">+INDEX('[7]Réel 2023'!$A$2:$AO$501,MATCH($A360,'[7]Réel 2023'!$A$2:$A$501,0),MATCH(O$2,'[7]Réel 2023'!$A$2:$AO$2,0))</f>
        <v>0</v>
      </c>
      <c r="P360" s="711">
        <f>IFERROR(Q360/O360,0)</f>
        <v>0</v>
      </c>
      <c r="Q360" s="727">
        <f t="array" ref="Q360">+INDEX('[7]Réel 2023'!$A$2:$AO$501,MATCH($A360,'[7]Réel 2023'!$A$2:$A$501,0),MATCH(Q$2,'[7]Réel 2023'!$A$2:$AO$2,0))</f>
        <v>0</v>
      </c>
      <c r="R360" s="712">
        <f>IF(O360=0,0,(J360-O360)/O360)</f>
        <v>0</v>
      </c>
      <c r="S360" s="713">
        <f>L360-Q360</f>
        <v>0</v>
      </c>
      <c r="T360" s="507"/>
      <c r="U360" s="507"/>
      <c r="V360" s="728"/>
      <c r="W360" s="507"/>
      <c r="X360" s="507"/>
      <c r="Y360" s="507"/>
      <c r="Z360" s="507"/>
      <c r="AA360" s="507"/>
      <c r="AB360" s="507"/>
      <c r="AC360" s="507"/>
      <c r="AD360" s="507"/>
      <c r="AE360" s="507"/>
      <c r="AF360" s="507"/>
      <c r="AG360" s="507"/>
      <c r="AH360" s="507"/>
      <c r="AI360" s="507"/>
      <c r="AJ360" s="507"/>
      <c r="AK360" s="507"/>
      <c r="AL360" s="507"/>
      <c r="AM360" s="507"/>
      <c r="AN360" s="507"/>
    </row>
    <row r="361" spans="1:40" ht="15.75" hidden="1" customHeight="1">
      <c r="A361" s="523" t="s">
        <v>119</v>
      </c>
      <c r="B361" s="510" t="s">
        <v>119</v>
      </c>
      <c r="C361" s="625"/>
      <c r="D361" s="714"/>
      <c r="E361" s="715"/>
      <c r="F361" s="628"/>
      <c r="G361" s="716"/>
      <c r="H361" s="715"/>
      <c r="I361" s="628"/>
      <c r="J361" s="716"/>
      <c r="K361" s="715"/>
      <c r="L361" s="628"/>
      <c r="M361" s="718"/>
      <c r="N361" s="570"/>
      <c r="O361" s="716"/>
      <c r="P361" s="715"/>
      <c r="Q361" s="628"/>
      <c r="R361" s="718"/>
      <c r="S361" s="570"/>
      <c r="T361" s="507"/>
      <c r="U361" s="507"/>
      <c r="V361" s="510"/>
      <c r="W361" s="507"/>
      <c r="X361" s="507"/>
      <c r="Y361" s="507"/>
      <c r="Z361" s="507"/>
      <c r="AA361" s="507"/>
      <c r="AB361" s="507"/>
      <c r="AC361" s="507"/>
      <c r="AD361" s="507"/>
      <c r="AE361" s="507"/>
      <c r="AF361" s="507"/>
      <c r="AG361" s="507"/>
      <c r="AH361" s="507"/>
      <c r="AI361" s="507"/>
      <c r="AJ361" s="507"/>
      <c r="AK361" s="507"/>
      <c r="AL361" s="507"/>
      <c r="AM361" s="507"/>
      <c r="AN361" s="507"/>
    </row>
    <row r="362" spans="1:40" ht="15.75" hidden="1" customHeight="1">
      <c r="A362" s="523" t="s">
        <v>443</v>
      </c>
      <c r="B362" s="510" t="s">
        <v>119</v>
      </c>
      <c r="C362" s="550" t="s">
        <v>120</v>
      </c>
      <c r="D362" s="608">
        <f>+D360</f>
        <v>0</v>
      </c>
      <c r="E362" s="670">
        <f>IF(D362&lt;=0,0,F362/D362)</f>
        <v>0</v>
      </c>
      <c r="F362" s="672">
        <f>+F360</f>
        <v>0</v>
      </c>
      <c r="G362" s="671"/>
      <c r="H362" s="670"/>
      <c r="I362" s="672"/>
      <c r="J362" s="671">
        <f t="shared" ref="J362" si="72">+J360</f>
        <v>0</v>
      </c>
      <c r="K362" s="670">
        <f>IF(J362&lt;=0,0,L362/J362)</f>
        <v>0</v>
      </c>
      <c r="L362" s="672">
        <f>+L360</f>
        <v>0</v>
      </c>
      <c r="M362" s="648"/>
      <c r="N362" s="729"/>
      <c r="O362" s="671">
        <f>+O360</f>
        <v>0</v>
      </c>
      <c r="P362" s="670">
        <f>IF(O362&lt;=0,0,Q362/O362)</f>
        <v>0</v>
      </c>
      <c r="Q362" s="672">
        <f t="shared" ref="Q362" si="73">+Q360</f>
        <v>0</v>
      </c>
      <c r="R362" s="531">
        <f>IF(O362=0,0,(J362-O362)/O362)</f>
        <v>0</v>
      </c>
      <c r="S362" s="549">
        <f>L362-Q362</f>
        <v>0</v>
      </c>
      <c r="T362" s="507"/>
      <c r="U362" s="507"/>
      <c r="V362" s="510"/>
      <c r="W362" s="507"/>
      <c r="X362" s="507"/>
      <c r="Y362" s="507"/>
      <c r="Z362" s="507"/>
      <c r="AA362" s="507"/>
      <c r="AB362" s="507"/>
      <c r="AC362" s="507"/>
      <c r="AD362" s="507"/>
      <c r="AE362" s="507"/>
      <c r="AF362" s="507"/>
      <c r="AG362" s="507"/>
      <c r="AH362" s="507"/>
      <c r="AI362" s="507"/>
      <c r="AJ362" s="507"/>
      <c r="AK362" s="507"/>
      <c r="AL362" s="507"/>
      <c r="AM362" s="507"/>
      <c r="AN362" s="507"/>
    </row>
    <row r="363" spans="1:40" ht="15.75" hidden="1" customHeight="1">
      <c r="A363" s="523" t="s">
        <v>119</v>
      </c>
      <c r="B363" s="510" t="s">
        <v>119</v>
      </c>
      <c r="C363" s="574"/>
      <c r="D363" s="510"/>
      <c r="E363" s="510"/>
      <c r="F363" s="557"/>
      <c r="G363" s="531"/>
      <c r="H363" s="510"/>
      <c r="I363" s="557"/>
      <c r="J363" s="531"/>
      <c r="K363" s="510"/>
      <c r="L363" s="541"/>
      <c r="M363" s="531"/>
      <c r="N363" s="660"/>
      <c r="O363" s="531"/>
      <c r="P363" s="510"/>
      <c r="Q363" s="541"/>
      <c r="R363" s="531"/>
      <c r="S363" s="541">
        <f>IF(Q362=0,0,S362/Q362)</f>
        <v>0</v>
      </c>
      <c r="T363" s="507"/>
      <c r="U363" s="507"/>
      <c r="V363" s="510"/>
      <c r="W363" s="507"/>
      <c r="X363" s="507"/>
      <c r="Y363" s="507"/>
      <c r="Z363" s="507"/>
      <c r="AA363" s="507"/>
      <c r="AB363" s="507"/>
      <c r="AC363" s="507"/>
      <c r="AD363" s="507"/>
      <c r="AE363" s="507"/>
      <c r="AF363" s="507"/>
      <c r="AG363" s="507"/>
      <c r="AH363" s="507"/>
      <c r="AI363" s="507"/>
      <c r="AJ363" s="507"/>
      <c r="AK363" s="507"/>
      <c r="AL363" s="507"/>
      <c r="AM363" s="507"/>
      <c r="AN363" s="507"/>
    </row>
    <row r="364" spans="1:40" ht="15.75" hidden="1" customHeight="1">
      <c r="A364" s="523" t="s">
        <v>444</v>
      </c>
      <c r="B364" s="510" t="s">
        <v>119</v>
      </c>
      <c r="C364" s="574" t="s">
        <v>30</v>
      </c>
      <c r="D364" s="510"/>
      <c r="E364" s="510"/>
      <c r="F364" s="557"/>
      <c r="G364" s="531"/>
      <c r="H364" s="510"/>
      <c r="I364" s="557"/>
      <c r="J364" s="531"/>
      <c r="K364" s="510"/>
      <c r="L364" s="541"/>
      <c r="M364" s="531"/>
      <c r="N364" s="541"/>
      <c r="O364" s="531"/>
      <c r="P364" s="510"/>
      <c r="Q364" s="541"/>
      <c r="R364" s="531"/>
      <c r="S364" s="541"/>
      <c r="T364" s="507"/>
      <c r="U364" s="507"/>
      <c r="V364" s="510"/>
      <c r="W364" s="507"/>
      <c r="X364" s="507"/>
      <c r="Y364" s="507"/>
      <c r="Z364" s="507"/>
      <c r="AA364" s="507"/>
      <c r="AB364" s="507"/>
      <c r="AC364" s="507"/>
      <c r="AD364" s="507"/>
      <c r="AE364" s="507"/>
      <c r="AF364" s="507"/>
      <c r="AG364" s="507"/>
      <c r="AH364" s="507"/>
      <c r="AI364" s="507"/>
      <c r="AJ364" s="507"/>
      <c r="AK364" s="507"/>
      <c r="AL364" s="507"/>
      <c r="AM364" s="507"/>
      <c r="AN364" s="507"/>
    </row>
    <row r="365" spans="1:40" ht="15.75" hidden="1" customHeight="1">
      <c r="A365" s="523" t="s">
        <v>445</v>
      </c>
      <c r="B365" s="510" t="s">
        <v>119</v>
      </c>
      <c r="C365" s="600" t="s">
        <v>41</v>
      </c>
      <c r="D365" s="510"/>
      <c r="E365" s="510"/>
      <c r="F365" s="532">
        <f>+INDEX('[7]Budget original'!$A$2:$AO$501,MATCH($A365,'[7]Budget original'!$A$2:$A$501,0),MATCH(F$2,'[7]Budget original'!$A$2:$AO$2,0))</f>
        <v>0</v>
      </c>
      <c r="G365" s="531"/>
      <c r="H365" s="510"/>
      <c r="I365" s="532"/>
      <c r="J365" s="531"/>
      <c r="K365" s="510"/>
      <c r="L365" s="534">
        <f>-SUMIFS([7]BV_Data_An_Cour!$O:$O,[7]BV_Data_An_Cour!$U:$U,$B365,[7]BV_Data_An_Cour!$V:$V,$C365,[7]BV_Data_An_Cour!$W:$W,$L$2)</f>
        <v>0</v>
      </c>
      <c r="M365" s="531"/>
      <c r="N365" s="541"/>
      <c r="O365" s="531"/>
      <c r="P365" s="510"/>
      <c r="Q365" s="534">
        <f t="array" ref="Q365">+INDEX('[7]Réel 2023'!$A$2:$AO$501,MATCH($A365,'[7]Réel 2023'!$A$2:$A$501,0),MATCH(Q$2,'[7]Réel 2023'!$A$2:$AO$2,0))</f>
        <v>0</v>
      </c>
      <c r="R365" s="531"/>
      <c r="S365" s="534">
        <f t="shared" ref="S365:S394" si="74">L365-Q365</f>
        <v>0</v>
      </c>
      <c r="T365" s="507"/>
      <c r="U365" s="507"/>
      <c r="V365" s="510"/>
      <c r="W365" s="507"/>
      <c r="X365" s="507"/>
      <c r="Y365" s="507"/>
      <c r="Z365" s="507"/>
      <c r="AA365" s="507"/>
      <c r="AB365" s="507"/>
      <c r="AC365" s="507"/>
      <c r="AD365" s="507"/>
      <c r="AE365" s="507"/>
      <c r="AF365" s="507"/>
      <c r="AG365" s="507"/>
      <c r="AH365" s="507"/>
      <c r="AI365" s="507"/>
      <c r="AJ365" s="507"/>
      <c r="AK365" s="507"/>
      <c r="AL365" s="507"/>
      <c r="AM365" s="507"/>
      <c r="AN365" s="507"/>
    </row>
    <row r="366" spans="1:40" ht="15.75" hidden="1" customHeight="1">
      <c r="A366" s="523" t="s">
        <v>446</v>
      </c>
      <c r="B366" s="510" t="s">
        <v>119</v>
      </c>
      <c r="C366" s="602" t="s">
        <v>42</v>
      </c>
      <c r="D366" s="584"/>
      <c r="E366" s="510"/>
      <c r="F366" s="526">
        <f>+INDEX('[7]Budget original'!$A$2:$AO$501,MATCH($A366,'[7]Budget original'!$A$2:$A$501,0),MATCH(F$2,'[7]Budget original'!$A$2:$AO$2,0))</f>
        <v>0</v>
      </c>
      <c r="G366" s="585"/>
      <c r="H366" s="510"/>
      <c r="I366" s="526"/>
      <c r="J366" s="531"/>
      <c r="K366" s="510"/>
      <c r="L366" s="526">
        <f>-SUMIFS([7]BV_Data_An_Cour!$O:$O,[7]BV_Data_An_Cour!$U:$U,$B366,[7]BV_Data_An_Cour!$V:$V,$C366,[7]BV_Data_An_Cour!$W:$W,$L$2)</f>
        <v>0</v>
      </c>
      <c r="M366" s="531"/>
      <c r="N366" s="557"/>
      <c r="O366" s="531"/>
      <c r="P366" s="510"/>
      <c r="Q366" s="526">
        <f t="array" ref="Q366">+INDEX('[7]Réel 2023'!$A$2:$AO$501,MATCH($A366,'[7]Réel 2023'!$A$2:$A$501,0),MATCH(Q$2,'[7]Réel 2023'!$A$2:$AO$2,0))</f>
        <v>0</v>
      </c>
      <c r="R366" s="531"/>
      <c r="S366" s="557">
        <f t="shared" si="74"/>
        <v>0</v>
      </c>
      <c r="T366" s="507"/>
      <c r="U366" s="507"/>
      <c r="V366" s="510"/>
      <c r="W366" s="507"/>
      <c r="X366" s="507"/>
      <c r="Y366" s="507"/>
      <c r="Z366" s="507"/>
      <c r="AA366" s="507"/>
      <c r="AB366" s="507"/>
      <c r="AC366" s="507"/>
      <c r="AD366" s="507"/>
      <c r="AE366" s="507"/>
      <c r="AF366" s="507"/>
      <c r="AG366" s="507"/>
      <c r="AH366" s="507"/>
      <c r="AI366" s="507"/>
      <c r="AJ366" s="507"/>
      <c r="AK366" s="507"/>
      <c r="AL366" s="507"/>
      <c r="AM366" s="507"/>
      <c r="AN366" s="507"/>
    </row>
    <row r="367" spans="1:40" ht="15.75" hidden="1" customHeight="1">
      <c r="A367" s="523" t="s">
        <v>447</v>
      </c>
      <c r="B367" s="510" t="s">
        <v>119</v>
      </c>
      <c r="C367" s="600" t="s">
        <v>43</v>
      </c>
      <c r="D367" s="603"/>
      <c r="E367" s="604"/>
      <c r="F367" s="532">
        <f>+INDEX('[7]Budget original'!$A$2:$AO$501,MATCH($A367,'[7]Budget original'!$A$2:$A$501,0),MATCH(F$2,'[7]Budget original'!$A$2:$AO$2,0))</f>
        <v>0</v>
      </c>
      <c r="G367" s="605"/>
      <c r="H367" s="604"/>
      <c r="I367" s="532"/>
      <c r="J367" s="518"/>
      <c r="K367" s="604"/>
      <c r="L367" s="534">
        <f>-SUMIFS([7]BV_Data_An_Cour!$O:$O,[7]BV_Data_An_Cour!$U:$U,$B367,[7]BV_Data_An_Cour!$V:$V,$C367,[7]BV_Data_An_Cour!$W:$W,$L$2)</f>
        <v>0</v>
      </c>
      <c r="M367" s="518"/>
      <c r="N367" s="606"/>
      <c r="O367" s="518"/>
      <c r="P367" s="604"/>
      <c r="Q367" s="534">
        <f t="array" ref="Q367">+INDEX('[7]Réel 2023'!$A$2:$AO$501,MATCH($A367,'[7]Réel 2023'!$A$2:$A$501,0),MATCH(Q$2,'[7]Réel 2023'!$A$2:$AO$2,0))</f>
        <v>0</v>
      </c>
      <c r="R367" s="518"/>
      <c r="S367" s="606">
        <f t="shared" si="74"/>
        <v>0</v>
      </c>
      <c r="T367" s="507"/>
      <c r="U367" s="507"/>
      <c r="V367" s="510"/>
      <c r="W367" s="507"/>
      <c r="X367" s="507"/>
      <c r="Y367" s="507"/>
      <c r="Z367" s="507"/>
      <c r="AA367" s="507"/>
      <c r="AB367" s="507"/>
      <c r="AC367" s="507"/>
      <c r="AD367" s="507"/>
      <c r="AE367" s="507"/>
      <c r="AF367" s="507"/>
      <c r="AG367" s="507"/>
      <c r="AH367" s="507"/>
      <c r="AI367" s="507"/>
      <c r="AJ367" s="507"/>
      <c r="AK367" s="507"/>
      <c r="AL367" s="507"/>
      <c r="AM367" s="507"/>
      <c r="AN367" s="507"/>
    </row>
    <row r="368" spans="1:40" ht="15.75" hidden="1" customHeight="1">
      <c r="A368" s="523" t="s">
        <v>448</v>
      </c>
      <c r="B368" s="510" t="s">
        <v>119</v>
      </c>
      <c r="C368" s="600" t="s">
        <v>44</v>
      </c>
      <c r="D368" s="584"/>
      <c r="E368" s="510"/>
      <c r="F368" s="532">
        <f>+INDEX('[7]Budget original'!$A$2:$AO$501,MATCH($A368,'[7]Budget original'!$A$2:$A$501,0),MATCH(F$2,'[7]Budget original'!$A$2:$AO$2,0))</f>
        <v>0</v>
      </c>
      <c r="G368" s="585"/>
      <c r="H368" s="510"/>
      <c r="I368" s="532"/>
      <c r="J368" s="531"/>
      <c r="K368" s="510"/>
      <c r="L368" s="534">
        <f>-SUMIFS([7]BV_Data_An_Cour!$O:$O,[7]BV_Data_An_Cour!$U:$U,$B368,[7]BV_Data_An_Cour!$V:$V,$C368,[7]BV_Data_An_Cour!$W:$W,$L$2)</f>
        <v>0</v>
      </c>
      <c r="M368" s="531"/>
      <c r="N368" s="557"/>
      <c r="O368" s="531"/>
      <c r="P368" s="510"/>
      <c r="Q368" s="534">
        <f t="array" ref="Q368">+INDEX('[7]Réel 2023'!$A$2:$AO$501,MATCH($A368,'[7]Réel 2023'!$A$2:$A$501,0),MATCH(Q$2,'[7]Réel 2023'!$A$2:$AO$2,0))</f>
        <v>0</v>
      </c>
      <c r="R368" s="531"/>
      <c r="S368" s="557">
        <f t="shared" si="74"/>
        <v>0</v>
      </c>
      <c r="T368" s="507"/>
      <c r="U368" s="507"/>
      <c r="V368" s="510"/>
      <c r="W368" s="507"/>
      <c r="X368" s="507"/>
      <c r="Y368" s="507"/>
      <c r="Z368" s="507"/>
      <c r="AA368" s="507"/>
      <c r="AB368" s="507"/>
      <c r="AC368" s="507"/>
      <c r="AD368" s="507"/>
      <c r="AE368" s="507"/>
      <c r="AF368" s="507"/>
      <c r="AG368" s="507"/>
      <c r="AH368" s="507"/>
      <c r="AI368" s="507"/>
      <c r="AJ368" s="507"/>
      <c r="AK368" s="507"/>
      <c r="AL368" s="507"/>
      <c r="AM368" s="507"/>
      <c r="AN368" s="507"/>
    </row>
    <row r="369" spans="1:40" ht="15.75" hidden="1" customHeight="1">
      <c r="A369" s="523" t="s">
        <v>449</v>
      </c>
      <c r="B369" s="510" t="s">
        <v>119</v>
      </c>
      <c r="C369" s="531" t="s">
        <v>20</v>
      </c>
      <c r="D369" s="584"/>
      <c r="E369" s="510"/>
      <c r="F369" s="532">
        <f>+INDEX('[7]Budget original'!$A$2:$AO$501,MATCH($A369,'[7]Budget original'!$A$2:$A$501,0),MATCH(F$2,'[7]Budget original'!$A$2:$AO$2,0))</f>
        <v>0</v>
      </c>
      <c r="G369" s="585"/>
      <c r="H369" s="510"/>
      <c r="I369" s="532"/>
      <c r="J369" s="531"/>
      <c r="K369" s="510"/>
      <c r="L369" s="534">
        <f>-SUMIFS([7]BV_Data_An_Cour!$O:$O,[7]BV_Data_An_Cour!$U:$U,$B369,[7]BV_Data_An_Cour!$V:$V,$C369,[7]BV_Data_An_Cour!$W:$W,$L$2)</f>
        <v>0</v>
      </c>
      <c r="M369" s="531"/>
      <c r="N369" s="557"/>
      <c r="O369" s="531"/>
      <c r="P369" s="510"/>
      <c r="Q369" s="534">
        <f t="array" ref="Q369">+INDEX('[7]Réel 2023'!$A$2:$AO$501,MATCH($A369,'[7]Réel 2023'!$A$2:$A$501,0),MATCH(Q$2,'[7]Réel 2023'!$A$2:$AO$2,0))</f>
        <v>0</v>
      </c>
      <c r="R369" s="531"/>
      <c r="S369" s="557">
        <f t="shared" si="74"/>
        <v>0</v>
      </c>
      <c r="T369" s="507"/>
      <c r="U369" s="507"/>
      <c r="V369" s="510"/>
      <c r="W369" s="507"/>
      <c r="X369" s="507"/>
      <c r="Y369" s="507"/>
      <c r="Z369" s="507"/>
      <c r="AA369" s="507"/>
      <c r="AB369" s="507"/>
      <c r="AC369" s="507"/>
      <c r="AD369" s="507"/>
      <c r="AE369" s="507"/>
      <c r="AF369" s="507"/>
      <c r="AG369" s="507"/>
      <c r="AH369" s="507"/>
      <c r="AI369" s="507"/>
      <c r="AJ369" s="507"/>
      <c r="AK369" s="507"/>
      <c r="AL369" s="507"/>
      <c r="AM369" s="507"/>
      <c r="AN369" s="507"/>
    </row>
    <row r="370" spans="1:40" ht="15.75" hidden="1" customHeight="1">
      <c r="A370" s="523" t="s">
        <v>449</v>
      </c>
      <c r="B370" s="510" t="s">
        <v>119</v>
      </c>
      <c r="C370" s="531" t="s">
        <v>20</v>
      </c>
      <c r="D370" s="584"/>
      <c r="E370" s="510"/>
      <c r="F370" s="532">
        <f>+INDEX('[7]Budget original'!$A$2:$AO$501,MATCH($A370,'[7]Budget original'!$A$2:$A$501,0),MATCH(F$2,'[7]Budget original'!$A$2:$AO$2,0))</f>
        <v>0</v>
      </c>
      <c r="G370" s="585"/>
      <c r="H370" s="510"/>
      <c r="I370" s="532"/>
      <c r="J370" s="531"/>
      <c r="K370" s="510"/>
      <c r="L370" s="534">
        <f>-SUMIFS([7]BV_Data_An_Cour!$O:$O,[7]BV_Data_An_Cour!$U:$U,$B370,[7]BV_Data_An_Cour!$V:$V,$C370,[7]BV_Data_An_Cour!$W:$W,$L$2)</f>
        <v>0</v>
      </c>
      <c r="M370" s="531"/>
      <c r="N370" s="557"/>
      <c r="O370" s="531"/>
      <c r="P370" s="510"/>
      <c r="Q370" s="534">
        <f t="array" ref="Q370">+INDEX('[7]Réel 2023'!$A$2:$AO$501,MATCH($A370,'[7]Réel 2023'!$A$2:$A$501,0),MATCH(Q$2,'[7]Réel 2023'!$A$2:$AO$2,0))</f>
        <v>0</v>
      </c>
      <c r="R370" s="531"/>
      <c r="S370" s="557">
        <f t="shared" si="74"/>
        <v>0</v>
      </c>
      <c r="T370" s="507"/>
      <c r="U370" s="507"/>
      <c r="V370" s="510"/>
      <c r="W370" s="507"/>
      <c r="X370" s="507"/>
      <c r="Y370" s="507"/>
      <c r="Z370" s="507"/>
      <c r="AA370" s="507"/>
      <c r="AB370" s="507"/>
      <c r="AC370" s="507"/>
      <c r="AD370" s="507"/>
      <c r="AE370" s="507"/>
      <c r="AF370" s="507"/>
      <c r="AG370" s="507"/>
      <c r="AH370" s="507"/>
      <c r="AI370" s="507"/>
      <c r="AJ370" s="507"/>
      <c r="AK370" s="507"/>
      <c r="AL370" s="507"/>
      <c r="AM370" s="507"/>
      <c r="AN370" s="507"/>
    </row>
    <row r="371" spans="1:40" ht="15.75" hidden="1" customHeight="1">
      <c r="A371" s="523" t="s">
        <v>449</v>
      </c>
      <c r="B371" s="510" t="s">
        <v>119</v>
      </c>
      <c r="C371" s="531" t="s">
        <v>20</v>
      </c>
      <c r="D371" s="584"/>
      <c r="E371" s="510"/>
      <c r="F371" s="532">
        <f>+INDEX('[7]Budget original'!$A$2:$AO$501,MATCH($A371,'[7]Budget original'!$A$2:$A$501,0),MATCH(F$2,'[7]Budget original'!$A$2:$AO$2,0))</f>
        <v>0</v>
      </c>
      <c r="G371" s="585"/>
      <c r="H371" s="510"/>
      <c r="I371" s="532"/>
      <c r="J371" s="531"/>
      <c r="K371" s="510"/>
      <c r="L371" s="534">
        <f>-SUMIFS([7]BV_Data_An_Cour!$O:$O,[7]BV_Data_An_Cour!$U:$U,$B371,[7]BV_Data_An_Cour!$V:$V,$C371,[7]BV_Data_An_Cour!$W:$W,$L$2)</f>
        <v>0</v>
      </c>
      <c r="M371" s="531"/>
      <c r="N371" s="557"/>
      <c r="O371" s="531"/>
      <c r="P371" s="510"/>
      <c r="Q371" s="534">
        <f t="array" ref="Q371">+INDEX('[7]Réel 2023'!$A$2:$AO$501,MATCH($A371,'[7]Réel 2023'!$A$2:$A$501,0),MATCH(Q$2,'[7]Réel 2023'!$A$2:$AO$2,0))</f>
        <v>0</v>
      </c>
      <c r="R371" s="531"/>
      <c r="S371" s="557">
        <f t="shared" si="74"/>
        <v>0</v>
      </c>
      <c r="T371" s="507"/>
      <c r="U371" s="507"/>
      <c r="V371" s="510"/>
      <c r="W371" s="507"/>
      <c r="X371" s="507"/>
      <c r="Y371" s="507"/>
      <c r="Z371" s="507"/>
      <c r="AA371" s="507"/>
      <c r="AB371" s="507"/>
      <c r="AC371" s="507"/>
      <c r="AD371" s="507"/>
      <c r="AE371" s="507"/>
      <c r="AF371" s="507"/>
      <c r="AG371" s="507"/>
      <c r="AH371" s="507"/>
      <c r="AI371" s="507"/>
      <c r="AJ371" s="507"/>
      <c r="AK371" s="507"/>
      <c r="AL371" s="507"/>
      <c r="AM371" s="507"/>
      <c r="AN371" s="507"/>
    </row>
    <row r="372" spans="1:40" ht="15.75" hidden="1" customHeight="1">
      <c r="A372" s="523" t="s">
        <v>450</v>
      </c>
      <c r="B372" s="510" t="s">
        <v>119</v>
      </c>
      <c r="C372" s="602" t="s">
        <v>45</v>
      </c>
      <c r="D372" s="584"/>
      <c r="E372" s="510"/>
      <c r="F372" s="526">
        <f>+INDEX('[7]Budget original'!$A$2:$AO$501,MATCH($A372,'[7]Budget original'!$A$2:$A$501,0),MATCH(F$2,'[7]Budget original'!$A$2:$AO$2,0))</f>
        <v>0</v>
      </c>
      <c r="G372" s="585"/>
      <c r="H372" s="510"/>
      <c r="I372" s="526"/>
      <c r="J372" s="531"/>
      <c r="K372" s="510"/>
      <c r="L372" s="526">
        <f>-SUMIFS([7]BV_Data_An_Cour!$O:$O,[7]BV_Data_An_Cour!$U:$U,$B372,[7]BV_Data_An_Cour!$V:$V,$C372,[7]BV_Data_An_Cour!$W:$W,$L$2)</f>
        <v>0</v>
      </c>
      <c r="M372" s="531"/>
      <c r="N372" s="557"/>
      <c r="O372" s="531"/>
      <c r="P372" s="510"/>
      <c r="Q372" s="526">
        <f t="array" ref="Q372">+INDEX('[7]Réel 2023'!$A$2:$AO$501,MATCH($A372,'[7]Réel 2023'!$A$2:$A$501,0),MATCH(Q$2,'[7]Réel 2023'!$A$2:$AO$2,0))</f>
        <v>0</v>
      </c>
      <c r="R372" s="531"/>
      <c r="S372" s="557">
        <f t="shared" si="74"/>
        <v>0</v>
      </c>
      <c r="T372" s="507"/>
      <c r="U372" s="507"/>
      <c r="V372" s="510"/>
      <c r="W372" s="507"/>
      <c r="X372" s="507"/>
      <c r="Y372" s="507"/>
      <c r="Z372" s="507"/>
      <c r="AA372" s="507"/>
      <c r="AB372" s="507"/>
      <c r="AC372" s="507"/>
      <c r="AD372" s="507"/>
      <c r="AE372" s="507"/>
      <c r="AF372" s="507"/>
      <c r="AG372" s="507"/>
      <c r="AH372" s="507"/>
      <c r="AI372" s="507"/>
      <c r="AJ372" s="507"/>
      <c r="AK372" s="507"/>
      <c r="AL372" s="507"/>
      <c r="AM372" s="507"/>
      <c r="AN372" s="507"/>
    </row>
    <row r="373" spans="1:40" ht="15.75" hidden="1" customHeight="1">
      <c r="A373" s="523" t="s">
        <v>451</v>
      </c>
      <c r="B373" s="510" t="s">
        <v>119</v>
      </c>
      <c r="C373" s="600" t="s">
        <v>46</v>
      </c>
      <c r="D373" s="603"/>
      <c r="E373" s="604"/>
      <c r="F373" s="532">
        <f>+INDEX('[7]Budget original'!$A$2:$AO$501,MATCH($A373,'[7]Budget original'!$A$2:$A$501,0),MATCH(F$2,'[7]Budget original'!$A$2:$AO$2,0))</f>
        <v>0</v>
      </c>
      <c r="G373" s="605"/>
      <c r="H373" s="604"/>
      <c r="I373" s="532"/>
      <c r="J373" s="518"/>
      <c r="K373" s="604"/>
      <c r="L373" s="534">
        <f>-SUMIFS([7]BV_Data_An_Cour!$O:$O,[7]BV_Data_An_Cour!$U:$U,$B373,[7]BV_Data_An_Cour!$V:$V,$C373,[7]BV_Data_An_Cour!$W:$W,$L$2)</f>
        <v>0</v>
      </c>
      <c r="M373" s="518"/>
      <c r="N373" s="606"/>
      <c r="O373" s="518"/>
      <c r="P373" s="604"/>
      <c r="Q373" s="534">
        <f t="array" ref="Q373">+INDEX('[7]Réel 2023'!$A$2:$AO$501,MATCH($A373,'[7]Réel 2023'!$A$2:$A$501,0),MATCH(Q$2,'[7]Réel 2023'!$A$2:$AO$2,0))</f>
        <v>0</v>
      </c>
      <c r="R373" s="518"/>
      <c r="S373" s="606">
        <f t="shared" si="74"/>
        <v>0</v>
      </c>
      <c r="T373" s="507"/>
      <c r="U373" s="507"/>
      <c r="V373" s="510"/>
      <c r="W373" s="507"/>
      <c r="X373" s="507"/>
      <c r="Y373" s="507"/>
      <c r="Z373" s="507"/>
      <c r="AA373" s="507"/>
      <c r="AB373" s="507"/>
      <c r="AC373" s="507"/>
      <c r="AD373" s="507"/>
      <c r="AE373" s="507"/>
      <c r="AF373" s="507"/>
      <c r="AG373" s="507"/>
      <c r="AH373" s="507"/>
      <c r="AI373" s="507"/>
      <c r="AJ373" s="507"/>
      <c r="AK373" s="507"/>
      <c r="AL373" s="507"/>
      <c r="AM373" s="507"/>
      <c r="AN373" s="507"/>
    </row>
    <row r="374" spans="1:40" ht="15.75" hidden="1" customHeight="1">
      <c r="A374" s="523" t="s">
        <v>452</v>
      </c>
      <c r="B374" s="510" t="s">
        <v>119</v>
      </c>
      <c r="C374" s="600" t="s">
        <v>47</v>
      </c>
      <c r="D374" s="584"/>
      <c r="E374" s="510"/>
      <c r="F374" s="532">
        <f>+INDEX('[7]Budget original'!$A$2:$AO$501,MATCH($A374,'[7]Budget original'!$A$2:$A$501,0),MATCH(F$2,'[7]Budget original'!$A$2:$AO$2,0))</f>
        <v>0</v>
      </c>
      <c r="G374" s="585"/>
      <c r="H374" s="510"/>
      <c r="I374" s="532"/>
      <c r="J374" s="531"/>
      <c r="K374" s="510"/>
      <c r="L374" s="534">
        <f>-SUMIFS([7]BV_Data_An_Cour!$O:$O,[7]BV_Data_An_Cour!$U:$U,$B374,[7]BV_Data_An_Cour!$V:$V,$C374,[7]BV_Data_An_Cour!$W:$W,$L$2)</f>
        <v>0</v>
      </c>
      <c r="M374" s="531"/>
      <c r="N374" s="557"/>
      <c r="O374" s="531"/>
      <c r="P374" s="510"/>
      <c r="Q374" s="534">
        <f t="array" ref="Q374">+INDEX('[7]Réel 2023'!$A$2:$AO$501,MATCH($A374,'[7]Réel 2023'!$A$2:$A$501,0),MATCH(Q$2,'[7]Réel 2023'!$A$2:$AO$2,0))</f>
        <v>0</v>
      </c>
      <c r="R374" s="531"/>
      <c r="S374" s="557">
        <f t="shared" si="74"/>
        <v>0</v>
      </c>
      <c r="T374" s="507"/>
      <c r="U374" s="507"/>
      <c r="V374" s="510"/>
      <c r="W374" s="507"/>
      <c r="X374" s="507"/>
      <c r="Y374" s="507"/>
      <c r="Z374" s="507"/>
      <c r="AA374" s="507"/>
      <c r="AB374" s="507"/>
      <c r="AC374" s="507"/>
      <c r="AD374" s="507"/>
      <c r="AE374" s="507"/>
      <c r="AF374" s="507"/>
      <c r="AG374" s="507"/>
      <c r="AH374" s="507"/>
      <c r="AI374" s="507"/>
      <c r="AJ374" s="507"/>
      <c r="AK374" s="507"/>
      <c r="AL374" s="507"/>
      <c r="AM374" s="507"/>
      <c r="AN374" s="507"/>
    </row>
    <row r="375" spans="1:40" ht="15.75" hidden="1" customHeight="1">
      <c r="A375" s="523" t="s">
        <v>453</v>
      </c>
      <c r="B375" s="510" t="s">
        <v>119</v>
      </c>
      <c r="C375" s="600" t="s">
        <v>48</v>
      </c>
      <c r="D375" s="584"/>
      <c r="E375" s="510"/>
      <c r="F375" s="532">
        <f>+INDEX('[7]Budget original'!$A$2:$AO$501,MATCH($A375,'[7]Budget original'!$A$2:$A$501,0),MATCH(F$2,'[7]Budget original'!$A$2:$AO$2,0))</f>
        <v>0</v>
      </c>
      <c r="G375" s="585"/>
      <c r="H375" s="510"/>
      <c r="I375" s="532"/>
      <c r="J375" s="531"/>
      <c r="K375" s="510"/>
      <c r="L375" s="534">
        <f>-SUMIFS([7]BV_Data_An_Cour!$O:$O,[7]BV_Data_An_Cour!$U:$U,$B375,[7]BV_Data_An_Cour!$V:$V,$C375,[7]BV_Data_An_Cour!$W:$W,$L$2)</f>
        <v>0</v>
      </c>
      <c r="M375" s="531"/>
      <c r="N375" s="557"/>
      <c r="O375" s="531"/>
      <c r="P375" s="510"/>
      <c r="Q375" s="534">
        <f t="array" ref="Q375">+INDEX('[7]Réel 2023'!$A$2:$AO$501,MATCH($A375,'[7]Réel 2023'!$A$2:$A$501,0),MATCH(Q$2,'[7]Réel 2023'!$A$2:$AO$2,0))</f>
        <v>0</v>
      </c>
      <c r="R375" s="531"/>
      <c r="S375" s="557">
        <f t="shared" si="74"/>
        <v>0</v>
      </c>
      <c r="T375" s="507"/>
      <c r="U375" s="507"/>
      <c r="V375" s="510"/>
      <c r="W375" s="507"/>
      <c r="X375" s="507"/>
      <c r="Y375" s="507"/>
      <c r="Z375" s="507"/>
      <c r="AA375" s="507"/>
      <c r="AB375" s="507"/>
      <c r="AC375" s="507"/>
      <c r="AD375" s="507"/>
      <c r="AE375" s="507"/>
      <c r="AF375" s="507"/>
      <c r="AG375" s="507"/>
      <c r="AH375" s="507"/>
      <c r="AI375" s="507"/>
      <c r="AJ375" s="507"/>
      <c r="AK375" s="507"/>
      <c r="AL375" s="507"/>
      <c r="AM375" s="507"/>
      <c r="AN375" s="507"/>
    </row>
    <row r="376" spans="1:40" ht="15.75" hidden="1" customHeight="1">
      <c r="A376" s="523" t="s">
        <v>449</v>
      </c>
      <c r="B376" s="510" t="s">
        <v>119</v>
      </c>
      <c r="C376" s="531" t="s">
        <v>20</v>
      </c>
      <c r="D376" s="587"/>
      <c r="E376" s="607"/>
      <c r="F376" s="532">
        <f>+INDEX('[7]Budget original'!$A$2:$AO$501,MATCH($A376,'[7]Budget original'!$A$2:$A$501,0),MATCH(F$2,'[7]Budget original'!$A$2:$AO$2,0))</f>
        <v>0</v>
      </c>
      <c r="G376" s="588"/>
      <c r="H376" s="607"/>
      <c r="I376" s="532"/>
      <c r="J376" s="524"/>
      <c r="K376" s="607"/>
      <c r="L376" s="534">
        <f>-SUMIFS([7]BV_Data_An_Cour!$O:$O,[7]BV_Data_An_Cour!$U:$U,$B376,[7]BV_Data_An_Cour!$V:$V,$C376,[7]BV_Data_An_Cour!$W:$W,$L$2)</f>
        <v>0</v>
      </c>
      <c r="M376" s="524"/>
      <c r="N376" s="582"/>
      <c r="O376" s="524"/>
      <c r="P376" s="607"/>
      <c r="Q376" s="534">
        <f t="array" ref="Q376">+INDEX('[7]Réel 2023'!$A$2:$AO$501,MATCH($A376,'[7]Réel 2023'!$A$2:$A$501,0),MATCH(Q$2,'[7]Réel 2023'!$A$2:$AO$2,0))</f>
        <v>0</v>
      </c>
      <c r="R376" s="524"/>
      <c r="S376" s="582">
        <f t="shared" si="74"/>
        <v>0</v>
      </c>
      <c r="T376" s="507"/>
      <c r="U376" s="507"/>
      <c r="V376" s="510"/>
      <c r="W376" s="507"/>
      <c r="X376" s="507"/>
      <c r="Y376" s="507"/>
      <c r="Z376" s="507"/>
      <c r="AA376" s="507"/>
      <c r="AB376" s="507"/>
      <c r="AC376" s="507"/>
      <c r="AD376" s="507"/>
      <c r="AE376" s="507"/>
      <c r="AF376" s="507"/>
      <c r="AG376" s="507"/>
      <c r="AH376" s="507"/>
      <c r="AI376" s="507"/>
      <c r="AJ376" s="507"/>
      <c r="AK376" s="507"/>
      <c r="AL376" s="507"/>
      <c r="AM376" s="507"/>
      <c r="AN376" s="507"/>
    </row>
    <row r="377" spans="1:40" ht="15.75" hidden="1" customHeight="1">
      <c r="A377" s="523" t="s">
        <v>454</v>
      </c>
      <c r="B377" s="510" t="s">
        <v>119</v>
      </c>
      <c r="C377" s="592" t="s">
        <v>49</v>
      </c>
      <c r="D377" s="593" t="s">
        <v>39</v>
      </c>
      <c r="E377" s="594">
        <f>IFERROR(F377/F$360,0)</f>
        <v>0</v>
      </c>
      <c r="F377" s="595">
        <f>+SUM(F365:F376)</f>
        <v>0</v>
      </c>
      <c r="G377" s="596"/>
      <c r="H377" s="594"/>
      <c r="I377" s="595"/>
      <c r="J377" s="596" t="s">
        <v>39</v>
      </c>
      <c r="K377" s="594">
        <f>IFERROR(L377/L$360,0)</f>
        <v>0</v>
      </c>
      <c r="L377" s="595">
        <f>+SUM(L365:L376)</f>
        <v>0</v>
      </c>
      <c r="M377" s="650"/>
      <c r="N377" s="609"/>
      <c r="O377" s="596" t="s">
        <v>39</v>
      </c>
      <c r="P377" s="594">
        <f>IFERROR(Q377/Q$360,0)</f>
        <v>0</v>
      </c>
      <c r="Q377" s="595">
        <f>+SUM(Q365:Q376)</f>
        <v>0</v>
      </c>
      <c r="R377" s="650"/>
      <c r="S377" s="609">
        <f t="shared" si="74"/>
        <v>0</v>
      </c>
      <c r="T377" s="507"/>
      <c r="U377" s="507"/>
      <c r="V377" s="510"/>
      <c r="W377" s="507"/>
      <c r="X377" s="507"/>
      <c r="Y377" s="507"/>
      <c r="Z377" s="507"/>
      <c r="AA377" s="507"/>
      <c r="AB377" s="507"/>
      <c r="AC377" s="507"/>
      <c r="AD377" s="507"/>
      <c r="AE377" s="507"/>
      <c r="AF377" s="507"/>
      <c r="AG377" s="507"/>
      <c r="AH377" s="507"/>
      <c r="AI377" s="507"/>
      <c r="AJ377" s="507"/>
      <c r="AK377" s="507"/>
      <c r="AL377" s="507"/>
      <c r="AM377" s="507"/>
      <c r="AN377" s="507"/>
    </row>
    <row r="378" spans="1:40" ht="15.75" hidden="1" customHeight="1">
      <c r="A378" s="523" t="s">
        <v>455</v>
      </c>
      <c r="B378" s="510" t="s">
        <v>119</v>
      </c>
      <c r="C378" s="706" t="s">
        <v>50</v>
      </c>
      <c r="D378" s="584"/>
      <c r="E378" s="510"/>
      <c r="F378" s="532">
        <f>+INDEX('[7]Budget original'!$A$2:$AO$501,MATCH($A378,'[7]Budget original'!$A$2:$A$501,0),MATCH(F$2,'[7]Budget original'!$A$2:$AO$2,0))</f>
        <v>0</v>
      </c>
      <c r="G378" s="585"/>
      <c r="H378" s="510"/>
      <c r="I378" s="532"/>
      <c r="J378" s="531"/>
      <c r="K378" s="510"/>
      <c r="L378" s="534">
        <f>-SUMIFS([7]BV_Data_An_Cour!$O:$O,[7]BV_Data_An_Cour!$U:$U,$B378,[7]BV_Data_An_Cour!$V:$V,$C378,[7]BV_Data_An_Cour!$W:$W,$L$2)</f>
        <v>0</v>
      </c>
      <c r="M378" s="531"/>
      <c r="N378" s="557"/>
      <c r="O378" s="531"/>
      <c r="P378" s="510"/>
      <c r="Q378" s="534">
        <f t="array" ref="Q378">+INDEX('[7]Réel 2023'!$A$2:$AO$501,MATCH($A378,'[7]Réel 2023'!$A$2:$A$501,0),MATCH(Q$2,'[7]Réel 2023'!$A$2:$AO$2,0))</f>
        <v>0</v>
      </c>
      <c r="R378" s="531"/>
      <c r="S378" s="557">
        <f t="shared" si="74"/>
        <v>0</v>
      </c>
      <c r="T378" s="507"/>
      <c r="U378" s="507"/>
      <c r="V378" s="510"/>
      <c r="W378" s="507"/>
      <c r="X378" s="507"/>
      <c r="Y378" s="507"/>
      <c r="Z378" s="507"/>
      <c r="AA378" s="507"/>
      <c r="AB378" s="507"/>
      <c r="AC378" s="507"/>
      <c r="AD378" s="507"/>
      <c r="AE378" s="507"/>
      <c r="AF378" s="507"/>
      <c r="AG378" s="507"/>
      <c r="AH378" s="507"/>
      <c r="AI378" s="507"/>
      <c r="AJ378" s="507"/>
      <c r="AK378" s="507"/>
      <c r="AL378" s="507"/>
      <c r="AM378" s="507"/>
      <c r="AN378" s="507"/>
    </row>
    <row r="379" spans="1:40" ht="15.75" hidden="1" customHeight="1">
      <c r="A379" s="523" t="s">
        <v>456</v>
      </c>
      <c r="B379" s="510" t="s">
        <v>119</v>
      </c>
      <c r="C379" s="600" t="s">
        <v>51</v>
      </c>
      <c r="D379" s="584"/>
      <c r="E379" s="510"/>
      <c r="F379" s="532">
        <f>+INDEX('[7]Budget original'!$A$2:$AO$501,MATCH($A379,'[7]Budget original'!$A$2:$A$501,0),MATCH(F$2,'[7]Budget original'!$A$2:$AO$2,0))</f>
        <v>0</v>
      </c>
      <c r="G379" s="585"/>
      <c r="H379" s="510"/>
      <c r="I379" s="532"/>
      <c r="J379" s="531"/>
      <c r="K379" s="510"/>
      <c r="L379" s="534">
        <f>-SUMIFS([7]BV_Data_An_Cour!$O:$O,[7]BV_Data_An_Cour!$U:$U,$B379,[7]BV_Data_An_Cour!$V:$V,$C379,[7]BV_Data_An_Cour!$W:$W,$L$2)</f>
        <v>0</v>
      </c>
      <c r="M379" s="531"/>
      <c r="N379" s="557"/>
      <c r="O379" s="531"/>
      <c r="P379" s="510"/>
      <c r="Q379" s="534">
        <f t="array" ref="Q379">+INDEX('[7]Réel 2023'!$A$2:$AO$501,MATCH($A379,'[7]Réel 2023'!$A$2:$A$501,0),MATCH(Q$2,'[7]Réel 2023'!$A$2:$AO$2,0))</f>
        <v>0</v>
      </c>
      <c r="R379" s="531"/>
      <c r="S379" s="557">
        <f t="shared" si="74"/>
        <v>0</v>
      </c>
      <c r="T379" s="507"/>
      <c r="U379" s="507"/>
      <c r="V379" s="510"/>
      <c r="W379" s="507"/>
      <c r="X379" s="507"/>
      <c r="Y379" s="507"/>
      <c r="Z379" s="507"/>
      <c r="AA379" s="507"/>
      <c r="AB379" s="507"/>
      <c r="AC379" s="507"/>
      <c r="AD379" s="507"/>
      <c r="AE379" s="507"/>
      <c r="AF379" s="507"/>
      <c r="AG379" s="507"/>
      <c r="AH379" s="507"/>
      <c r="AI379" s="507"/>
      <c r="AJ379" s="507"/>
      <c r="AK379" s="507"/>
      <c r="AL379" s="507"/>
      <c r="AM379" s="507"/>
      <c r="AN379" s="507"/>
    </row>
    <row r="380" spans="1:40" ht="15.75" hidden="1" customHeight="1">
      <c r="A380" s="523" t="s">
        <v>457</v>
      </c>
      <c r="B380" s="510" t="s">
        <v>119</v>
      </c>
      <c r="C380" s="602" t="s">
        <v>52</v>
      </c>
      <c r="D380" s="587"/>
      <c r="E380" s="607"/>
      <c r="F380" s="526">
        <f>+INDEX('[7]Budget original'!$A$2:$AO$501,MATCH($A380,'[7]Budget original'!$A$2:$A$501,0),MATCH(F$2,'[7]Budget original'!$A$2:$AO$2,0))</f>
        <v>0</v>
      </c>
      <c r="G380" s="588"/>
      <c r="H380" s="607"/>
      <c r="I380" s="526"/>
      <c r="J380" s="524"/>
      <c r="K380" s="607"/>
      <c r="L380" s="526">
        <f>-SUMIFS([7]BV_Data_An_Cour!$O:$O,[7]BV_Data_An_Cour!$U:$U,$B380,[7]BV_Data_An_Cour!$V:$V,$C380,[7]BV_Data_An_Cour!$W:$W,$L$2)</f>
        <v>0</v>
      </c>
      <c r="M380" s="524"/>
      <c r="N380" s="582"/>
      <c r="O380" s="524"/>
      <c r="P380" s="607"/>
      <c r="Q380" s="526">
        <f t="array" ref="Q380">+INDEX('[7]Réel 2023'!$A$2:$AO$501,MATCH($A380,'[7]Réel 2023'!$A$2:$A$501,0),MATCH(Q$2,'[7]Réel 2023'!$A$2:$AO$2,0))</f>
        <v>0</v>
      </c>
      <c r="R380" s="524"/>
      <c r="S380" s="582">
        <f t="shared" si="74"/>
        <v>0</v>
      </c>
      <c r="T380" s="507"/>
      <c r="U380" s="507"/>
      <c r="V380" s="510"/>
      <c r="W380" s="507"/>
      <c r="X380" s="507"/>
      <c r="Y380" s="507"/>
      <c r="Z380" s="507"/>
      <c r="AA380" s="507"/>
      <c r="AB380" s="507"/>
      <c r="AC380" s="507"/>
      <c r="AD380" s="507"/>
      <c r="AE380" s="507"/>
      <c r="AF380" s="507"/>
      <c r="AG380" s="507"/>
      <c r="AH380" s="507"/>
      <c r="AI380" s="507"/>
      <c r="AJ380" s="507"/>
      <c r="AK380" s="507"/>
      <c r="AL380" s="507"/>
      <c r="AM380" s="507"/>
      <c r="AN380" s="507"/>
    </row>
    <row r="381" spans="1:40" ht="15.75" hidden="1" customHeight="1">
      <c r="A381" s="523" t="s">
        <v>458</v>
      </c>
      <c r="B381" s="510" t="s">
        <v>119</v>
      </c>
      <c r="C381" s="600" t="s">
        <v>53</v>
      </c>
      <c r="D381" s="584"/>
      <c r="E381" s="510"/>
      <c r="F381" s="532">
        <f>+INDEX('[7]Budget original'!$A$2:$AO$501,MATCH($A381,'[7]Budget original'!$A$2:$A$501,0),MATCH(F$2,'[7]Budget original'!$A$2:$AO$2,0))</f>
        <v>0</v>
      </c>
      <c r="G381" s="585"/>
      <c r="H381" s="510"/>
      <c r="I381" s="532"/>
      <c r="J381" s="531"/>
      <c r="K381" s="510"/>
      <c r="L381" s="534">
        <f>-SUMIFS([7]BV_Data_An_Cour!$O:$O,[7]BV_Data_An_Cour!$U:$U,$B381,[7]BV_Data_An_Cour!$V:$V,$C381,[7]BV_Data_An_Cour!$W:$W,$L$2)</f>
        <v>0</v>
      </c>
      <c r="M381" s="531"/>
      <c r="N381" s="557"/>
      <c r="O381" s="531"/>
      <c r="P381" s="510"/>
      <c r="Q381" s="534">
        <f t="array" ref="Q381">+INDEX('[7]Réel 2023'!$A$2:$AO$501,MATCH($A381,'[7]Réel 2023'!$A$2:$A$501,0),MATCH(Q$2,'[7]Réel 2023'!$A$2:$AO$2,0))</f>
        <v>0</v>
      </c>
      <c r="R381" s="531"/>
      <c r="S381" s="557">
        <f t="shared" si="74"/>
        <v>0</v>
      </c>
      <c r="T381" s="507"/>
      <c r="U381" s="507"/>
      <c r="V381" s="510"/>
      <c r="W381" s="507"/>
      <c r="X381" s="507"/>
      <c r="Y381" s="507"/>
      <c r="Z381" s="507"/>
      <c r="AA381" s="507"/>
      <c r="AB381" s="507"/>
      <c r="AC381" s="507"/>
      <c r="AD381" s="507"/>
      <c r="AE381" s="507"/>
      <c r="AF381" s="507"/>
      <c r="AG381" s="507"/>
      <c r="AH381" s="507"/>
      <c r="AI381" s="507"/>
      <c r="AJ381" s="507"/>
      <c r="AK381" s="507"/>
      <c r="AL381" s="507"/>
      <c r="AM381" s="507"/>
      <c r="AN381" s="507"/>
    </row>
    <row r="382" spans="1:40" ht="15.75" hidden="1" customHeight="1">
      <c r="A382" s="523" t="s">
        <v>459</v>
      </c>
      <c r="B382" s="510" t="s">
        <v>119</v>
      </c>
      <c r="C382" s="600" t="s">
        <v>54</v>
      </c>
      <c r="D382" s="584"/>
      <c r="E382" s="510"/>
      <c r="F382" s="532">
        <f>+INDEX('[7]Budget original'!$A$2:$AO$501,MATCH($A382,'[7]Budget original'!$A$2:$A$501,0),MATCH(F$2,'[7]Budget original'!$A$2:$AO$2,0))</f>
        <v>0</v>
      </c>
      <c r="G382" s="585"/>
      <c r="H382" s="510"/>
      <c r="I382" s="532"/>
      <c r="J382" s="531"/>
      <c r="K382" s="510"/>
      <c r="L382" s="534">
        <f>-SUMIFS([7]BV_Data_An_Cour!$O:$O,[7]BV_Data_An_Cour!$U:$U,$B382,[7]BV_Data_An_Cour!$V:$V,$C382,[7]BV_Data_An_Cour!$W:$W,$L$2)</f>
        <v>0</v>
      </c>
      <c r="M382" s="531"/>
      <c r="N382" s="557"/>
      <c r="O382" s="531"/>
      <c r="P382" s="510"/>
      <c r="Q382" s="534">
        <f t="array" ref="Q382">+INDEX('[7]Réel 2023'!$A$2:$AO$501,MATCH($A382,'[7]Réel 2023'!$A$2:$A$501,0),MATCH(Q$2,'[7]Réel 2023'!$A$2:$AO$2,0))</f>
        <v>0</v>
      </c>
      <c r="R382" s="531"/>
      <c r="S382" s="557">
        <f t="shared" si="74"/>
        <v>0</v>
      </c>
      <c r="T382" s="507"/>
      <c r="U382" s="507"/>
      <c r="V382" s="510"/>
      <c r="W382" s="507"/>
      <c r="X382" s="507"/>
      <c r="Y382" s="507"/>
      <c r="Z382" s="507"/>
      <c r="AA382" s="507"/>
      <c r="AB382" s="507"/>
      <c r="AC382" s="507"/>
      <c r="AD382" s="507"/>
      <c r="AE382" s="507"/>
      <c r="AF382" s="507"/>
      <c r="AG382" s="507"/>
      <c r="AH382" s="507"/>
      <c r="AI382" s="507"/>
      <c r="AJ382" s="507"/>
      <c r="AK382" s="507"/>
      <c r="AL382" s="507"/>
      <c r="AM382" s="507"/>
      <c r="AN382" s="507"/>
    </row>
    <row r="383" spans="1:40" ht="15.75" hidden="1" customHeight="1">
      <c r="A383" s="523" t="s">
        <v>460</v>
      </c>
      <c r="B383" s="510" t="s">
        <v>119</v>
      </c>
      <c r="C383" s="600" t="s">
        <v>55</v>
      </c>
      <c r="D383" s="587"/>
      <c r="E383" s="607"/>
      <c r="F383" s="526">
        <f>+INDEX('[7]Budget original'!$A$2:$AO$501,MATCH($A383,'[7]Budget original'!$A$2:$A$501,0),MATCH(F$2,'[7]Budget original'!$A$2:$AO$2,0))</f>
        <v>0</v>
      </c>
      <c r="G383" s="588"/>
      <c r="H383" s="607"/>
      <c r="I383" s="526"/>
      <c r="J383" s="524"/>
      <c r="K383" s="607"/>
      <c r="L383" s="526">
        <f>-SUMIFS([7]BV_Data_An_Cour!$O:$O,[7]BV_Data_An_Cour!$U:$U,$B383,[7]BV_Data_An_Cour!$V:$V,$C383,[7]BV_Data_An_Cour!$W:$W,$L$2)</f>
        <v>0</v>
      </c>
      <c r="M383" s="524"/>
      <c r="N383" s="582"/>
      <c r="O383" s="524"/>
      <c r="P383" s="607"/>
      <c r="Q383" s="526">
        <f t="array" ref="Q383">+INDEX('[7]Réel 2023'!$A$2:$AO$501,MATCH($A383,'[7]Réel 2023'!$A$2:$A$501,0),MATCH(Q$2,'[7]Réel 2023'!$A$2:$AO$2,0))</f>
        <v>0</v>
      </c>
      <c r="R383" s="524"/>
      <c r="S383" s="582">
        <f t="shared" si="74"/>
        <v>0</v>
      </c>
      <c r="T383" s="507"/>
      <c r="U383" s="507"/>
      <c r="V383" s="510"/>
      <c r="W383" s="507"/>
      <c r="X383" s="507"/>
      <c r="Y383" s="507"/>
      <c r="Z383" s="507"/>
      <c r="AA383" s="507"/>
      <c r="AB383" s="507"/>
      <c r="AC383" s="507"/>
      <c r="AD383" s="507"/>
      <c r="AE383" s="507"/>
      <c r="AF383" s="507"/>
      <c r="AG383" s="507"/>
      <c r="AH383" s="507"/>
      <c r="AI383" s="507"/>
      <c r="AJ383" s="507"/>
      <c r="AK383" s="507"/>
      <c r="AL383" s="507"/>
      <c r="AM383" s="507"/>
      <c r="AN383" s="507"/>
    </row>
    <row r="384" spans="1:40" ht="20.25" hidden="1" customHeight="1">
      <c r="A384" s="523" t="s">
        <v>461</v>
      </c>
      <c r="B384" s="510" t="s">
        <v>119</v>
      </c>
      <c r="C384" s="706" t="s">
        <v>56</v>
      </c>
      <c r="D384" s="584"/>
      <c r="E384" s="510"/>
      <c r="F384" s="532">
        <f>+INDEX('[7]Budget original'!$A$2:$AO$501,MATCH($A384,'[7]Budget original'!$A$2:$A$501,0),MATCH(F$2,'[7]Budget original'!$A$2:$AO$2,0))</f>
        <v>0</v>
      </c>
      <c r="G384" s="585"/>
      <c r="H384" s="510"/>
      <c r="I384" s="532"/>
      <c r="J384" s="531"/>
      <c r="K384" s="510"/>
      <c r="L384" s="534">
        <f>-SUMIFS([7]BV_Data_An_Cour!$O:$O,[7]BV_Data_An_Cour!$U:$U,$B384,[7]BV_Data_An_Cour!$V:$V,$C384,[7]BV_Data_An_Cour!$W:$W,$L$2)</f>
        <v>0</v>
      </c>
      <c r="M384" s="531"/>
      <c r="N384" s="557"/>
      <c r="O384" s="531"/>
      <c r="P384" s="510"/>
      <c r="Q384" s="534">
        <f t="array" ref="Q384">+INDEX('[7]Réel 2023'!$A$2:$AO$501,MATCH($A384,'[7]Réel 2023'!$A$2:$A$501,0),MATCH(Q$2,'[7]Réel 2023'!$A$2:$AO$2,0))</f>
        <v>0</v>
      </c>
      <c r="R384" s="531"/>
      <c r="S384" s="557">
        <f t="shared" si="74"/>
        <v>0</v>
      </c>
      <c r="T384" s="507"/>
      <c r="U384" s="507"/>
      <c r="V384" s="510"/>
      <c r="W384" s="507"/>
      <c r="X384" s="507"/>
      <c r="Y384" s="507"/>
      <c r="Z384" s="507"/>
      <c r="AA384" s="507"/>
      <c r="AB384" s="507"/>
      <c r="AC384" s="507"/>
      <c r="AD384" s="507"/>
      <c r="AE384" s="507"/>
      <c r="AF384" s="507"/>
      <c r="AG384" s="507"/>
      <c r="AH384" s="507"/>
      <c r="AI384" s="507"/>
      <c r="AJ384" s="507"/>
      <c r="AK384" s="507"/>
      <c r="AL384" s="507"/>
      <c r="AM384" s="507"/>
      <c r="AN384" s="507"/>
    </row>
    <row r="385" spans="1:40" ht="20.25" hidden="1" customHeight="1">
      <c r="A385" s="523" t="s">
        <v>462</v>
      </c>
      <c r="B385" s="510" t="s">
        <v>119</v>
      </c>
      <c r="C385" s="600" t="s">
        <v>57</v>
      </c>
      <c r="D385" s="584"/>
      <c r="E385" s="510"/>
      <c r="F385" s="532">
        <f>+INDEX('[7]Budget original'!$A$2:$AO$501,MATCH($A385,'[7]Budget original'!$A$2:$A$501,0),MATCH(F$2,'[7]Budget original'!$A$2:$AO$2,0))</f>
        <v>0</v>
      </c>
      <c r="G385" s="585"/>
      <c r="H385" s="510"/>
      <c r="I385" s="532"/>
      <c r="J385" s="531"/>
      <c r="K385" s="510"/>
      <c r="L385" s="534">
        <f>-SUMIFS([7]BV_Data_An_Cour!$O:$O,[7]BV_Data_An_Cour!$U:$U,$B385,[7]BV_Data_An_Cour!$V:$V,$C385,[7]BV_Data_An_Cour!$W:$W,$L$2)</f>
        <v>0</v>
      </c>
      <c r="M385" s="531"/>
      <c r="N385" s="557"/>
      <c r="O385" s="531"/>
      <c r="P385" s="510"/>
      <c r="Q385" s="534">
        <f t="array" ref="Q385">+INDEX('[7]Réel 2023'!$A$2:$AO$501,MATCH($A385,'[7]Réel 2023'!$A$2:$A$501,0),MATCH(Q$2,'[7]Réel 2023'!$A$2:$AO$2,0))</f>
        <v>0</v>
      </c>
      <c r="R385" s="531"/>
      <c r="S385" s="557">
        <f t="shared" si="74"/>
        <v>0</v>
      </c>
      <c r="T385" s="507"/>
      <c r="U385" s="507"/>
      <c r="V385" s="510"/>
      <c r="W385" s="507"/>
      <c r="X385" s="507"/>
      <c r="Y385" s="507"/>
      <c r="Z385" s="507"/>
      <c r="AA385" s="507"/>
      <c r="AB385" s="507"/>
      <c r="AC385" s="507"/>
      <c r="AD385" s="507"/>
      <c r="AE385" s="507"/>
      <c r="AF385" s="507"/>
      <c r="AG385" s="507"/>
      <c r="AH385" s="507"/>
      <c r="AI385" s="507"/>
      <c r="AJ385" s="507"/>
      <c r="AK385" s="507"/>
      <c r="AL385" s="507"/>
      <c r="AM385" s="507"/>
      <c r="AN385" s="507"/>
    </row>
    <row r="386" spans="1:40" ht="20.25" hidden="1" customHeight="1">
      <c r="A386" s="523" t="s">
        <v>463</v>
      </c>
      <c r="B386" s="510" t="s">
        <v>119</v>
      </c>
      <c r="C386" s="600" t="s">
        <v>58</v>
      </c>
      <c r="D386" s="584"/>
      <c r="E386" s="510"/>
      <c r="F386" s="532">
        <f>+INDEX('[7]Budget original'!$A$2:$AO$501,MATCH($A386,'[7]Budget original'!$A$2:$A$501,0),MATCH(F$2,'[7]Budget original'!$A$2:$AO$2,0))</f>
        <v>0</v>
      </c>
      <c r="G386" s="585"/>
      <c r="H386" s="510"/>
      <c r="I386" s="532"/>
      <c r="J386" s="531"/>
      <c r="K386" s="510"/>
      <c r="L386" s="534">
        <f>-SUMIFS([7]BV_Data_An_Cour!$O:$O,[7]BV_Data_An_Cour!$U:$U,$B386,[7]BV_Data_An_Cour!$V:$V,$C386,[7]BV_Data_An_Cour!$W:$W,$L$2)</f>
        <v>0</v>
      </c>
      <c r="M386" s="531"/>
      <c r="N386" s="557"/>
      <c r="O386" s="531"/>
      <c r="P386" s="510"/>
      <c r="Q386" s="534">
        <f t="array" ref="Q386">+INDEX('[7]Réel 2023'!$A$2:$AO$501,MATCH($A386,'[7]Réel 2023'!$A$2:$A$501,0),MATCH(Q$2,'[7]Réel 2023'!$A$2:$AO$2,0))</f>
        <v>0</v>
      </c>
      <c r="R386" s="531"/>
      <c r="S386" s="557">
        <f t="shared" si="74"/>
        <v>0</v>
      </c>
      <c r="T386" s="507"/>
      <c r="U386" s="507"/>
      <c r="V386" s="510"/>
      <c r="W386" s="507"/>
      <c r="X386" s="507"/>
      <c r="Y386" s="507"/>
      <c r="Z386" s="507"/>
      <c r="AA386" s="507"/>
      <c r="AB386" s="507"/>
      <c r="AC386" s="507"/>
      <c r="AD386" s="507"/>
      <c r="AE386" s="507"/>
      <c r="AF386" s="507"/>
      <c r="AG386" s="507"/>
      <c r="AH386" s="507"/>
      <c r="AI386" s="507"/>
      <c r="AJ386" s="507"/>
      <c r="AK386" s="507"/>
      <c r="AL386" s="507"/>
      <c r="AM386" s="507"/>
      <c r="AN386" s="507"/>
    </row>
    <row r="387" spans="1:40" ht="20.25" hidden="1" customHeight="1">
      <c r="A387" s="523" t="s">
        <v>464</v>
      </c>
      <c r="B387" s="510" t="s">
        <v>119</v>
      </c>
      <c r="C387" s="600" t="s">
        <v>59</v>
      </c>
      <c r="D387" s="584"/>
      <c r="E387" s="510"/>
      <c r="F387" s="532">
        <f>+INDEX('[7]Budget original'!$A$2:$AO$501,MATCH($A387,'[7]Budget original'!$A$2:$A$501,0),MATCH(F$2,'[7]Budget original'!$A$2:$AO$2,0))</f>
        <v>0</v>
      </c>
      <c r="G387" s="585"/>
      <c r="H387" s="510"/>
      <c r="I387" s="532"/>
      <c r="J387" s="531"/>
      <c r="K387" s="510"/>
      <c r="L387" s="534">
        <f>-SUMIFS([7]BV_Data_An_Cour!$O:$O,[7]BV_Data_An_Cour!$U:$U,$B387,[7]BV_Data_An_Cour!$V:$V,$C387,[7]BV_Data_An_Cour!$W:$W,$L$2)</f>
        <v>0</v>
      </c>
      <c r="M387" s="531"/>
      <c r="N387" s="557"/>
      <c r="O387" s="531"/>
      <c r="P387" s="510"/>
      <c r="Q387" s="534">
        <f t="array" ref="Q387">+INDEX('[7]Réel 2023'!$A$2:$AO$501,MATCH($A387,'[7]Réel 2023'!$A$2:$A$501,0),MATCH(Q$2,'[7]Réel 2023'!$A$2:$AO$2,0))</f>
        <v>0</v>
      </c>
      <c r="R387" s="531"/>
      <c r="S387" s="557">
        <f t="shared" si="74"/>
        <v>0</v>
      </c>
      <c r="T387" s="507"/>
      <c r="U387" s="507"/>
      <c r="V387" s="510"/>
      <c r="W387" s="507"/>
      <c r="X387" s="507"/>
      <c r="Y387" s="507"/>
      <c r="Z387" s="507"/>
      <c r="AA387" s="507"/>
      <c r="AB387" s="507"/>
      <c r="AC387" s="507"/>
      <c r="AD387" s="507"/>
      <c r="AE387" s="507"/>
      <c r="AF387" s="507"/>
      <c r="AG387" s="507"/>
      <c r="AH387" s="507"/>
      <c r="AI387" s="507"/>
      <c r="AJ387" s="507"/>
      <c r="AK387" s="507"/>
      <c r="AL387" s="507"/>
      <c r="AM387" s="507"/>
      <c r="AN387" s="507"/>
    </row>
    <row r="388" spans="1:40" ht="20.25" hidden="1" customHeight="1">
      <c r="A388" s="523" t="s">
        <v>465</v>
      </c>
      <c r="B388" s="510" t="s">
        <v>119</v>
      </c>
      <c r="C388" s="600" t="s">
        <v>60</v>
      </c>
      <c r="D388" s="584"/>
      <c r="E388" s="510"/>
      <c r="F388" s="532">
        <f>+INDEX('[7]Budget original'!$A$2:$AO$501,MATCH($A388,'[7]Budget original'!$A$2:$A$501,0),MATCH(F$2,'[7]Budget original'!$A$2:$AO$2,0))</f>
        <v>0</v>
      </c>
      <c r="G388" s="585"/>
      <c r="H388" s="510"/>
      <c r="I388" s="532"/>
      <c r="J388" s="531"/>
      <c r="K388" s="510"/>
      <c r="L388" s="534">
        <f>-SUMIFS([7]BV_Data_An_Cour!$O:$O,[7]BV_Data_An_Cour!$U:$U,$B388,[7]BV_Data_An_Cour!$V:$V,$C388,[7]BV_Data_An_Cour!$W:$W,$L$2)</f>
        <v>0</v>
      </c>
      <c r="M388" s="531"/>
      <c r="N388" s="557"/>
      <c r="O388" s="531"/>
      <c r="P388" s="510"/>
      <c r="Q388" s="534">
        <f t="array" ref="Q388">+INDEX('[7]Réel 2023'!$A$2:$AO$501,MATCH($A388,'[7]Réel 2023'!$A$2:$A$501,0),MATCH(Q$2,'[7]Réel 2023'!$A$2:$AO$2,0))</f>
        <v>0</v>
      </c>
      <c r="R388" s="531"/>
      <c r="S388" s="557">
        <f t="shared" si="74"/>
        <v>0</v>
      </c>
      <c r="T388" s="507"/>
      <c r="U388" s="507"/>
      <c r="V388" s="510"/>
      <c r="W388" s="507"/>
      <c r="X388" s="507"/>
      <c r="Y388" s="507"/>
      <c r="Z388" s="507"/>
      <c r="AA388" s="507"/>
      <c r="AB388" s="507"/>
      <c r="AC388" s="507"/>
      <c r="AD388" s="507"/>
      <c r="AE388" s="507"/>
      <c r="AF388" s="507"/>
      <c r="AG388" s="507"/>
      <c r="AH388" s="507"/>
      <c r="AI388" s="507"/>
      <c r="AJ388" s="507"/>
      <c r="AK388" s="507"/>
      <c r="AL388" s="507"/>
      <c r="AM388" s="507"/>
      <c r="AN388" s="507"/>
    </row>
    <row r="389" spans="1:40" ht="20.25" hidden="1" customHeight="1">
      <c r="A389" s="523" t="s">
        <v>466</v>
      </c>
      <c r="B389" s="510" t="s">
        <v>119</v>
      </c>
      <c r="C389" s="600" t="s">
        <v>61</v>
      </c>
      <c r="D389" s="584"/>
      <c r="E389" s="510"/>
      <c r="F389" s="532">
        <f>+INDEX('[7]Budget original'!$A$2:$AO$501,MATCH($A389,'[7]Budget original'!$A$2:$A$501,0),MATCH(F$2,'[7]Budget original'!$A$2:$AO$2,0))</f>
        <v>0</v>
      </c>
      <c r="G389" s="585"/>
      <c r="H389" s="510"/>
      <c r="I389" s="532"/>
      <c r="J389" s="531"/>
      <c r="K389" s="510"/>
      <c r="L389" s="534">
        <f>-SUMIFS([7]BV_Data_An_Cour!$O:$O,[7]BV_Data_An_Cour!$U:$U,$B389,[7]BV_Data_An_Cour!$V:$V,$C389,[7]BV_Data_An_Cour!$W:$W,$L$2)</f>
        <v>0</v>
      </c>
      <c r="M389" s="531"/>
      <c r="N389" s="557"/>
      <c r="O389" s="531"/>
      <c r="P389" s="510"/>
      <c r="Q389" s="534">
        <f t="array" ref="Q389">+INDEX('[7]Réel 2023'!$A$2:$AO$501,MATCH($A389,'[7]Réel 2023'!$A$2:$A$501,0),MATCH(Q$2,'[7]Réel 2023'!$A$2:$AO$2,0))</f>
        <v>0</v>
      </c>
      <c r="R389" s="531"/>
      <c r="S389" s="557">
        <f t="shared" si="74"/>
        <v>0</v>
      </c>
      <c r="T389" s="507"/>
      <c r="U389" s="507"/>
      <c r="V389" s="510"/>
      <c r="W389" s="507"/>
      <c r="X389" s="507"/>
      <c r="Y389" s="507"/>
      <c r="Z389" s="507"/>
      <c r="AA389" s="507"/>
      <c r="AB389" s="507"/>
      <c r="AC389" s="507"/>
      <c r="AD389" s="507"/>
      <c r="AE389" s="507"/>
      <c r="AF389" s="507"/>
      <c r="AG389" s="507"/>
      <c r="AH389" s="507"/>
      <c r="AI389" s="507"/>
      <c r="AJ389" s="507"/>
      <c r="AK389" s="507"/>
      <c r="AL389" s="507"/>
      <c r="AM389" s="507"/>
      <c r="AN389" s="507"/>
    </row>
    <row r="390" spans="1:40" ht="20.25" hidden="1" customHeight="1">
      <c r="A390" s="523" t="s">
        <v>467</v>
      </c>
      <c r="B390" s="510" t="s">
        <v>119</v>
      </c>
      <c r="C390" s="600" t="s">
        <v>62</v>
      </c>
      <c r="D390" s="584"/>
      <c r="E390" s="510"/>
      <c r="F390" s="532">
        <f>+INDEX('[7]Budget original'!$A$2:$AO$501,MATCH($A390,'[7]Budget original'!$A$2:$A$501,0),MATCH(F$2,'[7]Budget original'!$A$2:$AO$2,0))</f>
        <v>0</v>
      </c>
      <c r="G390" s="585"/>
      <c r="H390" s="510"/>
      <c r="I390" s="532"/>
      <c r="J390" s="531"/>
      <c r="K390" s="510"/>
      <c r="L390" s="534">
        <f>-SUMIFS([7]BV_Data_An_Cour!$O:$O,[7]BV_Data_An_Cour!$U:$U,$B390,[7]BV_Data_An_Cour!$V:$V,$C390,[7]BV_Data_An_Cour!$W:$W,$L$2)</f>
        <v>0</v>
      </c>
      <c r="M390" s="531"/>
      <c r="N390" s="557"/>
      <c r="O390" s="531"/>
      <c r="P390" s="510"/>
      <c r="Q390" s="534">
        <f t="array" ref="Q390">+INDEX('[7]Réel 2023'!$A$2:$AO$501,MATCH($A390,'[7]Réel 2023'!$A$2:$A$501,0),MATCH(Q$2,'[7]Réel 2023'!$A$2:$AO$2,0))</f>
        <v>0</v>
      </c>
      <c r="R390" s="531"/>
      <c r="S390" s="557">
        <f t="shared" si="74"/>
        <v>0</v>
      </c>
      <c r="T390" s="507"/>
      <c r="U390" s="507"/>
      <c r="V390" s="510"/>
      <c r="W390" s="507"/>
      <c r="X390" s="507"/>
      <c r="Y390" s="507"/>
      <c r="Z390" s="507"/>
      <c r="AA390" s="507"/>
      <c r="AB390" s="507"/>
      <c r="AC390" s="507"/>
      <c r="AD390" s="507"/>
      <c r="AE390" s="507"/>
      <c r="AF390" s="507"/>
      <c r="AG390" s="507"/>
      <c r="AH390" s="507"/>
      <c r="AI390" s="507"/>
      <c r="AJ390" s="507"/>
      <c r="AK390" s="507"/>
      <c r="AL390" s="507"/>
      <c r="AM390" s="507"/>
      <c r="AN390" s="507"/>
    </row>
    <row r="391" spans="1:40" ht="20.25" hidden="1" customHeight="1">
      <c r="A391" s="523" t="s">
        <v>468</v>
      </c>
      <c r="B391" s="510" t="s">
        <v>119</v>
      </c>
      <c r="C391" s="600" t="s">
        <v>63</v>
      </c>
      <c r="D391" s="584"/>
      <c r="E391" s="510"/>
      <c r="F391" s="532">
        <f>+INDEX('[7]Budget original'!$A$2:$AO$501,MATCH($A391,'[7]Budget original'!$A$2:$A$501,0),MATCH(F$2,'[7]Budget original'!$A$2:$AO$2,0))</f>
        <v>0</v>
      </c>
      <c r="G391" s="585"/>
      <c r="H391" s="510"/>
      <c r="I391" s="532"/>
      <c r="J391" s="531"/>
      <c r="K391" s="510"/>
      <c r="L391" s="534">
        <f>-SUMIFS([7]BV_Data_An_Cour!$O:$O,[7]BV_Data_An_Cour!$U:$U,$B391,[7]BV_Data_An_Cour!$V:$V,$C391,[7]BV_Data_An_Cour!$W:$W,$L$2)</f>
        <v>0</v>
      </c>
      <c r="M391" s="531"/>
      <c r="N391" s="557"/>
      <c r="O391" s="531"/>
      <c r="P391" s="510"/>
      <c r="Q391" s="534">
        <f t="array" ref="Q391">+INDEX('[7]Réel 2023'!$A$2:$AO$501,MATCH($A391,'[7]Réel 2023'!$A$2:$A$501,0),MATCH(Q$2,'[7]Réel 2023'!$A$2:$AO$2,0))</f>
        <v>0</v>
      </c>
      <c r="R391" s="531"/>
      <c r="S391" s="557">
        <f t="shared" si="74"/>
        <v>0</v>
      </c>
      <c r="T391" s="507"/>
      <c r="U391" s="507"/>
      <c r="V391" s="510"/>
      <c r="W391" s="507"/>
      <c r="X391" s="507"/>
      <c r="Y391" s="507"/>
      <c r="Z391" s="507"/>
      <c r="AA391" s="507"/>
      <c r="AB391" s="507"/>
      <c r="AC391" s="507"/>
      <c r="AD391" s="507"/>
      <c r="AE391" s="507"/>
      <c r="AF391" s="507"/>
      <c r="AG391" s="507"/>
      <c r="AH391" s="507"/>
      <c r="AI391" s="507"/>
      <c r="AJ391" s="507"/>
      <c r="AK391" s="507"/>
      <c r="AL391" s="507"/>
      <c r="AM391" s="507"/>
      <c r="AN391" s="507"/>
    </row>
    <row r="392" spans="1:40" ht="15.75" hidden="1" customHeight="1">
      <c r="A392" s="523" t="s">
        <v>449</v>
      </c>
      <c r="B392" s="510" t="s">
        <v>119</v>
      </c>
      <c r="C392" s="600" t="s">
        <v>20</v>
      </c>
      <c r="D392" s="584"/>
      <c r="E392" s="510"/>
      <c r="F392" s="532">
        <f>+INDEX('[7]Budget original'!$A$2:$AO$501,MATCH($A392,'[7]Budget original'!$A$2:$A$501,0),MATCH(F$2,'[7]Budget original'!$A$2:$AO$2,0))</f>
        <v>0</v>
      </c>
      <c r="G392" s="585"/>
      <c r="H392" s="510"/>
      <c r="I392" s="532"/>
      <c r="J392" s="531"/>
      <c r="K392" s="510"/>
      <c r="L392" s="534">
        <f>-SUMIFS([7]BV_Data_An_Cour!$O:$O,[7]BV_Data_An_Cour!$U:$U,$B392,[7]BV_Data_An_Cour!$V:$V,$C392,[7]BV_Data_An_Cour!$W:$W,$L$2)</f>
        <v>0</v>
      </c>
      <c r="M392" s="531"/>
      <c r="N392" s="557"/>
      <c r="O392" s="531"/>
      <c r="P392" s="510"/>
      <c r="Q392" s="534">
        <f t="array" ref="Q392">+INDEX('[7]Réel 2023'!$A$2:$AO$501,MATCH($A392,'[7]Réel 2023'!$A$2:$A$501,0),MATCH(Q$2,'[7]Réel 2023'!$A$2:$AO$2,0))</f>
        <v>0</v>
      </c>
      <c r="R392" s="531"/>
      <c r="S392" s="557">
        <f t="shared" si="74"/>
        <v>0</v>
      </c>
      <c r="T392" s="507"/>
      <c r="U392" s="507"/>
      <c r="V392" s="510"/>
      <c r="W392" s="507"/>
      <c r="X392" s="507"/>
      <c r="Y392" s="507"/>
      <c r="Z392" s="507"/>
      <c r="AA392" s="507"/>
      <c r="AB392" s="507"/>
      <c r="AC392" s="507"/>
      <c r="AD392" s="507"/>
      <c r="AE392" s="507"/>
      <c r="AF392" s="507"/>
      <c r="AG392" s="507"/>
      <c r="AH392" s="507"/>
      <c r="AI392" s="507"/>
      <c r="AJ392" s="507"/>
      <c r="AK392" s="507"/>
      <c r="AL392" s="507"/>
      <c r="AM392" s="507"/>
      <c r="AN392" s="507"/>
    </row>
    <row r="393" spans="1:40" ht="15.75" hidden="1" customHeight="1">
      <c r="A393" s="523" t="s">
        <v>449</v>
      </c>
      <c r="B393" s="510" t="s">
        <v>119</v>
      </c>
      <c r="C393" s="600" t="s">
        <v>20</v>
      </c>
      <c r="D393" s="584"/>
      <c r="E393" s="510"/>
      <c r="F393" s="532">
        <f>+INDEX('[7]Budget original'!$A$2:$AO$501,MATCH($A393,'[7]Budget original'!$A$2:$A$501,0),MATCH(F$2,'[7]Budget original'!$A$2:$AO$2,0))</f>
        <v>0</v>
      </c>
      <c r="G393" s="585"/>
      <c r="H393" s="510"/>
      <c r="I393" s="532"/>
      <c r="J393" s="531"/>
      <c r="K393" s="510"/>
      <c r="L393" s="534">
        <f>-SUMIFS([7]BV_Data_An_Cour!$O:$O,[7]BV_Data_An_Cour!$U:$U,$B393,[7]BV_Data_An_Cour!$V:$V,$C393,[7]BV_Data_An_Cour!$W:$W,$L$2)</f>
        <v>0</v>
      </c>
      <c r="M393" s="531"/>
      <c r="N393" s="557"/>
      <c r="O393" s="531"/>
      <c r="P393" s="510"/>
      <c r="Q393" s="534">
        <f t="array" ref="Q393">+INDEX('[7]Réel 2023'!$A$2:$AO$501,MATCH($A393,'[7]Réel 2023'!$A$2:$A$501,0),MATCH(Q$2,'[7]Réel 2023'!$A$2:$AO$2,0))</f>
        <v>0</v>
      </c>
      <c r="R393" s="531"/>
      <c r="S393" s="557">
        <f t="shared" si="74"/>
        <v>0</v>
      </c>
      <c r="T393" s="507"/>
      <c r="U393" s="507"/>
      <c r="V393" s="510"/>
      <c r="W393" s="507"/>
      <c r="X393" s="507"/>
      <c r="Y393" s="507"/>
      <c r="Z393" s="507"/>
      <c r="AA393" s="507"/>
      <c r="AB393" s="507"/>
      <c r="AC393" s="507"/>
      <c r="AD393" s="507"/>
      <c r="AE393" s="507"/>
      <c r="AF393" s="507"/>
      <c r="AG393" s="507"/>
      <c r="AH393" s="507"/>
      <c r="AI393" s="507"/>
      <c r="AJ393" s="507"/>
      <c r="AK393" s="507"/>
      <c r="AL393" s="507"/>
      <c r="AM393" s="507"/>
      <c r="AN393" s="507"/>
    </row>
    <row r="394" spans="1:40" ht="15.75" hidden="1" customHeight="1">
      <c r="A394" s="523" t="s">
        <v>449</v>
      </c>
      <c r="B394" s="510" t="s">
        <v>119</v>
      </c>
      <c r="C394" s="600" t="s">
        <v>20</v>
      </c>
      <c r="D394" s="587"/>
      <c r="E394" s="607"/>
      <c r="F394" s="532">
        <f>+INDEX('[7]Budget original'!$A$2:$AO$501,MATCH($A394,'[7]Budget original'!$A$2:$A$501,0),MATCH(F$2,'[7]Budget original'!$A$2:$AO$2,0))</f>
        <v>0</v>
      </c>
      <c r="G394" s="588"/>
      <c r="H394" s="607"/>
      <c r="I394" s="532"/>
      <c r="J394" s="524"/>
      <c r="K394" s="607"/>
      <c r="L394" s="534">
        <f>-SUMIFS([7]BV_Data_An_Cour!$O:$O,[7]BV_Data_An_Cour!$U:$U,$B394,[7]BV_Data_An_Cour!$V:$V,$C394,[7]BV_Data_An_Cour!$W:$W,$L$2)</f>
        <v>0</v>
      </c>
      <c r="M394" s="524"/>
      <c r="N394" s="582"/>
      <c r="O394" s="524"/>
      <c r="P394" s="607"/>
      <c r="Q394" s="534">
        <f t="array" ref="Q394">+INDEX('[7]Réel 2023'!$A$2:$AO$501,MATCH($A394,'[7]Réel 2023'!$A$2:$A$501,0),MATCH(Q$2,'[7]Réel 2023'!$A$2:$AO$2,0))</f>
        <v>0</v>
      </c>
      <c r="R394" s="524"/>
      <c r="S394" s="582">
        <f t="shared" si="74"/>
        <v>0</v>
      </c>
      <c r="T394" s="507"/>
      <c r="U394" s="507"/>
      <c r="V394" s="510"/>
      <c r="W394" s="507"/>
      <c r="X394" s="507"/>
      <c r="Y394" s="507"/>
      <c r="Z394" s="507"/>
      <c r="AA394" s="507"/>
      <c r="AB394" s="507"/>
      <c r="AC394" s="507"/>
      <c r="AD394" s="507"/>
      <c r="AE394" s="507"/>
      <c r="AF394" s="507"/>
      <c r="AG394" s="507"/>
      <c r="AH394" s="507"/>
      <c r="AI394" s="507"/>
      <c r="AJ394" s="507"/>
      <c r="AK394" s="507"/>
      <c r="AL394" s="507"/>
      <c r="AM394" s="507"/>
      <c r="AN394" s="507"/>
    </row>
    <row r="395" spans="1:40" ht="15.75" hidden="1" customHeight="1">
      <c r="B395" s="504"/>
      <c r="C395" s="592" t="s">
        <v>64</v>
      </c>
      <c r="D395" s="593" t="s">
        <v>39</v>
      </c>
      <c r="E395" s="594">
        <f>IFERROR(F395/F$360,0)</f>
        <v>0</v>
      </c>
      <c r="F395" s="595">
        <f>+SUM(F378:F394)</f>
        <v>0</v>
      </c>
      <c r="G395" s="596"/>
      <c r="H395" s="594"/>
      <c r="I395" s="595"/>
      <c r="J395" s="596" t="s">
        <v>39</v>
      </c>
      <c r="K395" s="594">
        <f>IFERROR(L395/L$360,0)</f>
        <v>0</v>
      </c>
      <c r="L395" s="595">
        <f>+SUM(L378:L394)</f>
        <v>0</v>
      </c>
      <c r="M395" s="650"/>
      <c r="N395" s="595"/>
      <c r="O395" s="596" t="s">
        <v>39</v>
      </c>
      <c r="P395" s="594">
        <f>IFERROR(Q395/Q$360,0)</f>
        <v>0</v>
      </c>
      <c r="Q395" s="595">
        <f>+SUM(Q378:Q394)</f>
        <v>0</v>
      </c>
      <c r="R395" s="650"/>
      <c r="S395" s="609">
        <f>+SUM(S378:S394)</f>
        <v>0</v>
      </c>
      <c r="T395" s="507"/>
      <c r="U395" s="507"/>
      <c r="V395" s="510"/>
      <c r="W395" s="507"/>
      <c r="X395" s="507"/>
      <c r="Y395" s="507"/>
      <c r="Z395" s="507"/>
      <c r="AA395" s="507"/>
      <c r="AB395" s="507"/>
      <c r="AC395" s="507"/>
      <c r="AD395" s="507"/>
      <c r="AE395" s="507"/>
      <c r="AF395" s="507"/>
      <c r="AG395" s="507"/>
      <c r="AH395" s="507"/>
      <c r="AI395" s="507"/>
      <c r="AJ395" s="507"/>
      <c r="AK395" s="507"/>
      <c r="AL395" s="507"/>
      <c r="AM395" s="507"/>
      <c r="AN395" s="507"/>
    </row>
    <row r="396" spans="1:40" ht="15.75" hidden="1" customHeight="1">
      <c r="B396" s="504"/>
      <c r="C396" s="531"/>
      <c r="D396" s="510"/>
      <c r="E396" s="510"/>
      <c r="F396" s="541"/>
      <c r="G396" s="531"/>
      <c r="H396" s="510"/>
      <c r="I396" s="541"/>
      <c r="J396" s="531"/>
      <c r="K396" s="510"/>
      <c r="L396" s="541"/>
      <c r="M396" s="550"/>
      <c r="N396" s="572"/>
      <c r="O396" s="531"/>
      <c r="P396" s="510"/>
      <c r="Q396" s="541"/>
      <c r="R396" s="531"/>
      <c r="S396" s="572"/>
      <c r="T396" s="507"/>
      <c r="U396" s="507"/>
      <c r="V396" s="510"/>
      <c r="W396" s="507"/>
      <c r="X396" s="507"/>
      <c r="Y396" s="507"/>
      <c r="Z396" s="507"/>
      <c r="AA396" s="507"/>
      <c r="AB396" s="507"/>
      <c r="AC396" s="507"/>
      <c r="AD396" s="507"/>
      <c r="AE396" s="507"/>
      <c r="AF396" s="507"/>
      <c r="AG396" s="507"/>
      <c r="AH396" s="507"/>
      <c r="AI396" s="507"/>
      <c r="AJ396" s="507"/>
      <c r="AK396" s="507"/>
      <c r="AL396" s="507"/>
      <c r="AM396" s="507"/>
      <c r="AN396" s="507"/>
    </row>
    <row r="397" spans="1:40" ht="15.75" hidden="1" customHeight="1">
      <c r="B397" s="504"/>
      <c r="C397" s="592" t="s">
        <v>65</v>
      </c>
      <c r="D397" s="593" t="s">
        <v>39</v>
      </c>
      <c r="E397" s="594">
        <f>IFERROR(F397/F$360,0)</f>
        <v>0</v>
      </c>
      <c r="F397" s="595">
        <f>F377+F395</f>
        <v>0</v>
      </c>
      <c r="G397" s="596"/>
      <c r="H397" s="594"/>
      <c r="I397" s="595"/>
      <c r="J397" s="596" t="s">
        <v>39</v>
      </c>
      <c r="K397" s="594">
        <f>IFERROR(L397/L$360,0)</f>
        <v>0</v>
      </c>
      <c r="L397" s="595">
        <f>L377+L395</f>
        <v>0</v>
      </c>
      <c r="M397" s="592"/>
      <c r="N397" s="595"/>
      <c r="O397" s="596" t="s">
        <v>39</v>
      </c>
      <c r="P397" s="594">
        <f>IFERROR(Q397/Q$360,0)</f>
        <v>0</v>
      </c>
      <c r="Q397" s="595">
        <f>Q377+Q395</f>
        <v>0</v>
      </c>
      <c r="R397" s="599"/>
      <c r="S397" s="595">
        <f>L397-Q397</f>
        <v>0</v>
      </c>
      <c r="T397" s="507"/>
      <c r="U397" s="507"/>
      <c r="V397" s="510"/>
      <c r="W397" s="507"/>
      <c r="X397" s="507"/>
      <c r="Y397" s="507"/>
      <c r="Z397" s="507"/>
      <c r="AA397" s="507"/>
      <c r="AB397" s="507"/>
      <c r="AC397" s="507"/>
      <c r="AD397" s="507"/>
      <c r="AE397" s="507"/>
      <c r="AF397" s="507"/>
      <c r="AG397" s="507"/>
      <c r="AH397" s="507"/>
      <c r="AI397" s="507"/>
      <c r="AJ397" s="507"/>
      <c r="AK397" s="507"/>
      <c r="AL397" s="507"/>
      <c r="AM397" s="507"/>
      <c r="AN397" s="507"/>
    </row>
    <row r="398" spans="1:40" ht="15.75" hidden="1" customHeight="1">
      <c r="B398" s="504"/>
      <c r="C398" s="531"/>
      <c r="D398" s="510"/>
      <c r="E398" s="510"/>
      <c r="F398" s="557"/>
      <c r="G398" s="531"/>
      <c r="H398" s="510"/>
      <c r="I398" s="557"/>
      <c r="J398" s="531"/>
      <c r="K398" s="510"/>
      <c r="L398" s="557"/>
      <c r="M398" s="550"/>
      <c r="N398" s="572"/>
      <c r="O398" s="531"/>
      <c r="P398" s="510"/>
      <c r="Q398" s="557"/>
      <c r="R398" s="531"/>
      <c r="S398" s="572"/>
      <c r="T398" s="507"/>
      <c r="U398" s="507"/>
      <c r="V398" s="510"/>
      <c r="W398" s="507"/>
      <c r="X398" s="507"/>
      <c r="Y398" s="507"/>
      <c r="Z398" s="507"/>
      <c r="AA398" s="507"/>
      <c r="AB398" s="507"/>
      <c r="AC398" s="507"/>
      <c r="AD398" s="507"/>
      <c r="AE398" s="507"/>
      <c r="AF398" s="507"/>
      <c r="AG398" s="507"/>
      <c r="AH398" s="507"/>
      <c r="AI398" s="507"/>
      <c r="AJ398" s="507"/>
      <c r="AK398" s="507"/>
      <c r="AL398" s="507"/>
      <c r="AM398" s="507"/>
      <c r="AN398" s="507"/>
    </row>
    <row r="399" spans="1:40" ht="15.75" hidden="1" customHeight="1">
      <c r="B399" s="504"/>
      <c r="C399" s="730" t="s">
        <v>72</v>
      </c>
      <c r="D399" s="731"/>
      <c r="E399" s="731"/>
      <c r="F399" s="732">
        <f>F362-F397</f>
        <v>0</v>
      </c>
      <c r="G399" s="730"/>
      <c r="H399" s="731"/>
      <c r="I399" s="732"/>
      <c r="J399" s="733"/>
      <c r="K399" s="734"/>
      <c r="L399" s="732">
        <f>L362-L397</f>
        <v>0</v>
      </c>
      <c r="M399" s="730"/>
      <c r="N399" s="732"/>
      <c r="O399" s="733"/>
      <c r="P399" s="734"/>
      <c r="Q399" s="732">
        <f>Q362-Q397</f>
        <v>0</v>
      </c>
      <c r="R399" s="733"/>
      <c r="S399" s="732">
        <f>L399-Q399</f>
        <v>0</v>
      </c>
      <c r="T399" s="507"/>
      <c r="U399" s="507"/>
      <c r="V399" s="510"/>
      <c r="W399" s="507"/>
      <c r="X399" s="507"/>
      <c r="Y399" s="507"/>
      <c r="Z399" s="507"/>
      <c r="AA399" s="507"/>
      <c r="AB399" s="507"/>
      <c r="AC399" s="507"/>
      <c r="AD399" s="507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</row>
    <row r="400" spans="1:40" ht="15.75" customHeight="1">
      <c r="B400" s="504"/>
      <c r="C400" s="571"/>
      <c r="D400" s="735"/>
      <c r="E400" s="510"/>
      <c r="F400" s="608">
        <f>F353+F233</f>
        <v>201082.50680723955</v>
      </c>
      <c r="G400" s="584"/>
      <c r="H400" s="510"/>
      <c r="I400" s="608"/>
      <c r="J400" s="735"/>
      <c r="K400" s="571"/>
      <c r="L400" s="608">
        <f>L353+L233</f>
        <v>205921.18000000005</v>
      </c>
      <c r="M400" s="571"/>
      <c r="N400" s="608"/>
      <c r="O400" s="571"/>
      <c r="P400" s="571"/>
      <c r="Q400" s="608"/>
      <c r="R400" s="571"/>
      <c r="S400" s="608"/>
      <c r="T400" s="510"/>
      <c r="U400" s="510"/>
      <c r="V400" s="510"/>
      <c r="W400" s="510"/>
      <c r="X400" s="510"/>
      <c r="Y400" s="510"/>
      <c r="Z400" s="510"/>
      <c r="AA400" s="510"/>
      <c r="AB400" s="510"/>
      <c r="AC400" s="510"/>
      <c r="AD400" s="510"/>
      <c r="AE400" s="510"/>
      <c r="AF400" s="510"/>
      <c r="AG400" s="510"/>
      <c r="AH400" s="510"/>
      <c r="AI400" s="510"/>
      <c r="AJ400" s="510"/>
      <c r="AK400" s="510"/>
      <c r="AL400" s="510"/>
      <c r="AM400" s="510"/>
      <c r="AN400" s="510"/>
    </row>
    <row r="401" spans="1:61" ht="15.75" customHeight="1">
      <c r="B401" s="504"/>
      <c r="F401" s="736"/>
      <c r="L401" s="736"/>
      <c r="V401" s="510"/>
      <c r="W401" s="507"/>
      <c r="X401" s="507"/>
      <c r="Y401" s="507"/>
      <c r="Z401" s="507"/>
      <c r="AA401" s="507"/>
      <c r="AB401" s="507"/>
      <c r="AC401" s="507"/>
      <c r="AD401" s="507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</row>
    <row r="402" spans="1:61" ht="35.4">
      <c r="B402" s="504"/>
      <c r="C402" s="737" t="s">
        <v>227</v>
      </c>
      <c r="F402" s="736"/>
      <c r="L402" s="736"/>
      <c r="V402" s="738" t="str">
        <f>C1</f>
        <v>Volks</v>
      </c>
      <c r="W402" s="496"/>
      <c r="X402" s="496"/>
      <c r="Y402" s="496"/>
      <c r="Z402" s="496"/>
      <c r="AA402" s="496"/>
      <c r="AB402" s="496"/>
      <c r="AC402" s="496"/>
      <c r="AD402" s="496"/>
      <c r="AE402" s="498" t="s">
        <v>477</v>
      </c>
      <c r="AF402" s="496"/>
      <c r="AG402" s="496"/>
      <c r="AH402" s="496"/>
      <c r="AI402" s="496"/>
      <c r="AJ402" s="739"/>
      <c r="AK402" s="498"/>
      <c r="AL402" s="496"/>
      <c r="AM402" s="496"/>
      <c r="AN402" s="496"/>
      <c r="AO402" s="739" t="str">
        <f>$S$1</f>
        <v>Réalisé, Novembre 2024</v>
      </c>
      <c r="AP402" s="507"/>
      <c r="AQ402" s="507"/>
      <c r="AR402" s="507"/>
      <c r="AS402" s="507"/>
      <c r="AT402" s="507"/>
      <c r="AU402" s="507"/>
      <c r="AV402" s="507"/>
      <c r="AW402" s="507"/>
      <c r="AX402" s="507"/>
      <c r="AY402" s="507"/>
      <c r="AZ402" s="507"/>
      <c r="BA402" s="507"/>
      <c r="BB402" s="507"/>
      <c r="BC402" s="507"/>
      <c r="BD402" s="507"/>
      <c r="BE402" s="507"/>
      <c r="BF402" s="507"/>
      <c r="BG402" s="507"/>
      <c r="BH402" s="507"/>
      <c r="BI402" s="507"/>
    </row>
    <row r="403" spans="1:61" ht="15.75" customHeight="1" thickBot="1">
      <c r="B403" s="504"/>
      <c r="C403" s="737" t="s">
        <v>227</v>
      </c>
      <c r="V403" s="740"/>
      <c r="W403" s="506"/>
      <c r="X403" s="506"/>
      <c r="Y403" s="506"/>
      <c r="Z403" s="506"/>
      <c r="AA403" s="506"/>
      <c r="AB403" s="506"/>
      <c r="AC403" s="506"/>
      <c r="AD403" s="506"/>
      <c r="AE403" s="506"/>
      <c r="AF403" s="506"/>
      <c r="AG403" s="506"/>
      <c r="AH403" s="506"/>
      <c r="AI403" s="506"/>
      <c r="AJ403" s="506"/>
      <c r="AK403" s="506"/>
      <c r="AL403" s="507"/>
      <c r="AM403" s="507"/>
      <c r="AN403" s="507"/>
      <c r="AO403" s="507"/>
      <c r="AP403" s="507"/>
      <c r="AQ403" s="507"/>
      <c r="AR403" s="507"/>
      <c r="AS403" s="507"/>
      <c r="AT403" s="507"/>
      <c r="AU403" s="507"/>
      <c r="AV403" s="507"/>
      <c r="AW403" s="507"/>
      <c r="AX403" s="507"/>
      <c r="AY403" s="507"/>
      <c r="AZ403" s="507"/>
      <c r="BA403" s="507"/>
      <c r="BB403" s="507"/>
      <c r="BC403" s="507"/>
      <c r="BD403" s="507"/>
      <c r="BE403" s="507"/>
      <c r="BF403" s="507"/>
      <c r="BG403" s="507"/>
      <c r="BH403" s="507"/>
      <c r="BI403" s="507"/>
    </row>
    <row r="404" spans="1:61" ht="15.75" customHeight="1" thickTop="1" thickBot="1">
      <c r="A404" s="523" t="s">
        <v>469</v>
      </c>
      <c r="B404" s="504"/>
      <c r="C404" s="737" t="s">
        <v>227</v>
      </c>
      <c r="V404" s="741"/>
      <c r="W404" s="742"/>
      <c r="X404" s="743" t="s">
        <v>122</v>
      </c>
      <c r="Y404" s="744"/>
      <c r="Z404" s="745"/>
      <c r="AA404" s="746"/>
      <c r="AB404" s="744"/>
      <c r="AC404" s="745"/>
      <c r="AD404" s="746" t="s">
        <v>7</v>
      </c>
      <c r="AE404" s="744"/>
      <c r="AF404" s="745"/>
      <c r="AG404" s="746" t="s">
        <v>220</v>
      </c>
      <c r="AH404" s="744"/>
      <c r="AI404" s="745"/>
      <c r="AJ404" s="746" t="s">
        <v>123</v>
      </c>
      <c r="AK404" s="744"/>
      <c r="AL404" s="744"/>
      <c r="AM404" s="746" t="s">
        <v>124</v>
      </c>
      <c r="AN404" s="744"/>
      <c r="AO404" s="747"/>
      <c r="AP404" s="507"/>
      <c r="AQ404" s="507"/>
      <c r="AR404" s="507"/>
      <c r="AS404" s="507"/>
      <c r="AT404" s="507"/>
      <c r="AU404" s="507"/>
      <c r="AV404" s="507"/>
      <c r="AW404" s="507"/>
      <c r="AX404" s="507"/>
      <c r="AY404" s="507"/>
      <c r="AZ404" s="507"/>
      <c r="BA404" s="507"/>
      <c r="BB404" s="507"/>
      <c r="BC404" s="507"/>
      <c r="BD404" s="507"/>
      <c r="BE404" s="507"/>
      <c r="BF404" s="507"/>
      <c r="BG404" s="507"/>
      <c r="BH404" s="507"/>
      <c r="BI404" s="507"/>
    </row>
    <row r="405" spans="1:61" ht="15.75" customHeight="1">
      <c r="A405" s="523" t="s">
        <v>469</v>
      </c>
      <c r="B405" s="504"/>
      <c r="C405" s="737" t="s">
        <v>227</v>
      </c>
      <c r="V405" s="524"/>
      <c r="W405" s="701" t="s">
        <v>125</v>
      </c>
      <c r="X405" s="701" t="s">
        <v>126</v>
      </c>
      <c r="Y405" s="701" t="s">
        <v>127</v>
      </c>
      <c r="Z405" s="748" t="s">
        <v>128</v>
      </c>
      <c r="AA405" s="701"/>
      <c r="AB405" s="701"/>
      <c r="AC405" s="748"/>
      <c r="AD405" s="749" t="s">
        <v>126</v>
      </c>
      <c r="AE405" s="701" t="s">
        <v>127</v>
      </c>
      <c r="AF405" s="701" t="s">
        <v>128</v>
      </c>
      <c r="AG405" s="749" t="s">
        <v>129</v>
      </c>
      <c r="AH405" s="701" t="s">
        <v>130</v>
      </c>
      <c r="AI405" s="701" t="s">
        <v>131</v>
      </c>
      <c r="AJ405" s="749" t="s">
        <v>126</v>
      </c>
      <c r="AK405" s="701" t="s">
        <v>127</v>
      </c>
      <c r="AL405" s="701" t="s">
        <v>128</v>
      </c>
      <c r="AM405" s="750" t="s">
        <v>129</v>
      </c>
      <c r="AN405" s="701" t="s">
        <v>130</v>
      </c>
      <c r="AO405" s="638" t="s">
        <v>131</v>
      </c>
      <c r="AP405" s="507"/>
      <c r="AQ405" s="507"/>
      <c r="AR405" s="507"/>
      <c r="AS405" s="507"/>
      <c r="AT405" s="507"/>
      <c r="AU405" s="507"/>
      <c r="AV405" s="507"/>
      <c r="AW405" s="507"/>
      <c r="AX405" s="507"/>
      <c r="AY405" s="507"/>
      <c r="AZ405" s="507"/>
      <c r="BA405" s="507"/>
      <c r="BB405" s="507"/>
      <c r="BC405" s="507"/>
      <c r="BD405" s="507"/>
      <c r="BE405" s="507"/>
      <c r="BF405" s="507"/>
      <c r="BG405" s="507"/>
      <c r="BH405" s="507"/>
      <c r="BI405" s="507"/>
    </row>
    <row r="406" spans="1:61" ht="15.75" customHeight="1">
      <c r="A406" s="523" t="s">
        <v>15</v>
      </c>
      <c r="B406" s="504"/>
      <c r="C406" s="737" t="s">
        <v>227</v>
      </c>
      <c r="V406" s="602" t="s">
        <v>15</v>
      </c>
      <c r="W406" s="751"/>
      <c r="X406" s="751"/>
      <c r="Y406" s="751"/>
      <c r="Z406" s="752">
        <f>F5+F93+E194+E250+D314+D362</f>
        <v>6329043.3217466474</v>
      </c>
      <c r="AA406" s="751"/>
      <c r="AB406" s="751"/>
      <c r="AC406" s="752"/>
      <c r="AD406" s="753"/>
      <c r="AE406" s="754"/>
      <c r="AF406" s="754">
        <f>L5+L93+K194+K250+J314+J362</f>
        <v>4218159.419999999</v>
      </c>
      <c r="AG406" s="753"/>
      <c r="AH406" s="754"/>
      <c r="AI406" s="755"/>
      <c r="AJ406" s="753"/>
      <c r="AK406" s="754"/>
      <c r="AL406" s="754">
        <f>Q5+Q93+P194+P250+O314+O362</f>
        <v>12335062.559999999</v>
      </c>
      <c r="AM406" s="756"/>
      <c r="AN406" s="754"/>
      <c r="AO406" s="757"/>
      <c r="AP406" s="507"/>
      <c r="AQ406" s="507"/>
      <c r="AR406" s="507"/>
      <c r="AS406" s="507"/>
      <c r="AT406" s="507"/>
      <c r="AU406" s="507"/>
      <c r="AV406" s="507"/>
      <c r="AW406" s="507"/>
      <c r="AX406" s="507"/>
      <c r="AY406" s="507"/>
      <c r="AZ406" s="507"/>
      <c r="BA406" s="507"/>
      <c r="BB406" s="507"/>
      <c r="BC406" s="507"/>
      <c r="BD406" s="507"/>
      <c r="BE406" s="507"/>
      <c r="BF406" s="507"/>
      <c r="BG406" s="507"/>
      <c r="BH406" s="507"/>
      <c r="BI406" s="507"/>
    </row>
    <row r="407" spans="1:61" ht="15.75" customHeight="1">
      <c r="A407" s="523" t="s">
        <v>132</v>
      </c>
      <c r="B407" s="504"/>
      <c r="C407" s="737" t="s">
        <v>227</v>
      </c>
      <c r="V407" s="758" t="s">
        <v>132</v>
      </c>
      <c r="W407" s="759"/>
      <c r="X407" s="760">
        <f>Z407/Z406</f>
        <v>0.15575998719135739</v>
      </c>
      <c r="Y407" s="759"/>
      <c r="Z407" s="761">
        <f>F27+F108+F194+F250+F314+F362</f>
        <v>985811.70672880381</v>
      </c>
      <c r="AA407" s="759"/>
      <c r="AB407" s="759"/>
      <c r="AC407" s="761"/>
      <c r="AD407" s="760">
        <f>AF407/AF406</f>
        <v>0.17657891649813465</v>
      </c>
      <c r="AE407" s="762"/>
      <c r="AF407" s="761">
        <f>L27+L108+L194+L250+L314+L362</f>
        <v>744838.0199999999</v>
      </c>
      <c r="AG407" s="763"/>
      <c r="AH407" s="762">
        <f>AF407-Z407</f>
        <v>-240973.68672880391</v>
      </c>
      <c r="AI407" s="764">
        <f>AH407/Z407</f>
        <v>-0.24444190009512193</v>
      </c>
      <c r="AJ407" s="763">
        <f>+AL407/AL406</f>
        <v>6.6718504749926438E-2</v>
      </c>
      <c r="AK407" s="762"/>
      <c r="AL407" s="762">
        <f>Q27+Q108+Q194+Q250+Q314+Q362</f>
        <v>822976.9299999997</v>
      </c>
      <c r="AM407" s="765"/>
      <c r="AN407" s="762">
        <f>AF407-AL407</f>
        <v>-78138.9099999998</v>
      </c>
      <c r="AO407" s="766">
        <f>IF(AL407=0,0,AN407/AL407)</f>
        <v>-9.494665907585019E-2</v>
      </c>
      <c r="AP407" s="507"/>
      <c r="AQ407" s="507"/>
      <c r="AR407" s="507"/>
      <c r="AS407" s="507"/>
      <c r="AT407" s="507"/>
      <c r="AU407" s="507"/>
      <c r="AV407" s="507"/>
      <c r="AW407" s="507"/>
      <c r="AX407" s="507"/>
      <c r="AY407" s="507"/>
      <c r="AZ407" s="507"/>
      <c r="BA407" s="507"/>
      <c r="BB407" s="507"/>
      <c r="BC407" s="507"/>
      <c r="BD407" s="507"/>
      <c r="BE407" s="507"/>
      <c r="BF407" s="507"/>
      <c r="BG407" s="507"/>
      <c r="BH407" s="507"/>
      <c r="BI407" s="507"/>
    </row>
    <row r="408" spans="1:61" ht="15.75" customHeight="1">
      <c r="A408" s="523" t="s">
        <v>133</v>
      </c>
      <c r="B408" s="504"/>
      <c r="C408" s="737" t="s">
        <v>227</v>
      </c>
      <c r="V408" s="767" t="s">
        <v>133</v>
      </c>
      <c r="W408" s="768"/>
      <c r="X408" s="768"/>
      <c r="Y408" s="768"/>
      <c r="Z408" s="769"/>
      <c r="AA408" s="768"/>
      <c r="AB408" s="768"/>
      <c r="AC408" s="769"/>
      <c r="AD408" s="770"/>
      <c r="AE408" s="768"/>
      <c r="AF408" s="771"/>
      <c r="AG408" s="770"/>
      <c r="AH408" s="771"/>
      <c r="AI408" s="772"/>
      <c r="AJ408" s="770"/>
      <c r="AK408" s="768"/>
      <c r="AL408" s="771"/>
      <c r="AM408" s="773"/>
      <c r="AN408" s="771"/>
      <c r="AO408" s="774"/>
      <c r="AP408" s="507"/>
      <c r="AQ408" s="507"/>
      <c r="AR408" s="507"/>
      <c r="AS408" s="507"/>
      <c r="AT408" s="507"/>
      <c r="AU408" s="507"/>
      <c r="AV408" s="507"/>
      <c r="AW408" s="507"/>
      <c r="AX408" s="507"/>
      <c r="AY408" s="507"/>
      <c r="AZ408" s="507"/>
      <c r="BA408" s="507"/>
      <c r="BB408" s="507"/>
      <c r="BC408" s="507"/>
      <c r="BD408" s="507"/>
      <c r="BE408" s="507"/>
      <c r="BF408" s="507"/>
      <c r="BG408" s="507"/>
      <c r="BH408" s="507"/>
      <c r="BI408" s="507"/>
    </row>
    <row r="409" spans="1:61" ht="15.75" customHeight="1">
      <c r="A409" s="523" t="s">
        <v>31</v>
      </c>
      <c r="B409" s="504"/>
      <c r="C409" s="737" t="s">
        <v>227</v>
      </c>
      <c r="V409" s="600" t="s">
        <v>31</v>
      </c>
      <c r="W409" s="775" t="s">
        <v>134</v>
      </c>
      <c r="X409" s="768"/>
      <c r="Y409" s="776">
        <f t="shared" ref="Y409:Y418" si="75">Z409/(D$13+D$97)</f>
        <v>847.22584215849508</v>
      </c>
      <c r="Z409" s="769">
        <f t="shared" ref="Z409:Z415" si="76">+SUMIF($C:$C,$V409,F:F)</f>
        <v>83432.682871163212</v>
      </c>
      <c r="AA409" s="768"/>
      <c r="AB409" s="776"/>
      <c r="AC409" s="769"/>
      <c r="AD409" s="777"/>
      <c r="AE409" s="776">
        <f t="shared" ref="AE409:AE414" si="77">IF(AF409=0,0,AF409/(J$13+J$97))</f>
        <v>709.5101428571428</v>
      </c>
      <c r="AF409" s="769">
        <f t="shared" ref="AF409:AF415" si="78">+SUMIF($C:$C,$V409,L:L)</f>
        <v>49665.71</v>
      </c>
      <c r="AG409" s="770">
        <f t="shared" ref="AG409:AH424" si="79">AE409-Y409</f>
        <v>-137.71569930135229</v>
      </c>
      <c r="AH409" s="771">
        <f t="shared" si="79"/>
        <v>-33766.972871163212</v>
      </c>
      <c r="AI409" s="772">
        <f t="shared" ref="AI409:AI418" si="80">IF(Z409=0,0,AH409/Z409)</f>
        <v>-0.40472116812192399</v>
      </c>
      <c r="AJ409" s="778">
        <f t="shared" ref="AJ409:AJ415" si="81">AL409/AL$407</f>
        <v>6.4707427460937481E-2</v>
      </c>
      <c r="AK409" s="771">
        <f t="shared" ref="AK409:AK418" si="82">AL409/(O$13+O$97)</f>
        <v>488.55706422018352</v>
      </c>
      <c r="AL409" s="769">
        <f t="shared" ref="AL409:AL414" si="83">+SUMIF($C:$C,$V409,Q:Q)</f>
        <v>53252.72</v>
      </c>
      <c r="AM409" s="773">
        <f t="shared" ref="AM409:AM418" si="84">AE409-Y409</f>
        <v>-137.71569930135229</v>
      </c>
      <c r="AN409" s="771">
        <f t="shared" ref="AN409:AN431" si="85">AF409-AL409</f>
        <v>-3587.010000000002</v>
      </c>
      <c r="AO409" s="779">
        <f t="shared" ref="AO409:AO431" si="86">IF(AL409=0,0,AN409/AL409)</f>
        <v>-6.7358249494110387E-2</v>
      </c>
      <c r="AP409" s="507"/>
      <c r="AQ409" s="507"/>
      <c r="AR409" s="504"/>
      <c r="AS409" s="507"/>
      <c r="AT409" s="507"/>
      <c r="AU409" s="507"/>
      <c r="AV409" s="507"/>
      <c r="AW409" s="507"/>
      <c r="AX409" s="507"/>
      <c r="AY409" s="507"/>
      <c r="AZ409" s="507"/>
      <c r="BA409" s="507"/>
      <c r="BB409" s="507"/>
      <c r="BC409" s="507"/>
      <c r="BD409" s="507"/>
      <c r="BE409" s="507"/>
      <c r="BF409" s="507"/>
      <c r="BG409" s="507"/>
      <c r="BH409" s="507"/>
      <c r="BI409" s="507"/>
    </row>
    <row r="410" spans="1:61" ht="15.75" customHeight="1">
      <c r="A410" s="523" t="s">
        <v>32</v>
      </c>
      <c r="B410" s="504"/>
      <c r="C410" s="737" t="s">
        <v>227</v>
      </c>
      <c r="V410" s="602" t="s">
        <v>32</v>
      </c>
      <c r="W410" s="780" t="s">
        <v>135</v>
      </c>
      <c r="X410" s="751"/>
      <c r="Y410" s="781">
        <f t="shared" si="75"/>
        <v>510.20334594196635</v>
      </c>
      <c r="Z410" s="752">
        <f t="shared" si="76"/>
        <v>50243.55</v>
      </c>
      <c r="AA410" s="751"/>
      <c r="AB410" s="781"/>
      <c r="AC410" s="752"/>
      <c r="AD410" s="782"/>
      <c r="AE410" s="781">
        <f t="shared" si="77"/>
        <v>363.92214285714283</v>
      </c>
      <c r="AF410" s="752">
        <f t="shared" si="78"/>
        <v>25474.55</v>
      </c>
      <c r="AG410" s="753">
        <f t="shared" si="79"/>
        <v>-146.28120308482352</v>
      </c>
      <c r="AH410" s="754">
        <f t="shared" si="79"/>
        <v>-24769.000000000004</v>
      </c>
      <c r="AI410" s="783">
        <f t="shared" si="80"/>
        <v>-0.49297870074865335</v>
      </c>
      <c r="AJ410" s="784">
        <f t="shared" si="81"/>
        <v>4.4322822026128993E-2</v>
      </c>
      <c r="AK410" s="754">
        <f t="shared" si="82"/>
        <v>334.64825688073398</v>
      </c>
      <c r="AL410" s="752">
        <f t="shared" si="83"/>
        <v>36476.660000000003</v>
      </c>
      <c r="AM410" s="756">
        <f t="shared" si="84"/>
        <v>-146.28120308482352</v>
      </c>
      <c r="AN410" s="754">
        <f t="shared" si="85"/>
        <v>-11002.110000000004</v>
      </c>
      <c r="AO410" s="757">
        <f t="shared" si="86"/>
        <v>-0.30162054310893605</v>
      </c>
      <c r="AP410" s="507"/>
      <c r="AQ410" s="507"/>
      <c r="AR410" s="510"/>
      <c r="AS410" s="507"/>
      <c r="AT410" s="507"/>
      <c r="AU410" s="507"/>
      <c r="AV410" s="507"/>
      <c r="AW410" s="507"/>
      <c r="AX410" s="507"/>
      <c r="AY410" s="507"/>
      <c r="AZ410" s="507"/>
      <c r="BA410" s="507"/>
      <c r="BB410" s="507"/>
      <c r="BC410" s="507"/>
      <c r="BD410" s="507"/>
      <c r="BE410" s="507"/>
      <c r="BF410" s="507"/>
      <c r="BG410" s="507"/>
      <c r="BH410" s="507"/>
      <c r="BI410" s="507"/>
    </row>
    <row r="411" spans="1:61" ht="15.75" customHeight="1">
      <c r="A411" s="523" t="s">
        <v>33</v>
      </c>
      <c r="B411" s="504"/>
      <c r="C411" s="737" t="s">
        <v>227</v>
      </c>
      <c r="V411" s="600" t="s">
        <v>33</v>
      </c>
      <c r="W411" s="775" t="s">
        <v>136</v>
      </c>
      <c r="X411" s="768"/>
      <c r="Y411" s="776">
        <f t="shared" si="75"/>
        <v>81.685410372927819</v>
      </c>
      <c r="Z411" s="769">
        <f t="shared" si="76"/>
        <v>8044.1750000000011</v>
      </c>
      <c r="AA411" s="768"/>
      <c r="AB411" s="776"/>
      <c r="AC411" s="769"/>
      <c r="AD411" s="777"/>
      <c r="AE411" s="776">
        <f t="shared" si="77"/>
        <v>104.91757142857142</v>
      </c>
      <c r="AF411" s="769">
        <f t="shared" si="78"/>
        <v>7344.23</v>
      </c>
      <c r="AG411" s="770">
        <f t="shared" si="79"/>
        <v>23.232161055643601</v>
      </c>
      <c r="AH411" s="771">
        <f t="shared" si="79"/>
        <v>-699.94500000000153</v>
      </c>
      <c r="AI411" s="772">
        <f t="shared" si="80"/>
        <v>-8.7012652012170469E-2</v>
      </c>
      <c r="AJ411" s="778">
        <f t="shared" si="81"/>
        <v>1.4902021615599849E-2</v>
      </c>
      <c r="AK411" s="771">
        <f t="shared" si="82"/>
        <v>112.51394495412843</v>
      </c>
      <c r="AL411" s="769">
        <f t="shared" si="83"/>
        <v>12264.019999999999</v>
      </c>
      <c r="AM411" s="773">
        <f t="shared" si="84"/>
        <v>23.232161055643601</v>
      </c>
      <c r="AN411" s="771">
        <f t="shared" si="85"/>
        <v>-4919.7899999999991</v>
      </c>
      <c r="AO411" s="779">
        <f t="shared" si="86"/>
        <v>-0.40115639080823412</v>
      </c>
      <c r="AP411" s="507"/>
      <c r="AQ411" s="507"/>
      <c r="AR411" s="510"/>
      <c r="AS411" s="507"/>
      <c r="AT411" s="507"/>
      <c r="AU411" s="507"/>
      <c r="AV411" s="507"/>
      <c r="AW411" s="507"/>
      <c r="AX411" s="507"/>
      <c r="AY411" s="507"/>
      <c r="AZ411" s="507"/>
      <c r="BA411" s="507"/>
      <c r="BB411" s="507"/>
      <c r="BC411" s="507"/>
      <c r="BD411" s="507"/>
      <c r="BE411" s="507"/>
      <c r="BF411" s="507"/>
      <c r="BG411" s="507"/>
      <c r="BH411" s="507"/>
      <c r="BI411" s="507"/>
    </row>
    <row r="412" spans="1:61" ht="15.75" customHeight="1">
      <c r="A412" s="523" t="s">
        <v>34</v>
      </c>
      <c r="B412" s="504"/>
      <c r="C412" s="737" t="s">
        <v>227</v>
      </c>
      <c r="V412" s="600" t="s">
        <v>34</v>
      </c>
      <c r="W412" s="775" t="s">
        <v>137</v>
      </c>
      <c r="X412" s="768"/>
      <c r="Y412" s="776">
        <f t="shared" si="75"/>
        <v>4.6408824350740012</v>
      </c>
      <c r="Z412" s="769">
        <f t="shared" si="76"/>
        <v>457.02250000000009</v>
      </c>
      <c r="AA412" s="768"/>
      <c r="AB412" s="776"/>
      <c r="AC412" s="769"/>
      <c r="AD412" s="777"/>
      <c r="AE412" s="776">
        <f t="shared" si="77"/>
        <v>99.048857142857145</v>
      </c>
      <c r="AF412" s="769">
        <f t="shared" si="78"/>
        <v>6933.42</v>
      </c>
      <c r="AG412" s="770">
        <f t="shared" si="79"/>
        <v>94.40797470778314</v>
      </c>
      <c r="AH412" s="771">
        <f t="shared" si="79"/>
        <v>6476.3975</v>
      </c>
      <c r="AI412" s="772">
        <f t="shared" si="80"/>
        <v>14.17085045047016</v>
      </c>
      <c r="AJ412" s="778">
        <f t="shared" si="81"/>
        <v>8.5932299463121059E-3</v>
      </c>
      <c r="AK412" s="771">
        <f t="shared" si="82"/>
        <v>64.881009174311927</v>
      </c>
      <c r="AL412" s="769">
        <f t="shared" si="83"/>
        <v>7072.03</v>
      </c>
      <c r="AM412" s="773">
        <f t="shared" si="84"/>
        <v>94.40797470778314</v>
      </c>
      <c r="AN412" s="771">
        <f t="shared" si="85"/>
        <v>-138.60999999999967</v>
      </c>
      <c r="AO412" s="779">
        <f t="shared" si="86"/>
        <v>-1.959974717301817E-2</v>
      </c>
      <c r="AP412" s="507"/>
      <c r="AQ412" s="507"/>
      <c r="AR412" s="510"/>
      <c r="AS412" s="507"/>
      <c r="AT412" s="507"/>
      <c r="AU412" s="507"/>
      <c r="AV412" s="507"/>
      <c r="AW412" s="507"/>
      <c r="AX412" s="507"/>
      <c r="AY412" s="507"/>
      <c r="AZ412" s="507"/>
      <c r="BA412" s="507"/>
      <c r="BB412" s="507"/>
      <c r="BC412" s="507"/>
      <c r="BD412" s="507"/>
      <c r="BE412" s="507"/>
      <c r="BF412" s="507"/>
      <c r="BG412" s="507"/>
      <c r="BH412" s="507"/>
      <c r="BI412" s="507"/>
    </row>
    <row r="413" spans="1:61" ht="15.75" customHeight="1">
      <c r="A413" s="523" t="s">
        <v>35</v>
      </c>
      <c r="B413" s="504"/>
      <c r="C413" s="737" t="s">
        <v>227</v>
      </c>
      <c r="V413" s="602" t="s">
        <v>35</v>
      </c>
      <c r="W413" s="780"/>
      <c r="X413" s="751"/>
      <c r="Y413" s="781">
        <f t="shared" si="75"/>
        <v>117.99337919829401</v>
      </c>
      <c r="Z413" s="752">
        <f t="shared" si="76"/>
        <v>11619.693000000001</v>
      </c>
      <c r="AA413" s="751"/>
      <c r="AB413" s="781"/>
      <c r="AC413" s="752"/>
      <c r="AD413" s="782"/>
      <c r="AE413" s="781">
        <f t="shared" si="77"/>
        <v>183.95028571428571</v>
      </c>
      <c r="AF413" s="752">
        <f t="shared" si="78"/>
        <v>12876.52</v>
      </c>
      <c r="AG413" s="753">
        <f t="shared" si="79"/>
        <v>65.956906515991705</v>
      </c>
      <c r="AH413" s="754">
        <f t="shared" si="79"/>
        <v>1256.8269999999993</v>
      </c>
      <c r="AI413" s="783">
        <f t="shared" si="80"/>
        <v>0.10816352893316537</v>
      </c>
      <c r="AJ413" s="784">
        <f t="shared" si="81"/>
        <v>1.3894472108713914E-2</v>
      </c>
      <c r="AK413" s="754">
        <f t="shared" si="82"/>
        <v>104.90669724770642</v>
      </c>
      <c r="AL413" s="752">
        <f t="shared" si="83"/>
        <v>11434.83</v>
      </c>
      <c r="AM413" s="756">
        <f t="shared" si="84"/>
        <v>65.956906515991705</v>
      </c>
      <c r="AN413" s="754">
        <f t="shared" si="85"/>
        <v>1441.6900000000005</v>
      </c>
      <c r="AO413" s="757">
        <f t="shared" si="86"/>
        <v>0.12607883108012979</v>
      </c>
      <c r="AP413" s="507"/>
      <c r="AQ413" s="507"/>
      <c r="AR413" s="510"/>
      <c r="AS413" s="507"/>
      <c r="AT413" s="507"/>
      <c r="AU413" s="507"/>
      <c r="AV413" s="507"/>
      <c r="AW413" s="507"/>
      <c r="AX413" s="507"/>
      <c r="AY413" s="507"/>
      <c r="AZ413" s="507"/>
      <c r="BA413" s="507"/>
      <c r="BB413" s="507"/>
      <c r="BC413" s="507"/>
      <c r="BD413" s="507"/>
      <c r="BE413" s="507"/>
      <c r="BF413" s="507"/>
      <c r="BG413" s="507"/>
      <c r="BH413" s="507"/>
      <c r="BI413" s="507"/>
    </row>
    <row r="414" spans="1:61" ht="15.75" customHeight="1">
      <c r="A414" s="523" t="s">
        <v>36</v>
      </c>
      <c r="B414" s="504"/>
      <c r="C414" s="737" t="s">
        <v>227</v>
      </c>
      <c r="V414" s="600" t="s">
        <v>36</v>
      </c>
      <c r="W414" s="775" t="s">
        <v>138</v>
      </c>
      <c r="X414" s="772"/>
      <c r="Y414" s="776">
        <f t="shared" si="75"/>
        <v>193.38681424690915</v>
      </c>
      <c r="Z414" s="769">
        <f t="shared" si="76"/>
        <v>19044.25</v>
      </c>
      <c r="AA414" s="772"/>
      <c r="AB414" s="776"/>
      <c r="AC414" s="769"/>
      <c r="AD414" s="777"/>
      <c r="AE414" s="776">
        <f t="shared" si="77"/>
        <v>433.53100000000001</v>
      </c>
      <c r="AF414" s="769">
        <f t="shared" si="78"/>
        <v>30347.170000000002</v>
      </c>
      <c r="AG414" s="770">
        <f t="shared" si="79"/>
        <v>240.14418575309085</v>
      </c>
      <c r="AH414" s="771">
        <f t="shared" si="79"/>
        <v>11302.920000000002</v>
      </c>
      <c r="AI414" s="772">
        <f t="shared" si="80"/>
        <v>0.5935082767764549</v>
      </c>
      <c r="AJ414" s="778">
        <f t="shared" si="81"/>
        <v>2.1612963075404796E-2</v>
      </c>
      <c r="AK414" s="771">
        <f t="shared" si="82"/>
        <v>163.18321100917422</v>
      </c>
      <c r="AL414" s="769">
        <f t="shared" si="83"/>
        <v>17786.96999999999</v>
      </c>
      <c r="AM414" s="773">
        <f t="shared" si="84"/>
        <v>240.14418575309085</v>
      </c>
      <c r="AN414" s="771">
        <f t="shared" si="85"/>
        <v>12560.200000000012</v>
      </c>
      <c r="AO414" s="779">
        <f t="shared" si="86"/>
        <v>0.70614612831752788</v>
      </c>
      <c r="AP414" s="507"/>
      <c r="AQ414" s="507"/>
      <c r="AR414" s="510"/>
      <c r="AS414" s="507"/>
      <c r="AT414" s="507"/>
      <c r="AU414" s="507"/>
      <c r="AV414" s="507"/>
      <c r="AW414" s="507"/>
      <c r="AX414" s="507"/>
      <c r="AY414" s="507"/>
      <c r="AZ414" s="507"/>
      <c r="BA414" s="507"/>
      <c r="BB414" s="507"/>
      <c r="BC414" s="507"/>
      <c r="BD414" s="507"/>
      <c r="BE414" s="507"/>
      <c r="BF414" s="507"/>
      <c r="BG414" s="507"/>
      <c r="BH414" s="507"/>
      <c r="BI414" s="507"/>
    </row>
    <row r="415" spans="1:61" ht="15.75" customHeight="1">
      <c r="A415" s="523" t="s">
        <v>37</v>
      </c>
      <c r="B415" s="504"/>
      <c r="C415" s="737" t="s">
        <v>227</v>
      </c>
      <c r="V415" s="600" t="s">
        <v>37</v>
      </c>
      <c r="W415" s="775" t="s">
        <v>139</v>
      </c>
      <c r="X415" s="768"/>
      <c r="Y415" s="776">
        <f t="shared" si="75"/>
        <v>193.35779307511993</v>
      </c>
      <c r="Z415" s="769">
        <f t="shared" si="76"/>
        <v>19041.392067555127</v>
      </c>
      <c r="AA415" s="768"/>
      <c r="AB415" s="776"/>
      <c r="AC415" s="769"/>
      <c r="AD415" s="777"/>
      <c r="AE415" s="776">
        <f t="shared" ref="AE415:AE418" si="87">IF(AF415=0,0,AF415/(J$13+J$13))</f>
        <v>-497.72857142857146</v>
      </c>
      <c r="AF415" s="769">
        <f t="shared" si="78"/>
        <v>-34841</v>
      </c>
      <c r="AG415" s="770">
        <f t="shared" si="79"/>
        <v>-691.08636450369136</v>
      </c>
      <c r="AH415" s="771">
        <f t="shared" si="79"/>
        <v>-53882.392067555127</v>
      </c>
      <c r="AI415" s="772">
        <f t="shared" si="80"/>
        <v>-2.8297506756013928</v>
      </c>
      <c r="AJ415" s="778">
        <f t="shared" si="81"/>
        <v>2.4352201464505216E-2</v>
      </c>
      <c r="AK415" s="771">
        <f t="shared" si="82"/>
        <v>183.8651376146789</v>
      </c>
      <c r="AL415" s="769">
        <f>IFERROR(SUMIF($C:$C,$V415,Q:Q),0)</f>
        <v>20041.3</v>
      </c>
      <c r="AM415" s="773">
        <f t="shared" si="84"/>
        <v>-691.08636450369136</v>
      </c>
      <c r="AN415" s="771">
        <f t="shared" si="85"/>
        <v>-54882.3</v>
      </c>
      <c r="AO415" s="779">
        <f t="shared" si="86"/>
        <v>-2.7384600799349346</v>
      </c>
      <c r="AP415" s="507"/>
      <c r="AQ415" s="507"/>
      <c r="AR415" s="510"/>
      <c r="AS415" s="507"/>
      <c r="AT415" s="507"/>
      <c r="AU415" s="507"/>
      <c r="AV415" s="507"/>
      <c r="AW415" s="507"/>
      <c r="AX415" s="507"/>
      <c r="AY415" s="507"/>
      <c r="AZ415" s="507"/>
      <c r="BA415" s="507"/>
      <c r="BB415" s="507"/>
      <c r="BC415" s="507"/>
      <c r="BD415" s="507"/>
      <c r="BE415" s="507"/>
      <c r="BF415" s="507"/>
      <c r="BG415" s="507"/>
      <c r="BH415" s="507"/>
      <c r="BI415" s="507"/>
    </row>
    <row r="416" spans="1:61" ht="15.75" hidden="1" customHeight="1">
      <c r="A416" s="523" t="s">
        <v>20</v>
      </c>
      <c r="B416" s="504"/>
      <c r="C416" s="737" t="s">
        <v>227</v>
      </c>
      <c r="V416" s="600" t="s">
        <v>20</v>
      </c>
      <c r="W416" s="775"/>
      <c r="X416" s="772"/>
      <c r="Y416" s="776">
        <f t="shared" si="75"/>
        <v>0</v>
      </c>
      <c r="Z416" s="769">
        <f>IFERROR(SUMIF($C:$C,$V416,F:F),0)</f>
        <v>0</v>
      </c>
      <c r="AA416" s="768"/>
      <c r="AB416" s="776"/>
      <c r="AC416" s="769"/>
      <c r="AD416" s="777"/>
      <c r="AE416" s="776">
        <f t="shared" si="87"/>
        <v>0</v>
      </c>
      <c r="AF416" s="769">
        <f>IFERROR(SUMIF($C:$C,$V416,L:L),0)</f>
        <v>0</v>
      </c>
      <c r="AG416" s="770">
        <f t="shared" si="79"/>
        <v>0</v>
      </c>
      <c r="AH416" s="771">
        <f t="shared" si="79"/>
        <v>0</v>
      </c>
      <c r="AI416" s="772">
        <f t="shared" si="80"/>
        <v>0</v>
      </c>
      <c r="AJ416" s="777"/>
      <c r="AK416" s="771">
        <f t="shared" si="82"/>
        <v>0</v>
      </c>
      <c r="AL416" s="769">
        <f>IFERROR(SUMIF($C:$C,$V416,Q:Q),0)</f>
        <v>0</v>
      </c>
      <c r="AM416" s="773">
        <f t="shared" si="84"/>
        <v>0</v>
      </c>
      <c r="AN416" s="771">
        <f t="shared" si="85"/>
        <v>0</v>
      </c>
      <c r="AO416" s="779">
        <f t="shared" si="86"/>
        <v>0</v>
      </c>
      <c r="AP416" s="507"/>
      <c r="AQ416" s="507"/>
      <c r="AR416" s="510"/>
      <c r="AS416" s="507"/>
      <c r="AT416" s="507"/>
      <c r="AU416" s="507"/>
      <c r="AV416" s="507"/>
      <c r="AW416" s="507"/>
      <c r="AX416" s="507"/>
      <c r="AY416" s="507"/>
      <c r="AZ416" s="507"/>
      <c r="BA416" s="507"/>
      <c r="BB416" s="507"/>
      <c r="BC416" s="507"/>
      <c r="BD416" s="507"/>
      <c r="BE416" s="507"/>
      <c r="BF416" s="507"/>
      <c r="BG416" s="507"/>
      <c r="BH416" s="507"/>
      <c r="BI416" s="507"/>
    </row>
    <row r="417" spans="1:61" ht="15.75" hidden="1" customHeight="1">
      <c r="A417" s="523" t="s">
        <v>20</v>
      </c>
      <c r="B417" s="504"/>
      <c r="C417" s="737" t="s">
        <v>227</v>
      </c>
      <c r="V417" s="600" t="s">
        <v>20</v>
      </c>
      <c r="W417" s="775"/>
      <c r="X417" s="772"/>
      <c r="Y417" s="776">
        <f t="shared" si="75"/>
        <v>0</v>
      </c>
      <c r="Z417" s="769">
        <f>IFERROR(SUMIF($C:$C,$V417,F:F),0)</f>
        <v>0</v>
      </c>
      <c r="AA417" s="768"/>
      <c r="AB417" s="776"/>
      <c r="AC417" s="769"/>
      <c r="AD417" s="777"/>
      <c r="AE417" s="776">
        <f t="shared" si="87"/>
        <v>0</v>
      </c>
      <c r="AF417" s="769">
        <f>IFERROR(SUMIF($C:$C,$V417,L:L),0)</f>
        <v>0</v>
      </c>
      <c r="AG417" s="770">
        <f t="shared" si="79"/>
        <v>0</v>
      </c>
      <c r="AH417" s="771">
        <f t="shared" si="79"/>
        <v>0</v>
      </c>
      <c r="AI417" s="772">
        <f t="shared" si="80"/>
        <v>0</v>
      </c>
      <c r="AJ417" s="777"/>
      <c r="AK417" s="771">
        <f t="shared" si="82"/>
        <v>0</v>
      </c>
      <c r="AL417" s="769">
        <f>IFERROR(SUMIF($C:$C,$V417,Q:Q),0)</f>
        <v>0</v>
      </c>
      <c r="AM417" s="773">
        <f t="shared" si="84"/>
        <v>0</v>
      </c>
      <c r="AN417" s="771">
        <f t="shared" si="85"/>
        <v>0</v>
      </c>
      <c r="AO417" s="779">
        <f t="shared" si="86"/>
        <v>0</v>
      </c>
      <c r="AP417" s="507"/>
      <c r="AQ417" s="507"/>
      <c r="AR417" s="510"/>
      <c r="AS417" s="507"/>
      <c r="AT417" s="507"/>
      <c r="AU417" s="507"/>
      <c r="AV417" s="507"/>
      <c r="AW417" s="507"/>
      <c r="AX417" s="507"/>
      <c r="AY417" s="507"/>
      <c r="AZ417" s="507"/>
      <c r="BA417" s="507"/>
      <c r="BB417" s="507"/>
      <c r="BC417" s="507"/>
      <c r="BD417" s="507"/>
      <c r="BE417" s="507"/>
      <c r="BF417" s="507"/>
      <c r="BG417" s="507"/>
      <c r="BH417" s="507"/>
      <c r="BI417" s="507"/>
    </row>
    <row r="418" spans="1:61" ht="15.75" hidden="1" customHeight="1">
      <c r="A418" s="523" t="s">
        <v>20</v>
      </c>
      <c r="B418" s="504"/>
      <c r="C418" s="737" t="s">
        <v>227</v>
      </c>
      <c r="V418" s="600" t="s">
        <v>20</v>
      </c>
      <c r="W418" s="775" t="s">
        <v>139</v>
      </c>
      <c r="X418" s="768"/>
      <c r="Y418" s="776">
        <f t="shared" si="75"/>
        <v>0</v>
      </c>
      <c r="Z418" s="769">
        <f>IFERROR(SUMIF($C:$C,$V418,F:F),0)</f>
        <v>0</v>
      </c>
      <c r="AA418" s="768"/>
      <c r="AB418" s="776"/>
      <c r="AC418" s="769"/>
      <c r="AD418" s="777"/>
      <c r="AE418" s="776">
        <f t="shared" si="87"/>
        <v>0</v>
      </c>
      <c r="AF418" s="769">
        <f>IFERROR(SUMIF($C:$C,$V418,L:L),0)</f>
        <v>0</v>
      </c>
      <c r="AG418" s="770">
        <f t="shared" si="79"/>
        <v>0</v>
      </c>
      <c r="AH418" s="771">
        <f t="shared" si="79"/>
        <v>0</v>
      </c>
      <c r="AI418" s="772">
        <f t="shared" si="80"/>
        <v>0</v>
      </c>
      <c r="AJ418" s="777"/>
      <c r="AK418" s="771">
        <f t="shared" si="82"/>
        <v>0</v>
      </c>
      <c r="AL418" s="769">
        <f>IFERROR(SUMIF($C:$C,$V418,Q:Q),0)</f>
        <v>0</v>
      </c>
      <c r="AM418" s="773">
        <f t="shared" si="84"/>
        <v>0</v>
      </c>
      <c r="AN418" s="771">
        <f t="shared" si="85"/>
        <v>0</v>
      </c>
      <c r="AO418" s="779">
        <f t="shared" si="86"/>
        <v>0</v>
      </c>
      <c r="AP418" s="507"/>
      <c r="AQ418" s="507"/>
      <c r="AR418" s="510"/>
      <c r="AS418" s="507"/>
      <c r="AT418" s="507"/>
      <c r="AU418" s="507"/>
      <c r="AV418" s="507"/>
      <c r="AW418" s="507"/>
      <c r="AX418" s="507"/>
      <c r="AY418" s="507"/>
      <c r="AZ418" s="507"/>
      <c r="BA418" s="507"/>
      <c r="BB418" s="507"/>
      <c r="BC418" s="507"/>
      <c r="BD418" s="507"/>
      <c r="BE418" s="507"/>
      <c r="BF418" s="507"/>
      <c r="BG418" s="507"/>
      <c r="BH418" s="507"/>
      <c r="BI418" s="507"/>
    </row>
    <row r="419" spans="1:61" ht="15.75" customHeight="1">
      <c r="A419" s="523" t="s">
        <v>38</v>
      </c>
      <c r="B419" s="504"/>
      <c r="C419" s="737" t="s">
        <v>227</v>
      </c>
      <c r="V419" s="785" t="s">
        <v>38</v>
      </c>
      <c r="W419" s="786"/>
      <c r="X419" s="787">
        <f>Z419/Z407</f>
        <v>0.19464443780591578</v>
      </c>
      <c r="Y419" s="786"/>
      <c r="Z419" s="788">
        <f>SUM(Z409:Z418)</f>
        <v>191882.76543871834</v>
      </c>
      <c r="AA419" s="787"/>
      <c r="AB419" s="786"/>
      <c r="AC419" s="788"/>
      <c r="AD419" s="789">
        <f>AF419/AF407</f>
        <v>0.13130452175360224</v>
      </c>
      <c r="AE419" s="786"/>
      <c r="AF419" s="788">
        <f>SUM(AF409:AF418)</f>
        <v>97800.6</v>
      </c>
      <c r="AG419" s="790"/>
      <c r="AH419" s="791">
        <f t="shared" si="79"/>
        <v>-94082.165438718337</v>
      </c>
      <c r="AI419" s="787">
        <f>AH419/Z419</f>
        <v>-0.49031066038479304</v>
      </c>
      <c r="AJ419" s="789">
        <f>IF($AL$407=0,0,AL419/$AL$407)</f>
        <v>0.19238513769760235</v>
      </c>
      <c r="AK419" s="786"/>
      <c r="AL419" s="788">
        <f>SUM(AL409:AL418)</f>
        <v>158328.53</v>
      </c>
      <c r="AM419" s="792"/>
      <c r="AN419" s="791">
        <f t="shared" si="85"/>
        <v>-60527.929999999993</v>
      </c>
      <c r="AO419" s="766">
        <f t="shared" si="86"/>
        <v>-0.38229326072818332</v>
      </c>
      <c r="AP419" s="507"/>
      <c r="AQ419" s="507"/>
      <c r="AR419" s="510"/>
      <c r="AS419" s="507"/>
      <c r="AT419" s="507"/>
      <c r="AU419" s="507"/>
      <c r="AV419" s="507"/>
      <c r="AW419" s="507"/>
      <c r="AX419" s="507"/>
      <c r="AY419" s="507"/>
      <c r="AZ419" s="507"/>
      <c r="BA419" s="507"/>
      <c r="BB419" s="507"/>
      <c r="BC419" s="507"/>
      <c r="BD419" s="507"/>
      <c r="BE419" s="507"/>
      <c r="BF419" s="507"/>
      <c r="BG419" s="507"/>
      <c r="BH419" s="507"/>
      <c r="BI419" s="507"/>
    </row>
    <row r="420" spans="1:61" ht="15.75" customHeight="1">
      <c r="A420" s="523" t="s">
        <v>140</v>
      </c>
      <c r="B420" s="504"/>
      <c r="C420" s="737" t="s">
        <v>227</v>
      </c>
      <c r="V420" s="600" t="s">
        <v>140</v>
      </c>
      <c r="W420" s="775" t="s">
        <v>141</v>
      </c>
      <c r="X420" s="768"/>
      <c r="Y420" s="768"/>
      <c r="Z420" s="769">
        <f>+INDEX('[7]Budget original'!$A$2:$AO$501,MATCH($A420,'[7]Budget original'!$A$2:$A$501,0),MATCH(F$2,'[7]Budget original'!$A$2:$AO$2,0))</f>
        <v>15922.199999999997</v>
      </c>
      <c r="AA420" s="768"/>
      <c r="AB420" s="768"/>
      <c r="AC420" s="769"/>
      <c r="AD420" s="777"/>
      <c r="AE420" s="776"/>
      <c r="AF420" s="769">
        <f>SUMIFS([7]BV_Data_An_Cour!$O:$O,[7]BV_Data_An_Cour!$V:$V,$V420)</f>
        <v>18548.379999999997</v>
      </c>
      <c r="AG420" s="770"/>
      <c r="AH420" s="771">
        <f t="shared" si="79"/>
        <v>2626.1800000000003</v>
      </c>
      <c r="AI420" s="772">
        <f t="shared" ref="AI420:AI432" si="88">IF(Z420=0,0,AH420/Z420)</f>
        <v>0.16493826230043593</v>
      </c>
      <c r="AJ420" s="777"/>
      <c r="AK420" s="768"/>
      <c r="AL420" s="769">
        <f>+INDEX('[7]Réel 2023'!$A$2:$AO$501,MATCH($A420,'[7]Réel 2023'!$A$2:$A$501,0),MATCH(F$2,'[7]Réel 2023'!$A$2:$AO$2,0))</f>
        <v>12153.84</v>
      </c>
      <c r="AM420" s="773"/>
      <c r="AN420" s="771">
        <f t="shared" si="85"/>
        <v>6394.5399999999972</v>
      </c>
      <c r="AO420" s="779">
        <f t="shared" si="86"/>
        <v>0.52613330437129313</v>
      </c>
      <c r="AP420" s="507"/>
      <c r="AQ420" s="507"/>
      <c r="AR420" s="507"/>
      <c r="AS420" s="507"/>
      <c r="AT420" s="507"/>
      <c r="AU420" s="507"/>
      <c r="AV420" s="507"/>
      <c r="AW420" s="507"/>
      <c r="AX420" s="507"/>
      <c r="AY420" s="507"/>
      <c r="AZ420" s="507"/>
      <c r="BA420" s="507"/>
      <c r="BB420" s="507"/>
      <c r="BC420" s="507"/>
      <c r="BD420" s="507"/>
      <c r="BE420" s="507"/>
      <c r="BF420" s="507"/>
      <c r="BG420" s="507"/>
      <c r="BH420" s="507"/>
      <c r="BI420" s="507"/>
    </row>
    <row r="421" spans="1:61" ht="15.75" customHeight="1">
      <c r="A421" s="523" t="s">
        <v>41</v>
      </c>
      <c r="B421" s="504"/>
      <c r="C421" s="737" t="s">
        <v>227</v>
      </c>
      <c r="V421" s="600" t="s">
        <v>41</v>
      </c>
      <c r="W421" s="775" t="s">
        <v>142</v>
      </c>
      <c r="X421" s="768"/>
      <c r="Y421" s="768"/>
      <c r="Z421" s="769">
        <f t="shared" ref="Z421:Z431" si="89">+SUMIF($C:$C,$V421,F:F)</f>
        <v>62151.320512820515</v>
      </c>
      <c r="AA421" s="768"/>
      <c r="AB421" s="768"/>
      <c r="AC421" s="769"/>
      <c r="AD421" s="777"/>
      <c r="AE421" s="776"/>
      <c r="AF421" s="769">
        <f>+SUMIF($C:$C,$V421,L:L)</f>
        <v>62349.029999999992</v>
      </c>
      <c r="AG421" s="770"/>
      <c r="AH421" s="771">
        <f t="shared" si="79"/>
        <v>197.70948717947613</v>
      </c>
      <c r="AI421" s="772">
        <f t="shared" si="88"/>
        <v>3.1810987368915645E-3</v>
      </c>
      <c r="AJ421" s="777"/>
      <c r="AK421" s="768"/>
      <c r="AL421" s="769">
        <f t="shared" ref="AL421:AL429" si="90">+SUMIF($C:$C,$V421,Q:Q)</f>
        <v>62760.13</v>
      </c>
      <c r="AM421" s="773"/>
      <c r="AN421" s="771">
        <f t="shared" si="85"/>
        <v>-411.10000000000582</v>
      </c>
      <c r="AO421" s="779">
        <f t="shared" si="86"/>
        <v>-6.5503369734894725E-3</v>
      </c>
      <c r="AP421" s="507"/>
      <c r="AQ421" s="507"/>
      <c r="AR421" s="507"/>
      <c r="AS421" s="507"/>
      <c r="AT421" s="507"/>
      <c r="AU421" s="507"/>
      <c r="AV421" s="507"/>
      <c r="AW421" s="507"/>
      <c r="AX421" s="507"/>
      <c r="AY421" s="507"/>
      <c r="AZ421" s="507"/>
      <c r="BA421" s="507"/>
      <c r="BB421" s="507"/>
      <c r="BC421" s="507"/>
      <c r="BD421" s="507"/>
      <c r="BE421" s="507"/>
      <c r="BF421" s="507"/>
      <c r="BG421" s="507"/>
      <c r="BH421" s="507"/>
      <c r="BI421" s="507"/>
    </row>
    <row r="422" spans="1:61" ht="15.75" customHeight="1">
      <c r="A422" s="523" t="s">
        <v>42</v>
      </c>
      <c r="B422" s="504"/>
      <c r="C422" s="737" t="s">
        <v>227</v>
      </c>
      <c r="V422" s="602" t="s">
        <v>42</v>
      </c>
      <c r="W422" s="780" t="s">
        <v>143</v>
      </c>
      <c r="X422" s="751"/>
      <c r="Y422" s="751"/>
      <c r="Z422" s="752">
        <f t="shared" si="89"/>
        <v>68206.630769230775</v>
      </c>
      <c r="AA422" s="751"/>
      <c r="AB422" s="751"/>
      <c r="AC422" s="752"/>
      <c r="AD422" s="782"/>
      <c r="AE422" s="781"/>
      <c r="AF422" s="752">
        <f>+SUMIF($C:$C,$V422,L:L)</f>
        <v>64124.239999999991</v>
      </c>
      <c r="AG422" s="753"/>
      <c r="AH422" s="754">
        <f t="shared" si="79"/>
        <v>-4082.3907692307839</v>
      </c>
      <c r="AI422" s="783">
        <f t="shared" si="88"/>
        <v>-5.985328293143638E-2</v>
      </c>
      <c r="AJ422" s="782"/>
      <c r="AK422" s="751"/>
      <c r="AL422" s="752">
        <f t="shared" si="90"/>
        <v>49261.14</v>
      </c>
      <c r="AM422" s="756"/>
      <c r="AN422" s="754">
        <f t="shared" si="85"/>
        <v>14863.099999999991</v>
      </c>
      <c r="AO422" s="757">
        <f t="shared" si="86"/>
        <v>0.30172058543509128</v>
      </c>
      <c r="AP422" s="507"/>
      <c r="AQ422" s="507"/>
      <c r="AR422" s="507"/>
      <c r="AS422" s="507"/>
      <c r="AT422" s="507"/>
      <c r="AU422" s="507"/>
      <c r="AV422" s="507"/>
      <c r="AW422" s="507"/>
      <c r="AX422" s="507"/>
      <c r="AY422" s="507"/>
      <c r="AZ422" s="507"/>
      <c r="BA422" s="507"/>
      <c r="BB422" s="507"/>
      <c r="BC422" s="507"/>
      <c r="BD422" s="507"/>
      <c r="BE422" s="507"/>
      <c r="BF422" s="507"/>
      <c r="BG422" s="507"/>
      <c r="BH422" s="507"/>
      <c r="BI422" s="507"/>
    </row>
    <row r="423" spans="1:61" ht="15.75" customHeight="1">
      <c r="A423" s="523" t="s">
        <v>43</v>
      </c>
      <c r="B423" s="504"/>
      <c r="C423" s="737" t="s">
        <v>227</v>
      </c>
      <c r="V423" s="600" t="s">
        <v>43</v>
      </c>
      <c r="W423" s="775" t="s">
        <v>144</v>
      </c>
      <c r="X423" s="768"/>
      <c r="Y423" s="768"/>
      <c r="Z423" s="769">
        <f t="shared" si="89"/>
        <v>32252.999999999996</v>
      </c>
      <c r="AA423" s="768"/>
      <c r="AB423" s="768"/>
      <c r="AC423" s="769"/>
      <c r="AD423" s="777"/>
      <c r="AE423" s="776"/>
      <c r="AF423" s="769">
        <f>+SUMIF($C:$C,$V423,L:L)</f>
        <v>51665.94</v>
      </c>
      <c r="AG423" s="770"/>
      <c r="AH423" s="771">
        <f t="shared" si="79"/>
        <v>19412.940000000006</v>
      </c>
      <c r="AI423" s="772">
        <f t="shared" si="88"/>
        <v>0.60189563761510578</v>
      </c>
      <c r="AJ423" s="777"/>
      <c r="AK423" s="768"/>
      <c r="AL423" s="769">
        <f t="shared" si="90"/>
        <v>56649.41</v>
      </c>
      <c r="AM423" s="773"/>
      <c r="AN423" s="771">
        <f t="shared" si="85"/>
        <v>-4983.4700000000012</v>
      </c>
      <c r="AO423" s="779">
        <f t="shared" si="86"/>
        <v>-8.7970377802699104E-2</v>
      </c>
      <c r="AP423" s="507"/>
      <c r="AQ423" s="507"/>
      <c r="AR423" s="507"/>
      <c r="AS423" s="507"/>
      <c r="AT423" s="507"/>
      <c r="AU423" s="507"/>
      <c r="AV423" s="507"/>
      <c r="AW423" s="507"/>
      <c r="AX423" s="507"/>
      <c r="AY423" s="507"/>
      <c r="AZ423" s="507"/>
      <c r="BA423" s="507"/>
      <c r="BB423" s="507"/>
      <c r="BC423" s="507"/>
      <c r="BD423" s="507"/>
      <c r="BE423" s="507"/>
      <c r="BF423" s="507"/>
      <c r="BG423" s="507"/>
      <c r="BH423" s="507"/>
      <c r="BI423" s="507"/>
    </row>
    <row r="424" spans="1:61" ht="15.75" customHeight="1">
      <c r="A424" s="523" t="s">
        <v>44</v>
      </c>
      <c r="B424" s="504"/>
      <c r="C424" s="737" t="s">
        <v>227</v>
      </c>
      <c r="V424" s="600" t="s">
        <v>44</v>
      </c>
      <c r="W424" s="775" t="s">
        <v>145</v>
      </c>
      <c r="X424" s="768"/>
      <c r="Y424" s="768"/>
      <c r="Z424" s="769">
        <f t="shared" si="89"/>
        <v>44455.465460799998</v>
      </c>
      <c r="AA424" s="768"/>
      <c r="AB424" s="768"/>
      <c r="AC424" s="769"/>
      <c r="AD424" s="777"/>
      <c r="AE424" s="776"/>
      <c r="AF424" s="769">
        <f>+SUMIF($C:$C,$V424,L:L)</f>
        <v>39319.25</v>
      </c>
      <c r="AG424" s="770"/>
      <c r="AH424" s="771">
        <f t="shared" si="79"/>
        <v>-5136.2154607999983</v>
      </c>
      <c r="AI424" s="772">
        <f t="shared" si="88"/>
        <v>-0.11553619802561774</v>
      </c>
      <c r="AJ424" s="777"/>
      <c r="AK424" s="768"/>
      <c r="AL424" s="769">
        <f t="shared" si="90"/>
        <v>25386.61</v>
      </c>
      <c r="AM424" s="773"/>
      <c r="AN424" s="771">
        <f t="shared" si="85"/>
        <v>13932.64</v>
      </c>
      <c r="AO424" s="779">
        <f t="shared" si="86"/>
        <v>0.54881845193194356</v>
      </c>
      <c r="AP424" s="507"/>
      <c r="AQ424" s="507"/>
      <c r="AR424" s="507"/>
      <c r="AS424" s="507"/>
      <c r="AT424" s="507"/>
      <c r="AU424" s="507"/>
      <c r="AV424" s="507"/>
      <c r="AW424" s="507"/>
      <c r="AX424" s="507"/>
      <c r="AY424" s="507"/>
      <c r="AZ424" s="507"/>
      <c r="BA424" s="507"/>
      <c r="BB424" s="507"/>
      <c r="BC424" s="507"/>
      <c r="BD424" s="507"/>
      <c r="BE424" s="507"/>
      <c r="BF424" s="507"/>
      <c r="BG424" s="507"/>
      <c r="BH424" s="507"/>
      <c r="BI424" s="507"/>
    </row>
    <row r="425" spans="1:61" ht="15.75" hidden="1" customHeight="1">
      <c r="A425" s="523" t="s">
        <v>20</v>
      </c>
      <c r="B425" s="504"/>
      <c r="C425" s="737" t="s">
        <v>227</v>
      </c>
      <c r="V425" s="600" t="s">
        <v>20</v>
      </c>
      <c r="W425" s="775"/>
      <c r="X425" s="768"/>
      <c r="Y425" s="768"/>
      <c r="Z425" s="769">
        <f t="shared" si="89"/>
        <v>0</v>
      </c>
      <c r="AA425" s="768"/>
      <c r="AB425" s="768"/>
      <c r="AC425" s="769"/>
      <c r="AD425" s="777"/>
      <c r="AE425" s="776"/>
      <c r="AF425" s="769">
        <f>IFERROR(SUMIF($C:$C,$V425,L:L),0)</f>
        <v>0</v>
      </c>
      <c r="AG425" s="770"/>
      <c r="AH425" s="771">
        <f t="shared" ref="AH425:AH457" si="91">AF425-Z425</f>
        <v>0</v>
      </c>
      <c r="AI425" s="772">
        <f t="shared" si="88"/>
        <v>0</v>
      </c>
      <c r="AJ425" s="777"/>
      <c r="AK425" s="768"/>
      <c r="AL425" s="769">
        <f t="shared" si="90"/>
        <v>0</v>
      </c>
      <c r="AM425" s="773"/>
      <c r="AN425" s="771">
        <f t="shared" si="85"/>
        <v>0</v>
      </c>
      <c r="AO425" s="779">
        <f t="shared" si="86"/>
        <v>0</v>
      </c>
      <c r="AP425" s="507"/>
      <c r="AQ425" s="507"/>
      <c r="AR425" s="507"/>
      <c r="AS425" s="507"/>
      <c r="AT425" s="507"/>
      <c r="AU425" s="507"/>
      <c r="AV425" s="507"/>
      <c r="AW425" s="507"/>
      <c r="AX425" s="507"/>
      <c r="AY425" s="507"/>
      <c r="AZ425" s="507"/>
      <c r="BA425" s="507"/>
      <c r="BB425" s="507"/>
      <c r="BC425" s="507"/>
      <c r="BD425" s="507"/>
      <c r="BE425" s="507"/>
      <c r="BF425" s="507"/>
      <c r="BG425" s="507"/>
      <c r="BH425" s="507"/>
      <c r="BI425" s="507"/>
    </row>
    <row r="426" spans="1:61" ht="15.75" hidden="1" customHeight="1">
      <c r="A426" s="523" t="s">
        <v>20</v>
      </c>
      <c r="B426" s="504"/>
      <c r="C426" s="737" t="s">
        <v>227</v>
      </c>
      <c r="V426" s="600" t="s">
        <v>20</v>
      </c>
      <c r="W426" s="775"/>
      <c r="X426" s="768"/>
      <c r="Y426" s="768"/>
      <c r="Z426" s="769">
        <f t="shared" si="89"/>
        <v>0</v>
      </c>
      <c r="AA426" s="768"/>
      <c r="AB426" s="768"/>
      <c r="AC426" s="769"/>
      <c r="AD426" s="777"/>
      <c r="AE426" s="776"/>
      <c r="AF426" s="769">
        <f>IFERROR(SUMIF($C:$C,$V426,L:L),0)</f>
        <v>0</v>
      </c>
      <c r="AG426" s="770"/>
      <c r="AH426" s="771">
        <f t="shared" si="91"/>
        <v>0</v>
      </c>
      <c r="AI426" s="772">
        <f t="shared" si="88"/>
        <v>0</v>
      </c>
      <c r="AJ426" s="777"/>
      <c r="AK426" s="768"/>
      <c r="AL426" s="769">
        <f t="shared" si="90"/>
        <v>0</v>
      </c>
      <c r="AM426" s="773"/>
      <c r="AN426" s="771">
        <f t="shared" si="85"/>
        <v>0</v>
      </c>
      <c r="AO426" s="779">
        <f t="shared" si="86"/>
        <v>0</v>
      </c>
      <c r="AP426" s="507"/>
      <c r="AQ426" s="507"/>
      <c r="AR426" s="507"/>
      <c r="AS426" s="507"/>
      <c r="AT426" s="507"/>
      <c r="AU426" s="507"/>
      <c r="AV426" s="507"/>
      <c r="AW426" s="507"/>
      <c r="AX426" s="507"/>
      <c r="AY426" s="507"/>
      <c r="AZ426" s="507"/>
      <c r="BA426" s="507"/>
      <c r="BB426" s="507"/>
      <c r="BC426" s="507"/>
      <c r="BD426" s="507"/>
      <c r="BE426" s="507"/>
      <c r="BF426" s="507"/>
      <c r="BG426" s="507"/>
      <c r="BH426" s="507"/>
      <c r="BI426" s="507"/>
    </row>
    <row r="427" spans="1:61" ht="15.75" hidden="1" customHeight="1">
      <c r="A427" s="523" t="s">
        <v>20</v>
      </c>
      <c r="B427" s="504"/>
      <c r="C427" s="737" t="s">
        <v>227</v>
      </c>
      <c r="V427" s="600" t="s">
        <v>20</v>
      </c>
      <c r="W427" s="775"/>
      <c r="X427" s="768"/>
      <c r="Y427" s="768"/>
      <c r="Z427" s="769">
        <f t="shared" si="89"/>
        <v>0</v>
      </c>
      <c r="AA427" s="768"/>
      <c r="AB427" s="768"/>
      <c r="AC427" s="769"/>
      <c r="AD427" s="777"/>
      <c r="AE427" s="776"/>
      <c r="AF427" s="769">
        <f>IFERROR(SUMIF($C:$C,$V427,L:L),0)</f>
        <v>0</v>
      </c>
      <c r="AG427" s="770"/>
      <c r="AH427" s="771">
        <f t="shared" si="91"/>
        <v>0</v>
      </c>
      <c r="AI427" s="772">
        <f t="shared" si="88"/>
        <v>0</v>
      </c>
      <c r="AJ427" s="777"/>
      <c r="AK427" s="768"/>
      <c r="AL427" s="769">
        <f t="shared" si="90"/>
        <v>0</v>
      </c>
      <c r="AM427" s="773"/>
      <c r="AN427" s="771">
        <f t="shared" si="85"/>
        <v>0</v>
      </c>
      <c r="AO427" s="779">
        <f t="shared" si="86"/>
        <v>0</v>
      </c>
      <c r="AP427" s="507"/>
      <c r="AQ427" s="507"/>
      <c r="AR427" s="507"/>
      <c r="AS427" s="507"/>
      <c r="AT427" s="507"/>
      <c r="AU427" s="507"/>
      <c r="AV427" s="507"/>
      <c r="AW427" s="507"/>
      <c r="AX427" s="507"/>
      <c r="AY427" s="507"/>
      <c r="AZ427" s="507"/>
      <c r="BA427" s="507"/>
      <c r="BB427" s="507"/>
      <c r="BC427" s="507"/>
      <c r="BD427" s="507"/>
      <c r="BE427" s="507"/>
      <c r="BF427" s="507"/>
      <c r="BG427" s="507"/>
      <c r="BH427" s="507"/>
      <c r="BI427" s="507"/>
    </row>
    <row r="428" spans="1:61" ht="15.75" customHeight="1">
      <c r="A428" s="523" t="s">
        <v>45</v>
      </c>
      <c r="B428" s="504"/>
      <c r="C428" s="737" t="s">
        <v>227</v>
      </c>
      <c r="V428" s="602" t="s">
        <v>45</v>
      </c>
      <c r="W428" s="780" t="s">
        <v>146</v>
      </c>
      <c r="X428" s="751"/>
      <c r="Y428" s="793">
        <f>Z428/(SUM(Z420:Z424)+E194-F194+Z409+Z410)</f>
        <v>0.10583616161587947</v>
      </c>
      <c r="Z428" s="752">
        <f t="shared" si="89"/>
        <v>52421.977623800558</v>
      </c>
      <c r="AA428" s="751"/>
      <c r="AB428" s="751"/>
      <c r="AC428" s="752"/>
      <c r="AD428" s="782"/>
      <c r="AE428" s="781"/>
      <c r="AF428" s="752">
        <f>+SUMIF($C:$C,$V428,L:L)</f>
        <v>30858.44</v>
      </c>
      <c r="AG428" s="753"/>
      <c r="AH428" s="754">
        <f t="shared" si="91"/>
        <v>-21563.537623800559</v>
      </c>
      <c r="AI428" s="783">
        <f t="shared" si="88"/>
        <v>-0.41134536698612284</v>
      </c>
      <c r="AJ428" s="782"/>
      <c r="AK428" s="751"/>
      <c r="AL428" s="752">
        <f t="shared" si="90"/>
        <v>24774.34</v>
      </c>
      <c r="AM428" s="756"/>
      <c r="AN428" s="754">
        <f t="shared" si="85"/>
        <v>6084.0999999999985</v>
      </c>
      <c r="AO428" s="757">
        <f t="shared" si="86"/>
        <v>0.24558070971820031</v>
      </c>
      <c r="AP428" s="507"/>
      <c r="AQ428" s="507"/>
      <c r="AR428" s="507"/>
      <c r="AS428" s="507"/>
      <c r="AT428" s="507"/>
      <c r="AU428" s="507"/>
      <c r="AV428" s="507"/>
      <c r="AW428" s="507"/>
      <c r="AX428" s="507"/>
      <c r="AY428" s="507"/>
      <c r="AZ428" s="507"/>
      <c r="BA428" s="507"/>
      <c r="BB428" s="507"/>
      <c r="BC428" s="507"/>
      <c r="BD428" s="507"/>
      <c r="BE428" s="507"/>
      <c r="BF428" s="507"/>
      <c r="BG428" s="507"/>
      <c r="BH428" s="507"/>
      <c r="BI428" s="507"/>
    </row>
    <row r="429" spans="1:61" ht="15.75" customHeight="1">
      <c r="A429" s="523" t="s">
        <v>46</v>
      </c>
      <c r="B429" s="504"/>
      <c r="C429" s="737" t="s">
        <v>227</v>
      </c>
      <c r="V429" s="600" t="s">
        <v>46</v>
      </c>
      <c r="W429" s="775" t="s">
        <v>147</v>
      </c>
      <c r="X429" s="768"/>
      <c r="Y429" s="794">
        <f>Z429/(SUM(Z420:Z424)+E194-F194+Z409+Z410)</f>
        <v>0.12868185288979178</v>
      </c>
      <c r="Z429" s="769">
        <f t="shared" si="89"/>
        <v>63737.734908233273</v>
      </c>
      <c r="AA429" s="768"/>
      <c r="AB429" s="768"/>
      <c r="AC429" s="769"/>
      <c r="AD429" s="777"/>
      <c r="AE429" s="776"/>
      <c r="AF429" s="769">
        <f>+SUMIF($C:$C,$V429,L:L)</f>
        <v>51518.049999999996</v>
      </c>
      <c r="AG429" s="770"/>
      <c r="AH429" s="771">
        <f t="shared" si="91"/>
        <v>-12219.684908233277</v>
      </c>
      <c r="AI429" s="772">
        <f t="shared" si="88"/>
        <v>-0.19171821725115634</v>
      </c>
      <c r="AJ429" s="777"/>
      <c r="AK429" s="768"/>
      <c r="AL429" s="769">
        <f t="shared" si="90"/>
        <v>47361.59</v>
      </c>
      <c r="AM429" s="773"/>
      <c r="AN429" s="771">
        <f t="shared" si="85"/>
        <v>4156.4599999999991</v>
      </c>
      <c r="AO429" s="779">
        <f t="shared" si="86"/>
        <v>8.7760144876892848E-2</v>
      </c>
      <c r="AP429" s="507"/>
      <c r="AQ429" s="507"/>
      <c r="AR429" s="507"/>
      <c r="AS429" s="507"/>
      <c r="AT429" s="507"/>
      <c r="AU429" s="507"/>
      <c r="AV429" s="507"/>
      <c r="AW429" s="507"/>
      <c r="AX429" s="507"/>
      <c r="AY429" s="507"/>
      <c r="AZ429" s="507"/>
      <c r="BA429" s="507"/>
      <c r="BB429" s="507"/>
      <c r="BC429" s="507"/>
      <c r="BD429" s="507"/>
      <c r="BE429" s="507"/>
      <c r="BF429" s="507"/>
      <c r="BG429" s="507"/>
      <c r="BH429" s="507"/>
      <c r="BI429" s="507"/>
    </row>
    <row r="430" spans="1:61" ht="15.75" customHeight="1">
      <c r="A430" s="523" t="s">
        <v>47</v>
      </c>
      <c r="B430" s="504"/>
      <c r="C430" s="737" t="s">
        <v>227</v>
      </c>
      <c r="V430" s="600" t="s">
        <v>47</v>
      </c>
      <c r="W430" s="775" t="s">
        <v>148</v>
      </c>
      <c r="X430" s="768"/>
      <c r="Y430" s="794">
        <f>Z430/(SUM(Z420:Z424)+E194-F194+Z410+Z409)</f>
        <v>6.6299128554088385E-2</v>
      </c>
      <c r="Z430" s="769">
        <f t="shared" si="89"/>
        <v>32838.789507068017</v>
      </c>
      <c r="AA430" s="768"/>
      <c r="AB430" s="768"/>
      <c r="AC430" s="769"/>
      <c r="AD430" s="777"/>
      <c r="AE430" s="776"/>
      <c r="AF430" s="769">
        <f>+SUMIF($C:$C,$V430,L:L)</f>
        <v>1624.6100000000001</v>
      </c>
      <c r="AG430" s="770"/>
      <c r="AH430" s="771">
        <f t="shared" si="91"/>
        <v>-31214.179507068016</v>
      </c>
      <c r="AI430" s="772">
        <f t="shared" si="88"/>
        <v>-0.95052771358547394</v>
      </c>
      <c r="AJ430" s="777"/>
      <c r="AK430" s="768"/>
      <c r="AL430" s="769">
        <f>IFERROR(SUMIF($C:$C,$V430,Q:Q),0)</f>
        <v>20296.87999999999</v>
      </c>
      <c r="AM430" s="773"/>
      <c r="AN430" s="771">
        <f t="shared" si="85"/>
        <v>-18672.26999999999</v>
      </c>
      <c r="AO430" s="779">
        <f t="shared" si="86"/>
        <v>-0.91995764866324281</v>
      </c>
      <c r="AP430" s="507"/>
      <c r="AQ430" s="507"/>
      <c r="AR430" s="507"/>
      <c r="AS430" s="507"/>
      <c r="AT430" s="507"/>
      <c r="AU430" s="507"/>
      <c r="AV430" s="507"/>
      <c r="AW430" s="507"/>
      <c r="AX430" s="507"/>
      <c r="AY430" s="507"/>
      <c r="AZ430" s="507"/>
      <c r="BA430" s="507"/>
      <c r="BB430" s="507"/>
      <c r="BC430" s="507"/>
      <c r="BD430" s="507"/>
      <c r="BE430" s="507"/>
      <c r="BF430" s="507"/>
      <c r="BG430" s="507"/>
      <c r="BH430" s="507"/>
      <c r="BI430" s="507"/>
    </row>
    <row r="431" spans="1:61" ht="15.75" customHeight="1">
      <c r="A431" s="523" t="s">
        <v>48</v>
      </c>
      <c r="B431" s="504"/>
      <c r="C431" s="737" t="s">
        <v>227</v>
      </c>
      <c r="V431" s="600" t="s">
        <v>48</v>
      </c>
      <c r="W431" s="775"/>
      <c r="X431" s="768"/>
      <c r="Y431" s="768"/>
      <c r="Z431" s="769">
        <f t="shared" si="89"/>
        <v>14317.896972139359</v>
      </c>
      <c r="AA431" s="768"/>
      <c r="AB431" s="768"/>
      <c r="AC431" s="769"/>
      <c r="AD431" s="777"/>
      <c r="AE431" s="776"/>
      <c r="AF431" s="769">
        <f>+SUMIF($C:$C,$V431,L:L)</f>
        <v>8487.58</v>
      </c>
      <c r="AG431" s="770"/>
      <c r="AH431" s="771">
        <f t="shared" si="91"/>
        <v>-5830.3169721393588</v>
      </c>
      <c r="AI431" s="795">
        <f t="shared" si="88"/>
        <v>-0.40720484184823696</v>
      </c>
      <c r="AJ431" s="777"/>
      <c r="AK431" s="768"/>
      <c r="AL431" s="769">
        <f>IFERROR(SUMIF($C:$C,$V431,Q:Q),0)</f>
        <v>7772.43</v>
      </c>
      <c r="AM431" s="773"/>
      <c r="AN431" s="771">
        <f t="shared" si="85"/>
        <v>715.14999999999964</v>
      </c>
      <c r="AO431" s="779">
        <f t="shared" si="86"/>
        <v>9.2011121361015746E-2</v>
      </c>
      <c r="AP431" s="507"/>
      <c r="AQ431" s="507"/>
      <c r="AR431" s="507"/>
      <c r="AS431" s="507"/>
      <c r="AT431" s="507"/>
      <c r="AU431" s="507"/>
      <c r="AV431" s="507"/>
      <c r="AW431" s="507"/>
      <c r="AX431" s="507"/>
      <c r="AY431" s="507"/>
      <c r="AZ431" s="507"/>
      <c r="BA431" s="507"/>
      <c r="BB431" s="507"/>
      <c r="BC431" s="507"/>
      <c r="BD431" s="507"/>
      <c r="BE431" s="507"/>
      <c r="BF431" s="507"/>
      <c r="BG431" s="507"/>
      <c r="BH431" s="507"/>
      <c r="BI431" s="507"/>
    </row>
    <row r="432" spans="1:61" ht="15.75" hidden="1" customHeight="1">
      <c r="A432" s="523" t="s">
        <v>20</v>
      </c>
      <c r="B432" s="504"/>
      <c r="C432" s="737" t="s">
        <v>227</v>
      </c>
      <c r="V432" s="531" t="s">
        <v>20</v>
      </c>
      <c r="W432" s="775"/>
      <c r="X432" s="768"/>
      <c r="Y432" s="776"/>
      <c r="Z432" s="769">
        <f>IFERROR(SUMIF($C:$C,$V432,F:F),0)</f>
        <v>0</v>
      </c>
      <c r="AA432" s="768"/>
      <c r="AB432" s="768"/>
      <c r="AC432" s="769"/>
      <c r="AD432" s="777"/>
      <c r="AE432" s="776"/>
      <c r="AF432" s="769">
        <f>IFERROR(SUMIF($C:$C,$V432,L:L),0)</f>
        <v>0</v>
      </c>
      <c r="AG432" s="770"/>
      <c r="AH432" s="771">
        <f t="shared" si="91"/>
        <v>0</v>
      </c>
      <c r="AI432" s="772">
        <f t="shared" si="88"/>
        <v>0</v>
      </c>
      <c r="AJ432" s="777"/>
      <c r="AK432" s="768"/>
      <c r="AL432" s="769">
        <f>IFERROR(SUMIF($C:$C,$V432,Q:Q),0)</f>
        <v>0</v>
      </c>
      <c r="AM432" s="773"/>
      <c r="AN432" s="771"/>
      <c r="AO432" s="757"/>
      <c r="AP432" s="507"/>
      <c r="AQ432" s="507"/>
      <c r="AR432" s="507"/>
      <c r="AS432" s="507"/>
      <c r="AT432" s="507"/>
      <c r="AU432" s="507"/>
      <c r="AV432" s="507"/>
      <c r="AW432" s="507"/>
      <c r="AX432" s="507"/>
      <c r="AY432" s="507"/>
      <c r="AZ432" s="507"/>
      <c r="BA432" s="507"/>
      <c r="BB432" s="507"/>
      <c r="BC432" s="507"/>
      <c r="BD432" s="507"/>
      <c r="BE432" s="507"/>
      <c r="BF432" s="507"/>
      <c r="BG432" s="507"/>
      <c r="BH432" s="507"/>
      <c r="BI432" s="507"/>
    </row>
    <row r="433" spans="1:62" ht="15.75" customHeight="1">
      <c r="A433" s="523" t="s">
        <v>49</v>
      </c>
      <c r="B433" s="504"/>
      <c r="C433" s="737" t="s">
        <v>227</v>
      </c>
      <c r="V433" s="785" t="s">
        <v>49</v>
      </c>
      <c r="W433" s="786"/>
      <c r="X433" s="787">
        <f>Z433/Z407</f>
        <v>0.39186491002014928</v>
      </c>
      <c r="Y433" s="786"/>
      <c r="Z433" s="788">
        <f>SUM(Z420:Z432)</f>
        <v>386305.01575409248</v>
      </c>
      <c r="AA433" s="787"/>
      <c r="AB433" s="786"/>
      <c r="AC433" s="788"/>
      <c r="AD433" s="789">
        <f>AF433/AF407</f>
        <v>0.44102947376397356</v>
      </c>
      <c r="AE433" s="796"/>
      <c r="AF433" s="788">
        <f>SUM(AF420:AF432)</f>
        <v>328495.51999999996</v>
      </c>
      <c r="AG433" s="790"/>
      <c r="AH433" s="791">
        <f t="shared" si="91"/>
        <v>-57809.495754092524</v>
      </c>
      <c r="AI433" s="787">
        <f>AH433/Z433</f>
        <v>-0.14964728231976132</v>
      </c>
      <c r="AJ433" s="789">
        <f>IF($AL$407=0,0,AL433/$AL$407)</f>
        <v>0.37232680386314121</v>
      </c>
      <c r="AK433" s="786"/>
      <c r="AL433" s="788">
        <f>SUM(AL420:AL432)</f>
        <v>306416.37</v>
      </c>
      <c r="AM433" s="797"/>
      <c r="AN433" s="791">
        <f t="shared" ref="AN433:AN451" si="92">AF433-AL433</f>
        <v>22079.149999999965</v>
      </c>
      <c r="AO433" s="766">
        <f t="shared" ref="AO433:AO461" si="93">IF(AL433=0,0,AN433/AL433)</f>
        <v>7.205603930364414E-2</v>
      </c>
      <c r="AP433" s="507"/>
      <c r="AQ433" s="507"/>
      <c r="AR433" s="507"/>
      <c r="AS433" s="507"/>
      <c r="AT433" s="507"/>
      <c r="AU433" s="507"/>
      <c r="AV433" s="507"/>
      <c r="AW433" s="507"/>
      <c r="AX433" s="507"/>
      <c r="AY433" s="507"/>
      <c r="AZ433" s="507"/>
      <c r="BA433" s="507"/>
      <c r="BB433" s="507"/>
      <c r="BC433" s="507"/>
      <c r="BD433" s="507"/>
      <c r="BE433" s="507"/>
      <c r="BF433" s="507"/>
      <c r="BG433" s="507"/>
      <c r="BH433" s="507"/>
      <c r="BI433" s="507"/>
    </row>
    <row r="434" spans="1:62" ht="15.75" customHeight="1">
      <c r="A434" s="523" t="s">
        <v>50</v>
      </c>
      <c r="B434" s="504"/>
      <c r="C434" s="737" t="s">
        <v>227</v>
      </c>
      <c r="V434" s="706" t="s">
        <v>50</v>
      </c>
      <c r="W434" s="798" t="s">
        <v>138</v>
      </c>
      <c r="X434" s="799"/>
      <c r="Y434" s="799"/>
      <c r="Z434" s="800">
        <f t="shared" ref="Z434:Z448" si="94">+SUMIF($C:$C,$V434,F:F)</f>
        <v>14838.560455902774</v>
      </c>
      <c r="AA434" s="799"/>
      <c r="AB434" s="799"/>
      <c r="AC434" s="800"/>
      <c r="AD434" s="801"/>
      <c r="AE434" s="802"/>
      <c r="AF434" s="800">
        <f t="shared" ref="AF434:AF448" si="95">+SUMIF($C:$C,$V434,L:L)</f>
        <v>16041.85</v>
      </c>
      <c r="AG434" s="801"/>
      <c r="AH434" s="803">
        <f t="shared" si="91"/>
        <v>1203.2895440972261</v>
      </c>
      <c r="AI434" s="804">
        <f t="shared" ref="AI434:AI451" si="96">IF(Z434=0,0,AH434/Z434)</f>
        <v>8.1092067365507683E-2</v>
      </c>
      <c r="AJ434" s="801"/>
      <c r="AK434" s="799"/>
      <c r="AL434" s="800">
        <f t="shared" ref="AL434:AL448" si="97">+SUMIF($C:$C,$V434,Q:Q)</f>
        <v>15086.61</v>
      </c>
      <c r="AM434" s="805"/>
      <c r="AN434" s="803">
        <f t="shared" si="92"/>
        <v>955.23999999999978</v>
      </c>
      <c r="AO434" s="774">
        <f t="shared" si="93"/>
        <v>6.331707388207157E-2</v>
      </c>
      <c r="AP434" s="507"/>
      <c r="AQ434" s="507"/>
      <c r="AR434" s="507"/>
      <c r="AS434" s="507"/>
      <c r="AT434" s="507"/>
      <c r="AU434" s="507"/>
      <c r="AV434" s="507"/>
      <c r="AW434" s="507"/>
      <c r="AX434" s="507"/>
      <c r="AY434" s="507"/>
      <c r="AZ434" s="507"/>
      <c r="BA434" s="507"/>
      <c r="BB434" s="507"/>
      <c r="BC434" s="507"/>
      <c r="BD434" s="507"/>
      <c r="BE434" s="507"/>
      <c r="BF434" s="507"/>
      <c r="BG434" s="507"/>
      <c r="BH434" s="507"/>
      <c r="BI434" s="507"/>
    </row>
    <row r="435" spans="1:62" ht="15.75" customHeight="1">
      <c r="A435" s="523" t="s">
        <v>51</v>
      </c>
      <c r="B435" s="504"/>
      <c r="C435" s="737" t="s">
        <v>227</v>
      </c>
      <c r="V435" s="600" t="s">
        <v>51</v>
      </c>
      <c r="W435" s="775" t="s">
        <v>149</v>
      </c>
      <c r="X435" s="768"/>
      <c r="Y435" s="768"/>
      <c r="Z435" s="769">
        <f t="shared" si="94"/>
        <v>5939.0656258991448</v>
      </c>
      <c r="AA435" s="768"/>
      <c r="AB435" s="768"/>
      <c r="AC435" s="769"/>
      <c r="AD435" s="777"/>
      <c r="AE435" s="776"/>
      <c r="AF435" s="769">
        <f t="shared" si="95"/>
        <v>9244.6799999999985</v>
      </c>
      <c r="AG435" s="770"/>
      <c r="AH435" s="771">
        <f t="shared" si="91"/>
        <v>3305.6143741008536</v>
      </c>
      <c r="AI435" s="772">
        <f t="shared" si="96"/>
        <v>0.5565882888523227</v>
      </c>
      <c r="AJ435" s="777"/>
      <c r="AK435" s="768"/>
      <c r="AL435" s="769">
        <f t="shared" si="97"/>
        <v>14687.519999999991</v>
      </c>
      <c r="AM435" s="773"/>
      <c r="AN435" s="771">
        <f t="shared" si="92"/>
        <v>-5442.8399999999929</v>
      </c>
      <c r="AO435" s="779">
        <f t="shared" si="93"/>
        <v>-0.37057583581162756</v>
      </c>
      <c r="AP435" s="507"/>
      <c r="AQ435" s="507"/>
      <c r="AR435" s="507"/>
      <c r="AS435" s="507"/>
      <c r="AT435" s="507"/>
      <c r="AU435" s="507"/>
      <c r="AV435" s="507"/>
      <c r="AW435" s="507"/>
      <c r="AX435" s="507"/>
      <c r="AY435" s="507"/>
      <c r="AZ435" s="507"/>
      <c r="BA435" s="507"/>
      <c r="BB435" s="507"/>
      <c r="BC435" s="507"/>
      <c r="BD435" s="507"/>
      <c r="BE435" s="507"/>
      <c r="BF435" s="507"/>
      <c r="BG435" s="507"/>
      <c r="BH435" s="507"/>
      <c r="BI435" s="507"/>
    </row>
    <row r="436" spans="1:62" ht="15.75" customHeight="1">
      <c r="A436" s="523" t="s">
        <v>52</v>
      </c>
      <c r="B436" s="504"/>
      <c r="C436" s="737" t="s">
        <v>227</v>
      </c>
      <c r="U436" s="806"/>
      <c r="V436" s="602" t="s">
        <v>52</v>
      </c>
      <c r="W436" s="780" t="s">
        <v>150</v>
      </c>
      <c r="X436" s="751"/>
      <c r="Y436" s="751"/>
      <c r="Z436" s="752">
        <f t="shared" si="94"/>
        <v>26075</v>
      </c>
      <c r="AA436" s="751"/>
      <c r="AB436" s="751"/>
      <c r="AC436" s="752"/>
      <c r="AD436" s="782"/>
      <c r="AE436" s="781"/>
      <c r="AF436" s="752">
        <f t="shared" si="95"/>
        <v>31171.79</v>
      </c>
      <c r="AG436" s="753"/>
      <c r="AH436" s="754">
        <f t="shared" si="91"/>
        <v>5096.7900000000009</v>
      </c>
      <c r="AI436" s="783">
        <f t="shared" si="96"/>
        <v>0.19546653883029724</v>
      </c>
      <c r="AJ436" s="782"/>
      <c r="AK436" s="751"/>
      <c r="AL436" s="752">
        <f t="shared" si="97"/>
        <v>26695.439999999999</v>
      </c>
      <c r="AM436" s="756"/>
      <c r="AN436" s="754">
        <f t="shared" si="92"/>
        <v>4476.3500000000022</v>
      </c>
      <c r="AO436" s="757">
        <f t="shared" si="93"/>
        <v>0.16768219591061254</v>
      </c>
      <c r="AP436" s="507"/>
      <c r="AQ436" s="507"/>
      <c r="AR436" s="507"/>
      <c r="AS436" s="507"/>
      <c r="AT436" s="507"/>
      <c r="AU436" s="507"/>
      <c r="AV436" s="507"/>
      <c r="AW436" s="507"/>
      <c r="AX436" s="507"/>
      <c r="AY436" s="507"/>
      <c r="AZ436" s="507"/>
      <c r="BA436" s="507"/>
      <c r="BB436" s="507"/>
      <c r="BC436" s="507"/>
      <c r="BD436" s="507"/>
      <c r="BE436" s="507"/>
      <c r="BF436" s="507"/>
      <c r="BG436" s="507"/>
      <c r="BH436" s="507"/>
      <c r="BI436" s="507"/>
    </row>
    <row r="437" spans="1:62" ht="15.75" customHeight="1">
      <c r="A437" s="523" t="s">
        <v>53</v>
      </c>
      <c r="B437" s="504"/>
      <c r="C437" s="737" t="s">
        <v>227</v>
      </c>
      <c r="U437" s="806"/>
      <c r="V437" s="600" t="s">
        <v>53</v>
      </c>
      <c r="W437" s="775" t="s">
        <v>151</v>
      </c>
      <c r="X437" s="768"/>
      <c r="Y437" s="768"/>
      <c r="Z437" s="769">
        <f t="shared" si="94"/>
        <v>22270.688511111108</v>
      </c>
      <c r="AA437" s="768"/>
      <c r="AB437" s="768"/>
      <c r="AC437" s="769"/>
      <c r="AD437" s="777"/>
      <c r="AE437" s="776"/>
      <c r="AF437" s="769">
        <f t="shared" si="95"/>
        <v>20276.379999999997</v>
      </c>
      <c r="AG437" s="770"/>
      <c r="AH437" s="807">
        <f t="shared" si="91"/>
        <v>-1994.3085111111104</v>
      </c>
      <c r="AI437" s="772">
        <f t="shared" si="96"/>
        <v>-8.9548579071371162E-2</v>
      </c>
      <c r="AJ437" s="777"/>
      <c r="AK437" s="768"/>
      <c r="AL437" s="769">
        <f t="shared" si="97"/>
        <v>20657.539999999997</v>
      </c>
      <c r="AM437" s="773"/>
      <c r="AN437" s="771">
        <f t="shared" si="92"/>
        <v>-381.15999999999985</v>
      </c>
      <c r="AO437" s="779">
        <f t="shared" si="93"/>
        <v>-1.8451374171367933E-2</v>
      </c>
      <c r="AP437" s="507"/>
      <c r="AQ437" s="507"/>
      <c r="AR437" s="507"/>
      <c r="AS437" s="507"/>
      <c r="AT437" s="507"/>
      <c r="AU437" s="507"/>
      <c r="AV437" s="507"/>
      <c r="AW437" s="507"/>
      <c r="AX437" s="507"/>
      <c r="AY437" s="507"/>
      <c r="AZ437" s="507"/>
      <c r="BA437" s="507"/>
      <c r="BB437" s="507"/>
      <c r="BC437" s="507"/>
      <c r="BD437" s="507"/>
      <c r="BE437" s="507"/>
      <c r="BF437" s="507"/>
      <c r="BG437" s="507"/>
      <c r="BH437" s="507"/>
      <c r="BI437" s="507"/>
    </row>
    <row r="438" spans="1:62" ht="15.75" customHeight="1">
      <c r="A438" s="523" t="s">
        <v>54</v>
      </c>
      <c r="B438" s="504"/>
      <c r="C438" s="737" t="s">
        <v>227</v>
      </c>
      <c r="U438" s="806"/>
      <c r="V438" s="600" t="s">
        <v>54</v>
      </c>
      <c r="W438" s="775" t="s">
        <v>152</v>
      </c>
      <c r="X438" s="768"/>
      <c r="Y438" s="768"/>
      <c r="Z438" s="769">
        <f t="shared" si="94"/>
        <v>3589.7692131944445</v>
      </c>
      <c r="AA438" s="768"/>
      <c r="AB438" s="768"/>
      <c r="AC438" s="769"/>
      <c r="AD438" s="777"/>
      <c r="AE438" s="776"/>
      <c r="AF438" s="769">
        <f t="shared" si="95"/>
        <v>7234.8</v>
      </c>
      <c r="AG438" s="770"/>
      <c r="AH438" s="771">
        <f t="shared" si="91"/>
        <v>3645.0307868055556</v>
      </c>
      <c r="AI438" s="772">
        <f t="shared" si="96"/>
        <v>1.015394185622851</v>
      </c>
      <c r="AJ438" s="777"/>
      <c r="AK438" s="768"/>
      <c r="AL438" s="769">
        <f t="shared" si="97"/>
        <v>5182.58</v>
      </c>
      <c r="AM438" s="773"/>
      <c r="AN438" s="771">
        <f t="shared" si="92"/>
        <v>2052.2200000000003</v>
      </c>
      <c r="AO438" s="779">
        <f t="shared" si="93"/>
        <v>0.39598423951005102</v>
      </c>
      <c r="AP438" s="507"/>
      <c r="AQ438" s="507"/>
      <c r="AR438" s="507"/>
      <c r="AS438" s="507"/>
      <c r="AT438" s="507"/>
      <c r="AU438" s="507"/>
      <c r="AV438" s="507"/>
      <c r="AW438" s="507"/>
      <c r="AX438" s="507"/>
      <c r="AY438" s="507"/>
      <c r="AZ438" s="507"/>
      <c r="BA438" s="507"/>
      <c r="BB438" s="507"/>
      <c r="BC438" s="507"/>
      <c r="BD438" s="507"/>
      <c r="BE438" s="507"/>
      <c r="BF438" s="507"/>
      <c r="BG438" s="507"/>
      <c r="BH438" s="507"/>
      <c r="BI438" s="507"/>
    </row>
    <row r="439" spans="1:62" ht="15.75" customHeight="1">
      <c r="A439" s="523" t="s">
        <v>55</v>
      </c>
      <c r="B439" s="504"/>
      <c r="C439" s="737" t="s">
        <v>227</v>
      </c>
      <c r="V439" s="600" t="s">
        <v>55</v>
      </c>
      <c r="W439" s="775" t="s">
        <v>153</v>
      </c>
      <c r="X439" s="768"/>
      <c r="Y439" s="768"/>
      <c r="Z439" s="769">
        <f t="shared" si="94"/>
        <v>36436.160651539351</v>
      </c>
      <c r="AA439" s="768"/>
      <c r="AB439" s="768"/>
      <c r="AC439" s="769"/>
      <c r="AD439" s="777"/>
      <c r="AE439" s="776"/>
      <c r="AF439" s="769">
        <f t="shared" si="95"/>
        <v>36937.01</v>
      </c>
      <c r="AG439" s="770"/>
      <c r="AH439" s="771">
        <f t="shared" si="91"/>
        <v>500.84934846065153</v>
      </c>
      <c r="AI439" s="772">
        <f t="shared" si="96"/>
        <v>1.3745941929792532E-2</v>
      </c>
      <c r="AJ439" s="777"/>
      <c r="AK439" s="768"/>
      <c r="AL439" s="769">
        <f t="shared" si="97"/>
        <v>40008.520000000004</v>
      </c>
      <c r="AM439" s="773"/>
      <c r="AN439" s="771">
        <f t="shared" si="92"/>
        <v>-3071.510000000002</v>
      </c>
      <c r="AO439" s="779">
        <f t="shared" si="93"/>
        <v>-7.677139769229159E-2</v>
      </c>
      <c r="AP439" s="507"/>
      <c r="AQ439" s="507"/>
      <c r="AR439" s="507"/>
      <c r="AS439" s="507"/>
      <c r="AT439" s="507"/>
      <c r="AU439" s="507"/>
      <c r="AV439" s="507"/>
      <c r="AW439" s="507"/>
      <c r="AX439" s="507"/>
      <c r="AY439" s="507"/>
      <c r="AZ439" s="507"/>
      <c r="BA439" s="507"/>
      <c r="BB439" s="507"/>
      <c r="BC439" s="507"/>
      <c r="BD439" s="507"/>
      <c r="BE439" s="507"/>
      <c r="BF439" s="507"/>
      <c r="BG439" s="507"/>
      <c r="BH439" s="507"/>
      <c r="BI439" s="507"/>
    </row>
    <row r="440" spans="1:62" ht="15.75" customHeight="1">
      <c r="B440" s="504"/>
      <c r="C440" s="737" t="s">
        <v>227</v>
      </c>
      <c r="V440" s="706" t="s">
        <v>98</v>
      </c>
      <c r="W440" s="798"/>
      <c r="X440" s="799"/>
      <c r="Y440" s="799"/>
      <c r="Z440" s="800">
        <f t="shared" si="94"/>
        <v>0</v>
      </c>
      <c r="AA440" s="799"/>
      <c r="AB440" s="799"/>
      <c r="AC440" s="800"/>
      <c r="AD440" s="801"/>
      <c r="AE440" s="802"/>
      <c r="AF440" s="800">
        <f t="shared" si="95"/>
        <v>0</v>
      </c>
      <c r="AG440" s="808"/>
      <c r="AH440" s="803">
        <f t="shared" si="91"/>
        <v>0</v>
      </c>
      <c r="AI440" s="804">
        <f t="shared" si="96"/>
        <v>0</v>
      </c>
      <c r="AJ440" s="801"/>
      <c r="AK440" s="799"/>
      <c r="AL440" s="800">
        <f t="shared" si="97"/>
        <v>0</v>
      </c>
      <c r="AM440" s="805"/>
      <c r="AN440" s="803">
        <f t="shared" si="92"/>
        <v>0</v>
      </c>
      <c r="AO440" s="774">
        <f t="shared" si="93"/>
        <v>0</v>
      </c>
      <c r="AP440" s="507"/>
      <c r="AQ440" s="507"/>
      <c r="AR440" s="507"/>
      <c r="AS440" s="507"/>
      <c r="AT440" s="507"/>
      <c r="AU440" s="507"/>
      <c r="AV440" s="507"/>
      <c r="AW440" s="507"/>
      <c r="AX440" s="507"/>
      <c r="AY440" s="507"/>
      <c r="AZ440" s="507"/>
      <c r="BA440" s="507"/>
      <c r="BB440" s="507"/>
      <c r="BC440" s="507"/>
      <c r="BD440" s="507"/>
      <c r="BE440" s="507"/>
      <c r="BF440" s="507"/>
      <c r="BG440" s="507"/>
      <c r="BH440" s="507"/>
      <c r="BI440" s="507"/>
    </row>
    <row r="441" spans="1:62" ht="15.75" customHeight="1">
      <c r="A441" s="523" t="s">
        <v>56</v>
      </c>
      <c r="B441" s="504"/>
      <c r="C441" s="737" t="s">
        <v>227</v>
      </c>
      <c r="V441" s="600" t="s">
        <v>56</v>
      </c>
      <c r="W441" s="775" t="s">
        <v>154</v>
      </c>
      <c r="X441" s="768"/>
      <c r="Y441" s="776"/>
      <c r="Z441" s="769">
        <f t="shared" si="94"/>
        <v>6083.333333333333</v>
      </c>
      <c r="AA441" s="768"/>
      <c r="AB441" s="776"/>
      <c r="AC441" s="769"/>
      <c r="AD441" s="777"/>
      <c r="AE441" s="776"/>
      <c r="AF441" s="769">
        <f t="shared" si="95"/>
        <v>4505.9299999999994</v>
      </c>
      <c r="AG441" s="770"/>
      <c r="AH441" s="771">
        <f t="shared" si="91"/>
        <v>-1577.4033333333336</v>
      </c>
      <c r="AI441" s="772">
        <f t="shared" si="96"/>
        <v>-0.25929917808219183</v>
      </c>
      <c r="AJ441" s="777"/>
      <c r="AK441" s="768"/>
      <c r="AL441" s="769">
        <f t="shared" si="97"/>
        <v>11236.679999999998</v>
      </c>
      <c r="AM441" s="773"/>
      <c r="AN441" s="771">
        <f t="shared" si="92"/>
        <v>-6730.7499999999991</v>
      </c>
      <c r="AO441" s="779">
        <f t="shared" si="93"/>
        <v>-0.59899810264241748</v>
      </c>
      <c r="AP441" s="507"/>
      <c r="AQ441" s="507"/>
      <c r="AR441" s="507"/>
      <c r="AS441" s="507"/>
      <c r="AT441" s="507"/>
      <c r="AU441" s="507"/>
      <c r="AV441" s="507"/>
      <c r="AW441" s="507"/>
      <c r="AX441" s="507"/>
      <c r="AY441" s="507"/>
      <c r="AZ441" s="507"/>
      <c r="BA441" s="507"/>
      <c r="BB441" s="507"/>
      <c r="BC441" s="507"/>
      <c r="BD441" s="507"/>
      <c r="BE441" s="507"/>
      <c r="BF441" s="507"/>
      <c r="BG441" s="507"/>
      <c r="BH441" s="507"/>
      <c r="BI441" s="507"/>
      <c r="BJ441" s="507"/>
    </row>
    <row r="442" spans="1:62" ht="15.75" customHeight="1">
      <c r="A442" s="523" t="s">
        <v>57</v>
      </c>
      <c r="B442" s="504"/>
      <c r="C442" s="737" t="s">
        <v>227</v>
      </c>
      <c r="U442" s="507"/>
      <c r="V442" s="600" t="s">
        <v>57</v>
      </c>
      <c r="W442" s="775" t="s">
        <v>155</v>
      </c>
      <c r="X442" s="768"/>
      <c r="Y442" s="768"/>
      <c r="Z442" s="769">
        <f t="shared" si="94"/>
        <v>1555.2749709404429</v>
      </c>
      <c r="AA442" s="768"/>
      <c r="AB442" s="768"/>
      <c r="AC442" s="769"/>
      <c r="AD442" s="777"/>
      <c r="AE442" s="776"/>
      <c r="AF442" s="769">
        <f t="shared" si="95"/>
        <v>1200.28</v>
      </c>
      <c r="AG442" s="770"/>
      <c r="AH442" s="771">
        <f t="shared" si="91"/>
        <v>-354.99497094044295</v>
      </c>
      <c r="AI442" s="795">
        <f t="shared" si="96"/>
        <v>-0.22825222393039912</v>
      </c>
      <c r="AJ442" s="777"/>
      <c r="AK442" s="768"/>
      <c r="AL442" s="769">
        <f t="shared" si="97"/>
        <v>1903.87</v>
      </c>
      <c r="AM442" s="773"/>
      <c r="AN442" s="771">
        <f t="shared" si="92"/>
        <v>-703.58999999999992</v>
      </c>
      <c r="AO442" s="779">
        <f t="shared" si="93"/>
        <v>-0.36955779543771367</v>
      </c>
      <c r="AP442" s="507"/>
      <c r="AQ442" s="507"/>
      <c r="AR442" s="507"/>
      <c r="AS442" s="507"/>
      <c r="AT442" s="507"/>
      <c r="AU442" s="507"/>
      <c r="AV442" s="507"/>
      <c r="AW442" s="507"/>
      <c r="AX442" s="507"/>
      <c r="AY442" s="507"/>
      <c r="AZ442" s="507"/>
      <c r="BA442" s="507"/>
      <c r="BB442" s="507"/>
      <c r="BC442" s="507"/>
      <c r="BD442" s="507"/>
      <c r="BE442" s="507"/>
      <c r="BF442" s="507"/>
      <c r="BG442" s="507"/>
      <c r="BH442" s="507"/>
      <c r="BI442" s="507"/>
      <c r="BJ442" s="507"/>
    </row>
    <row r="443" spans="1:62" ht="15.75" customHeight="1">
      <c r="A443" s="523" t="s">
        <v>58</v>
      </c>
      <c r="B443" s="504"/>
      <c r="C443" s="737" t="s">
        <v>227</v>
      </c>
      <c r="T443" s="507"/>
      <c r="U443" s="507"/>
      <c r="V443" s="600" t="s">
        <v>58</v>
      </c>
      <c r="W443" s="775" t="s">
        <v>156</v>
      </c>
      <c r="X443" s="768"/>
      <c r="Y443" s="768"/>
      <c r="Z443" s="769">
        <f t="shared" si="94"/>
        <v>2587.4465749000001</v>
      </c>
      <c r="AA443" s="768"/>
      <c r="AB443" s="768"/>
      <c r="AC443" s="769"/>
      <c r="AD443" s="777"/>
      <c r="AE443" s="776"/>
      <c r="AF443" s="769">
        <f t="shared" si="95"/>
        <v>4314.07</v>
      </c>
      <c r="AG443" s="770"/>
      <c r="AH443" s="771">
        <f t="shared" si="91"/>
        <v>1726.6234250999996</v>
      </c>
      <c r="AI443" s="772">
        <f t="shared" si="96"/>
        <v>0.66730785549329863</v>
      </c>
      <c r="AJ443" s="777"/>
      <c r="AK443" s="768"/>
      <c r="AL443" s="769">
        <f t="shared" si="97"/>
        <v>6455.48</v>
      </c>
      <c r="AM443" s="773"/>
      <c r="AN443" s="771">
        <f t="shared" si="92"/>
        <v>-2141.41</v>
      </c>
      <c r="AO443" s="779">
        <f t="shared" si="93"/>
        <v>-0.33171971720150939</v>
      </c>
      <c r="AP443" s="507"/>
      <c r="AQ443" s="507"/>
      <c r="AR443" s="507"/>
      <c r="AS443" s="507"/>
      <c r="AT443" s="507"/>
      <c r="AU443" s="507"/>
      <c r="AV443" s="507"/>
      <c r="AW443" s="507"/>
      <c r="AX443" s="507"/>
      <c r="AY443" s="507"/>
      <c r="AZ443" s="507"/>
      <c r="BA443" s="507"/>
      <c r="BB443" s="507"/>
      <c r="BC443" s="507"/>
      <c r="BD443" s="507"/>
      <c r="BE443" s="507"/>
      <c r="BF443" s="507"/>
      <c r="BG443" s="507"/>
      <c r="BH443" s="507"/>
      <c r="BI443" s="507"/>
      <c r="BJ443" s="507"/>
    </row>
    <row r="444" spans="1:62" ht="15.75" customHeight="1">
      <c r="A444" s="523" t="s">
        <v>59</v>
      </c>
      <c r="B444" s="504"/>
      <c r="C444" s="737" t="s">
        <v>227</v>
      </c>
      <c r="T444" s="507"/>
      <c r="U444" s="507"/>
      <c r="V444" s="600" t="s">
        <v>59</v>
      </c>
      <c r="W444" s="775" t="s">
        <v>157</v>
      </c>
      <c r="X444" s="768"/>
      <c r="Y444" s="768"/>
      <c r="Z444" s="769">
        <f t="shared" si="94"/>
        <v>778.11576579027781</v>
      </c>
      <c r="AA444" s="768"/>
      <c r="AB444" s="768"/>
      <c r="AC444" s="769"/>
      <c r="AD444" s="777"/>
      <c r="AE444" s="776"/>
      <c r="AF444" s="769">
        <f t="shared" si="95"/>
        <v>750.08999999999992</v>
      </c>
      <c r="AG444" s="770"/>
      <c r="AH444" s="771">
        <f t="shared" si="91"/>
        <v>-28.025765790277887</v>
      </c>
      <c r="AI444" s="795">
        <f t="shared" si="96"/>
        <v>-3.6017475833835695E-2</v>
      </c>
      <c r="AJ444" s="777"/>
      <c r="AK444" s="768"/>
      <c r="AL444" s="769">
        <f t="shared" si="97"/>
        <v>654.81000000000006</v>
      </c>
      <c r="AM444" s="773"/>
      <c r="AN444" s="771">
        <f t="shared" si="92"/>
        <v>95.279999999999859</v>
      </c>
      <c r="AO444" s="779">
        <f t="shared" si="93"/>
        <v>0.14550785724103152</v>
      </c>
      <c r="AP444" s="507"/>
      <c r="AQ444" s="507"/>
      <c r="AR444" s="507"/>
      <c r="AS444" s="507"/>
      <c r="AT444" s="507"/>
      <c r="AU444" s="507"/>
      <c r="AV444" s="507"/>
      <c r="AW444" s="507"/>
      <c r="AX444" s="507"/>
      <c r="AY444" s="507"/>
      <c r="AZ444" s="507"/>
      <c r="BA444" s="507"/>
      <c r="BB444" s="507"/>
      <c r="BC444" s="507"/>
      <c r="BD444" s="507"/>
      <c r="BE444" s="507"/>
      <c r="BF444" s="507"/>
      <c r="BG444" s="507"/>
      <c r="BH444" s="507"/>
      <c r="BI444" s="507"/>
      <c r="BJ444" s="507"/>
    </row>
    <row r="445" spans="1:62" ht="15.75" customHeight="1">
      <c r="A445" s="523" t="s">
        <v>60</v>
      </c>
      <c r="B445" s="504"/>
      <c r="C445" s="737" t="s">
        <v>227</v>
      </c>
      <c r="T445" s="507"/>
      <c r="U445" s="507"/>
      <c r="V445" s="600" t="s">
        <v>60</v>
      </c>
      <c r="W445" s="775" t="s">
        <v>158</v>
      </c>
      <c r="X445" s="768"/>
      <c r="Y445" s="768"/>
      <c r="Z445" s="769">
        <f t="shared" si="94"/>
        <v>462.27621220972219</v>
      </c>
      <c r="AA445" s="768"/>
      <c r="AB445" s="768"/>
      <c r="AC445" s="769"/>
      <c r="AD445" s="777"/>
      <c r="AE445" s="776"/>
      <c r="AF445" s="769">
        <f t="shared" si="95"/>
        <v>-54.58</v>
      </c>
      <c r="AG445" s="770"/>
      <c r="AH445" s="771">
        <f t="shared" si="91"/>
        <v>-516.85621220972223</v>
      </c>
      <c r="AI445" s="772">
        <f t="shared" si="96"/>
        <v>-1.1180679398126558</v>
      </c>
      <c r="AJ445" s="777"/>
      <c r="AK445" s="768"/>
      <c r="AL445" s="769">
        <f t="shared" si="97"/>
        <v>-874.7399999999999</v>
      </c>
      <c r="AM445" s="773"/>
      <c r="AN445" s="771">
        <f t="shared" si="92"/>
        <v>820.15999999999985</v>
      </c>
      <c r="AO445" s="779">
        <f t="shared" si="93"/>
        <v>-0.93760431671125133</v>
      </c>
      <c r="AP445" s="507"/>
      <c r="AQ445" s="507"/>
      <c r="AR445" s="507"/>
      <c r="AS445" s="507"/>
      <c r="AT445" s="507"/>
      <c r="AU445" s="507"/>
      <c r="AV445" s="507"/>
      <c r="AW445" s="507"/>
      <c r="AX445" s="507"/>
      <c r="AY445" s="507"/>
      <c r="AZ445" s="507"/>
      <c r="BA445" s="507"/>
      <c r="BB445" s="507"/>
      <c r="BC445" s="507"/>
      <c r="BD445" s="507"/>
      <c r="BE445" s="507"/>
      <c r="BF445" s="507"/>
      <c r="BG445" s="507"/>
      <c r="BH445" s="507"/>
      <c r="BI445" s="507"/>
      <c r="BJ445" s="507"/>
    </row>
    <row r="446" spans="1:62" ht="15.75" customHeight="1">
      <c r="A446" s="523" t="s">
        <v>61</v>
      </c>
      <c r="B446" s="504"/>
      <c r="C446" s="737" t="s">
        <v>227</v>
      </c>
      <c r="T446" s="507"/>
      <c r="U446" s="507"/>
      <c r="V446" s="600" t="s">
        <v>61</v>
      </c>
      <c r="W446" s="775" t="s">
        <v>159</v>
      </c>
      <c r="X446" s="768"/>
      <c r="Y446" s="776"/>
      <c r="Z446" s="769">
        <f t="shared" si="94"/>
        <v>1152.4792607347222</v>
      </c>
      <c r="AA446" s="768"/>
      <c r="AB446" s="776"/>
      <c r="AC446" s="769"/>
      <c r="AD446" s="777"/>
      <c r="AE446" s="776"/>
      <c r="AF446" s="769">
        <f t="shared" si="95"/>
        <v>1396.28</v>
      </c>
      <c r="AG446" s="770"/>
      <c r="AH446" s="771">
        <f t="shared" si="91"/>
        <v>243.8007392652778</v>
      </c>
      <c r="AI446" s="795">
        <f t="shared" si="96"/>
        <v>0.21154457834655638</v>
      </c>
      <c r="AJ446" s="777"/>
      <c r="AK446" s="768"/>
      <c r="AL446" s="769">
        <f t="shared" si="97"/>
        <v>71.3</v>
      </c>
      <c r="AM446" s="773"/>
      <c r="AN446" s="771">
        <f t="shared" si="92"/>
        <v>1324.98</v>
      </c>
      <c r="AO446" s="779">
        <f t="shared" si="93"/>
        <v>18.583169705469846</v>
      </c>
      <c r="AP446" s="507"/>
      <c r="AQ446" s="507"/>
      <c r="AR446" s="507"/>
      <c r="AS446" s="507"/>
      <c r="AT446" s="507"/>
      <c r="AU446" s="507"/>
      <c r="AV446" s="507"/>
      <c r="AW446" s="507"/>
      <c r="AX446" s="507"/>
      <c r="AY446" s="507"/>
      <c r="AZ446" s="507"/>
      <c r="BA446" s="507"/>
      <c r="BB446" s="507"/>
      <c r="BC446" s="507"/>
      <c r="BD446" s="507"/>
      <c r="BE446" s="507"/>
      <c r="BF446" s="507"/>
      <c r="BG446" s="507"/>
      <c r="BH446" s="507"/>
      <c r="BI446" s="507"/>
      <c r="BJ446" s="507"/>
    </row>
    <row r="447" spans="1:62" ht="15.75" customHeight="1">
      <c r="A447" s="523" t="s">
        <v>62</v>
      </c>
      <c r="B447" s="504"/>
      <c r="C447" s="737" t="s">
        <v>227</v>
      </c>
      <c r="T447" s="507"/>
      <c r="U447" s="507"/>
      <c r="V447" s="600" t="s">
        <v>62</v>
      </c>
      <c r="W447" s="775" t="s">
        <v>160</v>
      </c>
      <c r="X447" s="768"/>
      <c r="Y447" s="776"/>
      <c r="Z447" s="769">
        <f t="shared" si="94"/>
        <v>7644.3785104434319</v>
      </c>
      <c r="AA447" s="768"/>
      <c r="AB447" s="776"/>
      <c r="AC447" s="769"/>
      <c r="AD447" s="777"/>
      <c r="AE447" s="776"/>
      <c r="AF447" s="769">
        <f t="shared" si="95"/>
        <v>3108.06</v>
      </c>
      <c r="AG447" s="770"/>
      <c r="AH447" s="771">
        <f t="shared" si="91"/>
        <v>-4536.3185104434324</v>
      </c>
      <c r="AI447" s="772">
        <f t="shared" si="96"/>
        <v>-0.59341887692323225</v>
      </c>
      <c r="AJ447" s="777"/>
      <c r="AK447" s="768"/>
      <c r="AL447" s="769">
        <f t="shared" si="97"/>
        <v>11744.14</v>
      </c>
      <c r="AM447" s="773"/>
      <c r="AN447" s="771">
        <f t="shared" si="92"/>
        <v>-8636.08</v>
      </c>
      <c r="AO447" s="779">
        <f t="shared" si="93"/>
        <v>-0.73535226930196684</v>
      </c>
      <c r="AQ447" s="507"/>
      <c r="AR447" s="507"/>
      <c r="AS447" s="507"/>
      <c r="AT447" s="507"/>
      <c r="AU447" s="507"/>
      <c r="AV447" s="507"/>
      <c r="AW447" s="507"/>
      <c r="AX447" s="507"/>
      <c r="AY447" s="507"/>
      <c r="AZ447" s="507"/>
      <c r="BA447" s="507"/>
      <c r="BB447" s="507"/>
      <c r="BC447" s="507"/>
      <c r="BD447" s="507"/>
      <c r="BE447" s="507"/>
      <c r="BF447" s="507"/>
      <c r="BG447" s="507"/>
      <c r="BH447" s="507"/>
      <c r="BI447" s="507"/>
      <c r="BJ447" s="507"/>
    </row>
    <row r="448" spans="1:62" ht="15.75" customHeight="1">
      <c r="A448" s="523" t="s">
        <v>63</v>
      </c>
      <c r="B448" s="504"/>
      <c r="C448" s="737" t="s">
        <v>227</v>
      </c>
      <c r="T448" s="507"/>
      <c r="U448" s="507"/>
      <c r="V448" s="600" t="s">
        <v>63</v>
      </c>
      <c r="W448" s="775" t="s">
        <v>161</v>
      </c>
      <c r="X448" s="768"/>
      <c r="Y448" s="794">
        <f>Z448/Z406</f>
        <v>1.2292973661620602E-3</v>
      </c>
      <c r="Z448" s="769">
        <f t="shared" si="94"/>
        <v>7780.2762857487296</v>
      </c>
      <c r="AA448" s="768"/>
      <c r="AB448" s="776"/>
      <c r="AC448" s="769"/>
      <c r="AD448" s="777"/>
      <c r="AE448" s="776"/>
      <c r="AF448" s="769">
        <f t="shared" si="95"/>
        <v>15108.859999999999</v>
      </c>
      <c r="AG448" s="770"/>
      <c r="AH448" s="771">
        <f t="shared" si="91"/>
        <v>7328.5837142512692</v>
      </c>
      <c r="AI448" s="772">
        <f t="shared" si="96"/>
        <v>0.94194389056275107</v>
      </c>
      <c r="AJ448" s="777"/>
      <c r="AK448" s="768"/>
      <c r="AL448" s="769">
        <f t="shared" si="97"/>
        <v>11388.47</v>
      </c>
      <c r="AM448" s="773"/>
      <c r="AN448" s="771">
        <f t="shared" si="92"/>
        <v>3720.3899999999994</v>
      </c>
      <c r="AO448" s="779">
        <f t="shared" si="93"/>
        <v>0.32668040570858065</v>
      </c>
      <c r="AQ448" s="507"/>
      <c r="AR448" s="507"/>
      <c r="AS448" s="507"/>
      <c r="AT448" s="507"/>
      <c r="AU448" s="507"/>
      <c r="AV448" s="507"/>
      <c r="AW448" s="507"/>
      <c r="AX448" s="507"/>
      <c r="AY448" s="507"/>
      <c r="AZ448" s="507"/>
      <c r="BA448" s="507"/>
      <c r="BB448" s="507"/>
      <c r="BC448" s="507"/>
      <c r="BD448" s="507"/>
      <c r="BE448" s="507"/>
      <c r="BF448" s="507"/>
      <c r="BG448" s="507"/>
      <c r="BH448" s="507"/>
      <c r="BI448" s="507"/>
      <c r="BJ448" s="507"/>
    </row>
    <row r="449" spans="1:62" ht="15.75" hidden="1" customHeight="1">
      <c r="A449" s="523" t="s">
        <v>20</v>
      </c>
      <c r="B449" s="504"/>
      <c r="C449" s="737" t="s">
        <v>227</v>
      </c>
      <c r="T449" s="507"/>
      <c r="U449" s="507"/>
      <c r="V449" s="600" t="s">
        <v>20</v>
      </c>
      <c r="W449" s="775"/>
      <c r="X449" s="768"/>
      <c r="Y449" s="776"/>
      <c r="Z449" s="769">
        <f>IFERROR(SUMIF($C:$C,$V449,F:F),0)</f>
        <v>0</v>
      </c>
      <c r="AA449" s="768"/>
      <c r="AB449" s="768"/>
      <c r="AC449" s="769"/>
      <c r="AD449" s="777"/>
      <c r="AE449" s="776"/>
      <c r="AF449" s="769">
        <f>IFERROR(SUMIF($C:$C,$V449,L:L),0)</f>
        <v>0</v>
      </c>
      <c r="AG449" s="770"/>
      <c r="AH449" s="771">
        <f t="shared" si="91"/>
        <v>0</v>
      </c>
      <c r="AI449" s="772">
        <f t="shared" si="96"/>
        <v>0</v>
      </c>
      <c r="AJ449" s="777"/>
      <c r="AK449" s="768"/>
      <c r="AL449" s="769">
        <f>IFERROR(SUMIF($C:$C,$V449,Q:Q),0)</f>
        <v>0</v>
      </c>
      <c r="AM449" s="773"/>
      <c r="AN449" s="771">
        <f t="shared" si="92"/>
        <v>0</v>
      </c>
      <c r="AO449" s="779">
        <f t="shared" si="93"/>
        <v>0</v>
      </c>
      <c r="AP449" s="507"/>
      <c r="AQ449" s="507"/>
      <c r="AR449" s="507"/>
      <c r="AS449" s="507"/>
      <c r="AT449" s="507"/>
      <c r="AU449" s="507"/>
      <c r="AV449" s="507"/>
      <c r="AW449" s="507"/>
      <c r="AX449" s="507"/>
      <c r="AY449" s="507"/>
      <c r="AZ449" s="507"/>
      <c r="BA449" s="507"/>
      <c r="BB449" s="507"/>
      <c r="BC449" s="507"/>
      <c r="BD449" s="507"/>
      <c r="BE449" s="507"/>
      <c r="BF449" s="507"/>
      <c r="BG449" s="507"/>
      <c r="BH449" s="507"/>
      <c r="BI449" s="507"/>
      <c r="BJ449" s="507"/>
    </row>
    <row r="450" spans="1:62" ht="15.75" hidden="1" customHeight="1">
      <c r="A450" s="523" t="s">
        <v>20</v>
      </c>
      <c r="B450" s="504"/>
      <c r="C450" s="737" t="s">
        <v>227</v>
      </c>
      <c r="T450" s="507"/>
      <c r="U450" s="507"/>
      <c r="V450" s="600" t="s">
        <v>20</v>
      </c>
      <c r="W450" s="775"/>
      <c r="X450" s="768"/>
      <c r="Y450" s="776"/>
      <c r="Z450" s="769">
        <f>IFERROR(SUMIF($C:$C,$V450,F:F),0)</f>
        <v>0</v>
      </c>
      <c r="AA450" s="768"/>
      <c r="AB450" s="768"/>
      <c r="AC450" s="769"/>
      <c r="AD450" s="777"/>
      <c r="AE450" s="776"/>
      <c r="AF450" s="769">
        <f>IFERROR(SUMIF($C:$C,$V450,L:L),0)</f>
        <v>0</v>
      </c>
      <c r="AG450" s="770"/>
      <c r="AH450" s="771">
        <f t="shared" si="91"/>
        <v>0</v>
      </c>
      <c r="AI450" s="772">
        <f t="shared" si="96"/>
        <v>0</v>
      </c>
      <c r="AJ450" s="777"/>
      <c r="AK450" s="768"/>
      <c r="AL450" s="769">
        <f>IFERROR(SUMIF($C:$C,$V450,Q:Q),0)</f>
        <v>0</v>
      </c>
      <c r="AM450" s="773"/>
      <c r="AN450" s="771">
        <f t="shared" si="92"/>
        <v>0</v>
      </c>
      <c r="AO450" s="779">
        <f t="shared" si="93"/>
        <v>0</v>
      </c>
      <c r="AP450" s="507"/>
      <c r="AQ450" s="507"/>
      <c r="AR450" s="507"/>
      <c r="AS450" s="507"/>
      <c r="AT450" s="507"/>
      <c r="AU450" s="507"/>
      <c r="AV450" s="507"/>
      <c r="AW450" s="507"/>
      <c r="AX450" s="507"/>
      <c r="AY450" s="507"/>
      <c r="AZ450" s="507"/>
      <c r="BA450" s="507"/>
      <c r="BB450" s="507"/>
      <c r="BC450" s="507"/>
      <c r="BD450" s="507"/>
      <c r="BE450" s="507"/>
      <c r="BF450" s="507"/>
      <c r="BG450" s="507"/>
      <c r="BH450" s="507"/>
      <c r="BI450" s="507"/>
      <c r="BJ450" s="507"/>
    </row>
    <row r="451" spans="1:62" ht="15.75" hidden="1" customHeight="1">
      <c r="A451" s="523" t="s">
        <v>20</v>
      </c>
      <c r="B451" s="504"/>
      <c r="C451" s="737" t="s">
        <v>227</v>
      </c>
      <c r="T451" s="507"/>
      <c r="U451" s="507"/>
      <c r="V451" s="600" t="s">
        <v>20</v>
      </c>
      <c r="W451" s="775"/>
      <c r="X451" s="768"/>
      <c r="Y451" s="776"/>
      <c r="Z451" s="769">
        <f>IFERROR(SUMIF($C:$C,$V451,F:F),0)</f>
        <v>0</v>
      </c>
      <c r="AA451" s="768"/>
      <c r="AB451" s="768"/>
      <c r="AC451" s="769"/>
      <c r="AD451" s="777"/>
      <c r="AE451" s="776"/>
      <c r="AF451" s="769">
        <f>IFERROR(SUMIF($C:$C,$V451,L:L),0)</f>
        <v>0</v>
      </c>
      <c r="AG451" s="770"/>
      <c r="AH451" s="771">
        <f t="shared" si="91"/>
        <v>0</v>
      </c>
      <c r="AI451" s="772">
        <f t="shared" si="96"/>
        <v>0</v>
      </c>
      <c r="AJ451" s="777"/>
      <c r="AK451" s="768"/>
      <c r="AL451" s="769">
        <f>IFERROR(SUMIF($C:$C,$V451,Q:Q),0)</f>
        <v>0</v>
      </c>
      <c r="AM451" s="773"/>
      <c r="AN451" s="771">
        <f t="shared" si="92"/>
        <v>0</v>
      </c>
      <c r="AO451" s="779">
        <f t="shared" si="93"/>
        <v>0</v>
      </c>
      <c r="AP451" s="507"/>
      <c r="AQ451" s="507"/>
      <c r="AR451" s="507"/>
      <c r="AS451" s="507"/>
      <c r="AT451" s="507"/>
      <c r="AU451" s="507"/>
      <c r="AV451" s="507"/>
      <c r="AW451" s="507"/>
      <c r="AX451" s="507"/>
      <c r="AY451" s="507"/>
      <c r="AZ451" s="507"/>
      <c r="BA451" s="507"/>
      <c r="BB451" s="507"/>
      <c r="BC451" s="507"/>
      <c r="BD451" s="507"/>
      <c r="BE451" s="507"/>
      <c r="BF451" s="507"/>
      <c r="BG451" s="507"/>
      <c r="BH451" s="507"/>
      <c r="BI451" s="507"/>
      <c r="BJ451" s="507"/>
    </row>
    <row r="452" spans="1:62" ht="15.75" customHeight="1">
      <c r="A452" s="523" t="s">
        <v>64</v>
      </c>
      <c r="B452" s="504"/>
      <c r="C452" s="737" t="s">
        <v>227</v>
      </c>
      <c r="T452" s="507"/>
      <c r="U452" s="507"/>
      <c r="V452" s="785" t="s">
        <v>64</v>
      </c>
      <c r="W452" s="809"/>
      <c r="X452" s="787">
        <f>Z452/+Z407</f>
        <v>0.139167372871835</v>
      </c>
      <c r="Y452" s="786"/>
      <c r="Z452" s="788">
        <f>+SUM(Z434:Z451)</f>
        <v>137192.82537174749</v>
      </c>
      <c r="AA452" s="787"/>
      <c r="AB452" s="786"/>
      <c r="AC452" s="788"/>
      <c r="AD452" s="789">
        <f>AF452/AF407</f>
        <v>0.20304481771754887</v>
      </c>
      <c r="AE452" s="786"/>
      <c r="AF452" s="788">
        <f>+SUM(AF434:AF451)</f>
        <v>151235.5</v>
      </c>
      <c r="AG452" s="810"/>
      <c r="AH452" s="811">
        <f>+SUM(AH434:AH451)</f>
        <v>14042.674628252513</v>
      </c>
      <c r="AI452" s="787">
        <f>AH452/Z452</f>
        <v>0.10235720847793227</v>
      </c>
      <c r="AJ452" s="789">
        <f>IF($AL$407=0,0,AL452/$AL$407)</f>
        <v>0.20036797386288832</v>
      </c>
      <c r="AK452" s="787"/>
      <c r="AL452" s="788">
        <f>+SUM(AL434:AL451)</f>
        <v>164898.22</v>
      </c>
      <c r="AM452" s="797"/>
      <c r="AN452" s="791">
        <f>+SUM(AN434:AN451)</f>
        <v>-13662.719999999994</v>
      </c>
      <c r="AO452" s="812">
        <f t="shared" si="93"/>
        <v>-8.2855472909289102E-2</v>
      </c>
      <c r="AP452" s="507"/>
      <c r="AQ452" s="507"/>
      <c r="AR452" s="507"/>
      <c r="AS452" s="507"/>
      <c r="AT452" s="507"/>
      <c r="AU452" s="507"/>
      <c r="AV452" s="507"/>
      <c r="AW452" s="507"/>
      <c r="AX452" s="507"/>
      <c r="AY452" s="507"/>
      <c r="AZ452" s="507"/>
      <c r="BA452" s="507"/>
      <c r="BB452" s="507"/>
      <c r="BC452" s="507"/>
      <c r="BD452" s="507"/>
      <c r="BE452" s="507"/>
      <c r="BF452" s="507"/>
      <c r="BG452" s="507"/>
      <c r="BH452" s="507"/>
      <c r="BI452" s="507"/>
      <c r="BJ452" s="507"/>
    </row>
    <row r="453" spans="1:62" ht="15.75" customHeight="1">
      <c r="A453" s="523" t="s">
        <v>162</v>
      </c>
      <c r="B453" s="504"/>
      <c r="C453" s="737" t="s">
        <v>227</v>
      </c>
      <c r="D453" s="507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600" t="s">
        <v>162</v>
      </c>
      <c r="W453" s="775" t="s">
        <v>163</v>
      </c>
      <c r="X453" s="768"/>
      <c r="Y453" s="776"/>
      <c r="Z453" s="769">
        <f>+INDEX('[7]Budget original'!$A$2:$AO$501,MATCH($A453,'[7]Budget original'!$A$2:$A$501,0),MATCH(F$2,'[7]Budget original'!$A$2:$AO$2,0))</f>
        <v>36000</v>
      </c>
      <c r="AA453" s="768"/>
      <c r="AB453" s="776"/>
      <c r="AC453" s="769"/>
      <c r="AD453" s="777"/>
      <c r="AE453" s="776"/>
      <c r="AF453" s="769">
        <f>SUMIFS([7]BV_Data_An_Cour!$O:$O,[7]BV_Data_An_Cour!$V:$V,$V453)</f>
        <v>36000</v>
      </c>
      <c r="AG453" s="770"/>
      <c r="AH453" s="771">
        <f t="shared" ref="AH453:AH461" si="98">AF453-Z453</f>
        <v>0</v>
      </c>
      <c r="AI453" s="772">
        <f t="shared" ref="AI453:AI461" si="99">IF(Z453=0,0,AH453/Z453)</f>
        <v>0</v>
      </c>
      <c r="AJ453" s="777"/>
      <c r="AK453" s="768"/>
      <c r="AL453" s="769">
        <f>+INDEX('[7]Réel 2023'!$A$2:$AO$501,MATCH($A453,'[7]Réel 2023'!$A$2:$A$501,0),MATCH(F$2,'[7]Réel 2023'!$A$2:$AO$2,0))</f>
        <v>26000</v>
      </c>
      <c r="AM453" s="773"/>
      <c r="AN453" s="771">
        <f t="shared" ref="AN453:AN461" si="100">AF453-AL453</f>
        <v>10000</v>
      </c>
      <c r="AO453" s="779">
        <f t="shared" si="93"/>
        <v>0.38461538461538464</v>
      </c>
      <c r="AP453" s="507"/>
      <c r="AQ453" s="507"/>
      <c r="AR453" s="507"/>
      <c r="AS453" s="507"/>
      <c r="AT453" s="507"/>
      <c r="AU453" s="507"/>
      <c r="AV453" s="507"/>
      <c r="AW453" s="507"/>
      <c r="AX453" s="507"/>
      <c r="AY453" s="507"/>
      <c r="AZ453" s="507"/>
      <c r="BA453" s="507"/>
      <c r="BB453" s="507"/>
      <c r="BC453" s="507"/>
      <c r="BD453" s="507"/>
      <c r="BE453" s="507"/>
      <c r="BF453" s="507"/>
      <c r="BG453" s="507"/>
      <c r="BH453" s="507"/>
      <c r="BI453" s="507"/>
      <c r="BJ453" s="507"/>
    </row>
    <row r="454" spans="1:62" ht="15.75" customHeight="1">
      <c r="A454" s="523" t="s">
        <v>164</v>
      </c>
      <c r="B454" s="504"/>
      <c r="C454" s="737" t="s">
        <v>227</v>
      </c>
      <c r="D454" s="507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600" t="s">
        <v>164</v>
      </c>
      <c r="W454" s="775" t="s">
        <v>165</v>
      </c>
      <c r="X454" s="768"/>
      <c r="Y454" s="776"/>
      <c r="Z454" s="769">
        <f>+INDEX('[7]Budget original'!$A$2:$AO$501,MATCH($A454,'[7]Budget original'!$A$2:$A$501,0),MATCH(F$2,'[7]Budget original'!$A$2:$AO$2,0))</f>
        <v>5176.92</v>
      </c>
      <c r="AA454" s="768"/>
      <c r="AB454" s="776"/>
      <c r="AC454" s="769"/>
      <c r="AD454" s="777"/>
      <c r="AE454" s="776"/>
      <c r="AF454" s="769">
        <f>SUMIFS([7]BV_Data_An_Cour!$O:$O,[7]BV_Data_An_Cour!$V:$V,$V454)</f>
        <v>5177</v>
      </c>
      <c r="AG454" s="770"/>
      <c r="AH454" s="771">
        <f t="shared" si="98"/>
        <v>7.999999999992724E-2</v>
      </c>
      <c r="AI454" s="772">
        <f t="shared" si="99"/>
        <v>1.5453203835471139E-5</v>
      </c>
      <c r="AJ454" s="777"/>
      <c r="AK454" s="768"/>
      <c r="AL454" s="769">
        <f>+INDEX('[7]Réel 2023'!$A$2:$AO$501,MATCH($A454,'[7]Réel 2023'!$A$2:$A$501,0),MATCH(F$2,'[7]Réel 2023'!$A$2:$AO$2,0))</f>
        <v>4930</v>
      </c>
      <c r="AM454" s="773"/>
      <c r="AN454" s="771">
        <f t="shared" si="100"/>
        <v>247</v>
      </c>
      <c r="AO454" s="779">
        <f t="shared" si="93"/>
        <v>5.0101419878296145E-2</v>
      </c>
      <c r="AP454" s="507"/>
      <c r="AQ454" s="507"/>
      <c r="AR454" s="507"/>
      <c r="AS454" s="507"/>
      <c r="AT454" s="507"/>
      <c r="AU454" s="507"/>
      <c r="AV454" s="507"/>
      <c r="AW454" s="507"/>
      <c r="AX454" s="507"/>
      <c r="AY454" s="507"/>
      <c r="AZ454" s="507"/>
      <c r="BA454" s="507"/>
      <c r="BB454" s="507"/>
      <c r="BC454" s="507"/>
      <c r="BD454" s="507"/>
      <c r="BE454" s="507"/>
      <c r="BF454" s="507"/>
      <c r="BG454" s="507"/>
      <c r="BH454" s="507"/>
      <c r="BI454" s="507"/>
      <c r="BJ454" s="507"/>
    </row>
    <row r="455" spans="1:62" ht="15.75" customHeight="1">
      <c r="A455" s="523" t="s">
        <v>166</v>
      </c>
      <c r="B455" s="504"/>
      <c r="C455" s="737" t="s">
        <v>227</v>
      </c>
      <c r="D455" s="507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602" t="s">
        <v>166</v>
      </c>
      <c r="W455" s="780" t="s">
        <v>167</v>
      </c>
      <c r="X455" s="751"/>
      <c r="Y455" s="781"/>
      <c r="Z455" s="752">
        <f>+INDEX('[7]Budget original'!$A$2:$AO$501,MATCH($A455,'[7]Budget original'!$A$2:$A$501,0),MATCH(F$2,'[7]Budget original'!$A$2:$AO$2,0))</f>
        <v>3444.8400000000006</v>
      </c>
      <c r="AA455" s="751"/>
      <c r="AB455" s="781"/>
      <c r="AC455" s="752"/>
      <c r="AD455" s="782"/>
      <c r="AE455" s="781"/>
      <c r="AF455" s="752">
        <f>SUMIFS([7]BV_Data_An_Cour!$O:$O,[7]BV_Data_An_Cour!$V:$V,$V455)</f>
        <v>3445.0000000000005</v>
      </c>
      <c r="AG455" s="753"/>
      <c r="AH455" s="754">
        <f t="shared" si="98"/>
        <v>0.15999999999985448</v>
      </c>
      <c r="AI455" s="783">
        <f t="shared" si="99"/>
        <v>4.6446279072425558E-5</v>
      </c>
      <c r="AJ455" s="782"/>
      <c r="AK455" s="751"/>
      <c r="AL455" s="752">
        <f>+INDEX('[7]Réel 2023'!$A$2:$AO$501,MATCH($A455,'[7]Réel 2023'!$A$2:$A$501,0),MATCH(F$2,'[7]Réel 2023'!$A$2:$AO$2,0))</f>
        <v>3279.99999999999</v>
      </c>
      <c r="AM455" s="756"/>
      <c r="AN455" s="754">
        <f t="shared" si="100"/>
        <v>165.00000000001046</v>
      </c>
      <c r="AO455" s="757">
        <f t="shared" si="93"/>
        <v>5.0304878048783828E-2</v>
      </c>
      <c r="AP455" s="507"/>
      <c r="AQ455" s="507"/>
      <c r="AR455" s="507"/>
      <c r="AS455" s="507"/>
      <c r="AT455" s="507"/>
      <c r="AU455" s="507"/>
      <c r="AV455" s="507"/>
      <c r="AW455" s="507"/>
      <c r="AX455" s="507"/>
      <c r="AY455" s="507"/>
      <c r="AZ455" s="507"/>
      <c r="BA455" s="507"/>
      <c r="BB455" s="507"/>
      <c r="BC455" s="507"/>
      <c r="BD455" s="507"/>
      <c r="BE455" s="507"/>
      <c r="BF455" s="507"/>
      <c r="BG455" s="507"/>
      <c r="BH455" s="507"/>
      <c r="BI455" s="507"/>
      <c r="BJ455" s="507"/>
    </row>
    <row r="456" spans="1:62" ht="15.75" customHeight="1">
      <c r="A456" s="523" t="s">
        <v>168</v>
      </c>
      <c r="B456" s="504"/>
      <c r="C456" s="737" t="s">
        <v>227</v>
      </c>
      <c r="D456" s="507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600" t="s">
        <v>168</v>
      </c>
      <c r="W456" s="775"/>
      <c r="X456" s="768"/>
      <c r="Y456" s="776"/>
      <c r="Z456" s="769">
        <f>+INDEX('[7]Budget original'!$A$2:$AO$501,MATCH($A456,'[7]Budget original'!$A$2:$A$501,0),MATCH(F$2,'[7]Budget original'!$A$2:$AO$2,0))</f>
        <v>0</v>
      </c>
      <c r="AA456" s="768"/>
      <c r="AB456" s="776"/>
      <c r="AC456" s="769"/>
      <c r="AD456" s="777"/>
      <c r="AE456" s="776"/>
      <c r="AF456" s="769">
        <f>SUMIFS([7]BV_Data_An_Cour!$O:$O,[7]BV_Data_An_Cour!$V:$V,$V456)</f>
        <v>0</v>
      </c>
      <c r="AG456" s="770"/>
      <c r="AH456" s="771">
        <f t="shared" si="98"/>
        <v>0</v>
      </c>
      <c r="AI456" s="772">
        <f t="shared" si="99"/>
        <v>0</v>
      </c>
      <c r="AJ456" s="777"/>
      <c r="AK456" s="768"/>
      <c r="AL456" s="769">
        <f>+INDEX('[7]Réel 2023'!$A$2:$AO$501,MATCH($A456,'[7]Réel 2023'!$A$2:$A$501,0),MATCH(F$2,'[7]Réel 2023'!$A$2:$AO$2,0))</f>
        <v>0</v>
      </c>
      <c r="AM456" s="773"/>
      <c r="AN456" s="771">
        <f t="shared" si="100"/>
        <v>0</v>
      </c>
      <c r="AO456" s="779">
        <f t="shared" si="93"/>
        <v>0</v>
      </c>
      <c r="AP456" s="507"/>
      <c r="AQ456" s="507"/>
      <c r="AR456" s="507"/>
      <c r="AS456" s="507"/>
      <c r="AT456" s="507"/>
      <c r="AU456" s="507"/>
      <c r="AV456" s="507"/>
      <c r="AW456" s="507"/>
      <c r="AX456" s="507"/>
      <c r="AY456" s="507"/>
      <c r="AZ456" s="507"/>
      <c r="BA456" s="507"/>
      <c r="BB456" s="507"/>
      <c r="BC456" s="507"/>
      <c r="BD456" s="507"/>
      <c r="BE456" s="507"/>
      <c r="BF456" s="507"/>
      <c r="BG456" s="507"/>
      <c r="BH456" s="507"/>
      <c r="BI456" s="507"/>
      <c r="BJ456" s="507"/>
    </row>
    <row r="457" spans="1:62" ht="15.75" customHeight="1">
      <c r="A457" s="523" t="s">
        <v>169</v>
      </c>
      <c r="B457" s="504"/>
      <c r="C457" s="737" t="s">
        <v>227</v>
      </c>
      <c r="D457" s="507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602" t="s">
        <v>169</v>
      </c>
      <c r="W457" s="780" t="s">
        <v>170</v>
      </c>
      <c r="X457" s="751"/>
      <c r="Y457" s="781"/>
      <c r="Z457" s="752">
        <f>+INDEX('[7]Budget original'!$A$2:$AO$501,MATCH($A457,'[7]Budget original'!$A$2:$A$501,0),MATCH(F$2,'[7]Budget original'!$A$2:$AO$2,0))</f>
        <v>3893.083333333333</v>
      </c>
      <c r="AA457" s="751"/>
      <c r="AB457" s="781"/>
      <c r="AC457" s="752"/>
      <c r="AD457" s="782"/>
      <c r="AE457" s="781"/>
      <c r="AF457" s="752">
        <f>SUMIF([7]BV_Data_An_Cour!$V:$V,Print_Mois!$V457,[7]BV_Data_An_Cour!$O:$O)</f>
        <v>3893.08</v>
      </c>
      <c r="AG457" s="753"/>
      <c r="AH457" s="754">
        <f t="shared" si="98"/>
        <v>-3.333333333102928E-3</v>
      </c>
      <c r="AI457" s="783">
        <f t="shared" si="99"/>
        <v>-8.5621936334172008E-7</v>
      </c>
      <c r="AJ457" s="782"/>
      <c r="AK457" s="751"/>
      <c r="AL457" s="752">
        <f>+INDEX('[7]Réel 2023'!$A$2:$AO$501,MATCH($A457,'[7]Réel 2023'!$A$2:$A$501,0),MATCH(F$2,'[7]Réel 2023'!$A$2:$AO$2,0))</f>
        <v>4271</v>
      </c>
      <c r="AM457" s="756"/>
      <c r="AN457" s="754">
        <f t="shared" si="100"/>
        <v>-377.92000000000007</v>
      </c>
      <c r="AO457" s="757">
        <f t="shared" si="93"/>
        <v>-8.8485132287520502E-2</v>
      </c>
      <c r="AP457" s="507"/>
      <c r="AQ457" s="507"/>
      <c r="AR457" s="507"/>
      <c r="AS457" s="507"/>
      <c r="AT457" s="507"/>
      <c r="AU457" s="507"/>
      <c r="AV457" s="507"/>
      <c r="AW457" s="507"/>
      <c r="AX457" s="507"/>
      <c r="AY457" s="507"/>
      <c r="AZ457" s="507"/>
      <c r="BA457" s="507"/>
      <c r="BB457" s="507"/>
      <c r="BC457" s="507"/>
      <c r="BD457" s="507"/>
      <c r="BE457" s="507"/>
      <c r="BF457" s="507"/>
      <c r="BG457" s="507"/>
      <c r="BH457" s="507"/>
      <c r="BI457" s="507"/>
      <c r="BJ457" s="507"/>
    </row>
    <row r="458" spans="1:62" ht="15.75" customHeight="1">
      <c r="A458" s="523" t="s">
        <v>171</v>
      </c>
      <c r="B458" s="504"/>
      <c r="C458" s="737" t="s">
        <v>227</v>
      </c>
      <c r="D458" s="507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600" t="s">
        <v>171</v>
      </c>
      <c r="W458" s="775" t="s">
        <v>172</v>
      </c>
      <c r="X458" s="813"/>
      <c r="Y458" s="814"/>
      <c r="Z458" s="769">
        <f>+INDEX('[7]Budget original'!$A$2:$AO$501,MATCH($A458,'[7]Budget original'!$A$2:$A$501,0),MATCH(F$2,'[7]Budget original'!$A$2:$AO$2,0))</f>
        <v>3451.2500000000005</v>
      </c>
      <c r="AA458" s="813"/>
      <c r="AB458" s="814"/>
      <c r="AC458" s="769"/>
      <c r="AD458" s="777"/>
      <c r="AE458" s="776"/>
      <c r="AF458" s="815">
        <f>SUMIFS([7]BV_Data_An_Cour!$O:$O,[7]BV_Data_An_Cour!$V:$V,$V458)</f>
        <v>4271.4799999999996</v>
      </c>
      <c r="AG458" s="770"/>
      <c r="AH458" s="771">
        <f t="shared" si="98"/>
        <v>820.22999999999911</v>
      </c>
      <c r="AI458" s="772">
        <f t="shared" si="99"/>
        <v>0.23766171676928621</v>
      </c>
      <c r="AJ458" s="777"/>
      <c r="AK458" s="768"/>
      <c r="AL458" s="769">
        <f>+INDEX('[7]Réel 2023'!$A$2:$AO$501,MATCH($A458,'[7]Réel 2023'!$A$2:$A$501,0),MATCH(F$2,'[7]Réel 2023'!$A$2:$AO$2,0))</f>
        <v>137.27000000000001</v>
      </c>
      <c r="AM458" s="773"/>
      <c r="AN458" s="771">
        <f t="shared" si="100"/>
        <v>4134.2099999999991</v>
      </c>
      <c r="AO458" s="779">
        <f t="shared" si="93"/>
        <v>30.117359947548618</v>
      </c>
      <c r="AP458" s="507"/>
      <c r="AQ458" s="507"/>
      <c r="AR458" s="507"/>
      <c r="AS458" s="507"/>
      <c r="AT458" s="507"/>
      <c r="AU458" s="507"/>
      <c r="AV458" s="507"/>
      <c r="AW458" s="507"/>
      <c r="AX458" s="507"/>
      <c r="AY458" s="507"/>
      <c r="AZ458" s="507"/>
      <c r="BA458" s="507"/>
      <c r="BB458" s="507"/>
      <c r="BC458" s="507"/>
      <c r="BD458" s="507"/>
      <c r="BE458" s="507"/>
      <c r="BF458" s="507"/>
      <c r="BG458" s="507"/>
      <c r="BH458" s="507"/>
      <c r="BI458" s="507"/>
      <c r="BJ458" s="507"/>
    </row>
    <row r="459" spans="1:62" ht="15.75" customHeight="1">
      <c r="A459" s="523" t="s">
        <v>173</v>
      </c>
      <c r="B459" s="504"/>
      <c r="C459" s="737" t="s">
        <v>227</v>
      </c>
      <c r="D459" s="507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600" t="s">
        <v>173</v>
      </c>
      <c r="W459" s="775" t="s">
        <v>174</v>
      </c>
      <c r="X459" s="768"/>
      <c r="Y459" s="776"/>
      <c r="Z459" s="769">
        <f>+INDEX('[7]Budget original'!$A$2:$AO$501,MATCH($A459,'[7]Budget original'!$A$2:$A$501,0),MATCH(F$2,'[7]Budget original'!$A$2:$AO$2,0))</f>
        <v>6784.05</v>
      </c>
      <c r="AA459" s="768"/>
      <c r="AB459" s="776"/>
      <c r="AC459" s="769"/>
      <c r="AD459" s="777"/>
      <c r="AE459" s="776"/>
      <c r="AF459" s="769">
        <f>SUMIFS([7]BV_Data_An_Cour!$O:$O,[7]BV_Data_An_Cour!$V:$V,$V459)</f>
        <v>7342.27</v>
      </c>
      <c r="AG459" s="770"/>
      <c r="AH459" s="771">
        <f t="shared" si="98"/>
        <v>558.22000000000025</v>
      </c>
      <c r="AI459" s="772">
        <f t="shared" si="99"/>
        <v>8.2284181278145102E-2</v>
      </c>
      <c r="AJ459" s="777"/>
      <c r="AK459" s="768"/>
      <c r="AL459" s="769">
        <f>+INDEX('[7]Réel 2023'!$A$2:$AO$501,MATCH($A459,'[7]Réel 2023'!$A$2:$A$501,0),MATCH(F$2,'[7]Réel 2023'!$A$2:$AO$2,0))</f>
        <v>6296.54</v>
      </c>
      <c r="AM459" s="773"/>
      <c r="AN459" s="771">
        <f t="shared" si="100"/>
        <v>1045.7300000000005</v>
      </c>
      <c r="AO459" s="779">
        <f t="shared" si="93"/>
        <v>0.16608010113490909</v>
      </c>
      <c r="AP459" s="507"/>
      <c r="AQ459" s="507"/>
      <c r="AR459" s="507"/>
      <c r="AS459" s="507"/>
      <c r="AT459" s="507"/>
      <c r="AU459" s="507"/>
      <c r="AV459" s="507"/>
      <c r="AW459" s="507"/>
      <c r="AX459" s="507"/>
      <c r="AY459" s="507"/>
      <c r="AZ459" s="507"/>
      <c r="BA459" s="507"/>
      <c r="BB459" s="507"/>
      <c r="BC459" s="507"/>
      <c r="BD459" s="507"/>
      <c r="BE459" s="507"/>
      <c r="BF459" s="507"/>
      <c r="BG459" s="507"/>
      <c r="BH459" s="507"/>
      <c r="BI459" s="507"/>
      <c r="BJ459" s="507"/>
    </row>
    <row r="460" spans="1:62" ht="15.75" customHeight="1">
      <c r="A460" s="523" t="s">
        <v>175</v>
      </c>
      <c r="B460" s="504"/>
      <c r="C460" s="737" t="s">
        <v>227</v>
      </c>
      <c r="D460" s="507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602" t="s">
        <v>175</v>
      </c>
      <c r="W460" s="780" t="s">
        <v>176</v>
      </c>
      <c r="X460" s="751"/>
      <c r="Y460" s="781"/>
      <c r="Z460" s="752">
        <f>+INDEX('[7]Budget original'!$A$2:$AO$501,MATCH($A460,'[7]Budget original'!$A$2:$A$501,0),MATCH(F$2,'[7]Budget original'!$A$2:$AO$2,0))</f>
        <v>1946.9211566305551</v>
      </c>
      <c r="AA460" s="751"/>
      <c r="AB460" s="781"/>
      <c r="AC460" s="752"/>
      <c r="AD460" s="782"/>
      <c r="AE460" s="781"/>
      <c r="AF460" s="752">
        <f>SUMIFS([7]BV_Data_An_Cour!$O:$O,[7]BV_Data_An_Cour!$V:$V,$V460)</f>
        <v>1304.73</v>
      </c>
      <c r="AG460" s="753"/>
      <c r="AH460" s="754">
        <f t="shared" si="98"/>
        <v>-642.19115663055504</v>
      </c>
      <c r="AI460" s="783">
        <f t="shared" si="99"/>
        <v>-0.32984959583158729</v>
      </c>
      <c r="AJ460" s="782"/>
      <c r="AK460" s="751"/>
      <c r="AL460" s="752">
        <f>+INDEX('[7]Réel 2023'!$A$2:$AO$501,MATCH($A460,'[7]Réel 2023'!$A$2:$A$501,0),MATCH(F$2,'[7]Réel 2023'!$A$2:$AO$2,0))</f>
        <v>3263.48</v>
      </c>
      <c r="AM460" s="756"/>
      <c r="AN460" s="754">
        <f t="shared" si="100"/>
        <v>-1958.75</v>
      </c>
      <c r="AO460" s="757">
        <f t="shared" si="93"/>
        <v>-0.60020285094439063</v>
      </c>
      <c r="AP460" s="507"/>
      <c r="AQ460" s="507"/>
      <c r="AR460" s="507"/>
      <c r="AS460" s="507"/>
      <c r="AT460" s="507"/>
      <c r="AU460" s="507"/>
      <c r="AV460" s="507"/>
      <c r="AW460" s="507"/>
      <c r="AX460" s="507"/>
      <c r="AY460" s="507"/>
      <c r="AZ460" s="507"/>
      <c r="BA460" s="507"/>
      <c r="BB460" s="507"/>
      <c r="BC460" s="507"/>
      <c r="BD460" s="507"/>
      <c r="BE460" s="507"/>
      <c r="BF460" s="507"/>
      <c r="BG460" s="507"/>
      <c r="BH460" s="507"/>
      <c r="BI460" s="507"/>
      <c r="BJ460" s="507"/>
    </row>
    <row r="461" spans="1:62" ht="15.75" customHeight="1">
      <c r="A461" s="523" t="s">
        <v>177</v>
      </c>
      <c r="B461" s="504"/>
      <c r="C461" s="737" t="s">
        <v>227</v>
      </c>
      <c r="D461" s="507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816"/>
      <c r="V461" s="600" t="s">
        <v>177</v>
      </c>
      <c r="W461" s="775" t="s">
        <v>178</v>
      </c>
      <c r="X461" s="768"/>
      <c r="Y461" s="776"/>
      <c r="Z461" s="769">
        <f>+INDEX('[7]Budget original'!$A$2:$AO$501,MATCH($A461,'[7]Budget original'!$A$2:$A$501,0),MATCH(F$2,'[7]Budget original'!$A$2:$AO$2,0))</f>
        <v>1000</v>
      </c>
      <c r="AA461" s="768"/>
      <c r="AB461" s="776"/>
      <c r="AC461" s="769"/>
      <c r="AD461" s="777"/>
      <c r="AE461" s="776"/>
      <c r="AF461" s="769">
        <f>SUMIFS([7]BV_Data_An_Cour!$O:$O,[7]BV_Data_An_Cour!$V:$V,$V461)</f>
        <v>1128.5999999999999</v>
      </c>
      <c r="AG461" s="770"/>
      <c r="AH461" s="771">
        <f t="shared" si="98"/>
        <v>128.59999999999991</v>
      </c>
      <c r="AI461" s="817">
        <f t="shared" si="99"/>
        <v>0.12859999999999991</v>
      </c>
      <c r="AJ461" s="768"/>
      <c r="AK461" s="768"/>
      <c r="AL461" s="769">
        <f>+INDEX('[7]Réel 2023'!$A$2:$AO$501,MATCH($A461,'[7]Réel 2023'!$A$2:$A$501,0),MATCH(F$2,'[7]Réel 2023'!$A$2:$AO$2,0))</f>
        <v>515.29</v>
      </c>
      <c r="AM461" s="773"/>
      <c r="AN461" s="771">
        <f t="shared" si="100"/>
        <v>613.30999999999995</v>
      </c>
      <c r="AO461" s="779">
        <f t="shared" si="93"/>
        <v>1.1902229812338683</v>
      </c>
      <c r="AP461" s="507"/>
      <c r="AQ461" s="507"/>
      <c r="AR461" s="507"/>
      <c r="AS461" s="507"/>
      <c r="AT461" s="507"/>
      <c r="AU461" s="507"/>
      <c r="AV461" s="507"/>
      <c r="AW461" s="507"/>
      <c r="AX461" s="507"/>
      <c r="AY461" s="507"/>
      <c r="AZ461" s="507"/>
      <c r="BA461" s="507"/>
      <c r="BB461" s="507"/>
      <c r="BC461" s="507"/>
      <c r="BD461" s="507"/>
      <c r="BE461" s="507"/>
      <c r="BF461" s="507"/>
      <c r="BG461" s="507"/>
      <c r="BH461" s="507"/>
      <c r="BI461" s="507"/>
      <c r="BJ461" s="507"/>
    </row>
    <row r="462" spans="1:62" ht="15.75" customHeight="1">
      <c r="A462" s="523" t="s">
        <v>179</v>
      </c>
      <c r="B462" s="504"/>
      <c r="C462" s="737" t="s">
        <v>227</v>
      </c>
      <c r="D462" s="507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816"/>
      <c r="V462" s="600" t="s">
        <v>179</v>
      </c>
      <c r="W462" s="775" t="s">
        <v>180</v>
      </c>
      <c r="X462" s="768"/>
      <c r="Y462" s="776"/>
      <c r="Z462" s="769">
        <v>0</v>
      </c>
      <c r="AA462" s="768"/>
      <c r="AB462" s="776"/>
      <c r="AC462" s="769"/>
      <c r="AD462" s="777"/>
      <c r="AE462" s="776"/>
      <c r="AF462" s="769">
        <f>SUMIFS([7]BV_Data_An_Cour!$O:$O,[7]BV_Data_An_Cour!$V:$V,$V462)</f>
        <v>0</v>
      </c>
      <c r="AG462" s="770"/>
      <c r="AH462" s="771">
        <v>0</v>
      </c>
      <c r="AI462" s="795">
        <v>0</v>
      </c>
      <c r="AJ462" s="768"/>
      <c r="AK462" s="768"/>
      <c r="AL462" s="769">
        <f>+INDEX('[7]Réel 2023'!$A$2:$AO$501,MATCH($A462,'[7]Réel 2023'!$A$2:$A$501,0),MATCH(F$2,'[7]Réel 2023'!$A$2:$AO$2,0))</f>
        <v>0</v>
      </c>
      <c r="AM462" s="773"/>
      <c r="AN462" s="771">
        <v>0</v>
      </c>
      <c r="AO462" s="779">
        <v>0</v>
      </c>
      <c r="AP462" s="507"/>
      <c r="AQ462" s="507"/>
      <c r="AR462" s="507"/>
      <c r="AS462" s="507"/>
      <c r="AT462" s="507"/>
      <c r="AU462" s="507"/>
      <c r="AV462" s="507"/>
      <c r="AW462" s="507"/>
      <c r="AX462" s="507"/>
      <c r="AY462" s="507"/>
      <c r="AZ462" s="507"/>
      <c r="BA462" s="507"/>
      <c r="BB462" s="507"/>
      <c r="BC462" s="507"/>
      <c r="BD462" s="507"/>
      <c r="BE462" s="507"/>
      <c r="BF462" s="507"/>
      <c r="BG462" s="507"/>
      <c r="BH462" s="507"/>
      <c r="BI462" s="507"/>
      <c r="BJ462" s="507"/>
    </row>
    <row r="463" spans="1:62" ht="15.75" hidden="1" customHeight="1">
      <c r="A463" s="523" t="s">
        <v>20</v>
      </c>
      <c r="B463" s="504"/>
      <c r="C463" s="737" t="s">
        <v>227</v>
      </c>
      <c r="D463" s="507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816"/>
      <c r="V463" s="600" t="s">
        <v>20</v>
      </c>
      <c r="W463" s="775"/>
      <c r="X463" s="768"/>
      <c r="Y463" s="776"/>
      <c r="Z463" s="769">
        <f>IFERROR(SUMIF($C:$C,$V463,F:F),0)</f>
        <v>0</v>
      </c>
      <c r="AA463" s="768"/>
      <c r="AB463" s="768"/>
      <c r="AC463" s="769"/>
      <c r="AD463" s="777"/>
      <c r="AE463" s="776"/>
      <c r="AF463" s="769">
        <f>IFERROR(SUMIF($C:$C,$V463,L:L),0)</f>
        <v>0</v>
      </c>
      <c r="AG463" s="770"/>
      <c r="AH463" s="771">
        <f>AF463-Z463</f>
        <v>0</v>
      </c>
      <c r="AI463" s="772">
        <f>IF(Z463=0,0,AH463/Z463)</f>
        <v>0</v>
      </c>
      <c r="AJ463" s="777"/>
      <c r="AK463" s="768"/>
      <c r="AL463" s="769">
        <f>IFERROR(SUMIF($C:$C,$V463,Q:Q),0)</f>
        <v>0</v>
      </c>
      <c r="AM463" s="773"/>
      <c r="AN463" s="771">
        <v>0</v>
      </c>
      <c r="AO463" s="779">
        <v>1</v>
      </c>
      <c r="AP463" s="507"/>
      <c r="AQ463" s="507"/>
      <c r="AR463" s="507"/>
      <c r="AS463" s="507"/>
      <c r="AT463" s="507"/>
      <c r="AU463" s="507"/>
      <c r="AV463" s="507"/>
      <c r="AW463" s="507"/>
      <c r="AX463" s="507"/>
      <c r="AY463" s="507"/>
      <c r="AZ463" s="507"/>
      <c r="BA463" s="507"/>
      <c r="BB463" s="507"/>
      <c r="BC463" s="507"/>
      <c r="BD463" s="507"/>
      <c r="BE463" s="507"/>
      <c r="BF463" s="507"/>
      <c r="BG463" s="507"/>
      <c r="BH463" s="507"/>
      <c r="BI463" s="507"/>
      <c r="BJ463" s="507"/>
    </row>
    <row r="464" spans="1:62" ht="15.75" hidden="1" customHeight="1">
      <c r="A464" s="523" t="s">
        <v>20</v>
      </c>
      <c r="B464" s="504"/>
      <c r="C464" s="737" t="s">
        <v>227</v>
      </c>
      <c r="D464" s="507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816"/>
      <c r="V464" s="600" t="s">
        <v>20</v>
      </c>
      <c r="W464" s="775"/>
      <c r="X464" s="768"/>
      <c r="Y464" s="776"/>
      <c r="Z464" s="769">
        <f>IFERROR(SUMIF($C:$C,$V464,F:F),0)</f>
        <v>0</v>
      </c>
      <c r="AA464" s="768"/>
      <c r="AB464" s="768"/>
      <c r="AC464" s="769"/>
      <c r="AD464" s="777"/>
      <c r="AE464" s="776"/>
      <c r="AF464" s="769">
        <f>IFERROR(SUMIF($C:$C,$V464,L:L),0)</f>
        <v>0</v>
      </c>
      <c r="AG464" s="770"/>
      <c r="AH464" s="771">
        <f>AF464-Z464</f>
        <v>0</v>
      </c>
      <c r="AI464" s="772">
        <f>IF(Z464=0,0,AH464/Z464)</f>
        <v>0</v>
      </c>
      <c r="AJ464" s="777"/>
      <c r="AK464" s="768"/>
      <c r="AL464" s="769">
        <f>IFERROR(SUMIF($C:$C,$V464,Q:Q),0)</f>
        <v>0</v>
      </c>
      <c r="AM464" s="773"/>
      <c r="AN464" s="771">
        <v>0</v>
      </c>
      <c r="AO464" s="779">
        <v>2</v>
      </c>
      <c r="AP464" s="507"/>
      <c r="AQ464" s="507"/>
      <c r="AR464" s="507"/>
      <c r="AS464" s="507"/>
      <c r="AT464" s="507"/>
      <c r="AU464" s="507"/>
      <c r="AV464" s="507"/>
      <c r="AW464" s="507"/>
      <c r="AX464" s="507"/>
      <c r="AY464" s="507"/>
      <c r="AZ464" s="507"/>
      <c r="BA464" s="507"/>
      <c r="BB464" s="507"/>
      <c r="BC464" s="507"/>
      <c r="BD464" s="507"/>
      <c r="BE464" s="507"/>
      <c r="BF464" s="507"/>
      <c r="BG464" s="507"/>
      <c r="BH464" s="507"/>
      <c r="BI464" s="507"/>
      <c r="BJ464" s="507"/>
    </row>
    <row r="465" spans="1:62" ht="15.75" hidden="1" customHeight="1">
      <c r="A465" s="523" t="s">
        <v>20</v>
      </c>
      <c r="B465" s="504"/>
      <c r="C465" s="737" t="s">
        <v>227</v>
      </c>
      <c r="D465" s="507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600" t="s">
        <v>20</v>
      </c>
      <c r="W465" s="775"/>
      <c r="X465" s="768"/>
      <c r="Y465" s="776"/>
      <c r="Z465" s="769">
        <f>IFERROR(SUMIF($C:$C,$V465,F:F),0)</f>
        <v>0</v>
      </c>
      <c r="AA465" s="768"/>
      <c r="AB465" s="768"/>
      <c r="AC465" s="769"/>
      <c r="AD465" s="777"/>
      <c r="AE465" s="776"/>
      <c r="AF465" s="769">
        <f>IFERROR(SUMIF($C:$C,$V465,L:L),0)</f>
        <v>0</v>
      </c>
      <c r="AG465" s="770"/>
      <c r="AH465" s="771">
        <f>AF465-Z465</f>
        <v>0</v>
      </c>
      <c r="AI465" s="772">
        <f>IF(Z465=0,0,AH465/Z465)</f>
        <v>0</v>
      </c>
      <c r="AJ465" s="777"/>
      <c r="AK465" s="768"/>
      <c r="AL465" s="769">
        <f>IFERROR(SUMIF($C:$C,$V465,Q:Q),0)</f>
        <v>0</v>
      </c>
      <c r="AM465" s="773"/>
      <c r="AN465" s="771">
        <v>0</v>
      </c>
      <c r="AO465" s="779">
        <v>3</v>
      </c>
      <c r="AP465" s="507"/>
      <c r="AQ465" s="507"/>
      <c r="AR465" s="507"/>
      <c r="AS465" s="507"/>
      <c r="AT465" s="507"/>
      <c r="AU465" s="507"/>
      <c r="AV465" s="507"/>
      <c r="AW465" s="507"/>
      <c r="AX465" s="507"/>
      <c r="AY465" s="507"/>
      <c r="AZ465" s="507"/>
      <c r="BA465" s="507"/>
      <c r="BB465" s="507"/>
      <c r="BC465" s="507"/>
      <c r="BD465" s="507"/>
      <c r="BE465" s="507"/>
      <c r="BF465" s="507"/>
      <c r="BG465" s="507"/>
      <c r="BH465" s="507"/>
      <c r="BI465" s="507"/>
      <c r="BJ465" s="507"/>
    </row>
    <row r="466" spans="1:62" ht="15.75" customHeight="1">
      <c r="A466" s="523" t="s">
        <v>181</v>
      </c>
      <c r="B466" s="504"/>
      <c r="C466" s="737" t="s">
        <v>227</v>
      </c>
      <c r="D466" s="507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785" t="s">
        <v>181</v>
      </c>
      <c r="W466" s="786"/>
      <c r="X466" s="787">
        <f>Z466/+Z407</f>
        <v>6.2585039383120974E-2</v>
      </c>
      <c r="Y466" s="786"/>
      <c r="Z466" s="788">
        <f>SUM(Z453:Z465)</f>
        <v>61697.064489963894</v>
      </c>
      <c r="AA466" s="787"/>
      <c r="AB466" s="786"/>
      <c r="AC466" s="788"/>
      <c r="AD466" s="789">
        <f>AF466/AF407</f>
        <v>8.3994315972216363E-2</v>
      </c>
      <c r="AE466" s="786"/>
      <c r="AF466" s="788">
        <f>SUM(AF453:AF465)</f>
        <v>62562.16</v>
      </c>
      <c r="AG466" s="810"/>
      <c r="AH466" s="811">
        <f>SUM(AH453:AH465)</f>
        <v>865.09551003611091</v>
      </c>
      <c r="AI466" s="787">
        <f>IF(Z466=0,0,AH466/Z466)</f>
        <v>1.4021664031954612E-2</v>
      </c>
      <c r="AJ466" s="789">
        <f>IF($AL$407=0,0,AL466/$AL$407)</f>
        <v>5.9167612389815119E-2</v>
      </c>
      <c r="AK466" s="787"/>
      <c r="AL466" s="788">
        <f>SUM(AL453:AL465)</f>
        <v>48693.579999999994</v>
      </c>
      <c r="AM466" s="797"/>
      <c r="AN466" s="791">
        <f>SUM(AN453:AN465)</f>
        <v>13868.580000000011</v>
      </c>
      <c r="AO466" s="812">
        <f t="shared" ref="AO466:AO483" si="101">IF(AL466=0,0,AN466/AL466)</f>
        <v>0.28481331625236866</v>
      </c>
      <c r="AP466" s="507"/>
      <c r="AQ466" s="507"/>
      <c r="AR466" s="507"/>
      <c r="AS466" s="507"/>
      <c r="AT466" s="507"/>
      <c r="AU466" s="507"/>
      <c r="AV466" s="507"/>
      <c r="AW466" s="507"/>
      <c r="AX466" s="507"/>
      <c r="AY466" s="507"/>
      <c r="AZ466" s="507"/>
      <c r="BA466" s="507"/>
      <c r="BB466" s="507"/>
      <c r="BC466" s="507"/>
      <c r="BD466" s="507"/>
      <c r="BE466" s="507"/>
      <c r="BF466" s="507"/>
      <c r="BG466" s="507"/>
      <c r="BH466" s="507"/>
      <c r="BI466" s="507"/>
      <c r="BJ466" s="507"/>
    </row>
    <row r="467" spans="1:62" ht="15.75" customHeight="1">
      <c r="A467" s="523" t="s">
        <v>469</v>
      </c>
      <c r="B467" s="504"/>
      <c r="C467" s="737" t="s">
        <v>227</v>
      </c>
      <c r="D467" s="507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600"/>
      <c r="W467" s="768"/>
      <c r="X467" s="768"/>
      <c r="Y467" s="768"/>
      <c r="Z467" s="818"/>
      <c r="AA467" s="768"/>
      <c r="AB467" s="768"/>
      <c r="AC467" s="818"/>
      <c r="AD467" s="777"/>
      <c r="AE467" s="768"/>
      <c r="AF467" s="818"/>
      <c r="AG467" s="777"/>
      <c r="AH467" s="771">
        <f t="shared" ref="AH467:AH481" si="102">AF467-Z467</f>
        <v>0</v>
      </c>
      <c r="AI467" s="772"/>
      <c r="AJ467" s="777"/>
      <c r="AK467" s="768"/>
      <c r="AL467" s="818"/>
      <c r="AM467" s="819"/>
      <c r="AN467" s="771">
        <f t="shared" ref="AN467:AN483" si="103">AF467-AL467</f>
        <v>0</v>
      </c>
      <c r="AO467" s="820">
        <f t="shared" si="101"/>
        <v>0</v>
      </c>
      <c r="AP467" s="507"/>
      <c r="AQ467" s="507"/>
      <c r="AR467" s="507"/>
      <c r="AS467" s="507"/>
      <c r="AT467" s="507"/>
      <c r="AU467" s="507"/>
      <c r="AV467" s="507"/>
      <c r="AW467" s="507"/>
      <c r="AX467" s="507"/>
      <c r="AY467" s="507"/>
      <c r="AZ467" s="507"/>
      <c r="BA467" s="507"/>
      <c r="BB467" s="507"/>
      <c r="BC467" s="507"/>
      <c r="BD467" s="507"/>
      <c r="BE467" s="507"/>
      <c r="BF467" s="507"/>
      <c r="BG467" s="507"/>
      <c r="BH467" s="507"/>
      <c r="BI467" s="507"/>
      <c r="BJ467" s="507"/>
    </row>
    <row r="468" spans="1:62" ht="15.75" customHeight="1">
      <c r="A468" s="523" t="s">
        <v>65</v>
      </c>
      <c r="B468" s="504"/>
      <c r="C468" s="737" t="s">
        <v>227</v>
      </c>
      <c r="D468" s="507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785" t="s">
        <v>65</v>
      </c>
      <c r="W468" s="786"/>
      <c r="X468" s="787">
        <f>Z468/+Z407</f>
        <v>0.78826176008102111</v>
      </c>
      <c r="Y468" s="786"/>
      <c r="Z468" s="788">
        <f>Z419+Z433+Z452+Z466</f>
        <v>777077.67105452227</v>
      </c>
      <c r="AA468" s="787"/>
      <c r="AB468" s="786"/>
      <c r="AC468" s="788"/>
      <c r="AD468" s="789">
        <f>AF468/AF407</f>
        <v>0.8593731292073411</v>
      </c>
      <c r="AE468" s="786"/>
      <c r="AF468" s="788">
        <f>AF419+AF433+AF452+AF466</f>
        <v>640093.78</v>
      </c>
      <c r="AG468" s="810"/>
      <c r="AH468" s="811">
        <f t="shared" si="102"/>
        <v>-136983.89105452225</v>
      </c>
      <c r="AI468" s="787">
        <f>AH468/Z468</f>
        <v>-0.17628082257032324</v>
      </c>
      <c r="AJ468" s="789">
        <f>IF($AL$407=0,0,AL468/$AL$407)</f>
        <v>0.82424752781344701</v>
      </c>
      <c r="AK468" s="787"/>
      <c r="AL468" s="788">
        <f>AL419+AL433+AL452+AL466</f>
        <v>678336.7</v>
      </c>
      <c r="AM468" s="797"/>
      <c r="AN468" s="791">
        <f t="shared" si="103"/>
        <v>-38242.919999999925</v>
      </c>
      <c r="AO468" s="766">
        <f t="shared" si="101"/>
        <v>-5.6377489232117217E-2</v>
      </c>
      <c r="AP468" s="507"/>
      <c r="AQ468" s="507"/>
      <c r="AR468" s="507"/>
      <c r="AS468" s="507"/>
      <c r="AT468" s="507"/>
      <c r="AU468" s="507"/>
      <c r="AV468" s="507"/>
      <c r="AW468" s="507"/>
      <c r="AX468" s="507"/>
      <c r="AY468" s="507"/>
      <c r="AZ468" s="507"/>
      <c r="BA468" s="507"/>
      <c r="BB468" s="507"/>
      <c r="BC468" s="507"/>
      <c r="BD468" s="507"/>
      <c r="BE468" s="507"/>
      <c r="BF468" s="507"/>
      <c r="BG468" s="507"/>
      <c r="BH468" s="507"/>
      <c r="BI468" s="507"/>
      <c r="BJ468" s="507"/>
    </row>
    <row r="469" spans="1:62" ht="15.75" customHeight="1">
      <c r="A469" s="523" t="s">
        <v>182</v>
      </c>
      <c r="B469" s="504"/>
      <c r="C469" s="737" t="s">
        <v>227</v>
      </c>
      <c r="D469" s="507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600" t="s">
        <v>182</v>
      </c>
      <c r="W469" s="814"/>
      <c r="X469" s="814"/>
      <c r="Y469" s="768"/>
      <c r="Z469" s="800">
        <f>+INDEX('[7]Budget original'!$A$2:$AO$501,MATCH($A469,'[7]Budget original'!$A$2:$A$501,0),MATCH(F$2,'[7]Budget original'!$A$2:$AO$2,0))</f>
        <v>0</v>
      </c>
      <c r="AA469" s="821"/>
      <c r="AB469" s="822"/>
      <c r="AC469" s="800"/>
      <c r="AD469" s="823"/>
      <c r="AE469" s="822"/>
      <c r="AF469" s="769">
        <f>-SUMIFS([7]BV_Data_An_Cour!$O:$O,[7]BV_Data_An_Cour!$V:$V,$V469)</f>
        <v>52.79</v>
      </c>
      <c r="AG469" s="824"/>
      <c r="AH469" s="771">
        <f t="shared" si="102"/>
        <v>52.79</v>
      </c>
      <c r="AI469" s="817" t="e">
        <f>IF(AH469=0,0,AH469/Z469)</f>
        <v>#DIV/0!</v>
      </c>
      <c r="AJ469" s="823"/>
      <c r="AK469" s="821"/>
      <c r="AL469" s="825">
        <f>+INDEX('[7]Réel 2023'!$A$2:$AO$501,MATCH($A469,'[7]Réel 2023'!$A$2:$A$501,0),MATCH(F$2,'[7]Réel 2023'!$A$2:$AO$2,0))</f>
        <v>780.32</v>
      </c>
      <c r="AM469" s="826"/>
      <c r="AN469" s="771">
        <f t="shared" si="103"/>
        <v>-727.53000000000009</v>
      </c>
      <c r="AO469" s="779">
        <f t="shared" si="101"/>
        <v>-0.93234826737748622</v>
      </c>
      <c r="AP469" s="507"/>
      <c r="AQ469" s="507"/>
      <c r="AR469" s="507"/>
      <c r="AS469" s="507"/>
      <c r="AT469" s="507"/>
      <c r="AU469" s="507"/>
      <c r="AV469" s="507"/>
      <c r="AW469" s="507"/>
      <c r="AX469" s="507"/>
      <c r="AY469" s="507"/>
      <c r="AZ469" s="507"/>
      <c r="BA469" s="507"/>
      <c r="BB469" s="507"/>
      <c r="BC469" s="507"/>
      <c r="BD469" s="507"/>
      <c r="BE469" s="507"/>
      <c r="BF469" s="507"/>
      <c r="BG469" s="507"/>
      <c r="BH469" s="507"/>
      <c r="BI469" s="507"/>
      <c r="BJ469" s="507"/>
    </row>
    <row r="470" spans="1:62" ht="15.75" customHeight="1">
      <c r="A470" s="523" t="s">
        <v>69</v>
      </c>
      <c r="B470" s="504"/>
      <c r="C470" s="737" t="s">
        <v>227</v>
      </c>
      <c r="D470" s="507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600" t="s">
        <v>69</v>
      </c>
      <c r="W470" s="768"/>
      <c r="X470" s="768"/>
      <c r="Y470" s="768"/>
      <c r="Z470" s="769">
        <f t="shared" ref="Z470:Z476" si="104">+SUMIF($C:$C,$V470,F:F)</f>
        <v>92950.237462010438</v>
      </c>
      <c r="AA470" s="813"/>
      <c r="AB470" s="771"/>
      <c r="AC470" s="769"/>
      <c r="AD470" s="827"/>
      <c r="AE470" s="828"/>
      <c r="AF470" s="769">
        <f t="shared" ref="AF470:AF476" si="105">+SUMIF($C:$C,$V470,L:L)</f>
        <v>55120</v>
      </c>
      <c r="AG470" s="829"/>
      <c r="AH470" s="771">
        <f t="shared" si="102"/>
        <v>-37830.237462010438</v>
      </c>
      <c r="AI470" s="795">
        <f>IF(Z470=0,0,AH470/Z470)</f>
        <v>-0.40699452196097918</v>
      </c>
      <c r="AJ470" s="830"/>
      <c r="AK470" s="813"/>
      <c r="AL470" s="831">
        <f t="shared" ref="AL470:AL479" si="106">+SUMIF($C:$C,$V470,Q:Q)</f>
        <v>100428</v>
      </c>
      <c r="AM470" s="827"/>
      <c r="AN470" s="771">
        <f t="shared" si="103"/>
        <v>-45308</v>
      </c>
      <c r="AO470" s="779">
        <f t="shared" si="101"/>
        <v>-0.45114908192934239</v>
      </c>
      <c r="AP470" s="507"/>
      <c r="AQ470" s="507"/>
      <c r="AR470" s="507"/>
      <c r="AS470" s="507"/>
      <c r="AT470" s="507"/>
      <c r="AU470" s="507"/>
      <c r="AV470" s="507"/>
      <c r="AW470" s="507"/>
      <c r="AX470" s="507"/>
      <c r="AY470" s="507"/>
      <c r="AZ470" s="507"/>
      <c r="BA470" s="507"/>
      <c r="BB470" s="507"/>
      <c r="BC470" s="507"/>
      <c r="BD470" s="507"/>
      <c r="BE470" s="507"/>
      <c r="BF470" s="507"/>
      <c r="BG470" s="507"/>
      <c r="BH470" s="507"/>
      <c r="BI470" s="507"/>
      <c r="BJ470" s="507"/>
    </row>
    <row r="471" spans="1:62" ht="15.75" customHeight="1">
      <c r="A471" s="523" t="s">
        <v>197</v>
      </c>
      <c r="B471" s="504"/>
      <c r="C471" s="737" t="s">
        <v>227</v>
      </c>
      <c r="D471" s="507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600" t="s">
        <v>197</v>
      </c>
      <c r="W471" s="768"/>
      <c r="X471" s="768"/>
      <c r="Y471" s="768"/>
      <c r="Z471" s="769">
        <f t="shared" si="104"/>
        <v>0</v>
      </c>
      <c r="AA471" s="813"/>
      <c r="AB471" s="814"/>
      <c r="AC471" s="769"/>
      <c r="AD471" s="830"/>
      <c r="AF471" s="769">
        <f t="shared" si="105"/>
        <v>12500</v>
      </c>
      <c r="AG471" s="829"/>
      <c r="AH471" s="771">
        <f t="shared" si="102"/>
        <v>12500</v>
      </c>
      <c r="AI471" s="795" t="e">
        <f t="shared" ref="AI471:AI480" si="107">IF(AH471=0,0,AH471/Z471)</f>
        <v>#DIV/0!</v>
      </c>
      <c r="AJ471" s="830"/>
      <c r="AK471" s="813"/>
      <c r="AL471" s="831">
        <f t="shared" si="106"/>
        <v>0</v>
      </c>
      <c r="AM471" s="827"/>
      <c r="AN471" s="771">
        <f t="shared" si="103"/>
        <v>12500</v>
      </c>
      <c r="AO471" s="779">
        <f t="shared" si="101"/>
        <v>0</v>
      </c>
      <c r="AP471" s="507"/>
      <c r="AQ471" s="507"/>
      <c r="AR471" s="507"/>
      <c r="AS471" s="507"/>
      <c r="AT471" s="507"/>
      <c r="AU471" s="507"/>
      <c r="AV471" s="507"/>
      <c r="AW471" s="507"/>
      <c r="AX471" s="507"/>
      <c r="AY471" s="507"/>
      <c r="AZ471" s="507"/>
      <c r="BA471" s="507"/>
      <c r="BB471" s="507"/>
      <c r="BC471" s="507"/>
      <c r="BD471" s="507"/>
      <c r="BE471" s="507"/>
      <c r="BF471" s="507"/>
      <c r="BG471" s="507"/>
      <c r="BH471" s="507"/>
      <c r="BI471" s="507"/>
      <c r="BJ471" s="507"/>
    </row>
    <row r="472" spans="1:62" ht="15.75" customHeight="1">
      <c r="A472" s="523" t="s">
        <v>194</v>
      </c>
      <c r="B472" s="504"/>
      <c r="C472" s="737" t="s">
        <v>227</v>
      </c>
      <c r="D472" s="507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600" t="s">
        <v>194</v>
      </c>
      <c r="W472" s="768"/>
      <c r="X472" s="768"/>
      <c r="Y472" s="768"/>
      <c r="Z472" s="769">
        <f t="shared" si="104"/>
        <v>0</v>
      </c>
      <c r="AA472" s="813"/>
      <c r="AB472" s="814"/>
      <c r="AC472" s="769"/>
      <c r="AD472" s="830"/>
      <c r="AE472" s="814"/>
      <c r="AF472" s="769">
        <f t="shared" si="105"/>
        <v>0</v>
      </c>
      <c r="AG472" s="829"/>
      <c r="AH472" s="771">
        <f t="shared" si="102"/>
        <v>0</v>
      </c>
      <c r="AI472" s="795">
        <f t="shared" si="107"/>
        <v>0</v>
      </c>
      <c r="AJ472" s="830"/>
      <c r="AK472" s="813"/>
      <c r="AL472" s="831">
        <f t="shared" si="106"/>
        <v>0</v>
      </c>
      <c r="AM472" s="827"/>
      <c r="AN472" s="771">
        <f t="shared" si="103"/>
        <v>0</v>
      </c>
      <c r="AO472" s="779">
        <f t="shared" si="101"/>
        <v>0</v>
      </c>
      <c r="AP472" s="507"/>
      <c r="AQ472" s="507"/>
      <c r="AR472" s="507"/>
      <c r="AS472" s="507"/>
      <c r="AT472" s="507"/>
      <c r="AU472" s="507"/>
      <c r="AV472" s="507"/>
      <c r="AW472" s="507"/>
      <c r="AX472" s="507"/>
      <c r="AY472" s="507"/>
      <c r="AZ472" s="507"/>
      <c r="BA472" s="507"/>
      <c r="BB472" s="507"/>
      <c r="BC472" s="507"/>
      <c r="BD472" s="507"/>
      <c r="BE472" s="507"/>
      <c r="BF472" s="507"/>
      <c r="BG472" s="507"/>
      <c r="BH472" s="507"/>
      <c r="BI472" s="507"/>
      <c r="BJ472" s="507"/>
    </row>
    <row r="473" spans="1:62" ht="15.75" customHeight="1">
      <c r="A473" s="523" t="s">
        <v>68</v>
      </c>
      <c r="B473" s="504"/>
      <c r="C473" s="737" t="s">
        <v>227</v>
      </c>
      <c r="D473" s="507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600" t="s">
        <v>68</v>
      </c>
      <c r="W473" s="768"/>
      <c r="X473" s="768"/>
      <c r="Y473" s="768"/>
      <c r="Z473" s="769">
        <f t="shared" si="104"/>
        <v>0</v>
      </c>
      <c r="AA473" s="813"/>
      <c r="AB473" s="814"/>
      <c r="AC473" s="769"/>
      <c r="AD473" s="830"/>
      <c r="AE473" s="814"/>
      <c r="AF473" s="769">
        <f t="shared" si="105"/>
        <v>0</v>
      </c>
      <c r="AG473" s="829"/>
      <c r="AH473" s="771">
        <f t="shared" si="102"/>
        <v>0</v>
      </c>
      <c r="AI473" s="795">
        <f t="shared" si="107"/>
        <v>0</v>
      </c>
      <c r="AJ473" s="830"/>
      <c r="AK473" s="813"/>
      <c r="AL473" s="831">
        <f t="shared" si="106"/>
        <v>0</v>
      </c>
      <c r="AM473" s="827"/>
      <c r="AN473" s="771">
        <f t="shared" si="103"/>
        <v>0</v>
      </c>
      <c r="AO473" s="779">
        <f t="shared" si="101"/>
        <v>0</v>
      </c>
      <c r="AP473" s="507"/>
      <c r="AQ473" s="507"/>
      <c r="AR473" s="507"/>
      <c r="AS473" s="507"/>
      <c r="AT473" s="507"/>
      <c r="AU473" s="507"/>
      <c r="AV473" s="507"/>
      <c r="AW473" s="507"/>
      <c r="AX473" s="507"/>
      <c r="AY473" s="507"/>
      <c r="AZ473" s="507"/>
      <c r="BA473" s="507"/>
      <c r="BB473" s="507"/>
      <c r="BC473" s="507"/>
      <c r="BD473" s="507"/>
      <c r="BE473" s="507"/>
      <c r="BF473" s="507"/>
      <c r="BG473" s="507"/>
      <c r="BH473" s="507"/>
      <c r="BI473" s="507"/>
      <c r="BJ473" s="507"/>
    </row>
    <row r="474" spans="1:62" ht="15.75" customHeight="1">
      <c r="A474" s="523" t="s">
        <v>225</v>
      </c>
      <c r="B474" s="504"/>
      <c r="C474" s="737" t="s">
        <v>227</v>
      </c>
      <c r="D474" s="507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600" t="s">
        <v>225</v>
      </c>
      <c r="W474" s="768"/>
      <c r="X474" s="768"/>
      <c r="Y474" s="768"/>
      <c r="Z474" s="769">
        <f t="shared" si="104"/>
        <v>0</v>
      </c>
      <c r="AA474" s="813"/>
      <c r="AB474" s="814"/>
      <c r="AC474" s="769"/>
      <c r="AD474" s="830"/>
      <c r="AE474" s="814"/>
      <c r="AF474" s="769">
        <f t="shared" si="105"/>
        <v>0</v>
      </c>
      <c r="AG474" s="829"/>
      <c r="AH474" s="771">
        <f t="shared" si="102"/>
        <v>0</v>
      </c>
      <c r="AI474" s="795">
        <f t="shared" si="107"/>
        <v>0</v>
      </c>
      <c r="AJ474" s="830"/>
      <c r="AK474" s="813"/>
      <c r="AL474" s="831">
        <f t="shared" si="106"/>
        <v>0</v>
      </c>
      <c r="AM474" s="827"/>
      <c r="AN474" s="771">
        <f t="shared" si="103"/>
        <v>0</v>
      </c>
      <c r="AO474" s="779">
        <f t="shared" si="101"/>
        <v>0</v>
      </c>
      <c r="AP474" s="507"/>
      <c r="AQ474" s="507"/>
      <c r="AR474" s="507"/>
      <c r="AS474" s="507"/>
      <c r="AT474" s="507"/>
      <c r="AU474" s="507"/>
      <c r="AV474" s="507"/>
      <c r="AW474" s="507"/>
      <c r="AX474" s="507"/>
      <c r="AY474" s="507"/>
      <c r="AZ474" s="507"/>
      <c r="BA474" s="507"/>
      <c r="BB474" s="507"/>
      <c r="BC474" s="507"/>
      <c r="BD474" s="507"/>
      <c r="BE474" s="507"/>
      <c r="BF474" s="507"/>
      <c r="BG474" s="507"/>
      <c r="BH474" s="507"/>
      <c r="BI474" s="507"/>
      <c r="BJ474" s="507"/>
    </row>
    <row r="475" spans="1:62" ht="15.75" customHeight="1">
      <c r="A475" s="523" t="s">
        <v>81</v>
      </c>
      <c r="B475" s="504"/>
      <c r="C475" s="737" t="s">
        <v>227</v>
      </c>
      <c r="D475" s="507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600" t="s">
        <v>81</v>
      </c>
      <c r="W475" s="768"/>
      <c r="X475" s="768"/>
      <c r="Y475" s="768"/>
      <c r="Z475" s="769">
        <f t="shared" si="104"/>
        <v>0</v>
      </c>
      <c r="AA475" s="813"/>
      <c r="AB475" s="814"/>
      <c r="AC475" s="769"/>
      <c r="AD475" s="830"/>
      <c r="AE475" s="814"/>
      <c r="AF475" s="769">
        <f t="shared" si="105"/>
        <v>0</v>
      </c>
      <c r="AG475" s="829"/>
      <c r="AH475" s="771">
        <f t="shared" si="102"/>
        <v>0</v>
      </c>
      <c r="AI475" s="795">
        <f t="shared" si="107"/>
        <v>0</v>
      </c>
      <c r="AJ475" s="830"/>
      <c r="AK475" s="813"/>
      <c r="AL475" s="831">
        <f t="shared" si="106"/>
        <v>0</v>
      </c>
      <c r="AM475" s="827"/>
      <c r="AN475" s="771">
        <f t="shared" si="103"/>
        <v>0</v>
      </c>
      <c r="AO475" s="779">
        <f t="shared" si="101"/>
        <v>0</v>
      </c>
      <c r="AP475" s="507"/>
      <c r="AQ475" s="507"/>
      <c r="AR475" s="507"/>
      <c r="AS475" s="507"/>
      <c r="AT475" s="507"/>
      <c r="AU475" s="507"/>
      <c r="AV475" s="507"/>
      <c r="AW475" s="507"/>
      <c r="AX475" s="507"/>
      <c r="AY475" s="507"/>
      <c r="AZ475" s="507"/>
      <c r="BA475" s="507"/>
      <c r="BB475" s="507"/>
      <c r="BC475" s="507"/>
      <c r="BD475" s="507"/>
      <c r="BE475" s="507"/>
      <c r="BF475" s="507"/>
      <c r="BG475" s="507"/>
      <c r="BH475" s="507"/>
      <c r="BI475" s="507"/>
      <c r="BJ475" s="507"/>
    </row>
    <row r="476" spans="1:62" ht="15.75" customHeight="1">
      <c r="A476" s="523" t="s">
        <v>82</v>
      </c>
      <c r="B476" s="504"/>
      <c r="C476" s="737" t="s">
        <v>227</v>
      </c>
      <c r="D476" s="507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600" t="s">
        <v>82</v>
      </c>
      <c r="W476" s="768"/>
      <c r="X476" s="768"/>
      <c r="Y476" s="768"/>
      <c r="Z476" s="769">
        <f t="shared" si="104"/>
        <v>0</v>
      </c>
      <c r="AA476" s="813"/>
      <c r="AB476" s="814"/>
      <c r="AC476" s="769"/>
      <c r="AD476" s="830"/>
      <c r="AE476" s="814"/>
      <c r="AF476" s="769">
        <f t="shared" si="105"/>
        <v>0</v>
      </c>
      <c r="AG476" s="829"/>
      <c r="AH476" s="771">
        <f t="shared" si="102"/>
        <v>0</v>
      </c>
      <c r="AI476" s="795">
        <f t="shared" si="107"/>
        <v>0</v>
      </c>
      <c r="AJ476" s="830"/>
      <c r="AK476" s="813"/>
      <c r="AL476" s="831">
        <f t="shared" si="106"/>
        <v>0</v>
      </c>
      <c r="AM476" s="827"/>
      <c r="AN476" s="771">
        <f t="shared" si="103"/>
        <v>0</v>
      </c>
      <c r="AO476" s="779">
        <f t="shared" si="101"/>
        <v>0</v>
      </c>
      <c r="AP476" s="507"/>
      <c r="AQ476" s="507"/>
      <c r="AR476" s="507"/>
      <c r="AS476" s="507"/>
      <c r="AT476" s="507"/>
      <c r="AU476" s="507"/>
      <c r="AV476" s="507"/>
      <c r="AW476" s="507"/>
      <c r="AX476" s="507"/>
      <c r="AY476" s="507"/>
      <c r="AZ476" s="507"/>
      <c r="BA476" s="507"/>
      <c r="BB476" s="507"/>
      <c r="BC476" s="507"/>
      <c r="BD476" s="507"/>
      <c r="BE476" s="507"/>
      <c r="BF476" s="507"/>
      <c r="BG476" s="507"/>
      <c r="BH476" s="507"/>
      <c r="BI476" s="507"/>
      <c r="BJ476" s="507"/>
    </row>
    <row r="477" spans="1:62" ht="15.75" hidden="1" customHeight="1">
      <c r="A477" s="523" t="s">
        <v>20</v>
      </c>
      <c r="B477" s="504"/>
      <c r="C477" s="737" t="s">
        <v>227</v>
      </c>
      <c r="D477" s="507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600" t="s">
        <v>20</v>
      </c>
      <c r="W477" s="768"/>
      <c r="X477" s="768"/>
      <c r="Y477" s="768"/>
      <c r="Z477" s="769">
        <f>+INDEX('[7]Budget original'!$A$2:$AO$501,MATCH($A477,'[7]Budget original'!$A$2:$A$501,0),MATCH(F$2,'[7]Budget original'!$A$2:$AO$2,0))</f>
        <v>0</v>
      </c>
      <c r="AA477" s="768"/>
      <c r="AB477" s="768"/>
      <c r="AC477" s="769"/>
      <c r="AD477" s="777"/>
      <c r="AE477" s="776"/>
      <c r="AF477" s="769">
        <f>IFERROR(SUMIF($C:$C,$V477,L:L),0)</f>
        <v>0</v>
      </c>
      <c r="AG477" s="770"/>
      <c r="AH477" s="771">
        <f t="shared" si="102"/>
        <v>0</v>
      </c>
      <c r="AI477" s="772">
        <f t="shared" si="107"/>
        <v>0</v>
      </c>
      <c r="AJ477" s="777"/>
      <c r="AK477" s="768"/>
      <c r="AL477" s="769">
        <f>+INDEX('[7]Réel 2023'!$A$2:$AO$501,MATCH($A477,'[7]Réel 2023'!$A$2:$A$501,0),MATCH(F$2,'[7]Réel 2023'!$A$2:$AO$2,0))</f>
        <v>0</v>
      </c>
      <c r="AM477" s="827"/>
      <c r="AN477" s="771">
        <f t="shared" si="103"/>
        <v>0</v>
      </c>
      <c r="AO477" s="779">
        <f t="shared" si="101"/>
        <v>0</v>
      </c>
      <c r="AP477" s="507"/>
      <c r="AQ477" s="507"/>
      <c r="AR477" s="507"/>
      <c r="AS477" s="507"/>
      <c r="AT477" s="507"/>
      <c r="AU477" s="507"/>
      <c r="AV477" s="507"/>
      <c r="AW477" s="507"/>
      <c r="AX477" s="507"/>
      <c r="AY477" s="507"/>
      <c r="AZ477" s="507"/>
      <c r="BA477" s="507"/>
      <c r="BB477" s="507"/>
      <c r="BC477" s="507"/>
      <c r="BD477" s="507"/>
      <c r="BE477" s="507"/>
      <c r="BF477" s="507"/>
      <c r="BG477" s="507"/>
      <c r="BH477" s="507"/>
      <c r="BI477" s="507"/>
      <c r="BJ477" s="507"/>
    </row>
    <row r="478" spans="1:62" ht="15.75" hidden="1" customHeight="1">
      <c r="A478" s="523" t="s">
        <v>20</v>
      </c>
      <c r="B478" s="504"/>
      <c r="C478" s="737" t="s">
        <v>227</v>
      </c>
      <c r="D478" s="507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600" t="s">
        <v>20</v>
      </c>
      <c r="W478" s="768"/>
      <c r="X478" s="768"/>
      <c r="Y478" s="768"/>
      <c r="Z478" s="769">
        <f>IFERROR(SUMIF($C:$C,$V478,F:F),0)</f>
        <v>0</v>
      </c>
      <c r="AA478" s="768"/>
      <c r="AB478" s="768"/>
      <c r="AC478" s="769"/>
      <c r="AD478" s="777"/>
      <c r="AE478" s="776"/>
      <c r="AF478" s="769">
        <f>IFERROR(SUMIF($C:$C,$V478,L:L),0)</f>
        <v>0</v>
      </c>
      <c r="AG478" s="770"/>
      <c r="AH478" s="771">
        <f t="shared" si="102"/>
        <v>0</v>
      </c>
      <c r="AI478" s="772">
        <f t="shared" si="107"/>
        <v>0</v>
      </c>
      <c r="AJ478" s="777"/>
      <c r="AK478" s="768"/>
      <c r="AL478" s="769">
        <f t="shared" si="106"/>
        <v>0</v>
      </c>
      <c r="AM478" s="827"/>
      <c r="AN478" s="771">
        <f t="shared" si="103"/>
        <v>0</v>
      </c>
      <c r="AO478" s="779">
        <f t="shared" si="101"/>
        <v>0</v>
      </c>
      <c r="AP478" s="507"/>
      <c r="AQ478" s="507"/>
      <c r="AR478" s="507"/>
      <c r="AS478" s="507"/>
      <c r="AT478" s="507"/>
      <c r="AU478" s="507"/>
      <c r="AV478" s="507"/>
      <c r="AW478" s="507"/>
      <c r="AX478" s="507"/>
      <c r="AY478" s="507"/>
      <c r="AZ478" s="507"/>
      <c r="BA478" s="507"/>
      <c r="BB478" s="507"/>
      <c r="BC478" s="507"/>
      <c r="BD478" s="507"/>
      <c r="BE478" s="507"/>
      <c r="BF478" s="507"/>
      <c r="BG478" s="507"/>
      <c r="BH478" s="507"/>
      <c r="BI478" s="507"/>
      <c r="BJ478" s="507"/>
    </row>
    <row r="479" spans="1:62" ht="15.75" hidden="1" customHeight="1">
      <c r="A479" s="523" t="s">
        <v>20</v>
      </c>
      <c r="B479" s="504"/>
      <c r="C479" s="737" t="s">
        <v>227</v>
      </c>
      <c r="D479" s="507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600" t="s">
        <v>20</v>
      </c>
      <c r="W479" s="768"/>
      <c r="X479" s="768"/>
      <c r="Y479" s="768"/>
      <c r="Z479" s="769">
        <f>IFERROR(SUMIF($C:$C,$V479,F:F),0)</f>
        <v>0</v>
      </c>
      <c r="AA479" s="768"/>
      <c r="AB479" s="768"/>
      <c r="AC479" s="769"/>
      <c r="AD479" s="777"/>
      <c r="AE479" s="776"/>
      <c r="AF479" s="769">
        <f>IFERROR(SUMIF($C:$C,$V479,L:L),0)</f>
        <v>0</v>
      </c>
      <c r="AG479" s="770"/>
      <c r="AH479" s="771">
        <f t="shared" si="102"/>
        <v>0</v>
      </c>
      <c r="AI479" s="772">
        <f t="shared" si="107"/>
        <v>0</v>
      </c>
      <c r="AJ479" s="777"/>
      <c r="AK479" s="768"/>
      <c r="AL479" s="769">
        <f t="shared" si="106"/>
        <v>0</v>
      </c>
      <c r="AM479" s="827"/>
      <c r="AN479" s="771">
        <f t="shared" si="103"/>
        <v>0</v>
      </c>
      <c r="AO479" s="779">
        <f t="shared" si="101"/>
        <v>0</v>
      </c>
      <c r="AP479" s="507"/>
      <c r="AQ479" s="507"/>
      <c r="AR479" s="507"/>
      <c r="AS479" s="507"/>
      <c r="AT479" s="507"/>
      <c r="AU479" s="507"/>
      <c r="AV479" s="507"/>
      <c r="AW479" s="507"/>
      <c r="AX479" s="507"/>
      <c r="AY479" s="507"/>
      <c r="AZ479" s="507"/>
      <c r="BA479" s="507"/>
      <c r="BB479" s="507"/>
      <c r="BC479" s="507"/>
      <c r="BD479" s="507"/>
      <c r="BE479" s="507"/>
      <c r="BF479" s="507"/>
      <c r="BG479" s="507"/>
      <c r="BH479" s="507"/>
      <c r="BI479" s="507"/>
      <c r="BJ479" s="507"/>
    </row>
    <row r="480" spans="1:62" ht="15.75" customHeight="1">
      <c r="A480" s="523" t="s">
        <v>70</v>
      </c>
      <c r="B480" s="504"/>
      <c r="C480" s="737" t="s">
        <v>227</v>
      </c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602" t="s">
        <v>70</v>
      </c>
      <c r="W480" s="768"/>
      <c r="X480" s="768"/>
      <c r="Y480" s="768"/>
      <c r="Z480" s="769">
        <f>+SUMIF($C:$C,$V480,F:F)</f>
        <v>49034.546875</v>
      </c>
      <c r="AA480" s="813"/>
      <c r="AB480" s="814"/>
      <c r="AC480" s="769"/>
      <c r="AD480" s="832">
        <f>AF480/499</f>
        <v>63.829659318637276</v>
      </c>
      <c r="AE480" s="813">
        <f>(AF480/399)/(J13+J15+J97)</f>
        <v>1.1087092731829573</v>
      </c>
      <c r="AF480" s="769">
        <f>+SUMIF($C:$C,$V480,L:L)</f>
        <v>31851</v>
      </c>
      <c r="AG480" s="829"/>
      <c r="AH480" s="771">
        <f t="shared" si="102"/>
        <v>-17183.546875</v>
      </c>
      <c r="AI480" s="795">
        <f t="shared" si="107"/>
        <v>-0.3504375582138996</v>
      </c>
      <c r="AJ480" s="830"/>
      <c r="AK480" s="813"/>
      <c r="AL480" s="831">
        <f>+INDEX('[7]Réel 2023'!$A$2:$AO$501,MATCH($A480,'[7]Réel 2023'!$A$2:$A$501,0),MATCH(F$2,'[7]Réel 2023'!$A$2:$AO$2,0))</f>
        <v>49621.9</v>
      </c>
      <c r="AM480" s="827"/>
      <c r="AN480" s="771">
        <f t="shared" si="103"/>
        <v>-17770.900000000001</v>
      </c>
      <c r="AO480" s="779">
        <f t="shared" si="101"/>
        <v>-0.35812614994589087</v>
      </c>
      <c r="AP480" s="507"/>
      <c r="AQ480" s="507"/>
      <c r="AR480" s="507"/>
      <c r="AS480" s="507"/>
      <c r="AT480" s="507"/>
      <c r="AU480" s="507"/>
      <c r="AV480" s="507"/>
      <c r="AW480" s="507"/>
      <c r="AX480" s="507"/>
      <c r="AY480" s="507"/>
      <c r="AZ480" s="507"/>
      <c r="BA480" s="507"/>
      <c r="BB480" s="507"/>
      <c r="BC480" s="507"/>
      <c r="BD480" s="507"/>
      <c r="BE480" s="507"/>
      <c r="BF480" s="507"/>
      <c r="BG480" s="507"/>
      <c r="BH480" s="507"/>
      <c r="BI480" s="507"/>
      <c r="BJ480" s="507"/>
    </row>
    <row r="481" spans="1:62" ht="15.75" customHeight="1">
      <c r="A481" s="523" t="s">
        <v>183</v>
      </c>
      <c r="B481" s="504"/>
      <c r="C481" s="737" t="s">
        <v>227</v>
      </c>
      <c r="D481" s="507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785" t="s">
        <v>183</v>
      </c>
      <c r="W481" s="786"/>
      <c r="X481" s="787">
        <f>Z481/+Z407</f>
        <v>0.14402830009815493</v>
      </c>
      <c r="Y481" s="809"/>
      <c r="Z481" s="788">
        <f>SUM(Z469:Z480)</f>
        <v>141984.78433701044</v>
      </c>
      <c r="AA481" s="787"/>
      <c r="AB481" s="809"/>
      <c r="AC481" s="788"/>
      <c r="AD481" s="787">
        <f>AF481/+AF407</f>
        <v>0.13361803147481652</v>
      </c>
      <c r="AE481" s="809"/>
      <c r="AF481" s="788">
        <f>SUM(AF469:AF480)</f>
        <v>99523.790000000008</v>
      </c>
      <c r="AG481" s="810"/>
      <c r="AH481" s="791">
        <f t="shared" si="102"/>
        <v>-42460.99433701043</v>
      </c>
      <c r="AI481" s="787">
        <f>AH481/Z481</f>
        <v>-0.29905313118782084</v>
      </c>
      <c r="AJ481" s="833"/>
      <c r="AK481" s="834"/>
      <c r="AL481" s="788">
        <f>SUM(AL469:AL480)</f>
        <v>150830.22</v>
      </c>
      <c r="AM481" s="835"/>
      <c r="AN481" s="791">
        <f t="shared" si="103"/>
        <v>-51306.429999999993</v>
      </c>
      <c r="AO481" s="812">
        <f t="shared" si="101"/>
        <v>-0.34016014827797769</v>
      </c>
      <c r="AP481" s="507"/>
      <c r="AQ481" s="507"/>
      <c r="AR481" s="507"/>
      <c r="AS481" s="507"/>
      <c r="AT481" s="507"/>
      <c r="AU481" s="507"/>
      <c r="AV481" s="507"/>
      <c r="AW481" s="507"/>
      <c r="AX481" s="507"/>
      <c r="AY481" s="507"/>
      <c r="AZ481" s="507"/>
      <c r="BA481" s="507"/>
      <c r="BB481" s="507"/>
      <c r="BC481" s="507"/>
      <c r="BD481" s="507"/>
      <c r="BE481" s="507"/>
      <c r="BF481" s="507"/>
      <c r="BG481" s="507"/>
      <c r="BH481" s="507"/>
      <c r="BI481" s="507"/>
      <c r="BJ481" s="507"/>
    </row>
    <row r="482" spans="1:62" ht="6" customHeight="1" thickBot="1">
      <c r="A482" s="523" t="s">
        <v>469</v>
      </c>
      <c r="B482" s="504"/>
      <c r="C482" s="737" t="s">
        <v>227</v>
      </c>
      <c r="D482" s="507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836"/>
      <c r="W482" s="837"/>
      <c r="X482" s="837"/>
      <c r="Y482" s="838"/>
      <c r="Z482" s="839"/>
      <c r="AA482" s="837"/>
      <c r="AB482" s="840"/>
      <c r="AC482" s="839"/>
      <c r="AD482" s="837"/>
      <c r="AE482" s="840"/>
      <c r="AF482" s="841"/>
      <c r="AG482" s="842"/>
      <c r="AH482" s="843"/>
      <c r="AI482" s="844"/>
      <c r="AJ482" s="845"/>
      <c r="AK482" s="846"/>
      <c r="AL482" s="841"/>
      <c r="AM482" s="847"/>
      <c r="AN482" s="843">
        <f t="shared" si="103"/>
        <v>0</v>
      </c>
      <c r="AO482" s="848">
        <f t="shared" si="101"/>
        <v>0</v>
      </c>
      <c r="AP482" s="507"/>
      <c r="AQ482" s="507"/>
      <c r="AR482" s="507"/>
      <c r="AS482" s="507"/>
      <c r="AT482" s="507"/>
      <c r="AU482" s="507"/>
      <c r="AV482" s="507"/>
      <c r="AW482" s="507"/>
      <c r="AX482" s="507"/>
      <c r="AY482" s="507"/>
      <c r="AZ482" s="507"/>
      <c r="BA482" s="507"/>
      <c r="BB482" s="507"/>
      <c r="BC482" s="507"/>
      <c r="BD482" s="507"/>
      <c r="BE482" s="507"/>
      <c r="BF482" s="507"/>
      <c r="BG482" s="507"/>
      <c r="BH482" s="507"/>
      <c r="BI482" s="507"/>
      <c r="BJ482" s="507"/>
    </row>
    <row r="483" spans="1:62" ht="15.75" customHeight="1" thickTop="1" thickBot="1">
      <c r="A483" s="523" t="s">
        <v>184</v>
      </c>
      <c r="B483" s="504"/>
      <c r="C483" s="737" t="s">
        <v>227</v>
      </c>
      <c r="D483" s="507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849" t="s">
        <v>184</v>
      </c>
      <c r="W483" s="850"/>
      <c r="X483" s="851" t="s">
        <v>185</v>
      </c>
      <c r="Y483" s="852">
        <f>Z483/Z406</f>
        <v>5.5414191716182302E-2</v>
      </c>
      <c r="Z483" s="853">
        <f>Z407-Z468+Z481</f>
        <v>350718.820011292</v>
      </c>
      <c r="AA483" s="851"/>
      <c r="AB483" s="852"/>
      <c r="AC483" s="853"/>
      <c r="AD483" s="851" t="s">
        <v>185</v>
      </c>
      <c r="AE483" s="852">
        <f>AF483/AF406</f>
        <v>4.8425867697527644E-2</v>
      </c>
      <c r="AF483" s="854">
        <f>AF407-AF468+AF481</f>
        <v>204268.02999999988</v>
      </c>
      <c r="AG483" s="855"/>
      <c r="AH483" s="855">
        <f>AF483-Z483</f>
        <v>-146450.79001129212</v>
      </c>
      <c r="AI483" s="856">
        <f>AH483/Z483</f>
        <v>-0.41757322862393548</v>
      </c>
      <c r="AJ483" s="857" t="s">
        <v>185</v>
      </c>
      <c r="AK483" s="852">
        <f>IF($AL$406=0,0,AL483/$AL$406)</f>
        <v>2.3953705022798016E-2</v>
      </c>
      <c r="AL483" s="854">
        <f>AL407-AL468+AL481</f>
        <v>295470.44999999972</v>
      </c>
      <c r="AM483" s="858"/>
      <c r="AN483" s="854">
        <f t="shared" si="103"/>
        <v>-91202.419999999838</v>
      </c>
      <c r="AO483" s="859">
        <f t="shared" si="101"/>
        <v>-0.30866849798346985</v>
      </c>
      <c r="AP483" s="507"/>
      <c r="AQ483" s="507"/>
      <c r="AR483" s="507"/>
      <c r="AS483" s="507"/>
      <c r="AT483" s="507"/>
      <c r="AU483" s="507"/>
      <c r="AV483" s="507"/>
      <c r="AW483" s="507"/>
      <c r="AX483" s="507"/>
      <c r="AY483" s="507"/>
      <c r="AZ483" s="507"/>
      <c r="BA483" s="507"/>
      <c r="BB483" s="507"/>
      <c r="BC483" s="507"/>
      <c r="BD483" s="507"/>
      <c r="BE483" s="507"/>
      <c r="BF483" s="507"/>
      <c r="BG483" s="507"/>
      <c r="BH483" s="507"/>
      <c r="BI483" s="507"/>
      <c r="BJ483" s="507"/>
    </row>
    <row r="484" spans="1:62" ht="8.25" customHeight="1" thickTop="1">
      <c r="A484" s="523" t="s">
        <v>469</v>
      </c>
      <c r="B484" s="504"/>
      <c r="C484" s="737" t="s">
        <v>227</v>
      </c>
      <c r="D484" s="507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496"/>
      <c r="W484" s="496"/>
      <c r="X484" s="496"/>
      <c r="Y484" s="496"/>
      <c r="Z484" s="573"/>
      <c r="AA484" s="510"/>
      <c r="AB484" s="510"/>
      <c r="AC484" s="573"/>
      <c r="AD484" s="510"/>
      <c r="AE484" s="510"/>
      <c r="AF484" s="860"/>
      <c r="AG484" s="510"/>
      <c r="AH484" s="510"/>
      <c r="AI484" s="510"/>
      <c r="AJ484" s="510"/>
      <c r="AK484" s="510"/>
      <c r="AL484" s="573"/>
      <c r="AM484" s="510"/>
      <c r="AN484" s="510"/>
      <c r="AO484" s="510"/>
      <c r="AP484" s="507"/>
      <c r="AQ484" s="507"/>
      <c r="AR484" s="507"/>
      <c r="AS484" s="507"/>
      <c r="AT484" s="507"/>
      <c r="AU484" s="507"/>
      <c r="AV484" s="507"/>
      <c r="AW484" s="507"/>
      <c r="AX484" s="507"/>
      <c r="AY484" s="507"/>
      <c r="AZ484" s="507"/>
      <c r="BA484" s="507"/>
      <c r="BB484" s="507"/>
      <c r="BC484" s="507"/>
      <c r="BD484" s="507"/>
      <c r="BE484" s="507"/>
      <c r="BF484" s="507"/>
      <c r="BG484" s="507"/>
      <c r="BH484" s="507"/>
      <c r="BI484" s="507"/>
      <c r="BJ484" s="507"/>
    </row>
    <row r="485" spans="1:62" ht="18" customHeight="1">
      <c r="A485" s="523" t="s">
        <v>478</v>
      </c>
      <c r="B485" s="504"/>
      <c r="C485" s="737" t="s">
        <v>227</v>
      </c>
      <c r="D485" s="507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861" t="str">
        <f>C1</f>
        <v>Volks</v>
      </c>
      <c r="W485" s="861"/>
      <c r="X485" s="861"/>
      <c r="Y485" s="861"/>
      <c r="Z485" s="861"/>
      <c r="AA485" s="861"/>
      <c r="AB485" s="861"/>
      <c r="AC485" s="861"/>
      <c r="AD485" s="861"/>
      <c r="AE485" s="862" t="s">
        <v>186</v>
      </c>
      <c r="AF485" s="861"/>
      <c r="AG485" s="861"/>
      <c r="AH485" s="861"/>
      <c r="AI485" s="861"/>
      <c r="AJ485" s="863"/>
      <c r="AK485" s="864"/>
      <c r="AL485" s="861"/>
      <c r="AM485" s="861"/>
      <c r="AN485" s="861"/>
      <c r="AO485" s="865" t="str">
        <f>$S$1</f>
        <v>Réalisé, Novembre 2024</v>
      </c>
      <c r="AP485" s="507"/>
      <c r="AQ485" s="507"/>
      <c r="AR485" s="507"/>
      <c r="AS485" s="507"/>
      <c r="AT485" s="507"/>
      <c r="AU485" s="507"/>
      <c r="AV485" s="507"/>
      <c r="AW485" s="507"/>
      <c r="AX485" s="507"/>
      <c r="AY485" s="507"/>
      <c r="AZ485" s="507"/>
      <c r="BA485" s="507"/>
      <c r="BB485" s="507"/>
      <c r="BC485" s="507"/>
      <c r="BD485" s="507"/>
      <c r="BE485" s="507"/>
      <c r="BF485" s="507"/>
      <c r="BG485" s="507"/>
      <c r="BH485" s="507"/>
      <c r="BI485" s="507"/>
      <c r="BJ485" s="507"/>
    </row>
    <row r="486" spans="1:62" ht="19.5" customHeight="1">
      <c r="A486" s="523" t="s">
        <v>469</v>
      </c>
      <c r="B486" s="504"/>
      <c r="C486" s="737" t="s">
        <v>227</v>
      </c>
      <c r="D486" s="507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496"/>
      <c r="W486" s="496"/>
      <c r="X486" s="496"/>
      <c r="Y486" s="496"/>
      <c r="Z486" s="573"/>
      <c r="AA486" s="510"/>
      <c r="AB486" s="510"/>
      <c r="AC486" s="573"/>
      <c r="AD486" s="510"/>
      <c r="AE486" s="510"/>
      <c r="AF486" s="860"/>
      <c r="AG486" s="510"/>
      <c r="AH486" s="510"/>
      <c r="AI486" s="510"/>
      <c r="AJ486" s="510"/>
      <c r="AK486" s="510"/>
      <c r="AL486" s="573"/>
      <c r="AM486" s="510"/>
      <c r="AN486" s="510"/>
      <c r="AO486" s="510"/>
      <c r="AP486" s="507"/>
      <c r="AQ486" s="507"/>
      <c r="AR486" s="507"/>
      <c r="AS486" s="507"/>
      <c r="AT486" s="507"/>
      <c r="AU486" s="507"/>
      <c r="AV486" s="507"/>
      <c r="AW486" s="507"/>
      <c r="AX486" s="507"/>
      <c r="AY486" s="507"/>
      <c r="AZ486" s="507"/>
      <c r="BA486" s="507"/>
      <c r="BB486" s="507"/>
      <c r="BC486" s="507"/>
      <c r="BD486" s="507"/>
      <c r="BE486" s="507"/>
      <c r="BF486" s="507"/>
      <c r="BG486" s="507"/>
      <c r="BH486" s="507"/>
      <c r="BI486" s="507"/>
      <c r="BJ486" s="507"/>
    </row>
    <row r="487" spans="1:62" ht="19.5" customHeight="1" thickBot="1">
      <c r="A487" s="523" t="s">
        <v>469</v>
      </c>
      <c r="B487" s="504"/>
      <c r="C487" s="737" t="s">
        <v>227</v>
      </c>
      <c r="D487" s="507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496"/>
      <c r="W487" s="496"/>
      <c r="X487" s="496"/>
      <c r="Y487" s="496"/>
      <c r="Z487" s="573"/>
      <c r="AA487" s="510"/>
      <c r="AB487" s="510"/>
      <c r="AC487" s="573"/>
      <c r="AD487" s="510"/>
      <c r="AE487" s="510"/>
      <c r="AF487" s="860"/>
      <c r="AG487" s="510"/>
      <c r="AH487" s="510"/>
      <c r="AI487" s="510"/>
      <c r="AJ487" s="510"/>
      <c r="AK487" s="510"/>
      <c r="AL487" s="573"/>
      <c r="AM487" s="510"/>
      <c r="AN487" s="510"/>
      <c r="AO487" s="510"/>
      <c r="AP487" s="507"/>
      <c r="AQ487" s="507"/>
      <c r="AR487" s="507"/>
      <c r="AS487" s="507"/>
      <c r="AT487" s="507"/>
      <c r="AU487" s="507"/>
      <c r="AV487" s="507"/>
      <c r="AW487" s="507"/>
      <c r="AX487" s="507"/>
      <c r="AY487" s="507"/>
      <c r="AZ487" s="507"/>
      <c r="BA487" s="507"/>
      <c r="BB487" s="507"/>
      <c r="BC487" s="507"/>
      <c r="BD487" s="507"/>
      <c r="BE487" s="507"/>
      <c r="BF487" s="507"/>
      <c r="BG487" s="507"/>
      <c r="BH487" s="507"/>
      <c r="BI487" s="507"/>
      <c r="BJ487" s="507"/>
    </row>
    <row r="488" spans="1:62" ht="19.5" customHeight="1" thickTop="1" thickBot="1">
      <c r="A488" s="523" t="s">
        <v>469</v>
      </c>
      <c r="B488" s="504"/>
      <c r="C488" s="737" t="s">
        <v>227</v>
      </c>
      <c r="D488" s="507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849" t="s">
        <v>215</v>
      </c>
      <c r="W488" s="850"/>
      <c r="X488" s="851" t="s">
        <v>185</v>
      </c>
      <c r="Y488" s="852">
        <f>Z488/Z406</f>
        <v>5.8422765223986983E-2</v>
      </c>
      <c r="Z488" s="854">
        <f>Z489+Z415</f>
        <v>369760.21207884711</v>
      </c>
      <c r="AA488" s="851"/>
      <c r="AB488" s="852"/>
      <c r="AC488" s="853"/>
      <c r="AD488" s="851" t="s">
        <v>185</v>
      </c>
      <c r="AE488" s="852">
        <f>AF488/AF406</f>
        <v>4.016610401130831E-2</v>
      </c>
      <c r="AF488" s="854">
        <f>AF489+AF415</f>
        <v>169427.02999999988</v>
      </c>
      <c r="AG488" s="855"/>
      <c r="AH488" s="855">
        <f t="shared" ref="AH488" si="108">AF488-Z488</f>
        <v>-200333.18207884723</v>
      </c>
      <c r="AI488" s="856">
        <f>AH488/Z488</f>
        <v>-0.54179215484690513</v>
      </c>
      <c r="AJ488" s="851" t="s">
        <v>185</v>
      </c>
      <c r="AK488" s="852">
        <f>IF($AL$406=0,0,AL488/$AL$406)</f>
        <v>2.5578447491878771E-2</v>
      </c>
      <c r="AL488" s="854">
        <f>AL489+AL415</f>
        <v>315511.74999999971</v>
      </c>
      <c r="AM488" s="858"/>
      <c r="AN488" s="854">
        <f t="shared" ref="AN488" si="109">AF488-AL488</f>
        <v>-146084.71999999983</v>
      </c>
      <c r="AO488" s="866">
        <f t="shared" ref="AO488" si="110">IF(AL488=0,0,AN488/AL488)</f>
        <v>-0.46300881028994945</v>
      </c>
      <c r="AP488" s="507"/>
      <c r="AQ488" s="507"/>
      <c r="AR488" s="507"/>
      <c r="AS488" s="507"/>
      <c r="AT488" s="507"/>
      <c r="AU488" s="507"/>
      <c r="AV488" s="507"/>
      <c r="AW488" s="507"/>
      <c r="AX488" s="507"/>
      <c r="AY488" s="507"/>
      <c r="AZ488" s="507"/>
      <c r="BA488" s="507"/>
      <c r="BB488" s="507"/>
      <c r="BC488" s="507"/>
      <c r="BD488" s="507"/>
      <c r="BE488" s="507"/>
      <c r="BF488" s="507"/>
      <c r="BG488" s="507"/>
      <c r="BH488" s="507"/>
      <c r="BI488" s="507"/>
      <c r="BJ488" s="507"/>
    </row>
    <row r="489" spans="1:62" ht="18.600000000000001" hidden="1" thickTop="1" thickBot="1">
      <c r="A489" s="523" t="s">
        <v>184</v>
      </c>
      <c r="B489" s="504"/>
      <c r="C489" s="737" t="s">
        <v>227</v>
      </c>
      <c r="D489" s="507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849" t="s">
        <v>184</v>
      </c>
      <c r="W489" s="850"/>
      <c r="X489" s="851" t="s">
        <v>185</v>
      </c>
      <c r="Y489" s="852">
        <f>Z489/Z406</f>
        <v>5.5414191716182302E-2</v>
      </c>
      <c r="Z489" s="853">
        <f>Z483</f>
        <v>350718.820011292</v>
      </c>
      <c r="AA489" s="851"/>
      <c r="AB489" s="852"/>
      <c r="AC489" s="853"/>
      <c r="AD489" s="851" t="s">
        <v>185</v>
      </c>
      <c r="AE489" s="852">
        <f>AF489/AF406</f>
        <v>4.8425867697527644E-2</v>
      </c>
      <c r="AF489" s="853">
        <f>AF483</f>
        <v>204268.02999999988</v>
      </c>
      <c r="AG489" s="854"/>
      <c r="AH489" s="855">
        <f>AF489-Z489</f>
        <v>-146450.79001129212</v>
      </c>
      <c r="AI489" s="856">
        <f>AH489/Z489</f>
        <v>-0.41757322862393548</v>
      </c>
      <c r="AJ489" s="851" t="s">
        <v>185</v>
      </c>
      <c r="AK489" s="852">
        <f>IF($AL$406=0,0,AL489/$AL$406)</f>
        <v>2.3953705022798016E-2</v>
      </c>
      <c r="AL489" s="867">
        <f>AL483</f>
        <v>295470.44999999972</v>
      </c>
      <c r="AM489" s="868"/>
      <c r="AN489" s="869">
        <f>AF489-AL489</f>
        <v>-91202.419999999838</v>
      </c>
      <c r="AO489" s="870">
        <f>IF(AL489=0,0,AN489/AL489)</f>
        <v>-0.30866849798346985</v>
      </c>
      <c r="AP489" s="507"/>
      <c r="AQ489" s="507"/>
      <c r="AR489" s="507"/>
      <c r="AS489" s="507"/>
      <c r="AT489" s="507"/>
      <c r="AU489" s="507"/>
      <c r="AV489" s="507"/>
      <c r="AW489" s="507"/>
      <c r="AX489" s="507"/>
      <c r="AY489" s="507"/>
      <c r="AZ489" s="507"/>
      <c r="BA489" s="507"/>
      <c r="BB489" s="507"/>
      <c r="BC489" s="507"/>
      <c r="BD489" s="507"/>
      <c r="BE489" s="507"/>
      <c r="BF489" s="507"/>
      <c r="BG489" s="507"/>
      <c r="BH489" s="507"/>
      <c r="BI489" s="507"/>
      <c r="BJ489" s="507"/>
    </row>
    <row r="490" spans="1:62" ht="15.75" customHeight="1" thickTop="1">
      <c r="A490" s="523" t="s">
        <v>469</v>
      </c>
      <c r="B490" s="504"/>
      <c r="C490" s="737" t="s">
        <v>227</v>
      </c>
      <c r="D490" s="507"/>
      <c r="E490" s="507"/>
      <c r="F490" s="657"/>
      <c r="G490" s="507"/>
      <c r="H490" s="507"/>
      <c r="I490" s="657"/>
      <c r="J490" s="507"/>
      <c r="K490" s="507"/>
      <c r="L490" s="507"/>
      <c r="M490" s="657"/>
      <c r="N490" s="507"/>
      <c r="O490" s="507"/>
      <c r="P490" s="507"/>
      <c r="Q490" s="657"/>
      <c r="R490" s="657"/>
      <c r="S490" s="657"/>
      <c r="T490" s="816"/>
      <c r="U490" s="816"/>
      <c r="V490" s="871"/>
      <c r="W490" s="507"/>
      <c r="X490" s="507"/>
      <c r="Y490" s="507"/>
      <c r="Z490" s="872"/>
      <c r="AA490" s="507"/>
      <c r="AB490" s="507"/>
      <c r="AC490" s="873"/>
      <c r="AD490" s="507"/>
      <c r="AE490" s="507"/>
      <c r="AF490" s="873"/>
      <c r="AG490" s="507"/>
      <c r="AH490" s="507"/>
      <c r="AI490" s="873"/>
      <c r="AJ490" s="507"/>
      <c r="AK490" s="507"/>
      <c r="AL490" s="874"/>
      <c r="AM490" s="875"/>
      <c r="AN490" s="507"/>
      <c r="AO490" s="876"/>
      <c r="AP490" s="507"/>
      <c r="AQ490" s="507"/>
      <c r="AR490" s="507"/>
      <c r="AS490" s="507"/>
      <c r="AT490" s="507"/>
      <c r="AU490" s="507"/>
      <c r="AV490" s="507"/>
      <c r="AW490" s="507"/>
      <c r="AX490" s="507"/>
      <c r="AY490" s="507"/>
      <c r="AZ490" s="507"/>
      <c r="BA490" s="507"/>
      <c r="BB490" s="507"/>
      <c r="BC490" s="507"/>
      <c r="BD490" s="507"/>
      <c r="BE490" s="507"/>
      <c r="BF490" s="507"/>
      <c r="BG490" s="507"/>
      <c r="BH490" s="507"/>
      <c r="BI490" s="507"/>
      <c r="BJ490" s="507"/>
    </row>
    <row r="491" spans="1:62" ht="15.75" customHeight="1">
      <c r="A491" s="523" t="s">
        <v>187</v>
      </c>
      <c r="B491" s="504"/>
      <c r="C491" s="737" t="s">
        <v>227</v>
      </c>
      <c r="D491" s="507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600" t="s">
        <v>187</v>
      </c>
      <c r="W491" s="775"/>
      <c r="X491" s="768"/>
      <c r="Y491" s="776"/>
      <c r="Z491" s="769">
        <f>+INDEX('[7]Budget original'!$A$2:$AO$501,MATCH($A491,'[7]Budget original'!$A$2:$A$501,0),MATCH(F$2,'[7]Budget original'!$A$2:$AO$2,0))</f>
        <v>34648.333333333328</v>
      </c>
      <c r="AA491" s="768"/>
      <c r="AB491" s="776"/>
      <c r="AC491" s="769"/>
      <c r="AD491" s="768"/>
      <c r="AE491" s="776"/>
      <c r="AF491" s="769">
        <f>SUMIFS([7]BV_Data_An_Cour!$O:$O,[7]BV_Data_An_Cour!$V:$V,$V491)</f>
        <v>34648</v>
      </c>
      <c r="AG491" s="768"/>
      <c r="AH491" s="771">
        <f t="shared" ref="AH491:AH498" si="111">AF491-Z491</f>
        <v>-0.33333333332848269</v>
      </c>
      <c r="AI491" s="795">
        <f t="shared" ref="AI491:AI497" si="112">IF(Z491=0,0,AH491/Z491)</f>
        <v>-9.6204723650531353E-6</v>
      </c>
      <c r="AJ491" s="768"/>
      <c r="AK491" s="768"/>
      <c r="AL491" s="769">
        <f>+INDEX('[7]Réel 2023'!$A$2:$AO$501,MATCH($A491,'[7]Réel 2023'!$A$2:$A$501,0),MATCH(F$2,'[7]Réel 2023'!$A$2:$AO$2,0))</f>
        <v>4314.5</v>
      </c>
      <c r="AM491" s="773"/>
      <c r="AN491" s="771">
        <f t="shared" ref="AN491:AN498" si="113">AF491-AL491</f>
        <v>30333.5</v>
      </c>
      <c r="AO491" s="779">
        <f t="shared" ref="AO491:AO498" si="114">IF(AL491=0,0,AN491/AL491)</f>
        <v>7.030594506895353</v>
      </c>
      <c r="AP491" s="507"/>
      <c r="AQ491" s="507"/>
      <c r="AR491" s="507"/>
      <c r="AS491" s="507"/>
      <c r="AT491" s="507"/>
      <c r="AU491" s="507"/>
      <c r="AV491" s="507"/>
      <c r="AW491" s="507"/>
      <c r="AX491" s="507"/>
      <c r="AY491" s="507"/>
      <c r="AZ491" s="507"/>
      <c r="BA491" s="507"/>
      <c r="BB491" s="507"/>
      <c r="BC491" s="507"/>
      <c r="BD491" s="507"/>
      <c r="BE491" s="507"/>
      <c r="BF491" s="507"/>
      <c r="BG491" s="507"/>
      <c r="BH491" s="507"/>
      <c r="BI491" s="507"/>
      <c r="BJ491" s="507"/>
    </row>
    <row r="492" spans="1:62" ht="15.75" customHeight="1">
      <c r="A492" s="523" t="s">
        <v>188</v>
      </c>
      <c r="B492" s="504"/>
      <c r="C492" s="737" t="s">
        <v>227</v>
      </c>
      <c r="D492" s="507"/>
      <c r="E492" s="507"/>
      <c r="F492" s="657"/>
      <c r="G492" s="507"/>
      <c r="H492" s="507"/>
      <c r="I492" s="657"/>
      <c r="J492" s="507"/>
      <c r="K492" s="507"/>
      <c r="L492" s="507"/>
      <c r="M492" s="657"/>
      <c r="N492" s="507"/>
      <c r="O492" s="507"/>
      <c r="P492" s="507"/>
      <c r="Q492" s="657"/>
      <c r="R492" s="657"/>
      <c r="S492" s="657"/>
      <c r="T492" s="507"/>
      <c r="U492" s="507"/>
      <c r="V492" s="600" t="s">
        <v>188</v>
      </c>
      <c r="W492" s="507"/>
      <c r="X492" s="507"/>
      <c r="Y492" s="507"/>
      <c r="Z492" s="769">
        <f>+INDEX('[7]Budget original'!$A$2:$AO$501,MATCH($A492,'[7]Budget original'!$A$2:$A$501,0),MATCH(F$2,'[7]Budget original'!$A$2:$AO$2,0))</f>
        <v>0</v>
      </c>
      <c r="AA492" s="507"/>
      <c r="AB492" s="507"/>
      <c r="AC492" s="769"/>
      <c r="AD492" s="507"/>
      <c r="AE492" s="510"/>
      <c r="AF492" s="769">
        <f>SUMIFS([7]BV_Data_An_Cour!$O:$O,[7]BV_Data_An_Cour!$V:$V,$V492)</f>
        <v>0</v>
      </c>
      <c r="AG492" s="507"/>
      <c r="AH492" s="771">
        <f t="shared" si="111"/>
        <v>0</v>
      </c>
      <c r="AI492" s="795">
        <f t="shared" si="112"/>
        <v>0</v>
      </c>
      <c r="AJ492" s="507"/>
      <c r="AK492" s="507"/>
      <c r="AL492" s="769">
        <f>+INDEX('[7]Réel 2023'!$A$2:$AO$501,MATCH($A492,'[7]Réel 2023'!$A$2:$A$501,0),MATCH(F$2,'[7]Réel 2023'!$A$2:$AO$2,0))</f>
        <v>0</v>
      </c>
      <c r="AM492" s="875"/>
      <c r="AN492" s="771">
        <f t="shared" si="113"/>
        <v>0</v>
      </c>
      <c r="AO492" s="779">
        <f t="shared" si="114"/>
        <v>0</v>
      </c>
      <c r="AP492" s="507"/>
      <c r="AQ492" s="507"/>
      <c r="AR492" s="507"/>
      <c r="AS492" s="507"/>
      <c r="AT492" s="507"/>
      <c r="AU492" s="507"/>
      <c r="AV492" s="507"/>
      <c r="AW492" s="507"/>
      <c r="AX492" s="507"/>
      <c r="AY492" s="507"/>
      <c r="AZ492" s="507"/>
      <c r="BA492" s="507"/>
      <c r="BB492" s="507"/>
      <c r="BC492" s="507"/>
      <c r="BD492" s="507"/>
      <c r="BE492" s="507"/>
      <c r="BF492" s="507"/>
      <c r="BG492" s="507"/>
      <c r="BH492" s="507"/>
      <c r="BI492" s="507"/>
      <c r="BJ492" s="507"/>
    </row>
    <row r="493" spans="1:62" ht="15.75" customHeight="1">
      <c r="A493" s="523" t="s">
        <v>189</v>
      </c>
      <c r="B493" s="504"/>
      <c r="C493" s="737" t="s">
        <v>227</v>
      </c>
      <c r="D493" s="507"/>
      <c r="E493" s="507"/>
      <c r="F493" s="657"/>
      <c r="G493" s="507"/>
      <c r="H493" s="507"/>
      <c r="I493" s="657"/>
      <c r="J493" s="507"/>
      <c r="K493" s="507"/>
      <c r="L493" s="507"/>
      <c r="M493" s="657"/>
      <c r="N493" s="507"/>
      <c r="O493" s="507"/>
      <c r="P493" s="507"/>
      <c r="Q493" s="657"/>
      <c r="R493" s="657"/>
      <c r="S493" s="657"/>
      <c r="T493" s="507"/>
      <c r="U493" s="507"/>
      <c r="V493" s="600" t="s">
        <v>189</v>
      </c>
      <c r="W493" s="510"/>
      <c r="X493" s="510"/>
      <c r="Y493" s="510"/>
      <c r="Z493" s="769">
        <f>+INDEX('[7]Budget original'!$A$2:$AO$501,MATCH($A493,'[7]Budget original'!$A$2:$A$501,0),MATCH(F$2,'[7]Budget original'!$A$2:$AO$2,0))</f>
        <v>0</v>
      </c>
      <c r="AA493" s="507"/>
      <c r="AB493" s="507"/>
      <c r="AC493" s="769"/>
      <c r="AD493" s="507"/>
      <c r="AE493" s="510"/>
      <c r="AF493" s="769">
        <f>SUMIFS([7]BV_Data_An_Cour!$O:$O,[7]BV_Data_An_Cour!$V:$V,$V493)</f>
        <v>0</v>
      </c>
      <c r="AG493" s="507"/>
      <c r="AH493" s="771">
        <f t="shared" si="111"/>
        <v>0</v>
      </c>
      <c r="AI493" s="795">
        <f t="shared" si="112"/>
        <v>0</v>
      </c>
      <c r="AJ493" s="507"/>
      <c r="AK493" s="507"/>
      <c r="AL493" s="769">
        <f>+INDEX('[7]Réel 2023'!$A$2:$AO$501,MATCH($A493,'[7]Réel 2023'!$A$2:$A$501,0),MATCH(F$2,'[7]Réel 2023'!$A$2:$AO$2,0))</f>
        <v>0</v>
      </c>
      <c r="AM493" s="875"/>
      <c r="AN493" s="771">
        <f t="shared" si="113"/>
        <v>0</v>
      </c>
      <c r="AO493" s="779">
        <f t="shared" si="114"/>
        <v>0</v>
      </c>
      <c r="AP493" s="507"/>
      <c r="AQ493" s="507"/>
      <c r="AR493" s="507"/>
      <c r="AS493" s="507"/>
      <c r="AT493" s="507"/>
      <c r="AU493" s="507"/>
      <c r="AV493" s="507"/>
      <c r="AW493" s="507"/>
      <c r="AX493" s="507"/>
      <c r="AY493" s="507"/>
      <c r="AZ493" s="507"/>
      <c r="BA493" s="507"/>
      <c r="BB493" s="507"/>
      <c r="BC493" s="507"/>
      <c r="BD493" s="507"/>
      <c r="BE493" s="507"/>
      <c r="BF493" s="507"/>
      <c r="BG493" s="507"/>
      <c r="BH493" s="507"/>
      <c r="BI493" s="507"/>
      <c r="BJ493" s="507"/>
    </row>
    <row r="494" spans="1:62" ht="15.75" customHeight="1">
      <c r="A494" s="523" t="s">
        <v>190</v>
      </c>
      <c r="B494" s="504"/>
      <c r="C494" s="737" t="s">
        <v>227</v>
      </c>
      <c r="D494" s="507"/>
      <c r="E494" s="507"/>
      <c r="F494" s="657"/>
      <c r="G494" s="507"/>
      <c r="H494" s="507"/>
      <c r="I494" s="657"/>
      <c r="J494" s="507"/>
      <c r="K494" s="507"/>
      <c r="L494" s="507"/>
      <c r="M494" s="657"/>
      <c r="N494" s="507"/>
      <c r="O494" s="507"/>
      <c r="P494" s="507"/>
      <c r="Q494" s="657"/>
      <c r="R494" s="657"/>
      <c r="S494" s="657"/>
      <c r="T494" s="507"/>
      <c r="U494" s="507"/>
      <c r="V494" s="600" t="s">
        <v>190</v>
      </c>
      <c r="W494" s="510"/>
      <c r="X494" s="510"/>
      <c r="Y494" s="510"/>
      <c r="Z494" s="769">
        <f>+INDEX('[7]Budget original'!$A$2:$AO$501,MATCH($A494,'[7]Budget original'!$A$2:$A$501,0),MATCH(F$2,'[7]Budget original'!$A$2:$AO$2,0))</f>
        <v>0</v>
      </c>
      <c r="AA494" s="507"/>
      <c r="AB494" s="507"/>
      <c r="AC494" s="769"/>
      <c r="AD494" s="507"/>
      <c r="AE494" s="510"/>
      <c r="AF494" s="769">
        <f>SUMIFS([7]BV_Data_An_Cour!$O:$O,[7]BV_Data_An_Cour!$V:$V,$V494)</f>
        <v>0</v>
      </c>
      <c r="AG494" s="507"/>
      <c r="AH494" s="771">
        <f t="shared" si="111"/>
        <v>0</v>
      </c>
      <c r="AI494" s="795">
        <f t="shared" si="112"/>
        <v>0</v>
      </c>
      <c r="AJ494" s="507"/>
      <c r="AK494" s="507"/>
      <c r="AL494" s="769">
        <f>+INDEX('[7]Réel 2023'!$A$2:$AO$501,MATCH($A494,'[7]Réel 2023'!$A$2:$A$501,0),MATCH(F$2,'[7]Réel 2023'!$A$2:$AO$2,0))</f>
        <v>0</v>
      </c>
      <c r="AM494" s="875"/>
      <c r="AN494" s="771">
        <f t="shared" si="113"/>
        <v>0</v>
      </c>
      <c r="AO494" s="779">
        <f t="shared" si="114"/>
        <v>0</v>
      </c>
      <c r="AP494" s="507"/>
      <c r="AQ494" s="507"/>
      <c r="AR494" s="507"/>
      <c r="AS494" s="507"/>
      <c r="AT494" s="507"/>
      <c r="AU494" s="507"/>
      <c r="AV494" s="507"/>
      <c r="AW494" s="507"/>
      <c r="AX494" s="507"/>
      <c r="AY494" s="507"/>
      <c r="AZ494" s="507"/>
      <c r="BA494" s="507"/>
      <c r="BB494" s="507"/>
      <c r="BC494" s="507"/>
      <c r="BD494" s="507"/>
      <c r="BE494" s="507"/>
      <c r="BF494" s="507"/>
      <c r="BG494" s="507"/>
      <c r="BH494" s="507"/>
      <c r="BI494" s="507"/>
      <c r="BJ494" s="507"/>
    </row>
    <row r="495" spans="1:62" ht="15.75" hidden="1" customHeight="1">
      <c r="A495" s="523" t="s">
        <v>20</v>
      </c>
      <c r="B495" s="504"/>
      <c r="C495" s="737" t="s">
        <v>227</v>
      </c>
      <c r="D495" s="507"/>
      <c r="E495" s="507"/>
      <c r="F495" s="657"/>
      <c r="G495" s="507"/>
      <c r="H495" s="507"/>
      <c r="I495" s="657"/>
      <c r="J495" s="507"/>
      <c r="K495" s="507"/>
      <c r="L495" s="507"/>
      <c r="M495" s="657"/>
      <c r="N495" s="507"/>
      <c r="O495" s="507"/>
      <c r="P495" s="507"/>
      <c r="Q495" s="657"/>
      <c r="R495" s="657"/>
      <c r="S495" s="657"/>
      <c r="T495" s="507"/>
      <c r="U495" s="507"/>
      <c r="V495" s="600" t="s">
        <v>20</v>
      </c>
      <c r="W495" s="510"/>
      <c r="X495" s="510"/>
      <c r="Y495" s="510"/>
      <c r="Z495" s="769">
        <f>IFERROR(SUMIF($C:$C,$V495,F:F),0)</f>
        <v>0</v>
      </c>
      <c r="AA495" s="768"/>
      <c r="AB495" s="768"/>
      <c r="AC495" s="769"/>
      <c r="AD495" s="777"/>
      <c r="AE495" s="776"/>
      <c r="AF495" s="769">
        <f>IFERROR(SUMIF($C:$C,$V495,L:L),0)</f>
        <v>0</v>
      </c>
      <c r="AG495" s="770"/>
      <c r="AH495" s="771">
        <f t="shared" si="111"/>
        <v>0</v>
      </c>
      <c r="AI495" s="772">
        <f t="shared" si="112"/>
        <v>0</v>
      </c>
      <c r="AJ495" s="777"/>
      <c r="AK495" s="768"/>
      <c r="AL495" s="769">
        <f>+INDEX('[7]Réel 2023'!$A$2:$AO$501,MATCH($A495,'[7]Réel 2023'!$A$2:$A$501,0),MATCH(F$2,'[7]Réel 2023'!$A$2:$AO$2,0))</f>
        <v>0</v>
      </c>
      <c r="AM495" s="875"/>
      <c r="AN495" s="771">
        <f t="shared" si="113"/>
        <v>0</v>
      </c>
      <c r="AO495" s="779">
        <f t="shared" si="114"/>
        <v>0</v>
      </c>
      <c r="AP495" s="507"/>
      <c r="AQ495" s="507"/>
      <c r="AR495" s="507"/>
      <c r="AS495" s="507"/>
      <c r="AT495" s="507"/>
      <c r="AU495" s="507"/>
      <c r="AV495" s="507"/>
      <c r="AW495" s="507"/>
      <c r="AX495" s="507"/>
      <c r="AY495" s="507"/>
      <c r="AZ495" s="507"/>
      <c r="BA495" s="507"/>
      <c r="BB495" s="507"/>
      <c r="BC495" s="507"/>
      <c r="BD495" s="507"/>
      <c r="BE495" s="507"/>
      <c r="BF495" s="507"/>
      <c r="BG495" s="507"/>
      <c r="BH495" s="507"/>
      <c r="BI495" s="507"/>
      <c r="BJ495" s="507"/>
    </row>
    <row r="496" spans="1:62" ht="15.75" customHeight="1" thickBot="1">
      <c r="A496" s="600" t="s">
        <v>216</v>
      </c>
      <c r="B496" s="504"/>
      <c r="C496" s="737" t="s">
        <v>227</v>
      </c>
      <c r="D496" s="507"/>
      <c r="E496" s="507"/>
      <c r="F496" s="657"/>
      <c r="G496" s="507"/>
      <c r="H496" s="507"/>
      <c r="I496" s="657"/>
      <c r="J496" s="507"/>
      <c r="K496" s="507"/>
      <c r="L496" s="507"/>
      <c r="M496" s="657"/>
      <c r="N496" s="507"/>
      <c r="O496" s="507"/>
      <c r="P496" s="507"/>
      <c r="Q496" s="657"/>
      <c r="R496" s="657"/>
      <c r="S496" s="657"/>
      <c r="T496" s="507"/>
      <c r="U496" s="507"/>
      <c r="V496" s="600" t="s">
        <v>216</v>
      </c>
      <c r="W496" s="510"/>
      <c r="X496" s="510"/>
      <c r="Y496" s="510"/>
      <c r="Z496" s="769">
        <f>+INDEX('[7]Budget original'!$A$2:$AO$501,MATCH($A496,'[7]Budget original'!$A$2:$A$501,0),MATCH(F$2,'[7]Budget original'!$A$2:$AO$2,0))</f>
        <v>-4666.666666666667</v>
      </c>
      <c r="AA496" s="768"/>
      <c r="AB496" s="768"/>
      <c r="AC496" s="769"/>
      <c r="AD496" s="777"/>
      <c r="AE496" s="776"/>
      <c r="AF496" s="769">
        <f>SUMIFS([7]BV_Data_An_Cour!$O:$O,[7]BV_Data_An_Cour!$V:$V,$V496)</f>
        <v>-1488.59</v>
      </c>
      <c r="AG496" s="770"/>
      <c r="AH496" s="771">
        <f t="shared" si="111"/>
        <v>3178.0766666666668</v>
      </c>
      <c r="AI496" s="772">
        <f t="shared" si="112"/>
        <v>-0.68101642857142852</v>
      </c>
      <c r="AJ496" s="777"/>
      <c r="AK496" s="768"/>
      <c r="AL496" s="769">
        <f>+INDEX('[7]Réel 2023'!$A$2:$AO$501,MATCH($A496,'[7]Réel 2023'!$A$2:$A$501,0),MATCH(F$2,'[7]Réel 2023'!$A$2:$AO$2,0))</f>
        <v>0</v>
      </c>
      <c r="AM496" s="875"/>
      <c r="AN496" s="771">
        <f t="shared" si="113"/>
        <v>-1488.59</v>
      </c>
      <c r="AO496" s="779">
        <f t="shared" si="114"/>
        <v>0</v>
      </c>
      <c r="AP496" s="507"/>
      <c r="AQ496" s="507"/>
      <c r="AR496" s="507"/>
      <c r="AS496" s="507"/>
      <c r="AT496" s="507"/>
      <c r="AU496" s="507"/>
      <c r="AV496" s="507"/>
      <c r="AW496" s="507"/>
      <c r="AX496" s="507"/>
      <c r="AY496" s="507"/>
      <c r="AZ496" s="507"/>
      <c r="BA496" s="507"/>
      <c r="BB496" s="507"/>
      <c r="BC496" s="507"/>
      <c r="BD496" s="507"/>
      <c r="BE496" s="507"/>
      <c r="BF496" s="507"/>
      <c r="BG496" s="507"/>
      <c r="BH496" s="507"/>
      <c r="BI496" s="507"/>
      <c r="BJ496" s="507"/>
    </row>
    <row r="497" spans="1:62" ht="15.75" hidden="1" customHeight="1">
      <c r="A497" s="523" t="s">
        <v>20</v>
      </c>
      <c r="B497" s="504"/>
      <c r="C497" s="737" t="s">
        <v>227</v>
      </c>
      <c r="D497" s="507"/>
      <c r="E497" s="507"/>
      <c r="F497" s="657"/>
      <c r="G497" s="507"/>
      <c r="H497" s="507"/>
      <c r="I497" s="657"/>
      <c r="J497" s="507"/>
      <c r="K497" s="507"/>
      <c r="L497" s="507"/>
      <c r="M497" s="657"/>
      <c r="N497" s="507"/>
      <c r="O497" s="507"/>
      <c r="P497" s="507"/>
      <c r="Q497" s="657"/>
      <c r="R497" s="657"/>
      <c r="S497" s="657"/>
      <c r="T497" s="507"/>
      <c r="U497" s="507"/>
      <c r="V497" s="600" t="s">
        <v>20</v>
      </c>
      <c r="W497" s="510"/>
      <c r="X497" s="507"/>
      <c r="Y497" s="510"/>
      <c r="Z497" s="769">
        <f>IFERROR(SUMIF($C:$C,$V497,F:F),0)</f>
        <v>0</v>
      </c>
      <c r="AA497" s="768"/>
      <c r="AB497" s="768"/>
      <c r="AC497" s="769"/>
      <c r="AD497" s="777"/>
      <c r="AE497" s="776"/>
      <c r="AF497" s="769">
        <f>IFERROR(SUMIF($C:$C,$V497,L:L),0)</f>
        <v>0</v>
      </c>
      <c r="AG497" s="770"/>
      <c r="AH497" s="771">
        <f t="shared" si="111"/>
        <v>0</v>
      </c>
      <c r="AI497" s="772">
        <f t="shared" si="112"/>
        <v>0</v>
      </c>
      <c r="AJ497" s="777"/>
      <c r="AK497" s="768"/>
      <c r="AL497" s="769">
        <f>+INDEX('[7]Réel 2023'!$A$2:$AO$501,MATCH($A497,'[7]Réel 2023'!$A$2:$A$501,0),MATCH(F$2,'[7]Réel 2023'!$A$2:$AO$2,0))</f>
        <v>0</v>
      </c>
      <c r="AM497" s="875"/>
      <c r="AN497" s="771">
        <f t="shared" si="113"/>
        <v>0</v>
      </c>
      <c r="AO497" s="779">
        <f t="shared" si="114"/>
        <v>0</v>
      </c>
      <c r="AP497" s="507"/>
      <c r="AQ497" s="507"/>
      <c r="AR497" s="507"/>
      <c r="AS497" s="507"/>
      <c r="AT497" s="507"/>
      <c r="AU497" s="507"/>
      <c r="AV497" s="507"/>
      <c r="AW497" s="507"/>
      <c r="AX497" s="507"/>
      <c r="AY497" s="507"/>
      <c r="AZ497" s="507"/>
      <c r="BA497" s="507"/>
      <c r="BB497" s="507"/>
      <c r="BC497" s="507"/>
      <c r="BD497" s="507"/>
      <c r="BE497" s="507"/>
      <c r="BF497" s="507"/>
      <c r="BG497" s="507"/>
      <c r="BH497" s="507"/>
      <c r="BI497" s="507"/>
      <c r="BJ497" s="507"/>
    </row>
    <row r="498" spans="1:62" ht="15.75" customHeight="1" thickTop="1" thickBot="1">
      <c r="A498" s="523" t="s">
        <v>191</v>
      </c>
      <c r="B498" s="504"/>
      <c r="C498" s="737" t="s">
        <v>227</v>
      </c>
      <c r="D498" s="507"/>
      <c r="E498" s="507"/>
      <c r="F498" s="657"/>
      <c r="G498" s="507"/>
      <c r="H498" s="507"/>
      <c r="I498" s="657"/>
      <c r="J498" s="507"/>
      <c r="K498" s="507"/>
      <c r="L498" s="507"/>
      <c r="M498" s="657"/>
      <c r="N498" s="507"/>
      <c r="O498" s="507"/>
      <c r="P498" s="507"/>
      <c r="Q498" s="657"/>
      <c r="R498" s="657"/>
      <c r="S498" s="657"/>
      <c r="T498" s="507"/>
      <c r="U498" s="507"/>
      <c r="V498" s="849" t="s">
        <v>191</v>
      </c>
      <c r="W498" s="850"/>
      <c r="X498" s="851" t="s">
        <v>185</v>
      </c>
      <c r="Y498" s="852">
        <f>Z498/Z406</f>
        <v>5.0677035539094785E-2</v>
      </c>
      <c r="Z498" s="853">
        <f>Z489-Z491-Z492-Z493-Z497-Z496</f>
        <v>320737.15334462537</v>
      </c>
      <c r="AA498" s="851"/>
      <c r="AB498" s="852"/>
      <c r="AC498" s="853"/>
      <c r="AD498" s="851" t="s">
        <v>185</v>
      </c>
      <c r="AE498" s="852">
        <f>AF498/AF406</f>
        <v>4.0564758929855692E-2</v>
      </c>
      <c r="AF498" s="854">
        <f>AF489-AF491-AF492-AF493-AF497-AF496</f>
        <v>171108.61999999988</v>
      </c>
      <c r="AG498" s="855"/>
      <c r="AH498" s="855">
        <f t="shared" si="111"/>
        <v>-149628.5333446255</v>
      </c>
      <c r="AI498" s="856">
        <f>AH498/Z498</f>
        <v>-0.46651450193502453</v>
      </c>
      <c r="AJ498" s="857" t="s">
        <v>185</v>
      </c>
      <c r="AK498" s="852">
        <f>IF($AL$406=0,0,AL498/$AL$406)</f>
        <v>2.360392973961534E-2</v>
      </c>
      <c r="AL498" s="854">
        <f>AL489-AL491-AL492-AL493-AL497-AL496</f>
        <v>291155.94999999972</v>
      </c>
      <c r="AM498" s="858"/>
      <c r="AN498" s="854">
        <f t="shared" si="113"/>
        <v>-120047.32999999984</v>
      </c>
      <c r="AO498" s="866">
        <f t="shared" si="114"/>
        <v>-0.41231281723763485</v>
      </c>
      <c r="AP498" s="507"/>
      <c r="AQ498" s="507"/>
      <c r="AR498" s="507"/>
      <c r="AS498" s="507"/>
      <c r="AT498" s="507"/>
      <c r="AU498" s="507"/>
      <c r="AV498" s="507"/>
      <c r="AW498" s="507"/>
      <c r="AX498" s="507"/>
      <c r="AY498" s="507"/>
      <c r="AZ498" s="507"/>
      <c r="BA498" s="507"/>
      <c r="BB498" s="507"/>
      <c r="BC498" s="507"/>
      <c r="BD498" s="507"/>
      <c r="BE498" s="507"/>
      <c r="BF498" s="507"/>
      <c r="BG498" s="507"/>
      <c r="BH498" s="507"/>
      <c r="BI498" s="507"/>
      <c r="BJ498" s="507"/>
    </row>
    <row r="499" spans="1:62" ht="15.75" customHeight="1" thickTop="1">
      <c r="A499" s="523" t="s">
        <v>469</v>
      </c>
      <c r="B499" s="504"/>
      <c r="C499" s="507"/>
      <c r="D499" s="507"/>
      <c r="E499" s="507"/>
      <c r="F499" s="657"/>
      <c r="G499" s="507"/>
      <c r="H499" s="507"/>
      <c r="I499" s="657"/>
      <c r="J499" s="507"/>
      <c r="K499" s="507"/>
      <c r="L499" s="507"/>
      <c r="M499" s="657"/>
      <c r="N499" s="507"/>
      <c r="O499" s="507"/>
      <c r="P499" s="507"/>
      <c r="Q499" s="657"/>
      <c r="R499" s="657"/>
      <c r="S499" s="657"/>
      <c r="T499" s="507"/>
      <c r="U499" s="507"/>
      <c r="AP499" s="507"/>
      <c r="AQ499" s="507"/>
      <c r="AR499" s="507"/>
      <c r="AS499" s="507"/>
      <c r="AT499" s="507"/>
      <c r="AU499" s="507"/>
      <c r="AV499" s="507"/>
      <c r="AW499" s="507"/>
      <c r="AX499" s="507"/>
      <c r="AY499" s="507"/>
      <c r="AZ499" s="507"/>
      <c r="BA499" s="507"/>
      <c r="BB499" s="507"/>
      <c r="BC499" s="507"/>
      <c r="BD499" s="507"/>
      <c r="BE499" s="507"/>
      <c r="BF499" s="507"/>
      <c r="BG499" s="507"/>
      <c r="BH499" s="507"/>
      <c r="BI499" s="507"/>
      <c r="BJ499" s="507"/>
    </row>
    <row r="500" spans="1:62" ht="15.75" customHeight="1">
      <c r="B500" s="504"/>
      <c r="T500" s="507"/>
      <c r="U500" s="507"/>
      <c r="V500" s="507"/>
      <c r="W500" s="507"/>
      <c r="X500" s="507"/>
      <c r="Y500" s="507"/>
      <c r="Z500" s="657"/>
      <c r="AA500" s="507"/>
      <c r="AB500" s="507"/>
      <c r="AC500" s="657"/>
      <c r="AE500" s="877" t="s">
        <v>479</v>
      </c>
      <c r="AF500" s="877">
        <v>103209</v>
      </c>
      <c r="AG500" s="507"/>
      <c r="AH500" s="507"/>
      <c r="AI500" s="507"/>
      <c r="AJ500" s="878"/>
      <c r="AK500" s="879"/>
      <c r="AL500" s="880"/>
      <c r="AM500" s="507"/>
      <c r="AN500" s="507"/>
      <c r="AO500" s="507"/>
      <c r="AP500" s="507"/>
      <c r="AQ500" s="507"/>
      <c r="AR500" s="507"/>
      <c r="AS500" s="507"/>
      <c r="AT500" s="507"/>
      <c r="AU500" s="507"/>
      <c r="AV500" s="507"/>
      <c r="AW500" s="507"/>
      <c r="AX500" s="507"/>
      <c r="AY500" s="507"/>
      <c r="AZ500" s="507"/>
      <c r="BA500" s="507"/>
      <c r="BB500" s="507"/>
      <c r="BC500" s="507"/>
      <c r="BD500" s="507"/>
      <c r="BE500" s="507"/>
      <c r="BF500" s="507"/>
      <c r="BG500" s="507"/>
      <c r="BH500" s="507"/>
      <c r="BI500" s="507"/>
      <c r="BJ500" s="507"/>
    </row>
    <row r="501" spans="1:62" ht="15.75" customHeight="1">
      <c r="B501" s="504"/>
      <c r="C501" s="507"/>
      <c r="S501" s="657"/>
      <c r="W501" s="507"/>
      <c r="X501" s="507"/>
      <c r="Y501" s="507"/>
      <c r="Z501" s="657"/>
      <c r="AA501" s="507"/>
      <c r="AB501" s="507"/>
      <c r="AC501" s="657"/>
      <c r="AD501" s="507"/>
      <c r="AE501" s="507"/>
      <c r="AF501" s="877"/>
      <c r="AG501" s="507"/>
      <c r="AH501" s="507"/>
      <c r="AI501" s="507"/>
      <c r="AJ501" s="507"/>
      <c r="AL501" s="880"/>
      <c r="AM501" s="507"/>
      <c r="AN501" s="507"/>
      <c r="AO501" s="507"/>
      <c r="AP501" s="507"/>
      <c r="AQ501" s="507"/>
      <c r="AR501" s="507"/>
      <c r="AS501" s="507"/>
      <c r="AT501" s="507"/>
      <c r="AU501" s="507"/>
      <c r="AV501" s="507"/>
      <c r="AW501" s="507"/>
      <c r="AX501" s="507"/>
      <c r="AY501" s="507"/>
      <c r="AZ501" s="507"/>
      <c r="BA501" s="507"/>
      <c r="BB501" s="507"/>
      <c r="BC501" s="507"/>
      <c r="BD501" s="507"/>
      <c r="BE501" s="507"/>
      <c r="BF501" s="507"/>
      <c r="BG501" s="507"/>
      <c r="BH501" s="507"/>
      <c r="BI501" s="507"/>
      <c r="BJ501" s="507"/>
    </row>
    <row r="502" spans="1:62" ht="15.75" customHeight="1">
      <c r="B502" s="504"/>
      <c r="C502" s="768"/>
      <c r="W502" s="507"/>
      <c r="X502" s="507"/>
      <c r="Y502" s="507"/>
      <c r="AE502" s="507"/>
      <c r="AM502" s="507"/>
      <c r="AN502" s="507"/>
      <c r="AO502" s="507"/>
      <c r="AP502" s="507"/>
      <c r="AQ502" s="507"/>
      <c r="AR502" s="507"/>
      <c r="AS502" s="507"/>
      <c r="AT502" s="507"/>
      <c r="AU502" s="507"/>
      <c r="AV502" s="507"/>
      <c r="AW502" s="507"/>
      <c r="AX502" s="507"/>
      <c r="AY502" s="507"/>
      <c r="AZ502" s="507"/>
      <c r="BA502" s="507"/>
      <c r="BB502" s="507"/>
      <c r="BC502" s="507"/>
      <c r="BD502" s="507"/>
      <c r="BE502" s="507"/>
      <c r="BF502" s="507"/>
      <c r="BG502" s="507"/>
      <c r="BH502" s="507"/>
      <c r="BI502" s="507"/>
      <c r="BJ502" s="507"/>
    </row>
    <row r="503" spans="1:62" ht="15.75" customHeight="1">
      <c r="B503" s="504"/>
      <c r="C503" s="768"/>
      <c r="W503" s="507"/>
      <c r="X503" s="507"/>
      <c r="Y503" s="507"/>
      <c r="Z503" s="507"/>
      <c r="AA503" s="507"/>
      <c r="AB503" s="507"/>
      <c r="AC503" s="507"/>
      <c r="AD503" s="507"/>
      <c r="AE503" s="657"/>
      <c r="AG503" s="507"/>
      <c r="AH503" s="507"/>
      <c r="AI503" s="507"/>
      <c r="AJ503" s="881"/>
      <c r="AK503" s="879"/>
      <c r="AL503" s="880"/>
      <c r="AM503" s="507"/>
      <c r="AN503" s="507"/>
      <c r="AO503" s="507"/>
      <c r="AP503" s="507"/>
      <c r="AQ503" s="507"/>
      <c r="AR503" s="507"/>
      <c r="AS503" s="507"/>
      <c r="AT503" s="507"/>
      <c r="AU503" s="507"/>
      <c r="AV503" s="507"/>
      <c r="AW503" s="507"/>
      <c r="AX503" s="507"/>
      <c r="AY503" s="507"/>
      <c r="AZ503" s="507"/>
      <c r="BA503" s="507"/>
      <c r="BB503" s="507"/>
      <c r="BC503" s="507"/>
      <c r="BD503" s="507"/>
      <c r="BE503" s="507"/>
      <c r="BF503" s="507"/>
      <c r="BG503" s="507"/>
      <c r="BH503" s="507"/>
      <c r="BI503" s="507"/>
      <c r="BJ503" s="507"/>
    </row>
    <row r="504" spans="1:62" ht="15.75" customHeight="1">
      <c r="B504" s="504"/>
      <c r="C504" s="768"/>
      <c r="W504" s="507"/>
      <c r="X504" s="507"/>
      <c r="Y504" s="507"/>
      <c r="Z504" s="507"/>
      <c r="AA504" s="507"/>
      <c r="AB504" s="507"/>
      <c r="AC504" s="507"/>
      <c r="AD504" s="507"/>
      <c r="AE504" s="507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7"/>
      <c r="AR504" s="507"/>
      <c r="AS504" s="507"/>
      <c r="AT504" s="507"/>
      <c r="AU504" s="507"/>
      <c r="AV504" s="507"/>
      <c r="AW504" s="507"/>
      <c r="AX504" s="507"/>
      <c r="AY504" s="507"/>
      <c r="AZ504" s="507"/>
      <c r="BA504" s="507"/>
      <c r="BB504" s="507"/>
      <c r="BC504" s="507"/>
      <c r="BD504" s="507"/>
      <c r="BE504" s="507"/>
      <c r="BF504" s="507"/>
      <c r="BG504" s="507"/>
      <c r="BH504" s="507"/>
      <c r="BI504" s="507"/>
      <c r="BJ504" s="507"/>
    </row>
    <row r="505" spans="1:62" ht="15.75" customHeight="1">
      <c r="B505" s="504"/>
      <c r="C505" s="768"/>
      <c r="W505" s="507"/>
      <c r="X505" s="507"/>
      <c r="Y505" s="507"/>
      <c r="Z505" s="507"/>
      <c r="AA505" s="507"/>
      <c r="AB505" s="507"/>
      <c r="AC505" s="507"/>
      <c r="AD505" s="507"/>
      <c r="AE505" s="507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7"/>
      <c r="AR505" s="507"/>
      <c r="AS505" s="507"/>
      <c r="AT505" s="507"/>
      <c r="AU505" s="507"/>
      <c r="AV505" s="507"/>
      <c r="AW505" s="507"/>
      <c r="AX505" s="507"/>
      <c r="AY505" s="507"/>
      <c r="AZ505" s="507"/>
      <c r="BA505" s="507"/>
      <c r="BB505" s="507"/>
      <c r="BC505" s="507"/>
      <c r="BD505" s="507"/>
      <c r="BE505" s="507"/>
      <c r="BF505" s="507"/>
      <c r="BG505" s="507"/>
      <c r="BH505" s="507"/>
      <c r="BI505" s="507"/>
      <c r="BJ505" s="507"/>
    </row>
    <row r="506" spans="1:62" ht="15.75" customHeight="1">
      <c r="B506" s="504"/>
      <c r="C506" s="768"/>
      <c r="W506" s="507"/>
      <c r="X506" s="507"/>
      <c r="Y506" s="507"/>
      <c r="Z506" s="507"/>
      <c r="AA506" s="507"/>
      <c r="AB506" s="507"/>
      <c r="AC506" s="507"/>
      <c r="AD506" s="507"/>
      <c r="AE506" s="507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7"/>
      <c r="AR506" s="507"/>
      <c r="AS506" s="507"/>
      <c r="AT506" s="507"/>
      <c r="AU506" s="507"/>
      <c r="AV506" s="507"/>
      <c r="AW506" s="507"/>
      <c r="AX506" s="507"/>
      <c r="AY506" s="507"/>
      <c r="AZ506" s="507"/>
      <c r="BA506" s="507"/>
      <c r="BB506" s="507"/>
      <c r="BC506" s="507"/>
      <c r="BD506" s="507"/>
      <c r="BE506" s="507"/>
      <c r="BF506" s="507"/>
      <c r="BG506" s="507"/>
      <c r="BH506" s="507"/>
      <c r="BI506" s="507"/>
      <c r="BJ506" s="507"/>
    </row>
    <row r="507" spans="1:62" ht="15.75" customHeight="1">
      <c r="B507" s="504"/>
      <c r="C507" s="768"/>
      <c r="W507" s="507"/>
      <c r="X507" s="507"/>
      <c r="Y507" s="507"/>
      <c r="Z507" s="507"/>
      <c r="AA507" s="507"/>
      <c r="AB507" s="507"/>
      <c r="AC507" s="507"/>
      <c r="AD507" s="507"/>
      <c r="AE507" s="507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7"/>
      <c r="AR507" s="507"/>
      <c r="AS507" s="507"/>
      <c r="AT507" s="507"/>
      <c r="AU507" s="507"/>
      <c r="AV507" s="507"/>
      <c r="AW507" s="507"/>
      <c r="AX507" s="507"/>
      <c r="AY507" s="507"/>
      <c r="AZ507" s="507"/>
      <c r="BA507" s="507"/>
      <c r="BB507" s="507"/>
      <c r="BC507" s="507"/>
      <c r="BD507" s="507"/>
      <c r="BE507" s="507"/>
      <c r="BF507" s="507"/>
      <c r="BG507" s="507"/>
      <c r="BH507" s="507"/>
      <c r="BI507" s="507"/>
      <c r="BJ507" s="507"/>
    </row>
    <row r="508" spans="1:62" ht="15.75" customHeight="1">
      <c r="B508" s="504"/>
      <c r="C508" s="768"/>
      <c r="W508" s="507"/>
      <c r="X508" s="507"/>
      <c r="Y508" s="507"/>
      <c r="Z508" s="507"/>
      <c r="AA508" s="507"/>
      <c r="AB508" s="507"/>
      <c r="AC508" s="507"/>
      <c r="AD508" s="507"/>
      <c r="AE508" s="507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7"/>
      <c r="AR508" s="507"/>
      <c r="AS508" s="507"/>
      <c r="AT508" s="507"/>
      <c r="AU508" s="507"/>
      <c r="AV508" s="507"/>
      <c r="AW508" s="507"/>
      <c r="AX508" s="507"/>
      <c r="AY508" s="507"/>
      <c r="AZ508" s="507"/>
      <c r="BA508" s="507"/>
      <c r="BB508" s="507"/>
      <c r="BC508" s="507"/>
      <c r="BD508" s="507"/>
      <c r="BE508" s="507"/>
      <c r="BF508" s="507"/>
      <c r="BG508" s="507"/>
      <c r="BH508" s="507"/>
      <c r="BI508" s="507"/>
      <c r="BJ508" s="507"/>
    </row>
    <row r="509" spans="1:62" ht="15.75" customHeight="1">
      <c r="B509" s="504"/>
      <c r="C509" s="768"/>
      <c r="W509" s="507"/>
      <c r="X509" s="507"/>
      <c r="Y509" s="507"/>
      <c r="Z509" s="507"/>
      <c r="AA509" s="507"/>
      <c r="AB509" s="507"/>
      <c r="AC509" s="507"/>
      <c r="AD509" s="507"/>
      <c r="AE509" s="507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7"/>
      <c r="AR509" s="507"/>
      <c r="AS509" s="507"/>
      <c r="AT509" s="507"/>
      <c r="AU509" s="507"/>
      <c r="AV509" s="507"/>
      <c r="AW509" s="507"/>
      <c r="AX509" s="507"/>
      <c r="AY509" s="507"/>
      <c r="AZ509" s="507"/>
      <c r="BA509" s="507"/>
      <c r="BB509" s="507"/>
      <c r="BC509" s="507"/>
      <c r="BD509" s="507"/>
      <c r="BE509" s="507"/>
      <c r="BF509" s="507"/>
      <c r="BG509" s="507"/>
      <c r="BH509" s="507"/>
      <c r="BI509" s="507"/>
      <c r="BJ509" s="507"/>
    </row>
    <row r="510" spans="1:62" ht="15.75" customHeight="1">
      <c r="B510" s="504"/>
      <c r="C510" s="768"/>
      <c r="W510" s="507"/>
      <c r="X510" s="507"/>
      <c r="Y510" s="507"/>
      <c r="Z510" s="507"/>
      <c r="AA510" s="507"/>
      <c r="AB510" s="507"/>
      <c r="AC510" s="507"/>
      <c r="AD510" s="507"/>
      <c r="AE510" s="507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7"/>
      <c r="AR510" s="507"/>
      <c r="AS510" s="507"/>
      <c r="AT510" s="507"/>
      <c r="AU510" s="507"/>
      <c r="AV510" s="507"/>
      <c r="AW510" s="507"/>
      <c r="AX510" s="507"/>
      <c r="AY510" s="507"/>
      <c r="AZ510" s="507"/>
      <c r="BA510" s="507"/>
      <c r="BB510" s="507"/>
      <c r="BC510" s="507"/>
      <c r="BD510" s="507"/>
      <c r="BE510" s="507"/>
      <c r="BF510" s="507"/>
      <c r="BG510" s="507"/>
      <c r="BH510" s="507"/>
      <c r="BI510" s="507"/>
      <c r="BJ510" s="507"/>
    </row>
    <row r="511" spans="1:62" ht="15.75" customHeight="1">
      <c r="B511" s="504"/>
      <c r="C511" s="768"/>
      <c r="W511" s="507"/>
      <c r="X511" s="507"/>
      <c r="Y511" s="507"/>
      <c r="Z511" s="507"/>
      <c r="AA511" s="507"/>
      <c r="AB511" s="507"/>
      <c r="AC511" s="507"/>
      <c r="AD511" s="507"/>
      <c r="AE511" s="507"/>
      <c r="AF511" s="877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7"/>
      <c r="AR511" s="507"/>
      <c r="AS511" s="507"/>
      <c r="AT511" s="507"/>
      <c r="AU511" s="507"/>
      <c r="AV511" s="507"/>
      <c r="AW511" s="507"/>
      <c r="AX511" s="507"/>
      <c r="AY511" s="507"/>
      <c r="AZ511" s="507"/>
      <c r="BA511" s="507"/>
      <c r="BB511" s="507"/>
      <c r="BC511" s="507"/>
      <c r="BD511" s="507"/>
      <c r="BE511" s="507"/>
      <c r="BF511" s="507"/>
      <c r="BG511" s="507"/>
      <c r="BH511" s="507"/>
      <c r="BI511" s="507"/>
      <c r="BJ511" s="507"/>
    </row>
    <row r="512" spans="1:62" ht="15.75" customHeight="1">
      <c r="B512" s="504"/>
      <c r="C512" s="768"/>
      <c r="W512" s="507"/>
      <c r="X512" s="507"/>
      <c r="Y512" s="507"/>
      <c r="Z512" s="507"/>
      <c r="AA512" s="507"/>
      <c r="AB512" s="507"/>
      <c r="AC512" s="507"/>
      <c r="AD512" s="507"/>
      <c r="AE512" s="507"/>
      <c r="AF512" s="882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7"/>
      <c r="AR512" s="507"/>
      <c r="AS512" s="507"/>
      <c r="AT512" s="507"/>
      <c r="AU512" s="507"/>
      <c r="AV512" s="507"/>
      <c r="AW512" s="507"/>
      <c r="AX512" s="507"/>
      <c r="AY512" s="507"/>
      <c r="AZ512" s="507"/>
      <c r="BA512" s="507"/>
      <c r="BB512" s="507"/>
      <c r="BC512" s="507"/>
      <c r="BD512" s="507"/>
      <c r="BE512" s="507"/>
      <c r="BF512" s="507"/>
      <c r="BG512" s="507"/>
      <c r="BH512" s="507"/>
      <c r="BI512" s="507"/>
      <c r="BJ512" s="507"/>
    </row>
    <row r="513" spans="2:62" ht="15.75" customHeight="1">
      <c r="B513" s="504"/>
      <c r="C513" s="768"/>
      <c r="W513" s="507"/>
      <c r="X513" s="507"/>
      <c r="Y513" s="507"/>
      <c r="Z513" s="507"/>
      <c r="AA513" s="507"/>
      <c r="AB513" s="507"/>
      <c r="AC513" s="507"/>
      <c r="AD513" s="507"/>
      <c r="AE513" s="507"/>
      <c r="AF513" s="882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7"/>
      <c r="AR513" s="507"/>
      <c r="AS513" s="507"/>
      <c r="AT513" s="507"/>
      <c r="AU513" s="507"/>
      <c r="AV513" s="507"/>
      <c r="AW513" s="507"/>
      <c r="AX513" s="507"/>
      <c r="AY513" s="507"/>
      <c r="AZ513" s="507"/>
      <c r="BA513" s="507"/>
      <c r="BB513" s="507"/>
      <c r="BC513" s="507"/>
      <c r="BD513" s="507"/>
      <c r="BE513" s="507"/>
      <c r="BF513" s="507"/>
      <c r="BG513" s="507"/>
      <c r="BH513" s="507"/>
      <c r="BI513" s="507"/>
      <c r="BJ513" s="507"/>
    </row>
    <row r="514" spans="2:62" ht="15.75" customHeight="1">
      <c r="B514" s="504"/>
      <c r="C514" s="768"/>
      <c r="W514" s="507"/>
      <c r="X514" s="507"/>
      <c r="Y514" s="507"/>
      <c r="Z514" s="507"/>
      <c r="AA514" s="507"/>
      <c r="AB514" s="507"/>
      <c r="AC514" s="507"/>
      <c r="AD514" s="507"/>
      <c r="AE514" s="507"/>
      <c r="AF514" s="882"/>
      <c r="AG514" s="507"/>
      <c r="AH514" s="507"/>
      <c r="AI514" s="507"/>
      <c r="AJ514" s="507"/>
      <c r="AK514" s="507"/>
      <c r="AL514" s="507"/>
      <c r="AM514" s="507"/>
      <c r="AN514" s="507"/>
      <c r="AO514" s="507"/>
      <c r="AP514" s="507"/>
      <c r="AQ514" s="507"/>
      <c r="AR514" s="507"/>
      <c r="AS514" s="507"/>
      <c r="AT514" s="507"/>
      <c r="AU514" s="507"/>
      <c r="AV514" s="507"/>
      <c r="AW514" s="507"/>
      <c r="AX514" s="507"/>
      <c r="AY514" s="507"/>
      <c r="AZ514" s="507"/>
      <c r="BA514" s="507"/>
      <c r="BB514" s="507"/>
      <c r="BC514" s="507"/>
      <c r="BD514" s="507"/>
      <c r="BE514" s="507"/>
      <c r="BF514" s="507"/>
      <c r="BG514" s="507"/>
      <c r="BH514" s="507"/>
      <c r="BI514" s="507"/>
      <c r="BJ514" s="507"/>
    </row>
    <row r="515" spans="2:62" ht="15.75" customHeight="1">
      <c r="B515" s="504"/>
      <c r="C515" s="768"/>
      <c r="W515" s="507"/>
      <c r="X515" s="507"/>
      <c r="Y515" s="507"/>
      <c r="Z515" s="507"/>
      <c r="AA515" s="507"/>
      <c r="AB515" s="507"/>
      <c r="AC515" s="507"/>
      <c r="AD515" s="507"/>
      <c r="AE515" s="507"/>
      <c r="AF515" s="507"/>
      <c r="AG515" s="507"/>
      <c r="AH515" s="507"/>
      <c r="AI515" s="507"/>
      <c r="AJ515" s="507"/>
      <c r="AK515" s="507"/>
      <c r="AL515" s="507"/>
      <c r="AM515" s="507"/>
      <c r="AN515" s="507"/>
      <c r="AO515" s="507"/>
      <c r="AP515" s="507"/>
      <c r="AQ515" s="507"/>
      <c r="AR515" s="507"/>
      <c r="AS515" s="507"/>
      <c r="AT515" s="507"/>
      <c r="AU515" s="507"/>
      <c r="AV515" s="507"/>
      <c r="AW515" s="507"/>
      <c r="AX515" s="507"/>
      <c r="AY515" s="507"/>
      <c r="AZ515" s="507"/>
      <c r="BA515" s="507"/>
      <c r="BB515" s="507"/>
      <c r="BC515" s="507"/>
      <c r="BD515" s="507"/>
      <c r="BE515" s="507"/>
      <c r="BF515" s="507"/>
      <c r="BG515" s="507"/>
      <c r="BH515" s="507"/>
      <c r="BI515" s="507"/>
      <c r="BJ515" s="507"/>
    </row>
    <row r="516" spans="2:62" ht="15.75" customHeight="1">
      <c r="B516" s="504"/>
      <c r="W516" s="507"/>
      <c r="X516" s="507"/>
      <c r="Y516" s="507"/>
      <c r="Z516" s="507"/>
      <c r="AA516" s="507"/>
      <c r="AB516" s="507"/>
      <c r="AC516" s="507"/>
      <c r="AD516" s="507"/>
      <c r="AE516" s="507"/>
      <c r="AF516" s="507"/>
      <c r="AG516" s="507"/>
      <c r="AH516" s="507"/>
      <c r="AI516" s="507"/>
      <c r="AJ516" s="507"/>
      <c r="AK516" s="507"/>
      <c r="AL516" s="507"/>
      <c r="AM516" s="507"/>
      <c r="AN516" s="507"/>
      <c r="AO516" s="507"/>
      <c r="AP516" s="507"/>
      <c r="AQ516" s="507"/>
      <c r="AR516" s="507"/>
      <c r="AS516" s="507"/>
      <c r="AT516" s="507"/>
      <c r="AU516" s="507"/>
      <c r="AV516" s="507"/>
      <c r="AW516" s="507"/>
      <c r="AX516" s="507"/>
      <c r="AY516" s="507"/>
      <c r="AZ516" s="507"/>
      <c r="BA516" s="507"/>
      <c r="BB516" s="507"/>
      <c r="BC516" s="507"/>
      <c r="BD516" s="507"/>
      <c r="BE516" s="507"/>
      <c r="BF516" s="507"/>
      <c r="BG516" s="507"/>
      <c r="BH516" s="507"/>
      <c r="BI516" s="507"/>
      <c r="BJ516" s="507"/>
    </row>
    <row r="517" spans="2:62" ht="15.75" customHeight="1">
      <c r="B517" s="504"/>
      <c r="W517" s="507"/>
      <c r="X517" s="507"/>
      <c r="Y517" s="507"/>
      <c r="Z517" s="507"/>
      <c r="AA517" s="507"/>
      <c r="AB517" s="507"/>
      <c r="AC517" s="507"/>
      <c r="AD517" s="507"/>
      <c r="AE517" s="507"/>
      <c r="AF517" s="507"/>
      <c r="AG517" s="507"/>
      <c r="AH517" s="507"/>
      <c r="AI517" s="507"/>
      <c r="AJ517" s="507"/>
      <c r="AK517" s="507"/>
      <c r="AL517" s="507"/>
      <c r="AM517" s="507"/>
      <c r="AN517" s="507"/>
      <c r="AO517" s="507"/>
      <c r="AP517" s="507"/>
      <c r="AQ517" s="507"/>
      <c r="AR517" s="507"/>
      <c r="AS517" s="507"/>
      <c r="AT517" s="507"/>
      <c r="AU517" s="507"/>
      <c r="AV517" s="507"/>
      <c r="AW517" s="507"/>
      <c r="AX517" s="507"/>
      <c r="AY517" s="507"/>
      <c r="AZ517" s="507"/>
      <c r="BA517" s="507"/>
      <c r="BB517" s="507"/>
      <c r="BC517" s="507"/>
      <c r="BD517" s="507"/>
      <c r="BE517" s="507"/>
      <c r="BF517" s="507"/>
      <c r="BG517" s="507"/>
      <c r="BH517" s="507"/>
      <c r="BI517" s="507"/>
      <c r="BJ517" s="507"/>
    </row>
    <row r="518" spans="2:62" ht="15.75" customHeight="1">
      <c r="B518" s="504"/>
      <c r="W518" s="507"/>
      <c r="X518" s="507"/>
      <c r="Y518" s="507"/>
      <c r="Z518" s="507"/>
      <c r="AA518" s="507"/>
      <c r="AB518" s="507"/>
      <c r="AC518" s="507"/>
      <c r="AD518" s="507"/>
      <c r="AE518" s="507"/>
      <c r="AF518" s="507"/>
      <c r="AG518" s="507"/>
      <c r="AH518" s="507"/>
      <c r="AI518" s="507"/>
      <c r="AJ518" s="507"/>
      <c r="AK518" s="507"/>
      <c r="AL518" s="507"/>
      <c r="AM518" s="507"/>
      <c r="AN518" s="507"/>
      <c r="AO518" s="507"/>
      <c r="AP518" s="507"/>
      <c r="AQ518" s="507"/>
      <c r="AR518" s="507"/>
      <c r="AS518" s="507"/>
      <c r="AT518" s="507"/>
      <c r="AU518" s="507"/>
      <c r="AV518" s="507"/>
      <c r="AW518" s="507"/>
      <c r="AX518" s="507"/>
      <c r="AY518" s="507"/>
      <c r="AZ518" s="507"/>
      <c r="BA518" s="507"/>
      <c r="BB518" s="507"/>
      <c r="BC518" s="507"/>
      <c r="BD518" s="507"/>
      <c r="BE518" s="507"/>
      <c r="BF518" s="507"/>
      <c r="BG518" s="507"/>
      <c r="BH518" s="507"/>
      <c r="BI518" s="507"/>
      <c r="BJ518" s="507"/>
    </row>
    <row r="519" spans="2:62" ht="15.75" customHeight="1">
      <c r="B519" s="504"/>
      <c r="W519" s="507"/>
      <c r="X519" s="507"/>
      <c r="Y519" s="507"/>
      <c r="Z519" s="507"/>
      <c r="AA519" s="507"/>
      <c r="AB519" s="507"/>
      <c r="AC519" s="507"/>
      <c r="AD519" s="507"/>
      <c r="AE519" s="507"/>
      <c r="AF519" s="507"/>
      <c r="AG519" s="507"/>
      <c r="AH519" s="507"/>
      <c r="AI519" s="507"/>
      <c r="AJ519" s="507"/>
      <c r="AK519" s="507"/>
      <c r="AL519" s="507"/>
      <c r="AM519" s="507"/>
      <c r="AN519" s="507"/>
      <c r="AO519" s="507"/>
      <c r="AP519" s="507"/>
      <c r="AQ519" s="507"/>
      <c r="AR519" s="507"/>
      <c r="AS519" s="507"/>
      <c r="AT519" s="507"/>
      <c r="AU519" s="507"/>
      <c r="AV519" s="507"/>
      <c r="AW519" s="507"/>
      <c r="AX519" s="507"/>
      <c r="AY519" s="507"/>
      <c r="AZ519" s="507"/>
      <c r="BA519" s="507"/>
      <c r="BB519" s="507"/>
      <c r="BC519" s="507"/>
      <c r="BD519" s="507"/>
      <c r="BE519" s="507"/>
      <c r="BF519" s="507"/>
      <c r="BG519" s="507"/>
      <c r="BH519" s="507"/>
      <c r="BI519" s="507"/>
      <c r="BJ519" s="507"/>
    </row>
    <row r="520" spans="2:62" ht="15.75" customHeight="1">
      <c r="B520" s="504"/>
      <c r="W520" s="507"/>
      <c r="X520" s="507"/>
      <c r="Y520" s="507"/>
      <c r="Z520" s="507"/>
      <c r="AA520" s="507"/>
      <c r="AB520" s="507"/>
      <c r="AC520" s="507"/>
      <c r="AD520" s="507"/>
      <c r="AE520" s="507"/>
      <c r="AF520" s="507"/>
      <c r="AG520" s="507"/>
      <c r="AH520" s="507"/>
      <c r="AI520" s="507"/>
      <c r="AJ520" s="507"/>
      <c r="AK520" s="507"/>
      <c r="AL520" s="507"/>
      <c r="AM520" s="507"/>
      <c r="AN520" s="507"/>
      <c r="AO520" s="507"/>
      <c r="AP520" s="507"/>
      <c r="AQ520" s="507"/>
      <c r="AR520" s="507"/>
      <c r="AS520" s="507"/>
      <c r="AT520" s="507"/>
      <c r="AU520" s="507"/>
      <c r="AV520" s="507"/>
      <c r="AW520" s="507"/>
      <c r="AX520" s="507"/>
      <c r="AY520" s="507"/>
      <c r="AZ520" s="507"/>
      <c r="BA520" s="507"/>
      <c r="BB520" s="507"/>
      <c r="BC520" s="507"/>
      <c r="BD520" s="507"/>
      <c r="BE520" s="507"/>
      <c r="BF520" s="507"/>
      <c r="BG520" s="507"/>
      <c r="BH520" s="507"/>
      <c r="BI520" s="507"/>
      <c r="BJ520" s="507"/>
    </row>
    <row r="521" spans="2:62" ht="15.75" customHeight="1">
      <c r="B521" s="504"/>
      <c r="W521" s="507"/>
      <c r="X521" s="507"/>
      <c r="Y521" s="507"/>
      <c r="Z521" s="507"/>
      <c r="AA521" s="507"/>
      <c r="AB521" s="507"/>
      <c r="AC521" s="507"/>
      <c r="AD521" s="507"/>
      <c r="AE521" s="507"/>
      <c r="AF521" s="507"/>
      <c r="AG521" s="507"/>
      <c r="AH521" s="507"/>
      <c r="AI521" s="507"/>
      <c r="AJ521" s="507"/>
      <c r="AK521" s="507"/>
      <c r="AL521" s="507"/>
      <c r="AM521" s="507"/>
      <c r="AN521" s="507"/>
      <c r="AO521" s="507"/>
      <c r="AP521" s="507"/>
      <c r="AQ521" s="507"/>
      <c r="AR521" s="507"/>
      <c r="AS521" s="507"/>
      <c r="AT521" s="507"/>
      <c r="AU521" s="507"/>
      <c r="AV521" s="507"/>
      <c r="AW521" s="507"/>
      <c r="AX521" s="507"/>
      <c r="AY521" s="507"/>
      <c r="AZ521" s="507"/>
      <c r="BA521" s="507"/>
      <c r="BB521" s="507"/>
      <c r="BC521" s="507"/>
      <c r="BD521" s="507"/>
      <c r="BE521" s="507"/>
      <c r="BF521" s="507"/>
      <c r="BG521" s="507"/>
      <c r="BH521" s="507"/>
      <c r="BI521" s="507"/>
      <c r="BJ521" s="507"/>
    </row>
    <row r="522" spans="2:62" ht="15.75" customHeight="1">
      <c r="B522" s="504"/>
      <c r="W522" s="507"/>
      <c r="X522" s="507"/>
      <c r="Y522" s="507"/>
      <c r="Z522" s="507"/>
      <c r="AA522" s="507"/>
      <c r="AB522" s="507"/>
      <c r="AC522" s="507"/>
      <c r="AD522" s="507"/>
      <c r="AE522" s="507"/>
      <c r="AF522" s="507"/>
      <c r="AG522" s="507"/>
      <c r="AH522" s="507"/>
      <c r="AI522" s="507"/>
      <c r="AJ522" s="507"/>
      <c r="AK522" s="507"/>
      <c r="AL522" s="507"/>
      <c r="AM522" s="507"/>
      <c r="AN522" s="507"/>
      <c r="AO522" s="507"/>
      <c r="AP522" s="507"/>
      <c r="AQ522" s="507"/>
      <c r="AR522" s="507"/>
      <c r="AS522" s="507"/>
      <c r="AT522" s="507"/>
      <c r="AU522" s="507"/>
      <c r="AV522" s="507"/>
      <c r="AW522" s="507"/>
      <c r="AX522" s="507"/>
      <c r="AY522" s="507"/>
      <c r="AZ522" s="507"/>
      <c r="BA522" s="507"/>
      <c r="BB522" s="507"/>
      <c r="BC522" s="507"/>
      <c r="BD522" s="507"/>
      <c r="BE522" s="507"/>
      <c r="BF522" s="507"/>
      <c r="BG522" s="507"/>
      <c r="BH522" s="507"/>
      <c r="BI522" s="507"/>
      <c r="BJ522" s="507"/>
    </row>
    <row r="523" spans="2:62" ht="15.75" customHeight="1">
      <c r="B523" s="504"/>
      <c r="W523" s="507"/>
      <c r="X523" s="507"/>
      <c r="Y523" s="507"/>
      <c r="Z523" s="507"/>
      <c r="AA523" s="507"/>
      <c r="AB523" s="507"/>
      <c r="AC523" s="507"/>
      <c r="AD523" s="507"/>
      <c r="AE523" s="507"/>
      <c r="AF523" s="507"/>
      <c r="AG523" s="507"/>
      <c r="AH523" s="507"/>
      <c r="AI523" s="507"/>
      <c r="AJ523" s="507"/>
      <c r="AK523" s="507"/>
      <c r="AL523" s="507"/>
      <c r="AM523" s="507"/>
      <c r="AN523" s="507"/>
      <c r="AO523" s="507"/>
      <c r="AP523" s="507"/>
      <c r="AQ523" s="507"/>
      <c r="AR523" s="507"/>
      <c r="AS523" s="507"/>
      <c r="AT523" s="507"/>
      <c r="AU523" s="507"/>
      <c r="AV523" s="507"/>
      <c r="AW523" s="507"/>
      <c r="AX523" s="507"/>
      <c r="AY523" s="507"/>
      <c r="AZ523" s="507"/>
      <c r="BA523" s="507"/>
      <c r="BB523" s="507"/>
      <c r="BC523" s="507"/>
      <c r="BD523" s="507"/>
      <c r="BE523" s="507"/>
      <c r="BF523" s="507"/>
      <c r="BG523" s="507"/>
      <c r="BH523" s="507"/>
      <c r="BI523" s="507"/>
      <c r="BJ523" s="507"/>
    </row>
    <row r="524" spans="2:62" ht="15.75" customHeight="1">
      <c r="B524" s="504"/>
      <c r="W524" s="507"/>
      <c r="X524" s="507"/>
      <c r="Y524" s="507"/>
      <c r="Z524" s="507"/>
      <c r="AA524" s="507"/>
      <c r="AB524" s="507"/>
      <c r="AC524" s="507"/>
      <c r="AD524" s="507"/>
      <c r="AE524" s="507"/>
      <c r="AF524" s="507"/>
      <c r="AG524" s="507"/>
      <c r="AH524" s="507"/>
      <c r="AI524" s="507"/>
      <c r="AJ524" s="507"/>
      <c r="AK524" s="507"/>
      <c r="AL524" s="507"/>
      <c r="AM524" s="507"/>
      <c r="AN524" s="507"/>
      <c r="AO524" s="507"/>
      <c r="AP524" s="507"/>
      <c r="AQ524" s="507"/>
      <c r="AR524" s="507"/>
      <c r="AS524" s="507"/>
      <c r="AT524" s="507"/>
      <c r="AU524" s="507"/>
      <c r="AV524" s="507"/>
      <c r="AW524" s="507"/>
      <c r="AX524" s="507"/>
      <c r="AY524" s="507"/>
      <c r="AZ524" s="507"/>
      <c r="BA524" s="507"/>
      <c r="BB524" s="507"/>
      <c r="BC524" s="507"/>
      <c r="BD524" s="507"/>
      <c r="BE524" s="507"/>
      <c r="BF524" s="507"/>
      <c r="BG524" s="507"/>
      <c r="BH524" s="507"/>
      <c r="BI524" s="507"/>
      <c r="BJ524" s="507"/>
    </row>
    <row r="525" spans="2:62" ht="15.75" customHeight="1">
      <c r="B525" s="504"/>
      <c r="C525" s="768"/>
      <c r="W525" s="507"/>
      <c r="X525" s="507"/>
      <c r="Y525" s="507"/>
      <c r="Z525" s="507"/>
      <c r="AA525" s="507"/>
      <c r="AB525" s="507"/>
      <c r="AC525" s="507"/>
      <c r="AD525" s="507"/>
      <c r="AE525" s="507"/>
      <c r="AF525" s="507"/>
      <c r="AG525" s="507"/>
      <c r="AH525" s="507"/>
      <c r="AI525" s="507"/>
      <c r="AJ525" s="507"/>
      <c r="AK525" s="507"/>
      <c r="AL525" s="507"/>
      <c r="AM525" s="507"/>
      <c r="AN525" s="507"/>
      <c r="AO525" s="507"/>
      <c r="AP525" s="507"/>
      <c r="AQ525" s="507"/>
      <c r="AR525" s="507"/>
      <c r="AS525" s="507"/>
      <c r="AT525" s="507"/>
      <c r="AU525" s="507"/>
      <c r="AV525" s="507"/>
      <c r="AW525" s="507"/>
      <c r="AX525" s="507"/>
      <c r="AY525" s="507"/>
      <c r="AZ525" s="507"/>
      <c r="BA525" s="507"/>
      <c r="BB525" s="507"/>
      <c r="BC525" s="507"/>
      <c r="BD525" s="507"/>
      <c r="BE525" s="507"/>
      <c r="BF525" s="507"/>
      <c r="BG525" s="507"/>
      <c r="BH525" s="507"/>
      <c r="BI525" s="507"/>
      <c r="BJ525" s="507"/>
    </row>
    <row r="526" spans="2:62" ht="15.75" customHeight="1">
      <c r="B526" s="504"/>
      <c r="C526" s="768"/>
      <c r="W526" s="507"/>
      <c r="X526" s="507"/>
      <c r="Y526" s="507"/>
      <c r="Z526" s="507"/>
      <c r="AA526" s="507"/>
      <c r="AB526" s="507"/>
      <c r="AC526" s="507"/>
      <c r="AD526" s="507"/>
      <c r="AE526" s="507"/>
      <c r="AF526" s="507"/>
      <c r="AG526" s="507"/>
      <c r="AH526" s="507"/>
      <c r="AI526" s="507"/>
      <c r="AJ526" s="507"/>
      <c r="AK526" s="507"/>
      <c r="AL526" s="507"/>
      <c r="AM526" s="507"/>
      <c r="AN526" s="507"/>
      <c r="AO526" s="507"/>
      <c r="AP526" s="507"/>
      <c r="AQ526" s="507"/>
      <c r="AR526" s="507"/>
      <c r="AS526" s="507"/>
      <c r="AT526" s="507"/>
      <c r="AU526" s="507"/>
      <c r="AV526" s="507"/>
      <c r="AW526" s="507"/>
      <c r="AX526" s="507"/>
      <c r="AY526" s="507"/>
      <c r="AZ526" s="507"/>
      <c r="BA526" s="507"/>
      <c r="BB526" s="507"/>
      <c r="BC526" s="507"/>
      <c r="BD526" s="507"/>
      <c r="BE526" s="507"/>
      <c r="BF526" s="507"/>
      <c r="BG526" s="507"/>
      <c r="BH526" s="507"/>
      <c r="BI526" s="507"/>
      <c r="BJ526" s="507"/>
    </row>
    <row r="527" spans="2:62" ht="15.75" customHeight="1">
      <c r="B527" s="504"/>
      <c r="C527" s="768"/>
      <c r="W527" s="507"/>
      <c r="X527" s="507"/>
      <c r="Y527" s="507"/>
      <c r="Z527" s="507"/>
      <c r="AA527" s="507"/>
      <c r="AB527" s="507"/>
      <c r="AC527" s="507"/>
      <c r="AD527" s="507"/>
      <c r="AE527" s="507"/>
      <c r="AF527" s="507"/>
      <c r="AG527" s="507"/>
      <c r="AH527" s="507"/>
      <c r="AI527" s="507"/>
      <c r="AJ527" s="507"/>
      <c r="AK527" s="507"/>
      <c r="AL527" s="507"/>
      <c r="AM527" s="507"/>
      <c r="AN527" s="507"/>
      <c r="AO527" s="507"/>
      <c r="AP527" s="507"/>
      <c r="AQ527" s="507"/>
      <c r="AR527" s="507"/>
      <c r="AS527" s="507"/>
      <c r="AT527" s="507"/>
      <c r="AU527" s="507"/>
      <c r="AV527" s="507"/>
      <c r="AW527" s="507"/>
      <c r="AX527" s="507"/>
      <c r="AY527" s="507"/>
      <c r="AZ527" s="507"/>
      <c r="BA527" s="507"/>
      <c r="BB527" s="507"/>
      <c r="BC527" s="507"/>
      <c r="BD527" s="507"/>
      <c r="BE527" s="507"/>
      <c r="BF527" s="507"/>
      <c r="BG527" s="507"/>
      <c r="BH527" s="507"/>
      <c r="BI527" s="507"/>
      <c r="BJ527" s="507"/>
    </row>
    <row r="528" spans="2:62" ht="15.75" customHeight="1">
      <c r="B528" s="504"/>
      <c r="C528" s="768"/>
      <c r="W528" s="507"/>
      <c r="X528" s="507"/>
      <c r="Y528" s="507"/>
      <c r="Z528" s="507"/>
      <c r="AA528" s="507"/>
      <c r="AB528" s="507"/>
      <c r="AC528" s="507"/>
      <c r="AD528" s="507"/>
      <c r="AE528" s="507"/>
      <c r="AF528" s="507"/>
      <c r="AG528" s="507"/>
      <c r="AH528" s="507"/>
      <c r="AI528" s="507"/>
      <c r="AJ528" s="507"/>
      <c r="AK528" s="507"/>
      <c r="AL528" s="507"/>
      <c r="AM528" s="507"/>
      <c r="AN528" s="507"/>
      <c r="AO528" s="507"/>
      <c r="AP528" s="507"/>
      <c r="AQ528" s="507"/>
      <c r="AR528" s="507"/>
      <c r="AS528" s="507"/>
      <c r="AT528" s="507"/>
      <c r="AU528" s="507"/>
      <c r="AV528" s="507"/>
      <c r="AW528" s="507"/>
      <c r="AX528" s="507"/>
      <c r="AY528" s="507"/>
      <c r="AZ528" s="507"/>
      <c r="BA528" s="507"/>
      <c r="BB528" s="507"/>
      <c r="BC528" s="507"/>
      <c r="BD528" s="507"/>
      <c r="BE528" s="507"/>
      <c r="BF528" s="507"/>
      <c r="BG528" s="507"/>
      <c r="BH528" s="507"/>
      <c r="BI528" s="507"/>
      <c r="BJ528" s="507"/>
    </row>
    <row r="529" spans="2:62" ht="15.75" customHeight="1">
      <c r="B529" s="504"/>
      <c r="C529" s="768"/>
      <c r="W529" s="507"/>
      <c r="X529" s="507"/>
      <c r="Y529" s="507"/>
      <c r="Z529" s="507"/>
      <c r="AA529" s="507"/>
      <c r="AB529" s="507"/>
      <c r="AC529" s="507"/>
      <c r="AD529" s="507"/>
      <c r="AE529" s="507"/>
      <c r="AF529" s="507"/>
      <c r="AG529" s="507"/>
      <c r="AH529" s="507"/>
      <c r="AI529" s="507"/>
      <c r="AJ529" s="507"/>
      <c r="AK529" s="507"/>
      <c r="AL529" s="507"/>
      <c r="AM529" s="507"/>
      <c r="AN529" s="507"/>
      <c r="AO529" s="507"/>
      <c r="AP529" s="507"/>
      <c r="AQ529" s="507"/>
      <c r="AR529" s="507"/>
      <c r="AS529" s="507"/>
      <c r="AT529" s="507"/>
      <c r="AU529" s="507"/>
      <c r="AV529" s="507"/>
      <c r="AW529" s="507"/>
      <c r="AX529" s="507"/>
      <c r="AY529" s="507"/>
      <c r="AZ529" s="507"/>
      <c r="BA529" s="507"/>
      <c r="BB529" s="507"/>
      <c r="BC529" s="507"/>
      <c r="BD529" s="507"/>
      <c r="BE529" s="507"/>
      <c r="BF529" s="507"/>
      <c r="BG529" s="507"/>
      <c r="BH529" s="507"/>
      <c r="BI529" s="507"/>
      <c r="BJ529" s="507"/>
    </row>
    <row r="530" spans="2:62" ht="15.75" customHeight="1">
      <c r="B530" s="504"/>
      <c r="C530" s="768"/>
      <c r="W530" s="507"/>
      <c r="X530" s="507"/>
      <c r="Y530" s="507"/>
      <c r="Z530" s="507"/>
      <c r="AA530" s="507"/>
      <c r="AB530" s="507"/>
      <c r="AC530" s="507"/>
      <c r="AD530" s="507"/>
      <c r="AE530" s="507"/>
      <c r="AF530" s="507"/>
      <c r="AG530" s="507"/>
      <c r="AH530" s="507"/>
      <c r="AI530" s="507"/>
      <c r="AJ530" s="507"/>
      <c r="AK530" s="507"/>
      <c r="AL530" s="507"/>
      <c r="AM530" s="507"/>
      <c r="AN530" s="507"/>
      <c r="AO530" s="507"/>
      <c r="AP530" s="507"/>
      <c r="AQ530" s="507"/>
      <c r="AR530" s="507"/>
      <c r="AS530" s="507"/>
      <c r="AT530" s="507"/>
      <c r="AU530" s="507"/>
      <c r="AV530" s="507"/>
      <c r="AW530" s="507"/>
      <c r="AX530" s="507"/>
      <c r="AY530" s="507"/>
      <c r="AZ530" s="507"/>
      <c r="BA530" s="507"/>
      <c r="BB530" s="507"/>
      <c r="BC530" s="507"/>
      <c r="BD530" s="507"/>
      <c r="BE530" s="507"/>
      <c r="BF530" s="507"/>
      <c r="BG530" s="507"/>
      <c r="BH530" s="507"/>
      <c r="BI530" s="507"/>
      <c r="BJ530" s="507"/>
    </row>
    <row r="531" spans="2:62" ht="15.75" customHeight="1">
      <c r="B531" s="504"/>
      <c r="C531" s="768"/>
      <c r="W531" s="507"/>
      <c r="X531" s="507"/>
      <c r="Y531" s="507"/>
      <c r="Z531" s="507"/>
      <c r="AA531" s="507"/>
      <c r="AB531" s="507"/>
      <c r="AC531" s="507"/>
      <c r="AD531" s="507"/>
      <c r="AE531" s="507"/>
      <c r="AF531" s="507"/>
      <c r="AG531" s="507"/>
      <c r="AH531" s="507"/>
      <c r="AI531" s="507"/>
      <c r="AJ531" s="507"/>
      <c r="AK531" s="507"/>
      <c r="AL531" s="507"/>
      <c r="AM531" s="507"/>
      <c r="AN531" s="507"/>
      <c r="AO531" s="507"/>
      <c r="AP531" s="507"/>
      <c r="AQ531" s="507"/>
      <c r="AR531" s="507"/>
      <c r="AS531" s="507"/>
      <c r="AT531" s="507"/>
      <c r="AU531" s="507"/>
      <c r="AV531" s="507"/>
      <c r="AW531" s="507"/>
      <c r="AX531" s="507"/>
      <c r="AY531" s="507"/>
      <c r="AZ531" s="507"/>
      <c r="BA531" s="507"/>
      <c r="BB531" s="507"/>
      <c r="BC531" s="507"/>
      <c r="BD531" s="507"/>
      <c r="BE531" s="507"/>
      <c r="BF531" s="507"/>
      <c r="BG531" s="507"/>
      <c r="BH531" s="507"/>
      <c r="BI531" s="507"/>
      <c r="BJ531" s="507"/>
    </row>
    <row r="532" spans="2:62" ht="15.75" customHeight="1">
      <c r="B532" s="504"/>
      <c r="C532" s="768"/>
      <c r="W532" s="507"/>
      <c r="X532" s="507"/>
      <c r="Y532" s="507"/>
      <c r="Z532" s="507"/>
      <c r="AA532" s="507"/>
      <c r="AB532" s="507"/>
      <c r="AC532" s="507"/>
      <c r="AD532" s="507"/>
      <c r="AE532" s="507"/>
      <c r="AF532" s="507"/>
      <c r="AG532" s="507"/>
      <c r="AH532" s="507"/>
      <c r="AI532" s="507"/>
      <c r="AJ532" s="507"/>
      <c r="AK532" s="507"/>
      <c r="AL532" s="507"/>
      <c r="AM532" s="507"/>
      <c r="AN532" s="507"/>
      <c r="AO532" s="507"/>
      <c r="AP532" s="507"/>
      <c r="AQ532" s="507"/>
      <c r="AR532" s="507"/>
      <c r="AS532" s="507"/>
      <c r="AT532" s="507"/>
      <c r="AU532" s="507"/>
      <c r="AV532" s="507"/>
      <c r="AW532" s="507"/>
      <c r="AX532" s="507"/>
      <c r="AY532" s="507"/>
      <c r="AZ532" s="507"/>
      <c r="BA532" s="507"/>
      <c r="BB532" s="507"/>
      <c r="BC532" s="507"/>
      <c r="BD532" s="507"/>
      <c r="BE532" s="507"/>
      <c r="BF532" s="507"/>
      <c r="BG532" s="507"/>
      <c r="BH532" s="507"/>
      <c r="BI532" s="507"/>
      <c r="BJ532" s="507"/>
    </row>
    <row r="533" spans="2:62" ht="15.75" customHeight="1">
      <c r="B533" s="504"/>
      <c r="C533" s="768"/>
      <c r="W533" s="507"/>
      <c r="X533" s="507"/>
      <c r="Y533" s="507"/>
      <c r="Z533" s="507"/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  <c r="AP533" s="507"/>
      <c r="AQ533" s="507"/>
      <c r="AR533" s="507"/>
      <c r="AS533" s="507"/>
      <c r="AT533" s="507"/>
      <c r="AU533" s="507"/>
      <c r="AV533" s="507"/>
      <c r="AW533" s="507"/>
      <c r="AX533" s="507"/>
      <c r="AY533" s="507"/>
      <c r="AZ533" s="507"/>
      <c r="BA533" s="507"/>
      <c r="BB533" s="507"/>
      <c r="BC533" s="507"/>
      <c r="BD533" s="507"/>
      <c r="BE533" s="507"/>
      <c r="BF533" s="507"/>
      <c r="BG533" s="507"/>
      <c r="BH533" s="507"/>
      <c r="BI533" s="507"/>
      <c r="BJ533" s="507"/>
    </row>
    <row r="534" spans="2:62" ht="15.75" customHeight="1">
      <c r="B534" s="504"/>
      <c r="C534" s="768"/>
      <c r="W534" s="507"/>
      <c r="X534" s="507"/>
      <c r="Y534" s="507"/>
      <c r="Z534" s="507"/>
      <c r="AA534" s="507"/>
      <c r="AB534" s="507"/>
      <c r="AC534" s="507"/>
      <c r="AD534" s="507"/>
      <c r="AE534" s="507"/>
      <c r="AF534" s="507"/>
      <c r="AG534" s="507"/>
      <c r="AH534" s="507"/>
      <c r="AI534" s="507"/>
      <c r="AJ534" s="507"/>
      <c r="AK534" s="507"/>
      <c r="AL534" s="507"/>
      <c r="AM534" s="507"/>
      <c r="AN534" s="507"/>
      <c r="AO534" s="507"/>
      <c r="AP534" s="507"/>
      <c r="AQ534" s="507"/>
      <c r="AR534" s="507"/>
      <c r="AS534" s="507"/>
      <c r="AT534" s="507"/>
      <c r="AU534" s="507"/>
      <c r="AV534" s="507"/>
      <c r="AW534" s="507"/>
      <c r="AX534" s="507"/>
      <c r="AY534" s="507"/>
      <c r="AZ534" s="507"/>
      <c r="BA534" s="507"/>
      <c r="BB534" s="507"/>
      <c r="BC534" s="507"/>
      <c r="BD534" s="507"/>
      <c r="BE534" s="507"/>
      <c r="BF534" s="507"/>
      <c r="BG534" s="507"/>
      <c r="BH534" s="507"/>
      <c r="BI534" s="507"/>
      <c r="BJ534" s="507"/>
    </row>
    <row r="535" spans="2:62" ht="15.75" customHeight="1">
      <c r="B535" s="504"/>
      <c r="W535" s="507"/>
      <c r="X535" s="507"/>
      <c r="Y535" s="507"/>
      <c r="Z535" s="507"/>
      <c r="AA535" s="507"/>
      <c r="AB535" s="507"/>
      <c r="AC535" s="507"/>
      <c r="AD535" s="507"/>
      <c r="AE535" s="507"/>
      <c r="AF535" s="507"/>
      <c r="AG535" s="507"/>
      <c r="AH535" s="507"/>
      <c r="AI535" s="507"/>
      <c r="AJ535" s="507"/>
      <c r="AK535" s="507"/>
      <c r="AL535" s="507"/>
      <c r="AM535" s="507"/>
      <c r="AN535" s="507"/>
      <c r="AO535" s="507"/>
      <c r="AP535" s="507"/>
      <c r="AQ535" s="507"/>
      <c r="AR535" s="507"/>
      <c r="AS535" s="507"/>
      <c r="AT535" s="507"/>
      <c r="AU535" s="507"/>
      <c r="AV535" s="507"/>
      <c r="AW535" s="507"/>
      <c r="AX535" s="507"/>
      <c r="AY535" s="507"/>
      <c r="AZ535" s="507"/>
      <c r="BA535" s="507"/>
      <c r="BB535" s="507"/>
      <c r="BC535" s="507"/>
      <c r="BD535" s="507"/>
      <c r="BE535" s="507"/>
      <c r="BF535" s="507"/>
      <c r="BG535" s="507"/>
      <c r="BH535" s="507"/>
      <c r="BI535" s="507"/>
      <c r="BJ535" s="507"/>
    </row>
    <row r="536" spans="2:62" ht="15.75" customHeight="1">
      <c r="B536" s="504"/>
      <c r="W536" s="507"/>
      <c r="X536" s="507"/>
      <c r="Y536" s="507"/>
      <c r="Z536" s="507"/>
      <c r="AA536" s="507"/>
      <c r="AB536" s="507"/>
      <c r="AC536" s="507"/>
      <c r="AD536" s="507"/>
      <c r="AE536" s="507"/>
      <c r="AF536" s="507"/>
      <c r="AG536" s="507"/>
      <c r="AH536" s="507"/>
      <c r="AI536" s="507"/>
      <c r="AJ536" s="507"/>
      <c r="AK536" s="507"/>
      <c r="AL536" s="507"/>
      <c r="AM536" s="507"/>
      <c r="AN536" s="507"/>
      <c r="AO536" s="507"/>
      <c r="AP536" s="507"/>
      <c r="AQ536" s="507"/>
      <c r="AR536" s="507"/>
      <c r="AS536" s="507"/>
      <c r="AT536" s="507"/>
      <c r="AU536" s="507"/>
      <c r="AV536" s="507"/>
      <c r="AW536" s="507"/>
      <c r="AX536" s="507"/>
      <c r="AY536" s="507"/>
      <c r="AZ536" s="507"/>
      <c r="BA536" s="507"/>
      <c r="BB536" s="507"/>
      <c r="BC536" s="507"/>
      <c r="BD536" s="507"/>
      <c r="BE536" s="507"/>
      <c r="BF536" s="507"/>
      <c r="BG536" s="507"/>
      <c r="BH536" s="507"/>
      <c r="BI536" s="507"/>
      <c r="BJ536" s="507"/>
    </row>
    <row r="537" spans="2:62" ht="15.75" customHeight="1">
      <c r="B537" s="504"/>
      <c r="W537" s="507"/>
      <c r="X537" s="507"/>
      <c r="Y537" s="507"/>
      <c r="Z537" s="507"/>
      <c r="AA537" s="507"/>
      <c r="AB537" s="507"/>
      <c r="AC537" s="507"/>
      <c r="AD537" s="507"/>
      <c r="AE537" s="507"/>
      <c r="AF537" s="507"/>
      <c r="AG537" s="507"/>
      <c r="AH537" s="507"/>
      <c r="AI537" s="507"/>
      <c r="AJ537" s="507"/>
      <c r="AK537" s="507"/>
      <c r="AL537" s="507"/>
      <c r="AM537" s="507"/>
      <c r="AN537" s="507"/>
      <c r="AO537" s="507"/>
      <c r="AP537" s="507"/>
      <c r="AQ537" s="507"/>
      <c r="AR537" s="507"/>
      <c r="AS537" s="507"/>
      <c r="AT537" s="507"/>
      <c r="AU537" s="507"/>
      <c r="AV537" s="507"/>
      <c r="AW537" s="507"/>
      <c r="AX537" s="507"/>
      <c r="AY537" s="507"/>
      <c r="AZ537" s="507"/>
      <c r="BA537" s="507"/>
      <c r="BB537" s="507"/>
      <c r="BC537" s="507"/>
      <c r="BD537" s="507"/>
      <c r="BE537" s="507"/>
      <c r="BF537" s="507"/>
      <c r="BG537" s="507"/>
      <c r="BH537" s="507"/>
      <c r="BI537" s="507"/>
      <c r="BJ537" s="507"/>
    </row>
    <row r="538" spans="2:62" ht="15.75" customHeight="1">
      <c r="B538" s="504"/>
      <c r="W538" s="507"/>
      <c r="X538" s="507"/>
      <c r="Y538" s="507"/>
      <c r="Z538" s="507"/>
      <c r="AA538" s="507"/>
      <c r="AB538" s="507"/>
      <c r="AC538" s="507"/>
      <c r="AD538" s="507"/>
      <c r="AE538" s="507"/>
      <c r="AF538" s="507"/>
      <c r="AG538" s="507"/>
      <c r="AH538" s="507"/>
      <c r="AI538" s="507"/>
      <c r="AJ538" s="507"/>
      <c r="AK538" s="507"/>
      <c r="AL538" s="507"/>
      <c r="AM538" s="507"/>
      <c r="AN538" s="507"/>
      <c r="AO538" s="507"/>
      <c r="AP538" s="507"/>
      <c r="AQ538" s="507"/>
      <c r="AR538" s="507"/>
      <c r="AS538" s="507"/>
      <c r="AT538" s="507"/>
      <c r="AU538" s="507"/>
      <c r="AV538" s="507"/>
      <c r="AW538" s="507"/>
      <c r="AX538" s="507"/>
      <c r="AY538" s="507"/>
      <c r="AZ538" s="507"/>
      <c r="BA538" s="507"/>
      <c r="BB538" s="507"/>
      <c r="BC538" s="507"/>
      <c r="BD538" s="507"/>
      <c r="BE538" s="507"/>
      <c r="BF538" s="507"/>
      <c r="BG538" s="507"/>
      <c r="BH538" s="507"/>
      <c r="BI538" s="507"/>
      <c r="BJ538" s="507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62" priority="2" stopIfTrue="1">
      <formula>"esterreur(reference)"</formula>
    </cfRule>
  </conditionalFormatting>
  <conditionalFormatting sqref="D172:D181">
    <cfRule type="expression" dxfId="61" priority="61" stopIfTrue="1">
      <formula>"esterreur(reference)"</formula>
    </cfRule>
  </conditionalFormatting>
  <conditionalFormatting sqref="D400">
    <cfRule type="expression" dxfId="60" priority="5" stopIfTrue="1">
      <formula>"esterreur(reference)"</formula>
    </cfRule>
  </conditionalFormatting>
  <conditionalFormatting sqref="E186">
    <cfRule type="expression" dxfId="59" priority="62" stopIfTrue="1">
      <formula>"esterreur(reference)"</formula>
    </cfRule>
  </conditionalFormatting>
  <conditionalFormatting sqref="F5">
    <cfRule type="expression" dxfId="58" priority="59" stopIfTrue="1">
      <formula>"esterreur(reference)"</formula>
    </cfRule>
  </conditionalFormatting>
  <conditionalFormatting sqref="F83:F85">
    <cfRule type="expression" dxfId="57" priority="58" stopIfTrue="1">
      <formula>"esterreur(reference)"</formula>
    </cfRule>
  </conditionalFormatting>
  <conditionalFormatting sqref="F101">
    <cfRule type="expression" dxfId="56" priority="63" stopIfTrue="1">
      <formula>"esterreur(reference)"</formula>
    </cfRule>
  </conditionalFormatting>
  <conditionalFormatting sqref="F184">
    <cfRule type="expression" dxfId="55" priority="27" stopIfTrue="1">
      <formula>"esterreur(reference)"</formula>
    </cfRule>
  </conditionalFormatting>
  <conditionalFormatting sqref="G31:G32">
    <cfRule type="expression" dxfId="54" priority="56" stopIfTrue="1">
      <formula>"esterreur(reference)"</formula>
    </cfRule>
  </conditionalFormatting>
  <conditionalFormatting sqref="G112:G113">
    <cfRule type="expression" dxfId="53" priority="53" stopIfTrue="1">
      <formula>"esterreur(reference)"</formula>
    </cfRule>
  </conditionalFormatting>
  <conditionalFormatting sqref="G172:G181">
    <cfRule type="expression" dxfId="52" priority="60" stopIfTrue="1">
      <formula>"esterreur(reference)"</formula>
    </cfRule>
  </conditionalFormatting>
  <conditionalFormatting sqref="H25:H26 H28:H72">
    <cfRule type="expression" dxfId="51" priority="55" stopIfTrue="1">
      <formula>"esterreur(reference)"</formula>
    </cfRule>
  </conditionalFormatting>
  <conditionalFormatting sqref="H360 J360:L360">
    <cfRule type="expression" dxfId="50" priority="15" stopIfTrue="1">
      <formula>"esterreur(reference)"</formula>
    </cfRule>
  </conditionalFormatting>
  <conditionalFormatting sqref="H197:L197">
    <cfRule type="expression" dxfId="49" priority="17" stopIfTrue="1">
      <formula>"esterreur(reference)"</formula>
    </cfRule>
  </conditionalFormatting>
  <conditionalFormatting sqref="H396:L399">
    <cfRule type="expression" dxfId="48" priority="13" stopIfTrue="1">
      <formula>"esterreur(reference)"</formula>
    </cfRule>
  </conditionalFormatting>
  <conditionalFormatting sqref="I16:I18 I20 I24:I30">
    <cfRule type="expression" dxfId="47" priority="57" stopIfTrue="1">
      <formula>"esterreur(reference)"</formula>
    </cfRule>
  </conditionalFormatting>
  <conditionalFormatting sqref="I377:L377 J378:L394 H378:H395">
    <cfRule type="expression" dxfId="46" priority="14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45" priority="6" stopIfTrue="1">
      <formula>"esterreur(reference)"</formula>
    </cfRule>
  </conditionalFormatting>
  <conditionalFormatting sqref="K395">
    <cfRule type="expression" dxfId="44" priority="16" stopIfTrue="1">
      <formula>"esterreur(reference)"</formula>
    </cfRule>
  </conditionalFormatting>
  <conditionalFormatting sqref="K5:L5">
    <cfRule type="expression" dxfId="43" priority="26" stopIfTrue="1">
      <formula>"esterreur(reference)"</formula>
    </cfRule>
  </conditionalFormatting>
  <conditionalFormatting sqref="K244:L244">
    <cfRule type="expression" dxfId="42" priority="23" stopIfTrue="1">
      <formula>"esterreur(reference)"</formula>
    </cfRule>
  </conditionalFormatting>
  <conditionalFormatting sqref="K247:L247">
    <cfRule type="expression" dxfId="41" priority="24" stopIfTrue="1">
      <formula>"esterreur(reference)"</formula>
    </cfRule>
  </conditionalFormatting>
  <conditionalFormatting sqref="L42:L48">
    <cfRule type="expression" dxfId="40" priority="19" stopIfTrue="1">
      <formula>"esterreur(reference)"</formula>
    </cfRule>
  </conditionalFormatting>
  <conditionalFormatting sqref="L75:L82">
    <cfRule type="expression" dxfId="39" priority="8" stopIfTrue="1">
      <formula>"esterreur(reference)"</formula>
    </cfRule>
  </conditionalFormatting>
  <conditionalFormatting sqref="L156:L162">
    <cfRule type="expression" dxfId="38" priority="22" stopIfTrue="1">
      <formula>"esterreur(reference)"</formula>
    </cfRule>
  </conditionalFormatting>
  <conditionalFormatting sqref="L198:L209">
    <cfRule type="expression" dxfId="37" priority="20" stopIfTrue="1">
      <formula>"esterreur(reference)"</formula>
    </cfRule>
  </conditionalFormatting>
  <conditionalFormatting sqref="L211:L228">
    <cfRule type="expression" dxfId="36" priority="21" stopIfTrue="1">
      <formula>"esterreur(reference)"</formula>
    </cfRule>
  </conditionalFormatting>
  <conditionalFormatting sqref="L254:L265">
    <cfRule type="expression" dxfId="35" priority="25" stopIfTrue="1">
      <formula>"esterreur(reference)"</formula>
    </cfRule>
  </conditionalFormatting>
  <conditionalFormatting sqref="L331:L348">
    <cfRule type="expression" dxfId="34" priority="18" stopIfTrue="1">
      <formula>"esterreur(reference)"</formula>
    </cfRule>
  </conditionalFormatting>
  <conditionalFormatting sqref="L356:L357 H357:I357 K357 J357:J358 H359:L359">
    <cfRule type="expression" dxfId="33" priority="12" stopIfTrue="1">
      <formula>"esterreur(reference)"</formula>
    </cfRule>
  </conditionalFormatting>
  <conditionalFormatting sqref="M95:M97">
    <cfRule type="expression" dxfId="32" priority="7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4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8" stopIfTrue="1">
      <formula>"esterreur(reference)"</formula>
    </cfRule>
  </conditionalFormatting>
  <conditionalFormatting sqref="O197:Q197">
    <cfRule type="expression" dxfId="28" priority="37" stopIfTrue="1">
      <formula>"esterreur(reference)"</formula>
    </cfRule>
  </conditionalFormatting>
  <conditionalFormatting sqref="O243:Q243 O252:Q253 O254:P284 Q282:Q285 O285 O288:Q288 O289:P289">
    <cfRule type="expression" dxfId="27" priority="43" stopIfTrue="1">
      <formula>"esterreur(reference)"</formula>
    </cfRule>
  </conditionalFormatting>
  <conditionalFormatting sqref="O359:Q394">
    <cfRule type="expression" dxfId="26" priority="50" stopIfTrue="1">
      <formula>"esterreur(reference)"</formula>
    </cfRule>
  </conditionalFormatting>
  <conditionalFormatting sqref="O396:Q399">
    <cfRule type="expression" dxfId="25" priority="51" stopIfTrue="1">
      <formula>"esterreur(reference)"</formula>
    </cfRule>
  </conditionalFormatting>
  <conditionalFormatting sqref="P5">
    <cfRule type="expression" dxfId="24" priority="31" stopIfTrue="1">
      <formula>"esterreur(reference)"</formula>
    </cfRule>
  </conditionalFormatting>
  <conditionalFormatting sqref="P175">
    <cfRule type="expression" dxfId="23" priority="40" stopIfTrue="1">
      <formula>"esterreur(reference)"</formula>
    </cfRule>
  </conditionalFormatting>
  <conditionalFormatting sqref="P178">
    <cfRule type="expression" dxfId="22" priority="41" stopIfTrue="1">
      <formula>"esterreur(reference)"</formula>
    </cfRule>
  </conditionalFormatting>
  <conditionalFormatting sqref="P181">
    <cfRule type="expression" dxfId="21" priority="42" stopIfTrue="1">
      <formula>"esterreur(reference)"</formula>
    </cfRule>
  </conditionalFormatting>
  <conditionalFormatting sqref="P395">
    <cfRule type="expression" dxfId="20" priority="52" stopIfTrue="1">
      <formula>"esterreur(reference)"</formula>
    </cfRule>
  </conditionalFormatting>
  <conditionalFormatting sqref="P93:Q96 O97:Q98 O156:P157 O164:Q164 O165:P165">
    <cfRule type="expression" dxfId="19" priority="34" stopIfTrue="1">
      <formula>"esterreur(reference)"</formula>
    </cfRule>
  </conditionalFormatting>
  <conditionalFormatting sqref="P99:Q100">
    <cfRule type="expression" dxfId="18" priority="33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6" stopIfTrue="1">
      <formula>"esterreur(reference)"</formula>
    </cfRule>
  </conditionalFormatting>
  <conditionalFormatting sqref="P182:Q196">
    <cfRule type="expression" dxfId="16" priority="3" stopIfTrue="1">
      <formula>"esterreur(reference)"</formula>
    </cfRule>
  </conditionalFormatting>
  <conditionalFormatting sqref="P241:Q241">
    <cfRule type="expression" dxfId="15" priority="47" stopIfTrue="1">
      <formula>"esterreur(reference)"</formula>
    </cfRule>
  </conditionalFormatting>
  <conditionalFormatting sqref="P244:Q244">
    <cfRule type="expression" dxfId="14" priority="44" stopIfTrue="1">
      <formula>"esterreur(reference)"</formula>
    </cfRule>
  </conditionalFormatting>
  <conditionalFormatting sqref="P247:Q247">
    <cfRule type="expression" dxfId="13" priority="45" stopIfTrue="1">
      <formula>"esterreur(reference)"</formula>
    </cfRule>
  </conditionalFormatting>
  <conditionalFormatting sqref="Q5:Q14 O13:O14 O16 Q16:Q24 O18:O24 O25:Q26 O27 Q27 O28:Q72 O83:Q85">
    <cfRule type="expression" dxfId="12" priority="30" stopIfTrue="1">
      <formula>"esterreur(reference)"</formula>
    </cfRule>
  </conditionalFormatting>
  <conditionalFormatting sqref="Q75:Q82">
    <cfRule type="expression" dxfId="11" priority="32" stopIfTrue="1">
      <formula>"esterreur(reference)"</formula>
    </cfRule>
  </conditionalFormatting>
  <conditionalFormatting sqref="Q156:Q162">
    <cfRule type="expression" dxfId="10" priority="35" stopIfTrue="1">
      <formula>"esterreur(reference)"</formula>
    </cfRule>
  </conditionalFormatting>
  <conditionalFormatting sqref="Q198:Q209">
    <cfRule type="expression" dxfId="9" priority="38" stopIfTrue="1">
      <formula>"esterreur(reference)"</formula>
    </cfRule>
  </conditionalFormatting>
  <conditionalFormatting sqref="Q211:Q228">
    <cfRule type="expression" dxfId="8" priority="39" stopIfTrue="1">
      <formula>"esterreur(reference)"</formula>
    </cfRule>
  </conditionalFormatting>
  <conditionalFormatting sqref="Q254:Q265">
    <cfRule type="expression" dxfId="7" priority="46" stopIfTrue="1">
      <formula>"esterreur(reference)"</formula>
    </cfRule>
  </conditionalFormatting>
  <conditionalFormatting sqref="Q331:Q348">
    <cfRule type="expression" dxfId="6" priority="49" stopIfTrue="1">
      <formula>"esterreur(reference)"</formula>
    </cfRule>
  </conditionalFormatting>
  <conditionalFormatting sqref="R312">
    <cfRule type="expression" dxfId="5" priority="9" stopIfTrue="1">
      <formula>"esterreur(reference)"</formula>
    </cfRule>
  </conditionalFormatting>
  <conditionalFormatting sqref="S186">
    <cfRule type="expression" dxfId="4" priority="28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0" operator="greaterThan">
      <formula>0</formula>
    </cfRule>
  </conditionalFormatting>
  <conditionalFormatting sqref="AH469:AI476 AH480:AI480">
    <cfRule type="cellIs" dxfId="2" priority="11" operator="lessThan">
      <formula>0</formula>
    </cfRule>
  </conditionalFormatting>
  <conditionalFormatting sqref="AH477:AI479">
    <cfRule type="cellIs" dxfId="1" priority="54" operator="greaterThan">
      <formula>0</formula>
    </cfRule>
  </conditionalFormatting>
  <conditionalFormatting sqref="AO409:AO418">
    <cfRule type="cellIs" dxfId="0" priority="29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FC84-60DD-47A7-AF46-BBBE364086C1}">
  <sheetPr>
    <tabColor rgb="FFFFC000"/>
  </sheetPr>
  <dimension ref="A1:BJ693"/>
  <sheetViews>
    <sheetView topLeftCell="C288" zoomScale="70" zoomScaleNormal="70" workbookViewId="0">
      <selection activeCell="Y332" sqref="Y332"/>
    </sheetView>
  </sheetViews>
  <sheetFormatPr baseColWidth="10" defaultColWidth="12.59765625" defaultRowHeight="15" customHeight="1"/>
  <cols>
    <col min="1" max="1" width="37.5" style="495" hidden="1" customWidth="1"/>
    <col min="2" max="2" width="21.8984375" style="495" hidden="1" customWidth="1"/>
    <col min="3" max="3" width="31.19921875" style="495" customWidth="1"/>
    <col min="4" max="4" width="16.5" style="495" customWidth="1"/>
    <col min="5" max="5" width="14.59765625" style="495" customWidth="1"/>
    <col min="6" max="6" width="14" style="495" customWidth="1"/>
    <col min="7" max="7" width="17.69921875" style="495" hidden="1" customWidth="1"/>
    <col min="8" max="8" width="15.09765625" style="495" hidden="1" customWidth="1"/>
    <col min="9" max="9" width="14" style="495" hidden="1" customWidth="1"/>
    <col min="10" max="10" width="15.59765625" style="495" customWidth="1"/>
    <col min="11" max="11" width="15.5" style="495" customWidth="1"/>
    <col min="12" max="12" width="14.8984375" style="495" customWidth="1"/>
    <col min="13" max="14" width="16.19921875" style="495" customWidth="1"/>
    <col min="15" max="15" width="15.5" style="495" customWidth="1"/>
    <col min="16" max="16" width="14.59765625" style="495" customWidth="1"/>
    <col min="17" max="17" width="14.8984375" style="495" bestFit="1" customWidth="1"/>
    <col min="18" max="18" width="14.69921875" style="495" customWidth="1"/>
    <col min="19" max="19" width="19" style="495" customWidth="1"/>
    <col min="20" max="20" width="4.59765625" style="495" customWidth="1"/>
    <col min="21" max="21" width="31.69921875" style="495" customWidth="1"/>
    <col min="22" max="22" width="34" style="495" customWidth="1"/>
    <col min="23" max="23" width="12.19921875" style="495" customWidth="1"/>
    <col min="24" max="24" width="13.69921875" style="495" customWidth="1"/>
    <col min="25" max="25" width="15.09765625" style="495" customWidth="1"/>
    <col min="26" max="26" width="15" style="495" customWidth="1"/>
    <col min="27" max="27" width="11.09765625" style="495" hidden="1" customWidth="1"/>
    <col min="28" max="28" width="9.3984375" style="495" hidden="1" customWidth="1"/>
    <col min="29" max="29" width="14.5" style="495" hidden="1" customWidth="1"/>
    <col min="30" max="30" width="13.5" style="495" customWidth="1"/>
    <col min="31" max="31" width="14.19921875" style="495" customWidth="1"/>
    <col min="32" max="32" width="14.09765625" style="495" customWidth="1"/>
    <col min="33" max="33" width="9" style="495" customWidth="1"/>
    <col min="34" max="34" width="13.5" style="495" customWidth="1"/>
    <col min="35" max="35" width="11.5" style="495" bestFit="1" customWidth="1"/>
    <col min="36" max="36" width="10.8984375" style="495" customWidth="1"/>
    <col min="37" max="37" width="11.3984375" style="495" customWidth="1"/>
    <col min="38" max="38" width="12.69921875" style="495" customWidth="1"/>
    <col min="39" max="39" width="9" style="495" customWidth="1"/>
    <col min="40" max="40" width="11" style="495" customWidth="1"/>
    <col min="41" max="41" width="14.69921875" style="495" customWidth="1"/>
    <col min="42" max="42" width="11" style="495" customWidth="1"/>
    <col min="43" max="43" width="48.3984375" style="495" customWidth="1"/>
    <col min="44" max="62" width="11" style="495" customWidth="1"/>
    <col min="63" max="16384" width="12.59765625" style="495"/>
  </cols>
  <sheetData>
    <row r="1" spans="1:40" ht="36" thickBot="1">
      <c r="B1" s="496"/>
      <c r="C1" s="497" t="s">
        <v>478</v>
      </c>
      <c r="D1" s="498"/>
      <c r="E1" s="499"/>
      <c r="F1" s="498"/>
      <c r="G1" s="498"/>
      <c r="H1" s="496"/>
      <c r="I1" s="498"/>
      <c r="J1" s="496"/>
      <c r="K1" s="500" t="s">
        <v>0</v>
      </c>
      <c r="L1" s="498"/>
      <c r="M1" s="498"/>
      <c r="N1" s="501"/>
      <c r="O1" s="497"/>
      <c r="P1" s="502"/>
      <c r="Q1" s="497"/>
      <c r="R1" s="502"/>
      <c r="S1" s="503" t="s">
        <v>480</v>
      </c>
      <c r="T1" s="498" t="s">
        <v>1</v>
      </c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6"/>
      <c r="AK1" s="496"/>
      <c r="AL1" s="496"/>
      <c r="AM1" s="496"/>
      <c r="AN1" s="496"/>
    </row>
    <row r="2" spans="1:40" ht="15" customHeight="1" thickTop="1" thickBot="1">
      <c r="B2" s="504"/>
      <c r="C2" s="505"/>
      <c r="D2" s="506" t="s">
        <v>2</v>
      </c>
      <c r="E2" s="506" t="s">
        <v>3</v>
      </c>
      <c r="F2" s="506" t="s">
        <v>4</v>
      </c>
      <c r="G2" s="506"/>
      <c r="H2" s="506"/>
      <c r="I2" s="506"/>
      <c r="J2" s="506" t="s">
        <v>218</v>
      </c>
      <c r="K2" s="506"/>
      <c r="L2" s="506" t="s">
        <v>219</v>
      </c>
      <c r="M2" s="507"/>
      <c r="N2" s="507"/>
      <c r="O2" s="506" t="s">
        <v>2</v>
      </c>
      <c r="P2" s="506" t="s">
        <v>3</v>
      </c>
      <c r="Q2" s="506" t="s">
        <v>4</v>
      </c>
      <c r="R2" s="507"/>
      <c r="S2" s="507"/>
      <c r="T2" s="507"/>
      <c r="U2" s="507"/>
      <c r="V2" s="508" t="s">
        <v>470</v>
      </c>
      <c r="W2" s="509"/>
    </row>
    <row r="3" spans="1:40" ht="21.6" thickTop="1">
      <c r="B3" s="510"/>
      <c r="C3" s="511"/>
      <c r="D3" s="512" t="s">
        <v>5</v>
      </c>
      <c r="E3" s="513"/>
      <c r="F3" s="514"/>
      <c r="G3" s="515"/>
      <c r="H3" s="513"/>
      <c r="I3" s="514"/>
      <c r="J3" s="515" t="s">
        <v>7</v>
      </c>
      <c r="K3" s="513"/>
      <c r="L3" s="514"/>
      <c r="M3" s="515" t="s">
        <v>220</v>
      </c>
      <c r="N3" s="514"/>
      <c r="O3" s="512" t="s">
        <v>8</v>
      </c>
      <c r="P3" s="513"/>
      <c r="Q3" s="514"/>
      <c r="R3" s="515" t="s">
        <v>221</v>
      </c>
      <c r="S3" s="514"/>
      <c r="T3" s="510"/>
      <c r="U3" s="510"/>
      <c r="V3" s="516" t="s">
        <v>471</v>
      </c>
      <c r="W3" s="517">
        <v>0.45</v>
      </c>
      <c r="X3" s="510"/>
      <c r="Y3" s="510"/>
      <c r="Z3" s="510"/>
      <c r="AA3" s="510"/>
      <c r="AB3" s="510"/>
      <c r="AC3" s="510"/>
      <c r="AD3" s="510"/>
      <c r="AE3" s="510"/>
      <c r="AF3" s="510"/>
      <c r="AG3" s="510"/>
      <c r="AH3" s="510"/>
      <c r="AI3" s="510"/>
      <c r="AJ3" s="510"/>
      <c r="AK3" s="510"/>
      <c r="AL3" s="510"/>
      <c r="AM3" s="510"/>
      <c r="AN3" s="510"/>
    </row>
    <row r="4" spans="1:40" ht="20.399999999999999">
      <c r="B4" s="510"/>
      <c r="C4" s="518"/>
      <c r="D4" s="519" t="s">
        <v>10</v>
      </c>
      <c r="E4" s="520" t="s">
        <v>11</v>
      </c>
      <c r="F4" s="521" t="s">
        <v>12</v>
      </c>
      <c r="G4" s="522"/>
      <c r="H4" s="520"/>
      <c r="I4" s="521"/>
      <c r="J4" s="522" t="s">
        <v>472</v>
      </c>
      <c r="K4" s="520" t="s">
        <v>13</v>
      </c>
      <c r="L4" s="521" t="s">
        <v>12</v>
      </c>
      <c r="M4" s="522" t="s">
        <v>472</v>
      </c>
      <c r="N4" s="521" t="s">
        <v>12</v>
      </c>
      <c r="O4" s="520" t="s">
        <v>10</v>
      </c>
      <c r="P4" s="520" t="s">
        <v>11</v>
      </c>
      <c r="Q4" s="521" t="s">
        <v>12</v>
      </c>
      <c r="R4" s="522" t="s">
        <v>472</v>
      </c>
      <c r="S4" s="521" t="s">
        <v>12</v>
      </c>
      <c r="T4" s="510"/>
      <c r="U4" s="510"/>
      <c r="V4" s="516" t="s">
        <v>473</v>
      </c>
      <c r="W4" s="517">
        <v>0.1</v>
      </c>
      <c r="X4" s="510"/>
      <c r="Y4" s="510"/>
      <c r="Z4" s="510"/>
      <c r="AA4" s="510"/>
      <c r="AB4" s="510"/>
      <c r="AC4" s="510"/>
      <c r="AD4" s="510"/>
      <c r="AE4" s="510"/>
      <c r="AF4" s="510"/>
      <c r="AG4" s="510"/>
      <c r="AH4" s="510"/>
      <c r="AI4" s="510"/>
      <c r="AJ4" s="510"/>
      <c r="AK4" s="510"/>
      <c r="AL4" s="510"/>
      <c r="AM4" s="510"/>
      <c r="AN4" s="510"/>
    </row>
    <row r="5" spans="1:40" ht="20.399999999999999">
      <c r="A5" s="523" t="s">
        <v>228</v>
      </c>
      <c r="B5" s="510" t="s">
        <v>0</v>
      </c>
      <c r="C5" s="524" t="s">
        <v>15</v>
      </c>
      <c r="D5" s="525"/>
      <c r="E5" s="525"/>
      <c r="F5" s="526">
        <v>1621482.1660572723</v>
      </c>
      <c r="G5" s="525"/>
      <c r="H5" s="525"/>
      <c r="I5" s="527"/>
      <c r="J5" s="524"/>
      <c r="K5" s="528"/>
      <c r="L5" s="526">
        <v>2168000.09</v>
      </c>
      <c r="M5" s="529"/>
      <c r="N5" s="530"/>
      <c r="O5" s="524"/>
      <c r="P5" s="528"/>
      <c r="Q5" s="526">
        <v>8099296.1699999999</v>
      </c>
      <c r="R5" s="529"/>
      <c r="S5" s="530"/>
      <c r="T5" s="510"/>
      <c r="U5" s="510"/>
      <c r="V5" s="516" t="s">
        <v>222</v>
      </c>
      <c r="W5" s="517">
        <v>0.22500000000000001</v>
      </c>
      <c r="X5" s="510"/>
      <c r="Y5" s="510"/>
      <c r="Z5" s="510"/>
      <c r="AA5" s="510"/>
      <c r="AB5" s="510"/>
      <c r="AC5" s="510"/>
      <c r="AD5" s="510"/>
      <c r="AE5" s="510"/>
      <c r="AF5" s="510"/>
      <c r="AG5" s="510"/>
      <c r="AH5" s="510"/>
      <c r="AI5" s="510"/>
      <c r="AJ5" s="510"/>
      <c r="AK5" s="510"/>
      <c r="AL5" s="510"/>
      <c r="AM5" s="510"/>
      <c r="AN5" s="510"/>
    </row>
    <row r="6" spans="1:40" ht="20.399999999999999">
      <c r="A6" s="523" t="s">
        <v>229</v>
      </c>
      <c r="B6" s="510" t="s">
        <v>0</v>
      </c>
      <c r="C6" s="531" t="s">
        <v>16</v>
      </c>
      <c r="D6" s="532">
        <v>6</v>
      </c>
      <c r="E6" s="532">
        <v>2198.1219285498491</v>
      </c>
      <c r="F6" s="532">
        <v>13188.731571299095</v>
      </c>
      <c r="G6" s="533"/>
      <c r="H6" s="532"/>
      <c r="I6" s="532"/>
      <c r="J6" s="533">
        <v>6</v>
      </c>
      <c r="K6" s="532">
        <v>1532.1433333333323</v>
      </c>
      <c r="L6" s="534">
        <v>9192.8599999999933</v>
      </c>
      <c r="M6" s="533">
        <v>0</v>
      </c>
      <c r="N6" s="534">
        <v>-3995.8715712991016</v>
      </c>
      <c r="O6" s="533">
        <v>12</v>
      </c>
      <c r="P6" s="532">
        <v>1911.4758333333332</v>
      </c>
      <c r="Q6" s="534">
        <v>22937.71</v>
      </c>
      <c r="R6" s="533">
        <v>-6</v>
      </c>
      <c r="S6" s="534">
        <v>-13744.850000000006</v>
      </c>
      <c r="T6" s="510"/>
      <c r="U6" s="510"/>
      <c r="V6" s="516" t="s">
        <v>474</v>
      </c>
      <c r="W6" s="517">
        <v>2.5000000000000001E-2</v>
      </c>
      <c r="X6" s="510"/>
      <c r="Y6" s="510"/>
      <c r="Z6" s="510"/>
      <c r="AA6" s="510"/>
      <c r="AB6" s="510"/>
      <c r="AC6" s="510"/>
      <c r="AD6" s="510"/>
      <c r="AE6" s="510"/>
      <c r="AF6" s="510"/>
      <c r="AG6" s="510"/>
      <c r="AH6" s="510"/>
      <c r="AI6" s="510"/>
      <c r="AJ6" s="510"/>
      <c r="AK6" s="510"/>
      <c r="AL6" s="510"/>
      <c r="AM6" s="510"/>
      <c r="AN6" s="510"/>
    </row>
    <row r="7" spans="1:40" ht="20.399999999999999">
      <c r="A7" s="523" t="s">
        <v>230</v>
      </c>
      <c r="B7" s="510" t="s">
        <v>0</v>
      </c>
      <c r="C7" s="531" t="s">
        <v>17</v>
      </c>
      <c r="D7" s="532">
        <v>25</v>
      </c>
      <c r="E7" s="532">
        <v>2850.2586963355784</v>
      </c>
      <c r="F7" s="532">
        <v>71256.467408389464</v>
      </c>
      <c r="G7" s="533"/>
      <c r="H7" s="532"/>
      <c r="I7" s="532"/>
      <c r="J7" s="533">
        <v>24</v>
      </c>
      <c r="K7" s="532">
        <v>1904.4016666666673</v>
      </c>
      <c r="L7" s="534">
        <v>45705.640000000014</v>
      </c>
      <c r="M7" s="533">
        <v>-1</v>
      </c>
      <c r="N7" s="534">
        <v>-25550.82740838945</v>
      </c>
      <c r="O7" s="533">
        <v>39</v>
      </c>
      <c r="P7" s="532">
        <v>2432.7964102564051</v>
      </c>
      <c r="Q7" s="534">
        <v>94879.059999999794</v>
      </c>
      <c r="R7" s="533">
        <v>-15</v>
      </c>
      <c r="S7" s="534">
        <v>-49173.41999999978</v>
      </c>
      <c r="T7" s="510"/>
      <c r="U7" s="510"/>
      <c r="V7" s="516" t="s">
        <v>475</v>
      </c>
      <c r="W7" s="517">
        <v>0.2</v>
      </c>
      <c r="X7" s="510"/>
      <c r="Y7" s="510"/>
      <c r="Z7" s="510"/>
      <c r="AA7" s="510"/>
      <c r="AB7" s="510"/>
      <c r="AC7" s="510"/>
      <c r="AD7" s="510"/>
      <c r="AE7" s="510"/>
      <c r="AF7" s="510"/>
      <c r="AG7" s="510"/>
      <c r="AH7" s="510"/>
      <c r="AI7" s="510"/>
      <c r="AJ7" s="510"/>
      <c r="AK7" s="510"/>
      <c r="AL7" s="510"/>
      <c r="AM7" s="510"/>
      <c r="AN7" s="510"/>
    </row>
    <row r="8" spans="1:40" ht="21" thickBot="1">
      <c r="A8" s="523" t="s">
        <v>231</v>
      </c>
      <c r="B8" s="510" t="s">
        <v>0</v>
      </c>
      <c r="C8" s="531" t="s">
        <v>18</v>
      </c>
      <c r="D8" s="532">
        <v>0</v>
      </c>
      <c r="E8" s="532">
        <v>0</v>
      </c>
      <c r="F8" s="532">
        <v>0</v>
      </c>
      <c r="G8" s="533"/>
      <c r="H8" s="532"/>
      <c r="I8" s="532"/>
      <c r="J8" s="533">
        <v>0</v>
      </c>
      <c r="K8" s="532">
        <v>0</v>
      </c>
      <c r="L8" s="534">
        <v>0</v>
      </c>
      <c r="M8" s="533">
        <v>0</v>
      </c>
      <c r="N8" s="534">
        <v>0</v>
      </c>
      <c r="O8" s="533">
        <v>0</v>
      </c>
      <c r="P8" s="532">
        <v>0</v>
      </c>
      <c r="Q8" s="534">
        <v>0</v>
      </c>
      <c r="R8" s="533">
        <v>0</v>
      </c>
      <c r="S8" s="534">
        <v>0</v>
      </c>
      <c r="T8" s="510"/>
      <c r="U8" s="510"/>
      <c r="V8" s="535"/>
      <c r="W8" s="536">
        <v>1</v>
      </c>
      <c r="X8" s="510"/>
      <c r="Y8" s="510"/>
      <c r="Z8" s="510"/>
      <c r="AA8" s="510"/>
      <c r="AB8" s="510"/>
      <c r="AC8" s="510"/>
      <c r="AD8" s="510"/>
      <c r="AE8" s="510"/>
      <c r="AF8" s="510"/>
      <c r="AG8" s="510"/>
      <c r="AH8" s="510"/>
      <c r="AI8" s="510"/>
      <c r="AJ8" s="510"/>
      <c r="AK8" s="510"/>
      <c r="AL8" s="510"/>
      <c r="AM8" s="510"/>
      <c r="AN8" s="510"/>
    </row>
    <row r="9" spans="1:40" ht="21" thickTop="1">
      <c r="A9" s="523" t="s">
        <v>232</v>
      </c>
      <c r="B9" s="510" t="s">
        <v>0</v>
      </c>
      <c r="C9" s="531" t="s">
        <v>19</v>
      </c>
      <c r="D9" s="532">
        <v>0</v>
      </c>
      <c r="E9" s="532">
        <v>0</v>
      </c>
      <c r="F9" s="532">
        <v>0</v>
      </c>
      <c r="G9" s="533"/>
      <c r="H9" s="532"/>
      <c r="I9" s="532"/>
      <c r="J9" s="533">
        <v>0</v>
      </c>
      <c r="K9" s="532">
        <v>0</v>
      </c>
      <c r="L9" s="534">
        <v>0</v>
      </c>
      <c r="M9" s="533">
        <v>0</v>
      </c>
      <c r="N9" s="534">
        <v>0</v>
      </c>
      <c r="O9" s="533">
        <v>0</v>
      </c>
      <c r="P9" s="532">
        <v>0</v>
      </c>
      <c r="Q9" s="534">
        <v>0</v>
      </c>
      <c r="R9" s="533">
        <v>0</v>
      </c>
      <c r="S9" s="534">
        <v>0</v>
      </c>
      <c r="T9" s="510"/>
      <c r="U9" s="510"/>
      <c r="V9" s="510"/>
      <c r="W9" s="510"/>
      <c r="X9" s="510"/>
      <c r="Y9" s="510"/>
      <c r="Z9" s="510"/>
      <c r="AA9" s="510"/>
      <c r="AB9" s="510"/>
      <c r="AC9" s="510"/>
      <c r="AD9" s="510"/>
      <c r="AE9" s="510"/>
      <c r="AF9" s="510"/>
      <c r="AG9" s="510"/>
      <c r="AH9" s="510"/>
      <c r="AI9" s="510"/>
      <c r="AJ9" s="510"/>
      <c r="AK9" s="510"/>
      <c r="AL9" s="510"/>
      <c r="AM9" s="510"/>
      <c r="AN9" s="510"/>
    </row>
    <row r="10" spans="1:40" ht="20.25" hidden="1" customHeight="1">
      <c r="A10" s="523" t="s">
        <v>233</v>
      </c>
      <c r="B10" s="510" t="s">
        <v>0</v>
      </c>
      <c r="C10" s="531" t="s">
        <v>20</v>
      </c>
      <c r="D10" s="532">
        <v>0</v>
      </c>
      <c r="E10" s="532">
        <v>0</v>
      </c>
      <c r="F10" s="532">
        <v>0</v>
      </c>
      <c r="G10" s="533"/>
      <c r="H10" s="532"/>
      <c r="I10" s="532"/>
      <c r="J10" s="533">
        <v>0</v>
      </c>
      <c r="K10" s="532">
        <v>0</v>
      </c>
      <c r="L10" s="534">
        <v>0</v>
      </c>
      <c r="M10" s="533">
        <v>0</v>
      </c>
      <c r="N10" s="534">
        <v>0</v>
      </c>
      <c r="O10" s="533">
        <v>0</v>
      </c>
      <c r="P10" s="532">
        <v>0</v>
      </c>
      <c r="Q10" s="534">
        <v>0</v>
      </c>
      <c r="R10" s="533">
        <v>0</v>
      </c>
      <c r="S10" s="534">
        <v>0</v>
      </c>
      <c r="T10" s="510"/>
      <c r="U10" s="510"/>
      <c r="V10" s="510"/>
      <c r="W10" s="510"/>
      <c r="X10" s="510"/>
      <c r="Y10" s="510"/>
      <c r="Z10" s="510"/>
      <c r="AA10" s="510"/>
      <c r="AB10" s="510"/>
      <c r="AC10" s="510"/>
      <c r="AD10" s="510"/>
      <c r="AE10" s="510"/>
      <c r="AF10" s="510"/>
      <c r="AG10" s="510"/>
      <c r="AH10" s="510"/>
      <c r="AI10" s="510"/>
      <c r="AJ10" s="510"/>
      <c r="AK10" s="510"/>
      <c r="AL10" s="510"/>
      <c r="AM10" s="510"/>
      <c r="AN10" s="510"/>
    </row>
    <row r="11" spans="1:40" ht="20.25" hidden="1" customHeight="1">
      <c r="A11" s="523" t="s">
        <v>233</v>
      </c>
      <c r="B11" s="510" t="s">
        <v>0</v>
      </c>
      <c r="C11" s="531" t="s">
        <v>20</v>
      </c>
      <c r="D11" s="532">
        <v>0</v>
      </c>
      <c r="E11" s="532">
        <v>0</v>
      </c>
      <c r="F11" s="532">
        <v>0</v>
      </c>
      <c r="G11" s="533"/>
      <c r="H11" s="532"/>
      <c r="I11" s="532"/>
      <c r="J11" s="533">
        <v>0</v>
      </c>
      <c r="K11" s="532">
        <v>0</v>
      </c>
      <c r="L11" s="534">
        <v>0</v>
      </c>
      <c r="M11" s="533">
        <v>0</v>
      </c>
      <c r="N11" s="534">
        <v>0</v>
      </c>
      <c r="O11" s="533">
        <v>0</v>
      </c>
      <c r="P11" s="532">
        <v>0</v>
      </c>
      <c r="Q11" s="534">
        <v>0</v>
      </c>
      <c r="R11" s="533">
        <v>0</v>
      </c>
      <c r="S11" s="534">
        <v>0</v>
      </c>
      <c r="T11" s="510"/>
      <c r="U11" s="510"/>
      <c r="V11" s="510"/>
      <c r="W11" s="510"/>
      <c r="X11" s="510"/>
      <c r="Y11" s="510"/>
      <c r="Z11" s="510"/>
      <c r="AA11" s="510"/>
      <c r="AB11" s="510"/>
      <c r="AC11" s="510"/>
      <c r="AD11" s="510"/>
      <c r="AE11" s="510"/>
      <c r="AF11" s="510"/>
      <c r="AG11" s="510"/>
      <c r="AH11" s="510"/>
      <c r="AI11" s="510"/>
      <c r="AJ11" s="510"/>
      <c r="AK11" s="510"/>
      <c r="AL11" s="510"/>
      <c r="AM11" s="510"/>
      <c r="AN11" s="510"/>
    </row>
    <row r="12" spans="1:40" ht="20.25" hidden="1" customHeight="1">
      <c r="A12" s="523" t="s">
        <v>233</v>
      </c>
      <c r="B12" s="510" t="s">
        <v>0</v>
      </c>
      <c r="C12" s="531" t="s">
        <v>20</v>
      </c>
      <c r="D12" s="532">
        <v>0</v>
      </c>
      <c r="E12" s="532">
        <v>0</v>
      </c>
      <c r="F12" s="532">
        <v>0</v>
      </c>
      <c r="G12" s="533"/>
      <c r="H12" s="532"/>
      <c r="I12" s="532"/>
      <c r="J12" s="533">
        <v>0</v>
      </c>
      <c r="K12" s="532">
        <v>0</v>
      </c>
      <c r="L12" s="534">
        <v>0</v>
      </c>
      <c r="M12" s="533">
        <v>0</v>
      </c>
      <c r="N12" s="534">
        <v>0</v>
      </c>
      <c r="O12" s="533">
        <v>0</v>
      </c>
      <c r="P12" s="532">
        <v>0</v>
      </c>
      <c r="Q12" s="534">
        <v>0</v>
      </c>
      <c r="R12" s="533">
        <v>0</v>
      </c>
      <c r="S12" s="534">
        <v>0</v>
      </c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0"/>
      <c r="AE12" s="510"/>
      <c r="AF12" s="510"/>
      <c r="AG12" s="510"/>
      <c r="AH12" s="510"/>
      <c r="AI12" s="510"/>
      <c r="AJ12" s="510"/>
      <c r="AK12" s="510"/>
      <c r="AL12" s="510"/>
      <c r="AM12" s="510"/>
      <c r="AN12" s="510"/>
    </row>
    <row r="13" spans="1:40" ht="21">
      <c r="A13" s="523" t="s">
        <v>234</v>
      </c>
      <c r="B13" s="510" t="s">
        <v>0</v>
      </c>
      <c r="C13" s="537" t="s">
        <v>21</v>
      </c>
      <c r="D13" s="538">
        <v>31</v>
      </c>
      <c r="E13" s="538">
        <v>2724.0386767641471</v>
      </c>
      <c r="F13" s="539">
        <v>84445.198979688561</v>
      </c>
      <c r="G13" s="540"/>
      <c r="H13" s="538"/>
      <c r="I13" s="539"/>
      <c r="J13" s="540">
        <v>30</v>
      </c>
      <c r="K13" s="538">
        <v>1829.9500000000003</v>
      </c>
      <c r="L13" s="539">
        <v>54898.500000000007</v>
      </c>
      <c r="M13" s="540">
        <v>-1</v>
      </c>
      <c r="N13" s="539">
        <v>-29546.698979688554</v>
      </c>
      <c r="O13" s="540">
        <v>51</v>
      </c>
      <c r="P13" s="538">
        <v>2310.1327450980352</v>
      </c>
      <c r="Q13" s="539">
        <v>117816.76999999979</v>
      </c>
      <c r="R13" s="540">
        <v>-21</v>
      </c>
      <c r="S13" s="539">
        <v>-62918.269999999786</v>
      </c>
      <c r="T13" s="510"/>
      <c r="U13" s="510"/>
      <c r="V13" s="510"/>
      <c r="W13" s="510"/>
      <c r="X13" s="510"/>
      <c r="Y13" s="510"/>
      <c r="Z13" s="510"/>
      <c r="AA13" s="510"/>
      <c r="AB13" s="510"/>
      <c r="AC13" s="510"/>
      <c r="AD13" s="510"/>
      <c r="AE13" s="510"/>
      <c r="AF13" s="510"/>
      <c r="AG13" s="510"/>
      <c r="AH13" s="510"/>
      <c r="AI13" s="510"/>
      <c r="AJ13" s="510"/>
      <c r="AK13" s="510"/>
      <c r="AL13" s="510"/>
      <c r="AM13" s="510"/>
      <c r="AN13" s="510"/>
    </row>
    <row r="14" spans="1:40" ht="20.399999999999999">
      <c r="A14" s="523" t="s">
        <v>0</v>
      </c>
      <c r="B14" s="510" t="s">
        <v>0</v>
      </c>
      <c r="C14" s="531"/>
      <c r="D14" s="510"/>
      <c r="E14" s="532"/>
      <c r="F14" s="541"/>
      <c r="G14" s="531"/>
      <c r="H14" s="532"/>
      <c r="I14" s="541"/>
      <c r="J14" s="531"/>
      <c r="K14" s="532"/>
      <c r="L14" s="541"/>
      <c r="M14" s="542">
        <v>-3.2258064516129031E-2</v>
      </c>
      <c r="N14" s="543">
        <v>-0.34989199311135927</v>
      </c>
      <c r="O14" s="531"/>
      <c r="P14" s="532"/>
      <c r="Q14" s="541"/>
      <c r="R14" s="542">
        <v>-0.41176470588235292</v>
      </c>
      <c r="S14" s="543">
        <v>-0.53403492558826637</v>
      </c>
      <c r="T14" s="510"/>
      <c r="U14" s="510"/>
      <c r="V14" s="510"/>
      <c r="W14" s="532"/>
      <c r="X14" s="532"/>
      <c r="Y14" s="510"/>
      <c r="Z14" s="510"/>
      <c r="AA14" s="510"/>
      <c r="AB14" s="510"/>
      <c r="AC14" s="510"/>
      <c r="AD14" s="510">
        <v>20</v>
      </c>
      <c r="AE14" s="510">
        <v>1000</v>
      </c>
      <c r="AF14" s="510">
        <v>20000</v>
      </c>
      <c r="AG14" s="510"/>
      <c r="AH14" s="510"/>
      <c r="AI14" s="510"/>
      <c r="AJ14" s="510"/>
      <c r="AK14" s="510"/>
      <c r="AL14" s="510"/>
      <c r="AM14" s="510"/>
      <c r="AN14" s="510"/>
    </row>
    <row r="15" spans="1:40" ht="21">
      <c r="A15" s="523" t="s">
        <v>235</v>
      </c>
      <c r="B15" s="510" t="s">
        <v>0</v>
      </c>
      <c r="C15" s="544" t="s">
        <v>22</v>
      </c>
      <c r="D15" s="528">
        <v>2.4500000000000002</v>
      </c>
      <c r="E15" s="528">
        <v>2535.1215876200376</v>
      </c>
      <c r="F15" s="526">
        <v>6211.0478896690929</v>
      </c>
      <c r="G15" s="545"/>
      <c r="H15" s="528"/>
      <c r="I15" s="526"/>
      <c r="J15" s="546">
        <v>4</v>
      </c>
      <c r="K15" s="547">
        <v>2295.8824999999997</v>
      </c>
      <c r="L15" s="547">
        <v>9183.5299999999988</v>
      </c>
      <c r="M15" s="545">
        <v>1.5499999999999998</v>
      </c>
      <c r="N15" s="526">
        <v>2972.4821103309059</v>
      </c>
      <c r="O15" s="546">
        <v>1</v>
      </c>
      <c r="P15" s="547">
        <v>1170.99</v>
      </c>
      <c r="Q15" s="547">
        <v>1170.99</v>
      </c>
      <c r="R15" s="545">
        <v>3</v>
      </c>
      <c r="S15" s="526">
        <v>8012.5399999999991</v>
      </c>
      <c r="T15" s="510"/>
      <c r="U15" s="523"/>
      <c r="V15" s="532"/>
      <c r="W15" s="510"/>
      <c r="X15" s="510"/>
      <c r="Y15" s="510"/>
      <c r="Z15" s="510"/>
      <c r="AA15" s="510"/>
      <c r="AB15" s="510"/>
      <c r="AC15" s="510"/>
      <c r="AD15" s="510">
        <v>25</v>
      </c>
      <c r="AE15" s="510">
        <v>800</v>
      </c>
      <c r="AF15" s="510">
        <v>20000</v>
      </c>
      <c r="AG15" s="510"/>
      <c r="AH15" s="510"/>
      <c r="AI15" s="510"/>
      <c r="AJ15" s="510"/>
      <c r="AK15" s="510"/>
      <c r="AL15" s="510"/>
      <c r="AM15" s="510"/>
      <c r="AN15" s="510"/>
    </row>
    <row r="16" spans="1:40" ht="21">
      <c r="A16" s="523" t="s">
        <v>0</v>
      </c>
      <c r="B16" s="510" t="s">
        <v>0</v>
      </c>
      <c r="C16" s="531"/>
      <c r="D16" s="510"/>
      <c r="E16" s="532"/>
      <c r="F16" s="541"/>
      <c r="G16" s="531"/>
      <c r="H16" s="532"/>
      <c r="I16" s="541"/>
      <c r="J16" s="531"/>
      <c r="K16" s="532"/>
      <c r="L16" s="534"/>
      <c r="M16" s="548"/>
      <c r="N16" s="549"/>
      <c r="O16" s="531"/>
      <c r="P16" s="532"/>
      <c r="Q16" s="534"/>
      <c r="R16" s="548"/>
      <c r="S16" s="549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0"/>
      <c r="AE16" s="510"/>
      <c r="AF16" s="510"/>
      <c r="AG16" s="510"/>
      <c r="AH16" s="510"/>
      <c r="AI16" s="510"/>
      <c r="AJ16" s="510"/>
      <c r="AK16" s="510"/>
      <c r="AL16" s="510"/>
      <c r="AM16" s="510"/>
      <c r="AN16" s="510"/>
    </row>
    <row r="17" spans="1:40" ht="21">
      <c r="A17" s="523" t="s">
        <v>236</v>
      </c>
      <c r="B17" s="510" t="s">
        <v>0</v>
      </c>
      <c r="C17" s="550" t="s">
        <v>23</v>
      </c>
      <c r="D17" s="532">
        <v>2.25</v>
      </c>
      <c r="E17" s="532">
        <v>2664.4640678584237</v>
      </c>
      <c r="F17" s="532">
        <v>5995.0441526814539</v>
      </c>
      <c r="G17" s="533"/>
      <c r="H17" s="532"/>
      <c r="I17" s="532"/>
      <c r="J17" s="545">
        <v>6</v>
      </c>
      <c r="K17" s="532">
        <v>1073.9650000000013</v>
      </c>
      <c r="L17" s="534">
        <v>6443.7900000000081</v>
      </c>
      <c r="M17" s="545">
        <v>3.75</v>
      </c>
      <c r="N17" s="534">
        <v>448.7458473185543</v>
      </c>
      <c r="O17" s="545">
        <v>0</v>
      </c>
      <c r="P17" s="532">
        <v>0</v>
      </c>
      <c r="Q17" s="534">
        <v>-722.15</v>
      </c>
      <c r="R17" s="533">
        <v>6</v>
      </c>
      <c r="S17" s="534">
        <v>7165.9400000000078</v>
      </c>
      <c r="T17" s="510"/>
      <c r="U17" s="507"/>
      <c r="V17" s="551"/>
      <c r="W17" s="510"/>
      <c r="X17" s="510"/>
      <c r="Y17" s="510"/>
      <c r="Z17" s="510"/>
      <c r="AA17" s="532"/>
      <c r="AB17" s="510"/>
      <c r="AC17" s="510"/>
      <c r="AD17" s="510"/>
      <c r="AE17" s="510"/>
      <c r="AF17" s="510"/>
      <c r="AG17" s="510"/>
      <c r="AH17" s="510"/>
      <c r="AI17" s="510"/>
      <c r="AJ17" s="510"/>
      <c r="AK17" s="510"/>
      <c r="AL17" s="510"/>
      <c r="AM17" s="510"/>
      <c r="AN17" s="510"/>
    </row>
    <row r="18" spans="1:40" ht="21">
      <c r="A18" s="523" t="s">
        <v>0</v>
      </c>
      <c r="B18" s="510" t="s">
        <v>0</v>
      </c>
      <c r="C18" s="537"/>
      <c r="D18" s="552"/>
      <c r="E18" s="552"/>
      <c r="F18" s="553"/>
      <c r="G18" s="554"/>
      <c r="H18" s="552"/>
      <c r="I18" s="553"/>
      <c r="J18" s="533"/>
      <c r="K18" s="552"/>
      <c r="L18" s="553"/>
      <c r="M18" s="533"/>
      <c r="N18" s="553"/>
      <c r="O18" s="533"/>
      <c r="P18" s="552"/>
      <c r="Q18" s="553"/>
      <c r="R18" s="554"/>
      <c r="S18" s="553"/>
      <c r="T18" s="510"/>
      <c r="U18" s="510"/>
      <c r="W18" s="510"/>
      <c r="X18" s="510"/>
      <c r="Y18" s="510"/>
      <c r="Z18" s="510"/>
      <c r="AA18" s="510"/>
      <c r="AB18" s="510"/>
      <c r="AC18" s="510"/>
      <c r="AD18" s="510"/>
      <c r="AE18" s="510"/>
      <c r="AF18" s="510"/>
      <c r="AG18" s="510"/>
      <c r="AH18" s="510"/>
      <c r="AI18" s="510"/>
      <c r="AJ18" s="510"/>
      <c r="AK18" s="510"/>
      <c r="AL18" s="510"/>
      <c r="AM18" s="510"/>
      <c r="AN18" s="510"/>
    </row>
    <row r="19" spans="1:40" ht="21">
      <c r="A19" s="523" t="s">
        <v>237</v>
      </c>
      <c r="B19" s="510" t="s">
        <v>0</v>
      </c>
      <c r="C19" s="544" t="s">
        <v>24</v>
      </c>
      <c r="D19" s="532">
        <v>0</v>
      </c>
      <c r="E19" s="532">
        <v>0</v>
      </c>
      <c r="F19" s="532">
        <v>4250</v>
      </c>
      <c r="G19" s="533"/>
      <c r="H19" s="532"/>
      <c r="I19" s="532"/>
      <c r="J19" s="545"/>
      <c r="K19" s="532"/>
      <c r="L19" s="534">
        <v>5949</v>
      </c>
      <c r="M19" s="533"/>
      <c r="N19" s="534">
        <v>1699</v>
      </c>
      <c r="O19" s="545"/>
      <c r="P19" s="532"/>
      <c r="Q19" s="534">
        <v>5419.6399999999803</v>
      </c>
      <c r="R19" s="533">
        <v>0</v>
      </c>
      <c r="S19" s="534">
        <v>529.36000000001968</v>
      </c>
      <c r="T19" s="510"/>
      <c r="W19" s="532"/>
      <c r="X19" s="555"/>
      <c r="Y19" s="510"/>
      <c r="Z19" s="510"/>
      <c r="AA19" s="510"/>
      <c r="AB19" s="510"/>
      <c r="AC19" s="510"/>
      <c r="AD19" s="510"/>
      <c r="AE19" s="510"/>
      <c r="AF19" s="510"/>
      <c r="AG19" s="510"/>
      <c r="AH19" s="510"/>
      <c r="AI19" s="510"/>
      <c r="AJ19" s="510"/>
      <c r="AK19" s="510"/>
      <c r="AL19" s="510"/>
      <c r="AM19" s="510"/>
      <c r="AN19" s="510"/>
    </row>
    <row r="20" spans="1:40" ht="21">
      <c r="A20" s="523" t="s">
        <v>0</v>
      </c>
      <c r="B20" s="510" t="s">
        <v>0</v>
      </c>
      <c r="C20" s="537"/>
      <c r="D20" s="552"/>
      <c r="E20" s="552"/>
      <c r="F20" s="553"/>
      <c r="G20" s="554"/>
      <c r="H20" s="552"/>
      <c r="I20" s="553"/>
      <c r="J20" s="533"/>
      <c r="K20" s="552"/>
      <c r="L20" s="553"/>
      <c r="M20" s="554"/>
      <c r="N20" s="553"/>
      <c r="O20" s="533"/>
      <c r="P20" s="552"/>
      <c r="Q20" s="553"/>
      <c r="R20" s="554"/>
      <c r="S20" s="553"/>
      <c r="T20" s="510"/>
      <c r="U20" s="510"/>
      <c r="W20" s="532"/>
      <c r="X20" s="555"/>
      <c r="Y20" s="510"/>
      <c r="Z20" s="510"/>
      <c r="AA20" s="510"/>
      <c r="AB20" s="510"/>
      <c r="AC20" s="510"/>
      <c r="AD20" s="510"/>
      <c r="AE20" s="510"/>
      <c r="AF20" s="510"/>
      <c r="AG20" s="510"/>
      <c r="AH20" s="510"/>
      <c r="AI20" s="510"/>
      <c r="AJ20" s="510"/>
      <c r="AK20" s="510"/>
      <c r="AL20" s="510"/>
      <c r="AM20" s="510"/>
      <c r="AN20" s="510"/>
    </row>
    <row r="21" spans="1:40" ht="15.75" customHeight="1">
      <c r="A21" s="523" t="s">
        <v>238</v>
      </c>
      <c r="B21" s="510" t="s">
        <v>0</v>
      </c>
      <c r="C21" s="531" t="s">
        <v>25</v>
      </c>
      <c r="D21" s="532">
        <v>0</v>
      </c>
      <c r="E21" s="532">
        <v>0</v>
      </c>
      <c r="F21" s="532">
        <v>6690.0000000000009</v>
      </c>
      <c r="G21" s="533"/>
      <c r="H21" s="532"/>
      <c r="I21" s="532"/>
      <c r="J21" s="533"/>
      <c r="K21" s="532">
        <v>37.907058823529411</v>
      </c>
      <c r="L21" s="534">
        <v>1288.8399999999999</v>
      </c>
      <c r="M21" s="533"/>
      <c r="N21" s="534">
        <v>-5401.1600000000008</v>
      </c>
      <c r="O21" s="533"/>
      <c r="P21" s="532"/>
      <c r="Q21" s="534">
        <v>3518.68</v>
      </c>
      <c r="R21" s="533">
        <v>-37.907058823529411</v>
      </c>
      <c r="S21" s="534">
        <v>-2229.84</v>
      </c>
      <c r="T21" s="510"/>
      <c r="U21" s="510"/>
      <c r="W21" s="510"/>
      <c r="X21" s="555"/>
      <c r="Y21" s="510"/>
      <c r="Z21" s="510"/>
      <c r="AA21" s="510"/>
      <c r="AB21" s="510"/>
      <c r="AC21" s="510"/>
      <c r="AD21" s="510"/>
      <c r="AE21" s="510"/>
      <c r="AF21" s="510"/>
      <c r="AG21" s="510"/>
      <c r="AH21" s="510"/>
      <c r="AI21" s="510"/>
      <c r="AJ21" s="510"/>
      <c r="AK21" s="510"/>
      <c r="AL21" s="510"/>
      <c r="AM21" s="510"/>
      <c r="AN21" s="510"/>
    </row>
    <row r="22" spans="1:40" ht="18" customHeight="1">
      <c r="A22" s="523" t="s">
        <v>239</v>
      </c>
      <c r="B22" s="510" t="s">
        <v>0</v>
      </c>
      <c r="C22" s="531" t="s">
        <v>26</v>
      </c>
      <c r="D22" s="532">
        <v>0</v>
      </c>
      <c r="E22" s="532">
        <v>0</v>
      </c>
      <c r="F22" s="532">
        <v>36126</v>
      </c>
      <c r="G22" s="533"/>
      <c r="H22" s="532"/>
      <c r="I22" s="532"/>
      <c r="J22" s="533"/>
      <c r="K22" s="532">
        <v>1309.9511764705881</v>
      </c>
      <c r="L22" s="534">
        <v>44538.34</v>
      </c>
      <c r="M22" s="533"/>
      <c r="N22" s="534">
        <v>8412.3399999999965</v>
      </c>
      <c r="O22" s="533"/>
      <c r="P22" s="532"/>
      <c r="Q22" s="534">
        <v>53594.75</v>
      </c>
      <c r="R22" s="533">
        <v>-1309.9511764705881</v>
      </c>
      <c r="S22" s="534">
        <v>-9056.4100000000035</v>
      </c>
      <c r="T22" s="510"/>
      <c r="U22" s="510"/>
      <c r="V22" s="510"/>
      <c r="W22" s="510"/>
      <c r="X22" s="510"/>
      <c r="Y22" s="510"/>
      <c r="Z22" s="510"/>
      <c r="AA22" s="510"/>
      <c r="AB22" s="510"/>
      <c r="AC22" s="510"/>
      <c r="AD22" s="510"/>
      <c r="AE22" s="510"/>
      <c r="AF22" s="510"/>
      <c r="AG22" s="510"/>
      <c r="AH22" s="510"/>
      <c r="AI22" s="510"/>
      <c r="AJ22" s="510"/>
      <c r="AK22" s="510"/>
      <c r="AL22" s="510"/>
      <c r="AM22" s="510"/>
      <c r="AN22" s="510"/>
    </row>
    <row r="23" spans="1:40" ht="19.5" customHeight="1">
      <c r="A23" s="523" t="s">
        <v>240</v>
      </c>
      <c r="B23" s="510" t="s">
        <v>0</v>
      </c>
      <c r="C23" s="531" t="s">
        <v>27</v>
      </c>
      <c r="D23" s="532">
        <v>0</v>
      </c>
      <c r="E23" s="532">
        <v>0</v>
      </c>
      <c r="F23" s="532">
        <v>669</v>
      </c>
      <c r="G23" s="533"/>
      <c r="H23" s="532"/>
      <c r="I23" s="532"/>
      <c r="J23" s="533"/>
      <c r="K23" s="532">
        <v>0</v>
      </c>
      <c r="L23" s="534">
        <v>0</v>
      </c>
      <c r="M23" s="545"/>
      <c r="N23" s="534">
        <v>-669</v>
      </c>
      <c r="O23" s="533"/>
      <c r="P23" s="532"/>
      <c r="Q23" s="534">
        <v>2460.25</v>
      </c>
      <c r="R23" s="533">
        <v>0</v>
      </c>
      <c r="S23" s="534">
        <v>-2460.25</v>
      </c>
      <c r="T23" s="510"/>
      <c r="U23" s="510"/>
      <c r="V23" s="510"/>
      <c r="W23" s="510"/>
      <c r="X23" s="510"/>
      <c r="Y23" s="510"/>
      <c r="Z23" s="510"/>
      <c r="AA23" s="510"/>
      <c r="AB23" s="510"/>
      <c r="AC23" s="510"/>
      <c r="AD23" s="510"/>
      <c r="AE23" s="510"/>
      <c r="AF23" s="510"/>
      <c r="AG23" s="510"/>
      <c r="AH23" s="510"/>
      <c r="AI23" s="510"/>
      <c r="AJ23" s="510"/>
      <c r="AK23" s="510"/>
      <c r="AL23" s="510"/>
      <c r="AM23" s="510"/>
      <c r="AN23" s="510"/>
    </row>
    <row r="24" spans="1:40" ht="18" customHeight="1">
      <c r="A24" s="523" t="s">
        <v>241</v>
      </c>
      <c r="B24" s="510" t="s">
        <v>0</v>
      </c>
      <c r="C24" s="537" t="s">
        <v>28</v>
      </c>
      <c r="D24" s="538">
        <v>33.450000000000003</v>
      </c>
      <c r="E24" s="538">
        <v>1300</v>
      </c>
      <c r="F24" s="539">
        <v>43485</v>
      </c>
      <c r="G24" s="540"/>
      <c r="H24" s="538"/>
      <c r="I24" s="539"/>
      <c r="J24" s="540">
        <v>34</v>
      </c>
      <c r="K24" s="538">
        <v>1347.8582352941175</v>
      </c>
      <c r="L24" s="539">
        <v>45827.179999999993</v>
      </c>
      <c r="M24" s="556">
        <v>0.54999999999999716</v>
      </c>
      <c r="N24" s="539">
        <v>2342.179999999993</v>
      </c>
      <c r="O24" s="540">
        <v>52</v>
      </c>
      <c r="P24" s="538">
        <v>1145.6476923076923</v>
      </c>
      <c r="Q24" s="539">
        <v>59573.68</v>
      </c>
      <c r="R24" s="554"/>
      <c r="S24" s="539">
        <v>-13746.500000000007</v>
      </c>
      <c r="T24" s="510"/>
      <c r="U24" s="510"/>
      <c r="V24" s="510"/>
      <c r="W24" s="510"/>
      <c r="X24" s="510"/>
      <c r="Y24" s="510"/>
      <c r="Z24" s="510"/>
      <c r="AA24" s="510"/>
      <c r="AB24" s="510"/>
      <c r="AC24" s="510"/>
      <c r="AD24" s="510"/>
      <c r="AE24" s="510"/>
      <c r="AF24" s="510"/>
      <c r="AG24" s="510"/>
      <c r="AH24" s="510"/>
      <c r="AI24" s="510"/>
      <c r="AJ24" s="510"/>
      <c r="AK24" s="510"/>
      <c r="AL24" s="510"/>
      <c r="AM24" s="510"/>
      <c r="AN24" s="510"/>
    </row>
    <row r="25" spans="1:40" ht="15.75" customHeight="1">
      <c r="A25" s="523" t="s">
        <v>0</v>
      </c>
      <c r="B25" s="510" t="s">
        <v>0</v>
      </c>
      <c r="C25" s="531"/>
      <c r="D25" s="510"/>
      <c r="E25" s="510"/>
      <c r="F25" s="557"/>
      <c r="G25" s="531"/>
      <c r="H25" s="510"/>
      <c r="I25" s="557"/>
      <c r="J25" s="531"/>
      <c r="K25" s="510"/>
      <c r="L25" s="557"/>
      <c r="M25" s="548"/>
      <c r="N25" s="549">
        <v>5.3861791422329379E-2</v>
      </c>
      <c r="O25" s="531"/>
      <c r="P25" s="510"/>
      <c r="Q25" s="557"/>
      <c r="R25" s="558"/>
      <c r="S25" s="549">
        <v>-0.23074787389330334</v>
      </c>
      <c r="T25" s="510"/>
      <c r="U25" s="510"/>
      <c r="V25" s="510"/>
      <c r="W25" s="510"/>
      <c r="X25" s="510"/>
      <c r="Y25" s="510"/>
      <c r="Z25" s="510"/>
      <c r="AA25" s="510"/>
      <c r="AB25" s="510"/>
      <c r="AC25" s="510"/>
      <c r="AD25" s="510"/>
      <c r="AE25" s="510"/>
      <c r="AF25" s="510"/>
      <c r="AG25" s="510"/>
      <c r="AH25" s="510"/>
      <c r="AI25" s="510"/>
      <c r="AJ25" s="510"/>
      <c r="AK25" s="510"/>
      <c r="AL25" s="510"/>
      <c r="AM25" s="510"/>
      <c r="AN25" s="510"/>
    </row>
    <row r="26" spans="1:40" ht="15.75" customHeight="1" thickBot="1">
      <c r="A26" s="523" t="s">
        <v>0</v>
      </c>
      <c r="B26" s="510" t="s">
        <v>0</v>
      </c>
      <c r="C26" s="531"/>
      <c r="D26" s="510"/>
      <c r="E26" s="510"/>
      <c r="F26" s="541"/>
      <c r="G26" s="531"/>
      <c r="H26" s="510"/>
      <c r="I26" s="541"/>
      <c r="J26" s="531"/>
      <c r="K26" s="510"/>
      <c r="L26" s="541"/>
      <c r="M26" s="531"/>
      <c r="N26" s="541"/>
      <c r="O26" s="531"/>
      <c r="P26" s="510"/>
      <c r="Q26" s="541"/>
      <c r="R26" s="531"/>
      <c r="S26" s="541"/>
      <c r="T26" s="510"/>
      <c r="U26" s="510"/>
      <c r="V26" s="510"/>
      <c r="W26" s="510"/>
      <c r="X26" s="510"/>
      <c r="Y26" s="510"/>
      <c r="Z26" s="510"/>
      <c r="AA26" s="510"/>
      <c r="AB26" s="510"/>
      <c r="AC26" s="510"/>
      <c r="AD26" s="510"/>
      <c r="AE26" s="510"/>
      <c r="AF26" s="510"/>
      <c r="AG26" s="510"/>
      <c r="AH26" s="510"/>
      <c r="AI26" s="510"/>
      <c r="AJ26" s="510"/>
      <c r="AK26" s="510"/>
      <c r="AL26" s="510"/>
      <c r="AM26" s="510"/>
      <c r="AN26" s="510"/>
    </row>
    <row r="27" spans="1:40" ht="18" customHeight="1" thickTop="1">
      <c r="A27" s="523" t="s">
        <v>242</v>
      </c>
      <c r="B27" s="510" t="s">
        <v>0</v>
      </c>
      <c r="C27" s="559" t="s">
        <v>29</v>
      </c>
      <c r="D27" s="560">
        <v>35.700000000000003</v>
      </c>
      <c r="E27" s="561">
        <v>4044.4339221859691</v>
      </c>
      <c r="F27" s="562">
        <v>144386.29102203911</v>
      </c>
      <c r="G27" s="563"/>
      <c r="H27" s="561"/>
      <c r="I27" s="562"/>
      <c r="J27" s="563">
        <v>40</v>
      </c>
      <c r="K27" s="561">
        <v>3057.55</v>
      </c>
      <c r="L27" s="562">
        <v>122302</v>
      </c>
      <c r="M27" s="563">
        <v>4.2999999999999972</v>
      </c>
      <c r="N27" s="562">
        <v>-22084.291022039106</v>
      </c>
      <c r="O27" s="563">
        <v>52</v>
      </c>
      <c r="P27" s="561">
        <v>3524.2101923076875</v>
      </c>
      <c r="Q27" s="562">
        <v>183258.92999999976</v>
      </c>
      <c r="R27" s="563">
        <v>-12</v>
      </c>
      <c r="S27" s="562">
        <v>-60956.92999999976</v>
      </c>
      <c r="T27" s="510"/>
      <c r="U27" s="510"/>
      <c r="V27" s="510"/>
      <c r="W27" s="510"/>
      <c r="X27" s="510"/>
      <c r="Y27" s="510"/>
      <c r="Z27" s="510"/>
      <c r="AA27" s="510"/>
      <c r="AB27" s="510"/>
      <c r="AC27" s="510"/>
      <c r="AD27" s="510"/>
      <c r="AE27" s="510"/>
      <c r="AF27" s="510"/>
      <c r="AG27" s="510"/>
      <c r="AH27" s="510"/>
      <c r="AI27" s="510"/>
      <c r="AJ27" s="510"/>
      <c r="AK27" s="510"/>
      <c r="AL27" s="510"/>
      <c r="AM27" s="510"/>
      <c r="AN27" s="510"/>
    </row>
    <row r="28" spans="1:40" ht="22.5" customHeight="1" thickBot="1">
      <c r="A28" s="523" t="s">
        <v>0</v>
      </c>
      <c r="B28" s="510" t="s">
        <v>0</v>
      </c>
      <c r="C28" s="564"/>
      <c r="D28" s="565"/>
      <c r="E28" s="565"/>
      <c r="F28" s="566"/>
      <c r="G28" s="564"/>
      <c r="H28" s="565"/>
      <c r="I28" s="566"/>
      <c r="J28" s="564"/>
      <c r="K28" s="567"/>
      <c r="L28" s="568">
        <v>0.84704717556136844</v>
      </c>
      <c r="M28" s="569">
        <v>0.12044817927170859</v>
      </c>
      <c r="N28" s="570">
        <v>-0.15295282443863151</v>
      </c>
      <c r="O28" s="564"/>
      <c r="P28" s="565"/>
      <c r="Q28" s="566"/>
      <c r="R28" s="569">
        <v>-0.23076923076923078</v>
      </c>
      <c r="S28" s="570">
        <v>-0.33262733772373243</v>
      </c>
      <c r="T28" s="510"/>
      <c r="U28" s="510"/>
      <c r="V28" s="510"/>
      <c r="W28" s="510"/>
      <c r="X28" s="510"/>
      <c r="Y28" s="510"/>
      <c r="Z28" s="510"/>
      <c r="AA28" s="510"/>
      <c r="AB28" s="510"/>
      <c r="AC28" s="510"/>
      <c r="AD28" s="510"/>
      <c r="AE28" s="510"/>
      <c r="AF28" s="510"/>
      <c r="AG28" s="510"/>
      <c r="AH28" s="510"/>
      <c r="AI28" s="510"/>
      <c r="AJ28" s="510"/>
      <c r="AK28" s="510"/>
      <c r="AL28" s="510"/>
      <c r="AM28" s="510"/>
      <c r="AN28" s="510"/>
    </row>
    <row r="29" spans="1:40" ht="15.75" customHeight="1" thickTop="1">
      <c r="A29" s="523" t="s">
        <v>0</v>
      </c>
      <c r="B29" s="510" t="s">
        <v>0</v>
      </c>
      <c r="C29" s="550"/>
      <c r="D29" s="571"/>
      <c r="E29" s="571"/>
      <c r="F29" s="572"/>
      <c r="G29" s="550"/>
      <c r="H29" s="571"/>
      <c r="I29" s="572"/>
      <c r="J29" s="550"/>
      <c r="K29" s="571"/>
      <c r="L29" s="572"/>
      <c r="M29" s="548"/>
      <c r="N29" s="549"/>
      <c r="O29" s="550"/>
      <c r="P29" s="571"/>
      <c r="Q29" s="572"/>
      <c r="R29" s="548"/>
      <c r="S29" s="549"/>
      <c r="T29" s="510"/>
      <c r="U29" s="573"/>
      <c r="V29" s="510"/>
      <c r="W29" s="510"/>
      <c r="X29" s="510"/>
      <c r="Y29" s="510"/>
      <c r="Z29" s="510"/>
      <c r="AA29" s="510"/>
      <c r="AB29" s="510"/>
      <c r="AC29" s="510"/>
      <c r="AD29" s="510"/>
      <c r="AE29" s="510"/>
      <c r="AF29" s="510"/>
      <c r="AG29" s="510"/>
      <c r="AH29" s="510"/>
      <c r="AI29" s="510"/>
      <c r="AJ29" s="510"/>
      <c r="AK29" s="510"/>
      <c r="AL29" s="510"/>
      <c r="AM29" s="510"/>
      <c r="AN29" s="510"/>
    </row>
    <row r="30" spans="1:40" ht="15.75" customHeight="1">
      <c r="A30" s="523" t="s">
        <v>243</v>
      </c>
      <c r="B30" s="510" t="s">
        <v>0</v>
      </c>
      <c r="C30" s="574" t="s">
        <v>30</v>
      </c>
      <c r="D30" s="510"/>
      <c r="E30" s="575"/>
      <c r="F30" s="557"/>
      <c r="G30" s="531"/>
      <c r="H30" s="575"/>
      <c r="I30" s="557"/>
      <c r="J30" s="531"/>
      <c r="K30" s="575"/>
      <c r="L30" s="541"/>
      <c r="M30" s="531"/>
      <c r="N30" s="541"/>
      <c r="O30" s="531"/>
      <c r="P30" s="575"/>
      <c r="Q30" s="541"/>
      <c r="R30" s="531"/>
      <c r="S30" s="541"/>
      <c r="T30" s="510"/>
      <c r="U30" s="510"/>
      <c r="V30" s="510"/>
      <c r="W30" s="510"/>
      <c r="X30" s="510"/>
      <c r="Y30" s="510"/>
      <c r="Z30" s="510"/>
      <c r="AA30" s="510"/>
      <c r="AB30" s="510"/>
      <c r="AC30" s="510"/>
      <c r="AD30" s="510"/>
      <c r="AE30" s="510"/>
      <c r="AF30" s="510"/>
      <c r="AG30" s="510"/>
      <c r="AH30" s="510"/>
      <c r="AI30" s="510"/>
      <c r="AJ30" s="510"/>
      <c r="AK30" s="510"/>
      <c r="AL30" s="510"/>
      <c r="AM30" s="510"/>
      <c r="AN30" s="510"/>
    </row>
    <row r="31" spans="1:40" ht="15.75" customHeight="1">
      <c r="A31" s="523" t="s">
        <v>244</v>
      </c>
      <c r="B31" s="510" t="s">
        <v>0</v>
      </c>
      <c r="C31" s="531" t="s">
        <v>31</v>
      </c>
      <c r="D31" s="576">
        <v>0.34</v>
      </c>
      <c r="E31" s="573">
        <v>921.46857804429294</v>
      </c>
      <c r="F31" s="532">
        <v>30823.123935581603</v>
      </c>
      <c r="G31" s="577"/>
      <c r="H31" s="573"/>
      <c r="I31" s="532"/>
      <c r="J31" s="577">
        <v>0.33063295116597008</v>
      </c>
      <c r="K31" s="573">
        <v>685.82823529411769</v>
      </c>
      <c r="L31" s="532">
        <v>23318.16</v>
      </c>
      <c r="M31" s="531"/>
      <c r="N31" s="557">
        <v>-7504.9639355816034</v>
      </c>
      <c r="O31" s="578">
        <v>0.28756677448330126</v>
      </c>
      <c r="P31" s="573">
        <v>654.02423076923083</v>
      </c>
      <c r="Q31" s="534">
        <v>34009.26</v>
      </c>
      <c r="R31" s="531"/>
      <c r="S31" s="557">
        <v>-10691.100000000002</v>
      </c>
      <c r="T31" s="510"/>
      <c r="U31" s="510"/>
      <c r="V31" s="510"/>
      <c r="W31" s="510"/>
      <c r="X31" s="510"/>
      <c r="Y31" s="510"/>
      <c r="Z31" s="510"/>
      <c r="AA31" s="510"/>
      <c r="AB31" s="510"/>
      <c r="AC31" s="510"/>
      <c r="AD31" s="510"/>
      <c r="AE31" s="510"/>
      <c r="AF31" s="510"/>
      <c r="AG31" s="510"/>
      <c r="AH31" s="510"/>
      <c r="AI31" s="510"/>
      <c r="AJ31" s="510"/>
      <c r="AK31" s="510"/>
      <c r="AL31" s="510"/>
      <c r="AM31" s="510"/>
      <c r="AN31" s="510"/>
    </row>
    <row r="32" spans="1:40" ht="15.75" customHeight="1">
      <c r="A32" s="523" t="s">
        <v>245</v>
      </c>
      <c r="B32" s="510" t="s">
        <v>0</v>
      </c>
      <c r="C32" s="524" t="s">
        <v>32</v>
      </c>
      <c r="D32" s="579">
        <v>0.3</v>
      </c>
      <c r="E32" s="580">
        <v>389.99999999999994</v>
      </c>
      <c r="F32" s="526">
        <v>13045.5</v>
      </c>
      <c r="G32" s="581"/>
      <c r="H32" s="580"/>
      <c r="I32" s="526"/>
      <c r="J32" s="581">
        <v>0.30000885937122906</v>
      </c>
      <c r="K32" s="580">
        <v>404.36941176470589</v>
      </c>
      <c r="L32" s="526">
        <v>13748.56</v>
      </c>
      <c r="M32" s="524"/>
      <c r="N32" s="582">
        <v>703.05999999999949</v>
      </c>
      <c r="O32" s="583">
        <v>0.29983895572675717</v>
      </c>
      <c r="P32" s="580">
        <v>343.50980769230767</v>
      </c>
      <c r="Q32" s="526">
        <v>17862.509999999998</v>
      </c>
      <c r="R32" s="524"/>
      <c r="S32" s="582">
        <v>-4113.9499999999989</v>
      </c>
      <c r="T32" s="510"/>
      <c r="Z32" s="510"/>
      <c r="AA32" s="510"/>
      <c r="AB32" s="510"/>
      <c r="AC32" s="510"/>
      <c r="AD32" s="510"/>
      <c r="AE32" s="510"/>
      <c r="AF32" s="510"/>
      <c r="AG32" s="510"/>
      <c r="AH32" s="510"/>
      <c r="AI32" s="510"/>
      <c r="AJ32" s="510"/>
      <c r="AK32" s="510"/>
      <c r="AL32" s="510"/>
      <c r="AM32" s="510"/>
      <c r="AN32" s="510"/>
    </row>
    <row r="33" spans="1:40" ht="15.75" customHeight="1">
      <c r="A33" s="523" t="s">
        <v>246</v>
      </c>
      <c r="B33" s="510" t="s">
        <v>0</v>
      </c>
      <c r="C33" s="531" t="s">
        <v>33</v>
      </c>
      <c r="D33" s="584"/>
      <c r="E33" s="573">
        <v>115</v>
      </c>
      <c r="F33" s="532">
        <v>3846.7500000000005</v>
      </c>
      <c r="G33" s="585"/>
      <c r="H33" s="573"/>
      <c r="I33" s="532"/>
      <c r="J33" s="531"/>
      <c r="K33" s="573">
        <v>76.159117647058821</v>
      </c>
      <c r="L33" s="532">
        <v>2589.41</v>
      </c>
      <c r="M33" s="531"/>
      <c r="N33" s="557">
        <v>-1257.3400000000006</v>
      </c>
      <c r="O33" s="531"/>
      <c r="P33" s="573">
        <v>190.04019230769231</v>
      </c>
      <c r="Q33" s="534">
        <v>9882.09</v>
      </c>
      <c r="R33" s="531"/>
      <c r="S33" s="557">
        <v>-7292.68</v>
      </c>
      <c r="T33" s="510"/>
      <c r="U33" s="586"/>
      <c r="Z33" s="510"/>
      <c r="AA33" s="510"/>
      <c r="AB33" s="510"/>
      <c r="AC33" s="510"/>
      <c r="AD33" s="510"/>
      <c r="AE33" s="510"/>
      <c r="AF33" s="510"/>
      <c r="AG33" s="510"/>
      <c r="AH33" s="510"/>
      <c r="AI33" s="510"/>
      <c r="AJ33" s="510"/>
      <c r="AK33" s="510"/>
      <c r="AL33" s="510"/>
      <c r="AM33" s="510"/>
      <c r="AN33" s="510"/>
    </row>
    <row r="34" spans="1:40" ht="15.75" customHeight="1">
      <c r="A34" s="523" t="s">
        <v>247</v>
      </c>
      <c r="B34" s="510" t="s">
        <v>0</v>
      </c>
      <c r="C34" s="531" t="s">
        <v>34</v>
      </c>
      <c r="D34" s="584"/>
      <c r="E34" s="573">
        <v>3</v>
      </c>
      <c r="F34" s="532">
        <v>100.35000000000001</v>
      </c>
      <c r="G34" s="585"/>
      <c r="H34" s="573"/>
      <c r="I34" s="532"/>
      <c r="J34" s="531"/>
      <c r="K34" s="573">
        <v>26.280588235294118</v>
      </c>
      <c r="L34" s="532">
        <v>893.54</v>
      </c>
      <c r="M34" s="531"/>
      <c r="N34" s="557">
        <v>793.18999999999994</v>
      </c>
      <c r="O34" s="531"/>
      <c r="P34" s="573">
        <v>28.626923076923074</v>
      </c>
      <c r="Q34" s="534">
        <v>1488.6</v>
      </c>
      <c r="R34" s="531"/>
      <c r="S34" s="557">
        <v>-595.05999999999995</v>
      </c>
      <c r="T34" s="510"/>
      <c r="Z34" s="510"/>
      <c r="AA34" s="510"/>
      <c r="AB34" s="510"/>
      <c r="AC34" s="510"/>
      <c r="AD34" s="510"/>
      <c r="AE34" s="510"/>
      <c r="AF34" s="510"/>
      <c r="AG34" s="510"/>
      <c r="AH34" s="510"/>
      <c r="AI34" s="510"/>
      <c r="AJ34" s="510"/>
      <c r="AK34" s="510"/>
      <c r="AL34" s="510"/>
      <c r="AM34" s="510"/>
      <c r="AN34" s="510"/>
    </row>
    <row r="35" spans="1:40" ht="15.75" customHeight="1">
      <c r="A35" s="523" t="s">
        <v>248</v>
      </c>
      <c r="B35" s="510" t="s">
        <v>0</v>
      </c>
      <c r="C35" s="524" t="s">
        <v>35</v>
      </c>
      <c r="D35" s="587"/>
      <c r="E35" s="580">
        <v>85.05</v>
      </c>
      <c r="F35" s="526">
        <v>2844.9225000000001</v>
      </c>
      <c r="G35" s="588"/>
      <c r="H35" s="580"/>
      <c r="I35" s="526"/>
      <c r="J35" s="524"/>
      <c r="K35" s="580">
        <v>99.538529411764699</v>
      </c>
      <c r="L35" s="526">
        <v>3384.31</v>
      </c>
      <c r="M35" s="524"/>
      <c r="N35" s="582">
        <v>539.38749999999982</v>
      </c>
      <c r="O35" s="524"/>
      <c r="P35" s="580">
        <v>73.23557692307692</v>
      </c>
      <c r="Q35" s="534">
        <v>3808.25</v>
      </c>
      <c r="R35" s="524"/>
      <c r="S35" s="582">
        <v>-423.94000000000005</v>
      </c>
      <c r="T35" s="510"/>
      <c r="Z35" s="510"/>
      <c r="AA35" s="510"/>
      <c r="AB35" s="510"/>
      <c r="AC35" s="510"/>
      <c r="AD35" s="510"/>
      <c r="AE35" s="510"/>
      <c r="AF35" s="510"/>
      <c r="AG35" s="510"/>
      <c r="AH35" s="510"/>
      <c r="AI35" s="510"/>
      <c r="AJ35" s="510"/>
      <c r="AK35" s="510"/>
      <c r="AL35" s="510"/>
      <c r="AM35" s="510"/>
      <c r="AN35" s="510"/>
    </row>
    <row r="36" spans="1:40" ht="15.75" customHeight="1">
      <c r="A36" s="523" t="s">
        <v>249</v>
      </c>
      <c r="B36" s="510" t="s">
        <v>0</v>
      </c>
      <c r="C36" s="531" t="s">
        <v>36</v>
      </c>
      <c r="D36" s="584"/>
      <c r="E36" s="573">
        <v>191.06128550074737</v>
      </c>
      <c r="F36" s="532">
        <v>6391</v>
      </c>
      <c r="G36" s="585"/>
      <c r="H36" s="573"/>
      <c r="I36" s="532"/>
      <c r="J36" s="531"/>
      <c r="K36" s="573">
        <v>316.01029411764699</v>
      </c>
      <c r="L36" s="589">
        <v>10744.349999999999</v>
      </c>
      <c r="M36" s="510"/>
      <c r="N36" s="557">
        <v>4353.3499999999985</v>
      </c>
      <c r="O36" s="531"/>
      <c r="P36" s="573">
        <v>146.97711538461519</v>
      </c>
      <c r="Q36" s="553">
        <v>7642.8099999999904</v>
      </c>
      <c r="R36" s="531"/>
      <c r="S36" s="557">
        <v>3101.5400000000081</v>
      </c>
      <c r="T36" s="510"/>
      <c r="U36" s="523"/>
      <c r="Z36" s="510"/>
      <c r="AA36" s="510"/>
      <c r="AB36" s="510"/>
      <c r="AC36" s="510"/>
      <c r="AD36" s="510"/>
      <c r="AE36" s="510"/>
      <c r="AF36" s="510"/>
      <c r="AG36" s="510"/>
      <c r="AH36" s="510"/>
      <c r="AI36" s="510"/>
      <c r="AJ36" s="510"/>
      <c r="AK36" s="510"/>
      <c r="AL36" s="510"/>
      <c r="AM36" s="510"/>
      <c r="AN36" s="510"/>
    </row>
    <row r="37" spans="1:40" ht="15.75" customHeight="1">
      <c r="A37" s="523" t="s">
        <v>250</v>
      </c>
      <c r="B37" s="510" t="s">
        <v>0</v>
      </c>
      <c r="C37" s="531" t="s">
        <v>37</v>
      </c>
      <c r="D37" s="584"/>
      <c r="E37" s="573">
        <v>363.30354923542609</v>
      </c>
      <c r="F37" s="532">
        <v>12152.503721925004</v>
      </c>
      <c r="G37" s="585"/>
      <c r="H37" s="573"/>
      <c r="I37" s="532"/>
      <c r="J37" s="531"/>
      <c r="K37" s="573">
        <v>-106.62588235294118</v>
      </c>
      <c r="L37" s="590">
        <v>-3625.28</v>
      </c>
      <c r="M37" s="510"/>
      <c r="N37" s="557">
        <v>-15777.783721925005</v>
      </c>
      <c r="O37" s="531"/>
      <c r="P37" s="573">
        <v>331.31557692307695</v>
      </c>
      <c r="Q37" s="534">
        <v>17228.41</v>
      </c>
      <c r="R37" s="531"/>
      <c r="S37" s="557">
        <v>-20853.689999999999</v>
      </c>
      <c r="T37" s="510"/>
      <c r="Z37" s="510"/>
      <c r="AA37" s="510"/>
      <c r="AB37" s="510"/>
      <c r="AC37" s="510"/>
      <c r="AD37" s="510"/>
      <c r="AE37" s="510"/>
      <c r="AF37" s="510"/>
      <c r="AG37" s="510"/>
      <c r="AH37" s="510"/>
      <c r="AI37" s="510"/>
      <c r="AJ37" s="510"/>
      <c r="AK37" s="510"/>
      <c r="AL37" s="510"/>
      <c r="AM37" s="510"/>
      <c r="AN37" s="510"/>
    </row>
    <row r="38" spans="1:40" ht="15.75" hidden="1" customHeight="1">
      <c r="A38" s="523" t="s">
        <v>233</v>
      </c>
      <c r="B38" s="510" t="s">
        <v>0</v>
      </c>
      <c r="C38" s="531" t="s">
        <v>20</v>
      </c>
      <c r="D38" s="584"/>
      <c r="E38" s="573">
        <v>0</v>
      </c>
      <c r="F38" s="532">
        <v>0</v>
      </c>
      <c r="G38" s="585"/>
      <c r="H38" s="573"/>
      <c r="I38" s="532"/>
      <c r="J38" s="531"/>
      <c r="K38" s="573">
        <v>0</v>
      </c>
      <c r="L38" s="590">
        <v>0</v>
      </c>
      <c r="M38" s="510"/>
      <c r="N38" s="557">
        <v>0</v>
      </c>
      <c r="O38" s="531"/>
      <c r="P38" s="573">
        <v>0</v>
      </c>
      <c r="Q38" s="534">
        <v>0</v>
      </c>
      <c r="R38" s="531"/>
      <c r="S38" s="557">
        <v>0</v>
      </c>
      <c r="T38" s="510"/>
      <c r="U38" s="510"/>
      <c r="V38" s="510"/>
      <c r="W38" s="510"/>
      <c r="X38" s="510"/>
      <c r="Y38" s="510"/>
      <c r="Z38" s="510"/>
      <c r="AA38" s="510"/>
      <c r="AB38" s="510"/>
      <c r="AC38" s="510"/>
      <c r="AD38" s="510"/>
      <c r="AE38" s="510"/>
      <c r="AF38" s="510"/>
      <c r="AG38" s="510"/>
      <c r="AH38" s="510"/>
      <c r="AI38" s="510"/>
      <c r="AJ38" s="510"/>
      <c r="AK38" s="510"/>
      <c r="AL38" s="510"/>
      <c r="AM38" s="510"/>
      <c r="AN38" s="510"/>
    </row>
    <row r="39" spans="1:40" ht="15.75" hidden="1" customHeight="1">
      <c r="A39" s="523" t="s">
        <v>233</v>
      </c>
      <c r="B39" s="510" t="s">
        <v>0</v>
      </c>
      <c r="C39" s="531" t="s">
        <v>20</v>
      </c>
      <c r="D39" s="584"/>
      <c r="E39" s="573">
        <v>0</v>
      </c>
      <c r="F39" s="532">
        <v>0</v>
      </c>
      <c r="G39" s="585"/>
      <c r="H39" s="573"/>
      <c r="I39" s="532"/>
      <c r="J39" s="531"/>
      <c r="K39" s="573">
        <v>0</v>
      </c>
      <c r="L39" s="590">
        <v>0</v>
      </c>
      <c r="M39" s="510"/>
      <c r="N39" s="557">
        <v>0</v>
      </c>
      <c r="O39" s="531"/>
      <c r="P39" s="573">
        <v>0</v>
      </c>
      <c r="Q39" s="534">
        <v>0</v>
      </c>
      <c r="R39" s="531"/>
      <c r="S39" s="557">
        <v>0</v>
      </c>
      <c r="T39" s="510"/>
      <c r="U39" s="510"/>
      <c r="V39" s="510"/>
      <c r="W39" s="510"/>
      <c r="X39" s="510"/>
      <c r="Y39" s="510"/>
      <c r="Z39" s="510"/>
      <c r="AA39" s="510"/>
      <c r="AB39" s="510"/>
      <c r="AC39" s="510"/>
      <c r="AD39" s="510"/>
      <c r="AE39" s="510"/>
      <c r="AF39" s="510"/>
      <c r="AG39" s="510"/>
      <c r="AH39" s="510"/>
      <c r="AI39" s="510"/>
      <c r="AJ39" s="510"/>
      <c r="AK39" s="510"/>
      <c r="AL39" s="510"/>
      <c r="AM39" s="510"/>
      <c r="AN39" s="510"/>
    </row>
    <row r="40" spans="1:40" ht="15.75" hidden="1" customHeight="1">
      <c r="A40" s="523" t="s">
        <v>233</v>
      </c>
      <c r="B40" s="510" t="s">
        <v>0</v>
      </c>
      <c r="C40" s="531" t="s">
        <v>20</v>
      </c>
      <c r="D40" s="584"/>
      <c r="E40" s="573">
        <v>0</v>
      </c>
      <c r="F40" s="532">
        <v>0</v>
      </c>
      <c r="G40" s="585"/>
      <c r="H40" s="573"/>
      <c r="I40" s="532"/>
      <c r="J40" s="531"/>
      <c r="K40" s="573">
        <v>0</v>
      </c>
      <c r="L40" s="591">
        <v>0</v>
      </c>
      <c r="M40" s="510"/>
      <c r="N40" s="557">
        <v>0</v>
      </c>
      <c r="O40" s="531"/>
      <c r="P40" s="573">
        <v>0</v>
      </c>
      <c r="Q40" s="534">
        <v>0</v>
      </c>
      <c r="R40" s="531"/>
      <c r="S40" s="557">
        <v>0</v>
      </c>
      <c r="T40" s="510"/>
      <c r="U40" s="510"/>
      <c r="V40" s="510"/>
      <c r="W40" s="510"/>
      <c r="X40" s="510"/>
      <c r="Y40" s="510"/>
      <c r="Z40" s="510"/>
      <c r="AA40" s="510"/>
      <c r="AB40" s="510"/>
      <c r="AC40" s="510"/>
      <c r="AD40" s="510"/>
      <c r="AE40" s="510"/>
      <c r="AF40" s="510"/>
      <c r="AG40" s="510"/>
      <c r="AH40" s="510"/>
      <c r="AI40" s="510"/>
      <c r="AJ40" s="510"/>
      <c r="AK40" s="510"/>
      <c r="AL40" s="510"/>
      <c r="AM40" s="510"/>
      <c r="AN40" s="510"/>
    </row>
    <row r="41" spans="1:40" ht="15.75" customHeight="1">
      <c r="A41" s="523" t="s">
        <v>251</v>
      </c>
      <c r="B41" s="510" t="s">
        <v>0</v>
      </c>
      <c r="C41" s="592" t="s">
        <v>38</v>
      </c>
      <c r="D41" s="593" t="s">
        <v>39</v>
      </c>
      <c r="E41" s="594">
        <v>0.47929862085690178</v>
      </c>
      <c r="F41" s="595">
        <v>69204.150157506607</v>
      </c>
      <c r="G41" s="596"/>
      <c r="H41" s="594"/>
      <c r="I41" s="595"/>
      <c r="J41" s="596" t="s">
        <v>39</v>
      </c>
      <c r="K41" s="594">
        <v>0.4174343019738026</v>
      </c>
      <c r="L41" s="595">
        <v>51053.05</v>
      </c>
      <c r="M41" s="597"/>
      <c r="N41" s="595">
        <v>-18151.100157506604</v>
      </c>
      <c r="O41" s="596" t="s">
        <v>39</v>
      </c>
      <c r="P41" s="594">
        <v>0.50159591131520909</v>
      </c>
      <c r="Q41" s="598">
        <v>91921.93</v>
      </c>
      <c r="R41" s="599"/>
      <c r="S41" s="595">
        <v>-40868.87999999999</v>
      </c>
      <c r="T41" s="510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</row>
    <row r="42" spans="1:40" ht="15.75" customHeight="1">
      <c r="A42" s="523" t="s">
        <v>252</v>
      </c>
      <c r="B42" s="510" t="s">
        <v>0</v>
      </c>
      <c r="C42" s="600" t="s">
        <v>41</v>
      </c>
      <c r="D42" s="510"/>
      <c r="E42" s="510"/>
      <c r="F42" s="532">
        <v>18197.116666666669</v>
      </c>
      <c r="G42" s="531"/>
      <c r="H42" s="510"/>
      <c r="I42" s="532"/>
      <c r="J42" s="531"/>
      <c r="K42" s="510"/>
      <c r="L42" s="534">
        <v>6474.97</v>
      </c>
      <c r="M42" s="531"/>
      <c r="N42" s="557">
        <v>-11722.146666666667</v>
      </c>
      <c r="O42" s="531"/>
      <c r="P42" s="601">
        <v>6.1660242150273471E-2</v>
      </c>
      <c r="Q42" s="534">
        <v>11299.79</v>
      </c>
      <c r="R42" s="531"/>
      <c r="S42" s="557">
        <v>-4824.8200000000006</v>
      </c>
      <c r="T42" s="510"/>
      <c r="U42" s="510"/>
      <c r="V42" s="510"/>
      <c r="W42" s="510"/>
      <c r="X42" s="510"/>
      <c r="Y42" s="510"/>
      <c r="Z42" s="510"/>
      <c r="AA42" s="510"/>
      <c r="AB42" s="510"/>
      <c r="AC42" s="510"/>
      <c r="AD42" s="510"/>
      <c r="AE42" s="510"/>
      <c r="AF42" s="510"/>
      <c r="AG42" s="510"/>
      <c r="AH42" s="510"/>
      <c r="AI42" s="510"/>
      <c r="AJ42" s="510"/>
      <c r="AK42" s="510"/>
      <c r="AL42" s="510"/>
      <c r="AM42" s="510"/>
      <c r="AN42" s="510"/>
    </row>
    <row r="43" spans="1:40" ht="15.75" customHeight="1">
      <c r="A43" s="523" t="s">
        <v>253</v>
      </c>
      <c r="B43" s="510" t="s">
        <v>0</v>
      </c>
      <c r="C43" s="602" t="s">
        <v>42</v>
      </c>
      <c r="D43" s="584"/>
      <c r="E43" s="510"/>
      <c r="F43" s="526">
        <v>11267.511076923076</v>
      </c>
      <c r="G43" s="585"/>
      <c r="H43" s="510"/>
      <c r="I43" s="526"/>
      <c r="J43" s="531"/>
      <c r="K43" s="510"/>
      <c r="L43" s="534">
        <v>8412.6</v>
      </c>
      <c r="M43" s="531"/>
      <c r="N43" s="557">
        <v>-2854.9110769230756</v>
      </c>
      <c r="O43" s="531"/>
      <c r="P43" s="510"/>
      <c r="Q43" s="534">
        <v>11695.76</v>
      </c>
      <c r="R43" s="531"/>
      <c r="S43" s="557">
        <v>-3283.16</v>
      </c>
      <c r="T43" s="510"/>
      <c r="U43" s="510"/>
      <c r="V43" s="510"/>
      <c r="W43" s="510"/>
      <c r="X43" s="510"/>
      <c r="Y43" s="510"/>
      <c r="Z43" s="510"/>
      <c r="AA43" s="510"/>
      <c r="AB43" s="510"/>
      <c r="AC43" s="510"/>
      <c r="AD43" s="510"/>
      <c r="AE43" s="510"/>
      <c r="AF43" s="510"/>
      <c r="AG43" s="510"/>
      <c r="AH43" s="510"/>
      <c r="AI43" s="510"/>
      <c r="AJ43" s="510"/>
      <c r="AK43" s="510"/>
      <c r="AL43" s="510"/>
      <c r="AM43" s="510"/>
      <c r="AN43" s="510"/>
    </row>
    <row r="44" spans="1:40" ht="15.75" customHeight="1">
      <c r="A44" s="523" t="s">
        <v>254</v>
      </c>
      <c r="B44" s="510" t="s">
        <v>0</v>
      </c>
      <c r="C44" s="600" t="s">
        <v>43</v>
      </c>
      <c r="D44" s="603"/>
      <c r="E44" s="604"/>
      <c r="F44" s="532">
        <v>2664.3538461538465</v>
      </c>
      <c r="G44" s="605"/>
      <c r="H44" s="604"/>
      <c r="I44" s="532"/>
      <c r="J44" s="518"/>
      <c r="K44" s="604"/>
      <c r="L44" s="553">
        <v>2835.6</v>
      </c>
      <c r="M44" s="518"/>
      <c r="N44" s="606">
        <v>171.24615384615345</v>
      </c>
      <c r="O44" s="518"/>
      <c r="P44" s="604"/>
      <c r="Q44" s="553">
        <v>4792.96</v>
      </c>
      <c r="R44" s="518"/>
      <c r="S44" s="606">
        <v>-1957.3600000000001</v>
      </c>
      <c r="T44" s="510"/>
      <c r="U44" s="510"/>
      <c r="V44" s="510"/>
      <c r="W44" s="510"/>
      <c r="X44" s="510"/>
      <c r="Y44" s="510"/>
      <c r="Z44" s="510"/>
      <c r="AA44" s="510"/>
      <c r="AB44" s="510"/>
      <c r="AC44" s="510"/>
      <c r="AD44" s="510"/>
      <c r="AE44" s="510"/>
      <c r="AF44" s="510"/>
      <c r="AG44" s="510"/>
      <c r="AH44" s="510"/>
      <c r="AI44" s="510"/>
      <c r="AJ44" s="510"/>
      <c r="AK44" s="510"/>
      <c r="AL44" s="510"/>
      <c r="AM44" s="510"/>
      <c r="AN44" s="510"/>
    </row>
    <row r="45" spans="1:40" ht="15.75" customHeight="1">
      <c r="A45" s="523" t="s">
        <v>255</v>
      </c>
      <c r="B45" s="510" t="s">
        <v>0</v>
      </c>
      <c r="C45" s="600" t="s">
        <v>44</v>
      </c>
      <c r="D45" s="584"/>
      <c r="E45" s="510"/>
      <c r="F45" s="532">
        <v>0</v>
      </c>
      <c r="G45" s="585"/>
      <c r="H45" s="510"/>
      <c r="I45" s="532"/>
      <c r="J45" s="531"/>
      <c r="K45" s="510"/>
      <c r="L45" s="534">
        <v>0</v>
      </c>
      <c r="M45" s="531"/>
      <c r="N45" s="557">
        <v>0</v>
      </c>
      <c r="O45" s="531"/>
      <c r="P45" s="510"/>
      <c r="Q45" s="534">
        <v>0</v>
      </c>
      <c r="R45" s="531"/>
      <c r="S45" s="557">
        <v>0</v>
      </c>
      <c r="T45" s="510"/>
      <c r="U45" s="510"/>
      <c r="V45" s="510"/>
      <c r="W45" s="510"/>
      <c r="X45" s="510"/>
      <c r="Y45" s="510"/>
      <c r="Z45" s="510"/>
      <c r="AA45" s="510"/>
      <c r="AB45" s="510"/>
      <c r="AC45" s="510"/>
      <c r="AD45" s="510"/>
      <c r="AE45" s="510"/>
      <c r="AF45" s="510"/>
      <c r="AG45" s="510"/>
      <c r="AH45" s="510"/>
      <c r="AI45" s="510"/>
      <c r="AJ45" s="510"/>
      <c r="AK45" s="510"/>
      <c r="AL45" s="510"/>
      <c r="AM45" s="510"/>
      <c r="AN45" s="510"/>
    </row>
    <row r="46" spans="1:40" ht="15.75" hidden="1" customHeight="1">
      <c r="A46" s="523" t="s">
        <v>233</v>
      </c>
      <c r="B46" s="510" t="s">
        <v>0</v>
      </c>
      <c r="C46" s="600" t="s">
        <v>20</v>
      </c>
      <c r="D46" s="584"/>
      <c r="E46" s="510"/>
      <c r="F46" s="532">
        <v>0</v>
      </c>
      <c r="G46" s="585"/>
      <c r="H46" s="510"/>
      <c r="I46" s="532"/>
      <c r="J46" s="531"/>
      <c r="K46" s="510"/>
      <c r="L46" s="534">
        <v>0</v>
      </c>
      <c r="M46" s="531"/>
      <c r="N46" s="557">
        <v>0</v>
      </c>
      <c r="O46" s="531"/>
      <c r="P46" s="510"/>
      <c r="Q46" s="534">
        <v>0</v>
      </c>
      <c r="R46" s="531"/>
      <c r="S46" s="557">
        <v>0</v>
      </c>
      <c r="T46" s="510"/>
      <c r="U46" s="510"/>
      <c r="V46" s="510"/>
      <c r="W46" s="510"/>
      <c r="X46" s="510"/>
      <c r="Y46" s="510"/>
      <c r="Z46" s="510"/>
      <c r="AA46" s="510"/>
      <c r="AB46" s="510"/>
      <c r="AC46" s="510"/>
      <c r="AD46" s="510"/>
      <c r="AE46" s="510"/>
      <c r="AF46" s="510"/>
      <c r="AG46" s="510"/>
      <c r="AH46" s="510"/>
      <c r="AI46" s="510"/>
      <c r="AJ46" s="510"/>
      <c r="AK46" s="510"/>
      <c r="AL46" s="510"/>
      <c r="AM46" s="510"/>
      <c r="AN46" s="510"/>
    </row>
    <row r="47" spans="1:40" ht="15.75" hidden="1" customHeight="1">
      <c r="A47" s="523" t="s">
        <v>233</v>
      </c>
      <c r="B47" s="510" t="s">
        <v>0</v>
      </c>
      <c r="C47" s="600" t="s">
        <v>20</v>
      </c>
      <c r="D47" s="584"/>
      <c r="E47" s="510"/>
      <c r="F47" s="532">
        <v>0</v>
      </c>
      <c r="G47" s="585"/>
      <c r="H47" s="510"/>
      <c r="I47" s="532"/>
      <c r="J47" s="531"/>
      <c r="K47" s="510"/>
      <c r="L47" s="534">
        <v>0</v>
      </c>
      <c r="M47" s="531"/>
      <c r="N47" s="557">
        <v>0</v>
      </c>
      <c r="O47" s="531"/>
      <c r="P47" s="510"/>
      <c r="Q47" s="534">
        <v>0</v>
      </c>
      <c r="R47" s="531"/>
      <c r="S47" s="557">
        <v>0</v>
      </c>
      <c r="T47" s="510"/>
      <c r="U47" s="510"/>
      <c r="V47" s="510"/>
      <c r="W47" s="510"/>
      <c r="X47" s="510"/>
      <c r="Y47" s="510"/>
      <c r="Z47" s="510"/>
      <c r="AA47" s="510"/>
      <c r="AB47" s="510"/>
      <c r="AC47" s="510"/>
      <c r="AD47" s="510"/>
      <c r="AE47" s="510"/>
      <c r="AF47" s="510"/>
      <c r="AG47" s="510"/>
      <c r="AH47" s="510"/>
      <c r="AI47" s="510"/>
      <c r="AJ47" s="510"/>
      <c r="AK47" s="510"/>
      <c r="AL47" s="510"/>
      <c r="AM47" s="510"/>
      <c r="AN47" s="510"/>
    </row>
    <row r="48" spans="1:40" ht="15.75" hidden="1" customHeight="1">
      <c r="A48" s="523" t="s">
        <v>233</v>
      </c>
      <c r="B48" s="510" t="s">
        <v>0</v>
      </c>
      <c r="C48" s="600" t="s">
        <v>20</v>
      </c>
      <c r="D48" s="584"/>
      <c r="E48" s="510"/>
      <c r="F48" s="532">
        <v>0</v>
      </c>
      <c r="G48" s="585"/>
      <c r="H48" s="510"/>
      <c r="I48" s="532"/>
      <c r="J48" s="531"/>
      <c r="K48" s="510"/>
      <c r="L48" s="534">
        <v>0</v>
      </c>
      <c r="M48" s="531"/>
      <c r="N48" s="557">
        <v>0</v>
      </c>
      <c r="O48" s="531"/>
      <c r="P48" s="510"/>
      <c r="Q48" s="534">
        <v>0</v>
      </c>
      <c r="R48" s="531"/>
      <c r="S48" s="557">
        <v>0</v>
      </c>
      <c r="T48" s="510"/>
      <c r="U48" s="510"/>
      <c r="V48" s="510"/>
      <c r="W48" s="510"/>
      <c r="X48" s="510"/>
      <c r="Y48" s="510"/>
      <c r="Z48" s="510"/>
      <c r="AA48" s="510"/>
      <c r="AB48" s="510"/>
      <c r="AC48" s="510"/>
      <c r="AD48" s="510"/>
      <c r="AE48" s="510"/>
      <c r="AF48" s="510"/>
      <c r="AG48" s="510"/>
      <c r="AH48" s="510"/>
      <c r="AI48" s="510"/>
      <c r="AJ48" s="510"/>
      <c r="AK48" s="510"/>
      <c r="AL48" s="510"/>
      <c r="AM48" s="510"/>
      <c r="AN48" s="510"/>
    </row>
    <row r="49" spans="1:40" ht="15.75" customHeight="1">
      <c r="A49" s="523" t="s">
        <v>256</v>
      </c>
      <c r="B49" s="510" t="s">
        <v>0</v>
      </c>
      <c r="C49" s="602" t="s">
        <v>45</v>
      </c>
      <c r="D49" s="584"/>
      <c r="E49" s="510"/>
      <c r="F49" s="526">
        <v>8897.7483794231975</v>
      </c>
      <c r="G49" s="585"/>
      <c r="H49" s="510"/>
      <c r="I49" s="526"/>
      <c r="J49" s="531"/>
      <c r="K49" s="510"/>
      <c r="L49" s="526">
        <v>9362.32</v>
      </c>
      <c r="M49" s="531"/>
      <c r="N49" s="557">
        <v>464.57162057680216</v>
      </c>
      <c r="O49" s="531"/>
      <c r="P49" s="510"/>
      <c r="Q49" s="526">
        <v>9556.9500000000007</v>
      </c>
      <c r="R49" s="531"/>
      <c r="S49" s="557">
        <v>-194.63000000000102</v>
      </c>
      <c r="T49" s="510"/>
      <c r="U49" s="510"/>
      <c r="V49" s="510"/>
      <c r="W49" s="510"/>
      <c r="X49" s="507"/>
      <c r="Y49" s="510"/>
      <c r="Z49" s="510"/>
      <c r="AA49" s="510"/>
      <c r="AB49" s="510"/>
      <c r="AC49" s="510"/>
      <c r="AD49" s="510"/>
      <c r="AE49" s="510"/>
      <c r="AF49" s="510"/>
      <c r="AG49" s="510"/>
      <c r="AH49" s="510"/>
      <c r="AI49" s="510"/>
      <c r="AJ49" s="510"/>
      <c r="AK49" s="510"/>
      <c r="AL49" s="510"/>
      <c r="AM49" s="510"/>
      <c r="AN49" s="510"/>
    </row>
    <row r="50" spans="1:40" ht="15.75" customHeight="1">
      <c r="A50" s="523" t="s">
        <v>257</v>
      </c>
      <c r="B50" s="510" t="s">
        <v>0</v>
      </c>
      <c r="C50" s="600" t="s">
        <v>46</v>
      </c>
      <c r="D50" s="603"/>
      <c r="E50" s="604"/>
      <c r="F50" s="532">
        <v>10818.407721237016</v>
      </c>
      <c r="G50" s="605"/>
      <c r="H50" s="604"/>
      <c r="I50" s="532"/>
      <c r="J50" s="518"/>
      <c r="K50" s="604"/>
      <c r="L50" s="534">
        <v>11260.94</v>
      </c>
      <c r="M50" s="518"/>
      <c r="N50" s="606">
        <v>442.53227876298479</v>
      </c>
      <c r="O50" s="518"/>
      <c r="P50" s="604"/>
      <c r="Q50" s="534">
        <v>11412.5</v>
      </c>
      <c r="R50" s="518"/>
      <c r="S50" s="606">
        <v>-151.55999999999949</v>
      </c>
      <c r="T50" s="510"/>
      <c r="U50" s="510"/>
      <c r="V50" s="510"/>
      <c r="W50" s="510"/>
      <c r="X50" s="507"/>
      <c r="Y50" s="510"/>
      <c r="Z50" s="510"/>
      <c r="AA50" s="510"/>
      <c r="AB50" s="510"/>
      <c r="AC50" s="510"/>
      <c r="AD50" s="510"/>
      <c r="AE50" s="510"/>
      <c r="AF50" s="510"/>
      <c r="AG50" s="510"/>
      <c r="AH50" s="510"/>
      <c r="AI50" s="510"/>
      <c r="AJ50" s="510"/>
      <c r="AK50" s="510"/>
      <c r="AL50" s="510"/>
      <c r="AM50" s="510"/>
      <c r="AN50" s="510"/>
    </row>
    <row r="51" spans="1:40" ht="15.75" customHeight="1">
      <c r="A51" s="523" t="s">
        <v>258</v>
      </c>
      <c r="B51" s="510" t="s">
        <v>0</v>
      </c>
      <c r="C51" s="600" t="s">
        <v>47</v>
      </c>
      <c r="D51" s="584"/>
      <c r="E51" s="510"/>
      <c r="F51" s="532">
        <v>5573.8318042025494</v>
      </c>
      <c r="G51" s="585"/>
      <c r="H51" s="510"/>
      <c r="I51" s="532"/>
      <c r="J51" s="531"/>
      <c r="K51" s="510"/>
      <c r="L51" s="534">
        <v>4182.3999999999996</v>
      </c>
      <c r="M51" s="531"/>
      <c r="N51" s="557">
        <v>-1391.4318042025498</v>
      </c>
      <c r="O51" s="531"/>
      <c r="P51" s="510"/>
      <c r="Q51" s="534">
        <v>4144.46</v>
      </c>
      <c r="R51" s="531"/>
      <c r="S51" s="557">
        <v>37.9399999999996</v>
      </c>
      <c r="T51" s="510"/>
      <c r="U51" s="510"/>
      <c r="V51" s="510"/>
      <c r="W51" s="510"/>
      <c r="X51" s="507"/>
      <c r="Y51" s="510"/>
      <c r="Z51" s="510"/>
      <c r="AA51" s="510"/>
      <c r="AB51" s="510"/>
      <c r="AC51" s="510"/>
      <c r="AD51" s="510"/>
      <c r="AE51" s="510"/>
      <c r="AF51" s="510"/>
      <c r="AG51" s="510"/>
      <c r="AH51" s="510"/>
      <c r="AI51" s="510"/>
      <c r="AJ51" s="510"/>
      <c r="AK51" s="510"/>
      <c r="AL51" s="510"/>
      <c r="AM51" s="510"/>
      <c r="AN51" s="510"/>
    </row>
    <row r="52" spans="1:40" ht="15.75" customHeight="1">
      <c r="A52" s="523" t="s">
        <v>259</v>
      </c>
      <c r="B52" s="510" t="s">
        <v>0</v>
      </c>
      <c r="C52" s="600" t="s">
        <v>48</v>
      </c>
      <c r="D52" s="584"/>
      <c r="E52" s="510"/>
      <c r="F52" s="532">
        <v>2430.2220243358515</v>
      </c>
      <c r="G52" s="585"/>
      <c r="H52" s="510"/>
      <c r="I52" s="532"/>
      <c r="J52" s="531"/>
      <c r="K52" s="510"/>
      <c r="L52" s="534">
        <v>2840.64</v>
      </c>
      <c r="M52" s="531"/>
      <c r="N52" s="557">
        <v>410.41797566414834</v>
      </c>
      <c r="O52" s="531"/>
      <c r="P52" s="510"/>
      <c r="Q52" s="534">
        <v>1190.6099999999999</v>
      </c>
      <c r="R52" s="531"/>
      <c r="S52" s="557">
        <v>1650.03</v>
      </c>
      <c r="T52" s="510"/>
      <c r="U52" s="510"/>
      <c r="V52" s="510"/>
      <c r="W52" s="510"/>
      <c r="X52" s="507"/>
      <c r="Y52" s="510"/>
      <c r="Z52" s="510"/>
      <c r="AA52" s="510"/>
      <c r="AB52" s="510"/>
      <c r="AC52" s="510"/>
      <c r="AD52" s="510"/>
      <c r="AE52" s="510"/>
      <c r="AF52" s="510"/>
      <c r="AG52" s="510"/>
      <c r="AH52" s="510"/>
      <c r="AI52" s="510"/>
      <c r="AJ52" s="510"/>
      <c r="AK52" s="510"/>
      <c r="AL52" s="510"/>
      <c r="AM52" s="510"/>
      <c r="AN52" s="510"/>
    </row>
    <row r="53" spans="1:40" ht="15.75" hidden="1" customHeight="1">
      <c r="A53" s="523" t="s">
        <v>233</v>
      </c>
      <c r="B53" s="510" t="s">
        <v>0</v>
      </c>
      <c r="C53" s="531" t="s">
        <v>20</v>
      </c>
      <c r="D53" s="587" t="e">
        <v>#N/A</v>
      </c>
      <c r="E53" s="607"/>
      <c r="F53" s="532">
        <v>0</v>
      </c>
      <c r="G53" s="588"/>
      <c r="H53" s="607"/>
      <c r="I53" s="532"/>
      <c r="J53" s="524"/>
      <c r="K53" s="607"/>
      <c r="L53" s="534">
        <v>0</v>
      </c>
      <c r="M53" s="524"/>
      <c r="N53" s="582">
        <v>0</v>
      </c>
      <c r="O53" s="524"/>
      <c r="P53" s="607"/>
      <c r="Q53" s="534">
        <v>0</v>
      </c>
      <c r="R53" s="524"/>
      <c r="S53" s="582">
        <v>0</v>
      </c>
      <c r="T53" s="510"/>
      <c r="U53" s="510"/>
      <c r="V53" s="510"/>
      <c r="W53" s="510"/>
      <c r="X53" s="507"/>
      <c r="Y53" s="510"/>
      <c r="Z53" s="510"/>
      <c r="AA53" s="510"/>
      <c r="AB53" s="510"/>
      <c r="AC53" s="510"/>
      <c r="AD53" s="510"/>
      <c r="AE53" s="510"/>
      <c r="AF53" s="510"/>
      <c r="AG53" s="510"/>
      <c r="AH53" s="510"/>
      <c r="AI53" s="510"/>
      <c r="AJ53" s="510"/>
      <c r="AK53" s="510"/>
      <c r="AL53" s="510"/>
      <c r="AM53" s="510"/>
      <c r="AN53" s="510"/>
    </row>
    <row r="54" spans="1:40" ht="15.75" customHeight="1">
      <c r="A54" s="523" t="s">
        <v>260</v>
      </c>
      <c r="B54" s="510" t="s">
        <v>0</v>
      </c>
      <c r="C54" s="592" t="s">
        <v>49</v>
      </c>
      <c r="D54" s="593" t="s">
        <v>39</v>
      </c>
      <c r="E54" s="594">
        <v>0.41450743761959252</v>
      </c>
      <c r="F54" s="595">
        <v>59849.191518942207</v>
      </c>
      <c r="G54" s="596"/>
      <c r="H54" s="594"/>
      <c r="I54" s="595"/>
      <c r="J54" s="596" t="s">
        <v>39</v>
      </c>
      <c r="K54" s="594">
        <v>0.37096261712809275</v>
      </c>
      <c r="L54" s="595">
        <v>45369.47</v>
      </c>
      <c r="M54" s="599"/>
      <c r="N54" s="595">
        <v>-14479.721518942204</v>
      </c>
      <c r="O54" s="596" t="s">
        <v>39</v>
      </c>
      <c r="P54" s="594">
        <v>0.29517268271729008</v>
      </c>
      <c r="Q54" s="595">
        <v>54093.030000000006</v>
      </c>
      <c r="R54" s="599"/>
      <c r="S54" s="595">
        <v>-8723.56</v>
      </c>
      <c r="T54" s="573"/>
      <c r="U54" s="510"/>
      <c r="V54" s="510"/>
      <c r="W54" s="510"/>
      <c r="X54" s="507"/>
      <c r="Y54" s="510"/>
      <c r="Z54" s="510"/>
      <c r="AA54" s="510"/>
      <c r="AB54" s="510"/>
      <c r="AC54" s="510"/>
      <c r="AD54" s="510"/>
      <c r="AE54" s="510"/>
      <c r="AF54" s="510"/>
      <c r="AG54" s="510"/>
      <c r="AH54" s="510"/>
      <c r="AI54" s="510"/>
      <c r="AJ54" s="510"/>
      <c r="AK54" s="510"/>
      <c r="AL54" s="510"/>
      <c r="AM54" s="510"/>
      <c r="AN54" s="510"/>
    </row>
    <row r="55" spans="1:40" ht="15.75" hidden="1" customHeight="1">
      <c r="A55" s="523" t="s">
        <v>261</v>
      </c>
      <c r="B55" s="510" t="s">
        <v>0</v>
      </c>
      <c r="C55" s="531" t="s">
        <v>50</v>
      </c>
      <c r="D55" s="584"/>
      <c r="E55" s="510"/>
      <c r="F55" s="532">
        <v>0</v>
      </c>
      <c r="G55" s="585"/>
      <c r="H55" s="510"/>
      <c r="I55" s="532"/>
      <c r="J55" s="531"/>
      <c r="K55" s="510"/>
      <c r="L55" s="534">
        <v>0</v>
      </c>
      <c r="M55" s="531"/>
      <c r="N55" s="557">
        <v>0</v>
      </c>
      <c r="O55" s="531"/>
      <c r="P55" s="510"/>
      <c r="Q55" s="534">
        <v>0</v>
      </c>
      <c r="R55" s="531"/>
      <c r="S55" s="557">
        <v>0</v>
      </c>
      <c r="T55" s="573"/>
      <c r="U55" s="510"/>
      <c r="V55" s="510"/>
      <c r="W55" s="510"/>
      <c r="X55" s="507"/>
      <c r="Y55" s="510"/>
      <c r="Z55" s="510"/>
      <c r="AA55" s="510"/>
      <c r="AB55" s="510"/>
      <c r="AC55" s="510"/>
      <c r="AD55" s="510"/>
      <c r="AE55" s="510"/>
      <c r="AF55" s="510"/>
      <c r="AG55" s="510"/>
      <c r="AH55" s="510"/>
      <c r="AI55" s="510"/>
      <c r="AJ55" s="510"/>
      <c r="AK55" s="510"/>
      <c r="AL55" s="510"/>
      <c r="AM55" s="510"/>
      <c r="AN55" s="510"/>
    </row>
    <row r="56" spans="1:40" ht="15.75" hidden="1" customHeight="1">
      <c r="A56" s="523" t="s">
        <v>262</v>
      </c>
      <c r="B56" s="510" t="s">
        <v>0</v>
      </c>
      <c r="C56" s="531" t="s">
        <v>51</v>
      </c>
      <c r="D56" s="584"/>
      <c r="E56" s="510"/>
      <c r="F56" s="532">
        <v>0</v>
      </c>
      <c r="G56" s="585"/>
      <c r="H56" s="510"/>
      <c r="I56" s="532"/>
      <c r="J56" s="531"/>
      <c r="K56" s="510"/>
      <c r="L56" s="534">
        <v>0</v>
      </c>
      <c r="M56" s="531"/>
      <c r="N56" s="557">
        <v>0</v>
      </c>
      <c r="O56" s="531"/>
      <c r="P56" s="510"/>
      <c r="Q56" s="534">
        <v>0</v>
      </c>
      <c r="R56" s="531"/>
      <c r="S56" s="557">
        <v>0</v>
      </c>
      <c r="T56" s="573"/>
      <c r="U56" s="510"/>
      <c r="V56" s="510"/>
      <c r="W56" s="510"/>
      <c r="X56" s="507"/>
      <c r="Y56" s="510"/>
      <c r="Z56" s="510"/>
      <c r="AA56" s="510"/>
      <c r="AB56" s="510"/>
      <c r="AC56" s="510"/>
      <c r="AD56" s="510"/>
      <c r="AE56" s="510"/>
      <c r="AF56" s="510"/>
      <c r="AG56" s="510"/>
      <c r="AH56" s="510"/>
      <c r="AI56" s="510"/>
      <c r="AJ56" s="510"/>
      <c r="AK56" s="510"/>
      <c r="AL56" s="510"/>
      <c r="AM56" s="510"/>
      <c r="AN56" s="510"/>
    </row>
    <row r="57" spans="1:40" ht="15.75" customHeight="1">
      <c r="A57" s="523" t="s">
        <v>263</v>
      </c>
      <c r="B57" s="510" t="s">
        <v>0</v>
      </c>
      <c r="C57" s="524" t="s">
        <v>52</v>
      </c>
      <c r="D57" s="587"/>
      <c r="E57" s="607"/>
      <c r="F57" s="526">
        <v>9200</v>
      </c>
      <c r="G57" s="588"/>
      <c r="H57" s="607"/>
      <c r="I57" s="526"/>
      <c r="J57" s="524"/>
      <c r="K57" s="607"/>
      <c r="L57" s="526">
        <v>12087.7</v>
      </c>
      <c r="M57" s="524"/>
      <c r="N57" s="582">
        <v>2887.7000000000007</v>
      </c>
      <c r="O57" s="524"/>
      <c r="P57" s="607"/>
      <c r="Q57" s="526">
        <v>6904.41</v>
      </c>
      <c r="R57" s="524"/>
      <c r="S57" s="582">
        <v>5183.2900000000009</v>
      </c>
      <c r="T57" s="608"/>
      <c r="U57" s="510"/>
      <c r="V57" s="510"/>
      <c r="W57" s="510"/>
      <c r="X57" s="507"/>
      <c r="Y57" s="510"/>
      <c r="Z57" s="510"/>
      <c r="AA57" s="510"/>
      <c r="AB57" s="510"/>
      <c r="AC57" s="510"/>
      <c r="AD57" s="510"/>
      <c r="AE57" s="510"/>
      <c r="AF57" s="510"/>
      <c r="AG57" s="510"/>
      <c r="AH57" s="510"/>
      <c r="AI57" s="510"/>
      <c r="AJ57" s="510"/>
      <c r="AK57" s="510"/>
      <c r="AL57" s="510"/>
      <c r="AM57" s="510"/>
      <c r="AN57" s="510"/>
    </row>
    <row r="58" spans="1:40" ht="15.75" customHeight="1">
      <c r="A58" s="523" t="s">
        <v>264</v>
      </c>
      <c r="B58" s="510" t="s">
        <v>0</v>
      </c>
      <c r="C58" s="531" t="s">
        <v>53</v>
      </c>
      <c r="D58" s="584"/>
      <c r="E58" s="510"/>
      <c r="F58" s="532">
        <v>9039.6954662222215</v>
      </c>
      <c r="G58" s="585"/>
      <c r="H58" s="510"/>
      <c r="I58" s="532"/>
      <c r="J58" s="531"/>
      <c r="K58" s="510"/>
      <c r="L58" s="534">
        <v>8179.98</v>
      </c>
      <c r="M58" s="531"/>
      <c r="N58" s="557">
        <v>-859.71546622222195</v>
      </c>
      <c r="O58" s="531"/>
      <c r="P58" s="510"/>
      <c r="Q58" s="534">
        <v>6561.68</v>
      </c>
      <c r="R58" s="531"/>
      <c r="S58" s="557">
        <v>1618.2999999999993</v>
      </c>
      <c r="T58" s="573"/>
      <c r="U58" s="510"/>
      <c r="V58" s="510"/>
      <c r="W58" s="510"/>
      <c r="X58" s="510"/>
      <c r="Y58" s="510"/>
      <c r="Z58" s="510"/>
      <c r="AA58" s="510"/>
      <c r="AB58" s="510"/>
      <c r="AC58" s="510"/>
      <c r="AD58" s="510"/>
      <c r="AE58" s="510"/>
      <c r="AF58" s="510"/>
      <c r="AG58" s="510"/>
      <c r="AH58" s="510"/>
      <c r="AI58" s="510"/>
      <c r="AJ58" s="510"/>
      <c r="AK58" s="510"/>
      <c r="AL58" s="510"/>
      <c r="AM58" s="510"/>
      <c r="AN58" s="510"/>
    </row>
    <row r="59" spans="1:40" ht="15.75" customHeight="1">
      <c r="A59" s="523" t="s">
        <v>265</v>
      </c>
      <c r="B59" s="510" t="s">
        <v>0</v>
      </c>
      <c r="C59" s="531" t="s">
        <v>54</v>
      </c>
      <c r="D59" s="584"/>
      <c r="E59" s="510"/>
      <c r="F59" s="532">
        <v>1105.2258848911197</v>
      </c>
      <c r="G59" s="585"/>
      <c r="H59" s="510"/>
      <c r="I59" s="532"/>
      <c r="J59" s="531"/>
      <c r="K59" s="510"/>
      <c r="L59" s="534">
        <v>1118.44</v>
      </c>
      <c r="M59" s="531"/>
      <c r="N59" s="557">
        <v>13.214115108880378</v>
      </c>
      <c r="O59" s="531"/>
      <c r="P59" s="510"/>
      <c r="Q59" s="534">
        <v>1074.68</v>
      </c>
      <c r="R59" s="531"/>
      <c r="S59" s="557">
        <v>43.759999999999991</v>
      </c>
      <c r="T59" s="510"/>
      <c r="U59" s="510"/>
      <c r="V59" s="510"/>
      <c r="W59" s="510"/>
      <c r="X59" s="510"/>
      <c r="Y59" s="510"/>
      <c r="Z59" s="510"/>
      <c r="AA59" s="510"/>
      <c r="AB59" s="510"/>
      <c r="AC59" s="510"/>
      <c r="AD59" s="510"/>
      <c r="AE59" s="510"/>
      <c r="AF59" s="510"/>
      <c r="AG59" s="510"/>
      <c r="AH59" s="510"/>
      <c r="AI59" s="510"/>
      <c r="AJ59" s="510"/>
      <c r="AK59" s="510"/>
      <c r="AL59" s="510"/>
      <c r="AM59" s="510"/>
      <c r="AN59" s="510"/>
    </row>
    <row r="60" spans="1:40" ht="15.75" customHeight="1">
      <c r="A60" s="523" t="s">
        <v>266</v>
      </c>
      <c r="B60" s="510" t="s">
        <v>0</v>
      </c>
      <c r="C60" s="524" t="s">
        <v>55</v>
      </c>
      <c r="D60" s="587"/>
      <c r="E60" s="607"/>
      <c r="F60" s="526">
        <v>6711.4186422074081</v>
      </c>
      <c r="G60" s="588"/>
      <c r="H60" s="607"/>
      <c r="I60" s="526"/>
      <c r="J60" s="524"/>
      <c r="K60" s="607"/>
      <c r="L60" s="526">
        <v>6975.91</v>
      </c>
      <c r="M60" s="524"/>
      <c r="N60" s="582">
        <v>264.49135779259177</v>
      </c>
      <c r="O60" s="524"/>
      <c r="P60" s="607"/>
      <c r="Q60" s="526">
        <v>7461.81</v>
      </c>
      <c r="R60" s="524"/>
      <c r="S60" s="582">
        <v>-485.90000000000055</v>
      </c>
      <c r="T60" s="510"/>
      <c r="U60" s="510"/>
      <c r="V60" s="510"/>
      <c r="W60" s="510"/>
      <c r="X60" s="510"/>
      <c r="Y60" s="510"/>
      <c r="Z60" s="510"/>
      <c r="AA60" s="510"/>
      <c r="AB60" s="510"/>
      <c r="AC60" s="510"/>
      <c r="AD60" s="510"/>
      <c r="AE60" s="510"/>
      <c r="AF60" s="510"/>
      <c r="AG60" s="510"/>
      <c r="AH60" s="510"/>
      <c r="AI60" s="510"/>
      <c r="AJ60" s="510"/>
      <c r="AK60" s="510"/>
      <c r="AL60" s="510"/>
      <c r="AM60" s="510"/>
      <c r="AN60" s="510"/>
    </row>
    <row r="61" spans="1:40" ht="15.75" customHeight="1">
      <c r="A61" s="523" t="s">
        <v>267</v>
      </c>
      <c r="B61" s="510" t="s">
        <v>0</v>
      </c>
      <c r="C61" s="531" t="s">
        <v>56</v>
      </c>
      <c r="D61" s="584"/>
      <c r="E61" s="510"/>
      <c r="F61" s="532">
        <v>125</v>
      </c>
      <c r="G61" s="585"/>
      <c r="H61" s="510"/>
      <c r="I61" s="532"/>
      <c r="J61" s="531"/>
      <c r="K61" s="510"/>
      <c r="L61" s="534">
        <v>176.44</v>
      </c>
      <c r="M61" s="531"/>
      <c r="N61" s="557">
        <v>51.44</v>
      </c>
      <c r="O61" s="531"/>
      <c r="P61" s="510"/>
      <c r="Q61" s="534">
        <v>71.819999999999993</v>
      </c>
      <c r="R61" s="531"/>
      <c r="S61" s="557">
        <v>104.62</v>
      </c>
      <c r="T61" s="510"/>
      <c r="U61" s="510"/>
      <c r="V61" s="510"/>
      <c r="W61" s="510"/>
      <c r="X61" s="510"/>
      <c r="Y61" s="510"/>
      <c r="Z61" s="510"/>
      <c r="AA61" s="510"/>
      <c r="AB61" s="510"/>
      <c r="AC61" s="510"/>
      <c r="AD61" s="510"/>
      <c r="AE61" s="510"/>
      <c r="AF61" s="510"/>
      <c r="AG61" s="510"/>
      <c r="AH61" s="510"/>
      <c r="AI61" s="510"/>
      <c r="AJ61" s="510"/>
      <c r="AK61" s="510"/>
      <c r="AL61" s="510"/>
      <c r="AM61" s="510"/>
      <c r="AN61" s="510"/>
    </row>
    <row r="62" spans="1:40" ht="15.75" customHeight="1">
      <c r="A62" s="523" t="s">
        <v>268</v>
      </c>
      <c r="B62" s="510" t="s">
        <v>0</v>
      </c>
      <c r="C62" s="531" t="s">
        <v>57</v>
      </c>
      <c r="D62" s="584"/>
      <c r="E62" s="510"/>
      <c r="F62" s="532">
        <v>83.333333333333329</v>
      </c>
      <c r="G62" s="585"/>
      <c r="H62" s="510"/>
      <c r="I62" s="532"/>
      <c r="J62" s="531"/>
      <c r="K62" s="510"/>
      <c r="L62" s="534">
        <v>0</v>
      </c>
      <c r="M62" s="531"/>
      <c r="N62" s="557">
        <v>-83.333333333333329</v>
      </c>
      <c r="O62" s="531"/>
      <c r="P62" s="510"/>
      <c r="Q62" s="534">
        <v>0</v>
      </c>
      <c r="R62" s="531"/>
      <c r="S62" s="557">
        <v>0</v>
      </c>
      <c r="T62" s="510"/>
      <c r="U62" s="510"/>
      <c r="V62" s="510"/>
      <c r="W62" s="510"/>
      <c r="X62" s="510"/>
      <c r="Y62" s="510"/>
      <c r="Z62" s="510"/>
      <c r="AA62" s="510"/>
      <c r="AB62" s="510"/>
      <c r="AC62" s="510"/>
      <c r="AD62" s="510"/>
      <c r="AE62" s="510"/>
      <c r="AF62" s="510"/>
      <c r="AG62" s="510"/>
      <c r="AH62" s="510"/>
      <c r="AI62" s="510"/>
      <c r="AJ62" s="510"/>
      <c r="AK62" s="510"/>
      <c r="AL62" s="510"/>
      <c r="AM62" s="510"/>
      <c r="AN62" s="510"/>
    </row>
    <row r="63" spans="1:40" ht="15.75" customHeight="1">
      <c r="A63" s="523" t="s">
        <v>269</v>
      </c>
      <c r="B63" s="510" t="s">
        <v>0</v>
      </c>
      <c r="C63" s="531" t="s">
        <v>58</v>
      </c>
      <c r="D63" s="584"/>
      <c r="E63" s="510"/>
      <c r="F63" s="532">
        <v>756.94660196799998</v>
      </c>
      <c r="G63" s="585"/>
      <c r="H63" s="510"/>
      <c r="I63" s="532"/>
      <c r="J63" s="531"/>
      <c r="K63" s="510"/>
      <c r="L63" s="534">
        <v>1062.18</v>
      </c>
      <c r="M63" s="531"/>
      <c r="N63" s="557">
        <v>305.23339803200008</v>
      </c>
      <c r="O63" s="531"/>
      <c r="P63" s="510"/>
      <c r="Q63" s="534">
        <v>1075.92</v>
      </c>
      <c r="R63" s="531"/>
      <c r="S63" s="557">
        <v>-13.740000000000009</v>
      </c>
      <c r="T63" s="510"/>
      <c r="U63" s="510"/>
      <c r="V63" s="510"/>
      <c r="W63" s="510"/>
      <c r="X63" s="510"/>
      <c r="Y63" s="510"/>
      <c r="Z63" s="510"/>
      <c r="AA63" s="510"/>
      <c r="AB63" s="510"/>
      <c r="AC63" s="510"/>
      <c r="AD63" s="510"/>
      <c r="AE63" s="510"/>
      <c r="AF63" s="510"/>
      <c r="AG63" s="510"/>
      <c r="AH63" s="510"/>
      <c r="AI63" s="510"/>
      <c r="AJ63" s="510"/>
      <c r="AK63" s="510"/>
      <c r="AL63" s="510"/>
      <c r="AM63" s="510"/>
      <c r="AN63" s="510"/>
    </row>
    <row r="64" spans="1:40" ht="15.75" customHeight="1">
      <c r="A64" s="523" t="s">
        <v>270</v>
      </c>
      <c r="B64" s="510" t="s">
        <v>0</v>
      </c>
      <c r="C64" s="531" t="s">
        <v>59</v>
      </c>
      <c r="D64" s="584"/>
      <c r="E64" s="510"/>
      <c r="F64" s="532">
        <v>309.40348505288893</v>
      </c>
      <c r="G64" s="585"/>
      <c r="H64" s="510"/>
      <c r="I64" s="532"/>
      <c r="J64" s="531"/>
      <c r="K64" s="510"/>
      <c r="L64" s="534">
        <v>328.45</v>
      </c>
      <c r="M64" s="531"/>
      <c r="N64" s="557">
        <v>19.046514947111064</v>
      </c>
      <c r="O64" s="531"/>
      <c r="P64" s="510"/>
      <c r="Q64" s="534">
        <v>316</v>
      </c>
      <c r="R64" s="531"/>
      <c r="S64" s="557">
        <v>12.449999999999989</v>
      </c>
      <c r="T64" s="510"/>
      <c r="U64" s="510"/>
      <c r="V64" s="510"/>
      <c r="W64" s="510"/>
      <c r="X64" s="510"/>
      <c r="Y64" s="510"/>
      <c r="Z64" s="510"/>
      <c r="AA64" s="510"/>
      <c r="AB64" s="510"/>
      <c r="AC64" s="510"/>
      <c r="AD64" s="510"/>
      <c r="AE64" s="510"/>
      <c r="AF64" s="510"/>
      <c r="AG64" s="510"/>
      <c r="AH64" s="510"/>
      <c r="AI64" s="510"/>
      <c r="AJ64" s="510"/>
      <c r="AK64" s="510"/>
      <c r="AL64" s="510"/>
      <c r="AM64" s="510"/>
      <c r="AN64" s="510"/>
    </row>
    <row r="65" spans="1:40" ht="15.75" customHeight="1">
      <c r="A65" s="523" t="s">
        <v>271</v>
      </c>
      <c r="B65" s="510" t="s">
        <v>0</v>
      </c>
      <c r="C65" s="531" t="s">
        <v>60</v>
      </c>
      <c r="D65" s="584"/>
      <c r="E65" s="510"/>
      <c r="F65" s="532">
        <v>113.12880990711112</v>
      </c>
      <c r="G65" s="585"/>
      <c r="H65" s="510"/>
      <c r="I65" s="532"/>
      <c r="J65" s="531"/>
      <c r="K65" s="510"/>
      <c r="L65" s="534">
        <v>32.96</v>
      </c>
      <c r="M65" s="531"/>
      <c r="N65" s="557">
        <v>-80.168809907111125</v>
      </c>
      <c r="O65" s="531"/>
      <c r="P65" s="510"/>
      <c r="Q65" s="534">
        <v>230.2</v>
      </c>
      <c r="R65" s="531"/>
      <c r="S65" s="557">
        <v>-197.23999999999998</v>
      </c>
      <c r="T65" s="510"/>
      <c r="U65" s="510"/>
      <c r="V65" s="510"/>
      <c r="W65" s="510"/>
      <c r="X65" s="510"/>
      <c r="Y65" s="510"/>
      <c r="Z65" s="510"/>
      <c r="AA65" s="510"/>
      <c r="AB65" s="510"/>
      <c r="AC65" s="510"/>
      <c r="AD65" s="510"/>
      <c r="AE65" s="510"/>
      <c r="AF65" s="510"/>
      <c r="AG65" s="510"/>
      <c r="AH65" s="510"/>
      <c r="AI65" s="510"/>
      <c r="AJ65" s="510"/>
      <c r="AK65" s="510"/>
      <c r="AL65" s="510"/>
      <c r="AM65" s="510"/>
      <c r="AN65" s="510"/>
    </row>
    <row r="66" spans="1:40" ht="15.75" customHeight="1">
      <c r="A66" s="523" t="s">
        <v>272</v>
      </c>
      <c r="B66" s="510" t="s">
        <v>0</v>
      </c>
      <c r="C66" s="531" t="s">
        <v>61</v>
      </c>
      <c r="D66" s="584"/>
      <c r="E66" s="510"/>
      <c r="F66" s="532">
        <v>282.46260343511113</v>
      </c>
      <c r="G66" s="585"/>
      <c r="H66" s="510"/>
      <c r="I66" s="532"/>
      <c r="J66" s="531"/>
      <c r="K66" s="510"/>
      <c r="L66" s="534">
        <v>95.63</v>
      </c>
      <c r="M66" s="531"/>
      <c r="N66" s="557">
        <v>-186.83260343511114</v>
      </c>
      <c r="O66" s="531"/>
      <c r="P66" s="510"/>
      <c r="Q66" s="534">
        <v>94.22</v>
      </c>
      <c r="R66" s="531"/>
      <c r="S66" s="557">
        <v>1.4099999999999966</v>
      </c>
      <c r="T66" s="510"/>
      <c r="U66" s="510"/>
      <c r="V66" s="510"/>
      <c r="W66" s="510"/>
      <c r="X66" s="510"/>
      <c r="Y66" s="510"/>
      <c r="Z66" s="510"/>
      <c r="AA66" s="510"/>
      <c r="AB66" s="510"/>
      <c r="AC66" s="510"/>
      <c r="AD66" s="510"/>
      <c r="AE66" s="510"/>
      <c r="AF66" s="510"/>
      <c r="AG66" s="510"/>
      <c r="AH66" s="510"/>
      <c r="AI66" s="510"/>
      <c r="AJ66" s="510"/>
      <c r="AK66" s="510"/>
      <c r="AL66" s="510"/>
      <c r="AM66" s="510"/>
      <c r="AN66" s="510"/>
    </row>
    <row r="67" spans="1:40" ht="15.75" customHeight="1">
      <c r="A67" s="523" t="s">
        <v>273</v>
      </c>
      <c r="B67" s="510" t="s">
        <v>0</v>
      </c>
      <c r="C67" s="531" t="s">
        <v>62</v>
      </c>
      <c r="D67" s="584"/>
      <c r="E67" s="510"/>
      <c r="F67" s="532">
        <v>1899.1075000000001</v>
      </c>
      <c r="G67" s="585"/>
      <c r="H67" s="510"/>
      <c r="I67" s="532"/>
      <c r="J67" s="531"/>
      <c r="K67" s="510"/>
      <c r="L67" s="534">
        <v>102.08</v>
      </c>
      <c r="M67" s="531"/>
      <c r="N67" s="557">
        <v>-1797.0275000000001</v>
      </c>
      <c r="O67" s="531"/>
      <c r="P67" s="510"/>
      <c r="Q67" s="534">
        <v>536.99</v>
      </c>
      <c r="R67" s="531"/>
      <c r="S67" s="557">
        <v>-434.91</v>
      </c>
      <c r="T67" s="510"/>
      <c r="U67" s="523"/>
      <c r="X67" s="510"/>
      <c r="Y67" s="510"/>
      <c r="Z67" s="510"/>
      <c r="AA67" s="510"/>
      <c r="AB67" s="510"/>
      <c r="AC67" s="510"/>
      <c r="AD67" s="510"/>
      <c r="AE67" s="510"/>
      <c r="AF67" s="510"/>
      <c r="AG67" s="510"/>
      <c r="AH67" s="510"/>
      <c r="AI67" s="510"/>
      <c r="AJ67" s="510"/>
      <c r="AK67" s="510"/>
      <c r="AL67" s="510"/>
      <c r="AM67" s="510"/>
      <c r="AN67" s="510"/>
    </row>
    <row r="68" spans="1:40" ht="15.75" customHeight="1">
      <c r="A68" s="523" t="s">
        <v>274</v>
      </c>
      <c r="B68" s="510" t="s">
        <v>0</v>
      </c>
      <c r="C68" s="531" t="s">
        <v>63</v>
      </c>
      <c r="D68" s="584"/>
      <c r="E68" s="510"/>
      <c r="F68" s="532">
        <v>3363.2959290092826</v>
      </c>
      <c r="G68" s="585"/>
      <c r="H68" s="510"/>
      <c r="I68" s="532"/>
      <c r="J68" s="531"/>
      <c r="K68" s="510"/>
      <c r="L68" s="534">
        <v>4138.41</v>
      </c>
      <c r="M68" s="531"/>
      <c r="N68" s="557">
        <v>775.11407099071721</v>
      </c>
      <c r="O68" s="531"/>
      <c r="P68" s="510"/>
      <c r="Q68" s="534">
        <v>3206.31</v>
      </c>
      <c r="R68" s="531"/>
      <c r="S68" s="557">
        <v>932.09999999999991</v>
      </c>
      <c r="T68" s="510"/>
      <c r="X68" s="510"/>
      <c r="Y68" s="510"/>
      <c r="Z68" s="510"/>
      <c r="AA68" s="510"/>
      <c r="AB68" s="510"/>
      <c r="AC68" s="510"/>
      <c r="AD68" s="510"/>
      <c r="AE68" s="510"/>
      <c r="AF68" s="510"/>
      <c r="AG68" s="510"/>
      <c r="AH68" s="510"/>
      <c r="AI68" s="510"/>
      <c r="AJ68" s="510"/>
      <c r="AK68" s="510"/>
      <c r="AL68" s="510"/>
      <c r="AM68" s="510"/>
      <c r="AN68" s="510"/>
    </row>
    <row r="69" spans="1:40" ht="15.75" hidden="1" customHeight="1">
      <c r="A69" s="523" t="s">
        <v>233</v>
      </c>
      <c r="B69" s="510" t="s">
        <v>0</v>
      </c>
      <c r="C69" s="531" t="s">
        <v>20</v>
      </c>
      <c r="D69" s="584"/>
      <c r="E69" s="510"/>
      <c r="F69" s="532">
        <v>0</v>
      </c>
      <c r="G69" s="585"/>
      <c r="H69" s="510"/>
      <c r="I69" s="532"/>
      <c r="J69" s="531"/>
      <c r="K69" s="510"/>
      <c r="L69" s="534"/>
      <c r="M69" s="531"/>
      <c r="N69" s="557">
        <v>0</v>
      </c>
      <c r="O69" s="531"/>
      <c r="P69" s="510"/>
      <c r="Q69" s="534">
        <v>0</v>
      </c>
      <c r="R69" s="531"/>
      <c r="S69" s="557">
        <v>0</v>
      </c>
      <c r="T69" s="510"/>
      <c r="X69" s="510"/>
      <c r="Y69" s="510"/>
      <c r="Z69" s="510"/>
      <c r="AA69" s="510"/>
      <c r="AB69" s="510"/>
      <c r="AC69" s="510"/>
      <c r="AD69" s="510"/>
      <c r="AE69" s="510"/>
      <c r="AF69" s="510"/>
      <c r="AG69" s="510"/>
      <c r="AH69" s="510"/>
      <c r="AI69" s="510"/>
      <c r="AJ69" s="510"/>
      <c r="AK69" s="510"/>
      <c r="AL69" s="510"/>
      <c r="AM69" s="510"/>
      <c r="AN69" s="510"/>
    </row>
    <row r="70" spans="1:40" ht="15.75" hidden="1" customHeight="1">
      <c r="A70" s="523" t="s">
        <v>233</v>
      </c>
      <c r="B70" s="510" t="s">
        <v>0</v>
      </c>
      <c r="C70" s="531" t="s">
        <v>20</v>
      </c>
      <c r="D70" s="584"/>
      <c r="E70" s="510"/>
      <c r="F70" s="532">
        <v>0</v>
      </c>
      <c r="G70" s="585"/>
      <c r="H70" s="510"/>
      <c r="I70" s="532"/>
      <c r="J70" s="531"/>
      <c r="K70" s="510"/>
      <c r="L70" s="534">
        <v>0</v>
      </c>
      <c r="M70" s="531"/>
      <c r="N70" s="557">
        <v>0</v>
      </c>
      <c r="O70" s="531"/>
      <c r="P70" s="510"/>
      <c r="Q70" s="534">
        <v>0</v>
      </c>
      <c r="R70" s="531"/>
      <c r="S70" s="557">
        <v>0</v>
      </c>
      <c r="T70" s="510"/>
      <c r="X70" s="510"/>
      <c r="Y70" s="510"/>
      <c r="Z70" s="510"/>
      <c r="AA70" s="510"/>
      <c r="AB70" s="510"/>
      <c r="AC70" s="510"/>
      <c r="AD70" s="510"/>
      <c r="AE70" s="510"/>
      <c r="AF70" s="510"/>
      <c r="AG70" s="510"/>
      <c r="AH70" s="510"/>
      <c r="AI70" s="510"/>
      <c r="AJ70" s="510"/>
      <c r="AK70" s="510"/>
      <c r="AL70" s="510"/>
      <c r="AM70" s="510"/>
      <c r="AN70" s="510"/>
    </row>
    <row r="71" spans="1:40" ht="15.75" hidden="1" customHeight="1">
      <c r="A71" s="523" t="s">
        <v>233</v>
      </c>
      <c r="B71" s="510" t="s">
        <v>0</v>
      </c>
      <c r="C71" s="531" t="s">
        <v>20</v>
      </c>
      <c r="D71" s="584"/>
      <c r="E71" s="510"/>
      <c r="F71" s="532">
        <v>0</v>
      </c>
      <c r="G71" s="585"/>
      <c r="H71" s="510"/>
      <c r="I71" s="532"/>
      <c r="J71" s="531"/>
      <c r="K71" s="510"/>
      <c r="L71" s="534">
        <v>0</v>
      </c>
      <c r="M71" s="531"/>
      <c r="N71" s="557">
        <v>0</v>
      </c>
      <c r="O71" s="531"/>
      <c r="P71" s="510"/>
      <c r="Q71" s="534">
        <v>0</v>
      </c>
      <c r="R71" s="531"/>
      <c r="S71" s="557">
        <v>0</v>
      </c>
      <c r="T71" s="510"/>
      <c r="X71" s="510"/>
      <c r="Y71" s="510"/>
      <c r="Z71" s="510"/>
      <c r="AA71" s="510"/>
      <c r="AB71" s="510"/>
      <c r="AC71" s="510"/>
      <c r="AD71" s="510"/>
      <c r="AE71" s="510"/>
      <c r="AF71" s="510"/>
      <c r="AG71" s="510"/>
      <c r="AH71" s="510"/>
      <c r="AI71" s="510"/>
      <c r="AJ71" s="510"/>
      <c r="AK71" s="510"/>
      <c r="AL71" s="510"/>
      <c r="AM71" s="510"/>
      <c r="AN71" s="510"/>
    </row>
    <row r="72" spans="1:40" ht="15.75" customHeight="1">
      <c r="A72" s="523" t="s">
        <v>275</v>
      </c>
      <c r="B72" s="510" t="s">
        <v>0</v>
      </c>
      <c r="C72" s="592" t="s">
        <v>64</v>
      </c>
      <c r="D72" s="593" t="s">
        <v>39</v>
      </c>
      <c r="E72" s="594">
        <v>0.22847749618411511</v>
      </c>
      <c r="F72" s="595">
        <v>32989.018256026473</v>
      </c>
      <c r="G72" s="596"/>
      <c r="H72" s="594"/>
      <c r="I72" s="595"/>
      <c r="J72" s="596" t="s">
        <v>39</v>
      </c>
      <c r="K72" s="594">
        <v>0.28043842292031201</v>
      </c>
      <c r="L72" s="595">
        <v>34298.18</v>
      </c>
      <c r="M72" s="599"/>
      <c r="N72" s="595">
        <v>1309.1617439735232</v>
      </c>
      <c r="O72" s="596" t="s">
        <v>39</v>
      </c>
      <c r="P72" s="594">
        <v>0.15024664828065973</v>
      </c>
      <c r="Q72" s="595">
        <v>27534.040000000005</v>
      </c>
      <c r="R72" s="599"/>
      <c r="S72" s="595">
        <v>6764.1399999999994</v>
      </c>
      <c r="T72" s="510"/>
      <c r="X72" s="510"/>
      <c r="Y72" s="510"/>
      <c r="Z72" s="510"/>
      <c r="AA72" s="510"/>
      <c r="AB72" s="510"/>
      <c r="AC72" s="510"/>
      <c r="AD72" s="510"/>
      <c r="AE72" s="510"/>
      <c r="AF72" s="510"/>
      <c r="AG72" s="510"/>
      <c r="AH72" s="510"/>
      <c r="AI72" s="510"/>
      <c r="AJ72" s="510"/>
      <c r="AK72" s="510"/>
      <c r="AL72" s="510"/>
      <c r="AM72" s="510"/>
      <c r="AN72" s="510"/>
    </row>
    <row r="73" spans="1:40" ht="15.75" customHeight="1">
      <c r="A73" s="523" t="s">
        <v>0</v>
      </c>
      <c r="B73" s="510" t="s">
        <v>0</v>
      </c>
      <c r="C73" s="524"/>
      <c r="D73" s="587"/>
      <c r="E73" s="607"/>
      <c r="F73" s="557"/>
      <c r="G73" s="588"/>
      <c r="H73" s="607"/>
      <c r="I73" s="557"/>
      <c r="J73" s="524"/>
      <c r="K73" s="607"/>
      <c r="L73" s="582"/>
      <c r="M73" s="524"/>
      <c r="N73" s="582"/>
      <c r="O73" s="524"/>
      <c r="P73" s="607"/>
      <c r="Q73" s="582"/>
      <c r="R73" s="524"/>
      <c r="S73" s="582"/>
      <c r="T73" s="510"/>
      <c r="U73" s="510"/>
      <c r="V73" s="510"/>
      <c r="W73" s="510"/>
      <c r="X73" s="510"/>
      <c r="Y73" s="510"/>
      <c r="Z73" s="510"/>
      <c r="AA73" s="510"/>
      <c r="AB73" s="510"/>
      <c r="AC73" s="510"/>
      <c r="AD73" s="510"/>
      <c r="AE73" s="510"/>
      <c r="AF73" s="510"/>
      <c r="AG73" s="510"/>
      <c r="AH73" s="510"/>
      <c r="AI73" s="510"/>
      <c r="AJ73" s="510"/>
      <c r="AK73" s="510"/>
      <c r="AL73" s="510"/>
      <c r="AM73" s="510"/>
      <c r="AN73" s="510"/>
    </row>
    <row r="74" spans="1:40" ht="15.75" customHeight="1">
      <c r="A74" s="523" t="s">
        <v>276</v>
      </c>
      <c r="B74" s="510" t="s">
        <v>0</v>
      </c>
      <c r="C74" s="592" t="s">
        <v>65</v>
      </c>
      <c r="D74" s="593" t="s">
        <v>39</v>
      </c>
      <c r="E74" s="594">
        <v>1.1222835546606094</v>
      </c>
      <c r="F74" s="595">
        <v>162042.35993247529</v>
      </c>
      <c r="G74" s="596"/>
      <c r="H74" s="594"/>
      <c r="I74" s="595"/>
      <c r="J74" s="596" t="s">
        <v>39</v>
      </c>
      <c r="K74" s="594">
        <v>1.0688353420222074</v>
      </c>
      <c r="L74" s="595">
        <v>130720.70000000001</v>
      </c>
      <c r="M74" s="599"/>
      <c r="N74" s="609">
        <v>-31321.659932475275</v>
      </c>
      <c r="O74" s="596" t="s">
        <v>39</v>
      </c>
      <c r="P74" s="594">
        <v>0.94701524231315892</v>
      </c>
      <c r="Q74" s="595">
        <v>173549</v>
      </c>
      <c r="R74" s="599"/>
      <c r="S74" s="609">
        <v>-42828.299999999988</v>
      </c>
      <c r="T74" s="510"/>
      <c r="U74" s="510"/>
      <c r="V74" s="510"/>
      <c r="W74" s="510"/>
      <c r="X74" s="510"/>
      <c r="Y74" s="510"/>
      <c r="Z74" s="510"/>
      <c r="AA74" s="510"/>
      <c r="AB74" s="510"/>
      <c r="AC74" s="510"/>
      <c r="AD74" s="510"/>
      <c r="AE74" s="510"/>
      <c r="AF74" s="510"/>
      <c r="AG74" s="510"/>
      <c r="AH74" s="510"/>
      <c r="AI74" s="510"/>
      <c r="AJ74" s="510"/>
      <c r="AK74" s="510"/>
      <c r="AL74" s="510"/>
      <c r="AM74" s="510"/>
      <c r="AN74" s="510"/>
    </row>
    <row r="75" spans="1:40" ht="15.75" customHeight="1">
      <c r="A75" s="523" t="s">
        <v>277</v>
      </c>
      <c r="B75" s="510" t="s">
        <v>0</v>
      </c>
      <c r="C75" s="531" t="s">
        <v>197</v>
      </c>
      <c r="D75" s="584"/>
      <c r="E75" s="510"/>
      <c r="F75" s="532">
        <v>20000</v>
      </c>
      <c r="G75" s="585"/>
      <c r="H75" s="510"/>
      <c r="I75" s="532"/>
      <c r="J75" s="531"/>
      <c r="K75" s="510"/>
      <c r="L75" s="534">
        <v>20000</v>
      </c>
      <c r="M75" s="531"/>
      <c r="N75" s="557">
        <v>0</v>
      </c>
      <c r="O75" s="531"/>
      <c r="P75" s="510"/>
      <c r="Q75" s="534">
        <v>31556</v>
      </c>
      <c r="R75" s="531"/>
      <c r="S75" s="557"/>
      <c r="T75" s="510"/>
      <c r="U75" s="510"/>
      <c r="V75" s="510"/>
      <c r="W75" s="510"/>
      <c r="X75" s="510"/>
      <c r="Y75" s="510"/>
      <c r="Z75" s="510"/>
      <c r="AA75" s="510"/>
      <c r="AB75" s="510"/>
      <c r="AC75" s="510"/>
      <c r="AD75" s="510"/>
      <c r="AE75" s="510"/>
      <c r="AF75" s="510"/>
      <c r="AG75" s="510"/>
      <c r="AH75" s="510"/>
      <c r="AI75" s="510"/>
      <c r="AJ75" s="510"/>
      <c r="AK75" s="510"/>
      <c r="AL75" s="510"/>
      <c r="AM75" s="510"/>
      <c r="AN75" s="510"/>
    </row>
    <row r="76" spans="1:40" ht="15.75" customHeight="1">
      <c r="A76" s="523" t="s">
        <v>278</v>
      </c>
      <c r="B76" s="510" t="s">
        <v>0</v>
      </c>
      <c r="C76" s="531" t="s">
        <v>194</v>
      </c>
      <c r="D76" s="584"/>
      <c r="E76" s="510"/>
      <c r="F76" s="532">
        <v>0</v>
      </c>
      <c r="G76" s="585"/>
      <c r="H76" s="510"/>
      <c r="I76" s="532"/>
      <c r="J76" s="531"/>
      <c r="K76" s="510"/>
      <c r="L76" s="534">
        <v>0</v>
      </c>
      <c r="M76" s="531"/>
      <c r="N76" s="557">
        <v>0</v>
      </c>
      <c r="O76" s="531"/>
      <c r="P76" s="510"/>
      <c r="Q76" s="534">
        <v>0</v>
      </c>
      <c r="R76" s="531"/>
      <c r="S76" s="557">
        <v>0</v>
      </c>
      <c r="T76" s="510"/>
      <c r="U76" s="510"/>
      <c r="V76" s="510"/>
      <c r="W76" s="510"/>
      <c r="X76" s="510"/>
      <c r="Y76" s="510"/>
      <c r="Z76" s="510"/>
      <c r="AA76" s="510"/>
      <c r="AB76" s="510"/>
      <c r="AC76" s="510"/>
      <c r="AD76" s="510"/>
      <c r="AE76" s="510"/>
      <c r="AF76" s="510"/>
      <c r="AG76" s="510"/>
      <c r="AH76" s="510"/>
      <c r="AI76" s="510"/>
      <c r="AJ76" s="510"/>
      <c r="AK76" s="510"/>
      <c r="AL76" s="510"/>
      <c r="AM76" s="510"/>
      <c r="AN76" s="510"/>
    </row>
    <row r="77" spans="1:40" ht="15.75" customHeight="1">
      <c r="A77" s="523" t="s">
        <v>279</v>
      </c>
      <c r="B77" s="510" t="s">
        <v>0</v>
      </c>
      <c r="C77" s="531" t="s">
        <v>68</v>
      </c>
      <c r="D77" s="584"/>
      <c r="E77" s="510"/>
      <c r="F77" s="532">
        <v>0</v>
      </c>
      <c r="G77" s="585"/>
      <c r="H77" s="510"/>
      <c r="I77" s="532"/>
      <c r="J77" s="531"/>
      <c r="K77" s="510"/>
      <c r="L77" s="534">
        <v>0</v>
      </c>
      <c r="M77" s="531"/>
      <c r="N77" s="557">
        <v>0</v>
      </c>
      <c r="O77" s="531"/>
      <c r="P77" s="510"/>
      <c r="Q77" s="534">
        <v>0</v>
      </c>
      <c r="R77" s="531"/>
      <c r="S77" s="557">
        <v>0</v>
      </c>
      <c r="T77" s="510"/>
      <c r="U77" s="510"/>
      <c r="V77" s="510"/>
      <c r="W77" s="510"/>
      <c r="X77" s="510"/>
      <c r="Y77" s="510"/>
      <c r="Z77" s="510"/>
      <c r="AA77" s="510"/>
      <c r="AB77" s="510"/>
      <c r="AC77" s="510"/>
      <c r="AD77" s="510"/>
      <c r="AE77" s="510"/>
      <c r="AF77" s="510"/>
      <c r="AG77" s="510"/>
      <c r="AH77" s="510"/>
      <c r="AI77" s="510"/>
      <c r="AJ77" s="510"/>
      <c r="AK77" s="510"/>
      <c r="AL77" s="510"/>
      <c r="AM77" s="510"/>
      <c r="AN77" s="510"/>
    </row>
    <row r="78" spans="1:40" ht="15.75" customHeight="1">
      <c r="A78" s="523" t="s">
        <v>280</v>
      </c>
      <c r="B78" s="510" t="s">
        <v>0</v>
      </c>
      <c r="C78" s="531" t="s">
        <v>69</v>
      </c>
      <c r="D78" s="584"/>
      <c r="E78" s="610">
        <v>1206.3386193949987</v>
      </c>
      <c r="F78" s="532">
        <v>43066.288712401452</v>
      </c>
      <c r="G78" s="585"/>
      <c r="H78" s="510"/>
      <c r="I78" s="532"/>
      <c r="J78" s="611"/>
      <c r="K78" s="610">
        <v>1351.325</v>
      </c>
      <c r="L78" s="534">
        <v>54053</v>
      </c>
      <c r="M78" s="531"/>
      <c r="N78" s="557">
        <v>10986.711287598548</v>
      </c>
      <c r="O78" s="531"/>
      <c r="P78" s="510"/>
      <c r="Q78" s="534">
        <v>55160.85</v>
      </c>
      <c r="R78" s="531"/>
      <c r="S78" s="557">
        <v>-1107.8499999999985</v>
      </c>
      <c r="T78" s="510"/>
      <c r="U78" s="510"/>
      <c r="V78" s="510"/>
      <c r="W78" s="510"/>
      <c r="X78" s="510"/>
      <c r="Y78" s="510"/>
      <c r="Z78" s="510"/>
      <c r="AA78" s="510"/>
      <c r="AB78" s="510"/>
      <c r="AC78" s="510"/>
      <c r="AD78" s="510"/>
      <c r="AE78" s="510"/>
      <c r="AF78" s="510"/>
      <c r="AG78" s="510"/>
      <c r="AH78" s="510"/>
      <c r="AI78" s="510"/>
      <c r="AJ78" s="510"/>
      <c r="AK78" s="510"/>
      <c r="AL78" s="510"/>
      <c r="AM78" s="510"/>
      <c r="AN78" s="510"/>
    </row>
    <row r="79" spans="1:40" ht="15.75" hidden="1" customHeight="1">
      <c r="A79" s="523" t="s">
        <v>233</v>
      </c>
      <c r="B79" s="510" t="s">
        <v>0</v>
      </c>
      <c r="C79" s="531" t="s">
        <v>20</v>
      </c>
      <c r="D79" s="584"/>
      <c r="E79" s="510"/>
      <c r="F79" s="532">
        <v>0</v>
      </c>
      <c r="G79" s="585"/>
      <c r="H79" s="510"/>
      <c r="I79" s="532"/>
      <c r="J79" s="531"/>
      <c r="K79" s="510"/>
      <c r="L79" s="534">
        <v>0</v>
      </c>
      <c r="M79" s="531"/>
      <c r="N79" s="557">
        <v>0</v>
      </c>
      <c r="O79" s="531"/>
      <c r="P79" s="510"/>
      <c r="Q79" s="534">
        <v>0</v>
      </c>
      <c r="R79" s="531"/>
      <c r="S79" s="557">
        <v>0</v>
      </c>
      <c r="T79" s="510"/>
      <c r="U79" s="510"/>
      <c r="V79" s="510"/>
      <c r="W79" s="510"/>
      <c r="X79" s="510"/>
      <c r="Y79" s="510"/>
      <c r="Z79" s="510"/>
      <c r="AA79" s="510"/>
      <c r="AB79" s="510"/>
      <c r="AC79" s="510"/>
      <c r="AD79" s="510"/>
      <c r="AE79" s="510"/>
      <c r="AF79" s="510"/>
      <c r="AG79" s="510"/>
      <c r="AH79" s="510"/>
      <c r="AI79" s="510"/>
      <c r="AJ79" s="510"/>
      <c r="AK79" s="510"/>
      <c r="AL79" s="510"/>
      <c r="AM79" s="510"/>
      <c r="AN79" s="510"/>
    </row>
    <row r="80" spans="1:40" ht="15.75" hidden="1" customHeight="1">
      <c r="A80" s="523" t="s">
        <v>233</v>
      </c>
      <c r="B80" s="510" t="s">
        <v>0</v>
      </c>
      <c r="C80" s="531" t="s">
        <v>20</v>
      </c>
      <c r="D80" s="584"/>
      <c r="E80" s="510"/>
      <c r="F80" s="532">
        <v>0</v>
      </c>
      <c r="G80" s="585"/>
      <c r="H80" s="510"/>
      <c r="I80" s="532"/>
      <c r="J80" s="531"/>
      <c r="K80" s="510"/>
      <c r="L80" s="534">
        <v>0</v>
      </c>
      <c r="M80" s="531"/>
      <c r="N80" s="557">
        <v>0</v>
      </c>
      <c r="O80" s="531"/>
      <c r="P80" s="510"/>
      <c r="Q80" s="534">
        <v>0</v>
      </c>
      <c r="R80" s="531"/>
      <c r="S80" s="557">
        <v>0</v>
      </c>
      <c r="T80" s="510"/>
      <c r="U80" s="510"/>
      <c r="V80" s="510"/>
      <c r="W80" s="510"/>
      <c r="X80" s="510"/>
      <c r="Y80" s="510"/>
      <c r="Z80" s="510"/>
      <c r="AA80" s="510"/>
      <c r="AB80" s="510"/>
      <c r="AC80" s="510"/>
      <c r="AD80" s="510"/>
      <c r="AE80" s="510"/>
      <c r="AF80" s="510"/>
      <c r="AG80" s="510"/>
      <c r="AH80" s="510"/>
      <c r="AI80" s="510"/>
      <c r="AJ80" s="510"/>
      <c r="AK80" s="510"/>
      <c r="AL80" s="510"/>
      <c r="AM80" s="510"/>
      <c r="AN80" s="510"/>
    </row>
    <row r="81" spans="1:40" ht="15.75" hidden="1" customHeight="1">
      <c r="A81" s="523" t="s">
        <v>233</v>
      </c>
      <c r="B81" s="510" t="s">
        <v>0</v>
      </c>
      <c r="C81" s="531" t="s">
        <v>20</v>
      </c>
      <c r="D81" s="584"/>
      <c r="E81" s="510"/>
      <c r="F81" s="532">
        <v>0</v>
      </c>
      <c r="G81" s="585"/>
      <c r="H81" s="510"/>
      <c r="I81" s="532"/>
      <c r="J81" s="531"/>
      <c r="K81" s="510"/>
      <c r="L81" s="534">
        <v>0</v>
      </c>
      <c r="M81" s="531"/>
      <c r="N81" s="557">
        <v>0</v>
      </c>
      <c r="O81" s="531"/>
      <c r="P81" s="510"/>
      <c r="Q81" s="534">
        <v>0</v>
      </c>
      <c r="R81" s="531"/>
      <c r="S81" s="557">
        <v>0</v>
      </c>
      <c r="T81" s="510"/>
      <c r="U81" s="510"/>
      <c r="V81" s="510"/>
      <c r="W81" s="510"/>
      <c r="X81" s="510"/>
      <c r="Y81" s="510"/>
      <c r="Z81" s="510"/>
      <c r="AA81" s="510"/>
      <c r="AB81" s="510"/>
      <c r="AC81" s="510"/>
      <c r="AD81" s="510"/>
      <c r="AE81" s="510"/>
      <c r="AF81" s="510"/>
      <c r="AG81" s="510"/>
      <c r="AH81" s="510"/>
      <c r="AI81" s="510"/>
      <c r="AJ81" s="510"/>
      <c r="AK81" s="510"/>
      <c r="AL81" s="510"/>
      <c r="AM81" s="510"/>
      <c r="AN81" s="510"/>
    </row>
    <row r="82" spans="1:40" ht="15.75" customHeight="1">
      <c r="A82" s="612" t="s">
        <v>281</v>
      </c>
      <c r="B82" s="613" t="s">
        <v>0</v>
      </c>
      <c r="C82" s="531" t="s">
        <v>70</v>
      </c>
      <c r="D82" s="614">
        <v>0.95</v>
      </c>
      <c r="E82" s="615">
        <v>474.04999999999995</v>
      </c>
      <c r="F82" s="532">
        <v>15856.9725</v>
      </c>
      <c r="G82" s="585"/>
      <c r="H82" s="510"/>
      <c r="I82" s="532"/>
      <c r="J82" s="616">
        <v>1.0236411020104244</v>
      </c>
      <c r="K82" s="615">
        <v>485.20588235294116</v>
      </c>
      <c r="L82" s="534">
        <v>16497</v>
      </c>
      <c r="M82" s="531"/>
      <c r="N82" s="557">
        <v>640.02750000000015</v>
      </c>
      <c r="O82" s="531"/>
      <c r="P82" s="510"/>
      <c r="Q82" s="534">
        <v>22461</v>
      </c>
      <c r="R82" s="531"/>
      <c r="S82" s="557">
        <v>-5964</v>
      </c>
      <c r="T82" s="510"/>
      <c r="U82" s="510"/>
      <c r="V82" s="510"/>
      <c r="W82" s="510"/>
      <c r="X82" s="510"/>
      <c r="Y82" s="510"/>
      <c r="Z82" s="510"/>
      <c r="AA82" s="510"/>
      <c r="AB82" s="510"/>
      <c r="AC82" s="510"/>
      <c r="AD82" s="510"/>
      <c r="AE82" s="510"/>
      <c r="AF82" s="510"/>
      <c r="AG82" s="510"/>
      <c r="AH82" s="510"/>
      <c r="AI82" s="510"/>
      <c r="AJ82" s="510"/>
      <c r="AK82" s="510"/>
      <c r="AL82" s="510"/>
      <c r="AM82" s="510"/>
      <c r="AN82" s="510"/>
    </row>
    <row r="83" spans="1:40" ht="15.75" customHeight="1">
      <c r="A83" s="523" t="s">
        <v>282</v>
      </c>
      <c r="B83" s="510" t="s">
        <v>0</v>
      </c>
      <c r="C83" s="592" t="s">
        <v>71</v>
      </c>
      <c r="D83" s="593"/>
      <c r="E83" s="594"/>
      <c r="F83" s="595">
        <v>78923.261212401456</v>
      </c>
      <c r="G83" s="596"/>
      <c r="H83" s="594"/>
      <c r="I83" s="595"/>
      <c r="J83" s="596"/>
      <c r="K83" s="594"/>
      <c r="L83" s="595">
        <v>90550</v>
      </c>
      <c r="M83" s="599"/>
      <c r="N83" s="595">
        <v>11626.738787598548</v>
      </c>
      <c r="O83" s="596"/>
      <c r="P83" s="594"/>
      <c r="Q83" s="595">
        <v>109177.85</v>
      </c>
      <c r="R83" s="599"/>
      <c r="S83" s="595">
        <v>-7071.8499999999985</v>
      </c>
      <c r="T83" s="510"/>
      <c r="U83" s="510"/>
      <c r="V83" s="510"/>
      <c r="W83" s="510"/>
      <c r="X83" s="510"/>
      <c r="Y83" s="510"/>
      <c r="Z83" s="510"/>
      <c r="AA83" s="510"/>
      <c r="AB83" s="510"/>
      <c r="AC83" s="510"/>
      <c r="AD83" s="510"/>
      <c r="AE83" s="510"/>
      <c r="AF83" s="510"/>
      <c r="AG83" s="510"/>
      <c r="AH83" s="510"/>
      <c r="AI83" s="510"/>
      <c r="AJ83" s="510"/>
      <c r="AK83" s="510"/>
      <c r="AL83" s="510"/>
      <c r="AM83" s="510"/>
      <c r="AN83" s="510"/>
    </row>
    <row r="84" spans="1:40" ht="15.75" customHeight="1">
      <c r="A84" s="523" t="s">
        <v>0</v>
      </c>
      <c r="B84" s="510" t="s">
        <v>0</v>
      </c>
      <c r="C84" s="617"/>
      <c r="D84" s="618"/>
      <c r="E84" s="619"/>
      <c r="F84" s="620"/>
      <c r="G84" s="621"/>
      <c r="H84" s="619"/>
      <c r="I84" s="620"/>
      <c r="J84" s="622"/>
      <c r="K84" s="623"/>
      <c r="L84" s="620"/>
      <c r="M84" s="622"/>
      <c r="N84" s="624"/>
      <c r="O84" s="622"/>
      <c r="P84" s="623"/>
      <c r="Q84" s="620"/>
      <c r="R84" s="622"/>
      <c r="S84" s="624"/>
      <c r="T84" s="510"/>
      <c r="U84" s="510"/>
      <c r="V84" s="510"/>
      <c r="W84" s="510"/>
      <c r="X84" s="510"/>
      <c r="Y84" s="510"/>
      <c r="Z84" s="510"/>
      <c r="AA84" s="510"/>
      <c r="AB84" s="510"/>
      <c r="AC84" s="510"/>
      <c r="AD84" s="510"/>
      <c r="AE84" s="510"/>
      <c r="AF84" s="510"/>
      <c r="AG84" s="510"/>
      <c r="AH84" s="510"/>
      <c r="AI84" s="510"/>
      <c r="AJ84" s="510"/>
      <c r="AK84" s="510"/>
      <c r="AL84" s="510"/>
      <c r="AM84" s="510"/>
      <c r="AN84" s="510"/>
    </row>
    <row r="85" spans="1:40" ht="22.5" customHeight="1" thickBot="1">
      <c r="A85" s="523" t="s">
        <v>283</v>
      </c>
      <c r="B85" s="510" t="s">
        <v>0</v>
      </c>
      <c r="C85" s="625" t="s">
        <v>72</v>
      </c>
      <c r="D85" s="626"/>
      <c r="E85" s="627"/>
      <c r="F85" s="628">
        <v>61267.192301965275</v>
      </c>
      <c r="G85" s="629"/>
      <c r="H85" s="627"/>
      <c r="I85" s="628"/>
      <c r="J85" s="629"/>
      <c r="K85" s="626"/>
      <c r="L85" s="628">
        <v>82131.299999999988</v>
      </c>
      <c r="M85" s="629"/>
      <c r="N85" s="628">
        <v>20864.107698034728</v>
      </c>
      <c r="O85" s="629"/>
      <c r="P85" s="630">
        <v>1.4678779180882796E-2</v>
      </c>
      <c r="Q85" s="628">
        <v>118887.77999999977</v>
      </c>
      <c r="R85" s="629"/>
      <c r="S85" s="628">
        <v>-25200.47999999977</v>
      </c>
      <c r="T85" s="510"/>
      <c r="U85" s="510"/>
      <c r="V85" s="510"/>
      <c r="W85" s="510"/>
      <c r="X85" s="510"/>
      <c r="Y85" s="510"/>
      <c r="Z85" s="510"/>
      <c r="AA85" s="510"/>
      <c r="AB85" s="510"/>
      <c r="AC85" s="510"/>
      <c r="AD85" s="510"/>
      <c r="AE85" s="510"/>
      <c r="AF85" s="510"/>
      <c r="AG85" s="510"/>
      <c r="AH85" s="510"/>
      <c r="AI85" s="510"/>
      <c r="AJ85" s="510"/>
      <c r="AK85" s="510"/>
      <c r="AL85" s="510"/>
      <c r="AM85" s="510"/>
      <c r="AN85" s="510"/>
    </row>
    <row r="86" spans="1:40" ht="15.75" customHeight="1" thickTop="1">
      <c r="B86" s="631"/>
      <c r="C86" s="631"/>
      <c r="D86" s="631"/>
      <c r="E86" s="631"/>
      <c r="F86" s="631"/>
      <c r="G86" s="631"/>
      <c r="H86" s="631"/>
      <c r="I86" s="631"/>
      <c r="J86" s="632"/>
      <c r="K86" s="631"/>
      <c r="L86" s="633"/>
      <c r="M86" s="631"/>
      <c r="N86" s="631"/>
      <c r="O86" s="631"/>
      <c r="P86" s="631"/>
      <c r="Q86" s="631"/>
      <c r="R86" s="631"/>
      <c r="S86" s="631"/>
      <c r="T86" s="631"/>
      <c r="U86" s="631"/>
      <c r="V86" s="631"/>
      <c r="W86" s="631"/>
      <c r="X86" s="631"/>
      <c r="Y86" s="631"/>
      <c r="Z86" s="631"/>
      <c r="AA86" s="631"/>
      <c r="AB86" s="631"/>
      <c r="AC86" s="631"/>
      <c r="AD86" s="631"/>
      <c r="AE86" s="631"/>
      <c r="AF86" s="631"/>
      <c r="AG86" s="631"/>
      <c r="AH86" s="631"/>
      <c r="AI86" s="631"/>
      <c r="AJ86" s="631"/>
      <c r="AK86" s="631"/>
      <c r="AL86" s="631"/>
      <c r="AM86" s="631"/>
      <c r="AN86" s="631"/>
    </row>
    <row r="87" spans="1:40" ht="12.75" customHeight="1">
      <c r="B87" s="631"/>
      <c r="C87" s="631"/>
      <c r="D87" s="631"/>
      <c r="E87" s="631"/>
      <c r="F87" s="631"/>
      <c r="G87" s="631"/>
      <c r="H87" s="631"/>
      <c r="I87" s="634"/>
      <c r="J87" s="631"/>
      <c r="K87" s="631"/>
      <c r="L87" s="631"/>
      <c r="M87" s="631"/>
      <c r="N87" s="631"/>
      <c r="O87" s="631"/>
      <c r="P87" s="631"/>
      <c r="Q87" s="631"/>
      <c r="R87" s="631"/>
      <c r="S87" s="631"/>
      <c r="T87" s="631"/>
      <c r="U87" s="631"/>
      <c r="V87" s="631"/>
      <c r="W87" s="631"/>
      <c r="X87" s="631"/>
      <c r="Y87" s="631"/>
      <c r="Z87" s="631"/>
      <c r="AA87" s="631"/>
      <c r="AB87" s="631"/>
      <c r="AC87" s="631"/>
      <c r="AD87" s="631"/>
      <c r="AE87" s="631"/>
      <c r="AF87" s="631"/>
      <c r="AG87" s="631"/>
      <c r="AH87" s="631"/>
      <c r="AI87" s="631"/>
      <c r="AJ87" s="631"/>
      <c r="AK87" s="631"/>
      <c r="AL87" s="631"/>
      <c r="AM87" s="631"/>
      <c r="AN87" s="631"/>
    </row>
    <row r="88" spans="1:40" ht="15.75" hidden="1" customHeight="1">
      <c r="B88" s="504"/>
      <c r="C88" s="507"/>
      <c r="D88" s="507"/>
      <c r="E88" s="507"/>
      <c r="F88" s="507"/>
      <c r="G88" s="507"/>
      <c r="H88" s="507"/>
      <c r="I88" s="507"/>
      <c r="J88" s="507"/>
      <c r="K88" s="507"/>
      <c r="L88" s="507"/>
      <c r="M88" s="507"/>
      <c r="N88" s="507"/>
      <c r="O88" s="507"/>
      <c r="P88" s="507"/>
      <c r="Q88" s="507"/>
      <c r="R88" s="507"/>
      <c r="S88" s="507"/>
      <c r="T88" s="507"/>
      <c r="U88" s="507"/>
    </row>
    <row r="89" spans="1:40" ht="33" customHeight="1">
      <c r="B89" s="496"/>
      <c r="C89" s="635" t="s">
        <v>478</v>
      </c>
      <c r="D89" s="498"/>
      <c r="E89" s="498"/>
      <c r="F89" s="498"/>
      <c r="G89" s="498"/>
      <c r="H89" s="496"/>
      <c r="I89" s="496"/>
      <c r="J89" s="496"/>
      <c r="K89" s="500" t="s">
        <v>73</v>
      </c>
      <c r="L89" s="498"/>
      <c r="M89" s="498"/>
      <c r="N89" s="496"/>
      <c r="O89" s="496"/>
      <c r="P89" s="498"/>
      <c r="Q89" s="496"/>
      <c r="R89" s="498"/>
      <c r="S89" s="636" t="s">
        <v>480</v>
      </c>
      <c r="T89" s="496"/>
      <c r="U89" s="496"/>
      <c r="V89" s="496"/>
      <c r="W89" s="496"/>
      <c r="X89" s="496"/>
      <c r="Y89" s="496"/>
      <c r="Z89" s="496"/>
      <c r="AA89" s="496"/>
      <c r="AB89" s="496"/>
      <c r="AC89" s="496"/>
      <c r="AD89" s="496"/>
      <c r="AE89" s="496"/>
      <c r="AF89" s="496"/>
      <c r="AG89" s="496"/>
      <c r="AH89" s="496"/>
      <c r="AI89" s="496"/>
      <c r="AJ89" s="496"/>
      <c r="AK89" s="496"/>
      <c r="AL89" s="496"/>
      <c r="AM89" s="496"/>
      <c r="AN89" s="496"/>
    </row>
    <row r="90" spans="1:40" ht="15.75" customHeight="1" thickBot="1">
      <c r="B90" s="504"/>
      <c r="C90" s="505"/>
      <c r="D90" s="507"/>
      <c r="E90" s="507"/>
      <c r="F90" s="507"/>
      <c r="G90" s="507"/>
      <c r="H90" s="507"/>
      <c r="I90" s="507"/>
      <c r="J90" s="507"/>
      <c r="K90" s="507"/>
      <c r="L90" s="507"/>
      <c r="M90" s="507"/>
      <c r="N90" s="507"/>
      <c r="O90" s="507"/>
      <c r="P90" s="507"/>
      <c r="Q90" s="507"/>
      <c r="R90" s="507"/>
      <c r="S90" s="507"/>
      <c r="T90" s="507"/>
      <c r="U90" s="507"/>
    </row>
    <row r="91" spans="1:40" ht="15.75" customHeight="1" thickTop="1">
      <c r="B91" s="510"/>
      <c r="C91" s="511"/>
      <c r="D91" s="512" t="s">
        <v>5</v>
      </c>
      <c r="E91" s="513"/>
      <c r="F91" s="514"/>
      <c r="G91" s="515"/>
      <c r="H91" s="513"/>
      <c r="I91" s="514"/>
      <c r="J91" s="515" t="s">
        <v>7</v>
      </c>
      <c r="K91" s="513"/>
      <c r="L91" s="514"/>
      <c r="M91" s="515" t="s">
        <v>220</v>
      </c>
      <c r="N91" s="514"/>
      <c r="O91" s="512" t="s">
        <v>8</v>
      </c>
      <c r="P91" s="513"/>
      <c r="Q91" s="514"/>
      <c r="R91" s="515" t="s">
        <v>221</v>
      </c>
      <c r="S91" s="514"/>
      <c r="T91" s="510"/>
      <c r="U91" s="510"/>
      <c r="V91" s="510"/>
      <c r="W91" s="510"/>
      <c r="X91" s="510"/>
      <c r="Y91" s="510"/>
      <c r="Z91" s="510"/>
      <c r="AA91" s="510"/>
      <c r="AB91" s="510"/>
      <c r="AC91" s="510"/>
      <c r="AD91" s="510"/>
      <c r="AE91" s="510"/>
      <c r="AF91" s="510"/>
      <c r="AG91" s="510"/>
      <c r="AH91" s="510"/>
      <c r="AI91" s="510"/>
      <c r="AJ91" s="510"/>
      <c r="AK91" s="510"/>
      <c r="AL91" s="510"/>
      <c r="AM91" s="510"/>
      <c r="AN91" s="510"/>
    </row>
    <row r="92" spans="1:40" ht="15.75" customHeight="1">
      <c r="B92" s="510"/>
      <c r="C92" s="531"/>
      <c r="D92" s="519" t="s">
        <v>10</v>
      </c>
      <c r="E92" s="520" t="s">
        <v>11</v>
      </c>
      <c r="F92" s="521" t="s">
        <v>12</v>
      </c>
      <c r="G92" s="522"/>
      <c r="H92" s="520"/>
      <c r="I92" s="521"/>
      <c r="J92" s="522" t="s">
        <v>472</v>
      </c>
      <c r="K92" s="520" t="s">
        <v>13</v>
      </c>
      <c r="L92" s="521" t="s">
        <v>12</v>
      </c>
      <c r="M92" s="522" t="s">
        <v>472</v>
      </c>
      <c r="N92" s="521" t="s">
        <v>12</v>
      </c>
      <c r="O92" s="520" t="s">
        <v>10</v>
      </c>
      <c r="P92" s="520" t="s">
        <v>11</v>
      </c>
      <c r="Q92" s="521" t="s">
        <v>12</v>
      </c>
      <c r="R92" s="522" t="s">
        <v>472</v>
      </c>
      <c r="S92" s="521" t="s">
        <v>12</v>
      </c>
      <c r="T92" s="510"/>
      <c r="U92" s="510"/>
      <c r="V92" s="510"/>
      <c r="W92" s="510"/>
      <c r="X92" s="510"/>
      <c r="Y92" s="510"/>
      <c r="Z92" s="510"/>
      <c r="AA92" s="510"/>
      <c r="AB92" s="510"/>
      <c r="AC92" s="510"/>
      <c r="AD92" s="510"/>
      <c r="AE92" s="510"/>
      <c r="AF92" s="510"/>
      <c r="AG92" s="510"/>
      <c r="AH92" s="510"/>
      <c r="AI92" s="510"/>
      <c r="AJ92" s="510"/>
      <c r="AK92" s="510"/>
      <c r="AL92" s="510"/>
      <c r="AM92" s="510"/>
      <c r="AN92" s="510"/>
    </row>
    <row r="93" spans="1:40" ht="24" customHeight="1">
      <c r="A93" s="523" t="s">
        <v>284</v>
      </c>
      <c r="B93" s="510" t="s">
        <v>73</v>
      </c>
      <c r="C93" s="524" t="s">
        <v>15</v>
      </c>
      <c r="D93" s="528"/>
      <c r="E93" s="528"/>
      <c r="F93" s="526">
        <v>1310599.6163986055</v>
      </c>
      <c r="G93" s="545"/>
      <c r="H93" s="528"/>
      <c r="I93" s="526"/>
      <c r="J93" s="524"/>
      <c r="K93" s="528"/>
      <c r="L93" s="526">
        <v>803576.3600000001</v>
      </c>
      <c r="M93" s="637"/>
      <c r="N93" s="638"/>
      <c r="O93" s="524"/>
      <c r="P93" s="528"/>
      <c r="Q93" s="526">
        <v>780381.81</v>
      </c>
      <c r="R93" s="637"/>
      <c r="S93" s="638"/>
      <c r="T93" s="510"/>
      <c r="U93" s="510"/>
      <c r="V93" s="510"/>
      <c r="W93" s="510"/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0"/>
      <c r="AK93" s="510"/>
      <c r="AL93" s="510"/>
      <c r="AM93" s="510"/>
      <c r="AN93" s="510"/>
    </row>
    <row r="94" spans="1:40" ht="21.75" customHeight="1">
      <c r="A94" s="523" t="s">
        <v>285</v>
      </c>
      <c r="B94" s="510" t="s">
        <v>73</v>
      </c>
      <c r="C94" s="531" t="s">
        <v>75</v>
      </c>
      <c r="D94" s="532">
        <v>24.18</v>
      </c>
      <c r="E94" s="532">
        <v>1800</v>
      </c>
      <c r="F94" s="532">
        <v>43524</v>
      </c>
      <c r="G94" s="533"/>
      <c r="H94" s="532"/>
      <c r="I94" s="532"/>
      <c r="J94" s="533">
        <v>17</v>
      </c>
      <c r="K94" s="532">
        <v>1130.9829411764697</v>
      </c>
      <c r="L94" s="534">
        <v>19226.709999999985</v>
      </c>
      <c r="M94" s="533">
        <v>-7.18</v>
      </c>
      <c r="N94" s="534">
        <v>-24297.290000000015</v>
      </c>
      <c r="O94" s="533">
        <v>13</v>
      </c>
      <c r="P94" s="532">
        <v>972.76230769230767</v>
      </c>
      <c r="Q94" s="534">
        <v>12645.91</v>
      </c>
      <c r="R94" s="533">
        <v>4</v>
      </c>
      <c r="S94" s="534">
        <v>6580.7999999999847</v>
      </c>
      <c r="T94" s="510"/>
      <c r="U94" s="510"/>
      <c r="V94" s="510"/>
      <c r="W94" s="510"/>
      <c r="X94" s="510"/>
      <c r="Y94" s="510"/>
      <c r="Z94" s="510"/>
      <c r="AA94" s="510"/>
      <c r="AB94" s="510"/>
      <c r="AC94" s="510"/>
      <c r="AD94" s="510"/>
      <c r="AE94" s="510"/>
      <c r="AF94" s="510"/>
      <c r="AG94" s="510"/>
      <c r="AH94" s="510"/>
      <c r="AI94" s="510"/>
      <c r="AJ94" s="510"/>
      <c r="AK94" s="510"/>
      <c r="AL94" s="510"/>
      <c r="AM94" s="510"/>
      <c r="AN94" s="510"/>
    </row>
    <row r="95" spans="1:40" ht="18.75" customHeight="1">
      <c r="A95" s="523" t="s">
        <v>286</v>
      </c>
      <c r="B95" s="510" t="s">
        <v>73</v>
      </c>
      <c r="C95" s="531" t="s">
        <v>76</v>
      </c>
      <c r="D95" s="532">
        <v>1.3639999999999999</v>
      </c>
      <c r="E95" s="532">
        <v>1800</v>
      </c>
      <c r="F95" s="532">
        <v>2455.1999999999998</v>
      </c>
      <c r="G95" s="533"/>
      <c r="H95" s="532"/>
      <c r="I95" s="532"/>
      <c r="J95" s="533">
        <v>0</v>
      </c>
      <c r="K95" s="532">
        <v>0</v>
      </c>
      <c r="L95" s="534">
        <v>-471.43</v>
      </c>
      <c r="M95" s="533">
        <v>-1.3639999999999999</v>
      </c>
      <c r="N95" s="534">
        <v>-2926.6299999999997</v>
      </c>
      <c r="O95" s="533">
        <v>5</v>
      </c>
      <c r="P95" s="532">
        <v>1770.3879999999979</v>
      </c>
      <c r="Q95" s="534">
        <v>8851.9399999999896</v>
      </c>
      <c r="R95" s="533">
        <v>-5</v>
      </c>
      <c r="S95" s="534">
        <v>-9323.3699999999899</v>
      </c>
      <c r="T95" s="510"/>
      <c r="U95" s="510"/>
      <c r="V95" s="639"/>
      <c r="W95" s="510"/>
      <c r="X95" s="510"/>
      <c r="Y95" s="510"/>
      <c r="Z95" s="510"/>
      <c r="AA95" s="510"/>
      <c r="AB95" s="510"/>
      <c r="AC95" s="510"/>
      <c r="AD95" s="510"/>
      <c r="AE95" s="510"/>
      <c r="AF95" s="510"/>
      <c r="AG95" s="510"/>
      <c r="AH95" s="510"/>
      <c r="AI95" s="510"/>
      <c r="AJ95" s="510"/>
      <c r="AK95" s="510"/>
      <c r="AL95" s="510"/>
      <c r="AM95" s="510"/>
      <c r="AN95" s="510"/>
    </row>
    <row r="96" spans="1:40" ht="18.75" customHeight="1">
      <c r="A96" s="523" t="s">
        <v>287</v>
      </c>
      <c r="B96" s="510" t="s">
        <v>73</v>
      </c>
      <c r="C96" s="531" t="s">
        <v>224</v>
      </c>
      <c r="D96" s="532">
        <v>0.80600000000000005</v>
      </c>
      <c r="E96" s="528">
        <v>1799.9999999999998</v>
      </c>
      <c r="F96" s="532">
        <v>1450.8</v>
      </c>
      <c r="G96" s="533"/>
      <c r="H96" s="532"/>
      <c r="I96" s="532"/>
      <c r="J96" s="533">
        <v>1</v>
      </c>
      <c r="K96" s="532">
        <v>2147.6000000000004</v>
      </c>
      <c r="L96" s="534">
        <v>2147.6000000000004</v>
      </c>
      <c r="M96" s="533">
        <v>0.19399999999999995</v>
      </c>
      <c r="N96" s="534">
        <v>696.80000000000041</v>
      </c>
      <c r="O96" s="533">
        <v>0</v>
      </c>
      <c r="P96" s="532">
        <v>0</v>
      </c>
      <c r="Q96" s="534">
        <v>0</v>
      </c>
      <c r="R96" s="533">
        <v>1</v>
      </c>
      <c r="S96" s="534">
        <v>2147.6000000000004</v>
      </c>
      <c r="T96" s="510"/>
      <c r="U96" s="510"/>
      <c r="V96" s="639"/>
      <c r="W96" s="510"/>
      <c r="X96" s="510"/>
      <c r="Y96" s="510"/>
      <c r="Z96" s="510"/>
      <c r="AA96" s="510"/>
      <c r="AB96" s="510"/>
      <c r="AC96" s="510"/>
      <c r="AD96" s="510"/>
      <c r="AE96" s="510"/>
      <c r="AF96" s="510"/>
      <c r="AG96" s="510"/>
      <c r="AH96" s="510"/>
      <c r="AI96" s="510"/>
      <c r="AJ96" s="510"/>
      <c r="AK96" s="510"/>
      <c r="AL96" s="510"/>
      <c r="AM96" s="510"/>
      <c r="AN96" s="510"/>
    </row>
    <row r="97" spans="1:40" ht="15.75" customHeight="1">
      <c r="A97" s="523" t="s">
        <v>288</v>
      </c>
      <c r="B97" s="510" t="s">
        <v>73</v>
      </c>
      <c r="C97" s="537" t="s">
        <v>77</v>
      </c>
      <c r="D97" s="538">
        <v>26.35</v>
      </c>
      <c r="E97" s="532">
        <v>1800</v>
      </c>
      <c r="F97" s="539">
        <v>47430</v>
      </c>
      <c r="G97" s="540"/>
      <c r="H97" s="538"/>
      <c r="I97" s="539"/>
      <c r="J97" s="540">
        <v>18</v>
      </c>
      <c r="K97" s="538">
        <v>1161.2711111111103</v>
      </c>
      <c r="L97" s="539">
        <v>20902.879999999983</v>
      </c>
      <c r="M97" s="540">
        <v>-8.3500000000000014</v>
      </c>
      <c r="N97" s="539">
        <v>-26527.120000000017</v>
      </c>
      <c r="O97" s="540">
        <v>18</v>
      </c>
      <c r="P97" s="538">
        <v>1194.3249999999996</v>
      </c>
      <c r="Q97" s="539">
        <v>21497.849999999991</v>
      </c>
      <c r="R97" s="540">
        <v>-1</v>
      </c>
      <c r="S97" s="539">
        <v>-2742.5700000000052</v>
      </c>
      <c r="T97" s="510"/>
      <c r="U97" s="510"/>
      <c r="V97" s="510"/>
      <c r="W97" s="510"/>
      <c r="X97" s="510"/>
      <c r="Y97" s="510"/>
      <c r="Z97" s="510"/>
      <c r="AA97" s="510"/>
      <c r="AB97" s="510"/>
      <c r="AC97" s="573"/>
      <c r="AD97" s="510"/>
      <c r="AE97" s="510"/>
      <c r="AF97" s="573"/>
      <c r="AG97" s="510"/>
      <c r="AH97" s="510"/>
      <c r="AI97" s="510"/>
      <c r="AJ97" s="510"/>
      <c r="AK97" s="510"/>
      <c r="AL97" s="510"/>
      <c r="AM97" s="510"/>
      <c r="AN97" s="510"/>
    </row>
    <row r="98" spans="1:40" ht="15.75" customHeight="1">
      <c r="A98" s="523" t="s">
        <v>73</v>
      </c>
      <c r="B98" s="510" t="s">
        <v>73</v>
      </c>
      <c r="C98" s="531"/>
      <c r="D98" s="510"/>
      <c r="E98" s="532">
        <v>0</v>
      </c>
      <c r="F98" s="541"/>
      <c r="G98" s="531"/>
      <c r="H98" s="510"/>
      <c r="I98" s="541"/>
      <c r="J98" s="531"/>
      <c r="K98" s="510"/>
      <c r="L98" s="541"/>
      <c r="M98" s="640">
        <v>-0.31688804554079703</v>
      </c>
      <c r="N98" s="641">
        <v>-0.55928990090659958</v>
      </c>
      <c r="O98" s="531"/>
      <c r="P98" s="510">
        <v>0</v>
      </c>
      <c r="Q98" s="541"/>
      <c r="R98" s="640">
        <v>-5.5555555555555552E-2</v>
      </c>
      <c r="S98" s="641">
        <v>-0.12757415276411391</v>
      </c>
      <c r="T98" s="510"/>
      <c r="U98" s="510"/>
      <c r="V98" s="510"/>
      <c r="W98" s="510"/>
      <c r="X98" s="510"/>
      <c r="Y98" s="510"/>
      <c r="Z98" s="510"/>
      <c r="AA98" s="510"/>
      <c r="AB98" s="510"/>
      <c r="AC98" s="510"/>
      <c r="AD98" s="510"/>
      <c r="AE98" s="510"/>
      <c r="AF98" s="510"/>
      <c r="AG98" s="510"/>
      <c r="AH98" s="510"/>
      <c r="AI98" s="510"/>
      <c r="AJ98" s="510"/>
      <c r="AK98" s="510"/>
      <c r="AL98" s="510"/>
      <c r="AM98" s="510"/>
      <c r="AN98" s="510"/>
    </row>
    <row r="99" spans="1:40" ht="15.75" customHeight="1">
      <c r="A99" s="523" t="s">
        <v>73</v>
      </c>
      <c r="B99" s="510" t="s">
        <v>73</v>
      </c>
      <c r="C99" s="531"/>
      <c r="D99" s="532">
        <v>0</v>
      </c>
      <c r="E99" s="532">
        <v>0</v>
      </c>
      <c r="F99" s="532">
        <v>0</v>
      </c>
      <c r="G99" s="533"/>
      <c r="H99" s="532"/>
      <c r="I99" s="532"/>
      <c r="J99" s="533"/>
      <c r="K99" s="532"/>
      <c r="L99" s="534"/>
      <c r="M99" s="533"/>
      <c r="N99" s="534"/>
      <c r="O99" s="533"/>
      <c r="P99" s="532"/>
      <c r="Q99" s="534"/>
      <c r="R99" s="533"/>
      <c r="S99" s="534"/>
      <c r="T99" s="510"/>
      <c r="U99" s="510"/>
      <c r="V99" s="510"/>
      <c r="W99" s="532"/>
      <c r="X99" s="532"/>
      <c r="Y99" s="510"/>
      <c r="Z99" s="510"/>
      <c r="AA99" s="510"/>
      <c r="AB99" s="510"/>
      <c r="AC99" s="510"/>
      <c r="AD99" s="510"/>
      <c r="AE99" s="510"/>
      <c r="AF99" s="510"/>
      <c r="AG99" s="510"/>
      <c r="AH99" s="510"/>
      <c r="AI99" s="510"/>
      <c r="AJ99" s="510"/>
      <c r="AK99" s="510"/>
      <c r="AL99" s="510"/>
      <c r="AM99" s="510"/>
      <c r="AN99" s="510"/>
    </row>
    <row r="100" spans="1:40" ht="15.75" customHeight="1">
      <c r="A100" s="523" t="s">
        <v>289</v>
      </c>
      <c r="B100" s="510" t="s">
        <v>73</v>
      </c>
      <c r="C100" s="531" t="s">
        <v>78</v>
      </c>
      <c r="D100" s="532">
        <v>26.97</v>
      </c>
      <c r="E100" s="532">
        <v>400</v>
      </c>
      <c r="F100" s="532">
        <v>10788</v>
      </c>
      <c r="G100" s="533"/>
      <c r="H100" s="532"/>
      <c r="I100" s="532"/>
      <c r="J100" s="533">
        <v>22</v>
      </c>
      <c r="K100" s="532">
        <v>-477.45000000000107</v>
      </c>
      <c r="L100" s="534">
        <v>-10503.900000000023</v>
      </c>
      <c r="M100" s="533">
        <v>-4.9699999999999989</v>
      </c>
      <c r="N100" s="534">
        <v>-21291.900000000023</v>
      </c>
      <c r="O100" s="533">
        <v>21</v>
      </c>
      <c r="P100" s="532">
        <v>-377.50523809523713</v>
      </c>
      <c r="Q100" s="534">
        <v>-7927.6099999999797</v>
      </c>
      <c r="R100" s="533">
        <v>1</v>
      </c>
      <c r="S100" s="534">
        <v>-2576.2900000000436</v>
      </c>
      <c r="T100" s="510"/>
      <c r="U100" s="532"/>
      <c r="V100" s="510"/>
      <c r="W100" s="510"/>
      <c r="X100" s="510"/>
      <c r="Y100" s="510"/>
      <c r="Z100" s="510"/>
      <c r="AA100" s="510"/>
      <c r="AB100" s="510"/>
      <c r="AC100" s="573"/>
      <c r="AD100" s="510"/>
      <c r="AE100" s="510"/>
      <c r="AF100" s="642"/>
      <c r="AG100" s="510"/>
      <c r="AH100" s="510"/>
      <c r="AI100" s="510"/>
      <c r="AJ100" s="510"/>
      <c r="AK100" s="510"/>
      <c r="AL100" s="510"/>
      <c r="AM100" s="510"/>
      <c r="AN100" s="510"/>
    </row>
    <row r="101" spans="1:40" ht="15.75" customHeight="1">
      <c r="A101" s="523" t="s">
        <v>73</v>
      </c>
      <c r="B101" s="510" t="s">
        <v>73</v>
      </c>
      <c r="C101" s="524"/>
      <c r="D101" s="528"/>
      <c r="E101" s="528"/>
      <c r="F101" s="526"/>
      <c r="G101" s="545"/>
      <c r="H101" s="528"/>
      <c r="I101" s="526"/>
      <c r="J101" s="545"/>
      <c r="K101" s="528"/>
      <c r="L101" s="526"/>
      <c r="M101" s="546"/>
      <c r="N101" s="643"/>
      <c r="O101" s="545"/>
      <c r="P101" s="528"/>
      <c r="Q101" s="526"/>
      <c r="R101" s="546"/>
      <c r="S101" s="643"/>
      <c r="T101" s="510"/>
      <c r="U101" s="510"/>
      <c r="V101" s="510"/>
      <c r="W101" s="532"/>
      <c r="X101" s="510"/>
      <c r="Y101" s="510"/>
      <c r="Z101" s="510"/>
      <c r="AA101" s="510"/>
      <c r="AB101" s="510"/>
      <c r="AC101" s="510"/>
      <c r="AD101" s="510"/>
      <c r="AE101" s="510"/>
      <c r="AF101" s="642"/>
      <c r="AG101" s="510"/>
      <c r="AH101" s="510"/>
      <c r="AI101" s="510"/>
      <c r="AJ101" s="510"/>
      <c r="AK101" s="510"/>
      <c r="AL101" s="510"/>
      <c r="AM101" s="510"/>
      <c r="AN101" s="510"/>
    </row>
    <row r="102" spans="1:40" ht="15.75" customHeight="1">
      <c r="A102" s="523" t="s">
        <v>290</v>
      </c>
      <c r="B102" s="510" t="s">
        <v>73</v>
      </c>
      <c r="C102" s="531" t="s">
        <v>25</v>
      </c>
      <c r="D102" s="532">
        <v>0</v>
      </c>
      <c r="E102" s="532">
        <v>0</v>
      </c>
      <c r="F102" s="534">
        <v>18445</v>
      </c>
      <c r="G102" s="533"/>
      <c r="H102" s="532"/>
      <c r="I102" s="532"/>
      <c r="J102" s="533"/>
      <c r="K102" s="532">
        <v>217.00944444444445</v>
      </c>
      <c r="L102" s="534">
        <v>3906.17</v>
      </c>
      <c r="M102" s="533"/>
      <c r="N102" s="534">
        <v>-14538.83</v>
      </c>
      <c r="O102" s="533"/>
      <c r="P102" s="532"/>
      <c r="Q102" s="534">
        <v>5284.87</v>
      </c>
      <c r="R102" s="533">
        <v>-217.00944444444445</v>
      </c>
      <c r="S102" s="534">
        <v>-1378.6999999999998</v>
      </c>
      <c r="T102" s="510"/>
      <c r="U102" s="510"/>
      <c r="V102" s="510"/>
      <c r="W102" s="510"/>
      <c r="X102" s="510"/>
      <c r="Y102" s="510"/>
      <c r="Z102" s="510"/>
      <c r="AA102" s="510"/>
      <c r="AB102" s="510"/>
      <c r="AC102" s="510"/>
      <c r="AD102" s="510"/>
      <c r="AE102" s="510"/>
      <c r="AF102" s="510"/>
      <c r="AG102" s="510"/>
      <c r="AH102" s="510"/>
      <c r="AI102" s="510"/>
      <c r="AJ102" s="510"/>
      <c r="AK102" s="510"/>
      <c r="AL102" s="510"/>
      <c r="AM102" s="510"/>
      <c r="AN102" s="510"/>
    </row>
    <row r="103" spans="1:40" ht="15.75" customHeight="1">
      <c r="A103" s="523" t="s">
        <v>291</v>
      </c>
      <c r="B103" s="510" t="s">
        <v>73</v>
      </c>
      <c r="C103" s="531" t="s">
        <v>26</v>
      </c>
      <c r="D103" s="532">
        <v>0</v>
      </c>
      <c r="E103" s="532">
        <v>0</v>
      </c>
      <c r="F103" s="534">
        <v>38207.5</v>
      </c>
      <c r="G103" s="533"/>
      <c r="H103" s="532"/>
      <c r="I103" s="532"/>
      <c r="J103" s="533"/>
      <c r="K103" s="532">
        <v>1575.7438888888889</v>
      </c>
      <c r="L103" s="534">
        <v>28363.39</v>
      </c>
      <c r="M103" s="533"/>
      <c r="N103" s="534">
        <v>-9844.11</v>
      </c>
      <c r="O103" s="533"/>
      <c r="P103" s="532"/>
      <c r="Q103" s="534">
        <v>18547.9899999999</v>
      </c>
      <c r="R103" s="533">
        <v>-1575.7438888888889</v>
      </c>
      <c r="S103" s="534">
        <v>9815.4000000000997</v>
      </c>
      <c r="T103" s="510"/>
      <c r="U103" s="510"/>
      <c r="V103" s="510"/>
      <c r="W103" s="510"/>
      <c r="X103" s="510"/>
      <c r="Y103" s="510"/>
      <c r="Z103" s="510"/>
      <c r="AA103" s="510"/>
      <c r="AB103" s="510"/>
      <c r="AC103" s="510"/>
      <c r="AD103" s="510"/>
      <c r="AE103" s="510"/>
      <c r="AF103" s="510"/>
      <c r="AG103" s="510"/>
      <c r="AH103" s="510"/>
      <c r="AI103" s="510"/>
      <c r="AJ103" s="510"/>
      <c r="AK103" s="510"/>
      <c r="AL103" s="510"/>
      <c r="AM103" s="510"/>
      <c r="AN103" s="510"/>
    </row>
    <row r="104" spans="1:40" ht="15.75" customHeight="1">
      <c r="A104" s="523" t="s">
        <v>292</v>
      </c>
      <c r="B104" s="510" t="s">
        <v>73</v>
      </c>
      <c r="C104" s="531" t="s">
        <v>27</v>
      </c>
      <c r="D104" s="532">
        <v>0</v>
      </c>
      <c r="E104" s="528">
        <v>0</v>
      </c>
      <c r="F104" s="534">
        <v>1317.5</v>
      </c>
      <c r="G104" s="533"/>
      <c r="H104" s="528"/>
      <c r="I104" s="532"/>
      <c r="J104" s="533"/>
      <c r="K104" s="528">
        <v>0</v>
      </c>
      <c r="L104" s="534">
        <v>0</v>
      </c>
      <c r="M104" s="545"/>
      <c r="N104" s="534">
        <v>-1317.5</v>
      </c>
      <c r="O104" s="533"/>
      <c r="P104" s="528"/>
      <c r="Q104" s="534">
        <v>0</v>
      </c>
      <c r="R104" s="533">
        <v>0</v>
      </c>
      <c r="S104" s="534">
        <v>0</v>
      </c>
      <c r="T104" s="510"/>
      <c r="U104" s="510"/>
      <c r="V104" s="510"/>
      <c r="W104" s="510"/>
      <c r="X104" s="510"/>
      <c r="Y104" s="510"/>
      <c r="Z104" s="510"/>
      <c r="AA104" s="510"/>
      <c r="AB104" s="510"/>
      <c r="AC104" s="510"/>
      <c r="AD104" s="510"/>
      <c r="AE104" s="510"/>
      <c r="AF104" s="510"/>
      <c r="AG104" s="510"/>
      <c r="AH104" s="510"/>
      <c r="AI104" s="510"/>
      <c r="AJ104" s="510"/>
      <c r="AK104" s="510"/>
      <c r="AL104" s="510"/>
      <c r="AM104" s="510"/>
      <c r="AN104" s="510"/>
    </row>
    <row r="105" spans="1:40" ht="15.75" customHeight="1">
      <c r="A105" s="523" t="s">
        <v>293</v>
      </c>
      <c r="B105" s="510" t="s">
        <v>73</v>
      </c>
      <c r="C105" s="537" t="s">
        <v>28</v>
      </c>
      <c r="D105" s="538">
        <v>26.35</v>
      </c>
      <c r="E105" s="532">
        <v>2200</v>
      </c>
      <c r="F105" s="539">
        <v>57970</v>
      </c>
      <c r="G105" s="540"/>
      <c r="H105" s="538"/>
      <c r="I105" s="539"/>
      <c r="J105" s="540">
        <v>18</v>
      </c>
      <c r="K105" s="538">
        <v>1792.7533333333331</v>
      </c>
      <c r="L105" s="539">
        <v>32269.559999999998</v>
      </c>
      <c r="M105" s="533">
        <v>-8.3500000000000014</v>
      </c>
      <c r="N105" s="539">
        <v>-25700.440000000002</v>
      </c>
      <c r="O105" s="540">
        <v>18</v>
      </c>
      <c r="P105" s="538">
        <v>1324.0477777777721</v>
      </c>
      <c r="Q105" s="539">
        <v>23832.859999999899</v>
      </c>
      <c r="R105" s="554"/>
      <c r="S105" s="539">
        <v>8436.700000000099</v>
      </c>
      <c r="T105" s="510"/>
      <c r="U105" s="510"/>
      <c r="V105" s="510"/>
      <c r="W105" s="510"/>
      <c r="X105" s="510"/>
      <c r="Y105" s="510"/>
      <c r="Z105" s="510"/>
      <c r="AA105" s="510"/>
      <c r="AB105" s="510"/>
      <c r="AC105" s="510"/>
      <c r="AD105" s="510"/>
      <c r="AE105" s="510"/>
      <c r="AF105" s="510"/>
      <c r="AG105" s="510"/>
      <c r="AH105" s="510"/>
      <c r="AI105" s="510"/>
      <c r="AJ105" s="510"/>
      <c r="AK105" s="510"/>
      <c r="AL105" s="510"/>
      <c r="AM105" s="510"/>
      <c r="AN105" s="510"/>
    </row>
    <row r="106" spans="1:40" ht="15.75" customHeight="1">
      <c r="A106" s="523" t="s">
        <v>73</v>
      </c>
      <c r="B106" s="510" t="s">
        <v>73</v>
      </c>
      <c r="C106" s="531"/>
      <c r="D106" s="510"/>
      <c r="E106" s="510"/>
      <c r="F106" s="557"/>
      <c r="G106" s="531"/>
      <c r="H106" s="644"/>
      <c r="I106" s="557"/>
      <c r="J106" s="531"/>
      <c r="K106" s="510"/>
      <c r="L106" s="557"/>
      <c r="M106" s="548"/>
      <c r="N106" s="549">
        <v>-0.44334034845609804</v>
      </c>
      <c r="O106" s="531"/>
      <c r="P106" s="510"/>
      <c r="Q106" s="557"/>
      <c r="R106" s="558"/>
      <c r="S106" s="549">
        <v>0.35399444296656529</v>
      </c>
      <c r="T106" s="510"/>
      <c r="U106" s="510"/>
      <c r="V106" s="510"/>
      <c r="W106" s="510"/>
      <c r="X106" s="510"/>
      <c r="Y106" s="510"/>
      <c r="Z106" s="510"/>
      <c r="AA106" s="510"/>
      <c r="AB106" s="510"/>
      <c r="AC106" s="510"/>
      <c r="AD106" s="510"/>
      <c r="AE106" s="510"/>
      <c r="AF106" s="510"/>
      <c r="AG106" s="510"/>
      <c r="AH106" s="510"/>
      <c r="AI106" s="510"/>
      <c r="AJ106" s="510"/>
      <c r="AK106" s="510"/>
      <c r="AL106" s="510"/>
      <c r="AM106" s="510"/>
      <c r="AN106" s="510"/>
    </row>
    <row r="107" spans="1:40" ht="15.75" customHeight="1" thickBot="1">
      <c r="A107" s="523" t="s">
        <v>73</v>
      </c>
      <c r="B107" s="510" t="s">
        <v>73</v>
      </c>
      <c r="C107" s="531"/>
      <c r="D107" s="510"/>
      <c r="E107" s="510"/>
      <c r="F107" s="557"/>
      <c r="G107" s="531"/>
      <c r="H107" s="644"/>
      <c r="I107" s="557"/>
      <c r="J107" s="531"/>
      <c r="K107" s="510"/>
      <c r="L107" s="557"/>
      <c r="M107" s="548"/>
      <c r="N107" s="549"/>
      <c r="O107" s="531"/>
      <c r="P107" s="510"/>
      <c r="Q107" s="557"/>
      <c r="R107" s="558"/>
      <c r="S107" s="549"/>
      <c r="T107" s="510"/>
      <c r="U107" s="510"/>
      <c r="V107" s="510"/>
      <c r="W107" s="510"/>
      <c r="X107" s="510"/>
      <c r="Y107" s="510"/>
      <c r="Z107" s="510"/>
      <c r="AA107" s="510"/>
      <c r="AB107" s="510"/>
      <c r="AC107" s="510"/>
      <c r="AD107" s="510"/>
      <c r="AE107" s="510"/>
      <c r="AF107" s="510"/>
      <c r="AG107" s="510"/>
      <c r="AH107" s="510"/>
      <c r="AI107" s="510"/>
      <c r="AJ107" s="510"/>
      <c r="AK107" s="510"/>
      <c r="AL107" s="510"/>
      <c r="AM107" s="510"/>
      <c r="AN107" s="510"/>
    </row>
    <row r="108" spans="1:40" ht="23.25" customHeight="1" thickTop="1">
      <c r="A108" s="523" t="s">
        <v>294</v>
      </c>
      <c r="B108" s="510" t="s">
        <v>73</v>
      </c>
      <c r="C108" s="559" t="s">
        <v>79</v>
      </c>
      <c r="D108" s="560">
        <v>53.32</v>
      </c>
      <c r="E108" s="561">
        <v>2179.0697674418607</v>
      </c>
      <c r="F108" s="562">
        <v>116188</v>
      </c>
      <c r="G108" s="563"/>
      <c r="H108" s="645"/>
      <c r="I108" s="562"/>
      <c r="J108" s="563">
        <v>40</v>
      </c>
      <c r="K108" s="561">
        <v>1066.7134999999989</v>
      </c>
      <c r="L108" s="562">
        <v>42668.539999999957</v>
      </c>
      <c r="M108" s="563">
        <v>-13.32</v>
      </c>
      <c r="N108" s="562">
        <v>-73519.46000000005</v>
      </c>
      <c r="O108" s="563">
        <v>39</v>
      </c>
      <c r="P108" s="561">
        <v>959.05384615384389</v>
      </c>
      <c r="Q108" s="562">
        <v>37403.099999999911</v>
      </c>
      <c r="R108" s="563">
        <v>1</v>
      </c>
      <c r="S108" s="562">
        <v>5265.440000000046</v>
      </c>
      <c r="T108" s="510"/>
      <c r="U108" s="510"/>
      <c r="V108" s="510"/>
      <c r="W108" s="510"/>
      <c r="X108" s="510"/>
      <c r="Y108" s="510"/>
      <c r="Z108" s="510"/>
      <c r="AA108" s="510"/>
      <c r="AB108" s="510"/>
      <c r="AC108" s="510"/>
      <c r="AD108" s="510"/>
      <c r="AE108" s="510"/>
      <c r="AF108" s="510"/>
      <c r="AG108" s="510"/>
      <c r="AH108" s="510"/>
      <c r="AI108" s="510"/>
      <c r="AJ108" s="510"/>
      <c r="AK108" s="510"/>
      <c r="AL108" s="510"/>
      <c r="AM108" s="510"/>
      <c r="AN108" s="510"/>
    </row>
    <row r="109" spans="1:40" ht="19.5" customHeight="1" thickBot="1">
      <c r="A109" s="523" t="s">
        <v>73</v>
      </c>
      <c r="B109" s="510" t="s">
        <v>73</v>
      </c>
      <c r="C109" s="564"/>
      <c r="D109" s="565"/>
      <c r="E109" s="565"/>
      <c r="F109" s="566"/>
      <c r="G109" s="564"/>
      <c r="H109" s="565"/>
      <c r="I109" s="566"/>
      <c r="J109" s="564"/>
      <c r="K109" s="565"/>
      <c r="L109" s="568">
        <v>0.36723706406857815</v>
      </c>
      <c r="M109" s="569">
        <v>-0.24981245311327832</v>
      </c>
      <c r="N109" s="570">
        <v>-0.63276293593142197</v>
      </c>
      <c r="O109" s="564"/>
      <c r="P109" s="565"/>
      <c r="Q109" s="566"/>
      <c r="R109" s="646">
        <v>39</v>
      </c>
      <c r="S109" s="647">
        <v>0.14077549721814658</v>
      </c>
      <c r="T109" s="510"/>
      <c r="U109" s="510"/>
      <c r="V109" s="510"/>
      <c r="W109" s="510"/>
      <c r="X109" s="510"/>
      <c r="Y109" s="510"/>
      <c r="Z109" s="510"/>
      <c r="AA109" s="510"/>
      <c r="AB109" s="510"/>
      <c r="AC109" s="510"/>
      <c r="AD109" s="510"/>
      <c r="AE109" s="510"/>
      <c r="AF109" s="510"/>
      <c r="AG109" s="510"/>
      <c r="AH109" s="510"/>
      <c r="AI109" s="510"/>
      <c r="AJ109" s="510"/>
      <c r="AK109" s="510"/>
      <c r="AL109" s="510"/>
      <c r="AM109" s="510"/>
      <c r="AN109" s="510"/>
    </row>
    <row r="110" spans="1:40" ht="15.75" customHeight="1" thickTop="1">
      <c r="A110" s="523" t="s">
        <v>73</v>
      </c>
      <c r="B110" s="510" t="s">
        <v>73</v>
      </c>
      <c r="C110" s="550"/>
      <c r="D110" s="571"/>
      <c r="E110" s="571"/>
      <c r="F110" s="572"/>
      <c r="G110" s="550"/>
      <c r="H110" s="571"/>
      <c r="I110" s="572"/>
      <c r="J110" s="550"/>
      <c r="K110" s="571"/>
      <c r="L110" s="572"/>
      <c r="M110" s="548"/>
      <c r="N110" s="549"/>
      <c r="O110" s="550"/>
      <c r="P110" s="571"/>
      <c r="Q110" s="572"/>
      <c r="R110" s="548"/>
      <c r="S110" s="549"/>
      <c r="T110" s="510"/>
      <c r="U110" s="510"/>
      <c r="V110" s="510"/>
      <c r="W110" s="510"/>
      <c r="X110" s="510"/>
      <c r="Y110" s="510"/>
      <c r="Z110" s="510"/>
      <c r="AA110" s="510"/>
      <c r="AB110" s="510"/>
      <c r="AC110" s="510"/>
      <c r="AD110" s="510"/>
      <c r="AE110" s="510"/>
      <c r="AF110" s="510"/>
      <c r="AG110" s="510"/>
      <c r="AH110" s="510"/>
      <c r="AI110" s="510"/>
      <c r="AJ110" s="510"/>
      <c r="AK110" s="510"/>
      <c r="AL110" s="510"/>
      <c r="AM110" s="510"/>
      <c r="AN110" s="510"/>
    </row>
    <row r="111" spans="1:40" ht="15.75" customHeight="1">
      <c r="A111" s="523" t="s">
        <v>295</v>
      </c>
      <c r="B111" s="510" t="s">
        <v>73</v>
      </c>
      <c r="C111" s="574" t="s">
        <v>30</v>
      </c>
      <c r="D111" s="510"/>
      <c r="E111" s="575"/>
      <c r="F111" s="557"/>
      <c r="G111" s="531"/>
      <c r="H111" s="575"/>
      <c r="I111" s="557"/>
      <c r="J111" s="531"/>
      <c r="K111" s="575"/>
      <c r="L111" s="541"/>
      <c r="M111" s="531"/>
      <c r="N111" s="541"/>
      <c r="O111" s="531"/>
      <c r="P111" s="575"/>
      <c r="Q111" s="541"/>
      <c r="R111" s="531"/>
      <c r="S111" s="541"/>
      <c r="T111" s="510"/>
      <c r="U111" s="510"/>
      <c r="V111" s="510"/>
      <c r="W111" s="510"/>
      <c r="X111" s="510"/>
      <c r="Y111" s="510"/>
      <c r="Z111" s="510"/>
      <c r="AA111" s="510"/>
      <c r="AB111" s="510"/>
      <c r="AC111" s="510"/>
      <c r="AD111" s="510"/>
      <c r="AE111" s="510"/>
      <c r="AF111" s="510"/>
      <c r="AG111" s="510"/>
      <c r="AH111" s="510"/>
      <c r="AI111" s="510"/>
      <c r="AJ111" s="510"/>
      <c r="AK111" s="510"/>
      <c r="AL111" s="510"/>
      <c r="AM111" s="510"/>
      <c r="AN111" s="510"/>
    </row>
    <row r="112" spans="1:40" ht="15.75" customHeight="1">
      <c r="A112" s="523" t="s">
        <v>296</v>
      </c>
      <c r="B112" s="510" t="s">
        <v>73</v>
      </c>
      <c r="C112" s="531" t="s">
        <v>31</v>
      </c>
      <c r="D112" s="648">
        <v>0.33</v>
      </c>
      <c r="E112" s="573">
        <v>594</v>
      </c>
      <c r="F112" s="532">
        <v>15651.900000000001</v>
      </c>
      <c r="G112" s="577"/>
      <c r="H112" s="573"/>
      <c r="I112" s="532"/>
      <c r="J112" s="577">
        <v>0.6584728994282133</v>
      </c>
      <c r="K112" s="573">
        <v>764.66555555555556</v>
      </c>
      <c r="L112" s="534">
        <v>13763.98</v>
      </c>
      <c r="M112" s="531"/>
      <c r="N112" s="557">
        <v>-1887.9200000000019</v>
      </c>
      <c r="O112" s="578">
        <v>0.51745407098849439</v>
      </c>
      <c r="P112" s="573">
        <v>618.00833333333333</v>
      </c>
      <c r="Q112" s="534">
        <v>11124.15</v>
      </c>
      <c r="R112" s="531"/>
      <c r="S112" s="557">
        <v>2639.83</v>
      </c>
      <c r="T112" s="510"/>
      <c r="U112" s="510"/>
      <c r="V112" s="510"/>
      <c r="W112" s="510"/>
      <c r="X112" s="510"/>
      <c r="Y112" s="510"/>
      <c r="Z112" s="510"/>
      <c r="AA112" s="510"/>
      <c r="AB112" s="510"/>
      <c r="AC112" s="510"/>
      <c r="AD112" s="510"/>
      <c r="AE112" s="510"/>
      <c r="AF112" s="510"/>
      <c r="AG112" s="510"/>
      <c r="AH112" s="510"/>
      <c r="AI112" s="510"/>
      <c r="AJ112" s="510"/>
      <c r="AK112" s="510"/>
      <c r="AL112" s="510"/>
      <c r="AM112" s="510"/>
      <c r="AN112" s="510"/>
    </row>
    <row r="113" spans="1:40" ht="15.75" customHeight="1">
      <c r="A113" s="523" t="s">
        <v>297</v>
      </c>
      <c r="B113" s="510" t="s">
        <v>73</v>
      </c>
      <c r="C113" s="524" t="s">
        <v>32</v>
      </c>
      <c r="D113" s="649">
        <v>0.3</v>
      </c>
      <c r="E113" s="580">
        <v>660</v>
      </c>
      <c r="F113" s="526">
        <v>17391</v>
      </c>
      <c r="G113" s="581"/>
      <c r="H113" s="580"/>
      <c r="I113" s="526"/>
      <c r="J113" s="581">
        <v>0.29999665319266827</v>
      </c>
      <c r="K113" s="580">
        <v>537.82000000000005</v>
      </c>
      <c r="L113" s="534">
        <v>9680.76</v>
      </c>
      <c r="M113" s="524"/>
      <c r="N113" s="582">
        <v>-7710.24</v>
      </c>
      <c r="O113" s="583">
        <v>0.24309170156396989</v>
      </c>
      <c r="P113" s="580">
        <v>395.0577777777778</v>
      </c>
      <c r="Q113" s="534">
        <v>7111.04</v>
      </c>
      <c r="R113" s="524"/>
      <c r="S113" s="582">
        <v>2569.7200000000003</v>
      </c>
      <c r="T113" s="510"/>
      <c r="U113" s="510"/>
      <c r="V113" s="510"/>
      <c r="W113" s="510"/>
      <c r="X113" s="510"/>
      <c r="Y113" s="510"/>
      <c r="Z113" s="510"/>
      <c r="AA113" s="510"/>
      <c r="AB113" s="510"/>
      <c r="AC113" s="510"/>
      <c r="AD113" s="510"/>
      <c r="AE113" s="510"/>
      <c r="AF113" s="510"/>
      <c r="AG113" s="510"/>
      <c r="AH113" s="510"/>
      <c r="AI113" s="510"/>
      <c r="AJ113" s="510"/>
      <c r="AK113" s="510"/>
      <c r="AL113" s="510"/>
      <c r="AM113" s="510"/>
      <c r="AN113" s="510"/>
    </row>
    <row r="114" spans="1:40" ht="15.75" customHeight="1">
      <c r="A114" s="523" t="s">
        <v>298</v>
      </c>
      <c r="B114" s="510" t="s">
        <v>73</v>
      </c>
      <c r="C114" s="531" t="s">
        <v>33</v>
      </c>
      <c r="D114" s="584"/>
      <c r="E114" s="573">
        <v>10</v>
      </c>
      <c r="F114" s="532">
        <v>263.5</v>
      </c>
      <c r="G114" s="585"/>
      <c r="H114" s="573"/>
      <c r="I114" s="532"/>
      <c r="J114" s="531"/>
      <c r="K114" s="573">
        <v>81.843333333333334</v>
      </c>
      <c r="L114" s="553">
        <v>1473.18</v>
      </c>
      <c r="M114" s="531"/>
      <c r="N114" s="557">
        <v>1209.68</v>
      </c>
      <c r="O114" s="531"/>
      <c r="P114" s="573">
        <v>-108.94499999999999</v>
      </c>
      <c r="Q114" s="553">
        <v>-1961.01</v>
      </c>
      <c r="R114" s="531"/>
      <c r="S114" s="557">
        <v>3434.19</v>
      </c>
      <c r="T114" s="510"/>
      <c r="U114" s="510"/>
      <c r="V114" s="510"/>
      <c r="W114" s="532"/>
      <c r="X114" s="510"/>
      <c r="Y114" s="510"/>
      <c r="Z114" s="510"/>
      <c r="AA114" s="510"/>
      <c r="AB114" s="510"/>
      <c r="AC114" s="510"/>
      <c r="AD114" s="510"/>
      <c r="AE114" s="510"/>
      <c r="AF114" s="510"/>
      <c r="AG114" s="510"/>
      <c r="AH114" s="510"/>
      <c r="AI114" s="510"/>
      <c r="AJ114" s="510"/>
      <c r="AK114" s="510"/>
      <c r="AL114" s="510"/>
      <c r="AM114" s="510"/>
      <c r="AN114" s="510"/>
    </row>
    <row r="115" spans="1:40" ht="15.75" customHeight="1">
      <c r="A115" s="523" t="s">
        <v>299</v>
      </c>
      <c r="B115" s="510" t="s">
        <v>73</v>
      </c>
      <c r="C115" s="531" t="s">
        <v>34</v>
      </c>
      <c r="D115" s="584"/>
      <c r="E115" s="573">
        <v>7</v>
      </c>
      <c r="F115" s="532">
        <v>184.45000000000002</v>
      </c>
      <c r="G115" s="585"/>
      <c r="H115" s="573"/>
      <c r="I115" s="532"/>
      <c r="J115" s="531"/>
      <c r="K115" s="573">
        <v>-93.088888888888889</v>
      </c>
      <c r="L115" s="534">
        <v>-1675.6</v>
      </c>
      <c r="M115" s="531"/>
      <c r="N115" s="557">
        <v>-1860.05</v>
      </c>
      <c r="O115" s="531"/>
      <c r="P115" s="573">
        <v>59.646111111111118</v>
      </c>
      <c r="Q115" s="534">
        <v>1073.6300000000001</v>
      </c>
      <c r="R115" s="531"/>
      <c r="S115" s="557">
        <v>-2749.23</v>
      </c>
      <c r="T115" s="510"/>
      <c r="U115" s="510"/>
      <c r="V115" s="510"/>
      <c r="W115" s="532"/>
      <c r="X115" s="510"/>
      <c r="Y115" s="510"/>
      <c r="Z115" s="510"/>
      <c r="AA115" s="510"/>
      <c r="AB115" s="510"/>
      <c r="AC115" s="510"/>
      <c r="AD115" s="510"/>
      <c r="AE115" s="510"/>
      <c r="AF115" s="510"/>
      <c r="AG115" s="510"/>
      <c r="AH115" s="510"/>
      <c r="AI115" s="510"/>
      <c r="AJ115" s="510"/>
      <c r="AK115" s="510"/>
      <c r="AL115" s="510"/>
      <c r="AM115" s="510"/>
      <c r="AN115" s="510"/>
    </row>
    <row r="116" spans="1:40" ht="15.75" customHeight="1">
      <c r="A116" s="523" t="s">
        <v>300</v>
      </c>
      <c r="B116" s="510" t="s">
        <v>73</v>
      </c>
      <c r="C116" s="524" t="s">
        <v>35</v>
      </c>
      <c r="D116" s="587"/>
      <c r="E116" s="580">
        <v>161.99999999999997</v>
      </c>
      <c r="F116" s="526">
        <v>4268.7</v>
      </c>
      <c r="G116" s="588"/>
      <c r="H116" s="580"/>
      <c r="I116" s="526"/>
      <c r="J116" s="524"/>
      <c r="K116" s="580">
        <v>210.19611111111112</v>
      </c>
      <c r="L116" s="526">
        <v>3783.53</v>
      </c>
      <c r="M116" s="524"/>
      <c r="N116" s="582">
        <v>-485.16999999999962</v>
      </c>
      <c r="O116" s="524"/>
      <c r="P116" s="580">
        <v>198.72333333333333</v>
      </c>
      <c r="Q116" s="526">
        <v>3577.02</v>
      </c>
      <c r="R116" s="524"/>
      <c r="S116" s="582">
        <v>206.51000000000022</v>
      </c>
      <c r="T116" s="510"/>
      <c r="U116" s="573"/>
      <c r="V116" s="510"/>
      <c r="W116" s="532"/>
      <c r="X116" s="510"/>
      <c r="Y116" s="510"/>
      <c r="Z116" s="510"/>
      <c r="AA116" s="510"/>
      <c r="AB116" s="510"/>
      <c r="AC116" s="510"/>
      <c r="AD116" s="510"/>
      <c r="AE116" s="510"/>
      <c r="AF116" s="510"/>
      <c r="AG116" s="510"/>
      <c r="AH116" s="510"/>
      <c r="AI116" s="510"/>
      <c r="AJ116" s="510"/>
      <c r="AK116" s="510"/>
      <c r="AL116" s="510"/>
      <c r="AM116" s="510"/>
      <c r="AN116" s="510"/>
    </row>
    <row r="117" spans="1:40" ht="19.5" customHeight="1">
      <c r="A117" s="523" t="s">
        <v>301</v>
      </c>
      <c r="B117" s="510" t="s">
        <v>73</v>
      </c>
      <c r="C117" s="531" t="s">
        <v>36</v>
      </c>
      <c r="D117" s="584"/>
      <c r="E117" s="573">
        <v>475.02846299810244</v>
      </c>
      <c r="F117" s="532">
        <v>12517</v>
      </c>
      <c r="G117" s="585"/>
      <c r="H117" s="573"/>
      <c r="I117" s="532"/>
      <c r="J117" s="531"/>
      <c r="K117" s="573">
        <v>779.38055555555559</v>
      </c>
      <c r="L117" s="534">
        <v>14028.85</v>
      </c>
      <c r="M117" s="531"/>
      <c r="N117" s="557">
        <v>1511.8500000000004</v>
      </c>
      <c r="O117" s="531"/>
      <c r="P117" s="573">
        <v>1058.9533333333334</v>
      </c>
      <c r="Q117" s="534">
        <v>19061.16</v>
      </c>
      <c r="R117" s="531"/>
      <c r="S117" s="557">
        <v>-5032.3099999999995</v>
      </c>
      <c r="T117" s="510"/>
      <c r="U117" s="510"/>
      <c r="V117" s="510"/>
      <c r="W117" s="532"/>
      <c r="Z117" s="510"/>
      <c r="AA117" s="510"/>
      <c r="AB117" s="510"/>
      <c r="AC117" s="510"/>
      <c r="AD117" s="510"/>
      <c r="AE117" s="510"/>
      <c r="AF117" s="510"/>
      <c r="AG117" s="510"/>
      <c r="AH117" s="510"/>
      <c r="AI117" s="510"/>
      <c r="AJ117" s="510"/>
      <c r="AK117" s="510"/>
      <c r="AL117" s="510"/>
      <c r="AM117" s="510"/>
      <c r="AN117" s="510"/>
    </row>
    <row r="118" spans="1:40" ht="15.75" customHeight="1">
      <c r="A118" s="523" t="s">
        <v>302</v>
      </c>
      <c r="B118" s="510" t="s">
        <v>73</v>
      </c>
      <c r="C118" s="531" t="s">
        <v>37</v>
      </c>
      <c r="D118" s="584"/>
      <c r="E118" s="573">
        <v>234.01356944378549</v>
      </c>
      <c r="F118" s="532">
        <v>6166.257554843748</v>
      </c>
      <c r="G118" s="585"/>
      <c r="H118" s="573"/>
      <c r="I118" s="532"/>
      <c r="J118" s="531"/>
      <c r="K118" s="573">
        <v>139.49944444444444</v>
      </c>
      <c r="L118" s="534">
        <v>2510.9899999999998</v>
      </c>
      <c r="M118" s="531"/>
      <c r="N118" s="557">
        <v>-3655.2675548437483</v>
      </c>
      <c r="O118" s="531"/>
      <c r="P118" s="573">
        <v>20.087222222222223</v>
      </c>
      <c r="Q118" s="534">
        <v>361.57</v>
      </c>
      <c r="R118" s="531"/>
      <c r="S118" s="557">
        <v>2149.4199999999996</v>
      </c>
      <c r="T118" s="510"/>
      <c r="U118" s="510"/>
      <c r="V118" s="510"/>
      <c r="W118" s="532"/>
      <c r="X118" s="510"/>
      <c r="Y118" s="510"/>
      <c r="Z118" s="510"/>
      <c r="AA118" s="510"/>
      <c r="AB118" s="510"/>
      <c r="AC118" s="510"/>
      <c r="AD118" s="510"/>
      <c r="AE118" s="510"/>
      <c r="AF118" s="510"/>
      <c r="AG118" s="510"/>
      <c r="AH118" s="510"/>
      <c r="AI118" s="510"/>
      <c r="AJ118" s="510"/>
      <c r="AK118" s="510"/>
      <c r="AL118" s="510"/>
      <c r="AM118" s="510"/>
      <c r="AN118" s="510"/>
    </row>
    <row r="119" spans="1:40" ht="15.75" hidden="1" customHeight="1">
      <c r="A119" s="523" t="s">
        <v>303</v>
      </c>
      <c r="B119" s="510" t="s">
        <v>73</v>
      </c>
      <c r="C119" s="531" t="s">
        <v>20</v>
      </c>
      <c r="D119" s="584"/>
      <c r="E119" s="573">
        <v>0</v>
      </c>
      <c r="F119" s="532">
        <v>0</v>
      </c>
      <c r="G119" s="585"/>
      <c r="H119" s="573"/>
      <c r="I119" s="532"/>
      <c r="J119" s="531"/>
      <c r="K119" s="573">
        <v>0</v>
      </c>
      <c r="L119" s="534">
        <v>0</v>
      </c>
      <c r="M119" s="531"/>
      <c r="N119" s="557">
        <v>0</v>
      </c>
      <c r="O119" s="531"/>
      <c r="P119" s="573">
        <v>0</v>
      </c>
      <c r="Q119" s="534">
        <v>0</v>
      </c>
      <c r="R119" s="531"/>
      <c r="S119" s="557">
        <v>0</v>
      </c>
      <c r="T119" s="510"/>
      <c r="U119" s="510"/>
      <c r="V119" s="510"/>
      <c r="W119" s="510"/>
      <c r="X119" s="510"/>
      <c r="Y119" s="510"/>
      <c r="Z119" s="510"/>
      <c r="AA119" s="510"/>
      <c r="AB119" s="510"/>
      <c r="AC119" s="510"/>
      <c r="AD119" s="510"/>
      <c r="AE119" s="510"/>
      <c r="AF119" s="510"/>
      <c r="AG119" s="510"/>
      <c r="AH119" s="510"/>
      <c r="AI119" s="510"/>
      <c r="AJ119" s="510"/>
      <c r="AK119" s="510"/>
      <c r="AL119" s="510"/>
      <c r="AM119" s="510"/>
      <c r="AN119" s="510"/>
    </row>
    <row r="120" spans="1:40" ht="15.75" hidden="1" customHeight="1">
      <c r="A120" s="523" t="s">
        <v>303</v>
      </c>
      <c r="B120" s="510" t="s">
        <v>73</v>
      </c>
      <c r="C120" s="531" t="s">
        <v>20</v>
      </c>
      <c r="D120" s="584"/>
      <c r="E120" s="573">
        <v>0</v>
      </c>
      <c r="F120" s="532">
        <v>0</v>
      </c>
      <c r="G120" s="585"/>
      <c r="H120" s="573"/>
      <c r="I120" s="532"/>
      <c r="J120" s="531"/>
      <c r="K120" s="573">
        <v>0</v>
      </c>
      <c r="L120" s="534">
        <v>0</v>
      </c>
      <c r="M120" s="531"/>
      <c r="N120" s="557">
        <v>0</v>
      </c>
      <c r="O120" s="531"/>
      <c r="P120" s="573">
        <v>0</v>
      </c>
      <c r="Q120" s="534">
        <v>0</v>
      </c>
      <c r="R120" s="531"/>
      <c r="S120" s="557">
        <v>0</v>
      </c>
      <c r="T120" s="510"/>
      <c r="U120" s="510"/>
      <c r="V120" s="510"/>
      <c r="W120" s="510"/>
      <c r="X120" s="510"/>
      <c r="Y120" s="510"/>
      <c r="Z120" s="510"/>
      <c r="AA120" s="510"/>
      <c r="AB120" s="510"/>
      <c r="AC120" s="510"/>
      <c r="AD120" s="510"/>
      <c r="AE120" s="510"/>
      <c r="AF120" s="510"/>
      <c r="AG120" s="510"/>
      <c r="AH120" s="510"/>
      <c r="AI120" s="510"/>
      <c r="AJ120" s="510"/>
      <c r="AK120" s="510"/>
      <c r="AL120" s="510"/>
      <c r="AM120" s="510"/>
      <c r="AN120" s="510"/>
    </row>
    <row r="121" spans="1:40" ht="15.75" hidden="1" customHeight="1">
      <c r="A121" s="523" t="s">
        <v>303</v>
      </c>
      <c r="B121" s="510" t="s">
        <v>73</v>
      </c>
      <c r="C121" s="531" t="s">
        <v>20</v>
      </c>
      <c r="D121" s="584"/>
      <c r="E121" s="573">
        <v>0</v>
      </c>
      <c r="F121" s="532">
        <v>0</v>
      </c>
      <c r="G121" s="585"/>
      <c r="H121" s="573"/>
      <c r="I121" s="532"/>
      <c r="J121" s="531"/>
      <c r="K121" s="573">
        <v>0</v>
      </c>
      <c r="L121" s="534">
        <v>0</v>
      </c>
      <c r="M121" s="531"/>
      <c r="N121" s="557">
        <v>0</v>
      </c>
      <c r="O121" s="531"/>
      <c r="P121" s="573">
        <v>0</v>
      </c>
      <c r="Q121" s="534">
        <v>0</v>
      </c>
      <c r="R121" s="531"/>
      <c r="S121" s="557">
        <v>0</v>
      </c>
      <c r="T121" s="510"/>
      <c r="U121" s="510"/>
      <c r="V121" s="510"/>
      <c r="W121" s="510"/>
      <c r="X121" s="510"/>
      <c r="Y121" s="510"/>
      <c r="Z121" s="510"/>
      <c r="AA121" s="510"/>
      <c r="AB121" s="510"/>
      <c r="AC121" s="510"/>
      <c r="AD121" s="510"/>
      <c r="AE121" s="510"/>
      <c r="AF121" s="510"/>
      <c r="AG121" s="510"/>
      <c r="AH121" s="510"/>
      <c r="AI121" s="510"/>
      <c r="AJ121" s="510"/>
      <c r="AK121" s="510"/>
      <c r="AL121" s="510"/>
      <c r="AM121" s="510"/>
      <c r="AN121" s="510"/>
    </row>
    <row r="122" spans="1:40" ht="15.75" customHeight="1">
      <c r="A122" s="523" t="s">
        <v>304</v>
      </c>
      <c r="B122" s="510" t="s">
        <v>73</v>
      </c>
      <c r="C122" s="592" t="s">
        <v>38</v>
      </c>
      <c r="D122" s="593" t="s">
        <v>39</v>
      </c>
      <c r="E122" s="594">
        <v>0.48578861461462236</v>
      </c>
      <c r="F122" s="595">
        <v>56442.807554843741</v>
      </c>
      <c r="G122" s="596"/>
      <c r="H122" s="594"/>
      <c r="I122" s="595"/>
      <c r="J122" s="596" t="s">
        <v>39</v>
      </c>
      <c r="K122" s="594">
        <v>1.0210260299508733</v>
      </c>
      <c r="L122" s="595">
        <v>43565.689999999995</v>
      </c>
      <c r="M122" s="599"/>
      <c r="N122" s="595">
        <v>-12877.117554843746</v>
      </c>
      <c r="O122" s="596" t="s">
        <v>39</v>
      </c>
      <c r="P122" s="594">
        <v>1.0787223518906213</v>
      </c>
      <c r="Q122" s="595">
        <v>40347.56</v>
      </c>
      <c r="R122" s="599"/>
      <c r="S122" s="595">
        <v>3218.1299999999974</v>
      </c>
      <c r="T122" s="510"/>
      <c r="U122" s="510"/>
      <c r="X122" s="510"/>
      <c r="Y122" s="510"/>
      <c r="Z122" s="510"/>
      <c r="AA122" s="510"/>
      <c r="AB122" s="510"/>
      <c r="AC122" s="510"/>
      <c r="AD122" s="510"/>
      <c r="AE122" s="510"/>
      <c r="AF122" s="510"/>
      <c r="AG122" s="510"/>
      <c r="AH122" s="510"/>
      <c r="AI122" s="510"/>
      <c r="AJ122" s="510"/>
      <c r="AK122" s="510"/>
      <c r="AL122" s="510"/>
      <c r="AM122" s="510"/>
      <c r="AN122" s="510"/>
    </row>
    <row r="123" spans="1:40" ht="15.75" customHeight="1">
      <c r="A123" s="523" t="s">
        <v>305</v>
      </c>
      <c r="B123" s="510" t="s">
        <v>73</v>
      </c>
      <c r="C123" s="600" t="s">
        <v>41</v>
      </c>
      <c r="D123" s="510"/>
      <c r="E123" s="510"/>
      <c r="F123" s="532">
        <v>12590.7</v>
      </c>
      <c r="G123" s="531"/>
      <c r="H123" s="510"/>
      <c r="I123" s="532"/>
      <c r="J123" s="531"/>
      <c r="K123" s="510"/>
      <c r="L123" s="534">
        <v>7657.96</v>
      </c>
      <c r="M123" s="531"/>
      <c r="N123" s="557">
        <v>-4932.7400000000007</v>
      </c>
      <c r="O123" s="531"/>
      <c r="P123" s="510"/>
      <c r="Q123" s="534">
        <v>10212.93</v>
      </c>
      <c r="R123" s="531"/>
      <c r="S123" s="557">
        <v>-2554.9700000000003</v>
      </c>
      <c r="T123" s="510"/>
      <c r="U123" s="510"/>
      <c r="V123" s="510"/>
      <c r="W123" s="510"/>
      <c r="X123" s="510"/>
      <c r="Y123" s="510"/>
      <c r="Z123" s="510"/>
      <c r="AA123" s="510"/>
      <c r="AB123" s="510"/>
      <c r="AC123" s="510"/>
      <c r="AD123" s="510"/>
      <c r="AE123" s="510"/>
      <c r="AF123" s="510"/>
      <c r="AG123" s="510"/>
      <c r="AH123" s="510"/>
      <c r="AI123" s="510"/>
      <c r="AJ123" s="510"/>
      <c r="AK123" s="510"/>
      <c r="AL123" s="510"/>
      <c r="AM123" s="510"/>
      <c r="AN123" s="510"/>
    </row>
    <row r="124" spans="1:40" ht="15.75" customHeight="1">
      <c r="A124" s="523" t="s">
        <v>306</v>
      </c>
      <c r="B124" s="510" t="s">
        <v>73</v>
      </c>
      <c r="C124" s="602" t="s">
        <v>42</v>
      </c>
      <c r="D124" s="584"/>
      <c r="E124" s="510"/>
      <c r="F124" s="526">
        <v>4255.0024615384618</v>
      </c>
      <c r="G124" s="585"/>
      <c r="H124" s="510"/>
      <c r="I124" s="526"/>
      <c r="J124" s="531"/>
      <c r="K124" s="510"/>
      <c r="L124" s="526">
        <v>1842.07</v>
      </c>
      <c r="M124" s="531"/>
      <c r="N124" s="557">
        <v>-2412.9324615384621</v>
      </c>
      <c r="O124" s="531"/>
      <c r="P124" s="510"/>
      <c r="Q124" s="526">
        <v>6522.44</v>
      </c>
      <c r="R124" s="531"/>
      <c r="S124" s="557">
        <v>-4680.37</v>
      </c>
      <c r="T124" s="510"/>
      <c r="U124" s="510"/>
      <c r="V124" s="510"/>
      <c r="W124" s="510"/>
      <c r="X124" s="510"/>
      <c r="Y124" s="510"/>
      <c r="Z124" s="510"/>
      <c r="AA124" s="510"/>
      <c r="AB124" s="510"/>
      <c r="AC124" s="510"/>
      <c r="AD124" s="510"/>
      <c r="AE124" s="510"/>
      <c r="AF124" s="510"/>
      <c r="AG124" s="510"/>
      <c r="AH124" s="510"/>
      <c r="AI124" s="510"/>
      <c r="AJ124" s="510"/>
      <c r="AK124" s="510"/>
      <c r="AL124" s="510"/>
      <c r="AM124" s="510"/>
      <c r="AN124" s="510"/>
    </row>
    <row r="125" spans="1:40" ht="15.75" customHeight="1">
      <c r="A125" s="523" t="s">
        <v>307</v>
      </c>
      <c r="B125" s="510" t="s">
        <v>73</v>
      </c>
      <c r="C125" s="600" t="s">
        <v>43</v>
      </c>
      <c r="D125" s="603"/>
      <c r="E125" s="604"/>
      <c r="F125" s="532">
        <v>5693.6923076923076</v>
      </c>
      <c r="G125" s="605"/>
      <c r="H125" s="604"/>
      <c r="I125" s="532"/>
      <c r="J125" s="518"/>
      <c r="K125" s="604"/>
      <c r="L125" s="534">
        <v>6383.58</v>
      </c>
      <c r="M125" s="518"/>
      <c r="N125" s="606">
        <v>689.8876923076923</v>
      </c>
      <c r="O125" s="518"/>
      <c r="P125" s="604"/>
      <c r="Q125" s="534">
        <v>5890.94</v>
      </c>
      <c r="R125" s="518"/>
      <c r="S125" s="606">
        <v>492.64000000000033</v>
      </c>
      <c r="T125" s="510"/>
      <c r="U125" s="510"/>
      <c r="V125" s="510"/>
      <c r="W125" s="510"/>
      <c r="X125" s="510"/>
      <c r="Y125" s="510"/>
      <c r="Z125" s="510"/>
      <c r="AA125" s="510"/>
      <c r="AB125" s="510"/>
      <c r="AC125" s="510"/>
      <c r="AD125" s="510"/>
      <c r="AE125" s="510"/>
      <c r="AF125" s="510"/>
      <c r="AG125" s="510"/>
      <c r="AH125" s="510"/>
      <c r="AI125" s="510"/>
      <c r="AJ125" s="510"/>
      <c r="AK125" s="510"/>
      <c r="AL125" s="510"/>
      <c r="AM125" s="510"/>
      <c r="AN125" s="510"/>
    </row>
    <row r="126" spans="1:40" ht="15.75" customHeight="1">
      <c r="A126" s="523" t="s">
        <v>308</v>
      </c>
      <c r="B126" s="510" t="s">
        <v>73</v>
      </c>
      <c r="C126" s="600" t="s">
        <v>44</v>
      </c>
      <c r="D126" s="584"/>
      <c r="E126" s="510"/>
      <c r="F126" s="532">
        <v>0</v>
      </c>
      <c r="G126" s="585"/>
      <c r="H126" s="510"/>
      <c r="I126" s="532"/>
      <c r="J126" s="531"/>
      <c r="K126" s="510"/>
      <c r="L126" s="534">
        <v>0</v>
      </c>
      <c r="M126" s="531"/>
      <c r="N126" s="557">
        <v>0</v>
      </c>
      <c r="O126" s="531"/>
      <c r="P126" s="510"/>
      <c r="Q126" s="534">
        <v>0</v>
      </c>
      <c r="R126" s="531"/>
      <c r="S126" s="557">
        <v>0</v>
      </c>
      <c r="T126" s="510"/>
      <c r="U126" s="510"/>
      <c r="V126" s="510"/>
      <c r="W126" s="510"/>
      <c r="X126" s="510"/>
      <c r="Y126" s="510"/>
      <c r="Z126" s="510"/>
      <c r="AA126" s="510"/>
      <c r="AB126" s="510"/>
      <c r="AC126" s="510"/>
      <c r="AD126" s="510"/>
      <c r="AE126" s="510"/>
      <c r="AF126" s="510"/>
      <c r="AG126" s="510"/>
      <c r="AH126" s="510"/>
      <c r="AI126" s="510"/>
      <c r="AJ126" s="510"/>
      <c r="AK126" s="510"/>
      <c r="AL126" s="510"/>
      <c r="AM126" s="510"/>
      <c r="AN126" s="510"/>
    </row>
    <row r="127" spans="1:40" ht="15.75" hidden="1" customHeight="1">
      <c r="A127" s="523" t="s">
        <v>303</v>
      </c>
      <c r="B127" s="510" t="s">
        <v>73</v>
      </c>
      <c r="C127" s="600" t="s">
        <v>20</v>
      </c>
      <c r="D127" s="584"/>
      <c r="E127" s="510"/>
      <c r="F127" s="532">
        <v>0</v>
      </c>
      <c r="G127" s="585"/>
      <c r="H127" s="510"/>
      <c r="I127" s="532"/>
      <c r="J127" s="531"/>
      <c r="K127" s="510"/>
      <c r="L127" s="534">
        <v>0</v>
      </c>
      <c r="M127" s="531"/>
      <c r="N127" s="557">
        <v>0</v>
      </c>
      <c r="O127" s="531"/>
      <c r="P127" s="510"/>
      <c r="Q127" s="534">
        <v>0</v>
      </c>
      <c r="R127" s="531"/>
      <c r="S127" s="557">
        <v>0</v>
      </c>
      <c r="T127" s="510"/>
      <c r="U127" s="510"/>
      <c r="V127" s="510"/>
      <c r="W127" s="510"/>
      <c r="X127" s="510"/>
      <c r="Y127" s="510"/>
      <c r="Z127" s="510"/>
      <c r="AA127" s="510"/>
      <c r="AB127" s="510"/>
      <c r="AC127" s="510"/>
      <c r="AD127" s="510"/>
      <c r="AE127" s="510"/>
      <c r="AF127" s="510"/>
      <c r="AG127" s="510"/>
      <c r="AH127" s="510"/>
      <c r="AI127" s="510"/>
      <c r="AJ127" s="510"/>
      <c r="AK127" s="510"/>
      <c r="AL127" s="510"/>
      <c r="AM127" s="510"/>
      <c r="AN127" s="510"/>
    </row>
    <row r="128" spans="1:40" ht="15.75" hidden="1" customHeight="1">
      <c r="A128" s="523" t="s">
        <v>303</v>
      </c>
      <c r="B128" s="510" t="s">
        <v>73</v>
      </c>
      <c r="C128" s="600" t="s">
        <v>20</v>
      </c>
      <c r="D128" s="584"/>
      <c r="E128" s="510"/>
      <c r="F128" s="532">
        <v>0</v>
      </c>
      <c r="G128" s="585"/>
      <c r="H128" s="510"/>
      <c r="I128" s="532"/>
      <c r="J128" s="531"/>
      <c r="K128" s="510"/>
      <c r="L128" s="534">
        <v>0</v>
      </c>
      <c r="M128" s="531"/>
      <c r="N128" s="557">
        <v>0</v>
      </c>
      <c r="O128" s="531"/>
      <c r="P128" s="510"/>
      <c r="Q128" s="534">
        <v>0</v>
      </c>
      <c r="R128" s="531"/>
      <c r="S128" s="557">
        <v>0</v>
      </c>
      <c r="T128" s="510"/>
      <c r="U128" s="510"/>
      <c r="V128" s="510"/>
      <c r="W128" s="510"/>
      <c r="X128" s="510"/>
      <c r="Y128" s="510"/>
      <c r="Z128" s="510"/>
      <c r="AA128" s="510"/>
      <c r="AB128" s="510"/>
      <c r="AC128" s="510"/>
      <c r="AD128" s="510"/>
      <c r="AE128" s="510"/>
      <c r="AF128" s="510"/>
      <c r="AG128" s="510"/>
      <c r="AH128" s="510"/>
      <c r="AI128" s="510"/>
      <c r="AJ128" s="510"/>
      <c r="AK128" s="510"/>
      <c r="AL128" s="510"/>
      <c r="AM128" s="510"/>
      <c r="AN128" s="510"/>
    </row>
    <row r="129" spans="1:40" ht="15.75" hidden="1" customHeight="1">
      <c r="A129" s="523" t="s">
        <v>303</v>
      </c>
      <c r="B129" s="510" t="s">
        <v>73</v>
      </c>
      <c r="C129" s="600" t="s">
        <v>20</v>
      </c>
      <c r="D129" s="584"/>
      <c r="E129" s="510"/>
      <c r="F129" s="532">
        <v>0</v>
      </c>
      <c r="G129" s="585"/>
      <c r="H129" s="510"/>
      <c r="I129" s="532"/>
      <c r="J129" s="531"/>
      <c r="K129" s="510"/>
      <c r="L129" s="534">
        <v>0</v>
      </c>
      <c r="M129" s="531"/>
      <c r="N129" s="557">
        <v>0</v>
      </c>
      <c r="O129" s="531"/>
      <c r="P129" s="510"/>
      <c r="Q129" s="534">
        <v>0</v>
      </c>
      <c r="R129" s="531"/>
      <c r="S129" s="557">
        <v>0</v>
      </c>
      <c r="T129" s="510"/>
      <c r="U129" s="510"/>
      <c r="V129" s="510"/>
      <c r="W129" s="510"/>
      <c r="X129" s="510"/>
      <c r="Y129" s="510"/>
      <c r="Z129" s="510"/>
      <c r="AA129" s="510"/>
      <c r="AB129" s="510"/>
      <c r="AC129" s="510"/>
      <c r="AD129" s="510"/>
      <c r="AE129" s="510"/>
      <c r="AF129" s="510"/>
      <c r="AG129" s="510"/>
      <c r="AH129" s="510"/>
      <c r="AI129" s="510"/>
      <c r="AJ129" s="510"/>
      <c r="AK129" s="510"/>
      <c r="AL129" s="510"/>
      <c r="AM129" s="510"/>
      <c r="AN129" s="510"/>
    </row>
    <row r="130" spans="1:40" ht="15.75" customHeight="1">
      <c r="A130" s="523" t="s">
        <v>309</v>
      </c>
      <c r="B130" s="510" t="s">
        <v>73</v>
      </c>
      <c r="C130" s="602" t="s">
        <v>45</v>
      </c>
      <c r="D130" s="584"/>
      <c r="E130" s="510"/>
      <c r="F130" s="532">
        <v>6696.7188396410256</v>
      </c>
      <c r="G130" s="585"/>
      <c r="H130" s="510"/>
      <c r="I130" s="532"/>
      <c r="J130" s="531"/>
      <c r="K130" s="510"/>
      <c r="L130" s="534">
        <v>6479.74</v>
      </c>
      <c r="M130" s="531"/>
      <c r="N130" s="557">
        <v>-216.97883964102584</v>
      </c>
      <c r="O130" s="531"/>
      <c r="P130" s="510"/>
      <c r="Q130" s="534">
        <v>6699.86</v>
      </c>
      <c r="R130" s="531"/>
      <c r="S130" s="557">
        <v>-220.11999999999989</v>
      </c>
      <c r="T130" s="510"/>
      <c r="U130" s="510"/>
      <c r="V130" s="510"/>
      <c r="W130" s="510"/>
      <c r="X130" s="510"/>
      <c r="Y130" s="510"/>
      <c r="Z130" s="510"/>
      <c r="AA130" s="510"/>
      <c r="AB130" s="510"/>
      <c r="AC130" s="510"/>
      <c r="AD130" s="510"/>
      <c r="AE130" s="510"/>
      <c r="AF130" s="510"/>
      <c r="AG130" s="510"/>
      <c r="AH130" s="510"/>
      <c r="AI130" s="510"/>
      <c r="AJ130" s="510"/>
      <c r="AK130" s="510"/>
      <c r="AL130" s="510"/>
      <c r="AM130" s="510"/>
      <c r="AN130" s="510"/>
    </row>
    <row r="131" spans="1:40" ht="15.75" customHeight="1">
      <c r="A131" s="523" t="s">
        <v>310</v>
      </c>
      <c r="B131" s="510" t="s">
        <v>73</v>
      </c>
      <c r="C131" s="600" t="s">
        <v>46</v>
      </c>
      <c r="D131" s="603"/>
      <c r="E131" s="604"/>
      <c r="F131" s="552">
        <v>8142.266078153847</v>
      </c>
      <c r="G131" s="605"/>
      <c r="H131" s="604"/>
      <c r="I131" s="552"/>
      <c r="J131" s="518"/>
      <c r="K131" s="604"/>
      <c r="L131" s="553">
        <v>5314.54</v>
      </c>
      <c r="M131" s="518"/>
      <c r="N131" s="606">
        <v>-2827.7260781538471</v>
      </c>
      <c r="O131" s="518"/>
      <c r="P131" s="604"/>
      <c r="Q131" s="553">
        <v>7226.39</v>
      </c>
      <c r="R131" s="518"/>
      <c r="S131" s="606">
        <v>-1911.8500000000004</v>
      </c>
      <c r="T131" s="510"/>
      <c r="U131" s="510"/>
      <c r="V131" s="510"/>
      <c r="W131" s="510"/>
      <c r="X131" s="510"/>
      <c r="Y131" s="510"/>
      <c r="Z131" s="510"/>
      <c r="AA131" s="510"/>
      <c r="AB131" s="510"/>
      <c r="AC131" s="510"/>
      <c r="AD131" s="510"/>
      <c r="AE131" s="510"/>
      <c r="AF131" s="510"/>
      <c r="AG131" s="510"/>
      <c r="AH131" s="510"/>
      <c r="AI131" s="510"/>
      <c r="AJ131" s="510"/>
      <c r="AK131" s="510"/>
      <c r="AL131" s="510"/>
      <c r="AM131" s="510"/>
      <c r="AN131" s="510"/>
    </row>
    <row r="132" spans="1:40" ht="15.75" customHeight="1">
      <c r="A132" s="523" t="s">
        <v>311</v>
      </c>
      <c r="B132" s="510" t="s">
        <v>73</v>
      </c>
      <c r="C132" s="600" t="s">
        <v>47</v>
      </c>
      <c r="D132" s="584"/>
      <c r="E132" s="510"/>
      <c r="F132" s="532">
        <v>4195.0370880923074</v>
      </c>
      <c r="G132" s="585"/>
      <c r="H132" s="510"/>
      <c r="I132" s="532"/>
      <c r="J132" s="531"/>
      <c r="K132" s="510"/>
      <c r="L132" s="534">
        <v>717.73</v>
      </c>
      <c r="M132" s="531"/>
      <c r="N132" s="557">
        <v>-3477.3070880923074</v>
      </c>
      <c r="O132" s="531"/>
      <c r="P132" s="510"/>
      <c r="Q132" s="534">
        <v>1485.91</v>
      </c>
      <c r="R132" s="531"/>
      <c r="S132" s="557">
        <v>-768.18000000000006</v>
      </c>
      <c r="T132" s="510"/>
      <c r="U132" s="510"/>
      <c r="V132" s="510"/>
      <c r="W132" s="510"/>
      <c r="X132" s="510"/>
      <c r="Y132" s="510"/>
      <c r="Z132" s="510"/>
      <c r="AA132" s="510"/>
      <c r="AB132" s="510"/>
      <c r="AC132" s="510"/>
      <c r="AD132" s="510"/>
      <c r="AE132" s="510"/>
      <c r="AF132" s="510"/>
      <c r="AG132" s="510"/>
      <c r="AH132" s="510"/>
      <c r="AI132" s="510"/>
      <c r="AJ132" s="510"/>
      <c r="AK132" s="510"/>
      <c r="AL132" s="510"/>
      <c r="AM132" s="510"/>
      <c r="AN132" s="510"/>
    </row>
    <row r="133" spans="1:40" ht="15.75" customHeight="1">
      <c r="A133" s="523" t="s">
        <v>312</v>
      </c>
      <c r="B133" s="510" t="s">
        <v>73</v>
      </c>
      <c r="C133" s="600" t="s">
        <v>48</v>
      </c>
      <c r="D133" s="584"/>
      <c r="E133" s="510"/>
      <c r="F133" s="532">
        <v>1829.0597711794871</v>
      </c>
      <c r="G133" s="585"/>
      <c r="H133" s="510"/>
      <c r="I133" s="532"/>
      <c r="J133" s="531"/>
      <c r="K133" s="510"/>
      <c r="L133" s="534">
        <v>1440.25</v>
      </c>
      <c r="M133" s="531"/>
      <c r="N133" s="557">
        <v>-388.80977117948714</v>
      </c>
      <c r="O133" s="531"/>
      <c r="P133" s="510"/>
      <c r="Q133" s="534">
        <v>1221.9000000000001</v>
      </c>
      <c r="R133" s="531"/>
      <c r="S133" s="557">
        <v>218.34999999999991</v>
      </c>
      <c r="T133" s="510"/>
      <c r="U133" s="510"/>
      <c r="V133" s="510"/>
      <c r="W133" s="510"/>
      <c r="X133" s="510"/>
      <c r="Y133" s="510"/>
      <c r="Z133" s="510"/>
      <c r="AA133" s="510"/>
      <c r="AB133" s="510"/>
      <c r="AC133" s="510"/>
      <c r="AD133" s="510"/>
      <c r="AE133" s="510"/>
      <c r="AF133" s="510"/>
      <c r="AG133" s="510"/>
      <c r="AH133" s="510"/>
      <c r="AI133" s="510"/>
      <c r="AJ133" s="510"/>
      <c r="AK133" s="510"/>
      <c r="AL133" s="510"/>
      <c r="AM133" s="510"/>
      <c r="AN133" s="510"/>
    </row>
    <row r="134" spans="1:40" ht="15.75" hidden="1" customHeight="1">
      <c r="A134" s="523" t="s">
        <v>303</v>
      </c>
      <c r="B134" s="510" t="s">
        <v>73</v>
      </c>
      <c r="C134" s="531" t="s">
        <v>20</v>
      </c>
      <c r="D134" s="587"/>
      <c r="E134" s="607"/>
      <c r="F134" s="532">
        <v>0</v>
      </c>
      <c r="G134" s="588"/>
      <c r="H134" s="607"/>
      <c r="I134" s="532"/>
      <c r="J134" s="524"/>
      <c r="K134" s="607"/>
      <c r="L134" s="534">
        <v>0</v>
      </c>
      <c r="M134" s="524"/>
      <c r="N134" s="582">
        <v>0</v>
      </c>
      <c r="O134" s="524"/>
      <c r="P134" s="607"/>
      <c r="Q134" s="534">
        <v>0</v>
      </c>
      <c r="R134" s="524"/>
      <c r="S134" s="582">
        <v>0</v>
      </c>
      <c r="T134" s="510"/>
      <c r="U134" s="510"/>
      <c r="V134" s="510"/>
      <c r="W134" s="510"/>
      <c r="X134" s="510"/>
      <c r="Y134" s="510"/>
      <c r="Z134" s="510"/>
      <c r="AA134" s="510"/>
      <c r="AB134" s="510"/>
      <c r="AC134" s="510"/>
      <c r="AD134" s="510"/>
      <c r="AE134" s="510"/>
      <c r="AF134" s="510"/>
      <c r="AG134" s="510"/>
      <c r="AH134" s="510"/>
      <c r="AI134" s="510"/>
      <c r="AJ134" s="510"/>
      <c r="AK134" s="510"/>
      <c r="AL134" s="510"/>
      <c r="AM134" s="510"/>
      <c r="AN134" s="510"/>
    </row>
    <row r="135" spans="1:40" ht="15.75" customHeight="1">
      <c r="A135" s="523" t="s">
        <v>313</v>
      </c>
      <c r="B135" s="510" t="s">
        <v>73</v>
      </c>
      <c r="C135" s="592" t="s">
        <v>49</v>
      </c>
      <c r="D135" s="593" t="s">
        <v>39</v>
      </c>
      <c r="E135" s="594">
        <v>0.37355386568576315</v>
      </c>
      <c r="F135" s="595">
        <v>43402.476546297446</v>
      </c>
      <c r="G135" s="596"/>
      <c r="H135" s="594"/>
      <c r="I135" s="595"/>
      <c r="J135" s="596" t="s">
        <v>39</v>
      </c>
      <c r="K135" s="594">
        <v>0.69924750178937523</v>
      </c>
      <c r="L135" s="595">
        <v>29835.87</v>
      </c>
      <c r="M135" s="650"/>
      <c r="N135" s="609">
        <v>-13566.606546297447</v>
      </c>
      <c r="O135" s="596" t="s">
        <v>39</v>
      </c>
      <c r="P135" s="594">
        <v>1.0496555098374225</v>
      </c>
      <c r="Q135" s="595">
        <v>39260.370000000003</v>
      </c>
      <c r="R135" s="650"/>
      <c r="S135" s="609">
        <v>-9424.5000000000036</v>
      </c>
      <c r="T135" s="510"/>
      <c r="U135" s="510"/>
      <c r="V135" s="510"/>
      <c r="W135" s="510"/>
      <c r="X135" s="510"/>
      <c r="Y135" s="510"/>
      <c r="Z135" s="510"/>
      <c r="AA135" s="510"/>
      <c r="AB135" s="510"/>
      <c r="AC135" s="510"/>
      <c r="AD135" s="510"/>
      <c r="AE135" s="510"/>
      <c r="AF135" s="510"/>
      <c r="AG135" s="510"/>
      <c r="AH135" s="510"/>
      <c r="AI135" s="510"/>
      <c r="AJ135" s="510"/>
      <c r="AK135" s="510"/>
      <c r="AL135" s="510"/>
      <c r="AM135" s="510"/>
      <c r="AN135" s="510"/>
    </row>
    <row r="136" spans="1:40" ht="15.75" hidden="1" customHeight="1">
      <c r="A136" s="523" t="s">
        <v>314</v>
      </c>
      <c r="B136" s="510" t="s">
        <v>73</v>
      </c>
      <c r="C136" s="531" t="s">
        <v>50</v>
      </c>
      <c r="D136" s="584"/>
      <c r="E136" s="510"/>
      <c r="F136" s="532">
        <v>0</v>
      </c>
      <c r="G136" s="585"/>
      <c r="H136" s="510"/>
      <c r="I136" s="532"/>
      <c r="J136" s="531"/>
      <c r="K136" s="510"/>
      <c r="L136" s="534">
        <v>0</v>
      </c>
      <c r="M136" s="531"/>
      <c r="N136" s="557">
        <v>0</v>
      </c>
      <c r="O136" s="531"/>
      <c r="P136" s="510"/>
      <c r="Q136" s="534">
        <v>0</v>
      </c>
      <c r="R136" s="531"/>
      <c r="S136" s="557">
        <v>0</v>
      </c>
      <c r="T136" s="510"/>
      <c r="U136" s="510"/>
      <c r="V136" s="510"/>
      <c r="W136" s="510"/>
      <c r="X136" s="510"/>
      <c r="Y136" s="510"/>
      <c r="Z136" s="510"/>
      <c r="AA136" s="510"/>
      <c r="AB136" s="510"/>
      <c r="AC136" s="510"/>
      <c r="AD136" s="510"/>
      <c r="AE136" s="510"/>
      <c r="AF136" s="510"/>
      <c r="AG136" s="510"/>
      <c r="AH136" s="510"/>
      <c r="AI136" s="510"/>
      <c r="AJ136" s="510"/>
      <c r="AK136" s="510"/>
      <c r="AL136" s="510"/>
      <c r="AM136" s="510"/>
      <c r="AN136" s="510"/>
    </row>
    <row r="137" spans="1:40" ht="15.75" hidden="1" customHeight="1">
      <c r="A137" s="523" t="s">
        <v>315</v>
      </c>
      <c r="B137" s="510" t="s">
        <v>73</v>
      </c>
      <c r="C137" s="531" t="s">
        <v>51</v>
      </c>
      <c r="D137" s="584"/>
      <c r="E137" s="510"/>
      <c r="F137" s="532">
        <v>0</v>
      </c>
      <c r="G137" s="585"/>
      <c r="H137" s="510"/>
      <c r="I137" s="532"/>
      <c r="J137" s="531"/>
      <c r="K137" s="510"/>
      <c r="L137" s="534">
        <v>0</v>
      </c>
      <c r="M137" s="531"/>
      <c r="N137" s="557">
        <v>0</v>
      </c>
      <c r="O137" s="531"/>
      <c r="P137" s="510"/>
      <c r="Q137" s="534">
        <v>0</v>
      </c>
      <c r="R137" s="531"/>
      <c r="S137" s="557">
        <v>0</v>
      </c>
      <c r="T137" s="510"/>
      <c r="U137" s="510"/>
      <c r="V137" s="510"/>
      <c r="W137" s="510"/>
      <c r="X137" s="510"/>
      <c r="Y137" s="510"/>
      <c r="Z137" s="510"/>
      <c r="AA137" s="510"/>
      <c r="AB137" s="510"/>
      <c r="AC137" s="510"/>
      <c r="AD137" s="510"/>
      <c r="AE137" s="510"/>
      <c r="AF137" s="510"/>
      <c r="AG137" s="510"/>
      <c r="AH137" s="510"/>
      <c r="AI137" s="510"/>
      <c r="AJ137" s="510"/>
      <c r="AK137" s="510"/>
      <c r="AL137" s="510"/>
      <c r="AM137" s="510"/>
      <c r="AN137" s="510"/>
    </row>
    <row r="138" spans="1:40" ht="15.75" customHeight="1">
      <c r="A138" s="523" t="s">
        <v>316</v>
      </c>
      <c r="B138" s="510" t="s">
        <v>73</v>
      </c>
      <c r="C138" s="524" t="s">
        <v>52</v>
      </c>
      <c r="D138" s="587"/>
      <c r="E138" s="607"/>
      <c r="F138" s="526">
        <v>2458.3333333333335</v>
      </c>
      <c r="G138" s="588"/>
      <c r="H138" s="607"/>
      <c r="I138" s="526"/>
      <c r="J138" s="524"/>
      <c r="K138" s="607"/>
      <c r="L138" s="526">
        <v>2741.68</v>
      </c>
      <c r="M138" s="524"/>
      <c r="N138" s="582">
        <v>283.34666666666635</v>
      </c>
      <c r="O138" s="524"/>
      <c r="P138" s="607"/>
      <c r="Q138" s="526">
        <v>111.3</v>
      </c>
      <c r="R138" s="524"/>
      <c r="S138" s="582">
        <v>2630.3799999999997</v>
      </c>
      <c r="T138" s="510"/>
      <c r="U138" s="510"/>
      <c r="V138" s="510"/>
      <c r="W138" s="510"/>
      <c r="X138" s="510"/>
      <c r="Y138" s="510"/>
      <c r="Z138" s="510"/>
      <c r="AA138" s="510"/>
      <c r="AB138" s="510"/>
      <c r="AC138" s="510"/>
      <c r="AD138" s="510"/>
      <c r="AE138" s="510"/>
      <c r="AF138" s="510"/>
      <c r="AG138" s="510"/>
      <c r="AH138" s="510"/>
      <c r="AI138" s="510"/>
      <c r="AJ138" s="510"/>
      <c r="AK138" s="510"/>
      <c r="AL138" s="510"/>
      <c r="AM138" s="510"/>
      <c r="AN138" s="510"/>
    </row>
    <row r="139" spans="1:40" ht="15.75" customHeight="1">
      <c r="A139" s="523" t="s">
        <v>317</v>
      </c>
      <c r="B139" s="510" t="s">
        <v>73</v>
      </c>
      <c r="C139" s="531" t="s">
        <v>53</v>
      </c>
      <c r="D139" s="584"/>
      <c r="E139" s="510"/>
      <c r="F139" s="532">
        <v>3627.0415373333331</v>
      </c>
      <c r="G139" s="585"/>
      <c r="H139" s="510"/>
      <c r="I139" s="532"/>
      <c r="J139" s="531"/>
      <c r="K139" s="510"/>
      <c r="L139" s="534">
        <v>3915.83</v>
      </c>
      <c r="M139" s="531"/>
      <c r="N139" s="557">
        <v>288.78846266666687</v>
      </c>
      <c r="O139" s="531"/>
      <c r="P139" s="510"/>
      <c r="Q139" s="534">
        <v>3588.82</v>
      </c>
      <c r="R139" s="531"/>
      <c r="S139" s="557">
        <v>327.00999999999976</v>
      </c>
      <c r="T139" s="510"/>
      <c r="U139" s="510"/>
      <c r="V139" s="510"/>
      <c r="W139" s="510"/>
      <c r="X139" s="510"/>
      <c r="Y139" s="510"/>
      <c r="Z139" s="510"/>
      <c r="AA139" s="510"/>
      <c r="AB139" s="510"/>
      <c r="AC139" s="510"/>
      <c r="AD139" s="510"/>
      <c r="AE139" s="510"/>
      <c r="AF139" s="510"/>
      <c r="AG139" s="510"/>
      <c r="AH139" s="510"/>
      <c r="AI139" s="510"/>
      <c r="AJ139" s="510"/>
      <c r="AK139" s="510"/>
      <c r="AL139" s="510"/>
      <c r="AM139" s="510"/>
      <c r="AN139" s="510"/>
    </row>
    <row r="140" spans="1:40" ht="15.75" customHeight="1">
      <c r="A140" s="523" t="s">
        <v>318</v>
      </c>
      <c r="B140" s="510" t="s">
        <v>73</v>
      </c>
      <c r="C140" s="531" t="s">
        <v>54</v>
      </c>
      <c r="D140" s="584"/>
      <c r="E140" s="510"/>
      <c r="F140" s="532">
        <v>521.10924639426287</v>
      </c>
      <c r="G140" s="585"/>
      <c r="H140" s="510"/>
      <c r="I140" s="532"/>
      <c r="J140" s="531"/>
      <c r="K140" s="510"/>
      <c r="L140" s="534">
        <v>419.41</v>
      </c>
      <c r="M140" s="531"/>
      <c r="N140" s="557">
        <v>-101.69924639426284</v>
      </c>
      <c r="O140" s="531"/>
      <c r="P140" s="510"/>
      <c r="Q140" s="534">
        <v>403</v>
      </c>
      <c r="R140" s="531"/>
      <c r="S140" s="557">
        <v>16.410000000000025</v>
      </c>
      <c r="T140" s="648"/>
      <c r="U140" s="510"/>
      <c r="V140" s="510"/>
      <c r="W140" s="510"/>
      <c r="X140" s="510"/>
      <c r="Y140" s="510"/>
      <c r="Z140" s="510"/>
      <c r="AA140" s="510"/>
      <c r="AB140" s="510"/>
      <c r="AC140" s="510"/>
      <c r="AD140" s="510"/>
      <c r="AE140" s="510"/>
      <c r="AF140" s="510"/>
      <c r="AG140" s="510"/>
      <c r="AH140" s="510"/>
      <c r="AI140" s="510"/>
      <c r="AJ140" s="510"/>
      <c r="AK140" s="510"/>
      <c r="AL140" s="510"/>
      <c r="AM140" s="510"/>
      <c r="AN140" s="510"/>
    </row>
    <row r="141" spans="1:40" ht="15.75" customHeight="1">
      <c r="A141" s="523" t="s">
        <v>319</v>
      </c>
      <c r="B141" s="510" t="s">
        <v>73</v>
      </c>
      <c r="C141" s="524" t="s">
        <v>55</v>
      </c>
      <c r="D141" s="587"/>
      <c r="E141" s="607"/>
      <c r="F141" s="526">
        <v>1489.5910533277777</v>
      </c>
      <c r="G141" s="588"/>
      <c r="H141" s="607"/>
      <c r="I141" s="526"/>
      <c r="J141" s="524"/>
      <c r="K141" s="607"/>
      <c r="L141" s="526">
        <v>2602.9</v>
      </c>
      <c r="M141" s="524"/>
      <c r="N141" s="582">
        <v>1113.3089466722224</v>
      </c>
      <c r="O141" s="524"/>
      <c r="P141" s="607"/>
      <c r="Q141" s="526">
        <v>1326.64</v>
      </c>
      <c r="R141" s="524"/>
      <c r="S141" s="582">
        <v>1276.26</v>
      </c>
      <c r="T141" s="510"/>
      <c r="U141" s="510"/>
      <c r="V141" s="510"/>
      <c r="W141" s="510"/>
      <c r="X141" s="510"/>
      <c r="Y141" s="510"/>
      <c r="Z141" s="510"/>
      <c r="AA141" s="510"/>
      <c r="AB141" s="510"/>
      <c r="AC141" s="510"/>
      <c r="AD141" s="510"/>
      <c r="AE141" s="510"/>
      <c r="AF141" s="510"/>
      <c r="AG141" s="510"/>
      <c r="AH141" s="510"/>
      <c r="AI141" s="510"/>
      <c r="AJ141" s="510"/>
      <c r="AK141" s="510"/>
      <c r="AL141" s="510"/>
      <c r="AM141" s="510"/>
      <c r="AN141" s="510"/>
    </row>
    <row r="142" spans="1:40" ht="15.75" customHeight="1">
      <c r="A142" s="523" t="s">
        <v>320</v>
      </c>
      <c r="B142" s="510" t="s">
        <v>73</v>
      </c>
      <c r="C142" s="531" t="s">
        <v>56</v>
      </c>
      <c r="D142" s="584"/>
      <c r="E142" s="510"/>
      <c r="F142" s="532">
        <v>125</v>
      </c>
      <c r="G142" s="585"/>
      <c r="H142" s="510"/>
      <c r="I142" s="532"/>
      <c r="J142" s="531"/>
      <c r="K142" s="510"/>
      <c r="L142" s="534">
        <v>21.93</v>
      </c>
      <c r="M142" s="531"/>
      <c r="N142" s="557">
        <v>-103.07</v>
      </c>
      <c r="O142" s="531"/>
      <c r="P142" s="510"/>
      <c r="Q142" s="534">
        <v>71.819999999999993</v>
      </c>
      <c r="R142" s="531"/>
      <c r="S142" s="557">
        <v>-49.889999999999993</v>
      </c>
      <c r="T142" s="510"/>
      <c r="U142" s="510"/>
      <c r="V142" s="510"/>
      <c r="W142" s="510"/>
      <c r="X142" s="510"/>
      <c r="Y142" s="510"/>
      <c r="Z142" s="510"/>
      <c r="AA142" s="510"/>
      <c r="AB142" s="510"/>
      <c r="AC142" s="510"/>
      <c r="AD142" s="510"/>
      <c r="AE142" s="510"/>
      <c r="AF142" s="510"/>
      <c r="AG142" s="510"/>
      <c r="AH142" s="510"/>
      <c r="AI142" s="510"/>
      <c r="AJ142" s="510"/>
      <c r="AK142" s="510"/>
      <c r="AL142" s="510"/>
      <c r="AM142" s="510"/>
      <c r="AN142" s="510"/>
    </row>
    <row r="143" spans="1:40" ht="15.75" customHeight="1">
      <c r="A143" s="523" t="s">
        <v>321</v>
      </c>
      <c r="B143" s="510" t="s">
        <v>73</v>
      </c>
      <c r="C143" s="531" t="s">
        <v>57</v>
      </c>
      <c r="D143" s="584"/>
      <c r="E143" s="510"/>
      <c r="F143" s="532">
        <v>83.333333333333329</v>
      </c>
      <c r="G143" s="585"/>
      <c r="H143" s="510"/>
      <c r="I143" s="532"/>
      <c r="J143" s="531"/>
      <c r="K143" s="510"/>
      <c r="L143" s="534">
        <v>0</v>
      </c>
      <c r="M143" s="531"/>
      <c r="N143" s="557">
        <v>-83.333333333333329</v>
      </c>
      <c r="O143" s="531"/>
      <c r="P143" s="510"/>
      <c r="Q143" s="534">
        <v>0</v>
      </c>
      <c r="R143" s="531"/>
      <c r="S143" s="557">
        <v>0</v>
      </c>
      <c r="T143" s="510"/>
      <c r="U143" s="510"/>
      <c r="V143" s="510"/>
      <c r="W143" s="510"/>
      <c r="X143" s="510"/>
      <c r="Y143" s="510"/>
      <c r="Z143" s="510"/>
      <c r="AA143" s="510"/>
      <c r="AB143" s="510"/>
      <c r="AC143" s="510"/>
      <c r="AD143" s="510"/>
      <c r="AE143" s="510"/>
      <c r="AF143" s="510"/>
      <c r="AG143" s="510"/>
      <c r="AH143" s="510"/>
      <c r="AI143" s="510"/>
      <c r="AJ143" s="510"/>
      <c r="AK143" s="510"/>
      <c r="AL143" s="510"/>
      <c r="AM143" s="510"/>
      <c r="AN143" s="510"/>
    </row>
    <row r="144" spans="1:40" ht="15.75" customHeight="1">
      <c r="A144" s="523" t="s">
        <v>322</v>
      </c>
      <c r="B144" s="510" t="s">
        <v>73</v>
      </c>
      <c r="C144" s="531" t="s">
        <v>58</v>
      </c>
      <c r="D144" s="584"/>
      <c r="E144" s="510"/>
      <c r="F144" s="532">
        <v>306.78425698799998</v>
      </c>
      <c r="G144" s="585"/>
      <c r="H144" s="510"/>
      <c r="I144" s="532"/>
      <c r="J144" s="531"/>
      <c r="K144" s="510"/>
      <c r="L144" s="534">
        <v>433.14</v>
      </c>
      <c r="M144" s="531"/>
      <c r="N144" s="557">
        <v>126.355743012</v>
      </c>
      <c r="O144" s="531"/>
      <c r="P144" s="510"/>
      <c r="Q144" s="534">
        <v>403.47</v>
      </c>
      <c r="R144" s="531"/>
      <c r="S144" s="557">
        <v>29.669999999999959</v>
      </c>
      <c r="T144" s="510"/>
      <c r="U144" s="510"/>
      <c r="V144" s="510"/>
      <c r="W144" s="510"/>
      <c r="X144" s="510"/>
      <c r="Y144" s="510"/>
      <c r="Z144" s="510"/>
      <c r="AA144" s="510"/>
      <c r="AB144" s="510"/>
      <c r="AC144" s="510"/>
      <c r="AD144" s="510"/>
      <c r="AE144" s="510"/>
      <c r="AF144" s="510"/>
      <c r="AG144" s="510"/>
      <c r="AH144" s="510"/>
      <c r="AI144" s="510"/>
      <c r="AJ144" s="510"/>
      <c r="AK144" s="510"/>
      <c r="AL144" s="510"/>
      <c r="AM144" s="510"/>
      <c r="AN144" s="510"/>
    </row>
    <row r="145" spans="1:40" ht="15.75" customHeight="1">
      <c r="A145" s="523" t="s">
        <v>323</v>
      </c>
      <c r="B145" s="510" t="s">
        <v>73</v>
      </c>
      <c r="C145" s="531" t="s">
        <v>59</v>
      </c>
      <c r="D145" s="584"/>
      <c r="E145" s="510"/>
      <c r="F145" s="532">
        <v>84.486631894833309</v>
      </c>
      <c r="G145" s="585"/>
      <c r="H145" s="510"/>
      <c r="I145" s="532"/>
      <c r="J145" s="531"/>
      <c r="K145" s="510"/>
      <c r="L145" s="534">
        <v>81.040000000000006</v>
      </c>
      <c r="M145" s="531"/>
      <c r="N145" s="557">
        <v>-3.4466318948333026</v>
      </c>
      <c r="O145" s="531"/>
      <c r="P145" s="510"/>
      <c r="Q145" s="534">
        <v>91.35</v>
      </c>
      <c r="R145" s="531"/>
      <c r="S145" s="557">
        <v>-10.309999999999988</v>
      </c>
      <c r="T145" s="510"/>
      <c r="U145" s="510"/>
      <c r="V145" s="510"/>
      <c r="W145" s="510"/>
      <c r="X145" s="510"/>
      <c r="Y145" s="510"/>
      <c r="Z145" s="510"/>
      <c r="AA145" s="510"/>
      <c r="AB145" s="510"/>
      <c r="AC145" s="510"/>
      <c r="AD145" s="510"/>
      <c r="AE145" s="510"/>
      <c r="AF145" s="510"/>
      <c r="AG145" s="510"/>
      <c r="AH145" s="510"/>
      <c r="AI145" s="510"/>
      <c r="AJ145" s="510"/>
      <c r="AK145" s="510"/>
      <c r="AL145" s="510"/>
      <c r="AM145" s="510"/>
      <c r="AN145" s="510"/>
    </row>
    <row r="146" spans="1:40" ht="15.75" customHeight="1">
      <c r="A146" s="523" t="s">
        <v>324</v>
      </c>
      <c r="B146" s="510" t="s">
        <v>73</v>
      </c>
      <c r="C146" s="531" t="s">
        <v>60</v>
      </c>
      <c r="D146" s="584"/>
      <c r="E146" s="510"/>
      <c r="F146" s="532">
        <v>60.326747465166655</v>
      </c>
      <c r="G146" s="585"/>
      <c r="H146" s="510"/>
      <c r="I146" s="532"/>
      <c r="J146" s="531"/>
      <c r="K146" s="510"/>
      <c r="L146" s="534">
        <v>12.36</v>
      </c>
      <c r="M146" s="531"/>
      <c r="N146" s="557">
        <v>-47.966747465166655</v>
      </c>
      <c r="O146" s="531"/>
      <c r="P146" s="510"/>
      <c r="Q146" s="534">
        <v>86.32</v>
      </c>
      <c r="R146" s="531"/>
      <c r="S146" s="557">
        <v>-73.959999999999994</v>
      </c>
      <c r="T146" s="510"/>
      <c r="U146" s="510"/>
      <c r="V146" s="510"/>
      <c r="W146" s="510"/>
      <c r="X146" s="510"/>
      <c r="Y146" s="510"/>
      <c r="Z146" s="510"/>
      <c r="AA146" s="510"/>
      <c r="AB146" s="510"/>
      <c r="AC146" s="510"/>
      <c r="AD146" s="510"/>
      <c r="AE146" s="510"/>
      <c r="AF146" s="510"/>
      <c r="AG146" s="510"/>
      <c r="AH146" s="510"/>
      <c r="AI146" s="510"/>
      <c r="AJ146" s="510"/>
      <c r="AK146" s="510"/>
      <c r="AL146" s="510"/>
      <c r="AM146" s="510"/>
      <c r="AN146" s="510"/>
    </row>
    <row r="147" spans="1:40" ht="15.75" customHeight="1">
      <c r="A147" s="523" t="s">
        <v>325</v>
      </c>
      <c r="B147" s="510" t="s">
        <v>73</v>
      </c>
      <c r="C147" s="531" t="s">
        <v>61</v>
      </c>
      <c r="D147" s="584"/>
      <c r="E147" s="510"/>
      <c r="F147" s="532">
        <v>199.78005128816665</v>
      </c>
      <c r="G147" s="585"/>
      <c r="H147" s="510"/>
      <c r="I147" s="532"/>
      <c r="J147" s="531"/>
      <c r="K147" s="510"/>
      <c r="L147" s="534">
        <v>35.86</v>
      </c>
      <c r="M147" s="531"/>
      <c r="N147" s="557">
        <v>-163.92005128816663</v>
      </c>
      <c r="O147" s="531"/>
      <c r="P147" s="510"/>
      <c r="Q147" s="534">
        <v>35.340000000000003</v>
      </c>
      <c r="R147" s="531"/>
      <c r="S147" s="557">
        <v>0.51999999999999602</v>
      </c>
      <c r="T147" s="510"/>
      <c r="U147" s="510"/>
      <c r="V147" s="510"/>
      <c r="W147" s="510"/>
      <c r="X147" s="510"/>
      <c r="Y147" s="510"/>
      <c r="Z147" s="510"/>
      <c r="AA147" s="510"/>
      <c r="AB147" s="510"/>
      <c r="AC147" s="510"/>
      <c r="AD147" s="510"/>
      <c r="AE147" s="510"/>
      <c r="AF147" s="510"/>
      <c r="AG147" s="510"/>
      <c r="AH147" s="510"/>
      <c r="AI147" s="510"/>
      <c r="AJ147" s="510"/>
      <c r="AK147" s="510"/>
      <c r="AL147" s="510"/>
      <c r="AM147" s="510"/>
      <c r="AN147" s="510"/>
    </row>
    <row r="148" spans="1:40" ht="15.75" customHeight="1">
      <c r="A148" s="523" t="s">
        <v>326</v>
      </c>
      <c r="B148" s="510" t="s">
        <v>73</v>
      </c>
      <c r="C148" s="531" t="s">
        <v>62</v>
      </c>
      <c r="D148" s="584"/>
      <c r="E148" s="510"/>
      <c r="F148" s="532">
        <v>502.23226969701432</v>
      </c>
      <c r="G148" s="585"/>
      <c r="H148" s="510"/>
      <c r="I148" s="532"/>
      <c r="J148" s="531"/>
      <c r="K148" s="510"/>
      <c r="L148" s="534">
        <v>38.28</v>
      </c>
      <c r="M148" s="531"/>
      <c r="N148" s="557">
        <v>-463.95226969701434</v>
      </c>
      <c r="O148" s="531"/>
      <c r="P148" s="510"/>
      <c r="Q148" s="534">
        <v>32.5</v>
      </c>
      <c r="R148" s="531"/>
      <c r="S148" s="557">
        <v>5.7800000000000011</v>
      </c>
      <c r="T148" s="510"/>
      <c r="X148" s="510"/>
      <c r="Y148" s="510"/>
      <c r="Z148" s="510"/>
      <c r="AA148" s="510"/>
      <c r="AB148" s="510"/>
      <c r="AC148" s="510"/>
      <c r="AD148" s="510"/>
      <c r="AE148" s="510"/>
      <c r="AF148" s="510"/>
      <c r="AG148" s="510"/>
      <c r="AH148" s="510"/>
      <c r="AI148" s="510"/>
      <c r="AJ148" s="510"/>
      <c r="AK148" s="510"/>
      <c r="AL148" s="510"/>
      <c r="AM148" s="510"/>
      <c r="AN148" s="510"/>
    </row>
    <row r="149" spans="1:40" ht="15.75" customHeight="1">
      <c r="A149" s="523" t="s">
        <v>327</v>
      </c>
      <c r="B149" s="510" t="s">
        <v>73</v>
      </c>
      <c r="C149" s="531" t="s">
        <v>63</v>
      </c>
      <c r="D149" s="584"/>
      <c r="E149" s="510"/>
      <c r="F149" s="532">
        <v>782.17457105829214</v>
      </c>
      <c r="G149" s="585"/>
      <c r="H149" s="510"/>
      <c r="I149" s="532"/>
      <c r="J149" s="531"/>
      <c r="K149" s="510"/>
      <c r="L149" s="534">
        <v>934.45</v>
      </c>
      <c r="M149" s="531"/>
      <c r="N149" s="557">
        <v>152.2754289417079</v>
      </c>
      <c r="O149" s="531"/>
      <c r="P149" s="510"/>
      <c r="Q149" s="534">
        <v>712.51</v>
      </c>
      <c r="R149" s="531"/>
      <c r="S149" s="557">
        <v>221.94000000000005</v>
      </c>
      <c r="T149" s="573"/>
      <c r="X149" s="510"/>
      <c r="Y149" s="510"/>
      <c r="Z149" s="510"/>
      <c r="AA149" s="510"/>
      <c r="AB149" s="510"/>
      <c r="AC149" s="510"/>
      <c r="AD149" s="510"/>
      <c r="AE149" s="510"/>
      <c r="AF149" s="510"/>
      <c r="AG149" s="510"/>
      <c r="AH149" s="510"/>
      <c r="AI149" s="510"/>
      <c r="AJ149" s="510"/>
      <c r="AK149" s="510"/>
      <c r="AL149" s="510"/>
      <c r="AM149" s="510"/>
      <c r="AN149" s="510"/>
    </row>
    <row r="150" spans="1:40" ht="15.75" hidden="1" customHeight="1">
      <c r="A150" s="523" t="s">
        <v>303</v>
      </c>
      <c r="B150" s="510" t="s">
        <v>73</v>
      </c>
      <c r="C150" s="531" t="s">
        <v>20</v>
      </c>
      <c r="D150" s="584"/>
      <c r="E150" s="510"/>
      <c r="F150" s="532">
        <v>0</v>
      </c>
      <c r="G150" s="585"/>
      <c r="H150" s="510"/>
      <c r="I150" s="532"/>
      <c r="J150" s="531"/>
      <c r="K150" s="510"/>
      <c r="L150" s="534">
        <v>0</v>
      </c>
      <c r="M150" s="531"/>
      <c r="N150" s="557">
        <v>0</v>
      </c>
      <c r="O150" s="531"/>
      <c r="P150" s="510"/>
      <c r="Q150" s="534">
        <v>0</v>
      </c>
      <c r="R150" s="531"/>
      <c r="S150" s="557">
        <v>0</v>
      </c>
      <c r="T150" s="510"/>
      <c r="X150" s="510"/>
      <c r="Y150" s="510"/>
      <c r="Z150" s="510"/>
      <c r="AA150" s="510"/>
      <c r="AB150" s="510"/>
      <c r="AC150" s="510"/>
      <c r="AD150" s="510"/>
      <c r="AE150" s="510"/>
      <c r="AF150" s="510"/>
      <c r="AG150" s="510"/>
      <c r="AH150" s="510"/>
      <c r="AI150" s="510"/>
      <c r="AJ150" s="510"/>
      <c r="AK150" s="510"/>
      <c r="AL150" s="510"/>
      <c r="AM150" s="510"/>
      <c r="AN150" s="510"/>
    </row>
    <row r="151" spans="1:40" ht="15.75" hidden="1" customHeight="1">
      <c r="A151" s="523" t="s">
        <v>303</v>
      </c>
      <c r="B151" s="510" t="s">
        <v>73</v>
      </c>
      <c r="C151" s="531" t="s">
        <v>20</v>
      </c>
      <c r="D151" s="584"/>
      <c r="E151" s="510"/>
      <c r="F151" s="532">
        <v>0</v>
      </c>
      <c r="G151" s="585"/>
      <c r="H151" s="510"/>
      <c r="I151" s="532"/>
      <c r="J151" s="531"/>
      <c r="K151" s="510"/>
      <c r="L151" s="534">
        <v>0</v>
      </c>
      <c r="M151" s="531"/>
      <c r="N151" s="557">
        <v>0</v>
      </c>
      <c r="O151" s="531"/>
      <c r="P151" s="510"/>
      <c r="Q151" s="534">
        <v>0</v>
      </c>
      <c r="R151" s="531"/>
      <c r="S151" s="557">
        <v>0</v>
      </c>
      <c r="T151" s="510"/>
      <c r="X151" s="510"/>
      <c r="Y151" s="510"/>
      <c r="Z151" s="510"/>
      <c r="AA151" s="510"/>
      <c r="AB151" s="510"/>
      <c r="AC151" s="510"/>
      <c r="AD151" s="510"/>
      <c r="AE151" s="510"/>
      <c r="AF151" s="510"/>
      <c r="AG151" s="510"/>
      <c r="AH151" s="510"/>
      <c r="AI151" s="510"/>
      <c r="AJ151" s="510"/>
      <c r="AK151" s="510"/>
      <c r="AL151" s="510"/>
      <c r="AM151" s="510"/>
      <c r="AN151" s="510"/>
    </row>
    <row r="152" spans="1:40" ht="15.75" hidden="1" customHeight="1">
      <c r="A152" s="523" t="s">
        <v>303</v>
      </c>
      <c r="B152" s="510" t="s">
        <v>73</v>
      </c>
      <c r="C152" s="531" t="s">
        <v>20</v>
      </c>
      <c r="D152" s="584"/>
      <c r="E152" s="510"/>
      <c r="F152" s="532">
        <v>0</v>
      </c>
      <c r="G152" s="585"/>
      <c r="H152" s="510"/>
      <c r="I152" s="532"/>
      <c r="J152" s="531"/>
      <c r="K152" s="510"/>
      <c r="L152" s="534">
        <v>0</v>
      </c>
      <c r="M152" s="531"/>
      <c r="N152" s="557">
        <v>0</v>
      </c>
      <c r="O152" s="531"/>
      <c r="P152" s="510"/>
      <c r="Q152" s="534">
        <v>0</v>
      </c>
      <c r="R152" s="531"/>
      <c r="S152" s="557">
        <v>0</v>
      </c>
      <c r="T152" s="573"/>
      <c r="X152" s="510"/>
      <c r="Y152" s="510"/>
      <c r="Z152" s="510"/>
      <c r="AA152" s="510"/>
      <c r="AB152" s="510"/>
      <c r="AC152" s="510"/>
      <c r="AD152" s="510"/>
      <c r="AE152" s="510"/>
      <c r="AF152" s="510"/>
      <c r="AG152" s="510"/>
      <c r="AH152" s="510"/>
      <c r="AI152" s="510"/>
      <c r="AJ152" s="510"/>
      <c r="AK152" s="510"/>
      <c r="AL152" s="510"/>
      <c r="AM152" s="510"/>
      <c r="AN152" s="510"/>
    </row>
    <row r="153" spans="1:40" ht="15.75" customHeight="1">
      <c r="A153" s="523" t="s">
        <v>328</v>
      </c>
      <c r="B153" s="510" t="s">
        <v>73</v>
      </c>
      <c r="C153" s="592" t="s">
        <v>64</v>
      </c>
      <c r="D153" s="593" t="s">
        <v>39</v>
      </c>
      <c r="E153" s="594">
        <v>8.8134687163162417E-2</v>
      </c>
      <c r="F153" s="595">
        <v>10240.193032113515</v>
      </c>
      <c r="G153" s="596"/>
      <c r="H153" s="594"/>
      <c r="I153" s="595"/>
      <c r="J153" s="596" t="s">
        <v>39</v>
      </c>
      <c r="K153" s="594">
        <v>0.2633528121655912</v>
      </c>
      <c r="L153" s="595">
        <v>11236.880000000003</v>
      </c>
      <c r="M153" s="599"/>
      <c r="N153" s="595">
        <v>996.68696788648776</v>
      </c>
      <c r="O153" s="596" t="s">
        <v>39</v>
      </c>
      <c r="P153" s="594">
        <v>0.18348933644537532</v>
      </c>
      <c r="Q153" s="595">
        <v>6863.0700000000015</v>
      </c>
      <c r="R153" s="599"/>
      <c r="S153" s="595">
        <v>4373.8100000000013</v>
      </c>
      <c r="T153" s="608"/>
      <c r="X153" s="510"/>
      <c r="Y153" s="510"/>
      <c r="Z153" s="510"/>
      <c r="AA153" s="510"/>
      <c r="AB153" s="510"/>
      <c r="AC153" s="510"/>
      <c r="AD153" s="510"/>
      <c r="AE153" s="510"/>
      <c r="AF153" s="510"/>
      <c r="AG153" s="510"/>
      <c r="AH153" s="510"/>
      <c r="AI153" s="510"/>
      <c r="AJ153" s="510"/>
      <c r="AK153" s="510"/>
      <c r="AL153" s="510"/>
      <c r="AM153" s="510"/>
      <c r="AN153" s="510"/>
    </row>
    <row r="154" spans="1:40" ht="15.75" customHeight="1">
      <c r="A154" s="523" t="s">
        <v>73</v>
      </c>
      <c r="B154" s="510" t="s">
        <v>73</v>
      </c>
      <c r="C154" s="524"/>
      <c r="D154" s="587"/>
      <c r="E154" s="607"/>
      <c r="F154" s="557"/>
      <c r="G154" s="588"/>
      <c r="H154" s="607"/>
      <c r="I154" s="557"/>
      <c r="J154" s="524"/>
      <c r="K154" s="607"/>
      <c r="L154" s="582"/>
      <c r="M154" s="524"/>
      <c r="N154" s="582"/>
      <c r="O154" s="524"/>
      <c r="P154" s="607"/>
      <c r="Q154" s="582"/>
      <c r="R154" s="524"/>
      <c r="S154" s="582"/>
      <c r="T154" s="608"/>
      <c r="U154" s="510"/>
      <c r="V154" s="510"/>
      <c r="W154" s="510"/>
      <c r="X154" s="510"/>
      <c r="Y154" s="510"/>
      <c r="Z154" s="510"/>
      <c r="AA154" s="510"/>
      <c r="AB154" s="510"/>
      <c r="AC154" s="510"/>
      <c r="AD154" s="510"/>
      <c r="AE154" s="510"/>
      <c r="AF154" s="510"/>
      <c r="AG154" s="510"/>
      <c r="AH154" s="510"/>
      <c r="AI154" s="510"/>
      <c r="AJ154" s="510"/>
      <c r="AK154" s="510"/>
      <c r="AL154" s="510"/>
      <c r="AM154" s="510"/>
      <c r="AN154" s="510"/>
    </row>
    <row r="155" spans="1:40" ht="15.75" customHeight="1">
      <c r="A155" s="523" t="s">
        <v>329</v>
      </c>
      <c r="B155" s="510" t="s">
        <v>73</v>
      </c>
      <c r="C155" s="592" t="s">
        <v>65</v>
      </c>
      <c r="D155" s="593" t="s">
        <v>39</v>
      </c>
      <c r="E155" s="594">
        <v>0.94747716746354782</v>
      </c>
      <c r="F155" s="595">
        <v>110085.4771332547</v>
      </c>
      <c r="G155" s="596"/>
      <c r="H155" s="594"/>
      <c r="I155" s="595"/>
      <c r="J155" s="596" t="s">
        <v>39</v>
      </c>
      <c r="K155" s="594">
        <v>1.9836263439058399</v>
      </c>
      <c r="L155" s="595">
        <v>84638.44</v>
      </c>
      <c r="M155" s="599"/>
      <c r="N155" s="609">
        <v>-25447.037133254693</v>
      </c>
      <c r="O155" s="596" t="s">
        <v>39</v>
      </c>
      <c r="P155" s="594">
        <v>2.3118671981734189</v>
      </c>
      <c r="Q155" s="595">
        <v>86471</v>
      </c>
      <c r="R155" s="599"/>
      <c r="S155" s="609">
        <v>-1832.5599999999977</v>
      </c>
      <c r="T155" s="608"/>
      <c r="U155" s="510"/>
      <c r="V155" s="510"/>
      <c r="W155" s="510"/>
      <c r="X155" s="510"/>
      <c r="Y155" s="510"/>
      <c r="Z155" s="510"/>
      <c r="AA155" s="510"/>
      <c r="AB155" s="510"/>
      <c r="AC155" s="510"/>
      <c r="AD155" s="510"/>
      <c r="AE155" s="510"/>
      <c r="AF155" s="510"/>
      <c r="AG155" s="510"/>
      <c r="AH155" s="510"/>
      <c r="AI155" s="510"/>
      <c r="AJ155" s="510"/>
      <c r="AK155" s="510"/>
      <c r="AL155" s="510"/>
      <c r="AM155" s="510"/>
      <c r="AN155" s="510"/>
    </row>
    <row r="156" spans="1:40" ht="15.75" customHeight="1">
      <c r="A156" s="523" t="s">
        <v>330</v>
      </c>
      <c r="B156" s="510" t="s">
        <v>73</v>
      </c>
      <c r="C156" s="531" t="s">
        <v>225</v>
      </c>
      <c r="D156" s="651"/>
      <c r="E156" s="652"/>
      <c r="F156" s="532">
        <v>0</v>
      </c>
      <c r="G156" s="653"/>
      <c r="H156" s="652"/>
      <c r="I156" s="532"/>
      <c r="J156" s="653"/>
      <c r="K156" s="652"/>
      <c r="L156" s="534">
        <v>0</v>
      </c>
      <c r="M156" s="531"/>
      <c r="N156" s="557">
        <v>0</v>
      </c>
      <c r="O156" s="653"/>
      <c r="P156" s="652"/>
      <c r="Q156" s="534">
        <v>0</v>
      </c>
      <c r="R156" s="531"/>
      <c r="S156" s="557">
        <v>0</v>
      </c>
      <c r="T156" s="608"/>
      <c r="U156" s="510"/>
      <c r="V156" s="510"/>
      <c r="W156" s="510"/>
      <c r="X156" s="510"/>
      <c r="Y156" s="510"/>
      <c r="Z156" s="510"/>
      <c r="AA156" s="510"/>
      <c r="AB156" s="510"/>
      <c r="AC156" s="510"/>
      <c r="AD156" s="510"/>
      <c r="AE156" s="510"/>
      <c r="AF156" s="510"/>
      <c r="AG156" s="510"/>
      <c r="AH156" s="510"/>
      <c r="AI156" s="510"/>
      <c r="AJ156" s="510"/>
      <c r="AK156" s="510"/>
      <c r="AL156" s="510"/>
      <c r="AM156" s="510"/>
      <c r="AN156" s="510"/>
    </row>
    <row r="157" spans="1:40" ht="15.75" customHeight="1">
      <c r="A157" s="523" t="s">
        <v>331</v>
      </c>
      <c r="B157" s="510" t="s">
        <v>73</v>
      </c>
      <c r="C157" s="531" t="s">
        <v>81</v>
      </c>
      <c r="D157" s="651"/>
      <c r="E157" s="652"/>
      <c r="F157" s="532">
        <v>0</v>
      </c>
      <c r="G157" s="653"/>
      <c r="H157" s="652"/>
      <c r="I157" s="532"/>
      <c r="J157" s="653"/>
      <c r="K157" s="652"/>
      <c r="L157" s="534">
        <v>0</v>
      </c>
      <c r="M157" s="531"/>
      <c r="N157" s="557">
        <v>0</v>
      </c>
      <c r="O157" s="653"/>
      <c r="P157" s="652"/>
      <c r="Q157" s="534">
        <v>0</v>
      </c>
      <c r="R157" s="531"/>
      <c r="S157" s="557">
        <v>0</v>
      </c>
      <c r="T157" s="608"/>
      <c r="U157" s="510"/>
      <c r="V157" s="510"/>
      <c r="W157" s="510"/>
      <c r="X157" s="510"/>
      <c r="Y157" s="510"/>
      <c r="Z157" s="510"/>
      <c r="AA157" s="510"/>
      <c r="AB157" s="510"/>
      <c r="AC157" s="510"/>
      <c r="AD157" s="510"/>
      <c r="AE157" s="510"/>
      <c r="AF157" s="510"/>
      <c r="AG157" s="510"/>
      <c r="AH157" s="510"/>
      <c r="AI157" s="510"/>
      <c r="AJ157" s="510"/>
      <c r="AK157" s="510"/>
      <c r="AL157" s="510"/>
      <c r="AM157" s="510"/>
      <c r="AN157" s="510"/>
    </row>
    <row r="158" spans="1:40" ht="15.75" customHeight="1">
      <c r="A158" s="523" t="s">
        <v>332</v>
      </c>
      <c r="B158" s="510" t="s">
        <v>73</v>
      </c>
      <c r="C158" s="531" t="s">
        <v>82</v>
      </c>
      <c r="D158" s="584"/>
      <c r="E158" s="510"/>
      <c r="F158" s="532">
        <v>0</v>
      </c>
      <c r="G158" s="585"/>
      <c r="H158" s="510"/>
      <c r="I158" s="532"/>
      <c r="J158" s="531"/>
      <c r="K158" s="510"/>
      <c r="L158" s="534">
        <v>0</v>
      </c>
      <c r="M158" s="531"/>
      <c r="N158" s="557">
        <v>0</v>
      </c>
      <c r="O158" s="531"/>
      <c r="P158" s="510"/>
      <c r="Q158" s="534">
        <v>0</v>
      </c>
      <c r="R158" s="531"/>
      <c r="S158" s="557">
        <v>0</v>
      </c>
      <c r="T158" s="608"/>
      <c r="U158" s="510"/>
      <c r="V158" s="510"/>
      <c r="W158" s="510"/>
      <c r="X158" s="510"/>
      <c r="Y158" s="510"/>
      <c r="Z158" s="510"/>
      <c r="AA158" s="510"/>
      <c r="AB158" s="510"/>
      <c r="AC158" s="510"/>
      <c r="AD158" s="510"/>
      <c r="AE158" s="510"/>
      <c r="AF158" s="510"/>
      <c r="AG158" s="510"/>
      <c r="AH158" s="510"/>
      <c r="AI158" s="510"/>
      <c r="AJ158" s="510"/>
      <c r="AK158" s="510"/>
      <c r="AL158" s="510"/>
      <c r="AM158" s="510"/>
      <c r="AN158" s="510"/>
    </row>
    <row r="159" spans="1:40" ht="15.75" customHeight="1">
      <c r="A159" s="523" t="s">
        <v>333</v>
      </c>
      <c r="B159" s="510" t="s">
        <v>73</v>
      </c>
      <c r="C159" s="531" t="s">
        <v>70</v>
      </c>
      <c r="D159" s="654">
        <v>1.0001054852320674</v>
      </c>
      <c r="E159" s="615">
        <v>474.05</v>
      </c>
      <c r="F159" s="532">
        <v>12491.217500000001</v>
      </c>
      <c r="G159" s="585"/>
      <c r="H159" s="510"/>
      <c r="I159" s="532"/>
      <c r="J159" s="616">
        <v>1.0228551336146272</v>
      </c>
      <c r="K159" s="615">
        <v>484.83333333333331</v>
      </c>
      <c r="L159" s="534">
        <v>8727</v>
      </c>
      <c r="M159" s="531"/>
      <c r="N159" s="557">
        <v>-3764.2175000000007</v>
      </c>
      <c r="O159" s="531"/>
      <c r="P159" s="510"/>
      <c r="Q159" s="534">
        <v>7734</v>
      </c>
      <c r="R159" s="531"/>
      <c r="S159" s="557">
        <v>993</v>
      </c>
      <c r="T159" s="608"/>
      <c r="U159" s="510"/>
      <c r="V159" s="510"/>
      <c r="W159" s="510"/>
      <c r="X159" s="510"/>
      <c r="Y159" s="510"/>
      <c r="Z159" s="510"/>
      <c r="AA159" s="510"/>
      <c r="AB159" s="510"/>
      <c r="AC159" s="510"/>
      <c r="AD159" s="510"/>
      <c r="AE159" s="510"/>
      <c r="AF159" s="510"/>
      <c r="AG159" s="510"/>
      <c r="AH159" s="510"/>
      <c r="AI159" s="510"/>
      <c r="AJ159" s="510"/>
      <c r="AK159" s="510"/>
      <c r="AL159" s="510"/>
      <c r="AM159" s="510"/>
      <c r="AN159" s="510"/>
    </row>
    <row r="160" spans="1:40" ht="15.75" hidden="1" customHeight="1">
      <c r="A160" s="523" t="s">
        <v>303</v>
      </c>
      <c r="B160" s="510" t="s">
        <v>73</v>
      </c>
      <c r="C160" s="531" t="s">
        <v>20</v>
      </c>
      <c r="D160" s="584"/>
      <c r="E160" s="510"/>
      <c r="F160" s="532">
        <v>0</v>
      </c>
      <c r="G160" s="585"/>
      <c r="H160" s="510"/>
      <c r="I160" s="532"/>
      <c r="J160" s="531"/>
      <c r="K160" s="510"/>
      <c r="L160" s="534">
        <v>0</v>
      </c>
      <c r="M160" s="531"/>
      <c r="N160" s="557">
        <v>0</v>
      </c>
      <c r="O160" s="531"/>
      <c r="P160" s="510"/>
      <c r="Q160" s="534">
        <v>0</v>
      </c>
      <c r="R160" s="531"/>
      <c r="S160" s="557">
        <v>0</v>
      </c>
      <c r="T160" s="608"/>
      <c r="U160" s="510"/>
      <c r="V160" s="510"/>
      <c r="W160" s="510"/>
      <c r="X160" s="510"/>
      <c r="Y160" s="510"/>
      <c r="Z160" s="510"/>
      <c r="AA160" s="510"/>
      <c r="AB160" s="510"/>
      <c r="AC160" s="510"/>
      <c r="AD160" s="510"/>
      <c r="AE160" s="510"/>
      <c r="AF160" s="510"/>
      <c r="AG160" s="510"/>
      <c r="AH160" s="510"/>
      <c r="AI160" s="510"/>
      <c r="AJ160" s="510"/>
      <c r="AK160" s="510"/>
      <c r="AL160" s="510"/>
      <c r="AM160" s="510"/>
      <c r="AN160" s="510"/>
    </row>
    <row r="161" spans="1:40" ht="15.75" hidden="1" customHeight="1">
      <c r="A161" s="523" t="s">
        <v>303</v>
      </c>
      <c r="B161" s="510" t="s">
        <v>73</v>
      </c>
      <c r="C161" s="531" t="s">
        <v>20</v>
      </c>
      <c r="D161" s="584"/>
      <c r="E161" s="510"/>
      <c r="F161" s="532">
        <v>0</v>
      </c>
      <c r="G161" s="585"/>
      <c r="H161" s="510"/>
      <c r="I161" s="532"/>
      <c r="J161" s="531"/>
      <c r="K161" s="510"/>
      <c r="L161" s="534">
        <v>0</v>
      </c>
      <c r="M161" s="531"/>
      <c r="N161" s="557">
        <v>0</v>
      </c>
      <c r="O161" s="531"/>
      <c r="P161" s="510"/>
      <c r="Q161" s="534">
        <v>0</v>
      </c>
      <c r="R161" s="531"/>
      <c r="S161" s="557">
        <v>0</v>
      </c>
      <c r="T161" s="608"/>
      <c r="U161" s="510"/>
      <c r="V161" s="510"/>
      <c r="W161" s="510"/>
      <c r="X161" s="510"/>
      <c r="Y161" s="510"/>
      <c r="Z161" s="510"/>
      <c r="AA161" s="510"/>
      <c r="AB161" s="510"/>
      <c r="AC161" s="510"/>
      <c r="AD161" s="510"/>
      <c r="AE161" s="510"/>
      <c r="AF161" s="510"/>
      <c r="AG161" s="510"/>
      <c r="AH161" s="510"/>
      <c r="AI161" s="510"/>
      <c r="AJ161" s="510"/>
      <c r="AK161" s="510"/>
      <c r="AL161" s="510"/>
      <c r="AM161" s="510"/>
      <c r="AN161" s="510"/>
    </row>
    <row r="162" spans="1:40" ht="15.75" hidden="1" customHeight="1">
      <c r="A162" s="523" t="s">
        <v>303</v>
      </c>
      <c r="B162" s="510" t="s">
        <v>73</v>
      </c>
      <c r="C162" s="524" t="s">
        <v>20</v>
      </c>
      <c r="D162" s="587"/>
      <c r="E162" s="607"/>
      <c r="F162" s="532">
        <v>0</v>
      </c>
      <c r="G162" s="585"/>
      <c r="H162" s="510"/>
      <c r="I162" s="532"/>
      <c r="J162" s="531"/>
      <c r="K162" s="510"/>
      <c r="L162" s="534">
        <v>0</v>
      </c>
      <c r="M162" s="531"/>
      <c r="N162" s="557">
        <v>0</v>
      </c>
      <c r="O162" s="531"/>
      <c r="P162" s="510"/>
      <c r="Q162" s="534">
        <v>0</v>
      </c>
      <c r="R162" s="531"/>
      <c r="S162" s="557">
        <v>0</v>
      </c>
      <c r="T162" s="608"/>
      <c r="U162" s="510"/>
      <c r="V162" s="510"/>
      <c r="W162" s="510"/>
      <c r="X162" s="510"/>
      <c r="Y162" s="510"/>
      <c r="Z162" s="510"/>
      <c r="AA162" s="510"/>
      <c r="AB162" s="510"/>
      <c r="AC162" s="510"/>
      <c r="AD162" s="510"/>
      <c r="AE162" s="510"/>
      <c r="AF162" s="510"/>
      <c r="AG162" s="510"/>
      <c r="AH162" s="510"/>
      <c r="AI162" s="510"/>
      <c r="AJ162" s="510"/>
      <c r="AK162" s="510"/>
      <c r="AL162" s="510"/>
      <c r="AM162" s="510"/>
      <c r="AN162" s="510"/>
    </row>
    <row r="163" spans="1:40" ht="15.75" customHeight="1">
      <c r="B163" s="510"/>
      <c r="C163" s="592" t="s">
        <v>71</v>
      </c>
      <c r="D163" s="593"/>
      <c r="E163" s="594"/>
      <c r="F163" s="595">
        <v>12491.217500000001</v>
      </c>
      <c r="G163" s="596"/>
      <c r="H163" s="594"/>
      <c r="I163" s="595"/>
      <c r="J163" s="596"/>
      <c r="K163" s="594"/>
      <c r="L163" s="595">
        <v>8727</v>
      </c>
      <c r="M163" s="599"/>
      <c r="N163" s="595">
        <v>-3764.2175000000007</v>
      </c>
      <c r="O163" s="596"/>
      <c r="P163" s="594"/>
      <c r="Q163" s="595">
        <v>7734</v>
      </c>
      <c r="R163" s="599"/>
      <c r="S163" s="595">
        <v>993</v>
      </c>
      <c r="T163" s="608"/>
      <c r="U163" s="510"/>
      <c r="V163" s="510"/>
      <c r="W163" s="510"/>
      <c r="X163" s="510"/>
      <c r="Y163" s="510"/>
      <c r="Z163" s="510"/>
      <c r="AA163" s="510"/>
      <c r="AB163" s="510"/>
      <c r="AC163" s="510"/>
      <c r="AD163" s="510"/>
      <c r="AE163" s="510"/>
      <c r="AF163" s="510"/>
      <c r="AG163" s="510"/>
      <c r="AH163" s="510"/>
      <c r="AI163" s="510"/>
      <c r="AJ163" s="510"/>
      <c r="AK163" s="510"/>
      <c r="AL163" s="510"/>
      <c r="AM163" s="510"/>
      <c r="AN163" s="510"/>
    </row>
    <row r="164" spans="1:40" ht="15.75" customHeight="1">
      <c r="B164" s="510"/>
      <c r="C164" s="531"/>
      <c r="D164" s="584"/>
      <c r="E164" s="510"/>
      <c r="F164" s="557"/>
      <c r="G164" s="585"/>
      <c r="H164" s="510"/>
      <c r="I164" s="557"/>
      <c r="J164" s="531"/>
      <c r="K164" s="510"/>
      <c r="L164" s="557"/>
      <c r="M164" s="531"/>
      <c r="N164" s="557"/>
      <c r="O164" s="531"/>
      <c r="P164" s="510"/>
      <c r="Q164" s="557"/>
      <c r="R164" s="531"/>
      <c r="S164" s="557"/>
      <c r="T164" s="652"/>
      <c r="U164" s="510"/>
      <c r="V164" s="510"/>
      <c r="W164" s="510"/>
      <c r="X164" s="510"/>
      <c r="Y164" s="510"/>
      <c r="Z164" s="510"/>
      <c r="AA164" s="510"/>
      <c r="AB164" s="510"/>
      <c r="AC164" s="510"/>
      <c r="AD164" s="510"/>
      <c r="AE164" s="510"/>
      <c r="AF164" s="510"/>
      <c r="AG164" s="510"/>
      <c r="AH164" s="510"/>
      <c r="AI164" s="510"/>
      <c r="AJ164" s="510"/>
      <c r="AK164" s="510"/>
      <c r="AL164" s="510"/>
      <c r="AM164" s="510"/>
      <c r="AN164" s="510"/>
    </row>
    <row r="165" spans="1:40" ht="15.75" customHeight="1" thickBot="1">
      <c r="B165" s="510"/>
      <c r="C165" s="625" t="s">
        <v>72</v>
      </c>
      <c r="D165" s="655"/>
      <c r="E165" s="626"/>
      <c r="F165" s="628">
        <v>18593.740366745304</v>
      </c>
      <c r="G165" s="656"/>
      <c r="H165" s="626"/>
      <c r="I165" s="628"/>
      <c r="J165" s="625"/>
      <c r="K165" s="627"/>
      <c r="L165" s="628">
        <v>-33242.900000000045</v>
      </c>
      <c r="M165" s="625"/>
      <c r="N165" s="628">
        <v>-51836.640366745349</v>
      </c>
      <c r="O165" s="625"/>
      <c r="P165" s="630">
        <v>-5.2966252506577625E-2</v>
      </c>
      <c r="Q165" s="628">
        <v>-41333.900000000089</v>
      </c>
      <c r="R165" s="625"/>
      <c r="S165" s="628">
        <v>8091.0000000000437</v>
      </c>
      <c r="T165" s="573"/>
      <c r="U165" s="510"/>
      <c r="V165" s="510"/>
      <c r="W165" s="510"/>
      <c r="X165" s="510"/>
      <c r="Y165" s="510"/>
      <c r="Z165" s="510"/>
      <c r="AA165" s="510"/>
      <c r="AB165" s="510"/>
      <c r="AC165" s="510"/>
      <c r="AD165" s="510"/>
      <c r="AE165" s="510"/>
      <c r="AF165" s="510"/>
      <c r="AG165" s="510"/>
      <c r="AH165" s="510"/>
      <c r="AI165" s="510"/>
      <c r="AJ165" s="510"/>
      <c r="AK165" s="510"/>
      <c r="AL165" s="510"/>
      <c r="AM165" s="510"/>
      <c r="AN165" s="510"/>
    </row>
    <row r="166" spans="1:40" ht="15.75" customHeight="1" thickTop="1">
      <c r="B166" s="510"/>
      <c r="C166" s="507"/>
      <c r="D166" s="507"/>
      <c r="E166" s="507"/>
      <c r="F166" s="657"/>
      <c r="G166" s="507"/>
      <c r="H166" s="507"/>
      <c r="I166" s="507"/>
      <c r="J166" s="507"/>
      <c r="K166" s="507"/>
      <c r="L166" s="657"/>
      <c r="M166" s="507"/>
      <c r="N166" s="507"/>
      <c r="O166" s="507"/>
      <c r="P166" s="507"/>
      <c r="Q166" s="507"/>
      <c r="R166" s="507"/>
      <c r="S166" s="507"/>
      <c r="T166" s="657"/>
      <c r="U166" s="507"/>
      <c r="V166" s="510"/>
      <c r="W166" s="510"/>
      <c r="X166" s="510"/>
      <c r="Y166" s="510"/>
      <c r="Z166" s="510"/>
      <c r="AA166" s="510"/>
      <c r="AB166" s="510"/>
      <c r="AC166" s="510"/>
      <c r="AD166" s="510"/>
      <c r="AE166" s="510"/>
      <c r="AF166" s="510"/>
      <c r="AG166" s="510"/>
      <c r="AH166" s="510"/>
      <c r="AI166" s="510"/>
      <c r="AJ166" s="510"/>
      <c r="AK166" s="510"/>
      <c r="AL166" s="510"/>
      <c r="AM166" s="510"/>
      <c r="AN166" s="510"/>
    </row>
    <row r="167" spans="1:40" ht="8.25" customHeight="1">
      <c r="B167" s="510"/>
      <c r="C167" s="507"/>
      <c r="D167" s="507"/>
      <c r="E167" s="507"/>
      <c r="F167" s="507"/>
      <c r="G167" s="507"/>
      <c r="H167" s="507"/>
      <c r="I167" s="507"/>
      <c r="J167" s="507"/>
      <c r="K167" s="507"/>
      <c r="L167" s="507"/>
      <c r="M167" s="507"/>
      <c r="N167" s="507"/>
      <c r="O167" s="507"/>
      <c r="P167" s="507"/>
      <c r="Q167" s="507"/>
      <c r="R167" s="507"/>
      <c r="S167" s="507"/>
      <c r="T167" s="657"/>
      <c r="U167" s="507"/>
      <c r="V167" s="507"/>
      <c r="W167" s="507"/>
      <c r="X167" s="507"/>
      <c r="Y167" s="507"/>
      <c r="Z167" s="507"/>
      <c r="AA167" s="507"/>
      <c r="AB167" s="507"/>
      <c r="AC167" s="507"/>
      <c r="AD167" s="507"/>
      <c r="AE167" s="507"/>
      <c r="AF167" s="507"/>
      <c r="AG167" s="507"/>
      <c r="AH167" s="507"/>
      <c r="AI167" s="507"/>
      <c r="AJ167" s="507"/>
      <c r="AK167" s="507"/>
      <c r="AL167" s="507"/>
      <c r="AM167" s="507"/>
      <c r="AN167" s="507"/>
    </row>
    <row r="168" spans="1:40" ht="33.75" customHeight="1">
      <c r="B168" s="510"/>
      <c r="C168" s="635" t="s">
        <v>478</v>
      </c>
      <c r="D168" s="498"/>
      <c r="E168" s="498"/>
      <c r="F168" s="498"/>
      <c r="G168" s="498"/>
      <c r="H168" s="496"/>
      <c r="I168" s="496"/>
      <c r="J168" s="496"/>
      <c r="K168" s="500" t="s">
        <v>83</v>
      </c>
      <c r="L168" s="498"/>
      <c r="M168" s="498"/>
      <c r="N168" s="496"/>
      <c r="O168" s="496"/>
      <c r="P168" s="498"/>
      <c r="Q168" s="496"/>
      <c r="R168" s="498"/>
      <c r="S168" s="636" t="s">
        <v>480</v>
      </c>
      <c r="T168" s="498"/>
      <c r="U168" s="496"/>
      <c r="V168" s="507"/>
      <c r="W168" s="507"/>
      <c r="X168" s="507"/>
      <c r="Y168" s="507"/>
      <c r="Z168" s="507"/>
      <c r="AA168" s="507"/>
      <c r="AB168" s="507"/>
      <c r="AC168" s="507"/>
      <c r="AD168" s="507"/>
      <c r="AE168" s="507"/>
      <c r="AF168" s="507"/>
      <c r="AG168" s="507"/>
      <c r="AH168" s="507"/>
      <c r="AI168" s="507"/>
      <c r="AJ168" s="507"/>
      <c r="AK168" s="507"/>
      <c r="AL168" s="507"/>
      <c r="AM168" s="507"/>
      <c r="AN168" s="507"/>
    </row>
    <row r="169" spans="1:40" ht="15.75" customHeight="1" thickBot="1">
      <c r="B169" s="510"/>
      <c r="C169" s="505"/>
      <c r="D169" s="507"/>
      <c r="E169" s="507"/>
      <c r="F169" s="507"/>
      <c r="G169" s="507"/>
      <c r="H169" s="507"/>
      <c r="I169" s="507"/>
      <c r="J169" s="507"/>
      <c r="K169" s="507"/>
      <c r="L169" s="507"/>
      <c r="M169" s="507"/>
      <c r="N169" s="507"/>
      <c r="O169" s="507"/>
      <c r="P169" s="507"/>
      <c r="Q169" s="507"/>
      <c r="R169" s="507"/>
      <c r="S169" s="507"/>
      <c r="T169" s="507"/>
      <c r="U169" s="507"/>
      <c r="V169" s="496"/>
      <c r="W169" s="496"/>
      <c r="X169" s="496"/>
      <c r="Y169" s="496"/>
      <c r="Z169" s="496"/>
      <c r="AA169" s="496"/>
      <c r="AB169" s="496"/>
      <c r="AC169" s="496"/>
      <c r="AD169" s="496"/>
      <c r="AE169" s="496"/>
      <c r="AF169" s="496"/>
      <c r="AG169" s="496"/>
      <c r="AH169" s="496"/>
      <c r="AI169" s="496"/>
      <c r="AJ169" s="496"/>
      <c r="AK169" s="496"/>
      <c r="AL169" s="496"/>
      <c r="AM169" s="496"/>
      <c r="AN169" s="496"/>
    </row>
    <row r="170" spans="1:40" ht="15.75" customHeight="1" thickTop="1">
      <c r="B170" s="510"/>
      <c r="C170" s="511"/>
      <c r="D170" s="512" t="s">
        <v>5</v>
      </c>
      <c r="E170" s="513"/>
      <c r="F170" s="514"/>
      <c r="G170" s="515"/>
      <c r="H170" s="513"/>
      <c r="I170" s="514"/>
      <c r="J170" s="515" t="s">
        <v>7</v>
      </c>
      <c r="K170" s="513"/>
      <c r="L170" s="514"/>
      <c r="M170" s="515" t="s">
        <v>220</v>
      </c>
      <c r="N170" s="514"/>
      <c r="O170" s="512" t="s">
        <v>8</v>
      </c>
      <c r="P170" s="513"/>
      <c r="Q170" s="514"/>
      <c r="R170" s="515" t="s">
        <v>221</v>
      </c>
      <c r="S170" s="514"/>
      <c r="T170" s="651"/>
      <c r="AA170" s="507"/>
      <c r="AB170" s="507"/>
      <c r="AC170" s="507"/>
      <c r="AD170" s="507"/>
      <c r="AE170" s="507"/>
      <c r="AF170" s="507"/>
      <c r="AG170" s="507"/>
      <c r="AH170" s="507"/>
      <c r="AI170" s="507"/>
      <c r="AJ170" s="507"/>
      <c r="AK170" s="507"/>
      <c r="AL170" s="507"/>
      <c r="AM170" s="507"/>
      <c r="AN170" s="507"/>
    </row>
    <row r="171" spans="1:40" ht="15.75" customHeight="1">
      <c r="A171" s="523" t="s">
        <v>83</v>
      </c>
      <c r="B171" s="510" t="s">
        <v>83</v>
      </c>
      <c r="C171" s="531"/>
      <c r="D171" s="575" t="s">
        <v>40</v>
      </c>
      <c r="E171" s="575" t="s">
        <v>84</v>
      </c>
      <c r="F171" s="658" t="s">
        <v>12</v>
      </c>
      <c r="G171" s="659"/>
      <c r="H171" s="575"/>
      <c r="I171" s="658"/>
      <c r="J171" s="659" t="s">
        <v>40</v>
      </c>
      <c r="K171" s="575" t="s">
        <v>84</v>
      </c>
      <c r="L171" s="658" t="s">
        <v>12</v>
      </c>
      <c r="M171" s="659" t="s">
        <v>226</v>
      </c>
      <c r="N171" s="658" t="s">
        <v>223</v>
      </c>
      <c r="O171" s="575" t="s">
        <v>40</v>
      </c>
      <c r="P171" s="575" t="s">
        <v>84</v>
      </c>
      <c r="Q171" s="658" t="s">
        <v>12</v>
      </c>
      <c r="R171" s="659" t="s">
        <v>85</v>
      </c>
      <c r="S171" s="658" t="s">
        <v>12</v>
      </c>
      <c r="T171" s="575"/>
      <c r="AA171" s="510"/>
      <c r="AB171" s="510"/>
      <c r="AC171" s="510"/>
      <c r="AD171" s="510"/>
      <c r="AE171" s="510"/>
      <c r="AF171" s="510"/>
      <c r="AG171" s="510"/>
      <c r="AH171" s="510"/>
      <c r="AI171" s="510"/>
      <c r="AJ171" s="510"/>
      <c r="AK171" s="510"/>
      <c r="AL171" s="510"/>
      <c r="AM171" s="510"/>
      <c r="AN171" s="510"/>
    </row>
    <row r="172" spans="1:40" ht="15.75" customHeight="1">
      <c r="A172" s="523" t="s">
        <v>334</v>
      </c>
      <c r="B172" s="510" t="s">
        <v>83</v>
      </c>
      <c r="C172" s="531" t="s">
        <v>86</v>
      </c>
      <c r="D172" s="573">
        <v>405.69431246007315</v>
      </c>
      <c r="E172" s="573">
        <v>133879.12311182416</v>
      </c>
      <c r="F172" s="573">
        <v>101748.13356498636</v>
      </c>
      <c r="G172" s="558"/>
      <c r="H172" s="573"/>
      <c r="I172" s="573"/>
      <c r="J172" s="558">
        <v>341</v>
      </c>
      <c r="K172" s="532">
        <v>116339.57</v>
      </c>
      <c r="L172" s="534">
        <v>92906.510000000009</v>
      </c>
      <c r="M172" s="577">
        <v>-0.13101036744298084</v>
      </c>
      <c r="N172" s="557">
        <v>-8841.623564986352</v>
      </c>
      <c r="O172" s="558">
        <v>419</v>
      </c>
      <c r="P172" s="532">
        <v>128700.36</v>
      </c>
      <c r="Q172" s="534">
        <v>96080.960000000006</v>
      </c>
      <c r="R172" s="577">
        <v>0.81384248210023868</v>
      </c>
      <c r="S172" s="557">
        <v>-3174.4499999999971</v>
      </c>
      <c r="T172" s="573"/>
      <c r="AA172" s="510"/>
      <c r="AB172" s="510"/>
      <c r="AC172" s="510"/>
      <c r="AD172" s="510"/>
      <c r="AE172" s="510"/>
      <c r="AF172" s="510"/>
      <c r="AG172" s="510"/>
      <c r="AH172" s="510"/>
      <c r="AI172" s="510"/>
      <c r="AJ172" s="510"/>
      <c r="AK172" s="510"/>
      <c r="AL172" s="510"/>
      <c r="AM172" s="510"/>
      <c r="AN172" s="510"/>
    </row>
    <row r="173" spans="1:40" ht="15.75" customHeight="1">
      <c r="A173" s="523" t="s">
        <v>335</v>
      </c>
      <c r="B173" s="510" t="s">
        <v>83</v>
      </c>
      <c r="C173" s="531" t="s">
        <v>87</v>
      </c>
      <c r="D173" s="573"/>
      <c r="E173" s="644"/>
      <c r="F173" s="660">
        <v>0.76</v>
      </c>
      <c r="G173" s="558"/>
      <c r="H173" s="644"/>
      <c r="I173" s="660"/>
      <c r="J173" s="558"/>
      <c r="K173" s="510"/>
      <c r="L173" s="660">
        <v>0.7985804829775458</v>
      </c>
      <c r="M173" s="577"/>
      <c r="N173" s="557"/>
      <c r="O173" s="558"/>
      <c r="P173" s="510"/>
      <c r="Q173" s="660">
        <v>0.74654771750444215</v>
      </c>
      <c r="R173" s="558"/>
      <c r="S173" s="557"/>
      <c r="T173" s="573"/>
      <c r="AA173" s="510"/>
      <c r="AB173" s="510"/>
      <c r="AC173" s="510"/>
      <c r="AD173" s="510"/>
      <c r="AE173" s="510"/>
      <c r="AF173" s="510"/>
      <c r="AG173" s="510"/>
      <c r="AH173" s="510"/>
      <c r="AI173" s="510"/>
      <c r="AJ173" s="510"/>
      <c r="AK173" s="510"/>
      <c r="AL173" s="510"/>
      <c r="AM173" s="510"/>
      <c r="AN173" s="510"/>
    </row>
    <row r="174" spans="1:40" ht="15.75" customHeight="1">
      <c r="A174" s="523" t="s">
        <v>83</v>
      </c>
      <c r="B174" s="510" t="s">
        <v>83</v>
      </c>
      <c r="C174" s="524"/>
      <c r="D174" s="580"/>
      <c r="E174" s="661">
        <v>330.00000000000006</v>
      </c>
      <c r="F174" s="662"/>
      <c r="G174" s="663"/>
      <c r="H174" s="661"/>
      <c r="I174" s="662"/>
      <c r="J174" s="663"/>
      <c r="K174" s="661">
        <v>341.1717595307918</v>
      </c>
      <c r="L174" s="662"/>
      <c r="M174" s="581"/>
      <c r="N174" s="582"/>
      <c r="O174" s="663"/>
      <c r="P174" s="661">
        <v>307.16076372315035</v>
      </c>
      <c r="Q174" s="662"/>
      <c r="R174" s="663"/>
      <c r="S174" s="582"/>
      <c r="T174" s="573"/>
      <c r="AA174" s="510"/>
      <c r="AB174" s="510"/>
      <c r="AC174" s="510"/>
      <c r="AD174" s="510"/>
      <c r="AE174" s="510"/>
      <c r="AF174" s="510"/>
      <c r="AG174" s="510"/>
      <c r="AH174" s="510"/>
      <c r="AI174" s="510"/>
      <c r="AJ174" s="510"/>
      <c r="AK174" s="510"/>
      <c r="AL174" s="510"/>
      <c r="AM174" s="510"/>
      <c r="AN174" s="510"/>
    </row>
    <row r="175" spans="1:40" ht="18" customHeight="1">
      <c r="A175" s="523" t="s">
        <v>336</v>
      </c>
      <c r="B175" s="510" t="s">
        <v>83</v>
      </c>
      <c r="C175" s="518" t="s">
        <v>88</v>
      </c>
      <c r="D175" s="664">
        <v>85.921594933154992</v>
      </c>
      <c r="E175" s="573">
        <v>23198.830631951849</v>
      </c>
      <c r="F175" s="573">
        <v>14847.251604449184</v>
      </c>
      <c r="G175" s="665"/>
      <c r="H175" s="573"/>
      <c r="I175" s="573"/>
      <c r="J175" s="665">
        <v>177</v>
      </c>
      <c r="K175" s="552">
        <v>49986.77</v>
      </c>
      <c r="L175" s="534">
        <v>35192.289999999994</v>
      </c>
      <c r="M175" s="577">
        <v>1.1547107607722695</v>
      </c>
      <c r="N175" s="606">
        <v>20345.038395550808</v>
      </c>
      <c r="O175" s="665">
        <v>147</v>
      </c>
      <c r="P175" s="552">
        <v>37642.85</v>
      </c>
      <c r="Q175" s="534">
        <v>23135.589999999898</v>
      </c>
      <c r="R175" s="577">
        <v>1.2040816326530612</v>
      </c>
      <c r="S175" s="557">
        <v>12056.700000000095</v>
      </c>
      <c r="T175" s="573"/>
      <c r="U175" s="510"/>
      <c r="V175" s="532"/>
      <c r="W175" s="510"/>
      <c r="AA175" s="510"/>
      <c r="AB175" s="510"/>
      <c r="AC175" s="510"/>
      <c r="AD175" s="510"/>
      <c r="AE175" s="510"/>
      <c r="AF175" s="510"/>
      <c r="AG175" s="510"/>
      <c r="AH175" s="510"/>
      <c r="AI175" s="510"/>
      <c r="AJ175" s="510"/>
      <c r="AK175" s="510"/>
      <c r="AL175" s="510"/>
      <c r="AM175" s="510"/>
      <c r="AN175" s="510"/>
    </row>
    <row r="176" spans="1:40" ht="15.75" customHeight="1">
      <c r="A176" s="523" t="s">
        <v>335</v>
      </c>
      <c r="B176" s="510" t="s">
        <v>83</v>
      </c>
      <c r="C176" s="531" t="s">
        <v>87</v>
      </c>
      <c r="D176" s="510"/>
      <c r="E176" s="510"/>
      <c r="F176" s="660">
        <v>0.64</v>
      </c>
      <c r="G176" s="531"/>
      <c r="H176" s="510"/>
      <c r="I176" s="660"/>
      <c r="J176" s="531"/>
      <c r="K176" s="510"/>
      <c r="L176" s="660">
        <v>0.70403208689019103</v>
      </c>
      <c r="M176" s="548"/>
      <c r="N176" s="549"/>
      <c r="O176" s="531"/>
      <c r="P176" s="510"/>
      <c r="Q176" s="660">
        <v>0.6146078206086919</v>
      </c>
      <c r="R176" s="548"/>
      <c r="S176" s="549"/>
      <c r="T176" s="510"/>
      <c r="U176" s="510"/>
      <c r="V176" s="532"/>
      <c r="W176" s="666"/>
      <c r="AA176" s="510"/>
      <c r="AB176" s="510"/>
      <c r="AC176" s="510"/>
      <c r="AD176" s="510"/>
      <c r="AE176" s="510"/>
      <c r="AF176" s="510"/>
      <c r="AG176" s="510"/>
      <c r="AH176" s="510"/>
      <c r="AI176" s="510"/>
      <c r="AJ176" s="510"/>
      <c r="AK176" s="510"/>
      <c r="AL176" s="510"/>
      <c r="AM176" s="510"/>
      <c r="AN176" s="510"/>
    </row>
    <row r="177" spans="1:40" ht="15.75" customHeight="1">
      <c r="A177" s="523" t="s">
        <v>83</v>
      </c>
      <c r="B177" s="510" t="s">
        <v>83</v>
      </c>
      <c r="C177" s="524"/>
      <c r="D177" s="607"/>
      <c r="E177" s="661">
        <v>270</v>
      </c>
      <c r="F177" s="662"/>
      <c r="G177" s="663"/>
      <c r="H177" s="661"/>
      <c r="I177" s="662"/>
      <c r="J177" s="663"/>
      <c r="K177" s="661">
        <v>282.41112994350283</v>
      </c>
      <c r="L177" s="662"/>
      <c r="M177" s="581"/>
      <c r="N177" s="582"/>
      <c r="O177" s="663"/>
      <c r="P177" s="661">
        <v>256.07380952380953</v>
      </c>
      <c r="Q177" s="662"/>
      <c r="R177" s="667"/>
      <c r="S177" s="668"/>
      <c r="T177" s="510"/>
      <c r="AA177" s="510"/>
      <c r="AB177" s="510"/>
      <c r="AC177" s="510"/>
      <c r="AD177" s="510"/>
      <c r="AE177" s="510"/>
      <c r="AF177" s="510"/>
      <c r="AG177" s="510"/>
      <c r="AH177" s="510"/>
      <c r="AI177" s="510"/>
      <c r="AJ177" s="510"/>
      <c r="AK177" s="510"/>
      <c r="AL177" s="510"/>
      <c r="AM177" s="510"/>
      <c r="AN177" s="510"/>
    </row>
    <row r="178" spans="1:40" ht="15.75" customHeight="1">
      <c r="A178" s="523" t="s">
        <v>337</v>
      </c>
      <c r="B178" s="510" t="s">
        <v>83</v>
      </c>
      <c r="C178" s="531" t="s">
        <v>89</v>
      </c>
      <c r="D178" s="573">
        <v>131.25</v>
      </c>
      <c r="E178" s="573">
        <v>38587.5</v>
      </c>
      <c r="F178" s="573">
        <v>28554.75</v>
      </c>
      <c r="G178" s="558"/>
      <c r="H178" s="573"/>
      <c r="I178" s="573"/>
      <c r="J178" s="558">
        <v>234</v>
      </c>
      <c r="K178" s="552">
        <v>65784.02</v>
      </c>
      <c r="L178" s="534">
        <v>50885.99</v>
      </c>
      <c r="M178" s="577">
        <v>0.70480129575639794</v>
      </c>
      <c r="N178" s="557">
        <v>22331.239999999998</v>
      </c>
      <c r="O178" s="558">
        <v>225</v>
      </c>
      <c r="P178" s="552">
        <v>70900.88</v>
      </c>
      <c r="Q178" s="534">
        <v>49261.43</v>
      </c>
      <c r="R178" s="577">
        <v>1.04</v>
      </c>
      <c r="S178" s="557">
        <v>1624.5599999999977</v>
      </c>
      <c r="T178" s="573"/>
      <c r="AA178" s="510"/>
      <c r="AB178" s="510"/>
      <c r="AC178" s="510"/>
      <c r="AD178" s="510"/>
      <c r="AE178" s="510"/>
      <c r="AF178" s="510"/>
      <c r="AG178" s="510"/>
      <c r="AH178" s="510"/>
      <c r="AI178" s="510"/>
      <c r="AJ178" s="510"/>
      <c r="AK178" s="510"/>
      <c r="AL178" s="510"/>
      <c r="AM178" s="510"/>
      <c r="AN178" s="510"/>
    </row>
    <row r="179" spans="1:40" ht="15.75" customHeight="1">
      <c r="A179" s="523" t="s">
        <v>335</v>
      </c>
      <c r="B179" s="510" t="s">
        <v>83</v>
      </c>
      <c r="C179" s="531" t="s">
        <v>87</v>
      </c>
      <c r="D179" s="573"/>
      <c r="E179" s="644"/>
      <c r="F179" s="660">
        <v>0.74</v>
      </c>
      <c r="G179" s="558"/>
      <c r="H179" s="644"/>
      <c r="I179" s="660"/>
      <c r="J179" s="558"/>
      <c r="K179" s="644"/>
      <c r="L179" s="660">
        <v>0.77353117063992127</v>
      </c>
      <c r="M179" s="577"/>
      <c r="N179" s="557">
        <v>3.3531170639921282E-2</v>
      </c>
      <c r="O179" s="558"/>
      <c r="P179" s="644"/>
      <c r="Q179" s="660">
        <v>0.69479292781697488</v>
      </c>
      <c r="R179" s="558">
        <v>0</v>
      </c>
      <c r="S179" s="557"/>
      <c r="T179" s="573"/>
      <c r="AA179" s="510"/>
      <c r="AB179" s="510"/>
      <c r="AC179" s="510"/>
      <c r="AD179" s="510"/>
      <c r="AE179" s="510"/>
      <c r="AF179" s="510"/>
      <c r="AG179" s="510"/>
      <c r="AH179" s="510"/>
      <c r="AI179" s="510"/>
      <c r="AJ179" s="510"/>
      <c r="AK179" s="510"/>
      <c r="AL179" s="510"/>
      <c r="AM179" s="510"/>
      <c r="AN179" s="510"/>
    </row>
    <row r="180" spans="1:40" ht="15.75" customHeight="1">
      <c r="A180" s="523" t="s">
        <v>83</v>
      </c>
      <c r="B180" s="510" t="s">
        <v>83</v>
      </c>
      <c r="C180" s="531"/>
      <c r="D180" s="573"/>
      <c r="E180" s="661">
        <v>294</v>
      </c>
      <c r="F180" s="662"/>
      <c r="G180" s="663"/>
      <c r="H180" s="661"/>
      <c r="I180" s="662"/>
      <c r="J180" s="663"/>
      <c r="K180" s="661">
        <v>281.12829059829062</v>
      </c>
      <c r="L180" s="662"/>
      <c r="M180" s="581"/>
      <c r="N180" s="582"/>
      <c r="O180" s="663"/>
      <c r="P180" s="661">
        <v>315.11502222222225</v>
      </c>
      <c r="Q180" s="660"/>
      <c r="R180" s="663"/>
      <c r="S180" s="557"/>
      <c r="T180" s="573"/>
      <c r="U180" s="551"/>
      <c r="AA180" s="510"/>
      <c r="AB180" s="510"/>
      <c r="AC180" s="510"/>
      <c r="AD180" s="510"/>
      <c r="AE180" s="510"/>
      <c r="AF180" s="510"/>
      <c r="AG180" s="510"/>
      <c r="AH180" s="510"/>
      <c r="AI180" s="510"/>
      <c r="AJ180" s="510"/>
      <c r="AK180" s="510"/>
      <c r="AL180" s="510"/>
      <c r="AM180" s="510"/>
      <c r="AN180" s="510"/>
    </row>
    <row r="181" spans="1:40" ht="15.75" customHeight="1">
      <c r="A181" s="523" t="s">
        <v>338</v>
      </c>
      <c r="B181" s="510" t="s">
        <v>83</v>
      </c>
      <c r="C181" s="518" t="s">
        <v>90</v>
      </c>
      <c r="D181" s="664">
        <v>68.098335917235062</v>
      </c>
      <c r="E181" s="573">
        <v>6809.8335917235054</v>
      </c>
      <c r="F181" s="573">
        <v>5175.4735297098641</v>
      </c>
      <c r="G181" s="665"/>
      <c r="H181" s="573"/>
      <c r="I181" s="573"/>
      <c r="J181" s="665">
        <v>0</v>
      </c>
      <c r="K181" s="552">
        <v>6881.58</v>
      </c>
      <c r="L181" s="553">
        <v>4923.2</v>
      </c>
      <c r="M181" s="669">
        <v>1.0535706535280577E-2</v>
      </c>
      <c r="N181" s="606">
        <v>-252.27352970986431</v>
      </c>
      <c r="O181" s="665">
        <v>0</v>
      </c>
      <c r="P181" s="552">
        <v>5666.32</v>
      </c>
      <c r="Q181" s="553">
        <v>4409.3099999999904</v>
      </c>
      <c r="R181" s="577">
        <v>0</v>
      </c>
      <c r="S181" s="606">
        <v>513.89000000000942</v>
      </c>
      <c r="T181" s="573"/>
      <c r="U181" s="551"/>
      <c r="AA181" s="510"/>
      <c r="AB181" s="510"/>
      <c r="AC181" s="510"/>
      <c r="AD181" s="510"/>
      <c r="AE181" s="510"/>
      <c r="AF181" s="510"/>
      <c r="AG181" s="510"/>
      <c r="AH181" s="510"/>
      <c r="AI181" s="510"/>
      <c r="AJ181" s="510"/>
      <c r="AK181" s="510"/>
      <c r="AL181" s="510"/>
      <c r="AM181" s="510"/>
      <c r="AN181" s="510"/>
    </row>
    <row r="182" spans="1:40" ht="15.75" customHeight="1">
      <c r="A182" s="523" t="s">
        <v>335</v>
      </c>
      <c r="B182" s="510" t="s">
        <v>83</v>
      </c>
      <c r="C182" s="531" t="s">
        <v>87</v>
      </c>
      <c r="D182" s="571"/>
      <c r="E182" s="670"/>
      <c r="F182" s="660">
        <v>0.76</v>
      </c>
      <c r="G182" s="550"/>
      <c r="H182" s="670"/>
      <c r="I182" s="660"/>
      <c r="J182" s="671"/>
      <c r="K182" s="670">
        <v>0</v>
      </c>
      <c r="L182" s="660">
        <v>0.71541709898017602</v>
      </c>
      <c r="M182" s="558">
        <v>0</v>
      </c>
      <c r="N182" s="672"/>
      <c r="O182" s="671"/>
      <c r="P182" s="670"/>
      <c r="Q182" s="660">
        <v>0.77816113456352454</v>
      </c>
      <c r="R182" s="531"/>
      <c r="S182" s="672"/>
      <c r="T182" s="608"/>
      <c r="U182" s="551"/>
      <c r="AA182" s="510"/>
      <c r="AB182" s="510"/>
      <c r="AC182" s="510"/>
      <c r="AD182" s="510"/>
      <c r="AE182" s="510"/>
      <c r="AF182" s="510"/>
      <c r="AG182" s="510"/>
      <c r="AH182" s="510"/>
      <c r="AI182" s="510"/>
      <c r="AJ182" s="510"/>
      <c r="AK182" s="510"/>
      <c r="AL182" s="510"/>
      <c r="AM182" s="510"/>
      <c r="AN182" s="510"/>
    </row>
    <row r="183" spans="1:40" ht="15.75" customHeight="1">
      <c r="A183" s="523" t="s">
        <v>83</v>
      </c>
      <c r="B183" s="510" t="s">
        <v>83</v>
      </c>
      <c r="C183" s="524"/>
      <c r="D183" s="673"/>
      <c r="E183" s="674"/>
      <c r="F183" s="662"/>
      <c r="G183" s="544"/>
      <c r="H183" s="674"/>
      <c r="I183" s="662"/>
      <c r="J183" s="675"/>
      <c r="K183" s="528"/>
      <c r="L183" s="662"/>
      <c r="M183" s="663"/>
      <c r="N183" s="676"/>
      <c r="O183" s="675"/>
      <c r="P183" s="528">
        <v>0</v>
      </c>
      <c r="Q183" s="662"/>
      <c r="R183" s="524"/>
      <c r="S183" s="676"/>
      <c r="T183" s="608"/>
      <c r="AA183" s="510"/>
      <c r="AB183" s="510"/>
      <c r="AC183" s="510"/>
      <c r="AD183" s="510"/>
      <c r="AE183" s="510"/>
      <c r="AF183" s="510"/>
      <c r="AG183" s="510"/>
      <c r="AH183" s="510"/>
      <c r="AI183" s="510"/>
      <c r="AJ183" s="510"/>
      <c r="AK183" s="510"/>
      <c r="AL183" s="510"/>
      <c r="AM183" s="510"/>
      <c r="AN183" s="510"/>
    </row>
    <row r="184" spans="1:40" ht="26.25" customHeight="1" thickBot="1">
      <c r="A184" s="523" t="s">
        <v>339</v>
      </c>
      <c r="B184" s="510" t="s">
        <v>83</v>
      </c>
      <c r="C184" s="531" t="s">
        <v>91</v>
      </c>
      <c r="D184" s="510"/>
      <c r="E184" s="510"/>
      <c r="F184" s="557">
        <v>-2343.0813317403599</v>
      </c>
      <c r="G184" s="531"/>
      <c r="H184" s="573"/>
      <c r="I184" s="573"/>
      <c r="J184" s="558"/>
      <c r="K184" s="573"/>
      <c r="L184" s="573">
        <v>-2291.02</v>
      </c>
      <c r="M184" s="671"/>
      <c r="N184" s="557">
        <v>52.061331740359947</v>
      </c>
      <c r="O184" s="558"/>
      <c r="P184" s="573"/>
      <c r="Q184" s="534">
        <v>-5573.72</v>
      </c>
      <c r="R184" s="677"/>
      <c r="S184" s="557">
        <v>3282.7000000000003</v>
      </c>
      <c r="T184" s="510"/>
      <c r="U184" s="510"/>
      <c r="V184" s="510"/>
      <c r="W184" s="510"/>
      <c r="X184" s="510"/>
      <c r="Y184" s="510"/>
      <c r="Z184" s="510"/>
      <c r="AA184" s="510"/>
      <c r="AB184" s="510"/>
      <c r="AC184" s="510"/>
      <c r="AD184" s="510"/>
      <c r="AE184" s="510"/>
      <c r="AF184" s="510"/>
      <c r="AG184" s="510"/>
      <c r="AH184" s="510"/>
      <c r="AI184" s="510"/>
      <c r="AJ184" s="510"/>
      <c r="AK184" s="510"/>
      <c r="AL184" s="510"/>
      <c r="AM184" s="510"/>
      <c r="AN184" s="510"/>
    </row>
    <row r="185" spans="1:40" ht="15.75" customHeight="1" thickTop="1">
      <c r="A185" s="523" t="s">
        <v>340</v>
      </c>
      <c r="B185" s="510" t="s">
        <v>83</v>
      </c>
      <c r="C185" s="678" t="s">
        <v>92</v>
      </c>
      <c r="D185" s="679">
        <v>690.96424331046319</v>
      </c>
      <c r="E185" s="679">
        <v>202475.28733549951</v>
      </c>
      <c r="F185" s="680">
        <v>147982.52736740501</v>
      </c>
      <c r="G185" s="681"/>
      <c r="H185" s="679"/>
      <c r="I185" s="680"/>
      <c r="J185" s="681">
        <v>752</v>
      </c>
      <c r="K185" s="679">
        <v>238991.93999999997</v>
      </c>
      <c r="L185" s="680">
        <v>181616.97000000003</v>
      </c>
      <c r="M185" s="682">
        <v>0.1803511586280292</v>
      </c>
      <c r="N185" s="680">
        <v>33634.442632595019</v>
      </c>
      <c r="O185" s="681">
        <v>791</v>
      </c>
      <c r="P185" s="679">
        <v>242910.41</v>
      </c>
      <c r="Q185" s="680">
        <v>167313.56999999989</v>
      </c>
      <c r="R185" s="548">
        <v>0.95069532237673826</v>
      </c>
      <c r="S185" s="680">
        <v>14303.40000000014</v>
      </c>
      <c r="T185" s="608"/>
      <c r="U185" s="510"/>
      <c r="V185" s="510"/>
      <c r="W185" s="510"/>
      <c r="X185" s="510"/>
      <c r="Y185" s="510"/>
      <c r="Z185" s="510"/>
      <c r="AA185" s="510"/>
      <c r="AB185" s="510"/>
      <c r="AC185" s="510"/>
      <c r="AD185" s="510"/>
      <c r="AE185" s="510"/>
      <c r="AF185" s="510"/>
      <c r="AG185" s="510"/>
      <c r="AH185" s="510"/>
      <c r="AI185" s="510"/>
      <c r="AJ185" s="510"/>
      <c r="AK185" s="510"/>
      <c r="AL185" s="510"/>
      <c r="AM185" s="510"/>
      <c r="AN185" s="510"/>
    </row>
    <row r="186" spans="1:40" ht="15.75" customHeight="1">
      <c r="A186" s="523" t="s">
        <v>341</v>
      </c>
      <c r="B186" s="510" t="s">
        <v>83</v>
      </c>
      <c r="C186" s="683" t="s">
        <v>93</v>
      </c>
      <c r="D186" s="684"/>
      <c r="E186" s="685"/>
      <c r="F186" s="686">
        <v>0.73086710637530528</v>
      </c>
      <c r="G186" s="687"/>
      <c r="H186" s="685"/>
      <c r="I186" s="549"/>
      <c r="J186" s="687"/>
      <c r="K186" s="685">
        <v>317.8084308510638</v>
      </c>
      <c r="L186" s="549">
        <v>0.75992926790752879</v>
      </c>
      <c r="M186" s="687"/>
      <c r="N186" s="686">
        <v>0.22728658059129367</v>
      </c>
      <c r="O186" s="687"/>
      <c r="P186" s="685">
        <v>307.09280657395703</v>
      </c>
      <c r="Q186" s="549">
        <v>0.68878715407873992</v>
      </c>
      <c r="R186" s="687"/>
      <c r="S186" s="549">
        <v>8.5488582904543545E-2</v>
      </c>
      <c r="T186" s="608"/>
      <c r="U186" s="510"/>
      <c r="V186" s="510"/>
      <c r="W186" s="510"/>
      <c r="X186" s="510"/>
      <c r="Y186" s="510"/>
      <c r="Z186" s="510"/>
      <c r="AA186" s="510"/>
      <c r="AB186" s="510"/>
      <c r="AC186" s="510"/>
      <c r="AD186" s="510"/>
      <c r="AE186" s="510"/>
      <c r="AF186" s="510"/>
      <c r="AG186" s="510"/>
      <c r="AH186" s="510"/>
      <c r="AI186" s="510"/>
      <c r="AJ186" s="510"/>
      <c r="AK186" s="510"/>
      <c r="AL186" s="510"/>
      <c r="AM186" s="510"/>
      <c r="AN186" s="510"/>
    </row>
    <row r="187" spans="1:40" ht="15.75" customHeight="1">
      <c r="A187" s="523" t="s">
        <v>83</v>
      </c>
      <c r="B187" s="510" t="s">
        <v>83</v>
      </c>
      <c r="C187" s="537"/>
      <c r="D187" s="688"/>
      <c r="E187" s="689"/>
      <c r="F187" s="690"/>
      <c r="G187" s="691"/>
      <c r="H187" s="689"/>
      <c r="I187" s="690"/>
      <c r="J187" s="691"/>
      <c r="K187" s="689"/>
      <c r="L187" s="690"/>
      <c r="M187" s="691"/>
      <c r="N187" s="690"/>
      <c r="O187" s="691"/>
      <c r="P187" s="689"/>
      <c r="Q187" s="690"/>
      <c r="R187" s="691"/>
      <c r="S187" s="690"/>
      <c r="T187" s="608"/>
      <c r="U187" s="510"/>
      <c r="V187" s="510"/>
      <c r="W187" s="510"/>
      <c r="X187" s="510"/>
      <c r="Y187" s="510"/>
      <c r="Z187" s="510"/>
      <c r="AA187" s="510"/>
      <c r="AB187" s="510"/>
      <c r="AC187" s="510"/>
      <c r="AD187" s="510"/>
      <c r="AE187" s="510"/>
      <c r="AF187" s="510"/>
      <c r="AG187" s="510"/>
      <c r="AH187" s="510"/>
      <c r="AI187" s="510"/>
      <c r="AJ187" s="510"/>
      <c r="AK187" s="510"/>
      <c r="AL187" s="510"/>
      <c r="AM187" s="510"/>
      <c r="AN187" s="510"/>
    </row>
    <row r="188" spans="1:40" ht="19.5" customHeight="1">
      <c r="A188" s="523" t="s">
        <v>342</v>
      </c>
      <c r="B188" s="510" t="s">
        <v>83</v>
      </c>
      <c r="C188" s="531" t="s">
        <v>94</v>
      </c>
      <c r="D188" s="573"/>
      <c r="E188" s="573">
        <v>9668.5965791247181</v>
      </c>
      <c r="F188" s="573">
        <v>2127.091247407438</v>
      </c>
      <c r="G188" s="558"/>
      <c r="H188" s="573"/>
      <c r="I188" s="573"/>
      <c r="J188" s="558"/>
      <c r="K188" s="532">
        <v>9830.83</v>
      </c>
      <c r="L188" s="534">
        <v>2191.8100000000004</v>
      </c>
      <c r="M188" s="577">
        <v>1.6779417731168644E-2</v>
      </c>
      <c r="N188" s="557">
        <v>64.718752592562396</v>
      </c>
      <c r="O188" s="558"/>
      <c r="P188" s="532">
        <v>9900.32</v>
      </c>
      <c r="Q188" s="534">
        <v>2901.3199999999902</v>
      </c>
      <c r="R188" s="577">
        <v>0</v>
      </c>
      <c r="S188" s="557">
        <v>-709.50999999998976</v>
      </c>
      <c r="T188" s="608"/>
      <c r="U188" s="510"/>
      <c r="V188" s="510"/>
      <c r="W188" s="510"/>
      <c r="X188" s="510"/>
      <c r="Y188" s="510"/>
      <c r="Z188" s="510"/>
      <c r="AA188" s="510"/>
      <c r="AB188" s="510"/>
      <c r="AC188" s="510"/>
      <c r="AD188" s="510"/>
      <c r="AE188" s="510"/>
      <c r="AF188" s="510"/>
      <c r="AG188" s="510"/>
      <c r="AH188" s="510"/>
      <c r="AI188" s="510"/>
      <c r="AJ188" s="510"/>
      <c r="AK188" s="510"/>
      <c r="AL188" s="510"/>
      <c r="AM188" s="510"/>
      <c r="AN188" s="510"/>
    </row>
    <row r="189" spans="1:40" ht="21" customHeight="1">
      <c r="A189" s="523" t="s">
        <v>335</v>
      </c>
      <c r="B189" s="510" t="s">
        <v>83</v>
      </c>
      <c r="C189" s="531" t="s">
        <v>87</v>
      </c>
      <c r="D189" s="510"/>
      <c r="E189" s="644"/>
      <c r="F189" s="660">
        <v>0.22</v>
      </c>
      <c r="G189" s="531"/>
      <c r="H189" s="644"/>
      <c r="I189" s="660"/>
      <c r="J189" s="671"/>
      <c r="K189" s="670"/>
      <c r="L189" s="660">
        <v>0.22295269066803111</v>
      </c>
      <c r="M189" s="671"/>
      <c r="N189" s="672"/>
      <c r="O189" s="671"/>
      <c r="P189" s="670"/>
      <c r="Q189" s="660">
        <v>0.29305315383745073</v>
      </c>
      <c r="R189" s="671"/>
      <c r="S189" s="672"/>
      <c r="T189" s="608"/>
      <c r="U189" s="510"/>
      <c r="V189" s="510"/>
      <c r="W189" s="510"/>
      <c r="X189" s="510"/>
      <c r="Y189" s="510"/>
      <c r="Z189" s="510"/>
      <c r="AA189" s="510"/>
      <c r="AB189" s="510"/>
      <c r="AC189" s="510"/>
      <c r="AD189" s="510"/>
      <c r="AE189" s="510"/>
      <c r="AF189" s="510"/>
      <c r="AG189" s="510"/>
      <c r="AH189" s="510"/>
      <c r="AI189" s="510"/>
      <c r="AJ189" s="510"/>
      <c r="AK189" s="510"/>
      <c r="AL189" s="510"/>
      <c r="AM189" s="510"/>
      <c r="AN189" s="510"/>
    </row>
    <row r="190" spans="1:40" ht="15.75" customHeight="1">
      <c r="A190" s="523" t="s">
        <v>83</v>
      </c>
      <c r="B190" s="510" t="s">
        <v>83</v>
      </c>
      <c r="C190" s="531"/>
      <c r="D190" s="510"/>
      <c r="E190" s="644"/>
      <c r="F190" s="660"/>
      <c r="G190" s="531"/>
      <c r="H190" s="644"/>
      <c r="I190" s="660"/>
      <c r="J190" s="671"/>
      <c r="K190" s="670"/>
      <c r="L190" s="660"/>
      <c r="M190" s="671"/>
      <c r="N190" s="672"/>
      <c r="O190" s="671"/>
      <c r="P190" s="670"/>
      <c r="Q190" s="660"/>
      <c r="R190" s="671"/>
      <c r="S190" s="672"/>
      <c r="T190" s="608"/>
      <c r="U190" s="510"/>
      <c r="V190" s="510"/>
      <c r="W190" s="510"/>
      <c r="X190" s="510"/>
      <c r="Y190" s="510"/>
      <c r="Z190" s="510"/>
      <c r="AA190" s="510"/>
      <c r="AB190" s="510"/>
      <c r="AC190" s="510"/>
      <c r="AD190" s="510"/>
      <c r="AE190" s="510"/>
      <c r="AF190" s="510"/>
      <c r="AG190" s="510"/>
      <c r="AH190" s="510"/>
      <c r="AI190" s="510"/>
      <c r="AJ190" s="510"/>
      <c r="AK190" s="510"/>
      <c r="AL190" s="510"/>
      <c r="AM190" s="510"/>
      <c r="AN190" s="510"/>
    </row>
    <row r="191" spans="1:40" ht="15.75" customHeight="1">
      <c r="A191" s="523" t="s">
        <v>343</v>
      </c>
      <c r="B191" s="510" t="s">
        <v>83</v>
      </c>
      <c r="C191" s="531" t="s">
        <v>95</v>
      </c>
      <c r="D191" s="510"/>
      <c r="E191" s="573">
        <v>6809.8335917235054</v>
      </c>
      <c r="F191" s="573">
        <v>4766.8835142064536</v>
      </c>
      <c r="G191" s="531"/>
      <c r="H191" s="573"/>
      <c r="I191" s="573"/>
      <c r="J191" s="558">
        <v>24</v>
      </c>
      <c r="K191" s="532">
        <v>5879.95</v>
      </c>
      <c r="L191" s="534">
        <v>4060.59</v>
      </c>
      <c r="M191" s="577">
        <v>-0.13655011964663305</v>
      </c>
      <c r="N191" s="557">
        <v>-706.29351420645344</v>
      </c>
      <c r="O191" s="671"/>
      <c r="P191" s="532">
        <v>12624.6</v>
      </c>
      <c r="Q191" s="534">
        <v>9293.4699999999993</v>
      </c>
      <c r="R191" s="671"/>
      <c r="S191" s="672"/>
      <c r="T191" s="608"/>
      <c r="U191" s="510"/>
      <c r="V191" s="510"/>
      <c r="W191" s="510"/>
      <c r="X191" s="510"/>
      <c r="Y191" s="510"/>
      <c r="Z191" s="510"/>
      <c r="AA191" s="510"/>
      <c r="AB191" s="510"/>
      <c r="AC191" s="510"/>
      <c r="AD191" s="510"/>
      <c r="AE191" s="510"/>
      <c r="AF191" s="510"/>
      <c r="AG191" s="510"/>
      <c r="AH191" s="510"/>
      <c r="AI191" s="510"/>
      <c r="AJ191" s="510"/>
      <c r="AK191" s="510"/>
      <c r="AL191" s="510"/>
      <c r="AM191" s="510"/>
      <c r="AN191" s="510"/>
    </row>
    <row r="192" spans="1:40" ht="15.75" customHeight="1">
      <c r="A192" s="523" t="s">
        <v>335</v>
      </c>
      <c r="B192" s="510" t="s">
        <v>83</v>
      </c>
      <c r="C192" s="531" t="s">
        <v>87</v>
      </c>
      <c r="D192" s="510"/>
      <c r="E192" s="644"/>
      <c r="F192" s="660">
        <v>0.7</v>
      </c>
      <c r="G192" s="531"/>
      <c r="H192" s="644"/>
      <c r="I192" s="660"/>
      <c r="J192" s="671"/>
      <c r="K192" s="670"/>
      <c r="L192" s="660">
        <v>0.69058240291158945</v>
      </c>
      <c r="M192" s="671"/>
      <c r="N192" s="672"/>
      <c r="O192" s="671"/>
      <c r="P192" s="670"/>
      <c r="Q192" s="660">
        <v>0.73613975888344974</v>
      </c>
      <c r="R192" s="671"/>
      <c r="S192" s="672"/>
      <c r="T192" s="608"/>
      <c r="U192" s="532"/>
      <c r="V192" s="510"/>
      <c r="W192" s="510"/>
      <c r="X192" s="510"/>
      <c r="Y192" s="510"/>
      <c r="Z192" s="510"/>
      <c r="AA192" s="510"/>
      <c r="AB192" s="510"/>
      <c r="AC192" s="510"/>
      <c r="AD192" s="510"/>
      <c r="AE192" s="510"/>
      <c r="AF192" s="510"/>
      <c r="AG192" s="510"/>
      <c r="AH192" s="510"/>
      <c r="AI192" s="510"/>
      <c r="AJ192" s="510"/>
      <c r="AK192" s="510"/>
      <c r="AL192" s="510"/>
      <c r="AM192" s="510"/>
      <c r="AN192" s="510"/>
    </row>
    <row r="193" spans="1:40" ht="15.75" customHeight="1" thickBot="1">
      <c r="A193" s="523" t="s">
        <v>83</v>
      </c>
      <c r="B193" s="510" t="s">
        <v>83</v>
      </c>
      <c r="C193" s="692"/>
      <c r="D193" s="693"/>
      <c r="E193" s="694"/>
      <c r="F193" s="695"/>
      <c r="G193" s="696"/>
      <c r="H193" s="694"/>
      <c r="I193" s="695"/>
      <c r="J193" s="696"/>
      <c r="K193" s="694"/>
      <c r="L193" s="695"/>
      <c r="M193" s="696"/>
      <c r="N193" s="695"/>
      <c r="O193" s="696"/>
      <c r="P193" s="694"/>
      <c r="Q193" s="695"/>
      <c r="R193" s="696"/>
      <c r="S193" s="695"/>
      <c r="T193" s="608"/>
      <c r="U193" s="510"/>
      <c r="V193" s="510"/>
      <c r="W193" s="510"/>
      <c r="X193" s="510"/>
      <c r="Y193" s="510"/>
      <c r="Z193" s="510"/>
      <c r="AA193" s="510"/>
      <c r="AB193" s="510"/>
      <c r="AC193" s="510"/>
      <c r="AD193" s="510"/>
      <c r="AE193" s="510"/>
      <c r="AF193" s="510"/>
      <c r="AG193" s="510"/>
      <c r="AH193" s="510"/>
      <c r="AI193" s="510"/>
      <c r="AJ193" s="510"/>
      <c r="AK193" s="510"/>
      <c r="AL193" s="510"/>
      <c r="AM193" s="510"/>
      <c r="AN193" s="510"/>
    </row>
    <row r="194" spans="1:40" ht="24.75" customHeight="1" thickTop="1">
      <c r="A194" s="523" t="s">
        <v>344</v>
      </c>
      <c r="B194" s="510" t="s">
        <v>83</v>
      </c>
      <c r="C194" s="559" t="s">
        <v>96</v>
      </c>
      <c r="D194" s="560"/>
      <c r="E194" s="560">
        <v>218953.71750634772</v>
      </c>
      <c r="F194" s="562">
        <v>154876.50212901889</v>
      </c>
      <c r="G194" s="563"/>
      <c r="H194" s="560"/>
      <c r="I194" s="562"/>
      <c r="J194" s="563"/>
      <c r="K194" s="560">
        <v>254702.71999999997</v>
      </c>
      <c r="L194" s="562">
        <v>187869.37000000002</v>
      </c>
      <c r="M194" s="697">
        <v>3.0254399679314092E-2</v>
      </c>
      <c r="N194" s="562">
        <v>32992.867870981136</v>
      </c>
      <c r="O194" s="563"/>
      <c r="P194" s="560">
        <v>265435.33</v>
      </c>
      <c r="Q194" s="562">
        <v>179508.35999999987</v>
      </c>
      <c r="R194" s="697"/>
      <c r="S194" s="562">
        <v>8361.0100000001548</v>
      </c>
      <c r="T194" s="608"/>
      <c r="U194" s="654"/>
      <c r="V194" s="510"/>
      <c r="W194" s="510"/>
      <c r="X194" s="510"/>
      <c r="Y194" s="510"/>
      <c r="Z194" s="510"/>
      <c r="AA194" s="510"/>
      <c r="AB194" s="510"/>
      <c r="AC194" s="510"/>
      <c r="AD194" s="510"/>
      <c r="AE194" s="510"/>
      <c r="AF194" s="510"/>
      <c r="AG194" s="510"/>
      <c r="AH194" s="510"/>
      <c r="AI194" s="510"/>
      <c r="AJ194" s="510"/>
      <c r="AK194" s="510"/>
      <c r="AL194" s="510"/>
      <c r="AM194" s="510"/>
      <c r="AN194" s="510"/>
    </row>
    <row r="195" spans="1:40" ht="24" customHeight="1" thickBot="1">
      <c r="A195" s="523" t="s">
        <v>83</v>
      </c>
      <c r="B195" s="510" t="s">
        <v>83</v>
      </c>
      <c r="C195" s="564"/>
      <c r="D195" s="565"/>
      <c r="E195" s="565"/>
      <c r="F195" s="570">
        <v>0.70734812769063327</v>
      </c>
      <c r="G195" s="564"/>
      <c r="H195" s="565"/>
      <c r="I195" s="570"/>
      <c r="J195" s="564"/>
      <c r="K195" s="565"/>
      <c r="L195" s="570">
        <v>0.73760252736994736</v>
      </c>
      <c r="M195" s="569"/>
      <c r="N195" s="570">
        <v>0.21302694351591589</v>
      </c>
      <c r="O195" s="564"/>
      <c r="P195" s="565"/>
      <c r="Q195" s="570">
        <v>0.67627907709196011</v>
      </c>
      <c r="R195" s="569"/>
      <c r="S195" s="570">
        <v>22.469698038872881</v>
      </c>
      <c r="T195" s="571"/>
      <c r="U195" s="510"/>
      <c r="V195" s="510"/>
      <c r="W195" s="510"/>
      <c r="X195" s="510"/>
      <c r="Y195" s="510"/>
      <c r="Z195" s="510"/>
      <c r="AA195" s="510"/>
      <c r="AB195" s="510"/>
      <c r="AC195" s="510"/>
      <c r="AD195" s="510"/>
      <c r="AE195" s="510"/>
      <c r="AF195" s="510"/>
      <c r="AG195" s="510"/>
      <c r="AH195" s="510"/>
      <c r="AI195" s="510"/>
      <c r="AJ195" s="510"/>
      <c r="AK195" s="510"/>
      <c r="AL195" s="510"/>
      <c r="AM195" s="510"/>
      <c r="AN195" s="510"/>
    </row>
    <row r="196" spans="1:40" ht="15.75" customHeight="1" thickTop="1">
      <c r="A196" s="523" t="s">
        <v>83</v>
      </c>
      <c r="B196" s="510" t="s">
        <v>83</v>
      </c>
      <c r="C196" s="550"/>
      <c r="D196" s="571"/>
      <c r="E196" s="571"/>
      <c r="F196" s="549"/>
      <c r="G196" s="550"/>
      <c r="H196" s="571"/>
      <c r="I196" s="549"/>
      <c r="J196" s="550"/>
      <c r="K196" s="608"/>
      <c r="L196" s="549"/>
      <c r="M196" s="548"/>
      <c r="N196" s="549"/>
      <c r="O196" s="550"/>
      <c r="P196" s="571"/>
      <c r="Q196" s="549"/>
      <c r="R196" s="548"/>
      <c r="S196" s="549"/>
      <c r="T196" s="571"/>
      <c r="U196" s="510"/>
      <c r="V196" s="510"/>
      <c r="W196" s="510"/>
      <c r="X196" s="510"/>
      <c r="Y196" s="510"/>
      <c r="Z196" s="510"/>
      <c r="AA196" s="510"/>
      <c r="AB196" s="510"/>
      <c r="AC196" s="510"/>
      <c r="AD196" s="510"/>
      <c r="AE196" s="510"/>
      <c r="AF196" s="510"/>
      <c r="AG196" s="510"/>
      <c r="AH196" s="510"/>
      <c r="AI196" s="510"/>
      <c r="AJ196" s="510"/>
      <c r="AK196" s="510"/>
      <c r="AL196" s="510"/>
      <c r="AM196" s="510"/>
      <c r="AN196" s="510"/>
    </row>
    <row r="197" spans="1:40" ht="15.75" customHeight="1">
      <c r="A197" s="523" t="s">
        <v>345</v>
      </c>
      <c r="B197" s="510" t="s">
        <v>83</v>
      </c>
      <c r="C197" s="574" t="s">
        <v>30</v>
      </c>
      <c r="D197" s="510"/>
      <c r="E197" s="510"/>
      <c r="F197" s="557"/>
      <c r="G197" s="531"/>
      <c r="H197" s="510"/>
      <c r="I197" s="557"/>
      <c r="J197" s="531"/>
      <c r="K197" s="510"/>
      <c r="L197" s="541"/>
      <c r="M197" s="531"/>
      <c r="N197" s="541"/>
      <c r="O197" s="531"/>
      <c r="P197" s="510"/>
      <c r="Q197" s="541"/>
      <c r="R197" s="531"/>
      <c r="S197" s="541"/>
      <c r="T197" s="510"/>
      <c r="U197" s="510"/>
      <c r="V197" s="510"/>
      <c r="W197" s="510"/>
      <c r="X197" s="510"/>
      <c r="Y197" s="510"/>
      <c r="Z197" s="510"/>
      <c r="AA197" s="510"/>
      <c r="AB197" s="510"/>
      <c r="AC197" s="510"/>
      <c r="AD197" s="510"/>
      <c r="AE197" s="510"/>
      <c r="AF197" s="510"/>
      <c r="AG197" s="510"/>
      <c r="AH197" s="510"/>
      <c r="AI197" s="510"/>
      <c r="AJ197" s="510"/>
      <c r="AK197" s="510"/>
      <c r="AL197" s="510"/>
      <c r="AM197" s="510"/>
      <c r="AN197" s="510"/>
    </row>
    <row r="198" spans="1:40" ht="15.75" customHeight="1">
      <c r="A198" s="523" t="s">
        <v>346</v>
      </c>
      <c r="B198" s="510" t="s">
        <v>83</v>
      </c>
      <c r="C198" s="600" t="s">
        <v>41</v>
      </c>
      <c r="D198" s="510"/>
      <c r="E198" s="510"/>
      <c r="F198" s="532">
        <v>15728.762179487177</v>
      </c>
      <c r="G198" s="531"/>
      <c r="H198" s="510"/>
      <c r="I198" s="532"/>
      <c r="J198" s="531"/>
      <c r="K198" s="510"/>
      <c r="L198" s="534">
        <v>12314.56</v>
      </c>
      <c r="M198" s="531"/>
      <c r="N198" s="534">
        <v>-3414.202179487178</v>
      </c>
      <c r="O198" s="531"/>
      <c r="P198" s="510"/>
      <c r="Q198" s="534">
        <v>18822.46</v>
      </c>
      <c r="R198" s="531"/>
      <c r="S198" s="534">
        <v>-6507.9</v>
      </c>
      <c r="T198" s="510"/>
      <c r="U198" s="510"/>
      <c r="V198" s="510"/>
      <c r="W198" s="510"/>
      <c r="X198" s="510"/>
      <c r="Y198" s="510"/>
      <c r="Z198" s="510"/>
      <c r="AA198" s="510"/>
      <c r="AB198" s="510"/>
      <c r="AC198" s="510"/>
      <c r="AD198" s="510"/>
      <c r="AE198" s="510"/>
      <c r="AF198" s="510"/>
      <c r="AG198" s="510"/>
      <c r="AH198" s="510"/>
      <c r="AI198" s="510"/>
      <c r="AJ198" s="510"/>
      <c r="AK198" s="510"/>
      <c r="AL198" s="510"/>
      <c r="AM198" s="510"/>
      <c r="AN198" s="510"/>
    </row>
    <row r="199" spans="1:40" ht="15.75" customHeight="1">
      <c r="A199" s="523" t="s">
        <v>347</v>
      </c>
      <c r="B199" s="510" t="s">
        <v>83</v>
      </c>
      <c r="C199" s="602" t="s">
        <v>42</v>
      </c>
      <c r="D199" s="584"/>
      <c r="E199" s="510"/>
      <c r="F199" s="526">
        <v>8540.9555384615378</v>
      </c>
      <c r="G199" s="585"/>
      <c r="H199" s="510"/>
      <c r="I199" s="526"/>
      <c r="J199" s="531"/>
      <c r="K199" s="510"/>
      <c r="L199" s="534">
        <v>7290.69</v>
      </c>
      <c r="M199" s="531"/>
      <c r="N199" s="534">
        <v>-1250.2655384615382</v>
      </c>
      <c r="O199" s="531"/>
      <c r="P199" s="510"/>
      <c r="Q199" s="534">
        <v>8759.42</v>
      </c>
      <c r="R199" s="531"/>
      <c r="S199" s="557">
        <v>-1468.7300000000005</v>
      </c>
      <c r="T199" s="510"/>
      <c r="U199" s="510"/>
      <c r="V199" s="510"/>
      <c r="W199" s="510"/>
      <c r="X199" s="510"/>
      <c r="Y199" s="510"/>
      <c r="Z199" s="510"/>
      <c r="AA199" s="510"/>
      <c r="AB199" s="510"/>
      <c r="AC199" s="510"/>
      <c r="AD199" s="510"/>
      <c r="AE199" s="510"/>
      <c r="AF199" s="510"/>
      <c r="AG199" s="510"/>
      <c r="AH199" s="510"/>
      <c r="AI199" s="510"/>
      <c r="AJ199" s="510"/>
      <c r="AK199" s="510"/>
      <c r="AL199" s="510"/>
      <c r="AM199" s="510"/>
      <c r="AN199" s="510"/>
    </row>
    <row r="200" spans="1:40" ht="20.399999999999999">
      <c r="A200" s="523" t="s">
        <v>348</v>
      </c>
      <c r="B200" s="510" t="s">
        <v>83</v>
      </c>
      <c r="C200" s="600" t="s">
        <v>43</v>
      </c>
      <c r="D200" s="603"/>
      <c r="E200" s="604"/>
      <c r="F200" s="532">
        <v>17386.576923076926</v>
      </c>
      <c r="G200" s="605"/>
      <c r="H200" s="604"/>
      <c r="I200" s="532"/>
      <c r="J200" s="518"/>
      <c r="K200" s="604"/>
      <c r="L200" s="553">
        <v>11607.22</v>
      </c>
      <c r="M200" s="518"/>
      <c r="N200" s="553">
        <v>-5779.3569230769263</v>
      </c>
      <c r="O200" s="518"/>
      <c r="P200" s="604"/>
      <c r="Q200" s="553">
        <v>21328.98</v>
      </c>
      <c r="R200" s="518"/>
      <c r="S200" s="606">
        <v>-9721.76</v>
      </c>
      <c r="T200" s="510"/>
      <c r="U200" s="510"/>
      <c r="V200" s="510"/>
      <c r="W200" s="510"/>
      <c r="X200" s="510"/>
      <c r="Y200" s="510"/>
      <c r="Z200" s="510"/>
      <c r="AA200" s="510"/>
      <c r="AB200" s="510"/>
      <c r="AC200" s="510"/>
      <c r="AD200" s="510"/>
      <c r="AE200" s="510"/>
      <c r="AF200" s="510"/>
      <c r="AG200" s="510"/>
      <c r="AH200" s="510"/>
      <c r="AI200" s="510"/>
      <c r="AJ200" s="510"/>
      <c r="AK200" s="510"/>
      <c r="AL200" s="510"/>
      <c r="AM200" s="510"/>
      <c r="AN200" s="510"/>
    </row>
    <row r="201" spans="1:40" ht="20.399999999999999">
      <c r="A201" s="523" t="s">
        <v>349</v>
      </c>
      <c r="B201" s="510" t="s">
        <v>83</v>
      </c>
      <c r="C201" s="600" t="s">
        <v>44</v>
      </c>
      <c r="D201" s="584"/>
      <c r="E201" s="601">
        <v>0.19207689239036846</v>
      </c>
      <c r="F201" s="532">
        <v>25715.085923266739</v>
      </c>
      <c r="G201" s="585"/>
      <c r="H201" s="510"/>
      <c r="I201" s="532"/>
      <c r="J201" s="531"/>
      <c r="K201" s="698">
        <v>0.17726127060638094</v>
      </c>
      <c r="L201" s="534">
        <v>20622.5</v>
      </c>
      <c r="M201" s="531"/>
      <c r="N201" s="534">
        <v>-5092.585923266739</v>
      </c>
      <c r="O201" s="531"/>
      <c r="P201" s="510"/>
      <c r="Q201" s="534">
        <v>36407.18</v>
      </c>
      <c r="R201" s="531"/>
      <c r="S201" s="557">
        <v>-15784.68</v>
      </c>
      <c r="T201" s="510"/>
      <c r="U201" s="510"/>
      <c r="V201" s="510"/>
      <c r="W201" s="510"/>
      <c r="X201" s="510"/>
      <c r="Y201" s="510"/>
      <c r="Z201" s="510"/>
      <c r="AA201" s="510"/>
      <c r="AB201" s="510"/>
      <c r="AC201" s="510"/>
      <c r="AD201" s="510"/>
      <c r="AE201" s="510"/>
      <c r="AF201" s="510"/>
      <c r="AG201" s="510"/>
      <c r="AH201" s="510"/>
      <c r="AI201" s="510"/>
      <c r="AJ201" s="510"/>
      <c r="AK201" s="510"/>
      <c r="AL201" s="510"/>
      <c r="AM201" s="510"/>
      <c r="AN201" s="510"/>
    </row>
    <row r="202" spans="1:40" ht="15.75" hidden="1" customHeight="1">
      <c r="A202" s="523" t="s">
        <v>350</v>
      </c>
      <c r="B202" s="510" t="s">
        <v>83</v>
      </c>
      <c r="C202" s="531" t="s">
        <v>20</v>
      </c>
      <c r="D202" s="584"/>
      <c r="E202" s="510"/>
      <c r="F202" s="532">
        <v>0</v>
      </c>
      <c r="G202" s="585"/>
      <c r="H202" s="510"/>
      <c r="I202" s="532"/>
      <c r="J202" s="531"/>
      <c r="K202" s="510"/>
      <c r="L202" s="534">
        <v>0</v>
      </c>
      <c r="M202" s="531"/>
      <c r="N202" s="534">
        <v>0</v>
      </c>
      <c r="O202" s="531"/>
      <c r="P202" s="510"/>
      <c r="Q202" s="534">
        <v>0</v>
      </c>
      <c r="R202" s="531"/>
      <c r="S202" s="557">
        <v>0</v>
      </c>
      <c r="T202" s="510"/>
      <c r="U202" s="510"/>
      <c r="V202" s="510"/>
      <c r="W202" s="510"/>
      <c r="X202" s="510"/>
      <c r="Y202" s="510"/>
      <c r="Z202" s="510"/>
      <c r="AA202" s="510"/>
      <c r="AB202" s="510"/>
      <c r="AC202" s="510"/>
      <c r="AD202" s="510"/>
      <c r="AE202" s="510"/>
      <c r="AF202" s="510"/>
      <c r="AG202" s="510"/>
      <c r="AH202" s="510"/>
      <c r="AI202" s="510"/>
      <c r="AJ202" s="510"/>
      <c r="AK202" s="510"/>
      <c r="AL202" s="510"/>
      <c r="AM202" s="510"/>
      <c r="AN202" s="510"/>
    </row>
    <row r="203" spans="1:40" ht="15.75" hidden="1" customHeight="1">
      <c r="A203" s="523" t="s">
        <v>350</v>
      </c>
      <c r="B203" s="510" t="s">
        <v>83</v>
      </c>
      <c r="C203" s="531" t="s">
        <v>20</v>
      </c>
      <c r="D203" s="584"/>
      <c r="E203" s="510"/>
      <c r="F203" s="532">
        <v>0</v>
      </c>
      <c r="G203" s="585"/>
      <c r="H203" s="510"/>
      <c r="I203" s="532"/>
      <c r="J203" s="531"/>
      <c r="K203" s="510"/>
      <c r="L203" s="534">
        <v>0</v>
      </c>
      <c r="M203" s="531"/>
      <c r="N203" s="534">
        <v>0</v>
      </c>
      <c r="O203" s="531"/>
      <c r="P203" s="510"/>
      <c r="Q203" s="534">
        <v>0</v>
      </c>
      <c r="R203" s="531"/>
      <c r="S203" s="557">
        <v>0</v>
      </c>
      <c r="T203" s="510"/>
      <c r="U203" s="510"/>
      <c r="V203" s="510"/>
      <c r="W203" s="510"/>
      <c r="X203" s="510"/>
      <c r="Y203" s="510"/>
      <c r="Z203" s="510"/>
      <c r="AA203" s="510"/>
      <c r="AB203" s="510"/>
      <c r="AC203" s="510"/>
      <c r="AD203" s="510"/>
      <c r="AE203" s="510"/>
      <c r="AF203" s="510"/>
      <c r="AG203" s="510"/>
      <c r="AH203" s="510"/>
      <c r="AI203" s="510"/>
      <c r="AJ203" s="510"/>
      <c r="AK203" s="510"/>
      <c r="AL203" s="510"/>
      <c r="AM203" s="510"/>
      <c r="AN203" s="510"/>
    </row>
    <row r="204" spans="1:40" ht="15.75" hidden="1" customHeight="1">
      <c r="A204" s="523" t="s">
        <v>350</v>
      </c>
      <c r="B204" s="510" t="s">
        <v>83</v>
      </c>
      <c r="C204" s="531" t="s">
        <v>20</v>
      </c>
      <c r="D204" s="584"/>
      <c r="E204" s="510"/>
      <c r="F204" s="532">
        <v>0</v>
      </c>
      <c r="G204" s="585"/>
      <c r="H204" s="510"/>
      <c r="I204" s="532"/>
      <c r="J204" s="531"/>
      <c r="K204" s="510"/>
      <c r="L204" s="534">
        <v>0</v>
      </c>
      <c r="M204" s="531"/>
      <c r="N204" s="534">
        <v>0</v>
      </c>
      <c r="O204" s="531"/>
      <c r="P204" s="510"/>
      <c r="Q204" s="534">
        <v>0</v>
      </c>
      <c r="R204" s="531"/>
      <c r="S204" s="557">
        <v>0</v>
      </c>
      <c r="T204" s="510"/>
      <c r="U204" s="510"/>
      <c r="V204" s="510"/>
      <c r="W204" s="510"/>
      <c r="X204" s="510"/>
      <c r="Y204" s="510"/>
      <c r="Z204" s="510"/>
      <c r="AA204" s="510"/>
      <c r="AB204" s="510"/>
      <c r="AC204" s="510"/>
      <c r="AD204" s="510"/>
      <c r="AE204" s="510"/>
      <c r="AF204" s="510"/>
      <c r="AG204" s="510"/>
      <c r="AH204" s="510"/>
      <c r="AI204" s="510"/>
      <c r="AJ204" s="510"/>
      <c r="AK204" s="510"/>
      <c r="AL204" s="510"/>
      <c r="AM204" s="510"/>
      <c r="AN204" s="510"/>
    </row>
    <row r="205" spans="1:40" ht="20.399999999999999">
      <c r="A205" s="523" t="s">
        <v>351</v>
      </c>
      <c r="B205" s="510" t="s">
        <v>83</v>
      </c>
      <c r="C205" s="602" t="s">
        <v>45</v>
      </c>
      <c r="D205" s="584"/>
      <c r="E205" s="510"/>
      <c r="F205" s="532">
        <v>14180.047650425911</v>
      </c>
      <c r="G205" s="585"/>
      <c r="H205" s="510"/>
      <c r="I205" s="532"/>
      <c r="J205" s="531"/>
      <c r="K205" s="510"/>
      <c r="L205" s="534">
        <v>14158.46</v>
      </c>
      <c r="M205" s="531"/>
      <c r="N205" s="534">
        <v>-21.587650425912216</v>
      </c>
      <c r="O205" s="531"/>
      <c r="P205" s="510"/>
      <c r="Q205" s="534">
        <v>14379.26</v>
      </c>
      <c r="R205" s="531"/>
      <c r="S205" s="557">
        <v>-220.80000000000109</v>
      </c>
      <c r="T205" s="510"/>
      <c r="U205" s="510"/>
      <c r="V205" s="510"/>
      <c r="W205" s="510"/>
      <c r="X205" s="510"/>
      <c r="Y205" s="510"/>
      <c r="Z205" s="510"/>
      <c r="AA205" s="510"/>
      <c r="AB205" s="510"/>
      <c r="AC205" s="510"/>
      <c r="AD205" s="510"/>
      <c r="AE205" s="510"/>
      <c r="AF205" s="510"/>
      <c r="AG205" s="510"/>
      <c r="AH205" s="510"/>
      <c r="AI205" s="510"/>
      <c r="AJ205" s="510"/>
      <c r="AK205" s="510"/>
      <c r="AL205" s="510"/>
      <c r="AM205" s="510"/>
      <c r="AN205" s="510"/>
    </row>
    <row r="206" spans="1:40" ht="15.75" customHeight="1">
      <c r="A206" s="523" t="s">
        <v>352</v>
      </c>
      <c r="B206" s="510" t="s">
        <v>83</v>
      </c>
      <c r="C206" s="600" t="s">
        <v>46</v>
      </c>
      <c r="D206" s="603"/>
      <c r="E206" s="604"/>
      <c r="F206" s="553">
        <v>17240.93899346939</v>
      </c>
      <c r="G206" s="605"/>
      <c r="H206" s="604"/>
      <c r="I206" s="553"/>
      <c r="J206" s="518"/>
      <c r="K206" s="604"/>
      <c r="L206" s="553">
        <v>17254.759999999998</v>
      </c>
      <c r="M206" s="518"/>
      <c r="N206" s="553">
        <v>13.821006530608429</v>
      </c>
      <c r="O206" s="518"/>
      <c r="P206" s="604"/>
      <c r="Q206" s="553">
        <v>25082.79</v>
      </c>
      <c r="R206" s="518"/>
      <c r="S206" s="606">
        <v>-7828.0300000000025</v>
      </c>
      <c r="T206" s="510"/>
      <c r="U206" s="510"/>
      <c r="V206" s="510"/>
      <c r="W206" s="510"/>
      <c r="X206" s="510"/>
      <c r="Y206" s="510"/>
      <c r="Z206" s="510"/>
      <c r="AA206" s="510"/>
      <c r="AB206" s="510"/>
      <c r="AC206" s="510"/>
      <c r="AD206" s="510"/>
      <c r="AE206" s="510"/>
      <c r="AF206" s="510"/>
      <c r="AG206" s="510"/>
      <c r="AH206" s="510"/>
      <c r="AI206" s="510"/>
      <c r="AJ206" s="510"/>
      <c r="AK206" s="510"/>
      <c r="AL206" s="510"/>
      <c r="AM206" s="510"/>
      <c r="AN206" s="510"/>
    </row>
    <row r="207" spans="1:40" ht="15.75" customHeight="1">
      <c r="A207" s="523" t="s">
        <v>353</v>
      </c>
      <c r="B207" s="510" t="s">
        <v>83</v>
      </c>
      <c r="C207" s="600" t="s">
        <v>47</v>
      </c>
      <c r="D207" s="584"/>
      <c r="E207" s="510"/>
      <c r="F207" s="532">
        <v>8882.8316118527073</v>
      </c>
      <c r="G207" s="585"/>
      <c r="H207" s="510"/>
      <c r="I207" s="532"/>
      <c r="J207" s="531"/>
      <c r="K207" s="510"/>
      <c r="L207" s="534">
        <v>9002.2799999999988</v>
      </c>
      <c r="M207" s="531"/>
      <c r="N207" s="534">
        <v>119.44838814729155</v>
      </c>
      <c r="O207" s="531"/>
      <c r="P207" s="510"/>
      <c r="Q207" s="534">
        <v>14126.66</v>
      </c>
      <c r="R207" s="531"/>
      <c r="S207" s="557">
        <v>-5124.380000000001</v>
      </c>
      <c r="T207" s="510"/>
      <c r="U207" s="510"/>
      <c r="V207" s="510"/>
      <c r="W207" s="510"/>
      <c r="X207" s="510"/>
      <c r="Y207" s="510"/>
      <c r="Z207" s="510"/>
      <c r="AA207" s="510"/>
      <c r="AB207" s="510"/>
      <c r="AC207" s="510"/>
      <c r="AD207" s="510"/>
      <c r="AE207" s="510"/>
      <c r="AF207" s="510"/>
      <c r="AG207" s="510"/>
      <c r="AH207" s="510"/>
      <c r="AI207" s="510"/>
      <c r="AJ207" s="510"/>
      <c r="AK207" s="510"/>
      <c r="AL207" s="510"/>
      <c r="AM207" s="510"/>
      <c r="AN207" s="510"/>
    </row>
    <row r="208" spans="1:40" ht="15.75" customHeight="1">
      <c r="A208" s="523" t="s">
        <v>354</v>
      </c>
      <c r="B208" s="510" t="s">
        <v>83</v>
      </c>
      <c r="C208" s="600" t="s">
        <v>48</v>
      </c>
      <c r="D208" s="584"/>
      <c r="E208" s="510"/>
      <c r="F208" s="532">
        <v>3872.9645565039932</v>
      </c>
      <c r="G208" s="585"/>
      <c r="H208" s="510"/>
      <c r="I208" s="532"/>
      <c r="J208" s="531"/>
      <c r="K208" s="510"/>
      <c r="L208" s="534">
        <v>4450.8500000000004</v>
      </c>
      <c r="M208" s="531"/>
      <c r="N208" s="534">
        <v>577.88544349600716</v>
      </c>
      <c r="O208" s="531"/>
      <c r="P208" s="510"/>
      <c r="Q208" s="534">
        <v>5359.92</v>
      </c>
      <c r="R208" s="531"/>
      <c r="S208" s="557">
        <v>-909.06999999999971</v>
      </c>
      <c r="T208" s="510"/>
      <c r="U208" s="510"/>
      <c r="V208" s="510"/>
      <c r="W208" s="510"/>
      <c r="X208" s="510"/>
      <c r="Y208" s="510"/>
      <c r="Z208" s="510"/>
      <c r="AA208" s="510"/>
      <c r="AB208" s="510"/>
      <c r="AC208" s="510"/>
      <c r="AD208" s="510"/>
      <c r="AE208" s="510"/>
      <c r="AF208" s="510"/>
      <c r="AG208" s="510"/>
      <c r="AH208" s="510"/>
      <c r="AI208" s="510"/>
      <c r="AJ208" s="510"/>
      <c r="AK208" s="510"/>
      <c r="AL208" s="510"/>
      <c r="AM208" s="510"/>
      <c r="AN208" s="510"/>
    </row>
    <row r="209" spans="1:40" ht="15.75" hidden="1" customHeight="1">
      <c r="A209" s="523" t="s">
        <v>350</v>
      </c>
      <c r="B209" s="510" t="s">
        <v>83</v>
      </c>
      <c r="C209" s="531" t="s">
        <v>20</v>
      </c>
      <c r="D209" s="587"/>
      <c r="E209" s="607"/>
      <c r="F209" s="532">
        <v>0</v>
      </c>
      <c r="G209" s="588"/>
      <c r="H209" s="607"/>
      <c r="I209" s="532"/>
      <c r="J209" s="524"/>
      <c r="K209" s="607"/>
      <c r="L209" s="534">
        <v>0</v>
      </c>
      <c r="M209" s="524"/>
      <c r="N209" s="534">
        <v>0</v>
      </c>
      <c r="O209" s="524"/>
      <c r="P209" s="607"/>
      <c r="Q209" s="534">
        <v>0</v>
      </c>
      <c r="R209" s="524"/>
      <c r="S209" s="582">
        <v>0</v>
      </c>
      <c r="T209" s="510"/>
      <c r="U209" s="510"/>
      <c r="V209" s="510"/>
      <c r="W209" s="510"/>
      <c r="X209" s="510"/>
      <c r="Y209" s="510"/>
      <c r="Z209" s="510"/>
      <c r="AA209" s="510"/>
      <c r="AB209" s="510"/>
      <c r="AC209" s="510"/>
      <c r="AD209" s="510"/>
      <c r="AE209" s="510"/>
      <c r="AF209" s="510"/>
      <c r="AG209" s="510"/>
      <c r="AH209" s="510"/>
      <c r="AI209" s="510"/>
      <c r="AJ209" s="510"/>
      <c r="AK209" s="510"/>
      <c r="AL209" s="510"/>
      <c r="AM209" s="510"/>
      <c r="AN209" s="510"/>
    </row>
    <row r="210" spans="1:40" ht="15.75" customHeight="1">
      <c r="A210" s="523" t="s">
        <v>355</v>
      </c>
      <c r="B210" s="510" t="s">
        <v>83</v>
      </c>
      <c r="C210" s="592" t="s">
        <v>49</v>
      </c>
      <c r="D210" s="593" t="s">
        <v>97</v>
      </c>
      <c r="E210" s="594">
        <v>0.72023942846810873</v>
      </c>
      <c r="F210" s="595">
        <v>111548.16337654438</v>
      </c>
      <c r="G210" s="596"/>
      <c r="H210" s="594"/>
      <c r="I210" s="595"/>
      <c r="J210" s="596" t="s">
        <v>97</v>
      </c>
      <c r="K210" s="594">
        <v>0.51472637609845595</v>
      </c>
      <c r="L210" s="595">
        <v>96701.319999999992</v>
      </c>
      <c r="M210" s="650"/>
      <c r="N210" s="595">
        <v>-14846.843376544392</v>
      </c>
      <c r="O210" s="596" t="s">
        <v>97</v>
      </c>
      <c r="P210" s="594">
        <v>0.80367660871059221</v>
      </c>
      <c r="Q210" s="595">
        <v>144266.67000000001</v>
      </c>
      <c r="R210" s="650"/>
      <c r="S210" s="609">
        <v>-47565.35000000002</v>
      </c>
      <c r="T210" s="510"/>
      <c r="U210" s="510"/>
      <c r="V210" s="510"/>
      <c r="W210" s="510"/>
      <c r="X210" s="510"/>
      <c r="Y210" s="510"/>
      <c r="Z210" s="510"/>
      <c r="AA210" s="510"/>
      <c r="AB210" s="510"/>
      <c r="AC210" s="510"/>
      <c r="AD210" s="510"/>
      <c r="AE210" s="510"/>
      <c r="AF210" s="510"/>
      <c r="AG210" s="510"/>
      <c r="AH210" s="510"/>
      <c r="AI210" s="510"/>
      <c r="AJ210" s="510"/>
      <c r="AK210" s="510"/>
      <c r="AL210" s="510"/>
      <c r="AM210" s="510"/>
      <c r="AN210" s="510"/>
    </row>
    <row r="211" spans="1:40" ht="15.75" customHeight="1">
      <c r="A211" s="523" t="s">
        <v>356</v>
      </c>
      <c r="B211" s="510" t="s">
        <v>83</v>
      </c>
      <c r="C211" s="531" t="s">
        <v>50</v>
      </c>
      <c r="D211" s="584"/>
      <c r="E211" s="510"/>
      <c r="F211" s="532">
        <v>10386.992319131941</v>
      </c>
      <c r="G211" s="585"/>
      <c r="H211" s="510"/>
      <c r="I211" s="532"/>
      <c r="J211" s="531"/>
      <c r="K211" s="510"/>
      <c r="L211" s="534">
        <v>11869.48</v>
      </c>
      <c r="M211" s="531"/>
      <c r="N211" s="557">
        <v>1482.4876808680583</v>
      </c>
      <c r="O211" s="531"/>
      <c r="P211" s="510"/>
      <c r="Q211" s="534">
        <v>11341.71</v>
      </c>
      <c r="R211" s="531"/>
      <c r="S211" s="557">
        <v>527.77000000000044</v>
      </c>
      <c r="T211" s="510"/>
      <c r="U211" s="510"/>
      <c r="V211" s="510"/>
      <c r="W211" s="510"/>
      <c r="X211" s="510"/>
      <c r="Y211" s="510"/>
      <c r="Z211" s="510"/>
      <c r="AA211" s="510"/>
      <c r="AB211" s="510"/>
      <c r="AC211" s="510"/>
      <c r="AD211" s="510"/>
      <c r="AE211" s="510"/>
      <c r="AF211" s="510"/>
      <c r="AG211" s="510"/>
      <c r="AH211" s="510"/>
      <c r="AI211" s="510"/>
      <c r="AJ211" s="510"/>
      <c r="AK211" s="510"/>
      <c r="AL211" s="510"/>
      <c r="AM211" s="510"/>
      <c r="AN211" s="510"/>
    </row>
    <row r="212" spans="1:40" ht="15.75" customHeight="1">
      <c r="A212" s="523" t="s">
        <v>357</v>
      </c>
      <c r="B212" s="510" t="s">
        <v>83</v>
      </c>
      <c r="C212" s="531" t="s">
        <v>51</v>
      </c>
      <c r="D212" s="584"/>
      <c r="E212" s="510"/>
      <c r="F212" s="532">
        <v>3860.3926568344446</v>
      </c>
      <c r="G212" s="585"/>
      <c r="H212" s="510"/>
      <c r="I212" s="532"/>
      <c r="J212" s="531"/>
      <c r="K212" s="510"/>
      <c r="L212" s="534">
        <v>5022.2599999999993</v>
      </c>
      <c r="M212" s="531"/>
      <c r="N212" s="557">
        <v>1161.8673431655548</v>
      </c>
      <c r="O212" s="531"/>
      <c r="P212" s="510"/>
      <c r="Q212" s="534">
        <v>2205.7199999999998</v>
      </c>
      <c r="R212" s="531"/>
      <c r="S212" s="557">
        <v>2816.5399999999995</v>
      </c>
      <c r="T212" s="510"/>
      <c r="U212" s="523"/>
      <c r="V212" s="510"/>
      <c r="W212" s="510"/>
      <c r="X212" s="510"/>
      <c r="Y212" s="510"/>
      <c r="Z212" s="510"/>
      <c r="AA212" s="510"/>
      <c r="AB212" s="510"/>
      <c r="AC212" s="510"/>
      <c r="AD212" s="510"/>
      <c r="AE212" s="510"/>
      <c r="AF212" s="510"/>
      <c r="AG212" s="510"/>
      <c r="AH212" s="510"/>
      <c r="AI212" s="510"/>
      <c r="AJ212" s="510"/>
      <c r="AK212" s="510"/>
      <c r="AL212" s="510"/>
      <c r="AM212" s="510"/>
      <c r="AN212" s="510"/>
    </row>
    <row r="213" spans="1:40" ht="15.75" customHeight="1">
      <c r="A213" s="523" t="s">
        <v>358</v>
      </c>
      <c r="B213" s="510" t="s">
        <v>83</v>
      </c>
      <c r="C213" s="524" t="s">
        <v>52</v>
      </c>
      <c r="D213" s="587"/>
      <c r="E213" s="607"/>
      <c r="F213" s="526">
        <v>13333.333333333334</v>
      </c>
      <c r="G213" s="588"/>
      <c r="H213" s="607"/>
      <c r="I213" s="526"/>
      <c r="J213" s="524"/>
      <c r="K213" s="607"/>
      <c r="L213" s="534">
        <v>12584.47</v>
      </c>
      <c r="M213" s="524"/>
      <c r="N213" s="582">
        <v>-748.86333333333459</v>
      </c>
      <c r="O213" s="524"/>
      <c r="P213" s="607"/>
      <c r="Q213" s="534">
        <v>19012.240000000002</v>
      </c>
      <c r="R213" s="524"/>
      <c r="S213" s="582">
        <v>-6427.7700000000023</v>
      </c>
      <c r="T213" s="510"/>
      <c r="U213" s="510"/>
      <c r="V213" s="510"/>
      <c r="W213" s="510"/>
      <c r="X213" s="510"/>
      <c r="Y213" s="510"/>
      <c r="Z213" s="510"/>
      <c r="AA213" s="510"/>
      <c r="AB213" s="510"/>
      <c r="AC213" s="510"/>
      <c r="AD213" s="510"/>
      <c r="AE213" s="510"/>
      <c r="AF213" s="510"/>
      <c r="AG213" s="510"/>
      <c r="AH213" s="510"/>
      <c r="AI213" s="510"/>
      <c r="AJ213" s="510"/>
      <c r="AK213" s="510"/>
      <c r="AL213" s="510"/>
      <c r="AM213" s="510"/>
      <c r="AN213" s="510"/>
    </row>
    <row r="214" spans="1:40" ht="15.75" customHeight="1">
      <c r="A214" s="523" t="s">
        <v>359</v>
      </c>
      <c r="B214" s="510" t="s">
        <v>83</v>
      </c>
      <c r="C214" s="531" t="s">
        <v>53</v>
      </c>
      <c r="D214" s="584"/>
      <c r="E214" s="510"/>
      <c r="F214" s="532">
        <v>4360.8818746666657</v>
      </c>
      <c r="G214" s="585"/>
      <c r="H214" s="510"/>
      <c r="I214" s="532"/>
      <c r="J214" s="531"/>
      <c r="K214" s="510"/>
      <c r="L214" s="553">
        <v>5943.38</v>
      </c>
      <c r="M214" s="531"/>
      <c r="N214" s="557">
        <v>1582.4981253333344</v>
      </c>
      <c r="O214" s="531"/>
      <c r="P214" s="510"/>
      <c r="Q214" s="553">
        <v>7663.33</v>
      </c>
      <c r="R214" s="531"/>
      <c r="S214" s="557">
        <v>-1719.9499999999998</v>
      </c>
      <c r="T214" s="510"/>
      <c r="U214" s="510"/>
      <c r="V214" s="510"/>
      <c r="W214" s="510"/>
      <c r="X214" s="510"/>
      <c r="Y214" s="510"/>
      <c r="Z214" s="510"/>
      <c r="AA214" s="510"/>
      <c r="AB214" s="510"/>
      <c r="AC214" s="510"/>
      <c r="AD214" s="510"/>
      <c r="AE214" s="510"/>
      <c r="AF214" s="510"/>
      <c r="AG214" s="510"/>
      <c r="AH214" s="510"/>
      <c r="AI214" s="510"/>
      <c r="AJ214" s="510"/>
      <c r="AK214" s="510"/>
      <c r="AL214" s="510"/>
      <c r="AM214" s="510"/>
      <c r="AN214" s="510"/>
    </row>
    <row r="215" spans="1:40" ht="15.75" customHeight="1">
      <c r="A215" s="523" t="s">
        <v>360</v>
      </c>
      <c r="B215" s="510" t="s">
        <v>83</v>
      </c>
      <c r="C215" s="531" t="s">
        <v>54</v>
      </c>
      <c r="D215" s="584"/>
      <c r="E215" s="510"/>
      <c r="F215" s="532">
        <v>1099.3818546873238</v>
      </c>
      <c r="G215" s="585"/>
      <c r="H215" s="510"/>
      <c r="I215" s="532"/>
      <c r="J215" s="531"/>
      <c r="K215" s="510"/>
      <c r="L215" s="534">
        <v>1111.47</v>
      </c>
      <c r="M215" s="531"/>
      <c r="N215" s="557">
        <v>12.088145312676261</v>
      </c>
      <c r="O215" s="531"/>
      <c r="P215" s="510"/>
      <c r="Q215" s="534">
        <v>864.5</v>
      </c>
      <c r="R215" s="531"/>
      <c r="S215" s="557">
        <v>246.97000000000003</v>
      </c>
      <c r="T215" s="510"/>
      <c r="U215" s="510"/>
      <c r="V215" s="510"/>
      <c r="W215" s="510"/>
      <c r="X215" s="510"/>
      <c r="Y215" s="510"/>
      <c r="Z215" s="510"/>
      <c r="AA215" s="510"/>
      <c r="AB215" s="510"/>
      <c r="AC215" s="510"/>
      <c r="AD215" s="510"/>
      <c r="AE215" s="510"/>
      <c r="AF215" s="510"/>
      <c r="AG215" s="510"/>
      <c r="AH215" s="510"/>
      <c r="AI215" s="510"/>
      <c r="AJ215" s="510"/>
      <c r="AK215" s="510"/>
      <c r="AL215" s="510"/>
      <c r="AM215" s="510"/>
      <c r="AN215" s="510"/>
    </row>
    <row r="216" spans="1:40" ht="15.75" customHeight="1">
      <c r="A216" s="523" t="s">
        <v>361</v>
      </c>
      <c r="B216" s="510" t="s">
        <v>83</v>
      </c>
      <c r="C216" s="524" t="s">
        <v>55</v>
      </c>
      <c r="D216" s="587"/>
      <c r="E216" s="607"/>
      <c r="F216" s="526">
        <v>4141.7720024888895</v>
      </c>
      <c r="G216" s="588"/>
      <c r="H216" s="607"/>
      <c r="I216" s="526"/>
      <c r="J216" s="524"/>
      <c r="K216" s="607"/>
      <c r="L216" s="534">
        <v>15667.61</v>
      </c>
      <c r="M216" s="524"/>
      <c r="N216" s="582">
        <v>11525.837997511111</v>
      </c>
      <c r="O216" s="524"/>
      <c r="P216" s="607"/>
      <c r="Q216" s="534">
        <v>8982.7000000000007</v>
      </c>
      <c r="R216" s="524"/>
      <c r="S216" s="582">
        <v>6684.91</v>
      </c>
      <c r="T216" s="510"/>
      <c r="U216" s="507" t="s">
        <v>476</v>
      </c>
      <c r="V216" s="510"/>
      <c r="W216" s="510"/>
      <c r="X216" s="510"/>
      <c r="Y216" s="510"/>
      <c r="Z216" s="510"/>
      <c r="AA216" s="510"/>
      <c r="AB216" s="510"/>
      <c r="AC216" s="510"/>
      <c r="AD216" s="510"/>
      <c r="AE216" s="510"/>
      <c r="AF216" s="510"/>
      <c r="AG216" s="510"/>
      <c r="AH216" s="510"/>
      <c r="AI216" s="510"/>
      <c r="AJ216" s="510"/>
      <c r="AK216" s="510"/>
      <c r="AL216" s="510"/>
      <c r="AM216" s="510"/>
      <c r="AN216" s="510"/>
    </row>
    <row r="217" spans="1:40" ht="15.75" customHeight="1">
      <c r="A217" s="523" t="s">
        <v>362</v>
      </c>
      <c r="B217" s="510" t="s">
        <v>83</v>
      </c>
      <c r="C217" s="531" t="s">
        <v>98</v>
      </c>
      <c r="D217" s="584"/>
      <c r="E217" s="510"/>
      <c r="F217" s="532"/>
      <c r="G217" s="585"/>
      <c r="H217" s="510"/>
      <c r="I217" s="532"/>
      <c r="J217" s="531"/>
      <c r="K217" s="510"/>
      <c r="L217" s="553">
        <v>0</v>
      </c>
      <c r="M217" s="531"/>
      <c r="N217" s="557">
        <v>0</v>
      </c>
      <c r="O217" s="531"/>
      <c r="P217" s="510"/>
      <c r="Q217" s="553">
        <v>0</v>
      </c>
      <c r="R217" s="531"/>
      <c r="S217" s="557">
        <v>0</v>
      </c>
      <c r="T217" s="510"/>
      <c r="U217" s="510"/>
      <c r="V217" s="510"/>
      <c r="W217" s="510"/>
      <c r="X217" s="510"/>
      <c r="Y217" s="510"/>
      <c r="Z217" s="510"/>
      <c r="AA217" s="510"/>
      <c r="AB217" s="510"/>
      <c r="AC217" s="510"/>
      <c r="AD217" s="510"/>
      <c r="AE217" s="510"/>
      <c r="AF217" s="510"/>
      <c r="AG217" s="510"/>
      <c r="AH217" s="510"/>
      <c r="AI217" s="510"/>
      <c r="AJ217" s="510"/>
      <c r="AK217" s="510"/>
      <c r="AL217" s="510"/>
      <c r="AM217" s="510"/>
      <c r="AN217" s="510"/>
    </row>
    <row r="218" spans="1:40" ht="15.75" customHeight="1">
      <c r="A218" s="523" t="s">
        <v>363</v>
      </c>
      <c r="B218" s="510" t="s">
        <v>83</v>
      </c>
      <c r="C218" s="531" t="s">
        <v>56</v>
      </c>
      <c r="D218" s="584"/>
      <c r="E218" s="510"/>
      <c r="F218" s="532">
        <v>5583.333333333333</v>
      </c>
      <c r="G218" s="585"/>
      <c r="H218" s="510"/>
      <c r="I218" s="532"/>
      <c r="J218" s="531"/>
      <c r="K218" s="510"/>
      <c r="L218" s="534">
        <v>9472.7999999999993</v>
      </c>
      <c r="M218" s="531"/>
      <c r="N218" s="557">
        <v>3889.4666666666662</v>
      </c>
      <c r="O218" s="531"/>
      <c r="P218" s="510"/>
      <c r="Q218" s="534">
        <v>3956.24</v>
      </c>
      <c r="R218" s="531"/>
      <c r="S218" s="557">
        <v>5516.5599999999995</v>
      </c>
      <c r="T218" s="510"/>
      <c r="U218" s="510"/>
      <c r="V218" s="510"/>
      <c r="W218" s="510"/>
      <c r="X218" s="510"/>
      <c r="Y218" s="510"/>
      <c r="Z218" s="510"/>
      <c r="AA218" s="510"/>
      <c r="AB218" s="510"/>
      <c r="AC218" s="510"/>
      <c r="AD218" s="510"/>
      <c r="AE218" s="510"/>
      <c r="AF218" s="510"/>
      <c r="AG218" s="510"/>
      <c r="AH218" s="510"/>
      <c r="AI218" s="510"/>
      <c r="AJ218" s="510"/>
      <c r="AK218" s="510"/>
      <c r="AL218" s="510"/>
      <c r="AM218" s="510"/>
      <c r="AN218" s="510"/>
    </row>
    <row r="219" spans="1:40" ht="15.75" customHeight="1">
      <c r="A219" s="523" t="s">
        <v>364</v>
      </c>
      <c r="B219" s="510" t="s">
        <v>83</v>
      </c>
      <c r="C219" s="531" t="s">
        <v>57</v>
      </c>
      <c r="D219" s="584"/>
      <c r="E219" s="510"/>
      <c r="F219" s="532">
        <v>1221.9416376071097</v>
      </c>
      <c r="G219" s="585"/>
      <c r="H219" s="510"/>
      <c r="I219" s="532"/>
      <c r="J219" s="531"/>
      <c r="K219" s="510"/>
      <c r="L219" s="534">
        <v>1044.83</v>
      </c>
      <c r="M219" s="531"/>
      <c r="N219" s="557">
        <v>-177.11163760710974</v>
      </c>
      <c r="O219" s="531"/>
      <c r="P219" s="510"/>
      <c r="Q219" s="534">
        <v>820.17</v>
      </c>
      <c r="R219" s="531"/>
      <c r="S219" s="557">
        <v>224.65999999999997</v>
      </c>
      <c r="T219" s="510"/>
      <c r="U219" s="510"/>
      <c r="V219" s="510"/>
      <c r="W219" s="510"/>
      <c r="X219" s="510"/>
      <c r="Y219" s="510"/>
      <c r="Z219" s="510"/>
      <c r="AA219" s="510"/>
      <c r="AB219" s="510"/>
      <c r="AC219" s="510"/>
      <c r="AD219" s="510"/>
      <c r="AE219" s="510"/>
      <c r="AF219" s="510"/>
      <c r="AG219" s="510"/>
      <c r="AH219" s="510"/>
      <c r="AI219" s="510"/>
      <c r="AJ219" s="510"/>
      <c r="AK219" s="510"/>
      <c r="AL219" s="510"/>
      <c r="AM219" s="510"/>
      <c r="AN219" s="510"/>
    </row>
    <row r="220" spans="1:40" ht="15.75" customHeight="1">
      <c r="A220" s="523" t="s">
        <v>365</v>
      </c>
      <c r="B220" s="510" t="s">
        <v>83</v>
      </c>
      <c r="C220" s="531" t="s">
        <v>58</v>
      </c>
      <c r="D220" s="584"/>
      <c r="E220" s="510"/>
      <c r="F220" s="532">
        <v>748.20426397599988</v>
      </c>
      <c r="G220" s="585"/>
      <c r="H220" s="510"/>
      <c r="I220" s="532"/>
      <c r="J220" s="531"/>
      <c r="K220" s="510"/>
      <c r="L220" s="534">
        <v>2936.04</v>
      </c>
      <c r="M220" s="531"/>
      <c r="N220" s="557">
        <v>2187.8357360240002</v>
      </c>
      <c r="O220" s="531"/>
      <c r="P220" s="510"/>
      <c r="Q220" s="534">
        <v>806.94</v>
      </c>
      <c r="R220" s="531"/>
      <c r="S220" s="557">
        <v>2129.1</v>
      </c>
      <c r="T220" s="510"/>
      <c r="U220" s="510"/>
      <c r="V220" s="510"/>
      <c r="W220" s="510"/>
      <c r="X220" s="510"/>
      <c r="Y220" s="510"/>
      <c r="Z220" s="510"/>
      <c r="AA220" s="510"/>
      <c r="AB220" s="510"/>
      <c r="AC220" s="510"/>
      <c r="AD220" s="510"/>
      <c r="AE220" s="510"/>
      <c r="AF220" s="510"/>
      <c r="AG220" s="510"/>
      <c r="AH220" s="510"/>
      <c r="AI220" s="510"/>
      <c r="AJ220" s="510"/>
      <c r="AK220" s="510"/>
      <c r="AL220" s="510"/>
      <c r="AM220" s="510"/>
      <c r="AN220" s="510"/>
    </row>
    <row r="221" spans="1:40" ht="15.75" customHeight="1">
      <c r="A221" s="523" t="s">
        <v>366</v>
      </c>
      <c r="B221" s="510" t="s">
        <v>83</v>
      </c>
      <c r="C221" s="531" t="s">
        <v>59</v>
      </c>
      <c r="D221" s="584"/>
      <c r="E221" s="510"/>
      <c r="F221" s="532">
        <v>216.08706378966664</v>
      </c>
      <c r="G221" s="585"/>
      <c r="H221" s="510"/>
      <c r="I221" s="532"/>
      <c r="J221" s="531"/>
      <c r="K221" s="510"/>
      <c r="L221" s="534">
        <v>162.08000000000001</v>
      </c>
      <c r="M221" s="531"/>
      <c r="N221" s="557">
        <v>-54.007063789666631</v>
      </c>
      <c r="O221" s="531"/>
      <c r="P221" s="510"/>
      <c r="Q221" s="534">
        <v>155.01</v>
      </c>
      <c r="R221" s="531"/>
      <c r="S221" s="557">
        <v>7.0700000000000216</v>
      </c>
      <c r="T221" s="510"/>
      <c r="U221" s="510"/>
      <c r="V221" s="510"/>
      <c r="W221" s="510"/>
      <c r="X221" s="510"/>
      <c r="Y221" s="510"/>
      <c r="Z221" s="510"/>
      <c r="AA221" s="510"/>
      <c r="AB221" s="510"/>
      <c r="AC221" s="510"/>
      <c r="AD221" s="510"/>
      <c r="AE221" s="510"/>
      <c r="AF221" s="510"/>
      <c r="AG221" s="510"/>
      <c r="AH221" s="510"/>
      <c r="AI221" s="510"/>
      <c r="AJ221" s="510"/>
      <c r="AK221" s="510"/>
      <c r="AL221" s="510"/>
      <c r="AM221" s="510"/>
      <c r="AN221" s="510"/>
    </row>
    <row r="222" spans="1:40" ht="15.75" customHeight="1">
      <c r="A222" s="523" t="s">
        <v>367</v>
      </c>
      <c r="B222" s="510" t="s">
        <v>83</v>
      </c>
      <c r="C222" s="531" t="s">
        <v>60</v>
      </c>
      <c r="D222" s="584"/>
      <c r="E222" s="510"/>
      <c r="F222" s="532">
        <v>103.77844493033332</v>
      </c>
      <c r="G222" s="585"/>
      <c r="H222" s="510"/>
      <c r="I222" s="532"/>
      <c r="J222" s="531"/>
      <c r="K222" s="510"/>
      <c r="L222" s="534">
        <v>24.72</v>
      </c>
      <c r="M222" s="531"/>
      <c r="N222" s="557">
        <v>-79.058444930333323</v>
      </c>
      <c r="O222" s="531"/>
      <c r="P222" s="510"/>
      <c r="Q222" s="534">
        <v>194.45</v>
      </c>
      <c r="R222" s="531"/>
      <c r="S222" s="557">
        <v>-169.73</v>
      </c>
      <c r="T222" s="510"/>
      <c r="U222" s="510"/>
      <c r="V222" s="510"/>
      <c r="W222" s="510"/>
      <c r="X222" s="510"/>
      <c r="Y222" s="510"/>
      <c r="Z222" s="510"/>
      <c r="AA222" s="510"/>
      <c r="AB222" s="510"/>
      <c r="AC222" s="510"/>
      <c r="AD222" s="510"/>
      <c r="AE222" s="510"/>
      <c r="AF222" s="510"/>
      <c r="AG222" s="510"/>
      <c r="AH222" s="510"/>
      <c r="AI222" s="510"/>
      <c r="AJ222" s="510"/>
      <c r="AK222" s="510"/>
      <c r="AL222" s="510"/>
      <c r="AM222" s="510"/>
      <c r="AN222" s="510"/>
    </row>
    <row r="223" spans="1:40" ht="15.75" customHeight="1">
      <c r="A223" s="523" t="s">
        <v>368</v>
      </c>
      <c r="B223" s="510" t="s">
        <v>83</v>
      </c>
      <c r="C223" s="531" t="s">
        <v>61</v>
      </c>
      <c r="D223" s="584"/>
      <c r="E223" s="510"/>
      <c r="F223" s="532">
        <v>216.4726525763333</v>
      </c>
      <c r="G223" s="585"/>
      <c r="H223" s="510"/>
      <c r="I223" s="532"/>
      <c r="J223" s="531"/>
      <c r="K223" s="510"/>
      <c r="L223" s="534">
        <v>71.73</v>
      </c>
      <c r="M223" s="531"/>
      <c r="N223" s="557">
        <v>-144.74265257633328</v>
      </c>
      <c r="O223" s="531"/>
      <c r="P223" s="510"/>
      <c r="Q223" s="534">
        <v>70.67</v>
      </c>
      <c r="R223" s="531"/>
      <c r="S223" s="557">
        <v>1.0600000000000023</v>
      </c>
      <c r="T223" s="510"/>
      <c r="U223" s="510"/>
      <c r="V223" s="510"/>
      <c r="W223" s="510"/>
      <c r="X223" s="510"/>
      <c r="Y223" s="510"/>
      <c r="Z223" s="510"/>
      <c r="AA223" s="510"/>
      <c r="AB223" s="510"/>
      <c r="AC223" s="510"/>
      <c r="AD223" s="510"/>
      <c r="AE223" s="510"/>
      <c r="AF223" s="510"/>
      <c r="AG223" s="510"/>
      <c r="AH223" s="510"/>
      <c r="AI223" s="510"/>
      <c r="AJ223" s="510"/>
      <c r="AK223" s="510"/>
      <c r="AL223" s="510"/>
      <c r="AM223" s="510"/>
      <c r="AN223" s="510"/>
    </row>
    <row r="224" spans="1:40" ht="15.75" customHeight="1">
      <c r="A224" s="523" t="s">
        <v>369</v>
      </c>
      <c r="B224" s="510" t="s">
        <v>83</v>
      </c>
      <c r="C224" s="531" t="s">
        <v>62</v>
      </c>
      <c r="D224" s="584"/>
      <c r="E224" s="510"/>
      <c r="F224" s="532">
        <v>3986.4545554484885</v>
      </c>
      <c r="G224" s="585"/>
      <c r="H224" s="510"/>
      <c r="I224" s="532"/>
      <c r="J224" s="531"/>
      <c r="K224" s="510"/>
      <c r="L224" s="534">
        <v>338.27</v>
      </c>
      <c r="M224" s="531"/>
      <c r="N224" s="557">
        <v>-3648.1845554484885</v>
      </c>
      <c r="O224" s="531"/>
      <c r="P224" s="510"/>
      <c r="Q224" s="534">
        <v>3261.13</v>
      </c>
      <c r="R224" s="531"/>
      <c r="S224" s="557">
        <v>-2922.86</v>
      </c>
      <c r="T224" s="510"/>
      <c r="X224" s="510"/>
      <c r="Y224" s="510"/>
      <c r="Z224" s="510"/>
      <c r="AA224" s="510"/>
      <c r="AB224" s="510"/>
      <c r="AC224" s="510"/>
      <c r="AD224" s="510"/>
      <c r="AE224" s="510"/>
      <c r="AF224" s="510"/>
      <c r="AG224" s="510"/>
      <c r="AH224" s="510"/>
      <c r="AI224" s="510"/>
      <c r="AJ224" s="510"/>
      <c r="AK224" s="510"/>
      <c r="AL224" s="510"/>
      <c r="AM224" s="510"/>
      <c r="AN224" s="510"/>
    </row>
    <row r="225" spans="1:40" ht="15.75" customHeight="1">
      <c r="A225" s="523" t="s">
        <v>370</v>
      </c>
      <c r="B225" s="510" t="s">
        <v>83</v>
      </c>
      <c r="C225" s="531" t="s">
        <v>63</v>
      </c>
      <c r="D225" s="584"/>
      <c r="E225" s="510"/>
      <c r="F225" s="532">
        <v>1949.8633978543896</v>
      </c>
      <c r="G225" s="585"/>
      <c r="H225" s="510"/>
      <c r="I225" s="532"/>
      <c r="J225" s="531"/>
      <c r="K225" s="510"/>
      <c r="L225" s="534">
        <v>2069.1999999999998</v>
      </c>
      <c r="M225" s="531"/>
      <c r="N225" s="557">
        <v>119.33660214561019</v>
      </c>
      <c r="O225" s="531"/>
      <c r="P225" s="510"/>
      <c r="Q225" s="534">
        <v>1603.17</v>
      </c>
      <c r="R225" s="531"/>
      <c r="S225" s="557">
        <v>466.02999999999975</v>
      </c>
      <c r="T225" s="510"/>
      <c r="X225" s="510"/>
      <c r="Y225" s="510"/>
      <c r="Z225" s="510"/>
      <c r="AA225" s="510"/>
      <c r="AB225" s="510"/>
      <c r="AC225" s="510"/>
      <c r="AD225" s="510"/>
      <c r="AE225" s="510"/>
      <c r="AF225" s="510"/>
      <c r="AG225" s="510"/>
      <c r="AH225" s="510"/>
      <c r="AI225" s="510"/>
      <c r="AJ225" s="510"/>
      <c r="AK225" s="510"/>
      <c r="AL225" s="510"/>
      <c r="AM225" s="510"/>
      <c r="AN225" s="510"/>
    </row>
    <row r="226" spans="1:40" ht="15.75" hidden="1" customHeight="1">
      <c r="A226" s="523" t="s">
        <v>350</v>
      </c>
      <c r="B226" s="510" t="s">
        <v>83</v>
      </c>
      <c r="C226" s="531" t="s">
        <v>20</v>
      </c>
      <c r="D226" s="584"/>
      <c r="E226" s="510"/>
      <c r="F226" s="532">
        <v>0</v>
      </c>
      <c r="G226" s="585"/>
      <c r="H226" s="510"/>
      <c r="I226" s="532"/>
      <c r="J226" s="531"/>
      <c r="K226" s="510"/>
      <c r="L226" s="534">
        <v>0</v>
      </c>
      <c r="M226" s="531"/>
      <c r="N226" s="557">
        <v>0</v>
      </c>
      <c r="O226" s="531"/>
      <c r="P226" s="510"/>
      <c r="Q226" s="534">
        <v>0</v>
      </c>
      <c r="R226" s="531"/>
      <c r="S226" s="557">
        <v>0</v>
      </c>
      <c r="T226" s="510"/>
      <c r="U226" s="510"/>
      <c r="V226" s="510"/>
      <c r="W226" s="510"/>
      <c r="X226" s="510"/>
      <c r="Y226" s="510"/>
      <c r="Z226" s="510"/>
      <c r="AA226" s="510"/>
      <c r="AB226" s="510"/>
      <c r="AC226" s="510"/>
      <c r="AD226" s="510"/>
      <c r="AE226" s="510"/>
      <c r="AF226" s="510"/>
      <c r="AG226" s="510"/>
      <c r="AH226" s="510"/>
      <c r="AI226" s="510"/>
      <c r="AJ226" s="510"/>
      <c r="AK226" s="510"/>
      <c r="AL226" s="510"/>
      <c r="AM226" s="510"/>
      <c r="AN226" s="510"/>
    </row>
    <row r="227" spans="1:40" ht="15.75" hidden="1" customHeight="1">
      <c r="A227" s="523" t="s">
        <v>350</v>
      </c>
      <c r="B227" s="510" t="s">
        <v>83</v>
      </c>
      <c r="C227" s="531" t="s">
        <v>20</v>
      </c>
      <c r="D227" s="584"/>
      <c r="E227" s="510"/>
      <c r="F227" s="532">
        <v>0</v>
      </c>
      <c r="G227" s="585"/>
      <c r="H227" s="510"/>
      <c r="I227" s="532"/>
      <c r="J227" s="531"/>
      <c r="K227" s="510"/>
      <c r="L227" s="534">
        <v>0</v>
      </c>
      <c r="M227" s="531"/>
      <c r="N227" s="557">
        <v>0</v>
      </c>
      <c r="O227" s="531"/>
      <c r="P227" s="510"/>
      <c r="Q227" s="534">
        <v>0</v>
      </c>
      <c r="R227" s="531"/>
      <c r="S227" s="557">
        <v>0</v>
      </c>
      <c r="T227" s="510"/>
      <c r="U227" s="510"/>
      <c r="V227" s="510"/>
      <c r="W227" s="510"/>
      <c r="X227" s="510"/>
      <c r="Y227" s="510"/>
      <c r="Z227" s="510"/>
      <c r="AA227" s="510"/>
      <c r="AB227" s="510"/>
      <c r="AC227" s="510"/>
      <c r="AD227" s="510"/>
      <c r="AE227" s="510"/>
      <c r="AF227" s="510"/>
      <c r="AG227" s="510"/>
      <c r="AH227" s="510"/>
      <c r="AI227" s="510"/>
      <c r="AJ227" s="510"/>
      <c r="AK227" s="510"/>
      <c r="AL227" s="510"/>
      <c r="AM227" s="510"/>
      <c r="AN227" s="510"/>
    </row>
    <row r="228" spans="1:40" ht="15.75" hidden="1" customHeight="1">
      <c r="A228" s="523" t="s">
        <v>350</v>
      </c>
      <c r="B228" s="510" t="s">
        <v>83</v>
      </c>
      <c r="C228" s="531" t="s">
        <v>20</v>
      </c>
      <c r="D228" s="584"/>
      <c r="E228" s="510"/>
      <c r="F228" s="532">
        <v>0</v>
      </c>
      <c r="G228" s="585"/>
      <c r="H228" s="510"/>
      <c r="I228" s="532"/>
      <c r="J228" s="531"/>
      <c r="K228" s="510"/>
      <c r="L228" s="534">
        <v>0</v>
      </c>
      <c r="M228" s="531"/>
      <c r="N228" s="557">
        <v>0</v>
      </c>
      <c r="O228" s="531"/>
      <c r="P228" s="510"/>
      <c r="Q228" s="534">
        <v>0</v>
      </c>
      <c r="R228" s="531"/>
      <c r="S228" s="557">
        <v>0</v>
      </c>
      <c r="T228" s="510"/>
      <c r="U228" s="510"/>
      <c r="V228" s="510"/>
      <c r="W228" s="510"/>
      <c r="X228" s="510"/>
      <c r="Y228" s="510"/>
      <c r="Z228" s="510"/>
      <c r="AA228" s="510"/>
      <c r="AB228" s="510"/>
      <c r="AC228" s="510"/>
      <c r="AD228" s="510"/>
      <c r="AE228" s="510"/>
      <c r="AF228" s="510"/>
      <c r="AG228" s="510"/>
      <c r="AH228" s="510"/>
      <c r="AI228" s="510"/>
      <c r="AJ228" s="510"/>
      <c r="AK228" s="510"/>
      <c r="AL228" s="510"/>
      <c r="AM228" s="510"/>
      <c r="AN228" s="510"/>
    </row>
    <row r="229" spans="1:40" ht="15.75" customHeight="1">
      <c r="B229" s="510"/>
      <c r="C229" s="592" t="s">
        <v>64</v>
      </c>
      <c r="D229" s="593" t="s">
        <v>97</v>
      </c>
      <c r="E229" s="594">
        <v>0.33064337511960989</v>
      </c>
      <c r="F229" s="595">
        <v>51208.889390658253</v>
      </c>
      <c r="G229" s="596"/>
      <c r="H229" s="594"/>
      <c r="I229" s="595"/>
      <c r="J229" s="596" t="s">
        <v>97</v>
      </c>
      <c r="K229" s="594">
        <v>0.36364810293450173</v>
      </c>
      <c r="L229" s="595">
        <v>68318.34</v>
      </c>
      <c r="M229" s="599"/>
      <c r="N229" s="595">
        <v>17109.450609341744</v>
      </c>
      <c r="O229" s="596" t="s">
        <v>97</v>
      </c>
      <c r="P229" s="594">
        <v>0.33947154327519918</v>
      </c>
      <c r="Q229" s="595">
        <v>60937.979999999989</v>
      </c>
      <c r="R229" s="599"/>
      <c r="S229" s="595">
        <v>7380.3600000000079</v>
      </c>
      <c r="T229" s="510"/>
      <c r="U229" s="510"/>
      <c r="V229" s="510"/>
      <c r="W229" s="510"/>
      <c r="X229" s="510"/>
      <c r="Y229" s="510"/>
      <c r="Z229" s="510"/>
      <c r="AA229" s="510"/>
      <c r="AB229" s="510"/>
      <c r="AC229" s="510"/>
      <c r="AD229" s="510"/>
      <c r="AE229" s="510"/>
      <c r="AF229" s="510"/>
      <c r="AG229" s="510"/>
      <c r="AH229" s="510"/>
      <c r="AI229" s="510"/>
      <c r="AJ229" s="510"/>
      <c r="AK229" s="510"/>
      <c r="AL229" s="510"/>
      <c r="AM229" s="510"/>
      <c r="AN229" s="510"/>
    </row>
    <row r="230" spans="1:40" ht="15.75" customHeight="1">
      <c r="B230" s="510"/>
      <c r="C230" s="524"/>
      <c r="D230" s="587"/>
      <c r="E230" s="607"/>
      <c r="F230" s="557"/>
      <c r="G230" s="588"/>
      <c r="H230" s="607"/>
      <c r="I230" s="557"/>
      <c r="J230" s="524"/>
      <c r="K230" s="607"/>
      <c r="L230" s="582"/>
      <c r="M230" s="524"/>
      <c r="N230" s="582"/>
      <c r="O230" s="524"/>
      <c r="P230" s="607"/>
      <c r="Q230" s="582"/>
      <c r="R230" s="524"/>
      <c r="S230" s="582"/>
      <c r="T230" s="510"/>
      <c r="U230" s="510"/>
      <c r="V230" s="510"/>
      <c r="W230" s="510"/>
      <c r="X230" s="510"/>
      <c r="Y230" s="510"/>
      <c r="Z230" s="510"/>
      <c r="AA230" s="510"/>
      <c r="AB230" s="510"/>
      <c r="AC230" s="510"/>
      <c r="AD230" s="510"/>
      <c r="AE230" s="510"/>
      <c r="AF230" s="510"/>
      <c r="AG230" s="510"/>
      <c r="AH230" s="510"/>
      <c r="AI230" s="510"/>
      <c r="AJ230" s="510"/>
      <c r="AK230" s="510"/>
      <c r="AL230" s="510"/>
      <c r="AM230" s="510"/>
      <c r="AN230" s="510"/>
    </row>
    <row r="231" spans="1:40" ht="15.75" customHeight="1">
      <c r="B231" s="510"/>
      <c r="C231" s="592" t="s">
        <v>65</v>
      </c>
      <c r="D231" s="593" t="s">
        <v>39</v>
      </c>
      <c r="E231" s="594">
        <v>1.0508828035877187</v>
      </c>
      <c r="F231" s="595">
        <v>162757.05276720264</v>
      </c>
      <c r="G231" s="596"/>
      <c r="H231" s="594"/>
      <c r="I231" s="595"/>
      <c r="J231" s="596" t="s">
        <v>39</v>
      </c>
      <c r="K231" s="594">
        <v>0.87837447903295762</v>
      </c>
      <c r="L231" s="595">
        <v>165019.65999999997</v>
      </c>
      <c r="M231" s="599"/>
      <c r="N231" s="609">
        <v>2262.6072327973379</v>
      </c>
      <c r="O231" s="596" t="s">
        <v>39</v>
      </c>
      <c r="P231" s="594">
        <v>1.1431481519857913</v>
      </c>
      <c r="Q231" s="595">
        <v>205204.65</v>
      </c>
      <c r="R231" s="599"/>
      <c r="S231" s="609">
        <v>-40184.99000000002</v>
      </c>
      <c r="T231" s="510"/>
      <c r="U231" s="510"/>
      <c r="V231" s="510"/>
      <c r="W231" s="510"/>
      <c r="X231" s="510"/>
      <c r="Y231" s="510"/>
      <c r="Z231" s="510"/>
      <c r="AA231" s="510"/>
      <c r="AB231" s="510"/>
      <c r="AC231" s="510"/>
      <c r="AD231" s="510"/>
      <c r="AE231" s="510"/>
      <c r="AF231" s="510"/>
      <c r="AG231" s="510"/>
      <c r="AH231" s="510"/>
      <c r="AI231" s="510"/>
      <c r="AJ231" s="510"/>
      <c r="AK231" s="510"/>
      <c r="AL231" s="510"/>
      <c r="AM231" s="510"/>
      <c r="AN231" s="510"/>
    </row>
    <row r="232" spans="1:40" ht="15.75" customHeight="1">
      <c r="B232" s="510"/>
      <c r="C232" s="531"/>
      <c r="D232" s="584"/>
      <c r="E232" s="510"/>
      <c r="F232" s="557"/>
      <c r="G232" s="585"/>
      <c r="H232" s="510"/>
      <c r="I232" s="557"/>
      <c r="J232" s="531"/>
      <c r="K232" s="510"/>
      <c r="L232" s="557"/>
      <c r="M232" s="531"/>
      <c r="N232" s="557">
        <v>0</v>
      </c>
      <c r="O232" s="531"/>
      <c r="P232" s="510"/>
      <c r="Q232" s="557"/>
      <c r="R232" s="531"/>
      <c r="S232" s="557"/>
      <c r="T232" s="510"/>
      <c r="U232" s="510"/>
      <c r="V232" s="510"/>
      <c r="W232" s="510"/>
      <c r="X232" s="510"/>
      <c r="Y232" s="510"/>
      <c r="Z232" s="510"/>
      <c r="AA232" s="510"/>
      <c r="AB232" s="510"/>
      <c r="AC232" s="510"/>
      <c r="AD232" s="510"/>
      <c r="AE232" s="510"/>
      <c r="AF232" s="510"/>
      <c r="AG232" s="510"/>
      <c r="AH232" s="510"/>
      <c r="AI232" s="510"/>
      <c r="AJ232" s="510"/>
      <c r="AK232" s="510"/>
      <c r="AL232" s="510"/>
      <c r="AM232" s="510"/>
      <c r="AN232" s="510"/>
    </row>
    <row r="233" spans="1:40" ht="15.75" customHeight="1" thickBot="1">
      <c r="B233" s="510"/>
      <c r="C233" s="625" t="s">
        <v>72</v>
      </c>
      <c r="D233" s="655"/>
      <c r="E233" s="626"/>
      <c r="F233" s="628">
        <v>-7880.5506381837477</v>
      </c>
      <c r="G233" s="656"/>
      <c r="H233" s="626"/>
      <c r="I233" s="628"/>
      <c r="J233" s="625"/>
      <c r="K233" s="627"/>
      <c r="L233" s="628">
        <v>22849.71000000005</v>
      </c>
      <c r="M233" s="625"/>
      <c r="N233" s="628">
        <v>30730.260638183798</v>
      </c>
      <c r="O233" s="625"/>
      <c r="P233" s="630">
        <v>-9.6808100112370579E-2</v>
      </c>
      <c r="Q233" s="628">
        <v>-25696.290000000125</v>
      </c>
      <c r="R233" s="625"/>
      <c r="S233" s="628">
        <v>48546.000000000175</v>
      </c>
      <c r="T233" s="510"/>
      <c r="U233" s="510"/>
      <c r="V233" s="510"/>
      <c r="W233" s="510"/>
      <c r="X233" s="510"/>
      <c r="Y233" s="510"/>
      <c r="Z233" s="510"/>
      <c r="AA233" s="510"/>
      <c r="AB233" s="510"/>
      <c r="AC233" s="510"/>
      <c r="AD233" s="510"/>
      <c r="AE233" s="510"/>
      <c r="AF233" s="510"/>
      <c r="AG233" s="510"/>
      <c r="AH233" s="510"/>
      <c r="AI233" s="510"/>
      <c r="AJ233" s="510"/>
      <c r="AK233" s="510"/>
      <c r="AL233" s="510"/>
      <c r="AM233" s="510"/>
      <c r="AN233" s="510"/>
    </row>
    <row r="234" spans="1:40" ht="15.75" customHeight="1" thickTop="1">
      <c r="B234" s="510"/>
      <c r="C234" s="510"/>
      <c r="D234" s="510"/>
      <c r="E234" s="510"/>
      <c r="F234" s="510"/>
      <c r="G234" s="510"/>
      <c r="H234" s="510"/>
      <c r="I234" s="510"/>
      <c r="J234" s="510"/>
      <c r="K234" s="510"/>
      <c r="L234" s="573"/>
      <c r="M234" s="573"/>
      <c r="N234" s="510"/>
      <c r="O234" s="573"/>
      <c r="P234" s="510"/>
      <c r="Q234" s="573"/>
      <c r="R234" s="510"/>
      <c r="S234" s="510"/>
      <c r="T234" s="510"/>
      <c r="U234" s="510"/>
      <c r="V234" s="510"/>
      <c r="W234" s="510"/>
      <c r="X234" s="510"/>
      <c r="Y234" s="510"/>
      <c r="Z234" s="510"/>
      <c r="AA234" s="510"/>
      <c r="AB234" s="510"/>
      <c r="AC234" s="510"/>
      <c r="AD234" s="510"/>
      <c r="AE234" s="510"/>
      <c r="AF234" s="510"/>
      <c r="AG234" s="510"/>
      <c r="AH234" s="510"/>
      <c r="AI234" s="510"/>
      <c r="AJ234" s="510"/>
      <c r="AK234" s="510"/>
      <c r="AL234" s="510"/>
      <c r="AM234" s="510"/>
      <c r="AN234" s="510"/>
    </row>
    <row r="235" spans="1:40" ht="15.75" customHeight="1">
      <c r="B235" s="510"/>
      <c r="C235" s="507"/>
      <c r="D235" s="507"/>
      <c r="E235" s="507"/>
      <c r="F235" s="507"/>
      <c r="G235" s="507"/>
      <c r="H235" s="507"/>
      <c r="I235" s="507"/>
      <c r="J235" s="507"/>
      <c r="K235" s="507"/>
      <c r="L235" s="657"/>
      <c r="M235" s="657"/>
      <c r="N235" s="507"/>
      <c r="O235" s="657"/>
      <c r="P235" s="507"/>
      <c r="Q235" s="657"/>
      <c r="R235" s="507"/>
      <c r="S235" s="507"/>
      <c r="T235" s="507"/>
      <c r="U235" s="507"/>
      <c r="V235" s="510"/>
      <c r="W235" s="510"/>
      <c r="X235" s="510"/>
      <c r="Y235" s="510"/>
      <c r="Z235" s="510"/>
      <c r="AA235" s="510"/>
      <c r="AB235" s="510"/>
      <c r="AC235" s="510"/>
      <c r="AD235" s="510"/>
      <c r="AE235" s="510"/>
      <c r="AF235" s="510"/>
      <c r="AG235" s="510"/>
      <c r="AH235" s="510"/>
      <c r="AI235" s="510"/>
      <c r="AJ235" s="510"/>
      <c r="AK235" s="510"/>
      <c r="AL235" s="510"/>
      <c r="AM235" s="510"/>
      <c r="AN235" s="510"/>
    </row>
    <row r="236" spans="1:40" ht="33" customHeight="1">
      <c r="B236" s="510"/>
      <c r="C236" s="635" t="s">
        <v>478</v>
      </c>
      <c r="D236" s="498"/>
      <c r="E236" s="498"/>
      <c r="F236" s="498"/>
      <c r="G236" s="498"/>
      <c r="H236" s="496"/>
      <c r="I236" s="496"/>
      <c r="J236" s="496"/>
      <c r="K236" s="500" t="s">
        <v>99</v>
      </c>
      <c r="L236" s="498"/>
      <c r="M236" s="498"/>
      <c r="N236" s="496"/>
      <c r="O236" s="496"/>
      <c r="P236" s="498"/>
      <c r="Q236" s="496"/>
      <c r="R236" s="498"/>
      <c r="S236" s="636" t="s">
        <v>480</v>
      </c>
      <c r="T236" s="498"/>
      <c r="U236" s="496"/>
      <c r="V236" s="507"/>
      <c r="W236" s="507"/>
      <c r="X236" s="507"/>
      <c r="Y236" s="507"/>
      <c r="Z236" s="507"/>
      <c r="AA236" s="507"/>
      <c r="AB236" s="507"/>
      <c r="AC236" s="507"/>
      <c r="AD236" s="507"/>
      <c r="AE236" s="507"/>
      <c r="AF236" s="507"/>
      <c r="AG236" s="507"/>
      <c r="AH236" s="507"/>
      <c r="AI236" s="507"/>
      <c r="AJ236" s="507"/>
      <c r="AK236" s="507"/>
      <c r="AL236" s="507"/>
      <c r="AM236" s="507"/>
      <c r="AN236" s="507"/>
    </row>
    <row r="237" spans="1:40" ht="24" customHeight="1" thickBot="1">
      <c r="B237" s="510"/>
      <c r="C237" s="505"/>
      <c r="D237" s="507"/>
      <c r="E237" s="507"/>
      <c r="F237" s="507"/>
      <c r="G237" s="507"/>
      <c r="H237" s="507"/>
      <c r="I237" s="507"/>
      <c r="J237" s="507"/>
      <c r="K237" s="507"/>
      <c r="L237" s="507"/>
      <c r="M237" s="507"/>
      <c r="N237" s="507"/>
      <c r="O237" s="507"/>
      <c r="P237" s="507"/>
      <c r="Q237" s="507"/>
      <c r="R237" s="507"/>
      <c r="S237" s="507"/>
      <c r="T237" s="507"/>
      <c r="U237" s="507"/>
      <c r="V237" s="496"/>
      <c r="W237" s="496"/>
      <c r="X237" s="496"/>
      <c r="Y237" s="496"/>
      <c r="Z237" s="496"/>
      <c r="AA237" s="496"/>
      <c r="AB237" s="496"/>
      <c r="AC237" s="496"/>
      <c r="AD237" s="496"/>
      <c r="AE237" s="496"/>
      <c r="AF237" s="496"/>
      <c r="AG237" s="496"/>
      <c r="AH237" s="496"/>
      <c r="AI237" s="496"/>
      <c r="AJ237" s="496"/>
      <c r="AK237" s="496"/>
      <c r="AL237" s="496"/>
      <c r="AM237" s="496"/>
      <c r="AN237" s="496"/>
    </row>
    <row r="238" spans="1:40" ht="15.75" customHeight="1" thickTop="1">
      <c r="B238" s="510"/>
      <c r="C238" s="511"/>
      <c r="D238" s="512" t="s">
        <v>5</v>
      </c>
      <c r="E238" s="513"/>
      <c r="F238" s="514"/>
      <c r="G238" s="515"/>
      <c r="H238" s="513"/>
      <c r="I238" s="514"/>
      <c r="J238" s="515" t="s">
        <v>7</v>
      </c>
      <c r="K238" s="513"/>
      <c r="L238" s="514"/>
      <c r="M238" s="515" t="s">
        <v>220</v>
      </c>
      <c r="N238" s="514"/>
      <c r="O238" s="512" t="s">
        <v>8</v>
      </c>
      <c r="P238" s="513"/>
      <c r="Q238" s="514"/>
      <c r="R238" s="515" t="s">
        <v>221</v>
      </c>
      <c r="S238" s="514"/>
      <c r="T238" s="651"/>
      <c r="U238" s="510"/>
      <c r="V238" s="507"/>
      <c r="W238" s="507"/>
      <c r="X238" s="507"/>
      <c r="Y238" s="507"/>
      <c r="Z238" s="507"/>
      <c r="AA238" s="507"/>
      <c r="AB238" s="507"/>
      <c r="AC238" s="507"/>
      <c r="AD238" s="507"/>
      <c r="AE238" s="507"/>
      <c r="AF238" s="507"/>
      <c r="AG238" s="507"/>
      <c r="AH238" s="507"/>
      <c r="AI238" s="507"/>
      <c r="AJ238" s="507"/>
      <c r="AK238" s="507"/>
      <c r="AL238" s="507"/>
      <c r="AM238" s="507"/>
      <c r="AN238" s="507"/>
    </row>
    <row r="239" spans="1:40" ht="15.75" customHeight="1">
      <c r="A239" s="523" t="s">
        <v>99</v>
      </c>
      <c r="B239" s="510" t="s">
        <v>99</v>
      </c>
      <c r="C239" s="531"/>
      <c r="D239" s="575" t="s">
        <v>40</v>
      </c>
      <c r="E239" s="575" t="s">
        <v>84</v>
      </c>
      <c r="F239" s="658" t="s">
        <v>12</v>
      </c>
      <c r="G239" s="659"/>
      <c r="H239" s="575"/>
      <c r="I239" s="658"/>
      <c r="J239" s="659" t="s">
        <v>40</v>
      </c>
      <c r="K239" s="575" t="s">
        <v>84</v>
      </c>
      <c r="L239" s="658" t="s">
        <v>12</v>
      </c>
      <c r="M239" s="659" t="s">
        <v>40</v>
      </c>
      <c r="N239" s="658" t="s">
        <v>223</v>
      </c>
      <c r="O239" s="575" t="s">
        <v>40</v>
      </c>
      <c r="P239" s="575" t="s">
        <v>84</v>
      </c>
      <c r="Q239" s="658" t="s">
        <v>12</v>
      </c>
      <c r="R239" s="659" t="s">
        <v>85</v>
      </c>
      <c r="S239" s="658" t="s">
        <v>12</v>
      </c>
      <c r="T239" s="575"/>
      <c r="U239" s="510"/>
      <c r="V239" s="510"/>
      <c r="W239" s="510"/>
      <c r="X239" s="510"/>
      <c r="Y239" s="510"/>
      <c r="Z239" s="510"/>
      <c r="AA239" s="510"/>
      <c r="AB239" s="510"/>
      <c r="AC239" s="510"/>
      <c r="AD239" s="510"/>
      <c r="AE239" s="510"/>
      <c r="AF239" s="510"/>
      <c r="AG239" s="510"/>
      <c r="AH239" s="510"/>
      <c r="AI239" s="510"/>
      <c r="AJ239" s="510"/>
      <c r="AK239" s="510"/>
      <c r="AL239" s="510"/>
      <c r="AM239" s="510"/>
      <c r="AN239" s="510"/>
    </row>
    <row r="240" spans="1:40" ht="15.75" customHeight="1">
      <c r="A240" s="523" t="s">
        <v>99</v>
      </c>
      <c r="B240" s="510" t="s">
        <v>99</v>
      </c>
      <c r="C240" s="531"/>
      <c r="D240" s="575"/>
      <c r="E240" s="575"/>
      <c r="F240" s="658"/>
      <c r="G240" s="659"/>
      <c r="H240" s="575"/>
      <c r="I240" s="658"/>
      <c r="J240" s="659"/>
      <c r="K240" s="532"/>
      <c r="L240" s="534"/>
      <c r="M240" s="659"/>
      <c r="N240" s="658"/>
      <c r="O240" s="575"/>
      <c r="P240" s="575"/>
      <c r="Q240" s="658"/>
      <c r="R240" s="659"/>
      <c r="S240" s="658"/>
      <c r="T240" s="575"/>
      <c r="U240" s="510"/>
      <c r="V240" s="510"/>
      <c r="W240" s="510"/>
      <c r="X240" s="510"/>
      <c r="Y240" s="510"/>
      <c r="Z240" s="510"/>
      <c r="AA240" s="510"/>
      <c r="AB240" s="510"/>
      <c r="AC240" s="510"/>
      <c r="AD240" s="510"/>
      <c r="AE240" s="510"/>
      <c r="AF240" s="510"/>
      <c r="AG240" s="510"/>
      <c r="AH240" s="510"/>
      <c r="AI240" s="510"/>
      <c r="AJ240" s="510"/>
      <c r="AK240" s="510"/>
      <c r="AL240" s="510"/>
      <c r="AM240" s="510"/>
      <c r="AN240" s="510"/>
    </row>
    <row r="241" spans="1:40" ht="15.75" customHeight="1">
      <c r="A241" s="523" t="s">
        <v>371</v>
      </c>
      <c r="B241" s="510" t="s">
        <v>99</v>
      </c>
      <c r="C241" s="531" t="s">
        <v>100</v>
      </c>
      <c r="D241" s="699">
        <v>0</v>
      </c>
      <c r="E241" s="573">
        <v>62023.022893078683</v>
      </c>
      <c r="F241" s="573">
        <v>9303.4534339618021</v>
      </c>
      <c r="G241" s="700"/>
      <c r="H241" s="573"/>
      <c r="I241" s="573"/>
      <c r="J241" s="558">
        <v>11</v>
      </c>
      <c r="K241" s="532">
        <v>17792.260000000002</v>
      </c>
      <c r="L241" s="534">
        <v>3344.9000000000005</v>
      </c>
      <c r="M241" s="577">
        <v>-0.71313458825326803</v>
      </c>
      <c r="N241" s="557">
        <v>-5958.5534339618016</v>
      </c>
      <c r="O241" s="558">
        <v>16</v>
      </c>
      <c r="P241" s="532">
        <v>31749.51</v>
      </c>
      <c r="Q241" s="534">
        <v>4215.9799999999996</v>
      </c>
      <c r="R241" s="577">
        <v>0.6875</v>
      </c>
      <c r="S241" s="557">
        <v>-871.07999999999902</v>
      </c>
      <c r="T241" s="575"/>
      <c r="U241" s="510"/>
      <c r="V241" s="510"/>
      <c r="W241" s="510"/>
      <c r="X241" s="510"/>
      <c r="Y241" s="510"/>
      <c r="Z241" s="510"/>
      <c r="AA241" s="510"/>
      <c r="AB241" s="510"/>
      <c r="AC241" s="510"/>
      <c r="AD241" s="510"/>
      <c r="AE241" s="510"/>
      <c r="AF241" s="510"/>
      <c r="AG241" s="510"/>
      <c r="AH241" s="510"/>
      <c r="AI241" s="510"/>
      <c r="AJ241" s="510"/>
      <c r="AK241" s="510"/>
      <c r="AL241" s="510"/>
      <c r="AM241" s="510"/>
      <c r="AN241" s="510"/>
    </row>
    <row r="242" spans="1:40" ht="15.75" customHeight="1">
      <c r="A242" s="523" t="s">
        <v>372</v>
      </c>
      <c r="B242" s="510" t="s">
        <v>99</v>
      </c>
      <c r="C242" s="531" t="s">
        <v>87</v>
      </c>
      <c r="D242" s="575"/>
      <c r="E242" s="644"/>
      <c r="F242" s="660">
        <v>0.15</v>
      </c>
      <c r="G242" s="531"/>
      <c r="H242" s="644"/>
      <c r="I242" s="660"/>
      <c r="J242" s="558"/>
      <c r="K242" s="510"/>
      <c r="L242" s="660">
        <v>0.18799747755484689</v>
      </c>
      <c r="M242" s="577"/>
      <c r="N242" s="557">
        <v>8355.4402382256012</v>
      </c>
      <c r="O242" s="558"/>
      <c r="P242" s="510"/>
      <c r="Q242" s="660">
        <v>0.13278882099282791</v>
      </c>
      <c r="R242" s="558"/>
      <c r="S242" s="557">
        <v>-1267.0254545454532</v>
      </c>
      <c r="T242" s="575"/>
      <c r="U242" s="510"/>
      <c r="V242" s="510"/>
      <c r="W242" s="510"/>
      <c r="X242" s="510"/>
      <c r="Y242" s="510"/>
      <c r="Z242" s="510"/>
      <c r="AA242" s="510"/>
      <c r="AB242" s="510"/>
      <c r="AC242" s="510"/>
      <c r="AD242" s="510"/>
      <c r="AE242" s="510"/>
      <c r="AF242" s="510"/>
      <c r="AG242" s="510"/>
      <c r="AH242" s="510"/>
      <c r="AI242" s="510"/>
      <c r="AJ242" s="510"/>
      <c r="AK242" s="510"/>
      <c r="AL242" s="510"/>
      <c r="AM242" s="510"/>
      <c r="AN242" s="510"/>
    </row>
    <row r="243" spans="1:40" ht="15.75" customHeight="1">
      <c r="A243" s="523" t="s">
        <v>99</v>
      </c>
      <c r="B243" s="510" t="s">
        <v>99</v>
      </c>
      <c r="C243" s="531"/>
      <c r="D243" s="575"/>
      <c r="E243" s="701"/>
      <c r="F243" s="638"/>
      <c r="G243" s="659"/>
      <c r="H243" s="701"/>
      <c r="I243" s="638"/>
      <c r="J243" s="659"/>
      <c r="K243" s="575"/>
      <c r="L243" s="658"/>
      <c r="M243" s="659"/>
      <c r="N243" s="658"/>
      <c r="O243" s="659"/>
      <c r="P243" s="575"/>
      <c r="Q243" s="658"/>
      <c r="R243" s="637"/>
      <c r="S243" s="658"/>
      <c r="T243" s="575"/>
      <c r="U243" s="510"/>
      <c r="V243" s="510"/>
      <c r="W243" s="510"/>
      <c r="X243" s="510"/>
      <c r="Y243" s="510"/>
      <c r="Z243" s="510"/>
      <c r="AA243" s="510"/>
      <c r="AB243" s="510"/>
      <c r="AC243" s="510"/>
      <c r="AD243" s="510"/>
      <c r="AE243" s="510"/>
      <c r="AF243" s="510"/>
      <c r="AG243" s="510"/>
      <c r="AH243" s="510"/>
      <c r="AI243" s="510"/>
      <c r="AJ243" s="510"/>
      <c r="AK243" s="510"/>
      <c r="AL243" s="510"/>
      <c r="AM243" s="510"/>
      <c r="AN243" s="510"/>
    </row>
    <row r="244" spans="1:40" ht="15.75" customHeight="1">
      <c r="A244" s="523" t="s">
        <v>373</v>
      </c>
      <c r="B244" s="510" t="s">
        <v>99</v>
      </c>
      <c r="C244" s="518" t="s">
        <v>101</v>
      </c>
      <c r="D244" s="664">
        <v>0</v>
      </c>
      <c r="E244" s="573">
        <v>0</v>
      </c>
      <c r="F244" s="573">
        <v>0</v>
      </c>
      <c r="G244" s="702"/>
      <c r="H244" s="573"/>
      <c r="I244" s="573"/>
      <c r="J244" s="665">
        <v>0</v>
      </c>
      <c r="K244" s="552">
        <v>0</v>
      </c>
      <c r="L244" s="553">
        <v>0</v>
      </c>
      <c r="M244" s="669">
        <v>0</v>
      </c>
      <c r="N244" s="606">
        <v>0</v>
      </c>
      <c r="O244" s="665">
        <v>0</v>
      </c>
      <c r="P244" s="552">
        <v>0</v>
      </c>
      <c r="Q244" s="553">
        <v>0</v>
      </c>
      <c r="R244" s="577">
        <v>0</v>
      </c>
      <c r="S244" s="606">
        <v>0</v>
      </c>
      <c r="T244" s="648"/>
      <c r="U244" s="510"/>
      <c r="V244" s="510"/>
      <c r="W244" s="510"/>
      <c r="X244" s="510"/>
      <c r="Y244" s="510"/>
      <c r="Z244" s="510"/>
      <c r="AA244" s="510"/>
      <c r="AB244" s="510"/>
      <c r="AC244" s="510"/>
      <c r="AD244" s="510"/>
      <c r="AE244" s="510"/>
      <c r="AF244" s="510"/>
      <c r="AG244" s="510"/>
      <c r="AH244" s="510"/>
      <c r="AI244" s="510"/>
      <c r="AJ244" s="510"/>
      <c r="AK244" s="510"/>
      <c r="AL244" s="510"/>
      <c r="AM244" s="510"/>
      <c r="AN244" s="510"/>
    </row>
    <row r="245" spans="1:40" ht="15.75" customHeight="1">
      <c r="A245" s="523" t="s">
        <v>372</v>
      </c>
      <c r="B245" s="510" t="s">
        <v>99</v>
      </c>
      <c r="C245" s="531" t="s">
        <v>87</v>
      </c>
      <c r="D245" s="510"/>
      <c r="E245" s="644"/>
      <c r="F245" s="660" t="e">
        <v>#DIV/0!</v>
      </c>
      <c r="G245" s="531"/>
      <c r="H245" s="644"/>
      <c r="I245" s="660"/>
      <c r="J245" s="558"/>
      <c r="K245" s="510"/>
      <c r="L245" s="660">
        <v>0</v>
      </c>
      <c r="M245" s="577"/>
      <c r="N245" s="557">
        <v>0</v>
      </c>
      <c r="O245" s="558"/>
      <c r="P245" s="510"/>
      <c r="Q245" s="660">
        <v>0</v>
      </c>
      <c r="R245" s="558"/>
      <c r="S245" s="557">
        <v>0</v>
      </c>
      <c r="T245" s="648"/>
      <c r="U245" s="510"/>
      <c r="V245" s="510"/>
      <c r="W245" s="510"/>
      <c r="X245" s="510"/>
      <c r="Y245" s="510"/>
      <c r="Z245" s="510"/>
      <c r="AA245" s="510"/>
      <c r="AB245" s="510"/>
      <c r="AC245" s="510"/>
      <c r="AD245" s="510"/>
      <c r="AE245" s="510"/>
      <c r="AF245" s="510"/>
      <c r="AG245" s="510"/>
      <c r="AH245" s="510"/>
      <c r="AI245" s="510"/>
      <c r="AJ245" s="510"/>
      <c r="AK245" s="510"/>
      <c r="AL245" s="510"/>
      <c r="AM245" s="510"/>
      <c r="AN245" s="510"/>
    </row>
    <row r="246" spans="1:40" ht="15.75" customHeight="1">
      <c r="A246" s="523" t="s">
        <v>99</v>
      </c>
      <c r="B246" s="510" t="s">
        <v>99</v>
      </c>
      <c r="C246" s="524"/>
      <c r="D246" s="607"/>
      <c r="E246" s="703"/>
      <c r="F246" s="662"/>
      <c r="G246" s="524"/>
      <c r="H246" s="703"/>
      <c r="I246" s="662"/>
      <c r="J246" s="663"/>
      <c r="K246" s="704"/>
      <c r="L246" s="662"/>
      <c r="M246" s="581"/>
      <c r="N246" s="582"/>
      <c r="O246" s="663"/>
      <c r="P246" s="704"/>
      <c r="Q246" s="662"/>
      <c r="R246" s="663"/>
      <c r="S246" s="582"/>
      <c r="T246" s="648"/>
      <c r="U246" s="510"/>
      <c r="V246" s="510"/>
      <c r="W246" s="510"/>
      <c r="X246" s="510"/>
      <c r="Y246" s="510"/>
      <c r="Z246" s="510"/>
      <c r="AA246" s="510"/>
      <c r="AB246" s="510"/>
      <c r="AC246" s="510"/>
      <c r="AD246" s="510"/>
      <c r="AE246" s="510"/>
      <c r="AF246" s="510"/>
      <c r="AG246" s="510"/>
      <c r="AH246" s="510"/>
      <c r="AI246" s="510"/>
      <c r="AJ246" s="510"/>
      <c r="AK246" s="510"/>
      <c r="AL246" s="510"/>
      <c r="AM246" s="510"/>
      <c r="AN246" s="510"/>
    </row>
    <row r="247" spans="1:40" ht="15.75" customHeight="1">
      <c r="A247" s="523" t="s">
        <v>374</v>
      </c>
      <c r="B247" s="510" t="s">
        <v>99</v>
      </c>
      <c r="C247" s="518" t="s">
        <v>102</v>
      </c>
      <c r="D247" s="664">
        <v>0</v>
      </c>
      <c r="E247" s="573">
        <v>0</v>
      </c>
      <c r="F247" s="573">
        <v>0</v>
      </c>
      <c r="G247" s="665"/>
      <c r="H247" s="573"/>
      <c r="I247" s="573"/>
      <c r="J247" s="665">
        <v>0</v>
      </c>
      <c r="K247" s="532">
        <v>0</v>
      </c>
      <c r="L247" s="534">
        <v>0</v>
      </c>
      <c r="M247" s="577">
        <v>0</v>
      </c>
      <c r="N247" s="606">
        <v>0</v>
      </c>
      <c r="O247" s="665">
        <v>0</v>
      </c>
      <c r="P247" s="532">
        <v>0</v>
      </c>
      <c r="Q247" s="534">
        <v>0</v>
      </c>
      <c r="R247" s="577">
        <v>0</v>
      </c>
      <c r="S247" s="557">
        <v>0</v>
      </c>
      <c r="T247" s="648"/>
      <c r="U247" s="510"/>
      <c r="V247" s="510"/>
      <c r="W247" s="510"/>
      <c r="X247" s="510"/>
      <c r="Y247" s="510"/>
      <c r="Z247" s="510"/>
      <c r="AA247" s="510"/>
      <c r="AB247" s="510"/>
      <c r="AC247" s="510"/>
      <c r="AD247" s="510"/>
      <c r="AE247" s="510"/>
      <c r="AF247" s="510"/>
      <c r="AG247" s="510"/>
      <c r="AH247" s="510"/>
      <c r="AI247" s="510"/>
      <c r="AJ247" s="510"/>
      <c r="AK247" s="510"/>
      <c r="AL247" s="510"/>
      <c r="AM247" s="510"/>
      <c r="AN247" s="510"/>
    </row>
    <row r="248" spans="1:40" ht="15.75" customHeight="1">
      <c r="A248" s="523" t="s">
        <v>372</v>
      </c>
      <c r="B248" s="510" t="s">
        <v>99</v>
      </c>
      <c r="C248" s="531" t="s">
        <v>87</v>
      </c>
      <c r="D248" s="510"/>
      <c r="E248" s="510"/>
      <c r="F248" s="660" t="e">
        <v>#DIV/0!</v>
      </c>
      <c r="G248" s="531"/>
      <c r="H248" s="510"/>
      <c r="I248" s="660"/>
      <c r="J248" s="531"/>
      <c r="K248" s="510"/>
      <c r="L248" s="660">
        <v>0</v>
      </c>
      <c r="M248" s="548"/>
      <c r="N248" s="549">
        <v>0</v>
      </c>
      <c r="O248" s="531"/>
      <c r="P248" s="510"/>
      <c r="Q248" s="660">
        <v>0</v>
      </c>
      <c r="R248" s="548"/>
      <c r="S248" s="549">
        <v>0</v>
      </c>
      <c r="T248" s="648"/>
      <c r="U248" s="510"/>
      <c r="V248" s="510"/>
      <c r="W248" s="510"/>
      <c r="X248" s="510"/>
      <c r="Y248" s="510"/>
      <c r="Z248" s="510"/>
      <c r="AA248" s="510"/>
      <c r="AB248" s="510"/>
      <c r="AC248" s="510"/>
      <c r="AD248" s="510"/>
      <c r="AE248" s="510"/>
      <c r="AF248" s="510"/>
      <c r="AG248" s="510"/>
      <c r="AH248" s="510"/>
      <c r="AI248" s="510"/>
      <c r="AJ248" s="510"/>
      <c r="AK248" s="510"/>
      <c r="AL248" s="510"/>
      <c r="AM248" s="510"/>
      <c r="AN248" s="510"/>
    </row>
    <row r="249" spans="1:40" ht="15.75" customHeight="1" thickBot="1">
      <c r="A249" s="523" t="s">
        <v>99</v>
      </c>
      <c r="B249" s="510" t="s">
        <v>99</v>
      </c>
      <c r="C249" s="531"/>
      <c r="D249" s="510"/>
      <c r="E249" s="510"/>
      <c r="F249" s="660"/>
      <c r="G249" s="531"/>
      <c r="H249" s="510"/>
      <c r="I249" s="660"/>
      <c r="J249" s="531"/>
      <c r="K249" s="510"/>
      <c r="L249" s="660"/>
      <c r="M249" s="548"/>
      <c r="N249" s="549"/>
      <c r="O249" s="531"/>
      <c r="P249" s="510"/>
      <c r="Q249" s="660"/>
      <c r="R249" s="548"/>
      <c r="S249" s="549"/>
      <c r="T249" s="648"/>
      <c r="U249" s="510"/>
      <c r="V249" s="510"/>
      <c r="W249" s="510"/>
      <c r="X249" s="510"/>
      <c r="Y249" s="510"/>
      <c r="Z249" s="510"/>
      <c r="AA249" s="510"/>
      <c r="AB249" s="510"/>
      <c r="AC249" s="510"/>
      <c r="AD249" s="510"/>
      <c r="AE249" s="510"/>
      <c r="AF249" s="510"/>
      <c r="AG249" s="510"/>
      <c r="AH249" s="510"/>
      <c r="AI249" s="510"/>
      <c r="AJ249" s="510"/>
      <c r="AK249" s="510"/>
      <c r="AL249" s="510"/>
      <c r="AM249" s="510"/>
      <c r="AN249" s="510"/>
    </row>
    <row r="250" spans="1:40" ht="15.75" customHeight="1" thickTop="1">
      <c r="A250" s="523" t="s">
        <v>375</v>
      </c>
      <c r="B250" s="510" t="s">
        <v>99</v>
      </c>
      <c r="C250" s="559" t="s">
        <v>96</v>
      </c>
      <c r="D250" s="560"/>
      <c r="E250" s="560">
        <v>62023.022893078683</v>
      </c>
      <c r="F250" s="562">
        <v>9303.4534339618021</v>
      </c>
      <c r="G250" s="563"/>
      <c r="H250" s="560"/>
      <c r="I250" s="562"/>
      <c r="J250" s="563"/>
      <c r="K250" s="560">
        <v>17792.260000000002</v>
      </c>
      <c r="L250" s="562">
        <v>3344.9000000000005</v>
      </c>
      <c r="M250" s="697">
        <v>3.7997477554846892E-2</v>
      </c>
      <c r="N250" s="562">
        <v>-5958.5534339618016</v>
      </c>
      <c r="O250" s="563"/>
      <c r="P250" s="560">
        <v>31749.51</v>
      </c>
      <c r="Q250" s="562">
        <v>4215.9799999999996</v>
      </c>
      <c r="R250" s="705">
        <v>5.5208656562018982E-2</v>
      </c>
      <c r="S250" s="562">
        <v>-871.07999999999902</v>
      </c>
      <c r="T250" s="648"/>
      <c r="U250" s="510"/>
      <c r="V250" s="510"/>
      <c r="W250" s="510"/>
      <c r="X250" s="510"/>
      <c r="Y250" s="510"/>
      <c r="Z250" s="510"/>
      <c r="AA250" s="510"/>
      <c r="AB250" s="510"/>
      <c r="AC250" s="510"/>
      <c r="AD250" s="510"/>
      <c r="AE250" s="510"/>
      <c r="AF250" s="510"/>
      <c r="AG250" s="510"/>
      <c r="AH250" s="510"/>
      <c r="AI250" s="510"/>
      <c r="AJ250" s="510"/>
      <c r="AK250" s="510"/>
      <c r="AL250" s="510"/>
      <c r="AM250" s="510"/>
      <c r="AN250" s="510"/>
    </row>
    <row r="251" spans="1:40" ht="23.25" customHeight="1" thickBot="1">
      <c r="A251" s="523" t="s">
        <v>99</v>
      </c>
      <c r="B251" s="510" t="s">
        <v>99</v>
      </c>
      <c r="C251" s="564"/>
      <c r="D251" s="565"/>
      <c r="E251" s="565"/>
      <c r="F251" s="570">
        <v>0.15</v>
      </c>
      <c r="G251" s="564"/>
      <c r="H251" s="565"/>
      <c r="I251" s="570"/>
      <c r="J251" s="564"/>
      <c r="K251" s="565"/>
      <c r="L251" s="570">
        <v>0.18799747755484689</v>
      </c>
      <c r="M251" s="569"/>
      <c r="N251" s="570">
        <v>-0.64046684129254561</v>
      </c>
      <c r="O251" s="564"/>
      <c r="P251" s="565"/>
      <c r="Q251" s="570">
        <v>0.13278882099282791</v>
      </c>
      <c r="R251" s="569"/>
      <c r="S251" s="570">
        <v>-0.20661388336756795</v>
      </c>
      <c r="T251" s="648"/>
      <c r="U251" s="510"/>
      <c r="V251" s="510"/>
      <c r="W251" s="510"/>
      <c r="X251" s="510"/>
      <c r="Y251" s="510"/>
      <c r="Z251" s="510"/>
      <c r="AA251" s="510"/>
      <c r="AB251" s="510"/>
      <c r="AC251" s="510"/>
      <c r="AD251" s="510"/>
      <c r="AE251" s="510"/>
      <c r="AF251" s="510"/>
      <c r="AG251" s="510"/>
      <c r="AH251" s="510"/>
      <c r="AI251" s="510"/>
      <c r="AJ251" s="510"/>
      <c r="AK251" s="510"/>
      <c r="AL251" s="510"/>
      <c r="AM251" s="510"/>
      <c r="AN251" s="510"/>
    </row>
    <row r="252" spans="1:40" ht="15.75" customHeight="1" thickTop="1">
      <c r="A252" s="523" t="s">
        <v>99</v>
      </c>
      <c r="B252" s="510" t="s">
        <v>99</v>
      </c>
      <c r="C252" s="531"/>
      <c r="D252" s="510"/>
      <c r="E252" s="510"/>
      <c r="F252" s="557"/>
      <c r="G252" s="531"/>
      <c r="H252" s="510"/>
      <c r="I252" s="557"/>
      <c r="J252" s="531"/>
      <c r="K252" s="510"/>
      <c r="L252" s="541"/>
      <c r="M252" s="531"/>
      <c r="N252" s="541"/>
      <c r="O252" s="531"/>
      <c r="P252" s="510"/>
      <c r="Q252" s="541"/>
      <c r="R252" s="531"/>
      <c r="S252" s="541"/>
      <c r="T252" s="510"/>
      <c r="U252" s="510"/>
      <c r="V252" s="510"/>
      <c r="W252" s="510"/>
      <c r="X252" s="510"/>
      <c r="Y252" s="510"/>
      <c r="Z252" s="510"/>
      <c r="AA252" s="510"/>
      <c r="AB252" s="510"/>
      <c r="AC252" s="510"/>
      <c r="AD252" s="510"/>
      <c r="AE252" s="510"/>
      <c r="AF252" s="510"/>
      <c r="AG252" s="510"/>
      <c r="AH252" s="510"/>
      <c r="AI252" s="510"/>
      <c r="AJ252" s="510"/>
      <c r="AK252" s="510"/>
      <c r="AL252" s="510"/>
      <c r="AM252" s="510"/>
      <c r="AN252" s="510"/>
    </row>
    <row r="253" spans="1:40" ht="15.75" customHeight="1">
      <c r="A253" s="523" t="s">
        <v>376</v>
      </c>
      <c r="B253" s="510" t="s">
        <v>99</v>
      </c>
      <c r="C253" s="574" t="s">
        <v>30</v>
      </c>
      <c r="D253" s="510"/>
      <c r="E253" s="510"/>
      <c r="F253" s="557"/>
      <c r="G253" s="531"/>
      <c r="H253" s="510"/>
      <c r="I253" s="557"/>
      <c r="J253" s="531"/>
      <c r="K253" s="510"/>
      <c r="L253" s="541"/>
      <c r="M253" s="531"/>
      <c r="N253" s="541"/>
      <c r="O253" s="531"/>
      <c r="P253" s="510"/>
      <c r="Q253" s="541"/>
      <c r="R253" s="531"/>
      <c r="S253" s="541"/>
      <c r="T253" s="510"/>
      <c r="U253" s="510"/>
      <c r="V253" s="510"/>
      <c r="W253" s="510"/>
      <c r="X253" s="510"/>
      <c r="Y253" s="510"/>
      <c r="Z253" s="510"/>
      <c r="AA253" s="510"/>
      <c r="AB253" s="510"/>
      <c r="AC253" s="510"/>
      <c r="AD253" s="510"/>
      <c r="AE253" s="510"/>
      <c r="AF253" s="510"/>
      <c r="AG253" s="510"/>
      <c r="AH253" s="510"/>
      <c r="AI253" s="510"/>
      <c r="AJ253" s="510"/>
      <c r="AK253" s="510"/>
      <c r="AL253" s="510"/>
      <c r="AM253" s="510"/>
      <c r="AN253" s="510"/>
    </row>
    <row r="254" spans="1:40" ht="15.75" customHeight="1">
      <c r="A254" s="523" t="s">
        <v>377</v>
      </c>
      <c r="B254" s="510" t="s">
        <v>99</v>
      </c>
      <c r="C254" s="600" t="s">
        <v>41</v>
      </c>
      <c r="D254" s="510"/>
      <c r="E254" s="510"/>
      <c r="F254" s="532">
        <v>297.32500000000005</v>
      </c>
      <c r="G254" s="531"/>
      <c r="H254" s="510"/>
      <c r="I254" s="532"/>
      <c r="J254" s="531"/>
      <c r="K254" s="510"/>
      <c r="L254" s="534">
        <v>901.88</v>
      </c>
      <c r="M254" s="531"/>
      <c r="N254" s="557">
        <v>604.55499999999995</v>
      </c>
      <c r="O254" s="531"/>
      <c r="P254" s="510"/>
      <c r="Q254" s="534">
        <v>901.88</v>
      </c>
      <c r="R254" s="531"/>
      <c r="S254" s="534">
        <v>0</v>
      </c>
      <c r="T254" s="510"/>
      <c r="U254" s="510"/>
      <c r="V254" s="510"/>
      <c r="W254" s="510"/>
      <c r="X254" s="510"/>
      <c r="Y254" s="510"/>
      <c r="Z254" s="510"/>
      <c r="AA254" s="510"/>
      <c r="AB254" s="510"/>
      <c r="AC254" s="510"/>
      <c r="AD254" s="510"/>
      <c r="AE254" s="510"/>
      <c r="AF254" s="510"/>
      <c r="AG254" s="510"/>
      <c r="AH254" s="510"/>
      <c r="AI254" s="510"/>
      <c r="AJ254" s="510"/>
      <c r="AK254" s="510"/>
      <c r="AL254" s="510"/>
      <c r="AM254" s="510"/>
      <c r="AN254" s="510"/>
    </row>
    <row r="255" spans="1:40" ht="15.75" customHeight="1">
      <c r="A255" s="523" t="s">
        <v>378</v>
      </c>
      <c r="B255" s="510" t="s">
        <v>99</v>
      </c>
      <c r="C255" s="602" t="s">
        <v>42</v>
      </c>
      <c r="D255" s="584"/>
      <c r="E255" s="510"/>
      <c r="F255" s="526">
        <v>4703.7506153846152</v>
      </c>
      <c r="G255" s="585"/>
      <c r="H255" s="510"/>
      <c r="I255" s="526"/>
      <c r="J255" s="531"/>
      <c r="K255" s="510"/>
      <c r="L255" s="534">
        <v>4446.97</v>
      </c>
      <c r="M255" s="531"/>
      <c r="N255" s="557">
        <v>-256.78061538461498</v>
      </c>
      <c r="O255" s="531"/>
      <c r="P255" s="510"/>
      <c r="Q255" s="534">
        <v>0</v>
      </c>
      <c r="R255" s="531"/>
      <c r="S255" s="557">
        <v>4446.97</v>
      </c>
      <c r="T255" s="510"/>
      <c r="U255" s="510"/>
      <c r="V255" s="510"/>
      <c r="W255" s="510"/>
      <c r="X255" s="510"/>
      <c r="Y255" s="510"/>
      <c r="Z255" s="510"/>
      <c r="AA255" s="510"/>
      <c r="AB255" s="510"/>
      <c r="AC255" s="510"/>
      <c r="AD255" s="510"/>
      <c r="AE255" s="510"/>
      <c r="AF255" s="510"/>
      <c r="AG255" s="510"/>
      <c r="AH255" s="510"/>
      <c r="AI255" s="510"/>
      <c r="AJ255" s="510"/>
      <c r="AK255" s="510"/>
      <c r="AL255" s="510"/>
      <c r="AM255" s="510"/>
      <c r="AN255" s="510"/>
    </row>
    <row r="256" spans="1:40" ht="15.75" customHeight="1">
      <c r="A256" s="523" t="s">
        <v>379</v>
      </c>
      <c r="B256" s="510" t="s">
        <v>99</v>
      </c>
      <c r="C256" s="600" t="s">
        <v>43</v>
      </c>
      <c r="D256" s="603"/>
      <c r="E256" s="604"/>
      <c r="F256" s="532">
        <v>17.530769230769231</v>
      </c>
      <c r="G256" s="605"/>
      <c r="H256" s="604"/>
      <c r="I256" s="532"/>
      <c r="J256" s="518"/>
      <c r="K256" s="604"/>
      <c r="L256" s="553">
        <v>0.08</v>
      </c>
      <c r="M256" s="518"/>
      <c r="N256" s="606">
        <v>-17.450769230769232</v>
      </c>
      <c r="O256" s="518"/>
      <c r="P256" s="604"/>
      <c r="Q256" s="553">
        <v>0.08</v>
      </c>
      <c r="R256" s="518"/>
      <c r="S256" s="606">
        <v>0</v>
      </c>
      <c r="T256" s="510"/>
      <c r="U256" s="510"/>
      <c r="V256" s="510"/>
      <c r="W256" s="510"/>
      <c r="X256" s="510"/>
      <c r="Y256" s="510"/>
      <c r="Z256" s="510"/>
      <c r="AA256" s="510"/>
      <c r="AB256" s="510"/>
      <c r="AC256" s="510"/>
      <c r="AD256" s="510"/>
      <c r="AE256" s="510"/>
      <c r="AF256" s="510"/>
      <c r="AG256" s="510"/>
      <c r="AH256" s="510"/>
      <c r="AI256" s="510"/>
      <c r="AJ256" s="510"/>
      <c r="AK256" s="510"/>
      <c r="AL256" s="510"/>
      <c r="AM256" s="510"/>
      <c r="AN256" s="510"/>
    </row>
    <row r="257" spans="1:40" ht="15.75" customHeight="1">
      <c r="A257" s="523" t="s">
        <v>380</v>
      </c>
      <c r="B257" s="510" t="s">
        <v>99</v>
      </c>
      <c r="C257" s="600" t="s">
        <v>44</v>
      </c>
      <c r="D257" s="584"/>
      <c r="E257" s="510"/>
      <c r="F257" s="532">
        <v>0</v>
      </c>
      <c r="G257" s="585"/>
      <c r="H257" s="510"/>
      <c r="I257" s="532"/>
      <c r="J257" s="531"/>
      <c r="K257" s="510"/>
      <c r="L257" s="534">
        <v>0</v>
      </c>
      <c r="M257" s="531"/>
      <c r="N257" s="557">
        <v>0</v>
      </c>
      <c r="O257" s="531"/>
      <c r="P257" s="510"/>
      <c r="Q257" s="534">
        <v>5218</v>
      </c>
      <c r="R257" s="531"/>
      <c r="S257" s="557">
        <v>-5218</v>
      </c>
      <c r="T257" s="510"/>
      <c r="U257" s="510"/>
      <c r="V257" s="510"/>
      <c r="W257" s="510"/>
      <c r="X257" s="510"/>
      <c r="Y257" s="510"/>
      <c r="Z257" s="510"/>
      <c r="AA257" s="510"/>
      <c r="AB257" s="510"/>
      <c r="AC257" s="510"/>
      <c r="AD257" s="510"/>
      <c r="AE257" s="510"/>
      <c r="AF257" s="510"/>
      <c r="AG257" s="510"/>
      <c r="AH257" s="510"/>
      <c r="AI257" s="510"/>
      <c r="AJ257" s="510"/>
      <c r="AK257" s="510"/>
      <c r="AL257" s="510"/>
      <c r="AM257" s="510"/>
      <c r="AN257" s="510"/>
    </row>
    <row r="258" spans="1:40" ht="15.75" hidden="1" customHeight="1">
      <c r="A258" s="523" t="s">
        <v>381</v>
      </c>
      <c r="B258" s="510" t="s">
        <v>99</v>
      </c>
      <c r="C258" s="531" t="s">
        <v>20</v>
      </c>
      <c r="D258" s="584"/>
      <c r="E258" s="510"/>
      <c r="F258" s="532">
        <v>0</v>
      </c>
      <c r="G258" s="585"/>
      <c r="H258" s="510"/>
      <c r="I258" s="532"/>
      <c r="J258" s="531"/>
      <c r="K258" s="510"/>
      <c r="L258" s="534">
        <v>0</v>
      </c>
      <c r="M258" s="531"/>
      <c r="N258" s="557">
        <v>0</v>
      </c>
      <c r="O258" s="531"/>
      <c r="P258" s="510"/>
      <c r="Q258" s="534">
        <v>0</v>
      </c>
      <c r="R258" s="531"/>
      <c r="S258" s="557">
        <v>0</v>
      </c>
      <c r="T258" s="510"/>
      <c r="U258" s="510"/>
      <c r="V258" s="510"/>
      <c r="W258" s="510"/>
      <c r="X258" s="510"/>
      <c r="Y258" s="510"/>
      <c r="Z258" s="510"/>
      <c r="AA258" s="510"/>
      <c r="AB258" s="510"/>
      <c r="AC258" s="510"/>
      <c r="AD258" s="510"/>
      <c r="AE258" s="510"/>
      <c r="AF258" s="510"/>
      <c r="AG258" s="510"/>
      <c r="AH258" s="510"/>
      <c r="AI258" s="510"/>
      <c r="AJ258" s="510"/>
      <c r="AK258" s="510"/>
      <c r="AL258" s="510"/>
      <c r="AM258" s="510"/>
      <c r="AN258" s="510"/>
    </row>
    <row r="259" spans="1:40" ht="15.75" hidden="1" customHeight="1">
      <c r="A259" s="523" t="s">
        <v>381</v>
      </c>
      <c r="B259" s="510" t="s">
        <v>99</v>
      </c>
      <c r="C259" s="531" t="s">
        <v>20</v>
      </c>
      <c r="D259" s="584"/>
      <c r="E259" s="510"/>
      <c r="F259" s="532">
        <v>0</v>
      </c>
      <c r="G259" s="585"/>
      <c r="H259" s="510"/>
      <c r="I259" s="532"/>
      <c r="J259" s="531"/>
      <c r="K259" s="510"/>
      <c r="L259" s="534">
        <v>0</v>
      </c>
      <c r="M259" s="531"/>
      <c r="N259" s="557">
        <v>0</v>
      </c>
      <c r="O259" s="531"/>
      <c r="P259" s="510"/>
      <c r="Q259" s="534">
        <v>0</v>
      </c>
      <c r="R259" s="531"/>
      <c r="S259" s="557">
        <v>0</v>
      </c>
      <c r="T259" s="510"/>
      <c r="U259" s="510"/>
      <c r="V259" s="510"/>
      <c r="W259" s="510"/>
      <c r="X259" s="510"/>
      <c r="Y259" s="510"/>
      <c r="Z259" s="510"/>
      <c r="AA259" s="510"/>
      <c r="AB259" s="510"/>
      <c r="AC259" s="510"/>
      <c r="AD259" s="510"/>
      <c r="AE259" s="510"/>
      <c r="AF259" s="510"/>
      <c r="AG259" s="510"/>
      <c r="AH259" s="510"/>
      <c r="AI259" s="510"/>
      <c r="AJ259" s="510"/>
      <c r="AK259" s="510"/>
      <c r="AL259" s="510"/>
      <c r="AM259" s="510"/>
      <c r="AN259" s="510"/>
    </row>
    <row r="260" spans="1:40" ht="15.75" hidden="1" customHeight="1">
      <c r="A260" s="523" t="s">
        <v>381</v>
      </c>
      <c r="B260" s="510" t="s">
        <v>99</v>
      </c>
      <c r="C260" s="531" t="s">
        <v>20</v>
      </c>
      <c r="D260" s="584"/>
      <c r="E260" s="510"/>
      <c r="F260" s="532">
        <v>0</v>
      </c>
      <c r="G260" s="585"/>
      <c r="H260" s="510"/>
      <c r="I260" s="532"/>
      <c r="J260" s="531"/>
      <c r="K260" s="510"/>
      <c r="L260" s="534">
        <v>0</v>
      </c>
      <c r="M260" s="531"/>
      <c r="N260" s="557">
        <v>0</v>
      </c>
      <c r="O260" s="531"/>
      <c r="P260" s="510"/>
      <c r="Q260" s="534">
        <v>0</v>
      </c>
      <c r="R260" s="531"/>
      <c r="S260" s="557">
        <v>0</v>
      </c>
      <c r="T260" s="510"/>
      <c r="U260" s="510"/>
      <c r="V260" s="510"/>
      <c r="W260" s="510"/>
      <c r="X260" s="510"/>
      <c r="Y260" s="510"/>
      <c r="Z260" s="510"/>
      <c r="AA260" s="510"/>
      <c r="AB260" s="510"/>
      <c r="AC260" s="510"/>
      <c r="AD260" s="510"/>
      <c r="AE260" s="510"/>
      <c r="AF260" s="510"/>
      <c r="AG260" s="510"/>
      <c r="AH260" s="510"/>
      <c r="AI260" s="510"/>
      <c r="AJ260" s="510"/>
      <c r="AK260" s="510"/>
      <c r="AL260" s="510"/>
      <c r="AM260" s="510"/>
      <c r="AN260" s="510"/>
    </row>
    <row r="261" spans="1:40" ht="15.75" customHeight="1">
      <c r="A261" s="523" t="s">
        <v>382</v>
      </c>
      <c r="B261" s="510" t="s">
        <v>99</v>
      </c>
      <c r="C261" s="602" t="s">
        <v>45</v>
      </c>
      <c r="D261" s="584"/>
      <c r="E261" s="510"/>
      <c r="F261" s="526">
        <v>596.62482465384608</v>
      </c>
      <c r="G261" s="585"/>
      <c r="H261" s="510"/>
      <c r="I261" s="526"/>
      <c r="J261" s="531"/>
      <c r="K261" s="510"/>
      <c r="L261" s="534">
        <v>556.45000000000005</v>
      </c>
      <c r="M261" s="531"/>
      <c r="N261" s="557">
        <v>-40.174824653846031</v>
      </c>
      <c r="O261" s="531"/>
      <c r="P261" s="510"/>
      <c r="Q261" s="534">
        <v>979.8</v>
      </c>
      <c r="R261" s="531"/>
      <c r="S261" s="557">
        <v>-423.34999999999991</v>
      </c>
      <c r="T261" s="510"/>
      <c r="U261" s="510"/>
      <c r="V261" s="510"/>
      <c r="W261" s="510"/>
      <c r="X261" s="510"/>
      <c r="Y261" s="510"/>
      <c r="Z261" s="510"/>
      <c r="AA261" s="510"/>
      <c r="AB261" s="510"/>
      <c r="AC261" s="510"/>
      <c r="AD261" s="510"/>
      <c r="AE261" s="510"/>
      <c r="AF261" s="510"/>
      <c r="AG261" s="510"/>
      <c r="AH261" s="510"/>
      <c r="AI261" s="510"/>
      <c r="AJ261" s="510"/>
      <c r="AK261" s="510"/>
      <c r="AL261" s="510"/>
      <c r="AM261" s="510"/>
      <c r="AN261" s="510"/>
    </row>
    <row r="262" spans="1:40" ht="15.75" customHeight="1">
      <c r="A262" s="523" t="s">
        <v>383</v>
      </c>
      <c r="B262" s="510" t="s">
        <v>99</v>
      </c>
      <c r="C262" s="600" t="s">
        <v>46</v>
      </c>
      <c r="D262" s="603"/>
      <c r="E262" s="604"/>
      <c r="F262" s="532">
        <v>725.41168107692306</v>
      </c>
      <c r="G262" s="605"/>
      <c r="H262" s="604"/>
      <c r="I262" s="532"/>
      <c r="J262" s="518"/>
      <c r="K262" s="604"/>
      <c r="L262" s="553">
        <v>1265.0999999999999</v>
      </c>
      <c r="M262" s="518"/>
      <c r="N262" s="606">
        <v>539.68831892307685</v>
      </c>
      <c r="O262" s="518"/>
      <c r="P262" s="604"/>
      <c r="Q262" s="553">
        <v>1476.89</v>
      </c>
      <c r="R262" s="518"/>
      <c r="S262" s="606">
        <v>-211.79000000000019</v>
      </c>
      <c r="T262" s="510"/>
      <c r="U262" s="510"/>
      <c r="V262" s="510"/>
      <c r="W262" s="510"/>
      <c r="X262" s="510"/>
      <c r="Y262" s="510"/>
      <c r="Z262" s="510"/>
      <c r="AA262" s="510"/>
      <c r="AB262" s="510"/>
      <c r="AC262" s="510"/>
      <c r="AD262" s="510"/>
      <c r="AE262" s="510"/>
      <c r="AF262" s="510"/>
      <c r="AG262" s="510"/>
      <c r="AH262" s="510"/>
      <c r="AI262" s="510"/>
      <c r="AJ262" s="510"/>
      <c r="AK262" s="510"/>
      <c r="AL262" s="510"/>
      <c r="AM262" s="510"/>
      <c r="AN262" s="510"/>
    </row>
    <row r="263" spans="1:40" ht="15.75" customHeight="1">
      <c r="A263" s="523" t="s">
        <v>384</v>
      </c>
      <c r="B263" s="510" t="s">
        <v>99</v>
      </c>
      <c r="C263" s="600" t="s">
        <v>47</v>
      </c>
      <c r="D263" s="584"/>
      <c r="E263" s="510"/>
      <c r="F263" s="532">
        <v>373.74471394615375</v>
      </c>
      <c r="G263" s="585"/>
      <c r="H263" s="510"/>
      <c r="I263" s="532"/>
      <c r="J263" s="531"/>
      <c r="K263" s="510"/>
      <c r="L263" s="534">
        <v>341.2</v>
      </c>
      <c r="M263" s="531"/>
      <c r="N263" s="557">
        <v>-32.544713946153763</v>
      </c>
      <c r="O263" s="531"/>
      <c r="P263" s="510"/>
      <c r="Q263" s="534">
        <v>430.85</v>
      </c>
      <c r="R263" s="531"/>
      <c r="S263" s="557">
        <v>-89.650000000000034</v>
      </c>
      <c r="T263" s="510"/>
      <c r="U263" s="510"/>
      <c r="V263" s="510"/>
      <c r="W263" s="510"/>
      <c r="X263" s="510"/>
      <c r="Y263" s="510"/>
      <c r="Z263" s="510"/>
      <c r="AA263" s="510"/>
      <c r="AB263" s="510"/>
      <c r="AC263" s="510"/>
      <c r="AD263" s="510"/>
      <c r="AE263" s="510"/>
      <c r="AF263" s="510"/>
      <c r="AG263" s="510"/>
      <c r="AH263" s="510"/>
      <c r="AI263" s="510"/>
      <c r="AJ263" s="510"/>
      <c r="AK263" s="510"/>
      <c r="AL263" s="510"/>
      <c r="AM263" s="510"/>
      <c r="AN263" s="510"/>
    </row>
    <row r="264" spans="1:40" ht="15.75" customHeight="1">
      <c r="A264" s="523" t="s">
        <v>385</v>
      </c>
      <c r="B264" s="510" t="s">
        <v>99</v>
      </c>
      <c r="C264" s="600" t="s">
        <v>48</v>
      </c>
      <c r="D264" s="584"/>
      <c r="E264" s="510"/>
      <c r="F264" s="532">
        <v>162.95479792307691</v>
      </c>
      <c r="G264" s="585"/>
      <c r="H264" s="510"/>
      <c r="I264" s="532"/>
      <c r="J264" s="531"/>
      <c r="K264" s="510"/>
      <c r="L264" s="534">
        <v>439.69</v>
      </c>
      <c r="M264" s="531"/>
      <c r="N264" s="557">
        <v>276.73520207692309</v>
      </c>
      <c r="O264" s="531"/>
      <c r="P264" s="510"/>
      <c r="Q264" s="534">
        <v>214.93</v>
      </c>
      <c r="R264" s="531"/>
      <c r="S264" s="557">
        <v>224.76</v>
      </c>
      <c r="T264" s="510"/>
      <c r="U264" s="510"/>
      <c r="V264" s="510"/>
      <c r="W264" s="510"/>
      <c r="X264" s="510"/>
      <c r="Y264" s="510"/>
      <c r="Z264" s="510"/>
      <c r="AA264" s="510"/>
      <c r="AB264" s="510"/>
      <c r="AC264" s="510"/>
      <c r="AD264" s="510"/>
      <c r="AE264" s="510"/>
      <c r="AF264" s="510"/>
      <c r="AG264" s="510"/>
      <c r="AH264" s="510"/>
      <c r="AI264" s="510"/>
      <c r="AJ264" s="510"/>
      <c r="AK264" s="510"/>
      <c r="AL264" s="510"/>
      <c r="AM264" s="510"/>
      <c r="AN264" s="510"/>
    </row>
    <row r="265" spans="1:40" ht="15.75" hidden="1" customHeight="1">
      <c r="A265" s="523" t="s">
        <v>381</v>
      </c>
      <c r="B265" s="510" t="s">
        <v>99</v>
      </c>
      <c r="C265" s="531" t="s">
        <v>20</v>
      </c>
      <c r="D265" s="587"/>
      <c r="E265" s="607"/>
      <c r="F265" s="532">
        <v>0</v>
      </c>
      <c r="G265" s="588"/>
      <c r="H265" s="607"/>
      <c r="I265" s="532"/>
      <c r="J265" s="524"/>
      <c r="K265" s="607"/>
      <c r="L265" s="534">
        <v>0</v>
      </c>
      <c r="M265" s="524"/>
      <c r="N265" s="582">
        <v>0</v>
      </c>
      <c r="O265" s="524"/>
      <c r="P265" s="607"/>
      <c r="Q265" s="534">
        <v>0</v>
      </c>
      <c r="R265" s="524"/>
      <c r="S265" s="582">
        <v>0</v>
      </c>
      <c r="T265" s="510"/>
      <c r="U265" s="510"/>
      <c r="V265" s="510"/>
      <c r="W265" s="510"/>
      <c r="X265" s="510"/>
      <c r="Y265" s="510"/>
      <c r="Z265" s="510"/>
      <c r="AA265" s="510"/>
      <c r="AB265" s="510"/>
      <c r="AC265" s="510"/>
      <c r="AD265" s="510"/>
      <c r="AE265" s="510"/>
      <c r="AF265" s="510"/>
      <c r="AG265" s="510"/>
      <c r="AH265" s="510"/>
      <c r="AI265" s="510"/>
      <c r="AJ265" s="510"/>
      <c r="AK265" s="510"/>
      <c r="AL265" s="510"/>
      <c r="AM265" s="510"/>
      <c r="AN265" s="510"/>
    </row>
    <row r="266" spans="1:40" ht="15.75" customHeight="1">
      <c r="A266" s="523" t="s">
        <v>386</v>
      </c>
      <c r="B266" s="510" t="s">
        <v>99</v>
      </c>
      <c r="C266" s="592" t="s">
        <v>49</v>
      </c>
      <c r="D266" s="593" t="s">
        <v>39</v>
      </c>
      <c r="E266" s="594">
        <v>0.73922468156931709</v>
      </c>
      <c r="F266" s="595">
        <v>6877.3424022153831</v>
      </c>
      <c r="G266" s="596"/>
      <c r="H266" s="594"/>
      <c r="I266" s="595"/>
      <c r="J266" s="596" t="s">
        <v>39</v>
      </c>
      <c r="K266" s="594">
        <v>2.3771622470028992</v>
      </c>
      <c r="L266" s="595">
        <v>7951.369999999999</v>
      </c>
      <c r="M266" s="650"/>
      <c r="N266" s="609">
        <v>1074.0275977846159</v>
      </c>
      <c r="O266" s="596" t="s">
        <v>39</v>
      </c>
      <c r="P266" s="594">
        <v>0</v>
      </c>
      <c r="Q266" s="595">
        <v>9222.43</v>
      </c>
      <c r="R266" s="650"/>
      <c r="S266" s="609">
        <v>-1271.0600000000013</v>
      </c>
      <c r="T266" s="510"/>
      <c r="U266" s="510"/>
      <c r="V266" s="510"/>
      <c r="W266" s="510"/>
      <c r="X266" s="510"/>
      <c r="Y266" s="510"/>
      <c r="Z266" s="510"/>
      <c r="AA266" s="510"/>
      <c r="AB266" s="510"/>
      <c r="AC266" s="510"/>
      <c r="AD266" s="510"/>
      <c r="AE266" s="510"/>
      <c r="AF266" s="510"/>
      <c r="AG266" s="510"/>
      <c r="AH266" s="510"/>
      <c r="AI266" s="510"/>
      <c r="AJ266" s="510"/>
      <c r="AK266" s="510"/>
      <c r="AL266" s="510"/>
      <c r="AM266" s="510"/>
      <c r="AN266" s="510"/>
    </row>
    <row r="267" spans="1:40" ht="15.75" customHeight="1">
      <c r="A267" s="523" t="s">
        <v>387</v>
      </c>
      <c r="B267" s="510" t="s">
        <v>99</v>
      </c>
      <c r="C267" s="706" t="s">
        <v>50</v>
      </c>
      <c r="D267" s="584"/>
      <c r="E267" s="510"/>
      <c r="F267" s="532">
        <v>0</v>
      </c>
      <c r="G267" s="585"/>
      <c r="H267" s="510"/>
      <c r="I267" s="532"/>
      <c r="J267" s="531"/>
      <c r="K267" s="510"/>
      <c r="L267" s="534">
        <v>42.89</v>
      </c>
      <c r="M267" s="531"/>
      <c r="N267" s="557">
        <v>42.89</v>
      </c>
      <c r="O267" s="531"/>
      <c r="P267" s="510"/>
      <c r="Q267" s="557">
        <v>3.35</v>
      </c>
      <c r="R267" s="531"/>
      <c r="S267" s="557">
        <v>39.54</v>
      </c>
      <c r="T267" s="510"/>
      <c r="U267" s="510"/>
      <c r="V267" s="510"/>
      <c r="W267" s="510"/>
      <c r="X267" s="510"/>
      <c r="Y267" s="510"/>
      <c r="Z267" s="510"/>
      <c r="AA267" s="510"/>
      <c r="AB267" s="510"/>
      <c r="AC267" s="510"/>
      <c r="AD267" s="510"/>
      <c r="AE267" s="510"/>
      <c r="AF267" s="510"/>
      <c r="AG267" s="510"/>
      <c r="AH267" s="510"/>
      <c r="AI267" s="510"/>
      <c r="AJ267" s="510"/>
      <c r="AK267" s="510"/>
      <c r="AL267" s="510"/>
      <c r="AM267" s="510"/>
      <c r="AN267" s="510"/>
    </row>
    <row r="268" spans="1:40" ht="15.75" customHeight="1">
      <c r="A268" s="523" t="s">
        <v>388</v>
      </c>
      <c r="B268" s="510" t="s">
        <v>99</v>
      </c>
      <c r="C268" s="600" t="s">
        <v>51</v>
      </c>
      <c r="D268" s="584"/>
      <c r="E268" s="510"/>
      <c r="F268" s="532">
        <v>593.90656258991453</v>
      </c>
      <c r="G268" s="585"/>
      <c r="H268" s="510"/>
      <c r="I268" s="532"/>
      <c r="J268" s="531"/>
      <c r="K268" s="510"/>
      <c r="L268" s="534">
        <v>2379.02</v>
      </c>
      <c r="M268" s="531"/>
      <c r="N268" s="557">
        <v>1785.1134374100855</v>
      </c>
      <c r="O268" s="531"/>
      <c r="P268" s="510"/>
      <c r="Q268" s="557">
        <v>-1127.1400000000001</v>
      </c>
      <c r="R268" s="531"/>
      <c r="S268" s="557">
        <v>3506.16</v>
      </c>
      <c r="T268" s="510"/>
      <c r="U268" s="523"/>
      <c r="V268" s="510"/>
      <c r="W268" s="510"/>
      <c r="X268" s="510"/>
      <c r="Y268" s="510"/>
      <c r="Z268" s="510"/>
      <c r="AA268" s="510"/>
      <c r="AB268" s="510"/>
      <c r="AC268" s="510"/>
      <c r="AD268" s="510"/>
      <c r="AE268" s="510"/>
      <c r="AF268" s="510"/>
      <c r="AG268" s="510"/>
      <c r="AH268" s="510"/>
      <c r="AI268" s="510"/>
      <c r="AJ268" s="510"/>
      <c r="AK268" s="510"/>
      <c r="AL268" s="510"/>
      <c r="AM268" s="510"/>
      <c r="AN268" s="510"/>
    </row>
    <row r="269" spans="1:40" ht="15.75" customHeight="1">
      <c r="A269" s="523" t="s">
        <v>389</v>
      </c>
      <c r="B269" s="510" t="s">
        <v>99</v>
      </c>
      <c r="C269" s="602" t="s">
        <v>52</v>
      </c>
      <c r="D269" s="587"/>
      <c r="E269" s="607"/>
      <c r="F269" s="526">
        <v>0</v>
      </c>
      <c r="G269" s="588"/>
      <c r="H269" s="607"/>
      <c r="I269" s="526"/>
      <c r="J269" s="524"/>
      <c r="K269" s="607"/>
      <c r="L269" s="534">
        <v>164.91</v>
      </c>
      <c r="M269" s="524"/>
      <c r="N269" s="582">
        <v>164.91</v>
      </c>
      <c r="O269" s="524"/>
      <c r="P269" s="607"/>
      <c r="Q269" s="582">
        <v>1473.42</v>
      </c>
      <c r="R269" s="524"/>
      <c r="S269" s="582">
        <v>-1308.51</v>
      </c>
      <c r="T269" s="510"/>
      <c r="U269" s="510" t="s">
        <v>1</v>
      </c>
      <c r="V269" s="510"/>
      <c r="W269" s="510"/>
      <c r="X269" s="510"/>
      <c r="Y269" s="510"/>
      <c r="Z269" s="510"/>
      <c r="AA269" s="510"/>
      <c r="AB269" s="510"/>
      <c r="AC269" s="510"/>
      <c r="AD269" s="510"/>
      <c r="AE269" s="510"/>
      <c r="AF269" s="510"/>
      <c r="AG269" s="510"/>
      <c r="AH269" s="510"/>
      <c r="AI269" s="510"/>
      <c r="AJ269" s="510"/>
      <c r="AK269" s="510"/>
      <c r="AL269" s="510"/>
      <c r="AM269" s="510"/>
      <c r="AN269" s="510"/>
    </row>
    <row r="270" spans="1:40" ht="15.75" customHeight="1">
      <c r="A270" s="523" t="s">
        <v>390</v>
      </c>
      <c r="B270" s="510" t="s">
        <v>99</v>
      </c>
      <c r="C270" s="600" t="s">
        <v>53</v>
      </c>
      <c r="D270" s="584"/>
      <c r="E270" s="510"/>
      <c r="F270" s="532">
        <v>1434.1339301111113</v>
      </c>
      <c r="G270" s="585"/>
      <c r="H270" s="510"/>
      <c r="I270" s="532"/>
      <c r="J270" s="531"/>
      <c r="K270" s="510"/>
      <c r="L270" s="553">
        <v>1365.12</v>
      </c>
      <c r="M270" s="531"/>
      <c r="N270" s="557">
        <v>-69.013930111111449</v>
      </c>
      <c r="O270" s="531"/>
      <c r="P270" s="510"/>
      <c r="Q270" s="557">
        <v>1350.96</v>
      </c>
      <c r="R270" s="531"/>
      <c r="S270" s="557">
        <v>14.159999999999854</v>
      </c>
      <c r="T270" s="510"/>
      <c r="U270" s="510"/>
      <c r="V270" s="510"/>
      <c r="W270" s="510"/>
      <c r="X270" s="510"/>
      <c r="Y270" s="510"/>
      <c r="Z270" s="510"/>
      <c r="AA270" s="510"/>
      <c r="AB270" s="510"/>
      <c r="AC270" s="510"/>
      <c r="AD270" s="510"/>
      <c r="AE270" s="510"/>
      <c r="AF270" s="510"/>
      <c r="AG270" s="510"/>
      <c r="AH270" s="510"/>
      <c r="AI270" s="510"/>
      <c r="AJ270" s="510"/>
      <c r="AK270" s="510"/>
      <c r="AL270" s="510"/>
      <c r="AM270" s="510"/>
      <c r="AN270" s="510"/>
    </row>
    <row r="271" spans="1:40" ht="15.75" customHeight="1">
      <c r="A271" s="523" t="s">
        <v>391</v>
      </c>
      <c r="B271" s="510" t="s">
        <v>99</v>
      </c>
      <c r="C271" s="600" t="s">
        <v>54</v>
      </c>
      <c r="D271" s="584"/>
      <c r="E271" s="510"/>
      <c r="F271" s="532">
        <v>178.43173052524097</v>
      </c>
      <c r="G271" s="585"/>
      <c r="H271" s="510"/>
      <c r="I271" s="532"/>
      <c r="J271" s="531"/>
      <c r="K271" s="510"/>
      <c r="L271" s="534">
        <v>244.65</v>
      </c>
      <c r="M271" s="531"/>
      <c r="N271" s="557">
        <v>66.21826947475904</v>
      </c>
      <c r="O271" s="531"/>
      <c r="P271" s="510"/>
      <c r="Q271" s="557">
        <v>235.1</v>
      </c>
      <c r="R271" s="531"/>
      <c r="S271" s="557">
        <v>9.5500000000000114</v>
      </c>
      <c r="T271" s="510"/>
      <c r="U271" s="510"/>
      <c r="V271" s="510"/>
      <c r="W271" s="510"/>
      <c r="X271" s="510"/>
      <c r="Y271" s="510"/>
      <c r="Z271" s="510"/>
      <c r="AA271" s="510"/>
      <c r="AB271" s="510"/>
      <c r="AC271" s="510"/>
      <c r="AD271" s="510"/>
      <c r="AE271" s="510"/>
      <c r="AF271" s="510"/>
      <c r="AG271" s="510"/>
      <c r="AH271" s="510"/>
      <c r="AI271" s="510"/>
      <c r="AJ271" s="510"/>
      <c r="AK271" s="510"/>
      <c r="AL271" s="510"/>
      <c r="AM271" s="510"/>
      <c r="AN271" s="510"/>
    </row>
    <row r="272" spans="1:40" ht="15.75" customHeight="1">
      <c r="A272" s="523" t="s">
        <v>392</v>
      </c>
      <c r="B272" s="510" t="s">
        <v>99</v>
      </c>
      <c r="C272" s="600" t="s">
        <v>55</v>
      </c>
      <c r="D272" s="587"/>
      <c r="E272" s="607"/>
      <c r="F272" s="526">
        <v>676.55120298287022</v>
      </c>
      <c r="G272" s="588"/>
      <c r="H272" s="607"/>
      <c r="I272" s="526"/>
      <c r="J272" s="524"/>
      <c r="K272" s="607"/>
      <c r="L272" s="534">
        <v>667.58</v>
      </c>
      <c r="M272" s="524"/>
      <c r="N272" s="582">
        <v>-8.9712029828701816</v>
      </c>
      <c r="O272" s="524"/>
      <c r="P272" s="607"/>
      <c r="Q272" s="582">
        <v>790.47</v>
      </c>
      <c r="R272" s="524"/>
      <c r="S272" s="582">
        <v>-122.88999999999999</v>
      </c>
      <c r="T272" s="510"/>
      <c r="U272" s="510"/>
      <c r="V272" s="510"/>
      <c r="W272" s="510"/>
      <c r="X272" s="510"/>
      <c r="Y272" s="510"/>
      <c r="Z272" s="510"/>
      <c r="AA272" s="510"/>
      <c r="AB272" s="510"/>
      <c r="AC272" s="510"/>
      <c r="AD272" s="510"/>
      <c r="AE272" s="510"/>
      <c r="AF272" s="510"/>
      <c r="AG272" s="510"/>
      <c r="AH272" s="510"/>
      <c r="AI272" s="510"/>
      <c r="AJ272" s="510"/>
      <c r="AK272" s="510"/>
      <c r="AL272" s="510"/>
      <c r="AM272" s="510"/>
      <c r="AN272" s="510"/>
    </row>
    <row r="273" spans="1:40" ht="15.75" customHeight="1">
      <c r="A273" s="523" t="s">
        <v>393</v>
      </c>
      <c r="B273" s="510" t="s">
        <v>99</v>
      </c>
      <c r="C273" s="706" t="s">
        <v>98</v>
      </c>
      <c r="D273" s="584"/>
      <c r="E273" s="510"/>
      <c r="F273" s="532"/>
      <c r="G273" s="585"/>
      <c r="H273" s="510"/>
      <c r="I273" s="532"/>
      <c r="J273" s="531"/>
      <c r="K273" s="510"/>
      <c r="L273" s="553">
        <v>0</v>
      </c>
      <c r="M273" s="531"/>
      <c r="N273" s="557">
        <v>0</v>
      </c>
      <c r="O273" s="531"/>
      <c r="P273" s="510"/>
      <c r="Q273" s="557">
        <v>0</v>
      </c>
      <c r="R273" s="531"/>
      <c r="S273" s="557">
        <v>0</v>
      </c>
      <c r="T273" s="510"/>
      <c r="U273" s="510"/>
      <c r="V273" s="510"/>
      <c r="W273" s="510"/>
      <c r="X273" s="510"/>
      <c r="Y273" s="510"/>
      <c r="Z273" s="510"/>
      <c r="AA273" s="510"/>
      <c r="AB273" s="510"/>
      <c r="AC273" s="510"/>
      <c r="AD273" s="510"/>
      <c r="AE273" s="510"/>
      <c r="AF273" s="510"/>
      <c r="AG273" s="510"/>
      <c r="AH273" s="510"/>
      <c r="AI273" s="510"/>
      <c r="AJ273" s="510"/>
      <c r="AK273" s="510"/>
      <c r="AL273" s="510"/>
      <c r="AM273" s="510"/>
      <c r="AN273" s="510"/>
    </row>
    <row r="274" spans="1:40" ht="15.75" customHeight="1">
      <c r="A274" s="523" t="s">
        <v>394</v>
      </c>
      <c r="B274" s="510" t="s">
        <v>99</v>
      </c>
      <c r="C274" s="600" t="s">
        <v>56</v>
      </c>
      <c r="D274" s="584"/>
      <c r="E274" s="510"/>
      <c r="F274" s="532">
        <v>125</v>
      </c>
      <c r="G274" s="585"/>
      <c r="H274" s="510"/>
      <c r="I274" s="532"/>
      <c r="J274" s="531"/>
      <c r="K274" s="510"/>
      <c r="L274" s="534">
        <v>12.79</v>
      </c>
      <c r="M274" s="531"/>
      <c r="N274" s="557">
        <v>-112.21000000000001</v>
      </c>
      <c r="O274" s="531"/>
      <c r="P274" s="510"/>
      <c r="Q274" s="557">
        <v>0</v>
      </c>
      <c r="R274" s="531"/>
      <c r="S274" s="557">
        <v>12.79</v>
      </c>
      <c r="T274" s="510"/>
      <c r="U274" s="510"/>
      <c r="V274" s="510"/>
      <c r="W274" s="510"/>
      <c r="X274" s="510"/>
      <c r="Y274" s="510"/>
      <c r="Z274" s="510"/>
      <c r="AA274" s="510"/>
      <c r="AB274" s="510"/>
      <c r="AC274" s="510"/>
      <c r="AD274" s="510"/>
      <c r="AE274" s="510"/>
      <c r="AF274" s="510"/>
      <c r="AG274" s="510"/>
      <c r="AH274" s="510"/>
      <c r="AI274" s="510"/>
      <c r="AJ274" s="510"/>
      <c r="AK274" s="510"/>
      <c r="AL274" s="510"/>
      <c r="AM274" s="510"/>
      <c r="AN274" s="510"/>
    </row>
    <row r="275" spans="1:40" ht="15.75" customHeight="1">
      <c r="A275" s="523" t="s">
        <v>395</v>
      </c>
      <c r="B275" s="510" t="s">
        <v>99</v>
      </c>
      <c r="C275" s="600" t="s">
        <v>57</v>
      </c>
      <c r="D275" s="584"/>
      <c r="E275" s="510"/>
      <c r="F275" s="532">
        <v>83.333333333333329</v>
      </c>
      <c r="G275" s="585"/>
      <c r="H275" s="510"/>
      <c r="I275" s="532"/>
      <c r="J275" s="531"/>
      <c r="K275" s="510"/>
      <c r="L275" s="534">
        <v>0</v>
      </c>
      <c r="M275" s="531"/>
      <c r="N275" s="557">
        <v>-83.333333333333329</v>
      </c>
      <c r="O275" s="531"/>
      <c r="P275" s="510"/>
      <c r="Q275" s="557">
        <v>0</v>
      </c>
      <c r="R275" s="531"/>
      <c r="S275" s="557">
        <v>0</v>
      </c>
      <c r="T275" s="510"/>
      <c r="U275" s="510"/>
      <c r="V275" s="510"/>
      <c r="W275" s="510"/>
      <c r="X275" s="510"/>
      <c r="Y275" s="510"/>
      <c r="Z275" s="510"/>
      <c r="AA275" s="510"/>
      <c r="AB275" s="510"/>
      <c r="AC275" s="510"/>
      <c r="AD275" s="510"/>
      <c r="AE275" s="510"/>
      <c r="AF275" s="510"/>
      <c r="AG275" s="510"/>
      <c r="AH275" s="510"/>
      <c r="AI275" s="510"/>
      <c r="AJ275" s="510"/>
      <c r="AK275" s="510"/>
      <c r="AL275" s="510"/>
      <c r="AM275" s="510"/>
      <c r="AN275" s="510"/>
    </row>
    <row r="276" spans="1:40" ht="15.75" customHeight="1">
      <c r="A276" s="523" t="s">
        <v>396</v>
      </c>
      <c r="B276" s="510" t="s">
        <v>99</v>
      </c>
      <c r="C276" s="600" t="s">
        <v>58</v>
      </c>
      <c r="D276" s="584"/>
      <c r="E276" s="510"/>
      <c r="F276" s="532">
        <v>157.558520743</v>
      </c>
      <c r="G276" s="585"/>
      <c r="H276" s="510"/>
      <c r="I276" s="532"/>
      <c r="J276" s="531"/>
      <c r="K276" s="510"/>
      <c r="L276" s="534">
        <v>90.15</v>
      </c>
      <c r="M276" s="531"/>
      <c r="N276" s="557">
        <v>-67.408520742999997</v>
      </c>
      <c r="O276" s="531"/>
      <c r="P276" s="510"/>
      <c r="Q276" s="557">
        <v>235.37</v>
      </c>
      <c r="R276" s="531"/>
      <c r="S276" s="557">
        <v>-145.22</v>
      </c>
      <c r="T276" s="510"/>
      <c r="U276" s="510"/>
      <c r="V276" s="510"/>
      <c r="W276" s="510"/>
      <c r="X276" s="510"/>
      <c r="Y276" s="510"/>
      <c r="Z276" s="510"/>
      <c r="AA276" s="510"/>
      <c r="AB276" s="510"/>
      <c r="AC276" s="510"/>
      <c r="AD276" s="510"/>
      <c r="AE276" s="510"/>
      <c r="AF276" s="510"/>
      <c r="AG276" s="510"/>
      <c r="AH276" s="510"/>
      <c r="AI276" s="510"/>
      <c r="AJ276" s="510"/>
      <c r="AK276" s="510"/>
      <c r="AL276" s="510"/>
      <c r="AM276" s="510"/>
      <c r="AN276" s="510"/>
    </row>
    <row r="277" spans="1:40" ht="15.75" customHeight="1">
      <c r="A277" s="523" t="s">
        <v>397</v>
      </c>
      <c r="B277" s="510" t="s">
        <v>99</v>
      </c>
      <c r="C277" s="600" t="s">
        <v>59</v>
      </c>
      <c r="D277" s="584"/>
      <c r="E277" s="510"/>
      <c r="F277" s="532">
        <v>36.780368605319445</v>
      </c>
      <c r="G277" s="585"/>
      <c r="H277" s="510"/>
      <c r="I277" s="532"/>
      <c r="J277" s="531"/>
      <c r="K277" s="510"/>
      <c r="L277" s="534">
        <v>25.75</v>
      </c>
      <c r="M277" s="531"/>
      <c r="N277" s="557">
        <v>-11.030368605319445</v>
      </c>
      <c r="O277" s="531"/>
      <c r="P277" s="510"/>
      <c r="Q277" s="557">
        <v>20.98</v>
      </c>
      <c r="R277" s="531"/>
      <c r="S277" s="557">
        <v>4.7699999999999996</v>
      </c>
      <c r="T277" s="510"/>
      <c r="U277" s="510"/>
      <c r="V277" s="510"/>
      <c r="W277" s="510"/>
      <c r="X277" s="510"/>
      <c r="Y277" s="510"/>
      <c r="Z277" s="510"/>
      <c r="AA277" s="510"/>
      <c r="AB277" s="510"/>
      <c r="AC277" s="510"/>
      <c r="AD277" s="510"/>
      <c r="AE277" s="510"/>
      <c r="AF277" s="510"/>
      <c r="AG277" s="510"/>
      <c r="AH277" s="510"/>
      <c r="AI277" s="510"/>
      <c r="AJ277" s="510"/>
      <c r="AK277" s="510"/>
      <c r="AL277" s="510"/>
      <c r="AM277" s="510"/>
      <c r="AN277" s="510"/>
    </row>
    <row r="278" spans="1:40" ht="15.75" customHeight="1">
      <c r="A278" s="523" t="s">
        <v>398</v>
      </c>
      <c r="B278" s="510" t="s">
        <v>99</v>
      </c>
      <c r="C278" s="600" t="s">
        <v>60</v>
      </c>
      <c r="D278" s="584"/>
      <c r="E278" s="510"/>
      <c r="F278" s="532">
        <v>24.745731854680557</v>
      </c>
      <c r="G278" s="585"/>
      <c r="H278" s="510"/>
      <c r="I278" s="532"/>
      <c r="J278" s="531"/>
      <c r="K278" s="510"/>
      <c r="L278" s="534">
        <v>7.21</v>
      </c>
      <c r="M278" s="531"/>
      <c r="N278" s="557">
        <v>-17.535731854680556</v>
      </c>
      <c r="O278" s="531"/>
      <c r="P278" s="510"/>
      <c r="Q278" s="557">
        <v>50.35</v>
      </c>
      <c r="R278" s="531"/>
      <c r="S278" s="557">
        <v>-43.14</v>
      </c>
      <c r="T278" s="510"/>
      <c r="U278" s="510"/>
      <c r="V278" s="510"/>
      <c r="W278" s="510"/>
      <c r="X278" s="510"/>
      <c r="Y278" s="510"/>
      <c r="Z278" s="510"/>
      <c r="AA278" s="510"/>
      <c r="AB278" s="510"/>
      <c r="AC278" s="510"/>
      <c r="AD278" s="510"/>
      <c r="AE278" s="510"/>
      <c r="AF278" s="510"/>
      <c r="AG278" s="510"/>
      <c r="AH278" s="510"/>
      <c r="AI278" s="510"/>
      <c r="AJ278" s="510"/>
      <c r="AK278" s="510"/>
      <c r="AL278" s="510"/>
      <c r="AM278" s="510"/>
      <c r="AN278" s="510"/>
    </row>
    <row r="279" spans="1:40" ht="15.75" customHeight="1">
      <c r="A279" s="523" t="s">
        <v>399</v>
      </c>
      <c r="B279" s="510" t="s">
        <v>99</v>
      </c>
      <c r="C279" s="600" t="s">
        <v>61</v>
      </c>
      <c r="D279" s="584"/>
      <c r="E279" s="510"/>
      <c r="F279" s="532">
        <v>234.99946325143051</v>
      </c>
      <c r="G279" s="585"/>
      <c r="H279" s="510"/>
      <c r="I279" s="532"/>
      <c r="J279" s="531"/>
      <c r="K279" s="510"/>
      <c r="L279" s="534">
        <v>20.93</v>
      </c>
      <c r="M279" s="531"/>
      <c r="N279" s="557">
        <v>-214.06946325143051</v>
      </c>
      <c r="O279" s="531"/>
      <c r="P279" s="510"/>
      <c r="Q279" s="557">
        <v>20.61</v>
      </c>
      <c r="R279" s="531"/>
      <c r="S279" s="557">
        <v>0.32000000000000028</v>
      </c>
      <c r="T279" s="510"/>
      <c r="U279" s="510"/>
      <c r="V279" s="510"/>
      <c r="W279" s="510"/>
      <c r="X279" s="510"/>
      <c r="Y279" s="510"/>
      <c r="Z279" s="510"/>
      <c r="AA279" s="510"/>
      <c r="AB279" s="510"/>
      <c r="AC279" s="510"/>
      <c r="AD279" s="510"/>
      <c r="AE279" s="510"/>
      <c r="AF279" s="510"/>
      <c r="AG279" s="510"/>
      <c r="AH279" s="510"/>
      <c r="AI279" s="510"/>
      <c r="AJ279" s="510"/>
      <c r="AK279" s="510"/>
      <c r="AL279" s="510"/>
      <c r="AM279" s="510"/>
      <c r="AN279" s="510"/>
    </row>
    <row r="280" spans="1:40" ht="15.75" customHeight="1">
      <c r="A280" s="523" t="s">
        <v>400</v>
      </c>
      <c r="B280" s="510" t="s">
        <v>99</v>
      </c>
      <c r="C280" s="600" t="s">
        <v>62</v>
      </c>
      <c r="D280" s="584"/>
      <c r="E280" s="510"/>
      <c r="F280" s="532">
        <v>434.32515231465453</v>
      </c>
      <c r="G280" s="585"/>
      <c r="H280" s="510"/>
      <c r="I280" s="532"/>
      <c r="J280" s="531"/>
      <c r="K280" s="510"/>
      <c r="L280" s="534">
        <v>22.33</v>
      </c>
      <c r="M280" s="531"/>
      <c r="N280" s="557">
        <v>-411.99515231465455</v>
      </c>
      <c r="O280" s="531"/>
      <c r="P280" s="510"/>
      <c r="Q280" s="557">
        <v>18.96</v>
      </c>
      <c r="R280" s="531"/>
      <c r="S280" s="557">
        <v>3.3699999999999974</v>
      </c>
      <c r="T280" s="510"/>
      <c r="X280" s="510"/>
      <c r="Y280" s="510"/>
      <c r="Z280" s="510"/>
      <c r="AA280" s="510"/>
      <c r="AB280" s="510"/>
      <c r="AC280" s="510"/>
      <c r="AD280" s="510"/>
      <c r="AE280" s="510"/>
      <c r="AF280" s="510"/>
      <c r="AG280" s="510"/>
      <c r="AH280" s="510"/>
      <c r="AI280" s="510"/>
      <c r="AJ280" s="510"/>
      <c r="AK280" s="510"/>
      <c r="AL280" s="510"/>
      <c r="AM280" s="510"/>
      <c r="AN280" s="510"/>
    </row>
    <row r="281" spans="1:40" ht="15.75" customHeight="1">
      <c r="A281" s="523" t="s">
        <v>401</v>
      </c>
      <c r="B281" s="510" t="s">
        <v>99</v>
      </c>
      <c r="C281" s="600" t="s">
        <v>63</v>
      </c>
      <c r="D281" s="584"/>
      <c r="E281" s="510"/>
      <c r="F281" s="532">
        <v>205.2815388471198</v>
      </c>
      <c r="G281" s="585"/>
      <c r="H281" s="510"/>
      <c r="I281" s="532"/>
      <c r="J281" s="531"/>
      <c r="K281" s="510"/>
      <c r="L281" s="534">
        <v>229.91</v>
      </c>
      <c r="M281" s="531"/>
      <c r="N281" s="557">
        <v>24.628461152880192</v>
      </c>
      <c r="O281" s="531"/>
      <c r="P281" s="510"/>
      <c r="Q281" s="557">
        <v>178.14</v>
      </c>
      <c r="R281" s="531"/>
      <c r="S281" s="557">
        <v>51.77000000000001</v>
      </c>
      <c r="T281" s="510"/>
      <c r="X281" s="510"/>
      <c r="Y281" s="510"/>
      <c r="Z281" s="510"/>
      <c r="AA281" s="510"/>
      <c r="AB281" s="510"/>
      <c r="AC281" s="510"/>
      <c r="AD281" s="510"/>
      <c r="AE281" s="510"/>
      <c r="AF281" s="510"/>
      <c r="AG281" s="510"/>
      <c r="AH281" s="510"/>
      <c r="AI281" s="510"/>
      <c r="AJ281" s="510"/>
      <c r="AK281" s="510"/>
      <c r="AL281" s="510"/>
      <c r="AM281" s="510"/>
      <c r="AN281" s="510"/>
    </row>
    <row r="282" spans="1:40" ht="15.75" hidden="1" customHeight="1">
      <c r="A282" s="523" t="s">
        <v>381</v>
      </c>
      <c r="B282" s="510" t="s">
        <v>99</v>
      </c>
      <c r="C282" s="600" t="s">
        <v>20</v>
      </c>
      <c r="D282" s="584"/>
      <c r="E282" s="510"/>
      <c r="F282" s="532">
        <v>0</v>
      </c>
      <c r="G282" s="585"/>
      <c r="H282" s="510"/>
      <c r="I282" s="532"/>
      <c r="J282" s="531"/>
      <c r="K282" s="510"/>
      <c r="L282" s="534">
        <v>0</v>
      </c>
      <c r="M282" s="531"/>
      <c r="N282" s="557">
        <v>0</v>
      </c>
      <c r="O282" s="531"/>
      <c r="P282" s="510"/>
      <c r="Q282" s="534">
        <v>0</v>
      </c>
      <c r="R282" s="531"/>
      <c r="S282" s="557">
        <v>0</v>
      </c>
      <c r="T282" s="510"/>
      <c r="X282" s="510"/>
      <c r="Y282" s="510"/>
      <c r="Z282" s="510"/>
      <c r="AA282" s="510"/>
      <c r="AB282" s="510"/>
      <c r="AC282" s="510"/>
      <c r="AD282" s="510"/>
      <c r="AE282" s="510"/>
      <c r="AF282" s="510"/>
      <c r="AG282" s="510"/>
      <c r="AH282" s="510"/>
      <c r="AI282" s="510"/>
      <c r="AJ282" s="510"/>
      <c r="AK282" s="510"/>
      <c r="AL282" s="510"/>
      <c r="AM282" s="510"/>
      <c r="AN282" s="510"/>
    </row>
    <row r="283" spans="1:40" ht="15.75" hidden="1" customHeight="1">
      <c r="A283" s="523" t="s">
        <v>381</v>
      </c>
      <c r="B283" s="510" t="s">
        <v>99</v>
      </c>
      <c r="C283" s="600" t="s">
        <v>20</v>
      </c>
      <c r="D283" s="584"/>
      <c r="E283" s="510"/>
      <c r="F283" s="532">
        <v>0</v>
      </c>
      <c r="G283" s="585"/>
      <c r="H283" s="510"/>
      <c r="I283" s="532"/>
      <c r="J283" s="531"/>
      <c r="K283" s="510"/>
      <c r="L283" s="534">
        <v>0</v>
      </c>
      <c r="M283" s="531"/>
      <c r="N283" s="557">
        <v>0</v>
      </c>
      <c r="O283" s="531"/>
      <c r="P283" s="510"/>
      <c r="Q283" s="534">
        <v>0</v>
      </c>
      <c r="R283" s="531"/>
      <c r="S283" s="557">
        <v>0</v>
      </c>
      <c r="T283" s="510"/>
      <c r="X283" s="510"/>
      <c r="Y283" s="510"/>
      <c r="Z283" s="510"/>
      <c r="AA283" s="510"/>
      <c r="AB283" s="510"/>
      <c r="AC283" s="510"/>
      <c r="AD283" s="510"/>
      <c r="AE283" s="510"/>
      <c r="AF283" s="510"/>
      <c r="AG283" s="510"/>
      <c r="AH283" s="510"/>
      <c r="AI283" s="510"/>
      <c r="AJ283" s="510"/>
      <c r="AK283" s="510"/>
      <c r="AL283" s="510"/>
      <c r="AM283" s="510"/>
      <c r="AN283" s="510"/>
    </row>
    <row r="284" spans="1:40" ht="15.75" hidden="1" customHeight="1">
      <c r="A284" s="523" t="s">
        <v>381</v>
      </c>
      <c r="B284" s="510" t="s">
        <v>99</v>
      </c>
      <c r="C284" s="600" t="s">
        <v>20</v>
      </c>
      <c r="D284" s="584"/>
      <c r="E284" s="510"/>
      <c r="F284" s="532">
        <v>0</v>
      </c>
      <c r="G284" s="585"/>
      <c r="H284" s="510"/>
      <c r="I284" s="532"/>
      <c r="J284" s="531"/>
      <c r="K284" s="510"/>
      <c r="L284" s="534">
        <v>0</v>
      </c>
      <c r="M284" s="531"/>
      <c r="N284" s="557">
        <v>0</v>
      </c>
      <c r="O284" s="531"/>
      <c r="P284" s="510"/>
      <c r="Q284" s="534">
        <v>0</v>
      </c>
      <c r="R284" s="531"/>
      <c r="S284" s="557">
        <v>0</v>
      </c>
      <c r="T284" s="510"/>
      <c r="X284" s="510"/>
      <c r="Y284" s="510"/>
      <c r="Z284" s="510"/>
      <c r="AA284" s="510"/>
      <c r="AB284" s="510"/>
      <c r="AC284" s="510"/>
      <c r="AD284" s="510"/>
      <c r="AE284" s="510"/>
      <c r="AF284" s="510"/>
      <c r="AG284" s="510"/>
      <c r="AH284" s="510"/>
      <c r="AI284" s="510"/>
      <c r="AJ284" s="510"/>
      <c r="AK284" s="510"/>
      <c r="AL284" s="510"/>
      <c r="AM284" s="510"/>
      <c r="AN284" s="510"/>
    </row>
    <row r="285" spans="1:40" ht="15.75" customHeight="1">
      <c r="B285" s="510"/>
      <c r="C285" s="592" t="s">
        <v>64</v>
      </c>
      <c r="D285" s="593" t="s">
        <v>39</v>
      </c>
      <c r="E285" s="594" t="e">
        <v>#DIV/0!</v>
      </c>
      <c r="F285" s="595">
        <v>4185.0475351586747</v>
      </c>
      <c r="G285" s="596"/>
      <c r="H285" s="594"/>
      <c r="I285" s="595"/>
      <c r="J285" s="596" t="s">
        <v>39</v>
      </c>
      <c r="K285" s="594">
        <v>1.5765015396573883</v>
      </c>
      <c r="L285" s="595">
        <v>5273.2399999999989</v>
      </c>
      <c r="M285" s="599"/>
      <c r="N285" s="595">
        <v>1088.1924648413249</v>
      </c>
      <c r="O285" s="596" t="s">
        <v>39</v>
      </c>
      <c r="P285" s="594">
        <v>0</v>
      </c>
      <c r="Q285" s="595">
        <v>3250.5699999999997</v>
      </c>
      <c r="R285" s="599"/>
      <c r="S285" s="595">
        <v>2022.6699999999992</v>
      </c>
      <c r="T285" s="571"/>
      <c r="X285" s="510"/>
      <c r="Y285" s="510"/>
      <c r="Z285" s="510"/>
      <c r="AA285" s="510"/>
      <c r="AB285" s="510"/>
      <c r="AC285" s="510"/>
      <c r="AD285" s="510"/>
      <c r="AE285" s="510"/>
      <c r="AF285" s="510"/>
      <c r="AG285" s="510"/>
      <c r="AH285" s="510"/>
      <c r="AI285" s="510"/>
      <c r="AJ285" s="510"/>
      <c r="AK285" s="510"/>
      <c r="AL285" s="510"/>
      <c r="AM285" s="510"/>
      <c r="AN285" s="510"/>
    </row>
    <row r="286" spans="1:40" ht="15.75" customHeight="1">
      <c r="B286" s="510"/>
      <c r="C286" s="524"/>
      <c r="D286" s="587"/>
      <c r="E286" s="607"/>
      <c r="F286" s="557"/>
      <c r="G286" s="588"/>
      <c r="H286" s="607"/>
      <c r="I286" s="557"/>
      <c r="J286" s="524"/>
      <c r="K286" s="607"/>
      <c r="L286" s="582"/>
      <c r="M286" s="524"/>
      <c r="N286" s="582"/>
      <c r="O286" s="524"/>
      <c r="P286" s="607"/>
      <c r="Q286" s="582"/>
      <c r="R286" s="524"/>
      <c r="S286" s="582"/>
      <c r="T286" s="571"/>
      <c r="U286" s="510"/>
      <c r="V286" s="510"/>
      <c r="W286" s="510"/>
      <c r="X286" s="510"/>
      <c r="Y286" s="510"/>
      <c r="Z286" s="510"/>
      <c r="AA286" s="510"/>
      <c r="AB286" s="510"/>
      <c r="AC286" s="510"/>
      <c r="AD286" s="510"/>
      <c r="AE286" s="510"/>
      <c r="AF286" s="510"/>
      <c r="AG286" s="510"/>
      <c r="AH286" s="510"/>
      <c r="AI286" s="510"/>
      <c r="AJ286" s="510"/>
      <c r="AK286" s="510"/>
      <c r="AL286" s="510"/>
      <c r="AM286" s="510"/>
      <c r="AN286" s="510"/>
    </row>
    <row r="287" spans="1:40" ht="15.75" customHeight="1">
      <c r="B287" s="510"/>
      <c r="C287" s="592" t="s">
        <v>65</v>
      </c>
      <c r="D287" s="593" t="s">
        <v>39</v>
      </c>
      <c r="E287" s="594" t="e">
        <v>#DIV/0!</v>
      </c>
      <c r="F287" s="595">
        <v>11062.389937374057</v>
      </c>
      <c r="G287" s="596"/>
      <c r="H287" s="594"/>
      <c r="I287" s="595"/>
      <c r="J287" s="596" t="s">
        <v>39</v>
      </c>
      <c r="K287" s="594">
        <v>3.9536637866602873</v>
      </c>
      <c r="L287" s="595">
        <v>13224.609999999997</v>
      </c>
      <c r="M287" s="599"/>
      <c r="N287" s="609">
        <v>2162.22006262594</v>
      </c>
      <c r="O287" s="596" t="s">
        <v>39</v>
      </c>
      <c r="P287" s="594">
        <v>0</v>
      </c>
      <c r="Q287" s="595">
        <v>12473</v>
      </c>
      <c r="R287" s="599"/>
      <c r="S287" s="609">
        <v>751.60999999999694</v>
      </c>
      <c r="T287" s="571"/>
      <c r="U287" s="510"/>
      <c r="V287" s="510"/>
      <c r="W287" s="510"/>
      <c r="X287" s="510"/>
      <c r="Y287" s="510"/>
      <c r="Z287" s="510"/>
      <c r="AA287" s="510"/>
      <c r="AB287" s="510"/>
      <c r="AC287" s="510"/>
      <c r="AD287" s="510"/>
      <c r="AE287" s="510"/>
      <c r="AF287" s="510"/>
      <c r="AG287" s="510"/>
      <c r="AH287" s="510"/>
      <c r="AI287" s="510"/>
      <c r="AJ287" s="510"/>
      <c r="AK287" s="510"/>
      <c r="AL287" s="510"/>
      <c r="AM287" s="510"/>
      <c r="AN287" s="510"/>
    </row>
    <row r="288" spans="1:40" ht="15.75" customHeight="1">
      <c r="B288" s="510"/>
      <c r="C288" s="531"/>
      <c r="D288" s="584"/>
      <c r="E288" s="510"/>
      <c r="F288" s="557"/>
      <c r="G288" s="585"/>
      <c r="H288" s="510"/>
      <c r="I288" s="557"/>
      <c r="J288" s="531"/>
      <c r="K288" s="510"/>
      <c r="L288" s="557"/>
      <c r="M288" s="531"/>
      <c r="N288" s="557">
        <v>0</v>
      </c>
      <c r="O288" s="531"/>
      <c r="P288" s="510"/>
      <c r="Q288" s="557"/>
      <c r="R288" s="531"/>
      <c r="S288" s="557"/>
      <c r="T288" s="510"/>
      <c r="U288" s="510"/>
      <c r="V288" s="510"/>
      <c r="W288" s="510"/>
      <c r="X288" s="510"/>
      <c r="Y288" s="510"/>
      <c r="Z288" s="510"/>
      <c r="AA288" s="510"/>
      <c r="AB288" s="510"/>
      <c r="AC288" s="510"/>
      <c r="AD288" s="510"/>
      <c r="AE288" s="510"/>
      <c r="AF288" s="510"/>
      <c r="AG288" s="510"/>
      <c r="AH288" s="510"/>
      <c r="AI288" s="510"/>
      <c r="AJ288" s="510"/>
      <c r="AK288" s="510"/>
      <c r="AL288" s="510"/>
      <c r="AM288" s="510"/>
      <c r="AN288" s="510"/>
    </row>
    <row r="289" spans="1:40" ht="29.25" customHeight="1" thickBot="1">
      <c r="B289" s="510"/>
      <c r="C289" s="625" t="s">
        <v>72</v>
      </c>
      <c r="D289" s="655"/>
      <c r="E289" s="626"/>
      <c r="F289" s="628">
        <v>-1758.9365034122548</v>
      </c>
      <c r="G289" s="656"/>
      <c r="H289" s="626"/>
      <c r="I289" s="628"/>
      <c r="J289" s="625"/>
      <c r="K289" s="627"/>
      <c r="L289" s="628">
        <v>-9879.7099999999955</v>
      </c>
      <c r="M289" s="625"/>
      <c r="N289" s="628">
        <v>-8120.7734965877407</v>
      </c>
      <c r="O289" s="625"/>
      <c r="P289" s="630">
        <v>-0.2600676356894957</v>
      </c>
      <c r="Q289" s="628">
        <v>-8257.02</v>
      </c>
      <c r="R289" s="625"/>
      <c r="S289" s="628">
        <v>-1622.6899999999951</v>
      </c>
      <c r="T289" s="571"/>
      <c r="U289" s="510"/>
      <c r="V289" s="510"/>
      <c r="W289" s="510"/>
      <c r="X289" s="510"/>
      <c r="Y289" s="510"/>
      <c r="Z289" s="510"/>
      <c r="AA289" s="510"/>
      <c r="AB289" s="510"/>
      <c r="AC289" s="510"/>
      <c r="AD289" s="510"/>
      <c r="AE289" s="510"/>
      <c r="AF289" s="510"/>
      <c r="AG289" s="510"/>
      <c r="AH289" s="510"/>
      <c r="AI289" s="510"/>
      <c r="AJ289" s="510"/>
      <c r="AK289" s="510"/>
      <c r="AL289" s="510"/>
      <c r="AM289" s="510"/>
      <c r="AN289" s="510"/>
    </row>
    <row r="290" spans="1:40" ht="15.75" customHeight="1" thickTop="1">
      <c r="B290" s="510"/>
      <c r="C290" s="510"/>
      <c r="D290" s="510"/>
      <c r="E290" s="510"/>
      <c r="F290" s="510"/>
      <c r="G290" s="510"/>
      <c r="H290" s="510"/>
      <c r="I290" s="510"/>
      <c r="J290" s="510"/>
      <c r="K290" s="510"/>
      <c r="L290" s="573"/>
      <c r="M290" s="510"/>
      <c r="N290" s="510"/>
      <c r="O290" s="510"/>
      <c r="P290" s="510"/>
      <c r="Q290" s="510"/>
      <c r="R290" s="510"/>
      <c r="S290" s="510"/>
      <c r="T290" s="510"/>
      <c r="U290" s="510"/>
      <c r="V290" s="510"/>
      <c r="W290" s="510"/>
      <c r="X290" s="510"/>
      <c r="Y290" s="510"/>
      <c r="Z290" s="510"/>
      <c r="AA290" s="510"/>
      <c r="AB290" s="510"/>
      <c r="AC290" s="510"/>
      <c r="AD290" s="510"/>
      <c r="AE290" s="510"/>
      <c r="AF290" s="510"/>
      <c r="AG290" s="510"/>
      <c r="AH290" s="510"/>
      <c r="AI290" s="510"/>
      <c r="AJ290" s="510"/>
      <c r="AK290" s="510"/>
      <c r="AL290" s="510"/>
      <c r="AM290" s="510"/>
      <c r="AN290" s="510"/>
    </row>
    <row r="291" spans="1:40" ht="36" customHeight="1">
      <c r="B291" s="510"/>
      <c r="C291" s="635" t="s">
        <v>478</v>
      </c>
      <c r="D291" s="498"/>
      <c r="E291" s="498"/>
      <c r="F291" s="498"/>
      <c r="G291" s="498"/>
      <c r="H291" s="496"/>
      <c r="I291" s="496"/>
      <c r="J291" s="496"/>
      <c r="K291" s="500" t="s">
        <v>103</v>
      </c>
      <c r="L291" s="498"/>
      <c r="M291" s="498"/>
      <c r="N291" s="496"/>
      <c r="O291" s="496"/>
      <c r="P291" s="498"/>
      <c r="Q291" s="496"/>
      <c r="R291" s="498"/>
      <c r="S291" s="636" t="s">
        <v>480</v>
      </c>
      <c r="T291" s="510"/>
      <c r="U291" s="510"/>
      <c r="V291" s="510"/>
      <c r="W291" s="510"/>
      <c r="X291" s="510"/>
      <c r="Y291" s="510"/>
      <c r="Z291" s="510"/>
      <c r="AA291" s="510"/>
      <c r="AB291" s="510"/>
      <c r="AC291" s="510"/>
      <c r="AD291" s="510"/>
      <c r="AE291" s="510"/>
      <c r="AF291" s="510"/>
      <c r="AG291" s="510"/>
      <c r="AH291" s="510"/>
      <c r="AI291" s="510"/>
      <c r="AJ291" s="510"/>
      <c r="AK291" s="510"/>
      <c r="AL291" s="510"/>
      <c r="AM291" s="510"/>
      <c r="AN291" s="510"/>
    </row>
    <row r="292" spans="1:40" ht="15.75" customHeight="1" thickBot="1">
      <c r="B292" s="510"/>
      <c r="C292" s="505"/>
      <c r="D292" s="507"/>
      <c r="E292" s="507"/>
      <c r="F292" s="507"/>
      <c r="G292" s="507"/>
      <c r="H292" s="507"/>
      <c r="I292" s="507"/>
      <c r="J292" s="507"/>
      <c r="K292" s="507"/>
      <c r="L292" s="507"/>
      <c r="M292" s="507"/>
      <c r="N292" s="507"/>
      <c r="O292" s="507"/>
      <c r="P292" s="507"/>
      <c r="Q292" s="507"/>
      <c r="R292" s="507"/>
      <c r="S292" s="507"/>
      <c r="T292" s="510"/>
      <c r="U292" s="510"/>
      <c r="V292" s="510"/>
      <c r="W292" s="510"/>
      <c r="X292" s="510"/>
      <c r="Y292" s="510"/>
      <c r="Z292" s="510"/>
      <c r="AA292" s="510"/>
      <c r="AB292" s="510"/>
      <c r="AC292" s="510"/>
      <c r="AD292" s="510"/>
      <c r="AE292" s="510"/>
      <c r="AF292" s="510"/>
      <c r="AG292" s="510"/>
      <c r="AH292" s="510"/>
      <c r="AI292" s="510"/>
      <c r="AJ292" s="510"/>
      <c r="AK292" s="510"/>
      <c r="AL292" s="510"/>
      <c r="AM292" s="510"/>
      <c r="AN292" s="510"/>
    </row>
    <row r="293" spans="1:40" ht="15.75" customHeight="1" thickTop="1">
      <c r="B293" s="510"/>
      <c r="C293" s="511"/>
      <c r="D293" s="512" t="s">
        <v>5</v>
      </c>
      <c r="E293" s="513"/>
      <c r="F293" s="514"/>
      <c r="G293" s="515"/>
      <c r="H293" s="513"/>
      <c r="I293" s="514"/>
      <c r="J293" s="515" t="s">
        <v>7</v>
      </c>
      <c r="K293" s="513"/>
      <c r="L293" s="514"/>
      <c r="M293" s="515" t="s">
        <v>220</v>
      </c>
      <c r="N293" s="514"/>
      <c r="O293" s="512" t="s">
        <v>8</v>
      </c>
      <c r="P293" s="513"/>
      <c r="Q293" s="514"/>
      <c r="R293" s="515" t="s">
        <v>221</v>
      </c>
      <c r="S293" s="514"/>
      <c r="T293" s="510"/>
      <c r="U293" s="510"/>
      <c r="V293" s="510"/>
      <c r="W293" s="510"/>
      <c r="X293" s="510"/>
      <c r="Y293" s="510"/>
      <c r="Z293" s="510"/>
      <c r="AA293" s="510"/>
      <c r="AB293" s="510"/>
      <c r="AC293" s="510"/>
      <c r="AD293" s="510"/>
      <c r="AE293" s="510"/>
      <c r="AF293" s="510"/>
      <c r="AG293" s="510"/>
      <c r="AH293" s="510"/>
      <c r="AI293" s="510"/>
      <c r="AJ293" s="510"/>
      <c r="AK293" s="510"/>
      <c r="AL293" s="510"/>
      <c r="AM293" s="510"/>
      <c r="AN293" s="510"/>
    </row>
    <row r="294" spans="1:40" ht="15.75" customHeight="1">
      <c r="A294" s="523" t="s">
        <v>103</v>
      </c>
      <c r="B294" s="510" t="s">
        <v>103</v>
      </c>
      <c r="C294" s="531"/>
      <c r="D294" s="575" t="s">
        <v>84</v>
      </c>
      <c r="E294" s="575" t="s">
        <v>104</v>
      </c>
      <c r="F294" s="658" t="s">
        <v>12</v>
      </c>
      <c r="G294" s="659"/>
      <c r="H294" s="575"/>
      <c r="I294" s="658"/>
      <c r="J294" s="659" t="s">
        <v>84</v>
      </c>
      <c r="K294" s="575" t="s">
        <v>104</v>
      </c>
      <c r="L294" s="658" t="s">
        <v>12</v>
      </c>
      <c r="M294" s="659" t="s">
        <v>40</v>
      </c>
      <c r="N294" s="658" t="s">
        <v>223</v>
      </c>
      <c r="O294" s="575" t="s">
        <v>84</v>
      </c>
      <c r="P294" s="575" t="s">
        <v>104</v>
      </c>
      <c r="Q294" s="658" t="s">
        <v>12</v>
      </c>
      <c r="R294" s="659" t="s">
        <v>85</v>
      </c>
      <c r="S294" s="658" t="s">
        <v>12</v>
      </c>
      <c r="T294" s="510"/>
      <c r="U294" s="510"/>
      <c r="V294" s="510"/>
      <c r="W294" s="510"/>
      <c r="X294" s="510"/>
      <c r="Y294" s="510"/>
      <c r="Z294" s="510"/>
      <c r="AA294" s="510"/>
      <c r="AB294" s="510"/>
      <c r="AC294" s="510"/>
      <c r="AD294" s="510"/>
      <c r="AE294" s="510"/>
      <c r="AF294" s="510"/>
      <c r="AG294" s="510"/>
      <c r="AH294" s="510"/>
      <c r="AI294" s="510"/>
      <c r="AJ294" s="510"/>
      <c r="AK294" s="510"/>
      <c r="AL294" s="510"/>
      <c r="AM294" s="510"/>
      <c r="AN294" s="510"/>
    </row>
    <row r="295" spans="1:40" ht="15.75" customHeight="1">
      <c r="A295" s="523" t="s">
        <v>402</v>
      </c>
      <c r="B295" s="510" t="s">
        <v>103</v>
      </c>
      <c r="C295" s="531" t="s">
        <v>105</v>
      </c>
      <c r="D295" s="573">
        <v>93715.386178276894</v>
      </c>
      <c r="E295" s="648">
        <v>0.34200000000000003</v>
      </c>
      <c r="F295" s="557">
        <v>32050.662072970699</v>
      </c>
      <c r="G295" s="573"/>
      <c r="H295" s="648"/>
      <c r="I295" s="557"/>
      <c r="J295" s="532">
        <v>72850.430000000008</v>
      </c>
      <c r="K295" s="648">
        <v>0.30179382606252292</v>
      </c>
      <c r="L295" s="557">
        <v>21985.810000000005</v>
      </c>
      <c r="M295" s="577">
        <v>-0.22264173503574974</v>
      </c>
      <c r="N295" s="557">
        <v>-10064.852072970694</v>
      </c>
      <c r="O295" s="532">
        <v>103411.11</v>
      </c>
      <c r="P295" s="648">
        <v>0.35698146939917769</v>
      </c>
      <c r="Q295" s="557">
        <v>36915.85</v>
      </c>
      <c r="R295" s="577">
        <v>-0.2955260803215437</v>
      </c>
      <c r="S295" s="557">
        <v>-14930.039999999994</v>
      </c>
      <c r="T295" s="510"/>
      <c r="U295" s="510"/>
      <c r="V295" s="510"/>
      <c r="W295" s="510"/>
      <c r="X295" s="510"/>
      <c r="Y295" s="510"/>
      <c r="Z295" s="510"/>
      <c r="AA295" s="510"/>
      <c r="AB295" s="510"/>
      <c r="AC295" s="510"/>
      <c r="AD295" s="510"/>
      <c r="AE295" s="510"/>
      <c r="AF295" s="510"/>
      <c r="AG295" s="510"/>
      <c r="AH295" s="510"/>
      <c r="AI295" s="510"/>
      <c r="AJ295" s="510"/>
      <c r="AK295" s="510"/>
      <c r="AL295" s="510"/>
      <c r="AM295" s="510"/>
      <c r="AN295" s="510"/>
    </row>
    <row r="296" spans="1:40" ht="15.75" customHeight="1">
      <c r="A296" s="523" t="s">
        <v>403</v>
      </c>
      <c r="B296" s="510" t="s">
        <v>103</v>
      </c>
      <c r="C296" s="531" t="s">
        <v>106</v>
      </c>
      <c r="D296" s="573">
        <v>49349.178408324966</v>
      </c>
      <c r="E296" s="648">
        <v>0.248</v>
      </c>
      <c r="F296" s="557">
        <v>12238.596245264591</v>
      </c>
      <c r="G296" s="573"/>
      <c r="H296" s="648"/>
      <c r="I296" s="557"/>
      <c r="J296" s="532">
        <v>7516.38</v>
      </c>
      <c r="K296" s="648">
        <v>0.2620862702524353</v>
      </c>
      <c r="L296" s="557">
        <v>1969.9399999999998</v>
      </c>
      <c r="M296" s="577">
        <v>-0.84768986551695014</v>
      </c>
      <c r="N296" s="557">
        <v>-10268.65624526459</v>
      </c>
      <c r="O296" s="532">
        <v>23807.919999999998</v>
      </c>
      <c r="P296" s="648">
        <v>0.26243115736275996</v>
      </c>
      <c r="Q296" s="557">
        <v>6247.94</v>
      </c>
      <c r="R296" s="577">
        <v>-0.68429077382652492</v>
      </c>
      <c r="S296" s="557">
        <v>-4278</v>
      </c>
      <c r="T296" s="510"/>
      <c r="U296" s="510"/>
      <c r="V296" s="510"/>
      <c r="W296" s="510"/>
      <c r="X296" s="510"/>
      <c r="Y296" s="510"/>
      <c r="Z296" s="510"/>
      <c r="AA296" s="510"/>
      <c r="AB296" s="510"/>
      <c r="AC296" s="510"/>
      <c r="AD296" s="510"/>
      <c r="AE296" s="510"/>
      <c r="AF296" s="510"/>
      <c r="AG296" s="510"/>
      <c r="AH296" s="510"/>
      <c r="AI296" s="510"/>
      <c r="AJ296" s="510"/>
      <c r="AK296" s="510"/>
      <c r="AL296" s="510"/>
      <c r="AM296" s="510"/>
      <c r="AN296" s="510"/>
    </row>
    <row r="297" spans="1:40" ht="15.75" customHeight="1">
      <c r="A297" s="523" t="s">
        <v>404</v>
      </c>
      <c r="B297" s="510" t="s">
        <v>103</v>
      </c>
      <c r="C297" s="531" t="s">
        <v>107</v>
      </c>
      <c r="D297" s="573">
        <v>34806.947684848987</v>
      </c>
      <c r="E297" s="648">
        <v>0.24300000000000002</v>
      </c>
      <c r="F297" s="557">
        <v>8458.0882874183044</v>
      </c>
      <c r="G297" s="573"/>
      <c r="H297" s="648"/>
      <c r="I297" s="557"/>
      <c r="J297" s="532">
        <v>50223.29</v>
      </c>
      <c r="K297" s="648">
        <v>0.2356876660210831</v>
      </c>
      <c r="L297" s="557">
        <v>11837.010000000002</v>
      </c>
      <c r="M297" s="577">
        <v>0.44290991714454608</v>
      </c>
      <c r="N297" s="557">
        <v>3378.9217125816976</v>
      </c>
      <c r="O297" s="532">
        <v>66360.08</v>
      </c>
      <c r="P297" s="648">
        <v>0.23864121321131621</v>
      </c>
      <c r="Q297" s="557">
        <v>15836.25</v>
      </c>
      <c r="R297" s="577">
        <v>-0.24317014084371208</v>
      </c>
      <c r="S297" s="557">
        <v>-3999.239999999998</v>
      </c>
      <c r="T297" s="510"/>
      <c r="U297" s="510"/>
      <c r="V297" s="510"/>
      <c r="W297" s="510"/>
      <c r="X297" s="510"/>
      <c r="Y297" s="510"/>
      <c r="Z297" s="510"/>
      <c r="AA297" s="510"/>
      <c r="AB297" s="510"/>
      <c r="AC297" s="510"/>
      <c r="AD297" s="510"/>
      <c r="AE297" s="510"/>
      <c r="AF297" s="510"/>
      <c r="AG297" s="510"/>
      <c r="AH297" s="510"/>
      <c r="AI297" s="510"/>
      <c r="AJ297" s="510"/>
      <c r="AK297" s="510"/>
      <c r="AL297" s="510"/>
      <c r="AM297" s="510"/>
      <c r="AN297" s="510"/>
    </row>
    <row r="298" spans="1:40" ht="15.75" customHeight="1">
      <c r="A298" s="523" t="s">
        <v>405</v>
      </c>
      <c r="B298" s="510" t="s">
        <v>103</v>
      </c>
      <c r="C298" s="531" t="s">
        <v>108</v>
      </c>
      <c r="D298" s="573">
        <v>35542.231583772656</v>
      </c>
      <c r="E298" s="648">
        <v>0.316</v>
      </c>
      <c r="F298" s="557">
        <v>11231.345180472159</v>
      </c>
      <c r="G298" s="573"/>
      <c r="H298" s="648"/>
      <c r="I298" s="557"/>
      <c r="J298" s="532">
        <v>52437.25</v>
      </c>
      <c r="K298" s="648">
        <v>0.274711965253708</v>
      </c>
      <c r="L298" s="557">
        <v>14405.14</v>
      </c>
      <c r="M298" s="577">
        <v>0.47535052424623275</v>
      </c>
      <c r="N298" s="557">
        <v>3173.7948195278404</v>
      </c>
      <c r="O298" s="532">
        <v>41992</v>
      </c>
      <c r="P298" s="648">
        <v>0.29809678033911224</v>
      </c>
      <c r="Q298" s="557">
        <v>12517.68</v>
      </c>
      <c r="R298" s="577">
        <v>0.24874380834444657</v>
      </c>
      <c r="S298" s="557">
        <v>1887.4599999999991</v>
      </c>
      <c r="T298" s="510"/>
      <c r="U298" s="510"/>
      <c r="V298" s="510"/>
      <c r="W298" s="510"/>
      <c r="X298" s="510"/>
      <c r="Y298" s="510"/>
      <c r="Z298" s="510"/>
      <c r="AA298" s="510"/>
      <c r="AB298" s="510"/>
      <c r="AC298" s="510"/>
      <c r="AD298" s="510"/>
      <c r="AE298" s="510"/>
      <c r="AF298" s="510"/>
      <c r="AG298" s="510"/>
      <c r="AH298" s="510"/>
      <c r="AI298" s="510"/>
      <c r="AJ298" s="510"/>
      <c r="AK298" s="510"/>
      <c r="AL298" s="510"/>
      <c r="AM298" s="510"/>
      <c r="AN298" s="510"/>
    </row>
    <row r="299" spans="1:40" ht="15.75" customHeight="1">
      <c r="A299" s="523" t="s">
        <v>406</v>
      </c>
      <c r="B299" s="510" t="s">
        <v>103</v>
      </c>
      <c r="C299" s="531" t="s">
        <v>109</v>
      </c>
      <c r="D299" s="573">
        <v>12781.800000000001</v>
      </c>
      <c r="E299" s="648">
        <v>0.26500000000000001</v>
      </c>
      <c r="F299" s="557">
        <v>3387.1770000000006</v>
      </c>
      <c r="G299" s="573"/>
      <c r="H299" s="648"/>
      <c r="I299" s="557"/>
      <c r="J299" s="532">
        <v>16991.91</v>
      </c>
      <c r="K299" s="648">
        <v>0.26246607944604222</v>
      </c>
      <c r="L299" s="557">
        <v>4459.7999999999993</v>
      </c>
      <c r="M299" s="577">
        <v>0.32938318546683554</v>
      </c>
      <c r="N299" s="557">
        <v>1072.6229999999987</v>
      </c>
      <c r="O299" s="532">
        <v>14066.7</v>
      </c>
      <c r="P299" s="648">
        <v>0.28857301286015907</v>
      </c>
      <c r="Q299" s="557">
        <v>4059.27</v>
      </c>
      <c r="R299" s="577">
        <v>0.20795282475633936</v>
      </c>
      <c r="S299" s="557">
        <v>400.52999999999929</v>
      </c>
      <c r="T299" s="510"/>
      <c r="U299" s="510"/>
      <c r="V299" s="510"/>
      <c r="W299" s="510"/>
      <c r="X299" s="510"/>
      <c r="Y299" s="510"/>
      <c r="Z299" s="510"/>
      <c r="AA299" s="510"/>
      <c r="AB299" s="510"/>
      <c r="AC299" s="510"/>
      <c r="AD299" s="510"/>
      <c r="AE299" s="510"/>
      <c r="AF299" s="510"/>
      <c r="AG299" s="510"/>
      <c r="AH299" s="510"/>
      <c r="AI299" s="510"/>
      <c r="AJ299" s="510"/>
      <c r="AK299" s="510"/>
      <c r="AL299" s="510"/>
      <c r="AM299" s="510"/>
      <c r="AN299" s="510"/>
    </row>
    <row r="300" spans="1:40" ht="15.75" customHeight="1">
      <c r="A300" s="523" t="s">
        <v>407</v>
      </c>
      <c r="B300" s="510" t="s">
        <v>103</v>
      </c>
      <c r="C300" s="531" t="s">
        <v>110</v>
      </c>
      <c r="D300" s="573">
        <v>144796.27810775323</v>
      </c>
      <c r="E300" s="648">
        <v>0.14499999999999999</v>
      </c>
      <c r="F300" s="557">
        <v>20995.460325624215</v>
      </c>
      <c r="G300" s="573"/>
      <c r="H300" s="648"/>
      <c r="I300" s="557"/>
      <c r="J300" s="532">
        <v>169183.24</v>
      </c>
      <c r="K300" s="648">
        <v>0.11761141351826578</v>
      </c>
      <c r="L300" s="557">
        <v>19897.88</v>
      </c>
      <c r="M300" s="577">
        <v>0.16842257419143528</v>
      </c>
      <c r="N300" s="557">
        <v>-1097.5803256242143</v>
      </c>
      <c r="O300" s="532">
        <v>109269.89</v>
      </c>
      <c r="P300" s="648">
        <v>0.13503930497230207</v>
      </c>
      <c r="Q300" s="557">
        <v>14755.7299999999</v>
      </c>
      <c r="R300" s="577">
        <v>0.54830612531960998</v>
      </c>
      <c r="S300" s="557">
        <v>5142.1500000001015</v>
      </c>
      <c r="T300" s="510"/>
      <c r="U300" s="510"/>
      <c r="V300" s="510"/>
      <c r="W300" s="510"/>
      <c r="X300" s="510"/>
      <c r="Y300" s="510"/>
      <c r="Z300" s="510"/>
      <c r="AA300" s="510"/>
      <c r="AB300" s="510"/>
      <c r="AC300" s="510"/>
      <c r="AD300" s="510"/>
      <c r="AE300" s="510"/>
      <c r="AF300" s="510"/>
      <c r="AG300" s="510"/>
      <c r="AH300" s="510"/>
      <c r="AI300" s="510"/>
      <c r="AJ300" s="510"/>
      <c r="AK300" s="510"/>
      <c r="AL300" s="510"/>
      <c r="AM300" s="510"/>
      <c r="AN300" s="510"/>
    </row>
    <row r="301" spans="1:40" ht="15.75" hidden="1" customHeight="1">
      <c r="A301" s="523" t="s">
        <v>408</v>
      </c>
      <c r="B301" s="510" t="s">
        <v>103</v>
      </c>
      <c r="C301" s="531" t="s">
        <v>20</v>
      </c>
      <c r="D301" s="573">
        <v>0</v>
      </c>
      <c r="E301" s="648">
        <v>0</v>
      </c>
      <c r="F301" s="557">
        <v>0</v>
      </c>
      <c r="G301" s="573"/>
      <c r="H301" s="648"/>
      <c r="I301" s="557"/>
      <c r="J301" s="532">
        <v>0</v>
      </c>
      <c r="K301" s="648">
        <v>0</v>
      </c>
      <c r="L301" s="557">
        <v>0</v>
      </c>
      <c r="M301" s="577" t="e">
        <v>#DIV/0!</v>
      </c>
      <c r="N301" s="557">
        <v>0</v>
      </c>
      <c r="O301" s="532">
        <v>0</v>
      </c>
      <c r="P301" s="648">
        <v>0</v>
      </c>
      <c r="Q301" s="557">
        <v>0</v>
      </c>
      <c r="R301" s="577">
        <v>0</v>
      </c>
      <c r="S301" s="557">
        <v>0</v>
      </c>
      <c r="T301" s="510"/>
      <c r="U301" s="510"/>
      <c r="V301" s="510"/>
      <c r="W301" s="510"/>
      <c r="X301" s="510"/>
      <c r="Y301" s="510"/>
      <c r="Z301" s="510"/>
      <c r="AA301" s="510"/>
      <c r="AB301" s="510"/>
      <c r="AC301" s="510"/>
      <c r="AD301" s="510"/>
      <c r="AE301" s="510"/>
      <c r="AF301" s="510"/>
      <c r="AG301" s="510"/>
      <c r="AH301" s="510"/>
      <c r="AI301" s="510"/>
      <c r="AJ301" s="510"/>
      <c r="AK301" s="510"/>
      <c r="AL301" s="510"/>
      <c r="AM301" s="510"/>
      <c r="AN301" s="510"/>
    </row>
    <row r="302" spans="1:40" ht="15.75" customHeight="1">
      <c r="A302" s="523" t="s">
        <v>409</v>
      </c>
      <c r="B302" s="510" t="s">
        <v>103</v>
      </c>
      <c r="C302" s="531" t="s">
        <v>111</v>
      </c>
      <c r="D302" s="573">
        <v>0</v>
      </c>
      <c r="E302" s="648">
        <v>0</v>
      </c>
      <c r="F302" s="557">
        <v>6788.2380397027628</v>
      </c>
      <c r="G302" s="573"/>
      <c r="H302" s="648"/>
      <c r="I302" s="557"/>
      <c r="J302" s="532">
        <v>0</v>
      </c>
      <c r="K302" s="648">
        <v>0</v>
      </c>
      <c r="L302" s="557">
        <v>11210.039999999999</v>
      </c>
      <c r="M302" s="577"/>
      <c r="N302" s="557">
        <v>4421.8019602972363</v>
      </c>
      <c r="O302" s="532">
        <v>0</v>
      </c>
      <c r="P302" s="648">
        <v>0</v>
      </c>
      <c r="Q302" s="557">
        <v>10502.949999999901</v>
      </c>
      <c r="R302" s="577">
        <v>0</v>
      </c>
      <c r="S302" s="557">
        <v>707.09000000009837</v>
      </c>
      <c r="T302" s="510"/>
      <c r="U302" s="510"/>
      <c r="V302" s="510"/>
      <c r="W302" s="510"/>
      <c r="X302" s="510"/>
      <c r="Y302" s="510"/>
      <c r="Z302" s="510"/>
      <c r="AA302" s="510"/>
      <c r="AB302" s="510"/>
      <c r="AC302" s="510"/>
      <c r="AD302" s="510"/>
      <c r="AE302" s="510"/>
      <c r="AF302" s="510"/>
      <c r="AG302" s="510"/>
      <c r="AH302" s="510"/>
      <c r="AI302" s="510"/>
      <c r="AJ302" s="510"/>
      <c r="AK302" s="510"/>
      <c r="AL302" s="510"/>
      <c r="AM302" s="510"/>
      <c r="AN302" s="510"/>
    </row>
    <row r="303" spans="1:40" ht="15.75" customHeight="1">
      <c r="A303" s="523" t="s">
        <v>410</v>
      </c>
      <c r="B303" s="510" t="s">
        <v>103</v>
      </c>
      <c r="C303" s="524" t="s">
        <v>112</v>
      </c>
      <c r="D303" s="573">
        <v>0</v>
      </c>
      <c r="E303" s="648">
        <v>0</v>
      </c>
      <c r="F303" s="557">
        <v>0</v>
      </c>
      <c r="G303" s="573"/>
      <c r="H303" s="648"/>
      <c r="I303" s="557"/>
      <c r="J303" s="532">
        <v>0</v>
      </c>
      <c r="K303" s="648">
        <v>0</v>
      </c>
      <c r="L303" s="557">
        <v>0</v>
      </c>
      <c r="M303" s="577"/>
      <c r="N303" s="557">
        <v>0</v>
      </c>
      <c r="O303" s="532">
        <v>0</v>
      </c>
      <c r="P303" s="648">
        <v>0</v>
      </c>
      <c r="Q303" s="557">
        <v>0</v>
      </c>
      <c r="R303" s="577">
        <v>0</v>
      </c>
      <c r="S303" s="557">
        <v>0</v>
      </c>
      <c r="T303" s="510"/>
      <c r="U303" s="510"/>
      <c r="V303" s="510"/>
      <c r="W303" s="510"/>
      <c r="X303" s="510"/>
      <c r="Y303" s="510"/>
      <c r="Z303" s="510"/>
      <c r="AA303" s="510"/>
      <c r="AB303" s="510"/>
      <c r="AC303" s="510"/>
      <c r="AD303" s="510"/>
      <c r="AE303" s="510"/>
      <c r="AF303" s="510"/>
      <c r="AG303" s="510"/>
      <c r="AH303" s="510"/>
      <c r="AI303" s="510"/>
      <c r="AJ303" s="510"/>
      <c r="AK303" s="510"/>
      <c r="AL303" s="510"/>
      <c r="AM303" s="510"/>
      <c r="AN303" s="510"/>
    </row>
    <row r="304" spans="1:40" ht="15.75" customHeight="1">
      <c r="A304" s="523" t="s">
        <v>411</v>
      </c>
      <c r="B304" s="510" t="s">
        <v>103</v>
      </c>
      <c r="C304" s="550" t="s">
        <v>113</v>
      </c>
      <c r="D304" s="688">
        <v>370991.82196297671</v>
      </c>
      <c r="E304" s="707">
        <v>0.25647348949095761</v>
      </c>
      <c r="F304" s="690">
        <v>95149.56715145272</v>
      </c>
      <c r="G304" s="688"/>
      <c r="H304" s="707"/>
      <c r="I304" s="690"/>
      <c r="J304" s="688">
        <v>369202.5</v>
      </c>
      <c r="K304" s="707">
        <v>0.23229967294370979</v>
      </c>
      <c r="L304" s="690">
        <v>85765.62000000001</v>
      </c>
      <c r="M304" s="708">
        <v>-4.8230765667801644E-3</v>
      </c>
      <c r="N304" s="690">
        <v>-9383.9471514527104</v>
      </c>
      <c r="O304" s="688">
        <v>358907.7</v>
      </c>
      <c r="P304" s="707">
        <v>0.28095153712221776</v>
      </c>
      <c r="Q304" s="690">
        <v>100835.66999999979</v>
      </c>
      <c r="R304" s="708">
        <v>2.8683697786366768E-2</v>
      </c>
      <c r="S304" s="690">
        <v>-15070.049999999785</v>
      </c>
      <c r="T304" s="510"/>
      <c r="U304" s="510"/>
      <c r="V304" s="510"/>
      <c r="W304" s="510"/>
      <c r="X304" s="510"/>
      <c r="Y304" s="510"/>
      <c r="Z304" s="510"/>
      <c r="AA304" s="510"/>
      <c r="AB304" s="510"/>
      <c r="AC304" s="510"/>
      <c r="AD304" s="510"/>
      <c r="AE304" s="510"/>
      <c r="AF304" s="510"/>
      <c r="AG304" s="510"/>
      <c r="AH304" s="510"/>
      <c r="AI304" s="510"/>
      <c r="AJ304" s="510"/>
      <c r="AK304" s="510"/>
      <c r="AL304" s="510"/>
      <c r="AM304" s="510"/>
      <c r="AN304" s="510"/>
    </row>
    <row r="305" spans="1:40" ht="15.75" customHeight="1">
      <c r="A305" s="523" t="s">
        <v>103</v>
      </c>
      <c r="B305" s="510" t="s">
        <v>103</v>
      </c>
      <c r="C305" s="531"/>
      <c r="D305" s="510"/>
      <c r="E305" s="510"/>
      <c r="F305" s="541"/>
      <c r="G305" s="531"/>
      <c r="H305" s="510"/>
      <c r="I305" s="541"/>
      <c r="J305" s="531"/>
      <c r="K305" s="510"/>
      <c r="L305" s="541"/>
      <c r="M305" s="531"/>
      <c r="N305" s="549">
        <v>-9.8623119709162418E-2</v>
      </c>
      <c r="O305" s="531"/>
      <c r="P305" s="510"/>
      <c r="Q305" s="541"/>
      <c r="R305" s="531"/>
      <c r="S305" s="549">
        <v>-0.1494515779981411</v>
      </c>
      <c r="T305" s="510"/>
      <c r="U305" s="510"/>
      <c r="V305" s="510"/>
      <c r="W305" s="510"/>
      <c r="X305" s="510"/>
      <c r="Y305" s="510"/>
      <c r="Z305" s="510"/>
      <c r="AA305" s="510"/>
      <c r="AB305" s="510"/>
      <c r="AC305" s="510"/>
      <c r="AD305" s="510"/>
      <c r="AE305" s="510"/>
      <c r="AF305" s="510"/>
      <c r="AG305" s="510"/>
      <c r="AH305" s="510"/>
      <c r="AI305" s="510"/>
      <c r="AJ305" s="510"/>
      <c r="AK305" s="510"/>
      <c r="AL305" s="510"/>
      <c r="AM305" s="510"/>
      <c r="AN305" s="510"/>
    </row>
    <row r="306" spans="1:40" ht="15.75" customHeight="1">
      <c r="A306" s="523" t="s">
        <v>103</v>
      </c>
      <c r="B306" s="510" t="s">
        <v>103</v>
      </c>
      <c r="C306" s="524"/>
      <c r="D306" s="607"/>
      <c r="E306" s="607"/>
      <c r="F306" s="709"/>
      <c r="G306" s="524"/>
      <c r="H306" s="607"/>
      <c r="I306" s="709"/>
      <c r="J306" s="524"/>
      <c r="K306" s="607"/>
      <c r="L306" s="709"/>
      <c r="M306" s="524"/>
      <c r="N306" s="668"/>
      <c r="O306" s="524"/>
      <c r="P306" s="607"/>
      <c r="Q306" s="709"/>
      <c r="R306" s="524"/>
      <c r="S306" s="668"/>
      <c r="T306" s="510"/>
      <c r="U306" s="510"/>
      <c r="V306" s="510"/>
      <c r="W306" s="510"/>
      <c r="X306" s="510"/>
      <c r="Y306" s="510"/>
      <c r="Z306" s="510"/>
      <c r="AA306" s="510"/>
      <c r="AB306" s="510"/>
      <c r="AC306" s="510"/>
      <c r="AD306" s="510"/>
      <c r="AE306" s="510"/>
      <c r="AF306" s="510"/>
      <c r="AG306" s="510"/>
      <c r="AH306" s="510"/>
      <c r="AI306" s="510"/>
      <c r="AJ306" s="510"/>
      <c r="AK306" s="510"/>
      <c r="AL306" s="510"/>
      <c r="AM306" s="510"/>
      <c r="AN306" s="510"/>
    </row>
    <row r="307" spans="1:40" ht="15.75" customHeight="1">
      <c r="A307" s="523" t="s">
        <v>412</v>
      </c>
      <c r="B307" s="510" t="s">
        <v>103</v>
      </c>
      <c r="C307" s="531" t="s">
        <v>114</v>
      </c>
      <c r="D307" s="573">
        <v>28256.45</v>
      </c>
      <c r="E307" s="648">
        <v>0.18</v>
      </c>
      <c r="F307" s="606">
        <v>5086.1610000000001</v>
      </c>
      <c r="G307" s="573"/>
      <c r="H307" s="648"/>
      <c r="I307" s="606"/>
      <c r="J307" s="532">
        <v>57268.47</v>
      </c>
      <c r="K307" s="648">
        <v>0.1903179882403005</v>
      </c>
      <c r="L307" s="606">
        <v>10899.220000000001</v>
      </c>
      <c r="M307" s="577">
        <v>1.0267397355294101</v>
      </c>
      <c r="N307" s="557">
        <v>5813.0590000000011</v>
      </c>
      <c r="O307" s="532">
        <v>58490.41</v>
      </c>
      <c r="P307" s="648">
        <v>0.17809586221057433</v>
      </c>
      <c r="Q307" s="606">
        <v>10416.9</v>
      </c>
      <c r="R307" s="577">
        <v>-2.0891287990629615E-2</v>
      </c>
      <c r="S307" s="557">
        <v>482.32000000000153</v>
      </c>
      <c r="T307" s="510"/>
      <c r="U307" s="510"/>
      <c r="V307" s="510"/>
      <c r="W307" s="510"/>
      <c r="X307" s="510"/>
      <c r="Y307" s="510"/>
      <c r="Z307" s="510"/>
      <c r="AA307" s="510"/>
      <c r="AB307" s="510"/>
      <c r="AC307" s="510"/>
      <c r="AD307" s="510"/>
      <c r="AE307" s="510"/>
      <c r="AF307" s="510"/>
      <c r="AG307" s="510"/>
      <c r="AH307" s="510"/>
      <c r="AI307" s="510"/>
      <c r="AJ307" s="510"/>
      <c r="AK307" s="510"/>
      <c r="AL307" s="510"/>
      <c r="AM307" s="510"/>
      <c r="AN307" s="510"/>
    </row>
    <row r="308" spans="1:40" ht="15.75" customHeight="1">
      <c r="A308" s="523" t="s">
        <v>413</v>
      </c>
      <c r="B308" s="510" t="s">
        <v>103</v>
      </c>
      <c r="C308" s="524" t="s">
        <v>115</v>
      </c>
      <c r="D308" s="573">
        <v>18136.675749674781</v>
      </c>
      <c r="E308" s="648">
        <v>0.26</v>
      </c>
      <c r="F308" s="582">
        <v>4715.5356949154429</v>
      </c>
      <c r="G308" s="573"/>
      <c r="H308" s="648"/>
      <c r="I308" s="582"/>
      <c r="J308" s="532">
        <v>18305.580000000002</v>
      </c>
      <c r="K308" s="648">
        <v>0.26086963647150224</v>
      </c>
      <c r="L308" s="582">
        <v>4775.3700000000026</v>
      </c>
      <c r="M308" s="577">
        <v>9.3128560413420335E-3</v>
      </c>
      <c r="N308" s="557">
        <v>59.834305084559674</v>
      </c>
      <c r="O308" s="532">
        <v>20079.73</v>
      </c>
      <c r="P308" s="648">
        <v>0.2369070699655817</v>
      </c>
      <c r="Q308" s="582">
        <v>4757.0299999999897</v>
      </c>
      <c r="R308" s="577">
        <v>-8.8355271709330649E-2</v>
      </c>
      <c r="S308" s="557">
        <v>18.340000000012878</v>
      </c>
      <c r="T308" s="510"/>
      <c r="U308" s="510"/>
      <c r="V308" s="510"/>
      <c r="W308" s="510"/>
      <c r="X308" s="510"/>
      <c r="Y308" s="510"/>
      <c r="Z308" s="510"/>
      <c r="AA308" s="510"/>
      <c r="AB308" s="510"/>
      <c r="AC308" s="510"/>
      <c r="AD308" s="510"/>
      <c r="AE308" s="510"/>
      <c r="AF308" s="510"/>
      <c r="AG308" s="510"/>
      <c r="AH308" s="510"/>
      <c r="AI308" s="510"/>
      <c r="AJ308" s="510"/>
      <c r="AK308" s="510"/>
      <c r="AL308" s="510"/>
      <c r="AM308" s="510"/>
      <c r="AN308" s="510"/>
    </row>
    <row r="309" spans="1:40" ht="15.75" customHeight="1">
      <c r="A309" s="523" t="s">
        <v>414</v>
      </c>
      <c r="B309" s="510" t="s">
        <v>103</v>
      </c>
      <c r="C309" s="550" t="s">
        <v>116</v>
      </c>
      <c r="D309" s="688">
        <v>417384.94771265151</v>
      </c>
      <c r="E309" s="707">
        <v>0.2514495657342723</v>
      </c>
      <c r="F309" s="690">
        <v>104951.26384636817</v>
      </c>
      <c r="G309" s="691"/>
      <c r="H309" s="707"/>
      <c r="I309" s="690"/>
      <c r="J309" s="691">
        <v>444776.55</v>
      </c>
      <c r="K309" s="707">
        <v>0.22807005000600869</v>
      </c>
      <c r="L309" s="690">
        <v>101440.21000000002</v>
      </c>
      <c r="M309" s="708">
        <v>6.5626713271428785E-2</v>
      </c>
      <c r="N309" s="690">
        <v>-3511.0538463681441</v>
      </c>
      <c r="O309" s="691">
        <v>437477.83999999997</v>
      </c>
      <c r="P309" s="707">
        <v>0.26517823165625892</v>
      </c>
      <c r="Q309" s="690">
        <v>116009.59999999977</v>
      </c>
      <c r="R309" s="708">
        <v>1.668361076300464E-2</v>
      </c>
      <c r="S309" s="690">
        <v>-14569.389999999752</v>
      </c>
      <c r="T309" s="510"/>
      <c r="U309" s="573"/>
      <c r="V309" s="510"/>
      <c r="W309" s="510"/>
      <c r="X309" s="510"/>
      <c r="Y309" s="510"/>
      <c r="Z309" s="510"/>
      <c r="AA309" s="510"/>
      <c r="AB309" s="510"/>
      <c r="AC309" s="510"/>
      <c r="AD309" s="510"/>
      <c r="AE309" s="510"/>
      <c r="AF309" s="510"/>
      <c r="AG309" s="510"/>
      <c r="AH309" s="510"/>
      <c r="AI309" s="510"/>
      <c r="AJ309" s="510"/>
      <c r="AK309" s="510"/>
      <c r="AL309" s="510"/>
      <c r="AM309" s="510"/>
      <c r="AN309" s="510"/>
    </row>
    <row r="310" spans="1:40" ht="15.75" customHeight="1">
      <c r="A310" s="523" t="s">
        <v>103</v>
      </c>
      <c r="B310" s="510" t="s">
        <v>103</v>
      </c>
      <c r="C310" s="531"/>
      <c r="D310" s="510"/>
      <c r="E310" s="510"/>
      <c r="F310" s="541"/>
      <c r="G310" s="531"/>
      <c r="H310" s="510"/>
      <c r="I310" s="541"/>
      <c r="J310" s="531"/>
      <c r="K310" s="510"/>
      <c r="L310" s="541"/>
      <c r="M310" s="531"/>
      <c r="N310" s="549">
        <v>-3.3454135926440719E-2</v>
      </c>
      <c r="O310" s="531"/>
      <c r="P310" s="510"/>
      <c r="Q310" s="541"/>
      <c r="R310" s="531"/>
      <c r="S310" s="549">
        <v>-0.12558779618238303</v>
      </c>
      <c r="T310" s="510"/>
      <c r="U310" s="510"/>
      <c r="V310" s="510"/>
      <c r="W310" s="510"/>
      <c r="X310" s="510"/>
      <c r="Y310" s="510"/>
      <c r="Z310" s="510"/>
      <c r="AA310" s="510"/>
      <c r="AB310" s="510"/>
      <c r="AC310" s="510"/>
      <c r="AD310" s="510"/>
      <c r="AE310" s="510"/>
      <c r="AF310" s="510"/>
      <c r="AG310" s="510"/>
      <c r="AH310" s="510"/>
      <c r="AI310" s="510"/>
      <c r="AJ310" s="510"/>
      <c r="AK310" s="510"/>
      <c r="AL310" s="510"/>
      <c r="AM310" s="510"/>
      <c r="AN310" s="510"/>
    </row>
    <row r="311" spans="1:40" ht="15.75" customHeight="1">
      <c r="A311" s="523" t="s">
        <v>103</v>
      </c>
      <c r="B311" s="510" t="s">
        <v>103</v>
      </c>
      <c r="C311" s="531"/>
      <c r="D311" s="510"/>
      <c r="E311" s="510"/>
      <c r="F311" s="541"/>
      <c r="G311" s="531"/>
      <c r="H311" s="510"/>
      <c r="I311" s="541"/>
      <c r="J311" s="531"/>
      <c r="K311" s="510"/>
      <c r="L311" s="541"/>
      <c r="M311" s="531"/>
      <c r="N311" s="549"/>
      <c r="O311" s="531"/>
      <c r="P311" s="510"/>
      <c r="Q311" s="541"/>
      <c r="R311" s="531"/>
      <c r="S311" s="549"/>
      <c r="T311" s="510"/>
      <c r="U311" s="510"/>
      <c r="V311" s="510"/>
      <c r="W311" s="510"/>
      <c r="X311" s="510"/>
      <c r="Y311" s="510"/>
      <c r="Z311" s="510"/>
      <c r="AA311" s="510"/>
      <c r="AB311" s="510"/>
      <c r="AC311" s="510"/>
      <c r="AD311" s="510"/>
      <c r="AE311" s="510"/>
      <c r="AF311" s="510"/>
      <c r="AG311" s="510"/>
      <c r="AH311" s="510"/>
      <c r="AI311" s="510"/>
      <c r="AJ311" s="510"/>
      <c r="AK311" s="510"/>
      <c r="AL311" s="510"/>
      <c r="AM311" s="510"/>
      <c r="AN311" s="510"/>
    </row>
    <row r="312" spans="1:40" ht="15.75" customHeight="1">
      <c r="A312" s="523" t="s">
        <v>415</v>
      </c>
      <c r="B312" s="510" t="s">
        <v>103</v>
      </c>
      <c r="C312" s="524" t="s">
        <v>117</v>
      </c>
      <c r="D312" s="580">
        <v>0</v>
      </c>
      <c r="E312" s="710">
        <v>0</v>
      </c>
      <c r="F312" s="582">
        <v>0</v>
      </c>
      <c r="G312" s="663"/>
      <c r="H312" s="710"/>
      <c r="I312" s="582"/>
      <c r="J312" s="545">
        <v>0</v>
      </c>
      <c r="K312" s="710">
        <v>0</v>
      </c>
      <c r="L312" s="526">
        <v>0</v>
      </c>
      <c r="M312" s="710">
        <v>0</v>
      </c>
      <c r="N312" s="582">
        <v>0</v>
      </c>
      <c r="O312" s="545">
        <v>0</v>
      </c>
      <c r="P312" s="710">
        <v>0</v>
      </c>
      <c r="Q312" s="526">
        <v>0</v>
      </c>
      <c r="R312" s="710">
        <v>0</v>
      </c>
      <c r="S312" s="582">
        <v>0</v>
      </c>
      <c r="T312" s="510"/>
      <c r="U312" s="573"/>
      <c r="V312" s="510"/>
      <c r="W312" s="510"/>
      <c r="X312" s="510"/>
      <c r="Y312" s="510"/>
      <c r="Z312" s="510"/>
      <c r="AA312" s="510"/>
      <c r="AB312" s="510"/>
      <c r="AC312" s="510"/>
      <c r="AD312" s="510"/>
      <c r="AE312" s="510"/>
      <c r="AF312" s="510"/>
      <c r="AG312" s="510"/>
      <c r="AH312" s="510"/>
      <c r="AI312" s="510"/>
      <c r="AJ312" s="510"/>
      <c r="AK312" s="510"/>
      <c r="AL312" s="510"/>
      <c r="AM312" s="510"/>
      <c r="AN312" s="510"/>
    </row>
    <row r="313" spans="1:40" ht="15.75" customHeight="1" thickBot="1">
      <c r="A313" s="523" t="s">
        <v>103</v>
      </c>
      <c r="B313" s="510" t="s">
        <v>103</v>
      </c>
      <c r="C313" s="531"/>
      <c r="D313" s="573"/>
      <c r="E313" s="648"/>
      <c r="F313" s="557"/>
      <c r="G313" s="558"/>
      <c r="H313" s="648"/>
      <c r="I313" s="557"/>
      <c r="J313" s="558"/>
      <c r="K313" s="648"/>
      <c r="L313" s="557"/>
      <c r="M313" s="577"/>
      <c r="N313" s="557"/>
      <c r="O313" s="558"/>
      <c r="P313" s="648"/>
      <c r="Q313" s="557"/>
      <c r="R313" s="577"/>
      <c r="S313" s="557"/>
      <c r="T313" s="510"/>
      <c r="U313" s="510"/>
      <c r="V313" s="510"/>
      <c r="W313" s="510"/>
      <c r="X313" s="510"/>
      <c r="Y313" s="510"/>
      <c r="Z313" s="510"/>
      <c r="AA313" s="510"/>
      <c r="AB313" s="510"/>
      <c r="AC313" s="510"/>
      <c r="AD313" s="510"/>
      <c r="AE313" s="510"/>
      <c r="AF313" s="510"/>
      <c r="AG313" s="510"/>
      <c r="AH313" s="510"/>
      <c r="AI313" s="510"/>
      <c r="AJ313" s="510"/>
      <c r="AK313" s="510"/>
      <c r="AL313" s="510"/>
      <c r="AM313" s="510"/>
      <c r="AN313" s="510"/>
    </row>
    <row r="314" spans="1:40" ht="15.75" customHeight="1" thickTop="1">
      <c r="A314" s="523" t="s">
        <v>416</v>
      </c>
      <c r="B314" s="510" t="s">
        <v>103</v>
      </c>
      <c r="C314" s="559" t="s">
        <v>118</v>
      </c>
      <c r="D314" s="560">
        <v>417384.94771265151</v>
      </c>
      <c r="E314" s="711">
        <v>0.2514495657342723</v>
      </c>
      <c r="F314" s="562">
        <v>104951.26384636817</v>
      </c>
      <c r="G314" s="563"/>
      <c r="H314" s="711"/>
      <c r="I314" s="562"/>
      <c r="J314" s="563">
        <v>444776.55</v>
      </c>
      <c r="K314" s="711">
        <v>0.22807005000600869</v>
      </c>
      <c r="L314" s="562">
        <v>101440.21000000002</v>
      </c>
      <c r="M314" s="712">
        <v>6.5626713271428785E-2</v>
      </c>
      <c r="N314" s="713">
        <v>-3511.0538463681441</v>
      </c>
      <c r="O314" s="563">
        <v>437477.83999999997</v>
      </c>
      <c r="P314" s="711">
        <v>0.26517823165625892</v>
      </c>
      <c r="Q314" s="562">
        <v>116009.59999999977</v>
      </c>
      <c r="R314" s="712">
        <v>1.668361076300464E-2</v>
      </c>
      <c r="S314" s="713">
        <v>-14569.389999999752</v>
      </c>
      <c r="T314" s="510"/>
      <c r="U314" s="573"/>
      <c r="V314" s="573"/>
      <c r="W314" s="573"/>
      <c r="X314" s="510"/>
      <c r="Y314" s="510"/>
      <c r="Z314" s="510"/>
      <c r="AA314" s="510"/>
      <c r="AB314" s="510"/>
      <c r="AC314" s="510"/>
      <c r="AD314" s="510"/>
      <c r="AE314" s="510"/>
      <c r="AF314" s="510"/>
      <c r="AG314" s="510"/>
      <c r="AH314" s="510"/>
      <c r="AI314" s="510"/>
      <c r="AJ314" s="510"/>
      <c r="AK314" s="510"/>
      <c r="AL314" s="510"/>
      <c r="AM314" s="510"/>
      <c r="AN314" s="510"/>
    </row>
    <row r="315" spans="1:40" ht="15.75" customHeight="1" thickBot="1">
      <c r="A315" s="523" t="s">
        <v>103</v>
      </c>
      <c r="B315" s="510" t="s">
        <v>103</v>
      </c>
      <c r="C315" s="625"/>
      <c r="D315" s="714"/>
      <c r="E315" s="715"/>
      <c r="F315" s="628"/>
      <c r="G315" s="716"/>
      <c r="H315" s="715"/>
      <c r="I315" s="628"/>
      <c r="J315" s="716"/>
      <c r="K315" s="715"/>
      <c r="L315" s="717">
        <v>0.96654586407355925</v>
      </c>
      <c r="M315" s="718"/>
      <c r="N315" s="570">
        <v>-3.3454135926440719E-2</v>
      </c>
      <c r="O315" s="716"/>
      <c r="P315" s="715"/>
      <c r="Q315" s="628"/>
      <c r="R315" s="718"/>
      <c r="S315" s="570">
        <v>-0.12558779618238303</v>
      </c>
      <c r="T315" s="510"/>
      <c r="U315" s="510"/>
      <c r="V315" s="510"/>
      <c r="W315" s="510"/>
      <c r="X315" s="510"/>
      <c r="Y315" s="510"/>
      <c r="Z315" s="510"/>
      <c r="AA315" s="510"/>
      <c r="AB315" s="510"/>
      <c r="AC315" s="510"/>
      <c r="AD315" s="510"/>
      <c r="AE315" s="510"/>
      <c r="AF315" s="510"/>
      <c r="AG315" s="510"/>
      <c r="AH315" s="510"/>
      <c r="AI315" s="510"/>
      <c r="AJ315" s="510"/>
      <c r="AK315" s="510"/>
      <c r="AL315" s="510"/>
      <c r="AM315" s="510"/>
      <c r="AN315" s="510"/>
    </row>
    <row r="316" spans="1:40" ht="15.75" customHeight="1" thickTop="1">
      <c r="A316" s="523" t="s">
        <v>103</v>
      </c>
      <c r="B316" s="510" t="s">
        <v>103</v>
      </c>
      <c r="C316" s="550"/>
      <c r="D316" s="608"/>
      <c r="E316" s="670"/>
      <c r="F316" s="672"/>
      <c r="G316" s="671"/>
      <c r="H316" s="670"/>
      <c r="I316" s="672"/>
      <c r="J316" s="671"/>
      <c r="K316" s="670"/>
      <c r="L316" s="672"/>
      <c r="M316" s="531"/>
      <c r="N316" s="549"/>
      <c r="O316" s="671"/>
      <c r="P316" s="670"/>
      <c r="Q316" s="672"/>
      <c r="R316" s="531"/>
      <c r="S316" s="549"/>
      <c r="T316" s="510"/>
      <c r="U316" s="510"/>
      <c r="V316" s="510"/>
      <c r="W316" s="510"/>
      <c r="X316" s="510"/>
      <c r="Y316" s="510"/>
      <c r="Z316" s="510"/>
      <c r="AA316" s="510"/>
      <c r="AB316" s="510"/>
      <c r="AC316" s="510"/>
      <c r="AD316" s="510"/>
      <c r="AE316" s="510"/>
      <c r="AF316" s="510"/>
      <c r="AG316" s="510"/>
      <c r="AH316" s="510"/>
      <c r="AI316" s="510"/>
      <c r="AJ316" s="510"/>
      <c r="AK316" s="510"/>
      <c r="AL316" s="510"/>
      <c r="AM316" s="510"/>
      <c r="AN316" s="510"/>
    </row>
    <row r="317" spans="1:40" ht="15.75" customHeight="1">
      <c r="A317" s="523" t="s">
        <v>417</v>
      </c>
      <c r="B317" s="510" t="s">
        <v>103</v>
      </c>
      <c r="C317" s="574" t="s">
        <v>30</v>
      </c>
      <c r="D317" s="510"/>
      <c r="E317" s="510"/>
      <c r="F317" s="557"/>
      <c r="G317" s="531"/>
      <c r="H317" s="510"/>
      <c r="I317" s="557"/>
      <c r="J317" s="531"/>
      <c r="K317" s="510"/>
      <c r="L317" s="541"/>
      <c r="M317" s="531"/>
      <c r="N317" s="541"/>
      <c r="O317" s="531"/>
      <c r="P317" s="510"/>
      <c r="Q317" s="541"/>
      <c r="R317" s="531"/>
      <c r="S317" s="541"/>
      <c r="T317" s="510"/>
      <c r="U317" s="510"/>
      <c r="V317" s="510"/>
      <c r="W317" s="510"/>
      <c r="X317" s="510"/>
      <c r="Y317" s="510"/>
      <c r="Z317" s="510"/>
      <c r="AA317" s="510"/>
      <c r="AB317" s="510"/>
      <c r="AC317" s="510"/>
      <c r="AD317" s="510"/>
      <c r="AE317" s="510"/>
      <c r="AF317" s="510"/>
      <c r="AG317" s="510"/>
      <c r="AH317" s="510"/>
      <c r="AI317" s="510"/>
      <c r="AJ317" s="510"/>
      <c r="AK317" s="510"/>
      <c r="AL317" s="510"/>
      <c r="AM317" s="510"/>
      <c r="AN317" s="510"/>
    </row>
    <row r="318" spans="1:40" ht="15.75" customHeight="1">
      <c r="A318" s="523" t="s">
        <v>418</v>
      </c>
      <c r="B318" s="510" t="s">
        <v>103</v>
      </c>
      <c r="C318" s="600" t="s">
        <v>41</v>
      </c>
      <c r="D318" s="510"/>
      <c r="E318" s="510"/>
      <c r="F318" s="532">
        <v>6564.9358974358984</v>
      </c>
      <c r="G318" s="531"/>
      <c r="H318" s="510"/>
      <c r="I318" s="532"/>
      <c r="J318" s="531"/>
      <c r="K318" s="510"/>
      <c r="L318" s="534">
        <v>5696.76</v>
      </c>
      <c r="M318" s="531"/>
      <c r="N318" s="534">
        <v>-868.17589743589815</v>
      </c>
      <c r="O318" s="531"/>
      <c r="P318" s="510"/>
      <c r="Q318" s="534">
        <v>11352.55</v>
      </c>
      <c r="R318" s="531"/>
      <c r="S318" s="534">
        <v>-5655.7899999999991</v>
      </c>
      <c r="T318" s="510"/>
      <c r="U318" s="510"/>
      <c r="V318" s="510"/>
      <c r="W318" s="510"/>
      <c r="X318" s="510"/>
      <c r="Y318" s="510"/>
      <c r="Z318" s="510"/>
      <c r="AA318" s="510"/>
      <c r="AB318" s="510"/>
      <c r="AC318" s="510"/>
      <c r="AD318" s="510"/>
      <c r="AE318" s="510"/>
      <c r="AF318" s="510"/>
      <c r="AG318" s="510"/>
      <c r="AH318" s="510"/>
      <c r="AI318" s="510"/>
      <c r="AJ318" s="510"/>
      <c r="AK318" s="510"/>
      <c r="AL318" s="510"/>
      <c r="AM318" s="510"/>
      <c r="AN318" s="510"/>
    </row>
    <row r="319" spans="1:40" ht="15.75" customHeight="1">
      <c r="A319" s="523" t="s">
        <v>419</v>
      </c>
      <c r="B319" s="510" t="s">
        <v>103</v>
      </c>
      <c r="C319" s="602" t="s">
        <v>42</v>
      </c>
      <c r="D319" s="584"/>
      <c r="E319" s="510"/>
      <c r="F319" s="526">
        <v>26566.084923076924</v>
      </c>
      <c r="G319" s="585"/>
      <c r="H319" s="510"/>
      <c r="I319" s="526"/>
      <c r="J319" s="531"/>
      <c r="K319" s="510"/>
      <c r="L319" s="534">
        <v>23560.57</v>
      </c>
      <c r="M319" s="531"/>
      <c r="N319" s="534">
        <v>-3005.5149230769239</v>
      </c>
      <c r="O319" s="531"/>
      <c r="P319" s="510"/>
      <c r="Q319" s="534">
        <v>25556.46</v>
      </c>
      <c r="R319" s="531"/>
      <c r="S319" s="557">
        <v>-1995.8899999999994</v>
      </c>
      <c r="T319" s="510"/>
      <c r="U319" s="510"/>
      <c r="V319" s="510"/>
      <c r="W319" s="510"/>
      <c r="X319" s="510"/>
      <c r="Y319" s="510"/>
      <c r="Z319" s="510"/>
      <c r="AA319" s="510"/>
      <c r="AB319" s="510"/>
      <c r="AC319" s="510"/>
      <c r="AD319" s="510"/>
      <c r="AE319" s="510"/>
      <c r="AF319" s="510"/>
      <c r="AG319" s="510"/>
      <c r="AH319" s="510"/>
      <c r="AI319" s="510"/>
      <c r="AJ319" s="510"/>
      <c r="AK319" s="510"/>
      <c r="AL319" s="510"/>
      <c r="AM319" s="510"/>
      <c r="AN319" s="510"/>
    </row>
    <row r="320" spans="1:40" ht="15.75" customHeight="1">
      <c r="A320" s="523" t="s">
        <v>420</v>
      </c>
      <c r="B320" s="510" t="s">
        <v>103</v>
      </c>
      <c r="C320" s="600" t="s">
        <v>43</v>
      </c>
      <c r="D320" s="603"/>
      <c r="E320" s="604"/>
      <c r="F320" s="532">
        <v>140.24615384615385</v>
      </c>
      <c r="G320" s="605"/>
      <c r="H320" s="604"/>
      <c r="I320" s="532"/>
      <c r="J320" s="518"/>
      <c r="K320" s="604"/>
      <c r="L320" s="553">
        <v>113.92</v>
      </c>
      <c r="M320" s="518"/>
      <c r="N320" s="553">
        <v>-26.326153846153844</v>
      </c>
      <c r="O320" s="518"/>
      <c r="P320" s="604"/>
      <c r="Q320" s="553">
        <v>3885.42</v>
      </c>
      <c r="R320" s="518"/>
      <c r="S320" s="606">
        <v>-3771.5</v>
      </c>
      <c r="T320" s="510"/>
      <c r="U320" s="719"/>
      <c r="V320" s="719"/>
      <c r="W320" s="510"/>
      <c r="X320" s="510"/>
      <c r="Y320" s="510"/>
      <c r="Z320" s="510"/>
      <c r="AA320" s="510"/>
      <c r="AB320" s="510"/>
      <c r="AC320" s="510"/>
      <c r="AD320" s="510"/>
      <c r="AE320" s="510"/>
      <c r="AF320" s="510"/>
      <c r="AG320" s="510"/>
      <c r="AH320" s="510"/>
      <c r="AI320" s="510"/>
      <c r="AJ320" s="510"/>
      <c r="AK320" s="510"/>
      <c r="AL320" s="510"/>
      <c r="AM320" s="510"/>
      <c r="AN320" s="510"/>
    </row>
    <row r="321" spans="1:40" ht="15.75" customHeight="1">
      <c r="A321" s="523" t="s">
        <v>421</v>
      </c>
      <c r="B321" s="510" t="s">
        <v>103</v>
      </c>
      <c r="C321" s="600" t="s">
        <v>44</v>
      </c>
      <c r="D321" s="584"/>
      <c r="E321" s="510"/>
      <c r="F321" s="532">
        <v>0</v>
      </c>
      <c r="G321" s="585"/>
      <c r="H321" s="510"/>
      <c r="I321" s="532"/>
      <c r="J321" s="531"/>
      <c r="K321" s="510"/>
      <c r="L321" s="534">
        <v>0</v>
      </c>
      <c r="M321" s="531"/>
      <c r="N321" s="534">
        <v>0</v>
      </c>
      <c r="O321" s="531"/>
      <c r="P321" s="510"/>
      <c r="Q321" s="534">
        <v>0</v>
      </c>
      <c r="R321" s="531"/>
      <c r="S321" s="557">
        <v>0</v>
      </c>
      <c r="T321" s="510"/>
      <c r="U321" s="510"/>
      <c r="V321" s="510"/>
      <c r="W321" s="510"/>
      <c r="X321" s="510"/>
      <c r="Y321" s="510"/>
      <c r="Z321" s="510"/>
      <c r="AA321" s="510"/>
      <c r="AB321" s="510"/>
      <c r="AC321" s="510"/>
      <c r="AD321" s="510"/>
      <c r="AE321" s="510"/>
      <c r="AF321" s="510"/>
      <c r="AG321" s="510"/>
      <c r="AH321" s="510"/>
      <c r="AI321" s="510"/>
      <c r="AJ321" s="510"/>
      <c r="AK321" s="510"/>
      <c r="AL321" s="510"/>
      <c r="AM321" s="510"/>
      <c r="AN321" s="510"/>
    </row>
    <row r="322" spans="1:40" ht="15.75" hidden="1" customHeight="1">
      <c r="A322" s="523" t="s">
        <v>408</v>
      </c>
      <c r="B322" s="510" t="s">
        <v>103</v>
      </c>
      <c r="C322" s="531" t="s">
        <v>20</v>
      </c>
      <c r="D322" s="584"/>
      <c r="E322" s="510"/>
      <c r="F322" s="532">
        <v>0</v>
      </c>
      <c r="G322" s="585"/>
      <c r="H322" s="510"/>
      <c r="I322" s="532"/>
      <c r="J322" s="531"/>
      <c r="K322" s="510"/>
      <c r="L322" s="534">
        <v>0</v>
      </c>
      <c r="M322" s="531"/>
      <c r="N322" s="534">
        <v>0</v>
      </c>
      <c r="O322" s="531"/>
      <c r="P322" s="510"/>
      <c r="Q322" s="534">
        <v>0</v>
      </c>
      <c r="R322" s="531"/>
      <c r="S322" s="557">
        <v>0</v>
      </c>
      <c r="T322" s="510"/>
      <c r="U322" s="510"/>
      <c r="V322" s="510"/>
      <c r="W322" s="510"/>
      <c r="X322" s="510"/>
      <c r="Y322" s="510"/>
      <c r="Z322" s="510"/>
      <c r="AA322" s="510"/>
      <c r="AB322" s="510"/>
      <c r="AC322" s="510"/>
      <c r="AD322" s="510"/>
      <c r="AE322" s="510"/>
      <c r="AF322" s="510"/>
      <c r="AG322" s="510"/>
      <c r="AH322" s="510"/>
      <c r="AI322" s="510"/>
      <c r="AJ322" s="510"/>
      <c r="AK322" s="510"/>
      <c r="AL322" s="510"/>
      <c r="AM322" s="510"/>
      <c r="AN322" s="510"/>
    </row>
    <row r="323" spans="1:40" ht="15.75" hidden="1" customHeight="1">
      <c r="A323" s="523" t="s">
        <v>408</v>
      </c>
      <c r="B323" s="510" t="s">
        <v>103</v>
      </c>
      <c r="C323" s="531" t="s">
        <v>20</v>
      </c>
      <c r="D323" s="584"/>
      <c r="E323" s="510"/>
      <c r="F323" s="532">
        <v>0</v>
      </c>
      <c r="G323" s="585"/>
      <c r="H323" s="510"/>
      <c r="I323" s="532"/>
      <c r="J323" s="531"/>
      <c r="K323" s="510"/>
      <c r="L323" s="534">
        <v>0</v>
      </c>
      <c r="M323" s="531"/>
      <c r="N323" s="534">
        <v>0</v>
      </c>
      <c r="O323" s="531"/>
      <c r="P323" s="510"/>
      <c r="Q323" s="534">
        <v>0</v>
      </c>
      <c r="R323" s="531"/>
      <c r="S323" s="557">
        <v>0</v>
      </c>
      <c r="T323" s="510"/>
      <c r="U323" s="510"/>
      <c r="V323" s="510"/>
      <c r="W323" s="510"/>
      <c r="X323" s="510"/>
      <c r="Y323" s="510"/>
      <c r="Z323" s="510"/>
      <c r="AA323" s="510"/>
      <c r="AB323" s="510"/>
      <c r="AC323" s="510"/>
      <c r="AD323" s="510"/>
      <c r="AE323" s="510"/>
      <c r="AF323" s="510"/>
      <c r="AG323" s="510"/>
      <c r="AH323" s="510"/>
      <c r="AI323" s="510"/>
      <c r="AJ323" s="510"/>
      <c r="AK323" s="510"/>
      <c r="AL323" s="510"/>
      <c r="AM323" s="510"/>
      <c r="AN323" s="510"/>
    </row>
    <row r="324" spans="1:40" ht="15.75" hidden="1" customHeight="1">
      <c r="A324" s="523" t="s">
        <v>408</v>
      </c>
      <c r="B324" s="510" t="s">
        <v>103</v>
      </c>
      <c r="C324" s="531" t="s">
        <v>20</v>
      </c>
      <c r="D324" s="584"/>
      <c r="E324" s="510"/>
      <c r="F324" s="532">
        <v>0</v>
      </c>
      <c r="G324" s="585"/>
      <c r="H324" s="510"/>
      <c r="I324" s="532"/>
      <c r="J324" s="531"/>
      <c r="K324" s="510"/>
      <c r="L324" s="534">
        <v>0</v>
      </c>
      <c r="M324" s="531"/>
      <c r="N324" s="534">
        <v>0</v>
      </c>
      <c r="O324" s="531"/>
      <c r="P324" s="510"/>
      <c r="Q324" s="534">
        <v>0</v>
      </c>
      <c r="R324" s="531"/>
      <c r="S324" s="557">
        <v>0</v>
      </c>
      <c r="T324" s="510"/>
      <c r="U324" s="510"/>
      <c r="V324" s="510"/>
      <c r="W324" s="510"/>
      <c r="X324" s="510"/>
      <c r="Y324" s="510"/>
      <c r="Z324" s="510"/>
      <c r="AA324" s="510"/>
      <c r="AB324" s="510"/>
      <c r="AC324" s="510"/>
      <c r="AD324" s="510"/>
      <c r="AE324" s="510"/>
      <c r="AF324" s="510"/>
      <c r="AG324" s="510"/>
      <c r="AH324" s="510"/>
      <c r="AI324" s="510"/>
      <c r="AJ324" s="510"/>
      <c r="AK324" s="510"/>
      <c r="AL324" s="510"/>
      <c r="AM324" s="510"/>
      <c r="AN324" s="510"/>
    </row>
    <row r="325" spans="1:40" ht="15.75" customHeight="1">
      <c r="A325" s="523" t="s">
        <v>422</v>
      </c>
      <c r="B325" s="510" t="s">
        <v>103</v>
      </c>
      <c r="C325" s="602" t="s">
        <v>45</v>
      </c>
      <c r="D325" s="584"/>
      <c r="E325" s="510"/>
      <c r="F325" s="526">
        <v>4086.0378682564101</v>
      </c>
      <c r="G325" s="585"/>
      <c r="H325" s="510"/>
      <c r="I325" s="526"/>
      <c r="J325" s="531"/>
      <c r="K325" s="510"/>
      <c r="L325" s="534">
        <v>4269.59</v>
      </c>
      <c r="M325" s="531"/>
      <c r="N325" s="534">
        <v>183.55213174359005</v>
      </c>
      <c r="O325" s="531"/>
      <c r="P325" s="510"/>
      <c r="Q325" s="534">
        <v>4393.2700000000004</v>
      </c>
      <c r="R325" s="531"/>
      <c r="S325" s="557">
        <v>-123.68000000000029</v>
      </c>
      <c r="T325" s="510"/>
      <c r="U325" s="510"/>
      <c r="V325" s="510"/>
      <c r="W325" s="510"/>
      <c r="X325" s="510"/>
      <c r="Y325" s="510"/>
      <c r="Z325" s="510"/>
      <c r="AA325" s="510"/>
      <c r="AB325" s="510"/>
      <c r="AC325" s="510"/>
      <c r="AD325" s="510"/>
      <c r="AE325" s="510"/>
      <c r="AF325" s="510"/>
      <c r="AG325" s="510"/>
      <c r="AH325" s="510"/>
      <c r="AI325" s="510"/>
      <c r="AJ325" s="510"/>
      <c r="AK325" s="510"/>
      <c r="AL325" s="510"/>
      <c r="AM325" s="510"/>
      <c r="AN325" s="510"/>
    </row>
    <row r="326" spans="1:40" ht="15.75" customHeight="1">
      <c r="A326" s="523" t="s">
        <v>423</v>
      </c>
      <c r="B326" s="510" t="s">
        <v>103</v>
      </c>
      <c r="C326" s="600" t="s">
        <v>46</v>
      </c>
      <c r="D326" s="603"/>
      <c r="E326" s="604"/>
      <c r="F326" s="532">
        <v>4968.0460424615385</v>
      </c>
      <c r="G326" s="605"/>
      <c r="H326" s="604"/>
      <c r="I326" s="532"/>
      <c r="J326" s="518"/>
      <c r="K326" s="604"/>
      <c r="L326" s="553">
        <v>5518.53</v>
      </c>
      <c r="M326" s="518"/>
      <c r="N326" s="553">
        <v>550.48395753846125</v>
      </c>
      <c r="O326" s="518"/>
      <c r="P326" s="604"/>
      <c r="Q326" s="553">
        <v>7153.2</v>
      </c>
      <c r="R326" s="518"/>
      <c r="S326" s="606">
        <v>-1634.67</v>
      </c>
      <c r="T326" s="510"/>
      <c r="U326" s="510"/>
      <c r="V326" s="510"/>
      <c r="W326" s="510"/>
      <c r="X326" s="510"/>
      <c r="Y326" s="510"/>
      <c r="Z326" s="510"/>
      <c r="AA326" s="510"/>
      <c r="AB326" s="510"/>
      <c r="AC326" s="510"/>
      <c r="AD326" s="510"/>
      <c r="AE326" s="510"/>
      <c r="AF326" s="510"/>
      <c r="AG326" s="510"/>
      <c r="AH326" s="510"/>
      <c r="AI326" s="510"/>
      <c r="AJ326" s="510"/>
      <c r="AK326" s="510"/>
      <c r="AL326" s="510"/>
      <c r="AM326" s="510"/>
      <c r="AN326" s="510"/>
    </row>
    <row r="327" spans="1:40" ht="15.75" customHeight="1">
      <c r="A327" s="523" t="s">
        <v>424</v>
      </c>
      <c r="B327" s="510" t="s">
        <v>103</v>
      </c>
      <c r="C327" s="600" t="s">
        <v>47</v>
      </c>
      <c r="D327" s="584"/>
      <c r="E327" s="510"/>
      <c r="F327" s="532">
        <v>2559.6237218769229</v>
      </c>
      <c r="G327" s="585"/>
      <c r="H327" s="510"/>
      <c r="I327" s="532"/>
      <c r="J327" s="531"/>
      <c r="K327" s="510"/>
      <c r="L327" s="534">
        <v>1451</v>
      </c>
      <c r="M327" s="531"/>
      <c r="N327" s="534">
        <v>-1108.6237218769229</v>
      </c>
      <c r="O327" s="531"/>
      <c r="P327" s="510"/>
      <c r="Q327" s="534">
        <v>1120.01</v>
      </c>
      <c r="R327" s="531"/>
      <c r="S327" s="557">
        <v>330.99</v>
      </c>
      <c r="T327" s="510"/>
      <c r="U327" s="510"/>
      <c r="V327" s="510"/>
      <c r="W327" s="510"/>
      <c r="X327" s="510"/>
      <c r="Y327" s="510"/>
      <c r="Z327" s="510"/>
      <c r="AA327" s="510"/>
      <c r="AB327" s="510"/>
      <c r="AC327" s="510"/>
      <c r="AD327" s="510"/>
      <c r="AE327" s="510"/>
      <c r="AF327" s="510"/>
      <c r="AG327" s="510"/>
      <c r="AH327" s="510"/>
      <c r="AI327" s="510"/>
      <c r="AJ327" s="510"/>
      <c r="AK327" s="510"/>
      <c r="AL327" s="510"/>
      <c r="AM327" s="510"/>
      <c r="AN327" s="510"/>
    </row>
    <row r="328" spans="1:40" ht="15.75" customHeight="1">
      <c r="A328" s="523" t="s">
        <v>425</v>
      </c>
      <c r="B328" s="510" t="s">
        <v>103</v>
      </c>
      <c r="C328" s="600" t="s">
        <v>48</v>
      </c>
      <c r="D328" s="584"/>
      <c r="E328" s="510"/>
      <c r="F328" s="532">
        <v>1116.0103428717948</v>
      </c>
      <c r="G328" s="585"/>
      <c r="H328" s="510"/>
      <c r="I328" s="532"/>
      <c r="J328" s="531"/>
      <c r="K328" s="510"/>
      <c r="L328" s="534">
        <v>1860.87</v>
      </c>
      <c r="M328" s="531"/>
      <c r="N328" s="534">
        <v>744.85965712820507</v>
      </c>
      <c r="O328" s="531"/>
      <c r="P328" s="510"/>
      <c r="Q328" s="534">
        <v>1468.11</v>
      </c>
      <c r="R328" s="531"/>
      <c r="S328" s="557">
        <v>392.76</v>
      </c>
      <c r="T328" s="510"/>
      <c r="U328" s="510"/>
      <c r="V328" s="510"/>
      <c r="W328" s="510"/>
      <c r="X328" s="510"/>
      <c r="Y328" s="510"/>
      <c r="Z328" s="510"/>
      <c r="AA328" s="510"/>
      <c r="AB328" s="510"/>
      <c r="AC328" s="510"/>
      <c r="AD328" s="510"/>
      <c r="AE328" s="510"/>
      <c r="AF328" s="510"/>
      <c r="AG328" s="510"/>
      <c r="AH328" s="510"/>
      <c r="AI328" s="510"/>
      <c r="AJ328" s="510"/>
      <c r="AK328" s="510"/>
      <c r="AL328" s="510"/>
      <c r="AM328" s="510"/>
      <c r="AN328" s="510"/>
    </row>
    <row r="329" spans="1:40" ht="15.75" hidden="1" customHeight="1">
      <c r="A329" s="523" t="s">
        <v>408</v>
      </c>
      <c r="B329" s="510" t="s">
        <v>103</v>
      </c>
      <c r="C329" s="531" t="s">
        <v>20</v>
      </c>
      <c r="D329" s="587"/>
      <c r="E329" s="607"/>
      <c r="F329" s="532">
        <v>0</v>
      </c>
      <c r="G329" s="588"/>
      <c r="H329" s="607"/>
      <c r="I329" s="532"/>
      <c r="J329" s="524"/>
      <c r="K329" s="607"/>
      <c r="L329" s="534">
        <v>0</v>
      </c>
      <c r="M329" s="524"/>
      <c r="N329" s="582">
        <v>0</v>
      </c>
      <c r="O329" s="524"/>
      <c r="P329" s="607"/>
      <c r="Q329" s="534">
        <v>0</v>
      </c>
      <c r="R329" s="524"/>
      <c r="S329" s="582">
        <v>0</v>
      </c>
      <c r="T329" s="510"/>
      <c r="U329" s="510"/>
      <c r="V329" s="510"/>
      <c r="W329" s="510"/>
      <c r="X329" s="510"/>
      <c r="Y329" s="510"/>
      <c r="Z329" s="510"/>
      <c r="AA329" s="510"/>
      <c r="AB329" s="510"/>
      <c r="AC329" s="510"/>
      <c r="AD329" s="510"/>
      <c r="AE329" s="510"/>
      <c r="AF329" s="510"/>
      <c r="AG329" s="510"/>
      <c r="AH329" s="510"/>
      <c r="AI329" s="510"/>
      <c r="AJ329" s="510"/>
      <c r="AK329" s="510"/>
      <c r="AL329" s="510"/>
      <c r="AM329" s="510"/>
      <c r="AN329" s="510"/>
    </row>
    <row r="330" spans="1:40" ht="15.75" customHeight="1">
      <c r="A330" s="523" t="s">
        <v>426</v>
      </c>
      <c r="B330" s="510" t="s">
        <v>103</v>
      </c>
      <c r="C330" s="592" t="s">
        <v>49</v>
      </c>
      <c r="D330" s="593" t="s">
        <v>39</v>
      </c>
      <c r="E330" s="594">
        <v>0.43830806094115943</v>
      </c>
      <c r="F330" s="595">
        <v>46000.984949825637</v>
      </c>
      <c r="G330" s="596"/>
      <c r="H330" s="594"/>
      <c r="I330" s="595"/>
      <c r="J330" s="596" t="s">
        <v>39</v>
      </c>
      <c r="K330" s="594">
        <v>0.41868249286944487</v>
      </c>
      <c r="L330" s="595">
        <v>42471.24</v>
      </c>
      <c r="M330" s="650"/>
      <c r="N330" s="609">
        <v>-3529.7449498256392</v>
      </c>
      <c r="O330" s="596" t="s">
        <v>39</v>
      </c>
      <c r="P330" s="594">
        <v>0.47348684936419144</v>
      </c>
      <c r="Q330" s="595">
        <v>54929.02</v>
      </c>
      <c r="R330" s="650"/>
      <c r="S330" s="609">
        <v>-12457.779999999999</v>
      </c>
      <c r="T330" s="510"/>
      <c r="U330" s="510"/>
      <c r="V330" s="510"/>
      <c r="W330" s="510"/>
      <c r="X330" s="510"/>
      <c r="Y330" s="510"/>
      <c r="Z330" s="510"/>
      <c r="AA330" s="510"/>
      <c r="AB330" s="510"/>
      <c r="AC330" s="510"/>
      <c r="AD330" s="510"/>
      <c r="AE330" s="510"/>
      <c r="AF330" s="510"/>
      <c r="AG330" s="510"/>
      <c r="AH330" s="510"/>
      <c r="AI330" s="510"/>
      <c r="AJ330" s="510"/>
      <c r="AK330" s="510"/>
      <c r="AL330" s="510"/>
      <c r="AM330" s="510"/>
      <c r="AN330" s="510"/>
    </row>
    <row r="331" spans="1:40" ht="15.75" customHeight="1">
      <c r="A331" s="523" t="s">
        <v>427</v>
      </c>
      <c r="B331" s="510" t="s">
        <v>103</v>
      </c>
      <c r="C331" s="706" t="s">
        <v>50</v>
      </c>
      <c r="D331" s="584"/>
      <c r="E331" s="510"/>
      <c r="F331" s="532">
        <v>4451.5681367708321</v>
      </c>
      <c r="G331" s="585"/>
      <c r="H331" s="510"/>
      <c r="I331" s="532"/>
      <c r="J331" s="531"/>
      <c r="K331" s="510"/>
      <c r="L331" s="534">
        <v>3945.26</v>
      </c>
      <c r="M331" s="531"/>
      <c r="N331" s="557">
        <v>-506.30813677083188</v>
      </c>
      <c r="O331" s="531"/>
      <c r="P331" s="510"/>
      <c r="Q331" s="534">
        <v>4316.62</v>
      </c>
      <c r="R331" s="531"/>
      <c r="S331" s="557">
        <v>-371.35999999999967</v>
      </c>
      <c r="T331" s="510"/>
      <c r="U331" s="510"/>
      <c r="V331" s="510"/>
      <c r="W331" s="573"/>
      <c r="X331" s="510"/>
      <c r="Y331" s="510"/>
      <c r="Z331" s="510"/>
      <c r="AA331" s="510"/>
      <c r="AB331" s="510"/>
      <c r="AC331" s="510"/>
      <c r="AD331" s="510"/>
      <c r="AE331" s="510"/>
      <c r="AF331" s="510"/>
      <c r="AG331" s="510"/>
      <c r="AH331" s="510"/>
      <c r="AI331" s="510"/>
      <c r="AJ331" s="510"/>
      <c r="AK331" s="510"/>
      <c r="AL331" s="510"/>
      <c r="AM331" s="510"/>
      <c r="AN331" s="510"/>
    </row>
    <row r="332" spans="1:40" ht="15.75" customHeight="1">
      <c r="A332" s="523" t="s">
        <v>428</v>
      </c>
      <c r="B332" s="510" t="s">
        <v>103</v>
      </c>
      <c r="C332" s="600" t="s">
        <v>51</v>
      </c>
      <c r="D332" s="584"/>
      <c r="E332" s="510"/>
      <c r="F332" s="532">
        <v>1484.7664064747862</v>
      </c>
      <c r="G332" s="585"/>
      <c r="H332" s="510"/>
      <c r="I332" s="532"/>
      <c r="J332" s="531"/>
      <c r="K332" s="510"/>
      <c r="L332" s="534">
        <v>991.88</v>
      </c>
      <c r="M332" s="531"/>
      <c r="N332" s="557">
        <v>-492.88640647478621</v>
      </c>
      <c r="O332" s="531"/>
      <c r="P332" s="510"/>
      <c r="Q332" s="534">
        <v>99.04</v>
      </c>
      <c r="R332" s="531"/>
      <c r="S332" s="557">
        <v>892.84</v>
      </c>
      <c r="T332" s="510"/>
      <c r="U332" s="510"/>
      <c r="V332" s="510"/>
      <c r="W332" s="510"/>
      <c r="X332" s="510"/>
      <c r="Y332" s="510"/>
      <c r="Z332" s="510"/>
      <c r="AA332" s="510"/>
      <c r="AB332" s="510"/>
      <c r="AC332" s="510"/>
      <c r="AD332" s="510"/>
      <c r="AE332" s="510"/>
      <c r="AF332" s="510"/>
      <c r="AG332" s="510"/>
      <c r="AH332" s="510"/>
      <c r="AI332" s="510"/>
      <c r="AJ332" s="510"/>
      <c r="AK332" s="510"/>
      <c r="AL332" s="510"/>
      <c r="AM332" s="510"/>
      <c r="AN332" s="510"/>
    </row>
    <row r="333" spans="1:40" ht="15.75" customHeight="1">
      <c r="A333" s="523" t="s">
        <v>429</v>
      </c>
      <c r="B333" s="510" t="s">
        <v>103</v>
      </c>
      <c r="C333" s="602" t="s">
        <v>52</v>
      </c>
      <c r="D333" s="587"/>
      <c r="E333" s="607"/>
      <c r="F333" s="526">
        <v>1083.3333333333333</v>
      </c>
      <c r="G333" s="588"/>
      <c r="H333" s="607"/>
      <c r="I333" s="526"/>
      <c r="J333" s="524"/>
      <c r="K333" s="607"/>
      <c r="L333" s="534">
        <v>1140.48</v>
      </c>
      <c r="M333" s="524"/>
      <c r="N333" s="582">
        <v>57.146666666666761</v>
      </c>
      <c r="O333" s="524"/>
      <c r="P333" s="607"/>
      <c r="Q333" s="534">
        <v>1579.5</v>
      </c>
      <c r="R333" s="524"/>
      <c r="S333" s="582">
        <v>-439.02</v>
      </c>
      <c r="T333" s="510"/>
      <c r="U333" s="510"/>
      <c r="V333" s="510"/>
      <c r="W333" s="510"/>
      <c r="X333" s="510"/>
      <c r="Y333" s="510"/>
      <c r="Z333" s="510"/>
      <c r="AA333" s="510"/>
      <c r="AB333" s="510"/>
      <c r="AC333" s="510"/>
      <c r="AD333" s="510"/>
      <c r="AE333" s="510"/>
      <c r="AF333" s="510"/>
      <c r="AG333" s="510"/>
      <c r="AH333" s="510"/>
      <c r="AI333" s="510"/>
      <c r="AJ333" s="510"/>
      <c r="AK333" s="510"/>
      <c r="AL333" s="510"/>
      <c r="AM333" s="510"/>
      <c r="AN333" s="510"/>
    </row>
    <row r="334" spans="1:40" ht="15.75" customHeight="1">
      <c r="A334" s="523" t="s">
        <v>430</v>
      </c>
      <c r="B334" s="510" t="s">
        <v>103</v>
      </c>
      <c r="C334" s="600" t="s">
        <v>53</v>
      </c>
      <c r="D334" s="584"/>
      <c r="E334" s="510"/>
      <c r="F334" s="532">
        <v>3808.9357027777774</v>
      </c>
      <c r="G334" s="585"/>
      <c r="H334" s="510"/>
      <c r="I334" s="532"/>
      <c r="J334" s="531"/>
      <c r="K334" s="510"/>
      <c r="L334" s="553">
        <v>5726.42</v>
      </c>
      <c r="M334" s="531"/>
      <c r="N334" s="557">
        <v>1917.4842972222227</v>
      </c>
      <c r="O334" s="531"/>
      <c r="P334" s="510"/>
      <c r="Q334" s="553">
        <v>3554.73</v>
      </c>
      <c r="R334" s="531"/>
      <c r="S334" s="557">
        <v>2171.69</v>
      </c>
      <c r="T334" s="510"/>
      <c r="U334" s="510"/>
      <c r="V334" s="510"/>
      <c r="W334" s="510"/>
      <c r="X334" s="510"/>
      <c r="Y334" s="510"/>
      <c r="Z334" s="510"/>
      <c r="AA334" s="510"/>
      <c r="AB334" s="510"/>
      <c r="AC334" s="510"/>
      <c r="AD334" s="510"/>
      <c r="AE334" s="510"/>
      <c r="AF334" s="510"/>
      <c r="AG334" s="510"/>
      <c r="AH334" s="510"/>
      <c r="AI334" s="510"/>
      <c r="AJ334" s="510"/>
      <c r="AK334" s="510"/>
      <c r="AL334" s="510"/>
      <c r="AM334" s="510"/>
      <c r="AN334" s="510"/>
    </row>
    <row r="335" spans="1:40" ht="15.75" customHeight="1">
      <c r="A335" s="523" t="s">
        <v>431</v>
      </c>
      <c r="B335" s="510" t="s">
        <v>103</v>
      </c>
      <c r="C335" s="600" t="s">
        <v>54</v>
      </c>
      <c r="D335" s="584"/>
      <c r="E335" s="510"/>
      <c r="F335" s="532">
        <v>685.62049669649684</v>
      </c>
      <c r="G335" s="585"/>
      <c r="H335" s="510"/>
      <c r="I335" s="532"/>
      <c r="J335" s="531"/>
      <c r="K335" s="510"/>
      <c r="L335" s="534">
        <v>873.75</v>
      </c>
      <c r="M335" s="531"/>
      <c r="N335" s="557">
        <v>188.12950330350316</v>
      </c>
      <c r="O335" s="531"/>
      <c r="P335" s="510"/>
      <c r="Q335" s="534">
        <v>839.57</v>
      </c>
      <c r="R335" s="531"/>
      <c r="S335" s="557">
        <v>34.17999999999995</v>
      </c>
      <c r="T335" s="510"/>
      <c r="U335" s="510"/>
      <c r="V335" s="510"/>
      <c r="W335" s="510"/>
      <c r="X335" s="510"/>
      <c r="Y335" s="510"/>
      <c r="Z335" s="510"/>
      <c r="AA335" s="510"/>
      <c r="AB335" s="510"/>
      <c r="AC335" s="510"/>
      <c r="AD335" s="510"/>
      <c r="AE335" s="510"/>
      <c r="AF335" s="510"/>
      <c r="AG335" s="510"/>
      <c r="AH335" s="510"/>
      <c r="AI335" s="510"/>
      <c r="AJ335" s="510"/>
      <c r="AK335" s="510"/>
      <c r="AL335" s="510"/>
      <c r="AM335" s="510"/>
      <c r="AN335" s="510"/>
    </row>
    <row r="336" spans="1:40" ht="15.75" customHeight="1">
      <c r="A336" s="523" t="s">
        <v>432</v>
      </c>
      <c r="B336" s="510" t="s">
        <v>103</v>
      </c>
      <c r="C336" s="602" t="s">
        <v>55</v>
      </c>
      <c r="D336" s="587"/>
      <c r="E336" s="607"/>
      <c r="F336" s="526">
        <v>12416.827750532408</v>
      </c>
      <c r="G336" s="588"/>
      <c r="H336" s="607"/>
      <c r="I336" s="526"/>
      <c r="J336" s="524"/>
      <c r="K336" s="607"/>
      <c r="L336" s="526">
        <v>10908.3</v>
      </c>
      <c r="M336" s="524"/>
      <c r="N336" s="582">
        <v>-1508.5277505324084</v>
      </c>
      <c r="O336" s="524"/>
      <c r="P336" s="607"/>
      <c r="Q336" s="526">
        <v>14575.02</v>
      </c>
      <c r="R336" s="524"/>
      <c r="S336" s="582">
        <v>-3666.7200000000012</v>
      </c>
      <c r="T336" s="510"/>
      <c r="U336" s="510"/>
      <c r="V336" s="510"/>
      <c r="W336" s="510"/>
      <c r="X336" s="510"/>
      <c r="Y336" s="510"/>
      <c r="Z336" s="510"/>
      <c r="AA336" s="510"/>
      <c r="AB336" s="510"/>
      <c r="AC336" s="510"/>
      <c r="AD336" s="510"/>
      <c r="AE336" s="510"/>
      <c r="AF336" s="510"/>
      <c r="AG336" s="510"/>
      <c r="AH336" s="510"/>
      <c r="AI336" s="510"/>
      <c r="AJ336" s="510"/>
      <c r="AK336" s="510"/>
      <c r="AL336" s="510"/>
      <c r="AM336" s="510"/>
      <c r="AN336" s="510"/>
    </row>
    <row r="337" spans="1:40" ht="15.75" customHeight="1">
      <c r="A337" s="523" t="s">
        <v>433</v>
      </c>
      <c r="B337" s="510" t="s">
        <v>103</v>
      </c>
      <c r="C337" s="600" t="s">
        <v>98</v>
      </c>
      <c r="D337" s="584"/>
      <c r="E337" s="510"/>
      <c r="F337" s="532"/>
      <c r="G337" s="585"/>
      <c r="H337" s="510"/>
      <c r="I337" s="532"/>
      <c r="J337" s="531"/>
      <c r="K337" s="510"/>
      <c r="L337" s="534">
        <v>0</v>
      </c>
      <c r="M337" s="531"/>
      <c r="N337" s="557">
        <v>0</v>
      </c>
      <c r="O337" s="531"/>
      <c r="P337" s="510"/>
      <c r="Q337" s="534">
        <v>0</v>
      </c>
      <c r="R337" s="531"/>
      <c r="S337" s="557">
        <v>0</v>
      </c>
      <c r="T337" s="510"/>
      <c r="U337" s="510"/>
      <c r="V337" s="510"/>
      <c r="W337" s="510"/>
      <c r="X337" s="510"/>
      <c r="Y337" s="510"/>
      <c r="Z337" s="510"/>
      <c r="AA337" s="510"/>
      <c r="AB337" s="510"/>
      <c r="AC337" s="510"/>
      <c r="AD337" s="510"/>
      <c r="AE337" s="510"/>
      <c r="AF337" s="510"/>
      <c r="AG337" s="510"/>
      <c r="AH337" s="510"/>
      <c r="AI337" s="510"/>
      <c r="AJ337" s="510"/>
      <c r="AK337" s="510"/>
      <c r="AL337" s="510"/>
      <c r="AM337" s="510"/>
      <c r="AN337" s="510"/>
    </row>
    <row r="338" spans="1:40" ht="15.75" customHeight="1">
      <c r="A338" s="523" t="s">
        <v>434</v>
      </c>
      <c r="B338" s="510" t="s">
        <v>103</v>
      </c>
      <c r="C338" s="600" t="s">
        <v>56</v>
      </c>
      <c r="D338" s="584"/>
      <c r="E338" s="510"/>
      <c r="F338" s="532">
        <v>125</v>
      </c>
      <c r="G338" s="585"/>
      <c r="H338" s="510"/>
      <c r="I338" s="532"/>
      <c r="J338" s="531"/>
      <c r="K338" s="510"/>
      <c r="L338" s="534">
        <v>150.28</v>
      </c>
      <c r="M338" s="531"/>
      <c r="N338" s="557">
        <v>25.28</v>
      </c>
      <c r="O338" s="531"/>
      <c r="P338" s="510"/>
      <c r="Q338" s="534">
        <v>0</v>
      </c>
      <c r="R338" s="531"/>
      <c r="S338" s="557">
        <v>150.28</v>
      </c>
      <c r="T338" s="510"/>
      <c r="U338" s="510"/>
      <c r="V338" s="510"/>
      <c r="W338" s="510"/>
      <c r="X338" s="510"/>
      <c r="Y338" s="510"/>
      <c r="Z338" s="510"/>
      <c r="AA338" s="510"/>
      <c r="AB338" s="510"/>
      <c r="AC338" s="510"/>
      <c r="AD338" s="510"/>
      <c r="AE338" s="510"/>
      <c r="AF338" s="510"/>
      <c r="AG338" s="510"/>
      <c r="AH338" s="510"/>
      <c r="AI338" s="510"/>
      <c r="AJ338" s="510"/>
      <c r="AK338" s="510"/>
      <c r="AL338" s="510"/>
      <c r="AM338" s="510"/>
      <c r="AN338" s="510"/>
    </row>
    <row r="339" spans="1:40" ht="15.75" customHeight="1">
      <c r="A339" s="523" t="s">
        <v>435</v>
      </c>
      <c r="B339" s="510" t="s">
        <v>103</v>
      </c>
      <c r="C339" s="600" t="s">
        <v>57</v>
      </c>
      <c r="D339" s="584"/>
      <c r="E339" s="510"/>
      <c r="F339" s="532">
        <v>83.333333333333329</v>
      </c>
      <c r="G339" s="585"/>
      <c r="H339" s="510"/>
      <c r="I339" s="532"/>
      <c r="J339" s="531"/>
      <c r="K339" s="510"/>
      <c r="L339" s="534">
        <v>0</v>
      </c>
      <c r="M339" s="531"/>
      <c r="N339" s="557">
        <v>-83.333333333333329</v>
      </c>
      <c r="O339" s="531"/>
      <c r="P339" s="510"/>
      <c r="Q339" s="534">
        <v>0</v>
      </c>
      <c r="R339" s="531"/>
      <c r="S339" s="557">
        <v>0</v>
      </c>
      <c r="T339" s="510"/>
      <c r="U339" s="510"/>
      <c r="V339" s="510"/>
      <c r="W339" s="510"/>
      <c r="X339" s="510"/>
      <c r="Y339" s="510"/>
      <c r="Z339" s="510"/>
      <c r="AA339" s="510"/>
      <c r="AB339" s="510"/>
      <c r="AC339" s="510"/>
      <c r="AD339" s="510"/>
      <c r="AE339" s="510"/>
      <c r="AF339" s="510"/>
      <c r="AG339" s="510"/>
      <c r="AH339" s="510"/>
      <c r="AI339" s="510"/>
      <c r="AJ339" s="510"/>
      <c r="AK339" s="510"/>
      <c r="AL339" s="510"/>
      <c r="AM339" s="510"/>
      <c r="AN339" s="510"/>
    </row>
    <row r="340" spans="1:40" ht="15.75" customHeight="1">
      <c r="A340" s="523" t="s">
        <v>436</v>
      </c>
      <c r="B340" s="510" t="s">
        <v>103</v>
      </c>
      <c r="C340" s="600" t="s">
        <v>58</v>
      </c>
      <c r="D340" s="584"/>
      <c r="E340" s="510"/>
      <c r="F340" s="532">
        <v>617.95293122500004</v>
      </c>
      <c r="G340" s="585"/>
      <c r="H340" s="510"/>
      <c r="I340" s="532"/>
      <c r="J340" s="531"/>
      <c r="K340" s="510"/>
      <c r="L340" s="534">
        <v>890.57</v>
      </c>
      <c r="M340" s="531"/>
      <c r="N340" s="557">
        <v>272.61706877500001</v>
      </c>
      <c r="O340" s="531"/>
      <c r="P340" s="510"/>
      <c r="Q340" s="534">
        <v>840.54</v>
      </c>
      <c r="R340" s="531"/>
      <c r="S340" s="557">
        <v>50.030000000000086</v>
      </c>
      <c r="T340" s="510"/>
      <c r="U340" s="510"/>
      <c r="V340" s="510"/>
      <c r="W340" s="510"/>
      <c r="X340" s="510"/>
      <c r="Y340" s="510"/>
      <c r="Z340" s="510"/>
      <c r="AA340" s="510"/>
      <c r="AB340" s="510"/>
      <c r="AC340" s="510"/>
      <c r="AD340" s="510"/>
      <c r="AE340" s="510"/>
      <c r="AF340" s="510"/>
      <c r="AG340" s="510"/>
      <c r="AH340" s="510"/>
      <c r="AI340" s="510"/>
      <c r="AJ340" s="510"/>
      <c r="AK340" s="510"/>
      <c r="AL340" s="510"/>
      <c r="AM340" s="510"/>
      <c r="AN340" s="510"/>
    </row>
    <row r="341" spans="1:40" ht="15.75" customHeight="1">
      <c r="A341" s="523" t="s">
        <v>437</v>
      </c>
      <c r="B341" s="510" t="s">
        <v>103</v>
      </c>
      <c r="C341" s="600" t="s">
        <v>59</v>
      </c>
      <c r="D341" s="584"/>
      <c r="E341" s="510"/>
      <c r="F341" s="532">
        <v>131.35821644756945</v>
      </c>
      <c r="G341" s="585"/>
      <c r="H341" s="510"/>
      <c r="I341" s="532"/>
      <c r="J341" s="531"/>
      <c r="K341" s="510"/>
      <c r="L341" s="534">
        <v>91.86</v>
      </c>
      <c r="M341" s="531"/>
      <c r="N341" s="557">
        <v>-39.498216447569447</v>
      </c>
      <c r="O341" s="531"/>
      <c r="P341" s="510"/>
      <c r="Q341" s="534">
        <v>74.95</v>
      </c>
      <c r="R341" s="531"/>
      <c r="S341" s="557">
        <v>16.909999999999997</v>
      </c>
      <c r="T341" s="510"/>
      <c r="U341" s="510"/>
      <c r="V341" s="510"/>
      <c r="W341" s="510"/>
      <c r="X341" s="510"/>
      <c r="Y341" s="510"/>
      <c r="Z341" s="510"/>
      <c r="AA341" s="510"/>
      <c r="AB341" s="510"/>
      <c r="AC341" s="510"/>
      <c r="AD341" s="510"/>
      <c r="AE341" s="510"/>
      <c r="AF341" s="510"/>
      <c r="AG341" s="510"/>
      <c r="AH341" s="510"/>
      <c r="AI341" s="510"/>
      <c r="AJ341" s="510"/>
      <c r="AK341" s="510"/>
      <c r="AL341" s="510"/>
      <c r="AM341" s="510"/>
      <c r="AN341" s="510"/>
    </row>
    <row r="342" spans="1:40" ht="15.75" customHeight="1">
      <c r="A342" s="523" t="s">
        <v>438</v>
      </c>
      <c r="B342" s="510" t="s">
        <v>103</v>
      </c>
      <c r="C342" s="600" t="s">
        <v>60</v>
      </c>
      <c r="D342" s="584"/>
      <c r="E342" s="510"/>
      <c r="F342" s="532">
        <v>160.29647805243053</v>
      </c>
      <c r="G342" s="585"/>
      <c r="H342" s="510"/>
      <c r="I342" s="532"/>
      <c r="J342" s="531"/>
      <c r="K342" s="510"/>
      <c r="L342" s="534">
        <v>-363.89</v>
      </c>
      <c r="M342" s="531"/>
      <c r="N342" s="557">
        <v>-524.18647805243052</v>
      </c>
      <c r="O342" s="531"/>
      <c r="P342" s="510"/>
      <c r="Q342" s="534">
        <v>-317.70999999999998</v>
      </c>
      <c r="R342" s="531"/>
      <c r="S342" s="557">
        <v>-46.180000000000007</v>
      </c>
      <c r="T342" s="510"/>
      <c r="U342" s="510"/>
      <c r="V342" s="510"/>
      <c r="W342" s="510"/>
      <c r="X342" s="510"/>
      <c r="Y342" s="510"/>
      <c r="Z342" s="510"/>
      <c r="AA342" s="510"/>
      <c r="AB342" s="510"/>
      <c r="AC342" s="510"/>
      <c r="AD342" s="510"/>
      <c r="AE342" s="510"/>
      <c r="AF342" s="510"/>
      <c r="AG342" s="510"/>
      <c r="AH342" s="510"/>
      <c r="AI342" s="510"/>
      <c r="AJ342" s="510"/>
      <c r="AK342" s="510"/>
      <c r="AL342" s="510"/>
      <c r="AM342" s="510"/>
      <c r="AN342" s="510"/>
    </row>
    <row r="343" spans="1:40" ht="15.75" customHeight="1">
      <c r="A343" s="523" t="s">
        <v>439</v>
      </c>
      <c r="B343" s="510" t="s">
        <v>103</v>
      </c>
      <c r="C343" s="600" t="s">
        <v>61</v>
      </c>
      <c r="D343" s="584"/>
      <c r="E343" s="510"/>
      <c r="F343" s="532">
        <v>218.76449018368055</v>
      </c>
      <c r="G343" s="585"/>
      <c r="H343" s="510"/>
      <c r="I343" s="532"/>
      <c r="J343" s="531"/>
      <c r="K343" s="510"/>
      <c r="L343" s="534">
        <v>74.7</v>
      </c>
      <c r="M343" s="531"/>
      <c r="N343" s="557">
        <v>-144.06449018368056</v>
      </c>
      <c r="O343" s="531"/>
      <c r="P343" s="510"/>
      <c r="Q343" s="534">
        <v>73.64</v>
      </c>
      <c r="R343" s="531"/>
      <c r="S343" s="557">
        <v>1.0600000000000023</v>
      </c>
      <c r="T343" s="510"/>
      <c r="U343" s="510"/>
      <c r="V343" s="510"/>
      <c r="W343" s="510"/>
      <c r="X343" s="510"/>
      <c r="Y343" s="510"/>
      <c r="Z343" s="510"/>
      <c r="AA343" s="510"/>
      <c r="AB343" s="510"/>
      <c r="AC343" s="510"/>
      <c r="AD343" s="510"/>
      <c r="AE343" s="510"/>
      <c r="AF343" s="510"/>
      <c r="AG343" s="510"/>
      <c r="AH343" s="510"/>
      <c r="AI343" s="510"/>
      <c r="AJ343" s="510"/>
      <c r="AK343" s="510"/>
      <c r="AL343" s="510"/>
      <c r="AM343" s="510"/>
      <c r="AN343" s="510"/>
    </row>
    <row r="344" spans="1:40" ht="15.75" customHeight="1">
      <c r="A344" s="523" t="s">
        <v>440</v>
      </c>
      <c r="B344" s="510" t="s">
        <v>103</v>
      </c>
      <c r="C344" s="600" t="s">
        <v>62</v>
      </c>
      <c r="D344" s="584"/>
      <c r="E344" s="510"/>
      <c r="F344" s="532">
        <v>822.25903298327421</v>
      </c>
      <c r="G344" s="585"/>
      <c r="H344" s="510"/>
      <c r="I344" s="532"/>
      <c r="J344" s="531"/>
      <c r="K344" s="510"/>
      <c r="L344" s="534">
        <v>79.75</v>
      </c>
      <c r="M344" s="531"/>
      <c r="N344" s="557">
        <v>-742.50903298327421</v>
      </c>
      <c r="O344" s="531"/>
      <c r="P344" s="510"/>
      <c r="Q344" s="534">
        <v>67.7</v>
      </c>
      <c r="R344" s="531"/>
      <c r="S344" s="557">
        <v>12.049999999999997</v>
      </c>
      <c r="T344" s="510"/>
      <c r="X344" s="510"/>
      <c r="Y344" s="510"/>
      <c r="Z344" s="510"/>
      <c r="AA344" s="510"/>
      <c r="AB344" s="510"/>
      <c r="AC344" s="510"/>
      <c r="AD344" s="510"/>
      <c r="AE344" s="510"/>
      <c r="AF344" s="510"/>
      <c r="AG344" s="510"/>
      <c r="AH344" s="510"/>
      <c r="AI344" s="510"/>
      <c r="AJ344" s="510"/>
      <c r="AK344" s="510"/>
      <c r="AL344" s="510"/>
      <c r="AM344" s="510"/>
      <c r="AN344" s="510"/>
    </row>
    <row r="345" spans="1:40" ht="15.75" customHeight="1">
      <c r="A345" s="523" t="s">
        <v>441</v>
      </c>
      <c r="B345" s="510" t="s">
        <v>103</v>
      </c>
      <c r="C345" s="600" t="s">
        <v>63</v>
      </c>
      <c r="D345" s="584"/>
      <c r="E345" s="510"/>
      <c r="F345" s="532">
        <v>1479.6608489796454</v>
      </c>
      <c r="G345" s="585"/>
      <c r="H345" s="510"/>
      <c r="I345" s="532"/>
      <c r="J345" s="531"/>
      <c r="K345" s="510"/>
      <c r="L345" s="534">
        <v>1844.38</v>
      </c>
      <c r="M345" s="531"/>
      <c r="N345" s="557">
        <v>364.71915102035473</v>
      </c>
      <c r="O345" s="531"/>
      <c r="P345" s="510"/>
      <c r="Q345" s="534">
        <v>1425.01</v>
      </c>
      <c r="R345" s="531"/>
      <c r="S345" s="557">
        <v>419.37000000000012</v>
      </c>
      <c r="T345" s="510"/>
      <c r="X345" s="510"/>
      <c r="Y345" s="510"/>
      <c r="Z345" s="510"/>
      <c r="AA345" s="510"/>
      <c r="AB345" s="510"/>
      <c r="AC345" s="510"/>
      <c r="AD345" s="510"/>
      <c r="AE345" s="510"/>
      <c r="AF345" s="510"/>
      <c r="AG345" s="510"/>
      <c r="AH345" s="510"/>
      <c r="AI345" s="510"/>
      <c r="AJ345" s="510"/>
      <c r="AK345" s="510"/>
      <c r="AL345" s="510"/>
      <c r="AM345" s="510"/>
      <c r="AN345" s="510"/>
    </row>
    <row r="346" spans="1:40" ht="15.75" hidden="1" customHeight="1">
      <c r="A346" s="523" t="s">
        <v>408</v>
      </c>
      <c r="B346" s="510" t="s">
        <v>103</v>
      </c>
      <c r="C346" s="600" t="s">
        <v>20</v>
      </c>
      <c r="D346" s="584"/>
      <c r="E346" s="510"/>
      <c r="F346" s="532">
        <v>0</v>
      </c>
      <c r="G346" s="585"/>
      <c r="H346" s="510"/>
      <c r="I346" s="532"/>
      <c r="J346" s="531"/>
      <c r="K346" s="510"/>
      <c r="L346" s="534">
        <v>0</v>
      </c>
      <c r="M346" s="531"/>
      <c r="N346" s="557">
        <v>0</v>
      </c>
      <c r="O346" s="531"/>
      <c r="P346" s="510"/>
      <c r="Q346" s="534">
        <v>0</v>
      </c>
      <c r="R346" s="531"/>
      <c r="S346" s="557">
        <v>0</v>
      </c>
      <c r="T346" s="510"/>
      <c r="X346" s="510"/>
      <c r="Y346" s="510"/>
      <c r="Z346" s="510"/>
      <c r="AA346" s="510"/>
      <c r="AB346" s="510"/>
      <c r="AC346" s="510"/>
      <c r="AD346" s="510"/>
      <c r="AE346" s="510"/>
      <c r="AF346" s="510"/>
      <c r="AG346" s="510"/>
      <c r="AH346" s="510"/>
      <c r="AI346" s="510"/>
      <c r="AJ346" s="510"/>
      <c r="AK346" s="510"/>
      <c r="AL346" s="510"/>
      <c r="AM346" s="510"/>
      <c r="AN346" s="510"/>
    </row>
    <row r="347" spans="1:40" ht="15.75" hidden="1" customHeight="1">
      <c r="A347" s="523" t="s">
        <v>408</v>
      </c>
      <c r="B347" s="510" t="s">
        <v>103</v>
      </c>
      <c r="C347" s="600" t="s">
        <v>20</v>
      </c>
      <c r="D347" s="584"/>
      <c r="E347" s="510"/>
      <c r="F347" s="532">
        <v>0</v>
      </c>
      <c r="G347" s="585"/>
      <c r="H347" s="510"/>
      <c r="I347" s="532"/>
      <c r="J347" s="531"/>
      <c r="K347" s="510"/>
      <c r="L347" s="534">
        <v>0</v>
      </c>
      <c r="M347" s="531"/>
      <c r="N347" s="557">
        <v>0</v>
      </c>
      <c r="O347" s="531"/>
      <c r="P347" s="510"/>
      <c r="Q347" s="534">
        <v>0</v>
      </c>
      <c r="R347" s="531"/>
      <c r="S347" s="557">
        <v>0</v>
      </c>
      <c r="T347" s="510"/>
      <c r="X347" s="510"/>
      <c r="Y347" s="510"/>
      <c r="Z347" s="510"/>
      <c r="AA347" s="510"/>
      <c r="AB347" s="510"/>
      <c r="AC347" s="510"/>
      <c r="AD347" s="510"/>
      <c r="AE347" s="510"/>
      <c r="AF347" s="510"/>
      <c r="AG347" s="510"/>
      <c r="AH347" s="510"/>
      <c r="AI347" s="510"/>
      <c r="AJ347" s="510"/>
      <c r="AK347" s="510"/>
      <c r="AL347" s="510"/>
      <c r="AM347" s="510"/>
      <c r="AN347" s="510"/>
    </row>
    <row r="348" spans="1:40" ht="15.75" hidden="1" customHeight="1">
      <c r="A348" s="523" t="s">
        <v>408</v>
      </c>
      <c r="B348" s="510" t="s">
        <v>103</v>
      </c>
      <c r="C348" s="600" t="s">
        <v>20</v>
      </c>
      <c r="D348" s="584"/>
      <c r="E348" s="510"/>
      <c r="F348" s="532">
        <v>0</v>
      </c>
      <c r="G348" s="585"/>
      <c r="H348" s="510"/>
      <c r="I348" s="532"/>
      <c r="J348" s="531"/>
      <c r="K348" s="510"/>
      <c r="L348" s="534">
        <v>0</v>
      </c>
      <c r="M348" s="531"/>
      <c r="N348" s="557">
        <v>0</v>
      </c>
      <c r="O348" s="531"/>
      <c r="P348" s="510"/>
      <c r="Q348" s="534">
        <v>0</v>
      </c>
      <c r="R348" s="531"/>
      <c r="S348" s="557">
        <v>0</v>
      </c>
      <c r="T348" s="510"/>
      <c r="X348" s="510"/>
      <c r="Y348" s="510"/>
      <c r="Z348" s="510"/>
      <c r="AA348" s="510"/>
      <c r="AB348" s="510"/>
      <c r="AC348" s="510"/>
      <c r="AD348" s="510"/>
      <c r="AE348" s="510"/>
      <c r="AF348" s="510"/>
      <c r="AG348" s="510"/>
      <c r="AH348" s="510"/>
      <c r="AI348" s="510"/>
      <c r="AJ348" s="510"/>
      <c r="AK348" s="510"/>
      <c r="AL348" s="510"/>
      <c r="AM348" s="510"/>
      <c r="AN348" s="510"/>
    </row>
    <row r="349" spans="1:40" ht="15.75" customHeight="1">
      <c r="B349" s="504"/>
      <c r="C349" s="592" t="s">
        <v>64</v>
      </c>
      <c r="D349" s="593" t="s">
        <v>39</v>
      </c>
      <c r="E349" s="594">
        <v>0.26269028258819405</v>
      </c>
      <c r="F349" s="595">
        <v>27569.677157790564</v>
      </c>
      <c r="G349" s="596"/>
      <c r="H349" s="594"/>
      <c r="I349" s="595"/>
      <c r="J349" s="596" t="s">
        <v>39</v>
      </c>
      <c r="K349" s="594">
        <v>0.25979579498110261</v>
      </c>
      <c r="L349" s="595">
        <v>26353.74</v>
      </c>
      <c r="M349" s="599"/>
      <c r="N349" s="595">
        <v>-1215.9371577905672</v>
      </c>
      <c r="O349" s="596" t="s">
        <v>39</v>
      </c>
      <c r="P349" s="594">
        <v>0.23384797465037421</v>
      </c>
      <c r="Q349" s="595">
        <v>27128.61</v>
      </c>
      <c r="R349" s="599"/>
      <c r="S349" s="595">
        <v>-774.8700000000008</v>
      </c>
      <c r="T349" s="510"/>
      <c r="X349" s="510"/>
      <c r="Y349" s="510"/>
      <c r="Z349" s="510"/>
      <c r="AA349" s="510"/>
      <c r="AB349" s="510"/>
      <c r="AC349" s="510"/>
      <c r="AD349" s="510"/>
      <c r="AE349" s="510"/>
      <c r="AF349" s="510"/>
      <c r="AG349" s="510"/>
      <c r="AH349" s="510"/>
      <c r="AI349" s="510"/>
      <c r="AJ349" s="510"/>
      <c r="AK349" s="510"/>
      <c r="AL349" s="510"/>
      <c r="AM349" s="510"/>
      <c r="AN349" s="510"/>
    </row>
    <row r="350" spans="1:40" ht="15.75" customHeight="1">
      <c r="B350" s="504"/>
      <c r="C350" s="524"/>
      <c r="D350" s="587"/>
      <c r="E350" s="607"/>
      <c r="F350" s="557"/>
      <c r="G350" s="588"/>
      <c r="H350" s="607"/>
      <c r="I350" s="557"/>
      <c r="J350" s="524"/>
      <c r="K350" s="607"/>
      <c r="L350" s="582"/>
      <c r="M350" s="524"/>
      <c r="N350" s="582"/>
      <c r="O350" s="524"/>
      <c r="P350" s="607"/>
      <c r="Q350" s="582"/>
      <c r="R350" s="524"/>
      <c r="S350" s="582"/>
      <c r="T350" s="510"/>
      <c r="U350" s="510"/>
      <c r="V350" s="510"/>
      <c r="W350" s="510"/>
      <c r="X350" s="510"/>
      <c r="Y350" s="510"/>
      <c r="Z350" s="510"/>
      <c r="AA350" s="510"/>
      <c r="AB350" s="510"/>
      <c r="AC350" s="510"/>
      <c r="AD350" s="510"/>
      <c r="AE350" s="510"/>
      <c r="AF350" s="510"/>
      <c r="AG350" s="510"/>
      <c r="AH350" s="510"/>
      <c r="AI350" s="510"/>
      <c r="AJ350" s="510"/>
      <c r="AK350" s="510"/>
      <c r="AL350" s="510"/>
      <c r="AM350" s="510"/>
      <c r="AN350" s="510"/>
    </row>
    <row r="351" spans="1:40" ht="15.75" customHeight="1">
      <c r="B351" s="504"/>
      <c r="C351" s="592" t="s">
        <v>65</v>
      </c>
      <c r="D351" s="593" t="s">
        <v>39</v>
      </c>
      <c r="E351" s="594">
        <v>0.70099834352935342</v>
      </c>
      <c r="F351" s="595">
        <v>73570.662107616197</v>
      </c>
      <c r="G351" s="596"/>
      <c r="H351" s="594"/>
      <c r="I351" s="595"/>
      <c r="J351" s="596" t="s">
        <v>39</v>
      </c>
      <c r="K351" s="594">
        <v>0.67847828785054742</v>
      </c>
      <c r="L351" s="595">
        <v>68824.98</v>
      </c>
      <c r="M351" s="599"/>
      <c r="N351" s="609">
        <v>-4745.6821076162014</v>
      </c>
      <c r="O351" s="596" t="s">
        <v>39</v>
      </c>
      <c r="P351" s="594">
        <v>0.70733482401456571</v>
      </c>
      <c r="Q351" s="595">
        <v>82057.63</v>
      </c>
      <c r="R351" s="599"/>
      <c r="S351" s="609">
        <v>-13232.650000000009</v>
      </c>
      <c r="T351" s="510"/>
      <c r="U351" s="510"/>
      <c r="V351" s="510"/>
      <c r="W351" s="510"/>
      <c r="X351" s="510"/>
      <c r="Y351" s="510"/>
      <c r="Z351" s="510"/>
      <c r="AA351" s="510"/>
      <c r="AB351" s="510"/>
      <c r="AC351" s="510"/>
      <c r="AD351" s="510"/>
      <c r="AE351" s="510"/>
      <c r="AF351" s="510"/>
      <c r="AG351" s="510"/>
      <c r="AH351" s="510"/>
      <c r="AI351" s="510"/>
      <c r="AJ351" s="510"/>
      <c r="AK351" s="510"/>
      <c r="AL351" s="510"/>
      <c r="AM351" s="510"/>
      <c r="AN351" s="510"/>
    </row>
    <row r="352" spans="1:40" ht="15.75" customHeight="1">
      <c r="B352" s="504"/>
      <c r="C352" s="531"/>
      <c r="D352" s="584"/>
      <c r="E352" s="510"/>
      <c r="F352" s="557"/>
      <c r="G352" s="585"/>
      <c r="H352" s="510"/>
      <c r="I352" s="557"/>
      <c r="J352" s="531"/>
      <c r="K352" s="510"/>
      <c r="L352" s="557"/>
      <c r="M352" s="531"/>
      <c r="N352" s="557">
        <v>0</v>
      </c>
      <c r="O352" s="531"/>
      <c r="P352" s="510"/>
      <c r="Q352" s="557"/>
      <c r="R352" s="531"/>
      <c r="S352" s="557"/>
      <c r="T352" s="510"/>
      <c r="U352" s="510"/>
      <c r="V352" s="510"/>
      <c r="W352" s="510"/>
      <c r="X352" s="510"/>
      <c r="Y352" s="510"/>
      <c r="Z352" s="510"/>
      <c r="AA352" s="510"/>
      <c r="AB352" s="510"/>
      <c r="AC352" s="510"/>
      <c r="AD352" s="510"/>
      <c r="AE352" s="510"/>
      <c r="AF352" s="510"/>
      <c r="AG352" s="510"/>
      <c r="AH352" s="510"/>
      <c r="AI352" s="510"/>
      <c r="AJ352" s="510"/>
      <c r="AK352" s="510"/>
      <c r="AL352" s="510"/>
      <c r="AM352" s="510"/>
      <c r="AN352" s="510"/>
    </row>
    <row r="353" spans="1:40" ht="24" customHeight="1" thickBot="1">
      <c r="B353" s="504"/>
      <c r="C353" s="625" t="s">
        <v>72</v>
      </c>
      <c r="D353" s="655"/>
      <c r="E353" s="626"/>
      <c r="F353" s="628">
        <v>31380.601738751968</v>
      </c>
      <c r="G353" s="656"/>
      <c r="H353" s="626"/>
      <c r="I353" s="628"/>
      <c r="J353" s="625"/>
      <c r="K353" s="627"/>
      <c r="L353" s="628">
        <v>32615.230000000025</v>
      </c>
      <c r="M353" s="625"/>
      <c r="N353" s="628">
        <v>1234.6282612480572</v>
      </c>
      <c r="O353" s="625"/>
      <c r="P353" s="630">
        <v>7.7608433835185273E-2</v>
      </c>
      <c r="Q353" s="628">
        <v>33951.969999999768</v>
      </c>
      <c r="R353" s="625"/>
      <c r="S353" s="628">
        <v>-1336.7399999997433</v>
      </c>
      <c r="T353" s="510"/>
      <c r="U353" s="510"/>
      <c r="V353" s="510"/>
      <c r="W353" s="510"/>
      <c r="X353" s="510"/>
      <c r="Y353" s="510"/>
      <c r="Z353" s="510"/>
      <c r="AA353" s="510"/>
      <c r="AB353" s="510"/>
      <c r="AC353" s="510"/>
      <c r="AD353" s="510"/>
      <c r="AE353" s="510"/>
      <c r="AF353" s="510"/>
      <c r="AG353" s="510"/>
      <c r="AH353" s="510"/>
      <c r="AI353" s="510"/>
      <c r="AJ353" s="510"/>
      <c r="AK353" s="510"/>
      <c r="AL353" s="510"/>
      <c r="AM353" s="510"/>
      <c r="AN353" s="510"/>
    </row>
    <row r="354" spans="1:40" ht="15.75" customHeight="1" thickTop="1">
      <c r="B354" s="504"/>
      <c r="C354" s="571"/>
      <c r="D354" s="584"/>
      <c r="E354" s="510"/>
      <c r="F354" s="608"/>
      <c r="G354" s="584"/>
      <c r="H354" s="510"/>
      <c r="I354" s="608"/>
      <c r="J354" s="571"/>
      <c r="K354" s="571"/>
      <c r="L354" s="608"/>
      <c r="M354" s="571"/>
      <c r="N354" s="608"/>
      <c r="O354" s="571"/>
      <c r="P354" s="571"/>
      <c r="Q354" s="608"/>
      <c r="R354" s="571"/>
      <c r="S354" s="608"/>
      <c r="T354" s="510"/>
      <c r="U354" s="510"/>
      <c r="V354" s="510"/>
      <c r="W354" s="510"/>
      <c r="X354" s="510"/>
      <c r="Y354" s="510"/>
      <c r="Z354" s="510"/>
      <c r="AA354" s="510"/>
      <c r="AB354" s="510"/>
      <c r="AC354" s="510"/>
      <c r="AD354" s="510"/>
      <c r="AE354" s="510"/>
      <c r="AF354" s="510"/>
      <c r="AG354" s="510"/>
      <c r="AH354" s="510"/>
      <c r="AI354" s="510"/>
      <c r="AJ354" s="510"/>
      <c r="AK354" s="510"/>
      <c r="AL354" s="510"/>
      <c r="AM354" s="510"/>
      <c r="AN354" s="510"/>
    </row>
    <row r="355" spans="1:40" ht="15.75" hidden="1" customHeight="1">
      <c r="B355" s="504"/>
      <c r="C355" s="571"/>
      <c r="D355" s="584"/>
      <c r="E355" s="510"/>
      <c r="F355" s="608"/>
      <c r="G355" s="584"/>
      <c r="H355" s="510"/>
      <c r="I355" s="608"/>
      <c r="J355" s="571"/>
      <c r="K355" s="571"/>
      <c r="L355" s="608"/>
      <c r="M355" s="571"/>
      <c r="N355" s="608"/>
      <c r="O355" s="571"/>
      <c r="P355" s="571"/>
      <c r="Q355" s="608"/>
      <c r="R355" s="571"/>
      <c r="S355" s="608"/>
      <c r="T355" s="510"/>
      <c r="U355" s="510"/>
      <c r="V355" s="510"/>
      <c r="W355" s="510"/>
      <c r="X355" s="510"/>
      <c r="Y355" s="510"/>
      <c r="Z355" s="510"/>
      <c r="AA355" s="510"/>
      <c r="AB355" s="510"/>
      <c r="AC355" s="510"/>
      <c r="AD355" s="510"/>
      <c r="AE355" s="510"/>
      <c r="AF355" s="510"/>
      <c r="AG355" s="510"/>
      <c r="AH355" s="510"/>
      <c r="AI355" s="510"/>
      <c r="AJ355" s="510"/>
      <c r="AK355" s="510"/>
      <c r="AL355" s="510"/>
      <c r="AM355" s="510"/>
      <c r="AN355" s="510"/>
    </row>
    <row r="356" spans="1:40" ht="34.5" hidden="1" customHeight="1">
      <c r="B356" s="504"/>
      <c r="C356" s="635" t="s">
        <v>478</v>
      </c>
      <c r="D356" s="498"/>
      <c r="E356" s="498"/>
      <c r="F356" s="498"/>
      <c r="G356" s="498"/>
      <c r="H356" s="496"/>
      <c r="I356" s="496"/>
      <c r="J356" s="496"/>
      <c r="K356" s="500" t="s">
        <v>119</v>
      </c>
      <c r="L356" s="498"/>
      <c r="M356" s="498"/>
      <c r="N356" s="496"/>
      <c r="O356" s="496"/>
      <c r="P356" s="498"/>
      <c r="Q356" s="496"/>
      <c r="R356" s="498"/>
      <c r="S356" s="636" t="s">
        <v>480</v>
      </c>
      <c r="T356" s="507"/>
      <c r="U356" s="507"/>
      <c r="V356" s="510"/>
      <c r="W356" s="507"/>
      <c r="X356" s="507"/>
      <c r="Y356" s="507"/>
      <c r="Z356" s="507"/>
      <c r="AA356" s="507"/>
      <c r="AB356" s="507"/>
      <c r="AC356" s="507"/>
      <c r="AD356" s="507"/>
      <c r="AE356" s="507"/>
      <c r="AF356" s="507"/>
      <c r="AG356" s="507"/>
      <c r="AH356" s="507"/>
      <c r="AI356" s="507"/>
      <c r="AJ356" s="507"/>
      <c r="AK356" s="507"/>
      <c r="AL356" s="507"/>
      <c r="AM356" s="507"/>
      <c r="AN356" s="507"/>
    </row>
    <row r="357" spans="1:40" ht="15.75" hidden="1" customHeight="1">
      <c r="B357" s="504"/>
      <c r="C357" s="505"/>
      <c r="D357" s="507"/>
      <c r="E357" s="507"/>
      <c r="F357" s="507"/>
      <c r="G357" s="507"/>
      <c r="H357" s="507"/>
      <c r="I357" s="507"/>
      <c r="J357" s="507"/>
      <c r="K357" s="507"/>
      <c r="L357" s="507"/>
      <c r="M357" s="507"/>
      <c r="N357" s="507"/>
      <c r="O357" s="507"/>
      <c r="P357" s="507"/>
      <c r="Q357" s="507"/>
      <c r="R357" s="507"/>
      <c r="S357" s="507"/>
      <c r="T357" s="507"/>
      <c r="U357" s="507"/>
      <c r="V357" s="510"/>
      <c r="W357" s="507"/>
      <c r="X357" s="507"/>
      <c r="Y357" s="507"/>
      <c r="Z357" s="507"/>
      <c r="AA357" s="507"/>
      <c r="AB357" s="507"/>
      <c r="AC357" s="507"/>
      <c r="AD357" s="507"/>
      <c r="AE357" s="507"/>
      <c r="AF357" s="507"/>
      <c r="AG357" s="507"/>
      <c r="AH357" s="507"/>
      <c r="AI357" s="507"/>
      <c r="AJ357" s="507"/>
      <c r="AK357" s="507"/>
      <c r="AL357" s="507"/>
      <c r="AM357" s="507"/>
      <c r="AN357" s="507"/>
    </row>
    <row r="358" spans="1:40" ht="15.75" hidden="1" customHeight="1">
      <c r="B358" s="504"/>
      <c r="C358" s="511"/>
      <c r="D358" s="512" t="s">
        <v>5</v>
      </c>
      <c r="E358" s="513"/>
      <c r="F358" s="514"/>
      <c r="G358" s="515"/>
      <c r="H358" s="513"/>
      <c r="I358" s="514"/>
      <c r="J358" s="515" t="s">
        <v>7</v>
      </c>
      <c r="K358" s="513"/>
      <c r="L358" s="514"/>
      <c r="M358" s="515"/>
      <c r="N358" s="514"/>
      <c r="O358" s="512" t="s">
        <v>8</v>
      </c>
      <c r="P358" s="513"/>
      <c r="Q358" s="514"/>
      <c r="R358" s="515" t="s">
        <v>9</v>
      </c>
      <c r="S358" s="514"/>
      <c r="T358" s="507"/>
      <c r="U358" s="507"/>
      <c r="V358" s="510"/>
      <c r="W358" s="507"/>
      <c r="X358" s="507"/>
      <c r="Y358" s="507"/>
      <c r="Z358" s="507"/>
      <c r="AA358" s="507"/>
      <c r="AB358" s="507"/>
      <c r="AC358" s="507"/>
      <c r="AD358" s="507"/>
      <c r="AE358" s="507"/>
      <c r="AF358" s="507"/>
      <c r="AG358" s="507"/>
      <c r="AH358" s="507"/>
      <c r="AI358" s="507"/>
      <c r="AJ358" s="507"/>
      <c r="AK358" s="507"/>
      <c r="AL358" s="507"/>
      <c r="AM358" s="507"/>
      <c r="AN358" s="507"/>
    </row>
    <row r="359" spans="1:40" ht="15.75" hidden="1" customHeight="1">
      <c r="A359" s="523" t="s">
        <v>119</v>
      </c>
      <c r="B359" s="510" t="s">
        <v>119</v>
      </c>
      <c r="C359" s="531"/>
      <c r="D359" s="720" t="s">
        <v>84</v>
      </c>
      <c r="E359" s="720" t="s">
        <v>104</v>
      </c>
      <c r="F359" s="721" t="s">
        <v>12</v>
      </c>
      <c r="G359" s="722"/>
      <c r="H359" s="720"/>
      <c r="I359" s="721"/>
      <c r="J359" s="659" t="s">
        <v>84</v>
      </c>
      <c r="K359" s="575" t="s">
        <v>104</v>
      </c>
      <c r="L359" s="658" t="s">
        <v>12</v>
      </c>
      <c r="M359" s="659"/>
      <c r="N359" s="658"/>
      <c r="O359" s="659" t="s">
        <v>84</v>
      </c>
      <c r="P359" s="575" t="s">
        <v>104</v>
      </c>
      <c r="Q359" s="658" t="s">
        <v>12</v>
      </c>
      <c r="R359" s="659" t="s">
        <v>85</v>
      </c>
      <c r="S359" s="658" t="s">
        <v>12</v>
      </c>
      <c r="T359" s="507"/>
      <c r="U359" s="507"/>
      <c r="V359" s="510"/>
      <c r="W359" s="507"/>
      <c r="X359" s="507"/>
      <c r="Y359" s="507"/>
      <c r="Z359" s="507"/>
      <c r="AA359" s="507"/>
      <c r="AB359" s="507"/>
      <c r="AC359" s="507"/>
      <c r="AD359" s="507"/>
      <c r="AE359" s="507"/>
      <c r="AF359" s="507"/>
      <c r="AG359" s="507"/>
      <c r="AH359" s="507"/>
      <c r="AI359" s="507"/>
      <c r="AJ359" s="507"/>
      <c r="AK359" s="507"/>
      <c r="AL359" s="507"/>
      <c r="AM359" s="507"/>
      <c r="AN359" s="507"/>
    </row>
    <row r="360" spans="1:40" ht="15.75" hidden="1" customHeight="1">
      <c r="A360" s="523" t="s">
        <v>442</v>
      </c>
      <c r="B360" s="510" t="s">
        <v>119</v>
      </c>
      <c r="C360" s="559" t="s">
        <v>119</v>
      </c>
      <c r="D360" s="723">
        <v>0</v>
      </c>
      <c r="E360" s="724">
        <v>0</v>
      </c>
      <c r="F360" s="725">
        <v>0</v>
      </c>
      <c r="G360" s="723"/>
      <c r="H360" s="724"/>
      <c r="I360" s="723"/>
      <c r="J360" s="726">
        <v>0</v>
      </c>
      <c r="K360" s="711">
        <v>0</v>
      </c>
      <c r="L360" s="727">
        <v>0</v>
      </c>
      <c r="M360" s="712"/>
      <c r="N360" s="713"/>
      <c r="O360" s="726">
        <v>0</v>
      </c>
      <c r="P360" s="711">
        <v>0</v>
      </c>
      <c r="Q360" s="727">
        <v>0</v>
      </c>
      <c r="R360" s="712">
        <v>0</v>
      </c>
      <c r="S360" s="713">
        <v>0</v>
      </c>
      <c r="T360" s="507"/>
      <c r="U360" s="507"/>
      <c r="V360" s="728"/>
      <c r="W360" s="507"/>
      <c r="X360" s="507"/>
      <c r="Y360" s="507"/>
      <c r="Z360" s="507"/>
      <c r="AA360" s="507"/>
      <c r="AB360" s="507"/>
      <c r="AC360" s="507"/>
      <c r="AD360" s="507"/>
      <c r="AE360" s="507"/>
      <c r="AF360" s="507"/>
      <c r="AG360" s="507"/>
      <c r="AH360" s="507"/>
      <c r="AI360" s="507"/>
      <c r="AJ360" s="507"/>
      <c r="AK360" s="507"/>
      <c r="AL360" s="507"/>
      <c r="AM360" s="507"/>
      <c r="AN360" s="507"/>
    </row>
    <row r="361" spans="1:40" ht="15.75" hidden="1" customHeight="1">
      <c r="A361" s="523" t="s">
        <v>119</v>
      </c>
      <c r="B361" s="510" t="s">
        <v>119</v>
      </c>
      <c r="C361" s="625"/>
      <c r="D361" s="714"/>
      <c r="E361" s="715"/>
      <c r="F361" s="628"/>
      <c r="G361" s="716"/>
      <c r="H361" s="715"/>
      <c r="I361" s="628"/>
      <c r="J361" s="716"/>
      <c r="K361" s="715"/>
      <c r="L361" s="628"/>
      <c r="M361" s="718"/>
      <c r="N361" s="570"/>
      <c r="O361" s="716"/>
      <c r="P361" s="715"/>
      <c r="Q361" s="628"/>
      <c r="R361" s="718"/>
      <c r="S361" s="570"/>
      <c r="T361" s="507"/>
      <c r="U361" s="507"/>
      <c r="V361" s="510"/>
      <c r="W361" s="507"/>
      <c r="X361" s="507"/>
      <c r="Y361" s="507"/>
      <c r="Z361" s="507"/>
      <c r="AA361" s="507"/>
      <c r="AB361" s="507"/>
      <c r="AC361" s="507"/>
      <c r="AD361" s="507"/>
      <c r="AE361" s="507"/>
      <c r="AF361" s="507"/>
      <c r="AG361" s="507"/>
      <c r="AH361" s="507"/>
      <c r="AI361" s="507"/>
      <c r="AJ361" s="507"/>
      <c r="AK361" s="507"/>
      <c r="AL361" s="507"/>
      <c r="AM361" s="507"/>
      <c r="AN361" s="507"/>
    </row>
    <row r="362" spans="1:40" ht="15.75" hidden="1" customHeight="1">
      <c r="A362" s="523" t="s">
        <v>443</v>
      </c>
      <c r="B362" s="510" t="s">
        <v>119</v>
      </c>
      <c r="C362" s="550" t="s">
        <v>120</v>
      </c>
      <c r="D362" s="608">
        <v>0</v>
      </c>
      <c r="E362" s="670">
        <v>0</v>
      </c>
      <c r="F362" s="672">
        <v>0</v>
      </c>
      <c r="G362" s="671"/>
      <c r="H362" s="670"/>
      <c r="I362" s="672"/>
      <c r="J362" s="671">
        <v>0</v>
      </c>
      <c r="K362" s="670">
        <v>0</v>
      </c>
      <c r="L362" s="672">
        <v>0</v>
      </c>
      <c r="M362" s="648"/>
      <c r="N362" s="729"/>
      <c r="O362" s="671">
        <v>0</v>
      </c>
      <c r="P362" s="670">
        <v>0</v>
      </c>
      <c r="Q362" s="672">
        <v>0</v>
      </c>
      <c r="R362" s="531">
        <v>0</v>
      </c>
      <c r="S362" s="549">
        <v>0</v>
      </c>
      <c r="T362" s="507"/>
      <c r="U362" s="507"/>
      <c r="V362" s="510"/>
      <c r="W362" s="507"/>
      <c r="X362" s="507"/>
      <c r="Y362" s="507"/>
      <c r="Z362" s="507"/>
      <c r="AA362" s="507"/>
      <c r="AB362" s="507"/>
      <c r="AC362" s="507"/>
      <c r="AD362" s="507"/>
      <c r="AE362" s="507"/>
      <c r="AF362" s="507"/>
      <c r="AG362" s="507"/>
      <c r="AH362" s="507"/>
      <c r="AI362" s="507"/>
      <c r="AJ362" s="507"/>
      <c r="AK362" s="507"/>
      <c r="AL362" s="507"/>
      <c r="AM362" s="507"/>
      <c r="AN362" s="507"/>
    </row>
    <row r="363" spans="1:40" ht="15.75" hidden="1" customHeight="1">
      <c r="A363" s="523" t="s">
        <v>119</v>
      </c>
      <c r="B363" s="510" t="s">
        <v>119</v>
      </c>
      <c r="C363" s="574"/>
      <c r="D363" s="510"/>
      <c r="E363" s="510"/>
      <c r="F363" s="557"/>
      <c r="G363" s="531"/>
      <c r="H363" s="510"/>
      <c r="I363" s="557"/>
      <c r="J363" s="531"/>
      <c r="K363" s="510"/>
      <c r="L363" s="541"/>
      <c r="M363" s="531"/>
      <c r="N363" s="660"/>
      <c r="O363" s="531"/>
      <c r="P363" s="510"/>
      <c r="Q363" s="541"/>
      <c r="R363" s="531"/>
      <c r="S363" s="541">
        <v>0</v>
      </c>
      <c r="T363" s="507"/>
      <c r="U363" s="507"/>
      <c r="V363" s="510"/>
      <c r="W363" s="507"/>
      <c r="X363" s="507"/>
      <c r="Y363" s="507"/>
      <c r="Z363" s="507"/>
      <c r="AA363" s="507"/>
      <c r="AB363" s="507"/>
      <c r="AC363" s="507"/>
      <c r="AD363" s="507"/>
      <c r="AE363" s="507"/>
      <c r="AF363" s="507"/>
      <c r="AG363" s="507"/>
      <c r="AH363" s="507"/>
      <c r="AI363" s="507"/>
      <c r="AJ363" s="507"/>
      <c r="AK363" s="507"/>
      <c r="AL363" s="507"/>
      <c r="AM363" s="507"/>
      <c r="AN363" s="507"/>
    </row>
    <row r="364" spans="1:40" ht="15.75" hidden="1" customHeight="1">
      <c r="A364" s="523" t="s">
        <v>444</v>
      </c>
      <c r="B364" s="510" t="s">
        <v>119</v>
      </c>
      <c r="C364" s="574" t="s">
        <v>30</v>
      </c>
      <c r="D364" s="510"/>
      <c r="E364" s="510"/>
      <c r="F364" s="557"/>
      <c r="G364" s="531"/>
      <c r="H364" s="510"/>
      <c r="I364" s="557"/>
      <c r="J364" s="531"/>
      <c r="K364" s="510"/>
      <c r="L364" s="541"/>
      <c r="M364" s="531"/>
      <c r="N364" s="541"/>
      <c r="O364" s="531"/>
      <c r="P364" s="510"/>
      <c r="Q364" s="541"/>
      <c r="R364" s="531"/>
      <c r="S364" s="541"/>
      <c r="T364" s="507"/>
      <c r="U364" s="507"/>
      <c r="V364" s="510"/>
      <c r="W364" s="507"/>
      <c r="X364" s="507"/>
      <c r="Y364" s="507"/>
      <c r="Z364" s="507"/>
      <c r="AA364" s="507"/>
      <c r="AB364" s="507"/>
      <c r="AC364" s="507"/>
      <c r="AD364" s="507"/>
      <c r="AE364" s="507"/>
      <c r="AF364" s="507"/>
      <c r="AG364" s="507"/>
      <c r="AH364" s="507"/>
      <c r="AI364" s="507"/>
      <c r="AJ364" s="507"/>
      <c r="AK364" s="507"/>
      <c r="AL364" s="507"/>
      <c r="AM364" s="507"/>
      <c r="AN364" s="507"/>
    </row>
    <row r="365" spans="1:40" ht="15.75" hidden="1" customHeight="1">
      <c r="A365" s="523" t="s">
        <v>445</v>
      </c>
      <c r="B365" s="510" t="s">
        <v>119</v>
      </c>
      <c r="C365" s="600" t="s">
        <v>41</v>
      </c>
      <c r="D365" s="510"/>
      <c r="E365" s="510"/>
      <c r="F365" s="532">
        <v>0</v>
      </c>
      <c r="G365" s="531"/>
      <c r="H365" s="510"/>
      <c r="I365" s="532"/>
      <c r="J365" s="531"/>
      <c r="K365" s="510"/>
      <c r="L365" s="534">
        <v>0</v>
      </c>
      <c r="M365" s="531"/>
      <c r="N365" s="541"/>
      <c r="O365" s="531"/>
      <c r="P365" s="510"/>
      <c r="Q365" s="534">
        <v>0</v>
      </c>
      <c r="R365" s="531"/>
      <c r="S365" s="534">
        <v>0</v>
      </c>
      <c r="T365" s="507"/>
      <c r="U365" s="507"/>
      <c r="V365" s="510"/>
      <c r="W365" s="507"/>
      <c r="X365" s="507"/>
      <c r="Y365" s="507"/>
      <c r="Z365" s="507"/>
      <c r="AA365" s="507"/>
      <c r="AB365" s="507"/>
      <c r="AC365" s="507"/>
      <c r="AD365" s="507"/>
      <c r="AE365" s="507"/>
      <c r="AF365" s="507"/>
      <c r="AG365" s="507"/>
      <c r="AH365" s="507"/>
      <c r="AI365" s="507"/>
      <c r="AJ365" s="507"/>
      <c r="AK365" s="507"/>
      <c r="AL365" s="507"/>
      <c r="AM365" s="507"/>
      <c r="AN365" s="507"/>
    </row>
    <row r="366" spans="1:40" ht="15.75" hidden="1" customHeight="1">
      <c r="A366" s="523" t="s">
        <v>446</v>
      </c>
      <c r="B366" s="510" t="s">
        <v>119</v>
      </c>
      <c r="C366" s="602" t="s">
        <v>42</v>
      </c>
      <c r="D366" s="584"/>
      <c r="E366" s="510"/>
      <c r="F366" s="526">
        <v>0</v>
      </c>
      <c r="G366" s="585"/>
      <c r="H366" s="510"/>
      <c r="I366" s="526"/>
      <c r="J366" s="531"/>
      <c r="K366" s="510"/>
      <c r="L366" s="526">
        <v>0</v>
      </c>
      <c r="M366" s="531"/>
      <c r="N366" s="557"/>
      <c r="O366" s="531"/>
      <c r="P366" s="510"/>
      <c r="Q366" s="526">
        <v>0</v>
      </c>
      <c r="R366" s="531"/>
      <c r="S366" s="557">
        <v>0</v>
      </c>
      <c r="T366" s="507"/>
      <c r="U366" s="507"/>
      <c r="V366" s="510"/>
      <c r="W366" s="507"/>
      <c r="X366" s="507"/>
      <c r="Y366" s="507"/>
      <c r="Z366" s="507"/>
      <c r="AA366" s="507"/>
      <c r="AB366" s="507"/>
      <c r="AC366" s="507"/>
      <c r="AD366" s="507"/>
      <c r="AE366" s="507"/>
      <c r="AF366" s="507"/>
      <c r="AG366" s="507"/>
      <c r="AH366" s="507"/>
      <c r="AI366" s="507"/>
      <c r="AJ366" s="507"/>
      <c r="AK366" s="507"/>
      <c r="AL366" s="507"/>
      <c r="AM366" s="507"/>
      <c r="AN366" s="507"/>
    </row>
    <row r="367" spans="1:40" ht="15.75" hidden="1" customHeight="1">
      <c r="A367" s="523" t="s">
        <v>447</v>
      </c>
      <c r="B367" s="510" t="s">
        <v>119</v>
      </c>
      <c r="C367" s="600" t="s">
        <v>43</v>
      </c>
      <c r="D367" s="603"/>
      <c r="E367" s="604"/>
      <c r="F367" s="532">
        <v>0</v>
      </c>
      <c r="G367" s="605"/>
      <c r="H367" s="604"/>
      <c r="I367" s="532"/>
      <c r="J367" s="518"/>
      <c r="K367" s="604"/>
      <c r="L367" s="534">
        <v>0</v>
      </c>
      <c r="M367" s="518"/>
      <c r="N367" s="606"/>
      <c r="O367" s="518"/>
      <c r="P367" s="604"/>
      <c r="Q367" s="534">
        <v>0</v>
      </c>
      <c r="R367" s="518"/>
      <c r="S367" s="606">
        <v>0</v>
      </c>
      <c r="T367" s="507"/>
      <c r="U367" s="507"/>
      <c r="V367" s="510"/>
      <c r="W367" s="507"/>
      <c r="X367" s="507"/>
      <c r="Y367" s="507"/>
      <c r="Z367" s="507"/>
      <c r="AA367" s="507"/>
      <c r="AB367" s="507"/>
      <c r="AC367" s="507"/>
      <c r="AD367" s="507"/>
      <c r="AE367" s="507"/>
      <c r="AF367" s="507"/>
      <c r="AG367" s="507"/>
      <c r="AH367" s="507"/>
      <c r="AI367" s="507"/>
      <c r="AJ367" s="507"/>
      <c r="AK367" s="507"/>
      <c r="AL367" s="507"/>
      <c r="AM367" s="507"/>
      <c r="AN367" s="507"/>
    </row>
    <row r="368" spans="1:40" ht="15.75" hidden="1" customHeight="1">
      <c r="A368" s="523" t="s">
        <v>448</v>
      </c>
      <c r="B368" s="510" t="s">
        <v>119</v>
      </c>
      <c r="C368" s="600" t="s">
        <v>44</v>
      </c>
      <c r="D368" s="584"/>
      <c r="E368" s="510"/>
      <c r="F368" s="532">
        <v>0</v>
      </c>
      <c r="G368" s="585"/>
      <c r="H368" s="510"/>
      <c r="I368" s="532"/>
      <c r="J368" s="531"/>
      <c r="K368" s="510"/>
      <c r="L368" s="534">
        <v>0</v>
      </c>
      <c r="M368" s="531"/>
      <c r="N368" s="557"/>
      <c r="O368" s="531"/>
      <c r="P368" s="510"/>
      <c r="Q368" s="534">
        <v>0</v>
      </c>
      <c r="R368" s="531"/>
      <c r="S368" s="557">
        <v>0</v>
      </c>
      <c r="T368" s="507"/>
      <c r="U368" s="507"/>
      <c r="V368" s="510"/>
      <c r="W368" s="507"/>
      <c r="X368" s="507"/>
      <c r="Y368" s="507"/>
      <c r="Z368" s="507"/>
      <c r="AA368" s="507"/>
      <c r="AB368" s="507"/>
      <c r="AC368" s="507"/>
      <c r="AD368" s="507"/>
      <c r="AE368" s="507"/>
      <c r="AF368" s="507"/>
      <c r="AG368" s="507"/>
      <c r="AH368" s="507"/>
      <c r="AI368" s="507"/>
      <c r="AJ368" s="507"/>
      <c r="AK368" s="507"/>
      <c r="AL368" s="507"/>
      <c r="AM368" s="507"/>
      <c r="AN368" s="507"/>
    </row>
    <row r="369" spans="1:40" ht="15.75" hidden="1" customHeight="1">
      <c r="A369" s="523" t="s">
        <v>449</v>
      </c>
      <c r="B369" s="510" t="s">
        <v>119</v>
      </c>
      <c r="C369" s="531" t="s">
        <v>20</v>
      </c>
      <c r="D369" s="584"/>
      <c r="E369" s="510"/>
      <c r="F369" s="532">
        <v>0</v>
      </c>
      <c r="G369" s="585"/>
      <c r="H369" s="510"/>
      <c r="I369" s="532"/>
      <c r="J369" s="531"/>
      <c r="K369" s="510"/>
      <c r="L369" s="534">
        <v>0</v>
      </c>
      <c r="M369" s="531"/>
      <c r="N369" s="557"/>
      <c r="O369" s="531"/>
      <c r="P369" s="510"/>
      <c r="Q369" s="534">
        <v>0</v>
      </c>
      <c r="R369" s="531"/>
      <c r="S369" s="557">
        <v>0</v>
      </c>
      <c r="T369" s="507"/>
      <c r="U369" s="507"/>
      <c r="V369" s="510"/>
      <c r="W369" s="507"/>
      <c r="X369" s="507"/>
      <c r="Y369" s="507"/>
      <c r="Z369" s="507"/>
      <c r="AA369" s="507"/>
      <c r="AB369" s="507"/>
      <c r="AC369" s="507"/>
      <c r="AD369" s="507"/>
      <c r="AE369" s="507"/>
      <c r="AF369" s="507"/>
      <c r="AG369" s="507"/>
      <c r="AH369" s="507"/>
      <c r="AI369" s="507"/>
      <c r="AJ369" s="507"/>
      <c r="AK369" s="507"/>
      <c r="AL369" s="507"/>
      <c r="AM369" s="507"/>
      <c r="AN369" s="507"/>
    </row>
    <row r="370" spans="1:40" ht="15.75" hidden="1" customHeight="1">
      <c r="A370" s="523" t="s">
        <v>449</v>
      </c>
      <c r="B370" s="510" t="s">
        <v>119</v>
      </c>
      <c r="C370" s="531" t="s">
        <v>20</v>
      </c>
      <c r="D370" s="584"/>
      <c r="E370" s="510"/>
      <c r="F370" s="532">
        <v>0</v>
      </c>
      <c r="G370" s="585"/>
      <c r="H370" s="510"/>
      <c r="I370" s="532"/>
      <c r="J370" s="531"/>
      <c r="K370" s="510"/>
      <c r="L370" s="534">
        <v>0</v>
      </c>
      <c r="M370" s="531"/>
      <c r="N370" s="557"/>
      <c r="O370" s="531"/>
      <c r="P370" s="510"/>
      <c r="Q370" s="534">
        <v>0</v>
      </c>
      <c r="R370" s="531"/>
      <c r="S370" s="557">
        <v>0</v>
      </c>
      <c r="T370" s="507"/>
      <c r="U370" s="507"/>
      <c r="V370" s="510"/>
      <c r="W370" s="507"/>
      <c r="X370" s="507"/>
      <c r="Y370" s="507"/>
      <c r="Z370" s="507"/>
      <c r="AA370" s="507"/>
      <c r="AB370" s="507"/>
      <c r="AC370" s="507"/>
      <c r="AD370" s="507"/>
      <c r="AE370" s="507"/>
      <c r="AF370" s="507"/>
      <c r="AG370" s="507"/>
      <c r="AH370" s="507"/>
      <c r="AI370" s="507"/>
      <c r="AJ370" s="507"/>
      <c r="AK370" s="507"/>
      <c r="AL370" s="507"/>
      <c r="AM370" s="507"/>
      <c r="AN370" s="507"/>
    </row>
    <row r="371" spans="1:40" ht="15.75" hidden="1" customHeight="1">
      <c r="A371" s="523" t="s">
        <v>449</v>
      </c>
      <c r="B371" s="510" t="s">
        <v>119</v>
      </c>
      <c r="C371" s="531" t="s">
        <v>20</v>
      </c>
      <c r="D371" s="584"/>
      <c r="E371" s="510"/>
      <c r="F371" s="532">
        <v>0</v>
      </c>
      <c r="G371" s="585"/>
      <c r="H371" s="510"/>
      <c r="I371" s="532"/>
      <c r="J371" s="531"/>
      <c r="K371" s="510"/>
      <c r="L371" s="534">
        <v>0</v>
      </c>
      <c r="M371" s="531"/>
      <c r="N371" s="557"/>
      <c r="O371" s="531"/>
      <c r="P371" s="510"/>
      <c r="Q371" s="534">
        <v>0</v>
      </c>
      <c r="R371" s="531"/>
      <c r="S371" s="557">
        <v>0</v>
      </c>
      <c r="T371" s="507"/>
      <c r="U371" s="507"/>
      <c r="V371" s="510"/>
      <c r="W371" s="507"/>
      <c r="X371" s="507"/>
      <c r="Y371" s="507"/>
      <c r="Z371" s="507"/>
      <c r="AA371" s="507"/>
      <c r="AB371" s="507"/>
      <c r="AC371" s="507"/>
      <c r="AD371" s="507"/>
      <c r="AE371" s="507"/>
      <c r="AF371" s="507"/>
      <c r="AG371" s="507"/>
      <c r="AH371" s="507"/>
      <c r="AI371" s="507"/>
      <c r="AJ371" s="507"/>
      <c r="AK371" s="507"/>
      <c r="AL371" s="507"/>
      <c r="AM371" s="507"/>
      <c r="AN371" s="507"/>
    </row>
    <row r="372" spans="1:40" ht="15.75" hidden="1" customHeight="1">
      <c r="A372" s="523" t="s">
        <v>450</v>
      </c>
      <c r="B372" s="510" t="s">
        <v>119</v>
      </c>
      <c r="C372" s="602" t="s">
        <v>45</v>
      </c>
      <c r="D372" s="584"/>
      <c r="E372" s="510"/>
      <c r="F372" s="526">
        <v>0</v>
      </c>
      <c r="G372" s="585"/>
      <c r="H372" s="510"/>
      <c r="I372" s="526"/>
      <c r="J372" s="531"/>
      <c r="K372" s="510"/>
      <c r="L372" s="526">
        <v>0</v>
      </c>
      <c r="M372" s="531"/>
      <c r="N372" s="557"/>
      <c r="O372" s="531"/>
      <c r="P372" s="510"/>
      <c r="Q372" s="526">
        <v>0</v>
      </c>
      <c r="R372" s="531"/>
      <c r="S372" s="557">
        <v>0</v>
      </c>
      <c r="T372" s="507"/>
      <c r="U372" s="507"/>
      <c r="V372" s="510"/>
      <c r="W372" s="507"/>
      <c r="X372" s="507"/>
      <c r="Y372" s="507"/>
      <c r="Z372" s="507"/>
      <c r="AA372" s="507"/>
      <c r="AB372" s="507"/>
      <c r="AC372" s="507"/>
      <c r="AD372" s="507"/>
      <c r="AE372" s="507"/>
      <c r="AF372" s="507"/>
      <c r="AG372" s="507"/>
      <c r="AH372" s="507"/>
      <c r="AI372" s="507"/>
      <c r="AJ372" s="507"/>
      <c r="AK372" s="507"/>
      <c r="AL372" s="507"/>
      <c r="AM372" s="507"/>
      <c r="AN372" s="507"/>
    </row>
    <row r="373" spans="1:40" ht="15.75" hidden="1" customHeight="1">
      <c r="A373" s="523" t="s">
        <v>451</v>
      </c>
      <c r="B373" s="510" t="s">
        <v>119</v>
      </c>
      <c r="C373" s="600" t="s">
        <v>46</v>
      </c>
      <c r="D373" s="603"/>
      <c r="E373" s="604"/>
      <c r="F373" s="532">
        <v>0</v>
      </c>
      <c r="G373" s="605"/>
      <c r="H373" s="604"/>
      <c r="I373" s="532"/>
      <c r="J373" s="518"/>
      <c r="K373" s="604"/>
      <c r="L373" s="534">
        <v>0</v>
      </c>
      <c r="M373" s="518"/>
      <c r="N373" s="606"/>
      <c r="O373" s="518"/>
      <c r="P373" s="604"/>
      <c r="Q373" s="534">
        <v>0</v>
      </c>
      <c r="R373" s="518"/>
      <c r="S373" s="606">
        <v>0</v>
      </c>
      <c r="T373" s="507"/>
      <c r="U373" s="507"/>
      <c r="V373" s="510"/>
      <c r="W373" s="507"/>
      <c r="X373" s="507"/>
      <c r="Y373" s="507"/>
      <c r="Z373" s="507"/>
      <c r="AA373" s="507"/>
      <c r="AB373" s="507"/>
      <c r="AC373" s="507"/>
      <c r="AD373" s="507"/>
      <c r="AE373" s="507"/>
      <c r="AF373" s="507"/>
      <c r="AG373" s="507"/>
      <c r="AH373" s="507"/>
      <c r="AI373" s="507"/>
      <c r="AJ373" s="507"/>
      <c r="AK373" s="507"/>
      <c r="AL373" s="507"/>
      <c r="AM373" s="507"/>
      <c r="AN373" s="507"/>
    </row>
    <row r="374" spans="1:40" ht="15.75" hidden="1" customHeight="1">
      <c r="A374" s="523" t="s">
        <v>452</v>
      </c>
      <c r="B374" s="510" t="s">
        <v>119</v>
      </c>
      <c r="C374" s="600" t="s">
        <v>47</v>
      </c>
      <c r="D374" s="584"/>
      <c r="E374" s="510"/>
      <c r="F374" s="532">
        <v>0</v>
      </c>
      <c r="G374" s="585"/>
      <c r="H374" s="510"/>
      <c r="I374" s="532"/>
      <c r="J374" s="531"/>
      <c r="K374" s="510"/>
      <c r="L374" s="534">
        <v>0</v>
      </c>
      <c r="M374" s="531"/>
      <c r="N374" s="557"/>
      <c r="O374" s="531"/>
      <c r="P374" s="510"/>
      <c r="Q374" s="534">
        <v>0</v>
      </c>
      <c r="R374" s="531"/>
      <c r="S374" s="557">
        <v>0</v>
      </c>
      <c r="T374" s="507"/>
      <c r="U374" s="507"/>
      <c r="V374" s="510"/>
      <c r="W374" s="507"/>
      <c r="X374" s="507"/>
      <c r="Y374" s="507"/>
      <c r="Z374" s="507"/>
      <c r="AA374" s="507"/>
      <c r="AB374" s="507"/>
      <c r="AC374" s="507"/>
      <c r="AD374" s="507"/>
      <c r="AE374" s="507"/>
      <c r="AF374" s="507"/>
      <c r="AG374" s="507"/>
      <c r="AH374" s="507"/>
      <c r="AI374" s="507"/>
      <c r="AJ374" s="507"/>
      <c r="AK374" s="507"/>
      <c r="AL374" s="507"/>
      <c r="AM374" s="507"/>
      <c r="AN374" s="507"/>
    </row>
    <row r="375" spans="1:40" ht="15.75" hidden="1" customHeight="1">
      <c r="A375" s="523" t="s">
        <v>453</v>
      </c>
      <c r="B375" s="510" t="s">
        <v>119</v>
      </c>
      <c r="C375" s="600" t="s">
        <v>48</v>
      </c>
      <c r="D375" s="584"/>
      <c r="E375" s="510"/>
      <c r="F375" s="532">
        <v>0</v>
      </c>
      <c r="G375" s="585"/>
      <c r="H375" s="510"/>
      <c r="I375" s="532"/>
      <c r="J375" s="531"/>
      <c r="K375" s="510"/>
      <c r="L375" s="534">
        <v>0</v>
      </c>
      <c r="M375" s="531"/>
      <c r="N375" s="557"/>
      <c r="O375" s="531"/>
      <c r="P375" s="510"/>
      <c r="Q375" s="534">
        <v>0</v>
      </c>
      <c r="R375" s="531"/>
      <c r="S375" s="557">
        <v>0</v>
      </c>
      <c r="T375" s="507"/>
      <c r="U375" s="507"/>
      <c r="V375" s="510"/>
      <c r="W375" s="507"/>
      <c r="X375" s="507"/>
      <c r="Y375" s="507"/>
      <c r="Z375" s="507"/>
      <c r="AA375" s="507"/>
      <c r="AB375" s="507"/>
      <c r="AC375" s="507"/>
      <c r="AD375" s="507"/>
      <c r="AE375" s="507"/>
      <c r="AF375" s="507"/>
      <c r="AG375" s="507"/>
      <c r="AH375" s="507"/>
      <c r="AI375" s="507"/>
      <c r="AJ375" s="507"/>
      <c r="AK375" s="507"/>
      <c r="AL375" s="507"/>
      <c r="AM375" s="507"/>
      <c r="AN375" s="507"/>
    </row>
    <row r="376" spans="1:40" ht="15.75" hidden="1" customHeight="1">
      <c r="A376" s="523" t="s">
        <v>449</v>
      </c>
      <c r="B376" s="510" t="s">
        <v>119</v>
      </c>
      <c r="C376" s="531" t="s">
        <v>20</v>
      </c>
      <c r="D376" s="587"/>
      <c r="E376" s="607"/>
      <c r="F376" s="532">
        <v>0</v>
      </c>
      <c r="G376" s="588"/>
      <c r="H376" s="607"/>
      <c r="I376" s="532"/>
      <c r="J376" s="524"/>
      <c r="K376" s="607"/>
      <c r="L376" s="534">
        <v>0</v>
      </c>
      <c r="M376" s="524"/>
      <c r="N376" s="582"/>
      <c r="O376" s="524"/>
      <c r="P376" s="607"/>
      <c r="Q376" s="534">
        <v>0</v>
      </c>
      <c r="R376" s="524"/>
      <c r="S376" s="582">
        <v>0</v>
      </c>
      <c r="T376" s="507"/>
      <c r="U376" s="507"/>
      <c r="V376" s="510"/>
      <c r="W376" s="507"/>
      <c r="X376" s="507"/>
      <c r="Y376" s="507"/>
      <c r="Z376" s="507"/>
      <c r="AA376" s="507"/>
      <c r="AB376" s="507"/>
      <c r="AC376" s="507"/>
      <c r="AD376" s="507"/>
      <c r="AE376" s="507"/>
      <c r="AF376" s="507"/>
      <c r="AG376" s="507"/>
      <c r="AH376" s="507"/>
      <c r="AI376" s="507"/>
      <c r="AJ376" s="507"/>
      <c r="AK376" s="507"/>
      <c r="AL376" s="507"/>
      <c r="AM376" s="507"/>
      <c r="AN376" s="507"/>
    </row>
    <row r="377" spans="1:40" ht="15.75" hidden="1" customHeight="1">
      <c r="A377" s="523" t="s">
        <v>454</v>
      </c>
      <c r="B377" s="510" t="s">
        <v>119</v>
      </c>
      <c r="C377" s="592" t="s">
        <v>49</v>
      </c>
      <c r="D377" s="593" t="s">
        <v>39</v>
      </c>
      <c r="E377" s="594">
        <v>0</v>
      </c>
      <c r="F377" s="595">
        <v>0</v>
      </c>
      <c r="G377" s="596"/>
      <c r="H377" s="594"/>
      <c r="I377" s="595"/>
      <c r="J377" s="596" t="s">
        <v>39</v>
      </c>
      <c r="K377" s="594">
        <v>0</v>
      </c>
      <c r="L377" s="595">
        <v>0</v>
      </c>
      <c r="M377" s="650"/>
      <c r="N377" s="609"/>
      <c r="O377" s="596" t="s">
        <v>39</v>
      </c>
      <c r="P377" s="594">
        <v>0</v>
      </c>
      <c r="Q377" s="595">
        <v>0</v>
      </c>
      <c r="R377" s="650"/>
      <c r="S377" s="609">
        <v>0</v>
      </c>
      <c r="T377" s="507"/>
      <c r="U377" s="507"/>
      <c r="V377" s="510"/>
      <c r="W377" s="507"/>
      <c r="X377" s="507"/>
      <c r="Y377" s="507"/>
      <c r="Z377" s="507"/>
      <c r="AA377" s="507"/>
      <c r="AB377" s="507"/>
      <c r="AC377" s="507"/>
      <c r="AD377" s="507"/>
      <c r="AE377" s="507"/>
      <c r="AF377" s="507"/>
      <c r="AG377" s="507"/>
      <c r="AH377" s="507"/>
      <c r="AI377" s="507"/>
      <c r="AJ377" s="507"/>
      <c r="AK377" s="507"/>
      <c r="AL377" s="507"/>
      <c r="AM377" s="507"/>
      <c r="AN377" s="507"/>
    </row>
    <row r="378" spans="1:40" ht="15.75" hidden="1" customHeight="1">
      <c r="A378" s="523" t="s">
        <v>455</v>
      </c>
      <c r="B378" s="510" t="s">
        <v>119</v>
      </c>
      <c r="C378" s="706" t="s">
        <v>50</v>
      </c>
      <c r="D378" s="584"/>
      <c r="E378" s="510"/>
      <c r="F378" s="532">
        <v>0</v>
      </c>
      <c r="G378" s="585"/>
      <c r="H378" s="510"/>
      <c r="I378" s="532"/>
      <c r="J378" s="531"/>
      <c r="K378" s="510"/>
      <c r="L378" s="534">
        <v>0</v>
      </c>
      <c r="M378" s="531"/>
      <c r="N378" s="557"/>
      <c r="O378" s="531"/>
      <c r="P378" s="510"/>
      <c r="Q378" s="534">
        <v>0</v>
      </c>
      <c r="R378" s="531"/>
      <c r="S378" s="557">
        <v>0</v>
      </c>
      <c r="T378" s="507"/>
      <c r="U378" s="507"/>
      <c r="V378" s="510"/>
      <c r="W378" s="507"/>
      <c r="X378" s="507"/>
      <c r="Y378" s="507"/>
      <c r="Z378" s="507"/>
      <c r="AA378" s="507"/>
      <c r="AB378" s="507"/>
      <c r="AC378" s="507"/>
      <c r="AD378" s="507"/>
      <c r="AE378" s="507"/>
      <c r="AF378" s="507"/>
      <c r="AG378" s="507"/>
      <c r="AH378" s="507"/>
      <c r="AI378" s="507"/>
      <c r="AJ378" s="507"/>
      <c r="AK378" s="507"/>
      <c r="AL378" s="507"/>
      <c r="AM378" s="507"/>
      <c r="AN378" s="507"/>
    </row>
    <row r="379" spans="1:40" ht="15.75" hidden="1" customHeight="1">
      <c r="A379" s="523" t="s">
        <v>456</v>
      </c>
      <c r="B379" s="510" t="s">
        <v>119</v>
      </c>
      <c r="C379" s="600" t="s">
        <v>51</v>
      </c>
      <c r="D379" s="584"/>
      <c r="E379" s="510"/>
      <c r="F379" s="532">
        <v>0</v>
      </c>
      <c r="G379" s="585"/>
      <c r="H379" s="510"/>
      <c r="I379" s="532"/>
      <c r="J379" s="531"/>
      <c r="K379" s="510"/>
      <c r="L379" s="534">
        <v>0</v>
      </c>
      <c r="M379" s="531"/>
      <c r="N379" s="557"/>
      <c r="O379" s="531"/>
      <c r="P379" s="510"/>
      <c r="Q379" s="534">
        <v>0</v>
      </c>
      <c r="R379" s="531"/>
      <c r="S379" s="557">
        <v>0</v>
      </c>
      <c r="T379" s="507"/>
      <c r="U379" s="507"/>
      <c r="V379" s="510"/>
      <c r="W379" s="507"/>
      <c r="X379" s="507"/>
      <c r="Y379" s="507"/>
      <c r="Z379" s="507"/>
      <c r="AA379" s="507"/>
      <c r="AB379" s="507"/>
      <c r="AC379" s="507"/>
      <c r="AD379" s="507"/>
      <c r="AE379" s="507"/>
      <c r="AF379" s="507"/>
      <c r="AG379" s="507"/>
      <c r="AH379" s="507"/>
      <c r="AI379" s="507"/>
      <c r="AJ379" s="507"/>
      <c r="AK379" s="507"/>
      <c r="AL379" s="507"/>
      <c r="AM379" s="507"/>
      <c r="AN379" s="507"/>
    </row>
    <row r="380" spans="1:40" ht="15.75" hidden="1" customHeight="1">
      <c r="A380" s="523" t="s">
        <v>457</v>
      </c>
      <c r="B380" s="510" t="s">
        <v>119</v>
      </c>
      <c r="C380" s="602" t="s">
        <v>52</v>
      </c>
      <c r="D380" s="587"/>
      <c r="E380" s="607"/>
      <c r="F380" s="526">
        <v>0</v>
      </c>
      <c r="G380" s="588"/>
      <c r="H380" s="607"/>
      <c r="I380" s="526"/>
      <c r="J380" s="524"/>
      <c r="K380" s="607"/>
      <c r="L380" s="526">
        <v>0</v>
      </c>
      <c r="M380" s="524"/>
      <c r="N380" s="582"/>
      <c r="O380" s="524"/>
      <c r="P380" s="607"/>
      <c r="Q380" s="526">
        <v>0</v>
      </c>
      <c r="R380" s="524"/>
      <c r="S380" s="582">
        <v>0</v>
      </c>
      <c r="T380" s="507"/>
      <c r="U380" s="507"/>
      <c r="V380" s="510"/>
      <c r="W380" s="507"/>
      <c r="X380" s="507"/>
      <c r="Y380" s="507"/>
      <c r="Z380" s="507"/>
      <c r="AA380" s="507"/>
      <c r="AB380" s="507"/>
      <c r="AC380" s="507"/>
      <c r="AD380" s="507"/>
      <c r="AE380" s="507"/>
      <c r="AF380" s="507"/>
      <c r="AG380" s="507"/>
      <c r="AH380" s="507"/>
      <c r="AI380" s="507"/>
      <c r="AJ380" s="507"/>
      <c r="AK380" s="507"/>
      <c r="AL380" s="507"/>
      <c r="AM380" s="507"/>
      <c r="AN380" s="507"/>
    </row>
    <row r="381" spans="1:40" ht="15.75" hidden="1" customHeight="1">
      <c r="A381" s="523" t="s">
        <v>458</v>
      </c>
      <c r="B381" s="510" t="s">
        <v>119</v>
      </c>
      <c r="C381" s="600" t="s">
        <v>53</v>
      </c>
      <c r="D381" s="584"/>
      <c r="E381" s="510"/>
      <c r="F381" s="532">
        <v>0</v>
      </c>
      <c r="G381" s="585"/>
      <c r="H381" s="510"/>
      <c r="I381" s="532"/>
      <c r="J381" s="531"/>
      <c r="K381" s="510"/>
      <c r="L381" s="534">
        <v>0</v>
      </c>
      <c r="M381" s="531"/>
      <c r="N381" s="557"/>
      <c r="O381" s="531"/>
      <c r="P381" s="510"/>
      <c r="Q381" s="534">
        <v>0</v>
      </c>
      <c r="R381" s="531"/>
      <c r="S381" s="557">
        <v>0</v>
      </c>
      <c r="T381" s="507"/>
      <c r="U381" s="507"/>
      <c r="V381" s="510"/>
      <c r="W381" s="507"/>
      <c r="X381" s="507"/>
      <c r="Y381" s="507"/>
      <c r="Z381" s="507"/>
      <c r="AA381" s="507"/>
      <c r="AB381" s="507"/>
      <c r="AC381" s="507"/>
      <c r="AD381" s="507"/>
      <c r="AE381" s="507"/>
      <c r="AF381" s="507"/>
      <c r="AG381" s="507"/>
      <c r="AH381" s="507"/>
      <c r="AI381" s="507"/>
      <c r="AJ381" s="507"/>
      <c r="AK381" s="507"/>
      <c r="AL381" s="507"/>
      <c r="AM381" s="507"/>
      <c r="AN381" s="507"/>
    </row>
    <row r="382" spans="1:40" ht="15.75" hidden="1" customHeight="1">
      <c r="A382" s="523" t="s">
        <v>459</v>
      </c>
      <c r="B382" s="510" t="s">
        <v>119</v>
      </c>
      <c r="C382" s="600" t="s">
        <v>54</v>
      </c>
      <c r="D382" s="584"/>
      <c r="E382" s="510"/>
      <c r="F382" s="532">
        <v>0</v>
      </c>
      <c r="G382" s="585"/>
      <c r="H382" s="510"/>
      <c r="I382" s="532"/>
      <c r="J382" s="531"/>
      <c r="K382" s="510"/>
      <c r="L382" s="534">
        <v>0</v>
      </c>
      <c r="M382" s="531"/>
      <c r="N382" s="557"/>
      <c r="O382" s="531"/>
      <c r="P382" s="510"/>
      <c r="Q382" s="534">
        <v>0</v>
      </c>
      <c r="R382" s="531"/>
      <c r="S382" s="557">
        <v>0</v>
      </c>
      <c r="T382" s="507"/>
      <c r="U382" s="507"/>
      <c r="V382" s="510"/>
      <c r="W382" s="507"/>
      <c r="X382" s="507"/>
      <c r="Y382" s="507"/>
      <c r="Z382" s="507"/>
      <c r="AA382" s="507"/>
      <c r="AB382" s="507"/>
      <c r="AC382" s="507"/>
      <c r="AD382" s="507"/>
      <c r="AE382" s="507"/>
      <c r="AF382" s="507"/>
      <c r="AG382" s="507"/>
      <c r="AH382" s="507"/>
      <c r="AI382" s="507"/>
      <c r="AJ382" s="507"/>
      <c r="AK382" s="507"/>
      <c r="AL382" s="507"/>
      <c r="AM382" s="507"/>
      <c r="AN382" s="507"/>
    </row>
    <row r="383" spans="1:40" ht="15.75" hidden="1" customHeight="1">
      <c r="A383" s="523" t="s">
        <v>460</v>
      </c>
      <c r="B383" s="510" t="s">
        <v>119</v>
      </c>
      <c r="C383" s="600" t="s">
        <v>55</v>
      </c>
      <c r="D383" s="587"/>
      <c r="E383" s="607"/>
      <c r="F383" s="526">
        <v>0</v>
      </c>
      <c r="G383" s="588"/>
      <c r="H383" s="607"/>
      <c r="I383" s="526"/>
      <c r="J383" s="524"/>
      <c r="K383" s="607"/>
      <c r="L383" s="526">
        <v>0</v>
      </c>
      <c r="M383" s="524"/>
      <c r="N383" s="582"/>
      <c r="O383" s="524"/>
      <c r="P383" s="607"/>
      <c r="Q383" s="526">
        <v>0</v>
      </c>
      <c r="R383" s="524"/>
      <c r="S383" s="582">
        <v>0</v>
      </c>
      <c r="T383" s="507"/>
      <c r="U383" s="507"/>
      <c r="V383" s="510"/>
      <c r="W383" s="507"/>
      <c r="X383" s="507"/>
      <c r="Y383" s="507"/>
      <c r="Z383" s="507"/>
      <c r="AA383" s="507"/>
      <c r="AB383" s="507"/>
      <c r="AC383" s="507"/>
      <c r="AD383" s="507"/>
      <c r="AE383" s="507"/>
      <c r="AF383" s="507"/>
      <c r="AG383" s="507"/>
      <c r="AH383" s="507"/>
      <c r="AI383" s="507"/>
      <c r="AJ383" s="507"/>
      <c r="AK383" s="507"/>
      <c r="AL383" s="507"/>
      <c r="AM383" s="507"/>
      <c r="AN383" s="507"/>
    </row>
    <row r="384" spans="1:40" ht="20.25" hidden="1" customHeight="1">
      <c r="A384" s="523" t="s">
        <v>461</v>
      </c>
      <c r="B384" s="510" t="s">
        <v>119</v>
      </c>
      <c r="C384" s="706" t="s">
        <v>56</v>
      </c>
      <c r="D384" s="584"/>
      <c r="E384" s="510"/>
      <c r="F384" s="532">
        <v>0</v>
      </c>
      <c r="G384" s="585"/>
      <c r="H384" s="510"/>
      <c r="I384" s="532"/>
      <c r="J384" s="531"/>
      <c r="K384" s="510"/>
      <c r="L384" s="534">
        <v>0</v>
      </c>
      <c r="M384" s="531"/>
      <c r="N384" s="557"/>
      <c r="O384" s="531"/>
      <c r="P384" s="510"/>
      <c r="Q384" s="534">
        <v>0</v>
      </c>
      <c r="R384" s="531"/>
      <c r="S384" s="557">
        <v>0</v>
      </c>
      <c r="T384" s="507"/>
      <c r="U384" s="507"/>
      <c r="V384" s="510"/>
      <c r="W384" s="507"/>
      <c r="X384" s="507"/>
      <c r="Y384" s="507"/>
      <c r="Z384" s="507"/>
      <c r="AA384" s="507"/>
      <c r="AB384" s="507"/>
      <c r="AC384" s="507"/>
      <c r="AD384" s="507"/>
      <c r="AE384" s="507"/>
      <c r="AF384" s="507"/>
      <c r="AG384" s="507"/>
      <c r="AH384" s="507"/>
      <c r="AI384" s="507"/>
      <c r="AJ384" s="507"/>
      <c r="AK384" s="507"/>
      <c r="AL384" s="507"/>
      <c r="AM384" s="507"/>
      <c r="AN384" s="507"/>
    </row>
    <row r="385" spans="1:40" ht="20.25" hidden="1" customHeight="1">
      <c r="A385" s="523" t="s">
        <v>462</v>
      </c>
      <c r="B385" s="510" t="s">
        <v>119</v>
      </c>
      <c r="C385" s="600" t="s">
        <v>57</v>
      </c>
      <c r="D385" s="584"/>
      <c r="E385" s="510"/>
      <c r="F385" s="532">
        <v>0</v>
      </c>
      <c r="G385" s="585"/>
      <c r="H385" s="510"/>
      <c r="I385" s="532"/>
      <c r="J385" s="531"/>
      <c r="K385" s="510"/>
      <c r="L385" s="534">
        <v>0</v>
      </c>
      <c r="M385" s="531"/>
      <c r="N385" s="557"/>
      <c r="O385" s="531"/>
      <c r="P385" s="510"/>
      <c r="Q385" s="534">
        <v>0</v>
      </c>
      <c r="R385" s="531"/>
      <c r="S385" s="557">
        <v>0</v>
      </c>
      <c r="T385" s="507"/>
      <c r="U385" s="507"/>
      <c r="V385" s="510"/>
      <c r="W385" s="507"/>
      <c r="X385" s="507"/>
      <c r="Y385" s="507"/>
      <c r="Z385" s="507"/>
      <c r="AA385" s="507"/>
      <c r="AB385" s="507"/>
      <c r="AC385" s="507"/>
      <c r="AD385" s="507"/>
      <c r="AE385" s="507"/>
      <c r="AF385" s="507"/>
      <c r="AG385" s="507"/>
      <c r="AH385" s="507"/>
      <c r="AI385" s="507"/>
      <c r="AJ385" s="507"/>
      <c r="AK385" s="507"/>
      <c r="AL385" s="507"/>
      <c r="AM385" s="507"/>
      <c r="AN385" s="507"/>
    </row>
    <row r="386" spans="1:40" ht="20.25" hidden="1" customHeight="1">
      <c r="A386" s="523" t="s">
        <v>463</v>
      </c>
      <c r="B386" s="510" t="s">
        <v>119</v>
      </c>
      <c r="C386" s="600" t="s">
        <v>58</v>
      </c>
      <c r="D386" s="584"/>
      <c r="E386" s="510"/>
      <c r="F386" s="532">
        <v>0</v>
      </c>
      <c r="G386" s="585"/>
      <c r="H386" s="510"/>
      <c r="I386" s="532"/>
      <c r="J386" s="531"/>
      <c r="K386" s="510"/>
      <c r="L386" s="534">
        <v>0</v>
      </c>
      <c r="M386" s="531"/>
      <c r="N386" s="557"/>
      <c r="O386" s="531"/>
      <c r="P386" s="510"/>
      <c r="Q386" s="534">
        <v>0</v>
      </c>
      <c r="R386" s="531"/>
      <c r="S386" s="557">
        <v>0</v>
      </c>
      <c r="T386" s="507"/>
      <c r="U386" s="507"/>
      <c r="V386" s="510"/>
      <c r="W386" s="507"/>
      <c r="X386" s="507"/>
      <c r="Y386" s="507"/>
      <c r="Z386" s="507"/>
      <c r="AA386" s="507"/>
      <c r="AB386" s="507"/>
      <c r="AC386" s="507"/>
      <c r="AD386" s="507"/>
      <c r="AE386" s="507"/>
      <c r="AF386" s="507"/>
      <c r="AG386" s="507"/>
      <c r="AH386" s="507"/>
      <c r="AI386" s="507"/>
      <c r="AJ386" s="507"/>
      <c r="AK386" s="507"/>
      <c r="AL386" s="507"/>
      <c r="AM386" s="507"/>
      <c r="AN386" s="507"/>
    </row>
    <row r="387" spans="1:40" ht="20.25" hidden="1" customHeight="1">
      <c r="A387" s="523" t="s">
        <v>464</v>
      </c>
      <c r="B387" s="510" t="s">
        <v>119</v>
      </c>
      <c r="C387" s="600" t="s">
        <v>59</v>
      </c>
      <c r="D387" s="584"/>
      <c r="E387" s="510"/>
      <c r="F387" s="532">
        <v>0</v>
      </c>
      <c r="G387" s="585"/>
      <c r="H387" s="510"/>
      <c r="I387" s="532"/>
      <c r="J387" s="531"/>
      <c r="K387" s="510"/>
      <c r="L387" s="534">
        <v>0</v>
      </c>
      <c r="M387" s="531"/>
      <c r="N387" s="557"/>
      <c r="O387" s="531"/>
      <c r="P387" s="510"/>
      <c r="Q387" s="534">
        <v>0</v>
      </c>
      <c r="R387" s="531"/>
      <c r="S387" s="557">
        <v>0</v>
      </c>
      <c r="T387" s="507"/>
      <c r="U387" s="507"/>
      <c r="V387" s="510"/>
      <c r="W387" s="507"/>
      <c r="X387" s="507"/>
      <c r="Y387" s="507"/>
      <c r="Z387" s="507"/>
      <c r="AA387" s="507"/>
      <c r="AB387" s="507"/>
      <c r="AC387" s="507"/>
      <c r="AD387" s="507"/>
      <c r="AE387" s="507"/>
      <c r="AF387" s="507"/>
      <c r="AG387" s="507"/>
      <c r="AH387" s="507"/>
      <c r="AI387" s="507"/>
      <c r="AJ387" s="507"/>
      <c r="AK387" s="507"/>
      <c r="AL387" s="507"/>
      <c r="AM387" s="507"/>
      <c r="AN387" s="507"/>
    </row>
    <row r="388" spans="1:40" ht="20.25" hidden="1" customHeight="1">
      <c r="A388" s="523" t="s">
        <v>465</v>
      </c>
      <c r="B388" s="510" t="s">
        <v>119</v>
      </c>
      <c r="C388" s="600" t="s">
        <v>60</v>
      </c>
      <c r="D388" s="584"/>
      <c r="E388" s="510"/>
      <c r="F388" s="532">
        <v>0</v>
      </c>
      <c r="G388" s="585"/>
      <c r="H388" s="510"/>
      <c r="I388" s="532"/>
      <c r="J388" s="531"/>
      <c r="K388" s="510"/>
      <c r="L388" s="534">
        <v>0</v>
      </c>
      <c r="M388" s="531"/>
      <c r="N388" s="557"/>
      <c r="O388" s="531"/>
      <c r="P388" s="510"/>
      <c r="Q388" s="534">
        <v>0</v>
      </c>
      <c r="R388" s="531"/>
      <c r="S388" s="557">
        <v>0</v>
      </c>
      <c r="T388" s="507"/>
      <c r="U388" s="507"/>
      <c r="V388" s="510"/>
      <c r="W388" s="507"/>
      <c r="X388" s="507"/>
      <c r="Y388" s="507"/>
      <c r="Z388" s="507"/>
      <c r="AA388" s="507"/>
      <c r="AB388" s="507"/>
      <c r="AC388" s="507"/>
      <c r="AD388" s="507"/>
      <c r="AE388" s="507"/>
      <c r="AF388" s="507"/>
      <c r="AG388" s="507"/>
      <c r="AH388" s="507"/>
      <c r="AI388" s="507"/>
      <c r="AJ388" s="507"/>
      <c r="AK388" s="507"/>
      <c r="AL388" s="507"/>
      <c r="AM388" s="507"/>
      <c r="AN388" s="507"/>
    </row>
    <row r="389" spans="1:40" ht="20.25" hidden="1" customHeight="1">
      <c r="A389" s="523" t="s">
        <v>466</v>
      </c>
      <c r="B389" s="510" t="s">
        <v>119</v>
      </c>
      <c r="C389" s="600" t="s">
        <v>61</v>
      </c>
      <c r="D389" s="584"/>
      <c r="E389" s="510"/>
      <c r="F389" s="532">
        <v>0</v>
      </c>
      <c r="G389" s="585"/>
      <c r="H389" s="510"/>
      <c r="I389" s="532"/>
      <c r="J389" s="531"/>
      <c r="K389" s="510"/>
      <c r="L389" s="534">
        <v>0</v>
      </c>
      <c r="M389" s="531"/>
      <c r="N389" s="557"/>
      <c r="O389" s="531"/>
      <c r="P389" s="510"/>
      <c r="Q389" s="534">
        <v>0</v>
      </c>
      <c r="R389" s="531"/>
      <c r="S389" s="557">
        <v>0</v>
      </c>
      <c r="T389" s="507"/>
      <c r="U389" s="507"/>
      <c r="V389" s="510"/>
      <c r="W389" s="507"/>
      <c r="X389" s="507"/>
      <c r="Y389" s="507"/>
      <c r="Z389" s="507"/>
      <c r="AA389" s="507"/>
      <c r="AB389" s="507"/>
      <c r="AC389" s="507"/>
      <c r="AD389" s="507"/>
      <c r="AE389" s="507"/>
      <c r="AF389" s="507"/>
      <c r="AG389" s="507"/>
      <c r="AH389" s="507"/>
      <c r="AI389" s="507"/>
      <c r="AJ389" s="507"/>
      <c r="AK389" s="507"/>
      <c r="AL389" s="507"/>
      <c r="AM389" s="507"/>
      <c r="AN389" s="507"/>
    </row>
    <row r="390" spans="1:40" ht="20.25" hidden="1" customHeight="1">
      <c r="A390" s="523" t="s">
        <v>467</v>
      </c>
      <c r="B390" s="510" t="s">
        <v>119</v>
      </c>
      <c r="C390" s="600" t="s">
        <v>62</v>
      </c>
      <c r="D390" s="584"/>
      <c r="E390" s="510"/>
      <c r="F390" s="532">
        <v>0</v>
      </c>
      <c r="G390" s="585"/>
      <c r="H390" s="510"/>
      <c r="I390" s="532"/>
      <c r="J390" s="531"/>
      <c r="K390" s="510"/>
      <c r="L390" s="534">
        <v>0</v>
      </c>
      <c r="M390" s="531"/>
      <c r="N390" s="557"/>
      <c r="O390" s="531"/>
      <c r="P390" s="510"/>
      <c r="Q390" s="534">
        <v>0</v>
      </c>
      <c r="R390" s="531"/>
      <c r="S390" s="557">
        <v>0</v>
      </c>
      <c r="T390" s="507"/>
      <c r="U390" s="507"/>
      <c r="V390" s="510"/>
      <c r="W390" s="507"/>
      <c r="X390" s="507"/>
      <c r="Y390" s="507"/>
      <c r="Z390" s="507"/>
      <c r="AA390" s="507"/>
      <c r="AB390" s="507"/>
      <c r="AC390" s="507"/>
      <c r="AD390" s="507"/>
      <c r="AE390" s="507"/>
      <c r="AF390" s="507"/>
      <c r="AG390" s="507"/>
      <c r="AH390" s="507"/>
      <c r="AI390" s="507"/>
      <c r="AJ390" s="507"/>
      <c r="AK390" s="507"/>
      <c r="AL390" s="507"/>
      <c r="AM390" s="507"/>
      <c r="AN390" s="507"/>
    </row>
    <row r="391" spans="1:40" ht="20.25" hidden="1" customHeight="1">
      <c r="A391" s="523" t="s">
        <v>468</v>
      </c>
      <c r="B391" s="510" t="s">
        <v>119</v>
      </c>
      <c r="C391" s="600" t="s">
        <v>63</v>
      </c>
      <c r="D391" s="584"/>
      <c r="E391" s="510"/>
      <c r="F391" s="532">
        <v>0</v>
      </c>
      <c r="G391" s="585"/>
      <c r="H391" s="510"/>
      <c r="I391" s="532"/>
      <c r="J391" s="531"/>
      <c r="K391" s="510"/>
      <c r="L391" s="534">
        <v>0</v>
      </c>
      <c r="M391" s="531"/>
      <c r="N391" s="557"/>
      <c r="O391" s="531"/>
      <c r="P391" s="510"/>
      <c r="Q391" s="534">
        <v>0</v>
      </c>
      <c r="R391" s="531"/>
      <c r="S391" s="557">
        <v>0</v>
      </c>
      <c r="T391" s="507"/>
      <c r="U391" s="507"/>
      <c r="V391" s="510"/>
      <c r="W391" s="507"/>
      <c r="X391" s="507"/>
      <c r="Y391" s="507"/>
      <c r="Z391" s="507"/>
      <c r="AA391" s="507"/>
      <c r="AB391" s="507"/>
      <c r="AC391" s="507"/>
      <c r="AD391" s="507"/>
      <c r="AE391" s="507"/>
      <c r="AF391" s="507"/>
      <c r="AG391" s="507"/>
      <c r="AH391" s="507"/>
      <c r="AI391" s="507"/>
      <c r="AJ391" s="507"/>
      <c r="AK391" s="507"/>
      <c r="AL391" s="507"/>
      <c r="AM391" s="507"/>
      <c r="AN391" s="507"/>
    </row>
    <row r="392" spans="1:40" ht="15.75" hidden="1" customHeight="1">
      <c r="A392" s="523" t="s">
        <v>449</v>
      </c>
      <c r="B392" s="510" t="s">
        <v>119</v>
      </c>
      <c r="C392" s="600" t="s">
        <v>20</v>
      </c>
      <c r="D392" s="584"/>
      <c r="E392" s="510"/>
      <c r="F392" s="532">
        <v>0</v>
      </c>
      <c r="G392" s="585"/>
      <c r="H392" s="510"/>
      <c r="I392" s="532"/>
      <c r="J392" s="531"/>
      <c r="K392" s="510"/>
      <c r="L392" s="534">
        <v>0</v>
      </c>
      <c r="M392" s="531"/>
      <c r="N392" s="557"/>
      <c r="O392" s="531"/>
      <c r="P392" s="510"/>
      <c r="Q392" s="534">
        <v>0</v>
      </c>
      <c r="R392" s="531"/>
      <c r="S392" s="557">
        <v>0</v>
      </c>
      <c r="T392" s="507"/>
      <c r="U392" s="507"/>
      <c r="V392" s="510"/>
      <c r="W392" s="507"/>
      <c r="X392" s="507"/>
      <c r="Y392" s="507"/>
      <c r="Z392" s="507"/>
      <c r="AA392" s="507"/>
      <c r="AB392" s="507"/>
      <c r="AC392" s="507"/>
      <c r="AD392" s="507"/>
      <c r="AE392" s="507"/>
      <c r="AF392" s="507"/>
      <c r="AG392" s="507"/>
      <c r="AH392" s="507"/>
      <c r="AI392" s="507"/>
      <c r="AJ392" s="507"/>
      <c r="AK392" s="507"/>
      <c r="AL392" s="507"/>
      <c r="AM392" s="507"/>
      <c r="AN392" s="507"/>
    </row>
    <row r="393" spans="1:40" ht="15.75" hidden="1" customHeight="1">
      <c r="A393" s="523" t="s">
        <v>449</v>
      </c>
      <c r="B393" s="510" t="s">
        <v>119</v>
      </c>
      <c r="C393" s="600" t="s">
        <v>20</v>
      </c>
      <c r="D393" s="584"/>
      <c r="E393" s="510"/>
      <c r="F393" s="532">
        <v>0</v>
      </c>
      <c r="G393" s="585"/>
      <c r="H393" s="510"/>
      <c r="I393" s="532"/>
      <c r="J393" s="531"/>
      <c r="K393" s="510"/>
      <c r="L393" s="534">
        <v>0</v>
      </c>
      <c r="M393" s="531"/>
      <c r="N393" s="557"/>
      <c r="O393" s="531"/>
      <c r="P393" s="510"/>
      <c r="Q393" s="534">
        <v>0</v>
      </c>
      <c r="R393" s="531"/>
      <c r="S393" s="557">
        <v>0</v>
      </c>
      <c r="T393" s="507"/>
      <c r="U393" s="507"/>
      <c r="V393" s="510"/>
      <c r="W393" s="507"/>
      <c r="X393" s="507"/>
      <c r="Y393" s="507"/>
      <c r="Z393" s="507"/>
      <c r="AA393" s="507"/>
      <c r="AB393" s="507"/>
      <c r="AC393" s="507"/>
      <c r="AD393" s="507"/>
      <c r="AE393" s="507"/>
      <c r="AF393" s="507"/>
      <c r="AG393" s="507"/>
      <c r="AH393" s="507"/>
      <c r="AI393" s="507"/>
      <c r="AJ393" s="507"/>
      <c r="AK393" s="507"/>
      <c r="AL393" s="507"/>
      <c r="AM393" s="507"/>
      <c r="AN393" s="507"/>
    </row>
    <row r="394" spans="1:40" ht="15.75" hidden="1" customHeight="1">
      <c r="A394" s="523" t="s">
        <v>449</v>
      </c>
      <c r="B394" s="510" t="s">
        <v>119</v>
      </c>
      <c r="C394" s="600" t="s">
        <v>20</v>
      </c>
      <c r="D394" s="587"/>
      <c r="E394" s="607"/>
      <c r="F394" s="532">
        <v>0</v>
      </c>
      <c r="G394" s="588"/>
      <c r="H394" s="607"/>
      <c r="I394" s="532"/>
      <c r="J394" s="524"/>
      <c r="K394" s="607"/>
      <c r="L394" s="534">
        <v>0</v>
      </c>
      <c r="M394" s="524"/>
      <c r="N394" s="582"/>
      <c r="O394" s="524"/>
      <c r="P394" s="607"/>
      <c r="Q394" s="534">
        <v>0</v>
      </c>
      <c r="R394" s="524"/>
      <c r="S394" s="582">
        <v>0</v>
      </c>
      <c r="T394" s="507"/>
      <c r="U394" s="507"/>
      <c r="V394" s="510"/>
      <c r="W394" s="507"/>
      <c r="X394" s="507"/>
      <c r="Y394" s="507"/>
      <c r="Z394" s="507"/>
      <c r="AA394" s="507"/>
      <c r="AB394" s="507"/>
      <c r="AC394" s="507"/>
      <c r="AD394" s="507"/>
      <c r="AE394" s="507"/>
      <c r="AF394" s="507"/>
      <c r="AG394" s="507"/>
      <c r="AH394" s="507"/>
      <c r="AI394" s="507"/>
      <c r="AJ394" s="507"/>
      <c r="AK394" s="507"/>
      <c r="AL394" s="507"/>
      <c r="AM394" s="507"/>
      <c r="AN394" s="507"/>
    </row>
    <row r="395" spans="1:40" ht="15.75" hidden="1" customHeight="1">
      <c r="B395" s="504"/>
      <c r="C395" s="592" t="s">
        <v>64</v>
      </c>
      <c r="D395" s="593" t="s">
        <v>39</v>
      </c>
      <c r="E395" s="594">
        <v>0</v>
      </c>
      <c r="F395" s="595">
        <v>0</v>
      </c>
      <c r="G395" s="596"/>
      <c r="H395" s="594"/>
      <c r="I395" s="595"/>
      <c r="J395" s="596" t="s">
        <v>39</v>
      </c>
      <c r="K395" s="594">
        <v>0</v>
      </c>
      <c r="L395" s="595">
        <v>0</v>
      </c>
      <c r="M395" s="650"/>
      <c r="N395" s="595"/>
      <c r="O395" s="596" t="s">
        <v>39</v>
      </c>
      <c r="P395" s="594">
        <v>0</v>
      </c>
      <c r="Q395" s="595">
        <v>0</v>
      </c>
      <c r="R395" s="650"/>
      <c r="S395" s="609">
        <v>0</v>
      </c>
      <c r="T395" s="507"/>
      <c r="U395" s="507"/>
      <c r="V395" s="510"/>
      <c r="W395" s="507"/>
      <c r="X395" s="507"/>
      <c r="Y395" s="507"/>
      <c r="Z395" s="507"/>
      <c r="AA395" s="507"/>
      <c r="AB395" s="507"/>
      <c r="AC395" s="507"/>
      <c r="AD395" s="507"/>
      <c r="AE395" s="507"/>
      <c r="AF395" s="507"/>
      <c r="AG395" s="507"/>
      <c r="AH395" s="507"/>
      <c r="AI395" s="507"/>
      <c r="AJ395" s="507"/>
      <c r="AK395" s="507"/>
      <c r="AL395" s="507"/>
      <c r="AM395" s="507"/>
      <c r="AN395" s="507"/>
    </row>
    <row r="396" spans="1:40" ht="15.75" hidden="1" customHeight="1">
      <c r="B396" s="504"/>
      <c r="C396" s="531"/>
      <c r="D396" s="510"/>
      <c r="E396" s="510"/>
      <c r="F396" s="541"/>
      <c r="G396" s="531"/>
      <c r="H396" s="510"/>
      <c r="I396" s="541"/>
      <c r="J396" s="531"/>
      <c r="K396" s="510"/>
      <c r="L396" s="541"/>
      <c r="M396" s="550"/>
      <c r="N396" s="572"/>
      <c r="O396" s="531"/>
      <c r="P396" s="510"/>
      <c r="Q396" s="541"/>
      <c r="R396" s="531"/>
      <c r="S396" s="572"/>
      <c r="T396" s="507"/>
      <c r="U396" s="507"/>
      <c r="V396" s="510"/>
      <c r="W396" s="507"/>
      <c r="X396" s="507"/>
      <c r="Y396" s="507"/>
      <c r="Z396" s="507"/>
      <c r="AA396" s="507"/>
      <c r="AB396" s="507"/>
      <c r="AC396" s="507"/>
      <c r="AD396" s="507"/>
      <c r="AE396" s="507"/>
      <c r="AF396" s="507"/>
      <c r="AG396" s="507"/>
      <c r="AH396" s="507"/>
      <c r="AI396" s="507"/>
      <c r="AJ396" s="507"/>
      <c r="AK396" s="507"/>
      <c r="AL396" s="507"/>
      <c r="AM396" s="507"/>
      <c r="AN396" s="507"/>
    </row>
    <row r="397" spans="1:40" ht="15.75" hidden="1" customHeight="1">
      <c r="B397" s="504"/>
      <c r="C397" s="592" t="s">
        <v>65</v>
      </c>
      <c r="D397" s="593" t="s">
        <v>39</v>
      </c>
      <c r="E397" s="594">
        <v>0</v>
      </c>
      <c r="F397" s="595">
        <v>0</v>
      </c>
      <c r="G397" s="596"/>
      <c r="H397" s="594"/>
      <c r="I397" s="595"/>
      <c r="J397" s="596" t="s">
        <v>39</v>
      </c>
      <c r="K397" s="594">
        <v>0</v>
      </c>
      <c r="L397" s="595">
        <v>0</v>
      </c>
      <c r="M397" s="592"/>
      <c r="N397" s="595"/>
      <c r="O397" s="596" t="s">
        <v>39</v>
      </c>
      <c r="P397" s="594">
        <v>0</v>
      </c>
      <c r="Q397" s="595">
        <v>0</v>
      </c>
      <c r="R397" s="599"/>
      <c r="S397" s="595">
        <v>0</v>
      </c>
      <c r="T397" s="507"/>
      <c r="U397" s="507"/>
      <c r="V397" s="510"/>
      <c r="W397" s="507"/>
      <c r="X397" s="507"/>
      <c r="Y397" s="507"/>
      <c r="Z397" s="507"/>
      <c r="AA397" s="507"/>
      <c r="AB397" s="507"/>
      <c r="AC397" s="507"/>
      <c r="AD397" s="507"/>
      <c r="AE397" s="507"/>
      <c r="AF397" s="507"/>
      <c r="AG397" s="507"/>
      <c r="AH397" s="507"/>
      <c r="AI397" s="507"/>
      <c r="AJ397" s="507"/>
      <c r="AK397" s="507"/>
      <c r="AL397" s="507"/>
      <c r="AM397" s="507"/>
      <c r="AN397" s="507"/>
    </row>
    <row r="398" spans="1:40" ht="15.75" hidden="1" customHeight="1">
      <c r="B398" s="504"/>
      <c r="C398" s="531"/>
      <c r="D398" s="510"/>
      <c r="E398" s="510"/>
      <c r="F398" s="557"/>
      <c r="G398" s="531"/>
      <c r="H398" s="510"/>
      <c r="I398" s="557"/>
      <c r="J398" s="531"/>
      <c r="K398" s="510"/>
      <c r="L398" s="557"/>
      <c r="M398" s="550"/>
      <c r="N398" s="572"/>
      <c r="O398" s="531"/>
      <c r="P398" s="510"/>
      <c r="Q398" s="557"/>
      <c r="R398" s="531"/>
      <c r="S398" s="572"/>
      <c r="T398" s="507"/>
      <c r="U398" s="507"/>
      <c r="V398" s="510"/>
      <c r="W398" s="507"/>
      <c r="X398" s="507"/>
      <c r="Y398" s="507"/>
      <c r="Z398" s="507"/>
      <c r="AA398" s="507"/>
      <c r="AB398" s="507"/>
      <c r="AC398" s="507"/>
      <c r="AD398" s="507"/>
      <c r="AE398" s="507"/>
      <c r="AF398" s="507"/>
      <c r="AG398" s="507"/>
      <c r="AH398" s="507"/>
      <c r="AI398" s="507"/>
      <c r="AJ398" s="507"/>
      <c r="AK398" s="507"/>
      <c r="AL398" s="507"/>
      <c r="AM398" s="507"/>
      <c r="AN398" s="507"/>
    </row>
    <row r="399" spans="1:40" ht="15.75" hidden="1" customHeight="1">
      <c r="B399" s="504"/>
      <c r="C399" s="730" t="s">
        <v>72</v>
      </c>
      <c r="D399" s="731"/>
      <c r="E399" s="731"/>
      <c r="F399" s="732">
        <v>0</v>
      </c>
      <c r="G399" s="730"/>
      <c r="H399" s="731"/>
      <c r="I399" s="732"/>
      <c r="J399" s="733"/>
      <c r="K399" s="734"/>
      <c r="L399" s="732">
        <v>0</v>
      </c>
      <c r="M399" s="730"/>
      <c r="N399" s="732"/>
      <c r="O399" s="733"/>
      <c r="P399" s="734"/>
      <c r="Q399" s="732">
        <v>0</v>
      </c>
      <c r="R399" s="733"/>
      <c r="S399" s="732">
        <v>0</v>
      </c>
      <c r="T399" s="507"/>
      <c r="U399" s="507"/>
      <c r="V399" s="510"/>
      <c r="W399" s="507"/>
      <c r="X399" s="507"/>
      <c r="Y399" s="507"/>
      <c r="Z399" s="507"/>
      <c r="AA399" s="507"/>
      <c r="AB399" s="507"/>
      <c r="AC399" s="507"/>
      <c r="AD399" s="507"/>
      <c r="AE399" s="507"/>
      <c r="AF399" s="507"/>
      <c r="AG399" s="507"/>
      <c r="AH399" s="507"/>
      <c r="AI399" s="507"/>
      <c r="AJ399" s="507"/>
      <c r="AK399" s="507"/>
      <c r="AL399" s="507"/>
      <c r="AM399" s="507"/>
      <c r="AN399" s="507"/>
    </row>
    <row r="400" spans="1:40" ht="15.75" customHeight="1">
      <c r="B400" s="504"/>
      <c r="C400" s="571"/>
      <c r="D400" s="735"/>
      <c r="E400" s="510"/>
      <c r="F400" s="608">
        <v>23500.05110056822</v>
      </c>
      <c r="G400" s="584"/>
      <c r="H400" s="510"/>
      <c r="I400" s="608"/>
      <c r="J400" s="735"/>
      <c r="K400" s="571"/>
      <c r="L400" s="608">
        <v>55464.940000000075</v>
      </c>
      <c r="M400" s="571"/>
      <c r="N400" s="608"/>
      <c r="O400" s="571"/>
      <c r="P400" s="571"/>
      <c r="Q400" s="608"/>
      <c r="R400" s="571"/>
      <c r="S400" s="608"/>
      <c r="T400" s="510"/>
      <c r="U400" s="510"/>
      <c r="V400" s="510"/>
      <c r="W400" s="510"/>
      <c r="X400" s="510"/>
      <c r="Y400" s="510"/>
      <c r="Z400" s="510"/>
      <c r="AA400" s="510"/>
      <c r="AB400" s="510"/>
      <c r="AC400" s="510"/>
      <c r="AD400" s="510"/>
      <c r="AE400" s="510"/>
      <c r="AF400" s="510"/>
      <c r="AG400" s="510"/>
      <c r="AH400" s="510"/>
      <c r="AI400" s="510"/>
      <c r="AJ400" s="510"/>
      <c r="AK400" s="510"/>
      <c r="AL400" s="510"/>
      <c r="AM400" s="510"/>
      <c r="AN400" s="510"/>
    </row>
    <row r="401" spans="1:61" ht="15.75" customHeight="1">
      <c r="B401" s="504"/>
      <c r="F401" s="736"/>
      <c r="L401" s="736"/>
      <c r="V401" s="510"/>
      <c r="W401" s="507"/>
      <c r="X401" s="507"/>
      <c r="Y401" s="507"/>
      <c r="Z401" s="507"/>
      <c r="AA401" s="507"/>
      <c r="AB401" s="507"/>
      <c r="AC401" s="507"/>
      <c r="AD401" s="507"/>
      <c r="AE401" s="507"/>
      <c r="AF401" s="507"/>
      <c r="AG401" s="507"/>
      <c r="AH401" s="507"/>
      <c r="AI401" s="507"/>
      <c r="AJ401" s="507"/>
      <c r="AK401" s="507"/>
      <c r="AL401" s="507"/>
      <c r="AM401" s="507"/>
      <c r="AN401" s="507"/>
    </row>
    <row r="402" spans="1:61" ht="35.4">
      <c r="B402" s="504"/>
      <c r="C402" s="737" t="s">
        <v>227</v>
      </c>
      <c r="F402" s="736"/>
      <c r="L402" s="736"/>
      <c r="V402" s="738" t="s">
        <v>478</v>
      </c>
      <c r="W402" s="496"/>
      <c r="X402" s="496"/>
      <c r="Y402" s="496"/>
      <c r="Z402" s="496"/>
      <c r="AA402" s="496"/>
      <c r="AB402" s="496"/>
      <c r="AC402" s="496"/>
      <c r="AD402" s="496"/>
      <c r="AE402" s="498" t="s">
        <v>477</v>
      </c>
      <c r="AF402" s="496"/>
      <c r="AG402" s="496"/>
      <c r="AH402" s="496"/>
      <c r="AI402" s="496"/>
      <c r="AJ402" s="739"/>
      <c r="AK402" s="498"/>
      <c r="AL402" s="496"/>
      <c r="AM402" s="496"/>
      <c r="AN402" s="496"/>
      <c r="AO402" s="739" t="s">
        <v>480</v>
      </c>
      <c r="AP402" s="507"/>
      <c r="AQ402" s="507"/>
      <c r="AR402" s="507"/>
      <c r="AS402" s="507"/>
      <c r="AT402" s="507"/>
      <c r="AU402" s="507"/>
      <c r="AV402" s="507"/>
      <c r="AW402" s="507"/>
      <c r="AX402" s="507"/>
      <c r="AY402" s="507"/>
      <c r="AZ402" s="507"/>
      <c r="BA402" s="507"/>
      <c r="BB402" s="507"/>
      <c r="BC402" s="507"/>
      <c r="BD402" s="507"/>
      <c r="BE402" s="507"/>
      <c r="BF402" s="507"/>
      <c r="BG402" s="507"/>
      <c r="BH402" s="507"/>
      <c r="BI402" s="507"/>
    </row>
    <row r="403" spans="1:61" ht="15.75" customHeight="1" thickBot="1">
      <c r="B403" s="504"/>
      <c r="C403" s="737" t="s">
        <v>227</v>
      </c>
      <c r="V403" s="740"/>
      <c r="W403" s="506"/>
      <c r="X403" s="506"/>
      <c r="Y403" s="506"/>
      <c r="Z403" s="506"/>
      <c r="AA403" s="506"/>
      <c r="AB403" s="506"/>
      <c r="AC403" s="506"/>
      <c r="AD403" s="506"/>
      <c r="AE403" s="506"/>
      <c r="AF403" s="506"/>
      <c r="AG403" s="506"/>
      <c r="AH403" s="506"/>
      <c r="AI403" s="506"/>
      <c r="AJ403" s="506"/>
      <c r="AK403" s="506"/>
      <c r="AL403" s="507"/>
      <c r="AM403" s="507"/>
      <c r="AN403" s="507"/>
      <c r="AO403" s="507"/>
      <c r="AP403" s="507"/>
      <c r="AQ403" s="507"/>
      <c r="AR403" s="507"/>
      <c r="AS403" s="507"/>
      <c r="AT403" s="507"/>
      <c r="AU403" s="507"/>
      <c r="AV403" s="507"/>
      <c r="AW403" s="507"/>
      <c r="AX403" s="507"/>
      <c r="AY403" s="507"/>
      <c r="AZ403" s="507"/>
      <c r="BA403" s="507"/>
      <c r="BB403" s="507"/>
      <c r="BC403" s="507"/>
      <c r="BD403" s="507"/>
      <c r="BE403" s="507"/>
      <c r="BF403" s="507"/>
      <c r="BG403" s="507"/>
      <c r="BH403" s="507"/>
      <c r="BI403" s="507"/>
    </row>
    <row r="404" spans="1:61" ht="15.75" customHeight="1" thickTop="1" thickBot="1">
      <c r="A404" s="523" t="s">
        <v>469</v>
      </c>
      <c r="B404" s="504"/>
      <c r="C404" s="737" t="s">
        <v>227</v>
      </c>
      <c r="V404" s="741"/>
      <c r="W404" s="742"/>
      <c r="X404" s="743" t="s">
        <v>122</v>
      </c>
      <c r="Y404" s="744"/>
      <c r="Z404" s="745"/>
      <c r="AA404" s="746"/>
      <c r="AB404" s="744"/>
      <c r="AC404" s="745"/>
      <c r="AD404" s="746" t="s">
        <v>7</v>
      </c>
      <c r="AE404" s="744"/>
      <c r="AF404" s="745"/>
      <c r="AG404" s="746" t="s">
        <v>220</v>
      </c>
      <c r="AH404" s="744"/>
      <c r="AI404" s="745"/>
      <c r="AJ404" s="746" t="s">
        <v>123</v>
      </c>
      <c r="AK404" s="744"/>
      <c r="AL404" s="744"/>
      <c r="AM404" s="746" t="s">
        <v>124</v>
      </c>
      <c r="AN404" s="744"/>
      <c r="AO404" s="747"/>
      <c r="AP404" s="507"/>
      <c r="AQ404" s="507"/>
      <c r="AR404" s="507"/>
      <c r="AS404" s="507"/>
      <c r="AT404" s="507"/>
      <c r="AU404" s="507"/>
      <c r="AV404" s="507"/>
      <c r="AW404" s="507"/>
      <c r="AX404" s="507"/>
      <c r="AY404" s="507"/>
      <c r="AZ404" s="507"/>
      <c r="BA404" s="507"/>
      <c r="BB404" s="507"/>
      <c r="BC404" s="507"/>
      <c r="BD404" s="507"/>
      <c r="BE404" s="507"/>
      <c r="BF404" s="507"/>
      <c r="BG404" s="507"/>
      <c r="BH404" s="507"/>
      <c r="BI404" s="507"/>
    </row>
    <row r="405" spans="1:61" ht="15.75" customHeight="1">
      <c r="A405" s="523" t="s">
        <v>469</v>
      </c>
      <c r="B405" s="504"/>
      <c r="C405" s="737" t="s">
        <v>227</v>
      </c>
      <c r="V405" s="524"/>
      <c r="W405" s="701" t="s">
        <v>125</v>
      </c>
      <c r="X405" s="701" t="s">
        <v>126</v>
      </c>
      <c r="Y405" s="701" t="s">
        <v>127</v>
      </c>
      <c r="Z405" s="748" t="s">
        <v>128</v>
      </c>
      <c r="AA405" s="701"/>
      <c r="AB405" s="701"/>
      <c r="AC405" s="748"/>
      <c r="AD405" s="749" t="s">
        <v>126</v>
      </c>
      <c r="AE405" s="701" t="s">
        <v>127</v>
      </c>
      <c r="AF405" s="701" t="s">
        <v>128</v>
      </c>
      <c r="AG405" s="749" t="s">
        <v>129</v>
      </c>
      <c r="AH405" s="701" t="s">
        <v>130</v>
      </c>
      <c r="AI405" s="701" t="s">
        <v>131</v>
      </c>
      <c r="AJ405" s="749" t="s">
        <v>126</v>
      </c>
      <c r="AK405" s="701" t="s">
        <v>127</v>
      </c>
      <c r="AL405" s="701" t="s">
        <v>128</v>
      </c>
      <c r="AM405" s="750" t="s">
        <v>129</v>
      </c>
      <c r="AN405" s="701" t="s">
        <v>130</v>
      </c>
      <c r="AO405" s="638" t="s">
        <v>131</v>
      </c>
      <c r="AP405" s="507"/>
      <c r="AQ405" s="507"/>
      <c r="AR405" s="507"/>
      <c r="AS405" s="507"/>
      <c r="AT405" s="507"/>
      <c r="AU405" s="507"/>
      <c r="AV405" s="507"/>
      <c r="AW405" s="507"/>
      <c r="AX405" s="507"/>
      <c r="AY405" s="507"/>
      <c r="AZ405" s="507"/>
      <c r="BA405" s="507"/>
      <c r="BB405" s="507"/>
      <c r="BC405" s="507"/>
      <c r="BD405" s="507"/>
      <c r="BE405" s="507"/>
      <c r="BF405" s="507"/>
      <c r="BG405" s="507"/>
      <c r="BH405" s="507"/>
      <c r="BI405" s="507"/>
    </row>
    <row r="406" spans="1:61" ht="15.75" customHeight="1">
      <c r="A406" s="523" t="s">
        <v>15</v>
      </c>
      <c r="B406" s="504"/>
      <c r="C406" s="737" t="s">
        <v>227</v>
      </c>
      <c r="V406" s="602" t="s">
        <v>15</v>
      </c>
      <c r="W406" s="751"/>
      <c r="X406" s="751"/>
      <c r="Y406" s="751"/>
      <c r="Z406" s="752">
        <v>3630443.4705679556</v>
      </c>
      <c r="AA406" s="751"/>
      <c r="AB406" s="751"/>
      <c r="AC406" s="752"/>
      <c r="AD406" s="753"/>
      <c r="AE406" s="754"/>
      <c r="AF406" s="754">
        <v>3688847.9799999995</v>
      </c>
      <c r="AG406" s="753"/>
      <c r="AH406" s="754"/>
      <c r="AI406" s="755"/>
      <c r="AJ406" s="753"/>
      <c r="AK406" s="754"/>
      <c r="AL406" s="754">
        <v>9614340.6600000001</v>
      </c>
      <c r="AM406" s="756"/>
      <c r="AN406" s="754"/>
      <c r="AO406" s="757"/>
      <c r="AP406" s="507"/>
      <c r="AQ406" s="507"/>
      <c r="AR406" s="507"/>
      <c r="AS406" s="507"/>
      <c r="AT406" s="507"/>
      <c r="AU406" s="507"/>
      <c r="AV406" s="507"/>
      <c r="AW406" s="507"/>
      <c r="AX406" s="507"/>
      <c r="AY406" s="507"/>
      <c r="AZ406" s="507"/>
      <c r="BA406" s="507"/>
      <c r="BB406" s="507"/>
      <c r="BC406" s="507"/>
      <c r="BD406" s="507"/>
      <c r="BE406" s="507"/>
      <c r="BF406" s="507"/>
      <c r="BG406" s="507"/>
      <c r="BH406" s="507"/>
      <c r="BI406" s="507"/>
    </row>
    <row r="407" spans="1:61" ht="15.75" customHeight="1">
      <c r="A407" s="523" t="s">
        <v>132</v>
      </c>
      <c r="B407" s="504"/>
      <c r="C407" s="737" t="s">
        <v>227</v>
      </c>
      <c r="V407" s="758" t="s">
        <v>132</v>
      </c>
      <c r="W407" s="759"/>
      <c r="X407" s="760">
        <v>0.14590655789732473</v>
      </c>
      <c r="Y407" s="759"/>
      <c r="Z407" s="761">
        <v>529705.51043138793</v>
      </c>
      <c r="AA407" s="759"/>
      <c r="AB407" s="759"/>
      <c r="AC407" s="761"/>
      <c r="AD407" s="760">
        <v>0.12405635105624496</v>
      </c>
      <c r="AE407" s="762"/>
      <c r="AF407" s="761">
        <v>457625.02</v>
      </c>
      <c r="AG407" s="763"/>
      <c r="AH407" s="762">
        <v>-72080.490431387909</v>
      </c>
      <c r="AI407" s="764">
        <v>-0.13607653500279077</v>
      </c>
      <c r="AJ407" s="763">
        <v>5.4127057528248562E-2</v>
      </c>
      <c r="AK407" s="762"/>
      <c r="AL407" s="762">
        <v>520395.96999999927</v>
      </c>
      <c r="AM407" s="765"/>
      <c r="AN407" s="762">
        <v>-62770.949999999255</v>
      </c>
      <c r="AO407" s="766">
        <v>-0.12062151442102702</v>
      </c>
      <c r="AP407" s="507"/>
      <c r="AQ407" s="507"/>
      <c r="AR407" s="507"/>
      <c r="AS407" s="507"/>
      <c r="AT407" s="507"/>
      <c r="AU407" s="507"/>
      <c r="AV407" s="507"/>
      <c r="AW407" s="507"/>
      <c r="AX407" s="507"/>
      <c r="AY407" s="507"/>
      <c r="AZ407" s="507"/>
      <c r="BA407" s="507"/>
      <c r="BB407" s="507"/>
      <c r="BC407" s="507"/>
      <c r="BD407" s="507"/>
      <c r="BE407" s="507"/>
      <c r="BF407" s="507"/>
      <c r="BG407" s="507"/>
      <c r="BH407" s="507"/>
      <c r="BI407" s="507"/>
    </row>
    <row r="408" spans="1:61" ht="15.75" customHeight="1">
      <c r="A408" s="523" t="s">
        <v>133</v>
      </c>
      <c r="B408" s="504"/>
      <c r="C408" s="737" t="s">
        <v>227</v>
      </c>
      <c r="V408" s="767" t="s">
        <v>133</v>
      </c>
      <c r="W408" s="768"/>
      <c r="X408" s="768"/>
      <c r="Y408" s="768"/>
      <c r="Z408" s="769"/>
      <c r="AA408" s="768"/>
      <c r="AB408" s="768"/>
      <c r="AC408" s="769"/>
      <c r="AD408" s="770"/>
      <c r="AE408" s="768"/>
      <c r="AF408" s="771"/>
      <c r="AG408" s="770"/>
      <c r="AH408" s="771"/>
      <c r="AI408" s="772"/>
      <c r="AJ408" s="770"/>
      <c r="AK408" s="768"/>
      <c r="AL408" s="771"/>
      <c r="AM408" s="773"/>
      <c r="AN408" s="771"/>
      <c r="AO408" s="774"/>
      <c r="AP408" s="507"/>
      <c r="AQ408" s="507"/>
      <c r="AR408" s="507"/>
      <c r="AS408" s="507"/>
      <c r="AT408" s="507"/>
      <c r="AU408" s="507"/>
      <c r="AV408" s="507"/>
      <c r="AW408" s="507"/>
      <c r="AX408" s="507"/>
      <c r="AY408" s="507"/>
      <c r="AZ408" s="507"/>
      <c r="BA408" s="507"/>
      <c r="BB408" s="507"/>
      <c r="BC408" s="507"/>
      <c r="BD408" s="507"/>
      <c r="BE408" s="507"/>
      <c r="BF408" s="507"/>
      <c r="BG408" s="507"/>
      <c r="BH408" s="507"/>
      <c r="BI408" s="507"/>
    </row>
    <row r="409" spans="1:61" ht="15.75" customHeight="1">
      <c r="A409" s="523" t="s">
        <v>31</v>
      </c>
      <c r="B409" s="504"/>
      <c r="C409" s="737" t="s">
        <v>227</v>
      </c>
      <c r="V409" s="600" t="s">
        <v>31</v>
      </c>
      <c r="W409" s="775" t="s">
        <v>134</v>
      </c>
      <c r="X409" s="768"/>
      <c r="Y409" s="776">
        <v>810.37530837980125</v>
      </c>
      <c r="Z409" s="769">
        <v>46475.023935581601</v>
      </c>
      <c r="AA409" s="768"/>
      <c r="AB409" s="776"/>
      <c r="AC409" s="769"/>
      <c r="AD409" s="777"/>
      <c r="AE409" s="776">
        <v>772.54458333333332</v>
      </c>
      <c r="AF409" s="769">
        <v>37082.14</v>
      </c>
      <c r="AG409" s="770">
        <v>-37.830725046467933</v>
      </c>
      <c r="AH409" s="771">
        <v>-9392.8839355816017</v>
      </c>
      <c r="AI409" s="772">
        <v>-0.2021060591297586</v>
      </c>
      <c r="AJ409" s="778">
        <v>8.6728976782814188E-2</v>
      </c>
      <c r="AK409" s="771">
        <v>654.10739130434786</v>
      </c>
      <c r="AL409" s="769">
        <v>45133.41</v>
      </c>
      <c r="AM409" s="773">
        <v>-37.830725046467933</v>
      </c>
      <c r="AN409" s="771">
        <v>-8051.2700000000041</v>
      </c>
      <c r="AO409" s="779">
        <v>-0.17838824941434744</v>
      </c>
      <c r="AP409" s="507"/>
      <c r="AQ409" s="507"/>
      <c r="AR409" s="504"/>
      <c r="AS409" s="507"/>
      <c r="AT409" s="507"/>
      <c r="AU409" s="507"/>
      <c r="AV409" s="507"/>
      <c r="AW409" s="507"/>
      <c r="AX409" s="507"/>
      <c r="AY409" s="507"/>
      <c r="AZ409" s="507"/>
      <c r="BA409" s="507"/>
      <c r="BB409" s="507"/>
      <c r="BC409" s="507"/>
      <c r="BD409" s="507"/>
      <c r="BE409" s="507"/>
      <c r="BF409" s="507"/>
      <c r="BG409" s="507"/>
      <c r="BH409" s="507"/>
      <c r="BI409" s="507"/>
    </row>
    <row r="410" spans="1:61" ht="15.75" customHeight="1">
      <c r="A410" s="523" t="s">
        <v>32</v>
      </c>
      <c r="B410" s="504"/>
      <c r="C410" s="737" t="s">
        <v>227</v>
      </c>
      <c r="V410" s="602" t="s">
        <v>32</v>
      </c>
      <c r="W410" s="780" t="s">
        <v>135</v>
      </c>
      <c r="X410" s="751"/>
      <c r="Y410" s="781">
        <v>530.71490845684389</v>
      </c>
      <c r="Z410" s="752">
        <v>30436.5</v>
      </c>
      <c r="AA410" s="751"/>
      <c r="AB410" s="781"/>
      <c r="AC410" s="752"/>
      <c r="AD410" s="782"/>
      <c r="AE410" s="781">
        <v>488.11083333333335</v>
      </c>
      <c r="AF410" s="752">
        <v>23429.32</v>
      </c>
      <c r="AG410" s="753">
        <v>-42.60407512351054</v>
      </c>
      <c r="AH410" s="754">
        <v>-7007.18</v>
      </c>
      <c r="AI410" s="783">
        <v>-0.23022292313505169</v>
      </c>
      <c r="AJ410" s="784">
        <v>4.7989514599815278E-2</v>
      </c>
      <c r="AK410" s="754">
        <v>361.9355072463768</v>
      </c>
      <c r="AL410" s="752">
        <v>24973.55</v>
      </c>
      <c r="AM410" s="756">
        <v>-42.60407512351054</v>
      </c>
      <c r="AN410" s="754">
        <v>-1544.2299999999996</v>
      </c>
      <c r="AO410" s="757">
        <v>-6.1834621029048721E-2</v>
      </c>
      <c r="AP410" s="507"/>
      <c r="AQ410" s="507"/>
      <c r="AR410" s="510"/>
      <c r="AS410" s="507"/>
      <c r="AT410" s="507"/>
      <c r="AU410" s="507"/>
      <c r="AV410" s="507"/>
      <c r="AW410" s="507"/>
      <c r="AX410" s="507"/>
      <c r="AY410" s="507"/>
      <c r="AZ410" s="507"/>
      <c r="BA410" s="507"/>
      <c r="BB410" s="507"/>
      <c r="BC410" s="507"/>
      <c r="BD410" s="507"/>
      <c r="BE410" s="507"/>
      <c r="BF410" s="507"/>
      <c r="BG410" s="507"/>
      <c r="BH410" s="507"/>
      <c r="BI410" s="507"/>
    </row>
    <row r="411" spans="1:61" ht="15.75" customHeight="1">
      <c r="A411" s="523" t="s">
        <v>33</v>
      </c>
      <c r="B411" s="504"/>
      <c r="C411" s="737" t="s">
        <v>227</v>
      </c>
      <c r="V411" s="600" t="s">
        <v>33</v>
      </c>
      <c r="W411" s="775" t="s">
        <v>136</v>
      </c>
      <c r="X411" s="768"/>
      <c r="Y411" s="776">
        <v>71.66957279860506</v>
      </c>
      <c r="Z411" s="769">
        <v>4110.25</v>
      </c>
      <c r="AA411" s="768"/>
      <c r="AB411" s="776"/>
      <c r="AC411" s="769"/>
      <c r="AD411" s="777"/>
      <c r="AE411" s="776">
        <v>84.63729166666667</v>
      </c>
      <c r="AF411" s="769">
        <v>4062.59</v>
      </c>
      <c r="AG411" s="770">
        <v>12.96771886806161</v>
      </c>
      <c r="AH411" s="771">
        <v>-47.659999999999854</v>
      </c>
      <c r="AI411" s="772">
        <v>-1.1595401739553519E-2</v>
      </c>
      <c r="AJ411" s="778">
        <v>1.5221255460529434E-2</v>
      </c>
      <c r="AK411" s="771">
        <v>114.79826086956521</v>
      </c>
      <c r="AL411" s="769">
        <v>7921.08</v>
      </c>
      <c r="AM411" s="773">
        <v>12.96771886806161</v>
      </c>
      <c r="AN411" s="771">
        <v>-3858.49</v>
      </c>
      <c r="AO411" s="779">
        <v>-0.48711665580956132</v>
      </c>
      <c r="AP411" s="507"/>
      <c r="AQ411" s="507"/>
      <c r="AR411" s="510"/>
      <c r="AS411" s="507"/>
      <c r="AT411" s="507"/>
      <c r="AU411" s="507"/>
      <c r="AV411" s="507"/>
      <c r="AW411" s="507"/>
      <c r="AX411" s="507"/>
      <c r="AY411" s="507"/>
      <c r="AZ411" s="507"/>
      <c r="BA411" s="507"/>
      <c r="BB411" s="507"/>
      <c r="BC411" s="507"/>
      <c r="BD411" s="507"/>
      <c r="BE411" s="507"/>
      <c r="BF411" s="507"/>
      <c r="BG411" s="507"/>
      <c r="BH411" s="507"/>
      <c r="BI411" s="507"/>
    </row>
    <row r="412" spans="1:61" ht="15.75" customHeight="1">
      <c r="A412" s="523" t="s">
        <v>34</v>
      </c>
      <c r="B412" s="504"/>
      <c r="C412" s="737" t="s">
        <v>227</v>
      </c>
      <c r="V412" s="600" t="s">
        <v>34</v>
      </c>
      <c r="W412" s="775" t="s">
        <v>137</v>
      </c>
      <c r="X412" s="768"/>
      <c r="Y412" s="776">
        <v>4.9659982563208374</v>
      </c>
      <c r="Z412" s="769">
        <v>284.8</v>
      </c>
      <c r="AA412" s="768"/>
      <c r="AB412" s="776"/>
      <c r="AC412" s="769"/>
      <c r="AD412" s="777"/>
      <c r="AE412" s="776">
        <v>-16.292916666666667</v>
      </c>
      <c r="AF412" s="769">
        <v>-782.06</v>
      </c>
      <c r="AG412" s="770">
        <v>-21.258914922987504</v>
      </c>
      <c r="AH412" s="771">
        <v>-1066.8599999999999</v>
      </c>
      <c r="AI412" s="772">
        <v>-3.7459971910112353</v>
      </c>
      <c r="AJ412" s="778">
        <v>4.9236161456054387E-3</v>
      </c>
      <c r="AK412" s="771">
        <v>37.133768115942033</v>
      </c>
      <c r="AL412" s="769">
        <v>2562.23</v>
      </c>
      <c r="AM412" s="773">
        <v>-21.258914922987504</v>
      </c>
      <c r="AN412" s="771">
        <v>-3344.29</v>
      </c>
      <c r="AO412" s="779">
        <v>-1.3052263067718355</v>
      </c>
      <c r="AP412" s="507"/>
      <c r="AQ412" s="507"/>
      <c r="AR412" s="510"/>
      <c r="AS412" s="507"/>
      <c r="AT412" s="507"/>
      <c r="AU412" s="507"/>
      <c r="AV412" s="507"/>
      <c r="AW412" s="507"/>
      <c r="AX412" s="507"/>
      <c r="AY412" s="507"/>
      <c r="AZ412" s="507"/>
      <c r="BA412" s="507"/>
      <c r="BB412" s="507"/>
      <c r="BC412" s="507"/>
      <c r="BD412" s="507"/>
      <c r="BE412" s="507"/>
      <c r="BF412" s="507"/>
      <c r="BG412" s="507"/>
      <c r="BH412" s="507"/>
      <c r="BI412" s="507"/>
    </row>
    <row r="413" spans="1:61" ht="15.75" customHeight="1">
      <c r="A413" s="523" t="s">
        <v>35</v>
      </c>
      <c r="B413" s="504"/>
      <c r="C413" s="737" t="s">
        <v>227</v>
      </c>
      <c r="V413" s="602" t="s">
        <v>35</v>
      </c>
      <c r="W413" s="780"/>
      <c r="X413" s="751"/>
      <c r="Y413" s="781">
        <v>124.03875326939841</v>
      </c>
      <c r="Z413" s="752">
        <v>7113.6224999999995</v>
      </c>
      <c r="AA413" s="751"/>
      <c r="AB413" s="781"/>
      <c r="AC413" s="752"/>
      <c r="AD413" s="782"/>
      <c r="AE413" s="781">
        <v>149.33000000000001</v>
      </c>
      <c r="AF413" s="752">
        <v>7167.84</v>
      </c>
      <c r="AG413" s="753">
        <v>25.2912467306016</v>
      </c>
      <c r="AH413" s="754">
        <v>54.217500000000655</v>
      </c>
      <c r="AI413" s="783">
        <v>7.6216442466550145E-3</v>
      </c>
      <c r="AJ413" s="784">
        <v>1.4191635650060878E-2</v>
      </c>
      <c r="AK413" s="754">
        <v>107.03289855072464</v>
      </c>
      <c r="AL413" s="752">
        <v>7385.27</v>
      </c>
      <c r="AM413" s="756">
        <v>25.2912467306016</v>
      </c>
      <c r="AN413" s="754">
        <v>-217.43000000000029</v>
      </c>
      <c r="AO413" s="757">
        <v>-2.9441036008162232E-2</v>
      </c>
      <c r="AP413" s="507"/>
      <c r="AQ413" s="507"/>
      <c r="AR413" s="510"/>
      <c r="AS413" s="507"/>
      <c r="AT413" s="507"/>
      <c r="AU413" s="507"/>
      <c r="AV413" s="507"/>
      <c r="AW413" s="507"/>
      <c r="AX413" s="507"/>
      <c r="AY413" s="507"/>
      <c r="AZ413" s="507"/>
      <c r="BA413" s="507"/>
      <c r="BB413" s="507"/>
      <c r="BC413" s="507"/>
      <c r="BD413" s="507"/>
      <c r="BE413" s="507"/>
      <c r="BF413" s="507"/>
      <c r="BG413" s="507"/>
      <c r="BH413" s="507"/>
      <c r="BI413" s="507"/>
    </row>
    <row r="414" spans="1:61" ht="15.75" customHeight="1">
      <c r="A414" s="523" t="s">
        <v>36</v>
      </c>
      <c r="B414" s="504"/>
      <c r="C414" s="737" t="s">
        <v>227</v>
      </c>
      <c r="V414" s="600" t="s">
        <v>36</v>
      </c>
      <c r="W414" s="775" t="s">
        <v>138</v>
      </c>
      <c r="X414" s="772"/>
      <c r="Y414" s="776">
        <v>329.69485614646902</v>
      </c>
      <c r="Z414" s="769">
        <v>18908</v>
      </c>
      <c r="AA414" s="772"/>
      <c r="AB414" s="776"/>
      <c r="AC414" s="769"/>
      <c r="AD414" s="777"/>
      <c r="AE414" s="776">
        <v>516.10833333333323</v>
      </c>
      <c r="AF414" s="769">
        <v>24773.199999999997</v>
      </c>
      <c r="AG414" s="770">
        <v>186.41347718686421</v>
      </c>
      <c r="AH414" s="771">
        <v>5865.1999999999971</v>
      </c>
      <c r="AI414" s="772">
        <v>0.31019674211973752</v>
      </c>
      <c r="AJ414" s="778">
        <v>5.1314713294186402E-2</v>
      </c>
      <c r="AK414" s="771">
        <v>387.01405797101432</v>
      </c>
      <c r="AL414" s="769">
        <v>26703.96999999999</v>
      </c>
      <c r="AM414" s="773">
        <v>186.41347718686421</v>
      </c>
      <c r="AN414" s="771">
        <v>-1930.7699999999932</v>
      </c>
      <c r="AO414" s="779">
        <v>-7.2302732515052773E-2</v>
      </c>
      <c r="AP414" s="507"/>
      <c r="AQ414" s="507"/>
      <c r="AR414" s="510"/>
      <c r="AS414" s="507"/>
      <c r="AT414" s="507"/>
      <c r="AU414" s="507"/>
      <c r="AV414" s="507"/>
      <c r="AW414" s="507"/>
      <c r="AX414" s="507"/>
      <c r="AY414" s="507"/>
      <c r="AZ414" s="507"/>
      <c r="BA414" s="507"/>
      <c r="BB414" s="507"/>
      <c r="BC414" s="507"/>
      <c r="BD414" s="507"/>
      <c r="BE414" s="507"/>
      <c r="BF414" s="507"/>
      <c r="BG414" s="507"/>
      <c r="BH414" s="507"/>
      <c r="BI414" s="507"/>
    </row>
    <row r="415" spans="1:61" ht="15.75" customHeight="1">
      <c r="A415" s="523" t="s">
        <v>37</v>
      </c>
      <c r="B415" s="504"/>
      <c r="C415" s="737" t="s">
        <v>227</v>
      </c>
      <c r="V415" s="600" t="s">
        <v>37</v>
      </c>
      <c r="W415" s="775" t="s">
        <v>139</v>
      </c>
      <c r="X415" s="768"/>
      <c r="Y415" s="776">
        <v>319.42042330895822</v>
      </c>
      <c r="Z415" s="769">
        <v>18318.761276768753</v>
      </c>
      <c r="AA415" s="768"/>
      <c r="AB415" s="776"/>
      <c r="AC415" s="769"/>
      <c r="AD415" s="777"/>
      <c r="AE415" s="776">
        <v>-18.571500000000007</v>
      </c>
      <c r="AF415" s="769">
        <v>-1114.2900000000004</v>
      </c>
      <c r="AG415" s="770">
        <v>-337.99192330895823</v>
      </c>
      <c r="AH415" s="771">
        <v>-19433.051276768754</v>
      </c>
      <c r="AI415" s="772">
        <v>-1.0608278028827804</v>
      </c>
      <c r="AJ415" s="778">
        <v>3.3801145692961505E-2</v>
      </c>
      <c r="AK415" s="771">
        <v>254.92724637681158</v>
      </c>
      <c r="AL415" s="769">
        <v>17589.98</v>
      </c>
      <c r="AM415" s="773">
        <v>-337.99192330895823</v>
      </c>
      <c r="AN415" s="771">
        <v>-18704.27</v>
      </c>
      <c r="AO415" s="779">
        <v>-1.0633479969846469</v>
      </c>
      <c r="AP415" s="507"/>
      <c r="AQ415" s="507"/>
      <c r="AR415" s="510"/>
      <c r="AS415" s="507"/>
      <c r="AT415" s="507"/>
      <c r="AU415" s="507"/>
      <c r="AV415" s="507"/>
      <c r="AW415" s="507"/>
      <c r="AX415" s="507"/>
      <c r="AY415" s="507"/>
      <c r="AZ415" s="507"/>
      <c r="BA415" s="507"/>
      <c r="BB415" s="507"/>
      <c r="BC415" s="507"/>
      <c r="BD415" s="507"/>
      <c r="BE415" s="507"/>
      <c r="BF415" s="507"/>
      <c r="BG415" s="507"/>
      <c r="BH415" s="507"/>
      <c r="BI415" s="507"/>
    </row>
    <row r="416" spans="1:61" ht="15.75" hidden="1" customHeight="1">
      <c r="A416" s="523" t="s">
        <v>20</v>
      </c>
      <c r="B416" s="504"/>
      <c r="C416" s="737" t="s">
        <v>227</v>
      </c>
      <c r="V416" s="600" t="s">
        <v>20</v>
      </c>
      <c r="W416" s="775"/>
      <c r="X416" s="772"/>
      <c r="Y416" s="776">
        <v>0</v>
      </c>
      <c r="Z416" s="769">
        <v>0</v>
      </c>
      <c r="AA416" s="768"/>
      <c r="AB416" s="776"/>
      <c r="AC416" s="769"/>
      <c r="AD416" s="777"/>
      <c r="AE416" s="776">
        <v>0</v>
      </c>
      <c r="AF416" s="769">
        <v>0</v>
      </c>
      <c r="AG416" s="770">
        <v>0</v>
      </c>
      <c r="AH416" s="771">
        <v>0</v>
      </c>
      <c r="AI416" s="772">
        <v>0</v>
      </c>
      <c r="AJ416" s="777"/>
      <c r="AK416" s="771">
        <v>0</v>
      </c>
      <c r="AL416" s="769">
        <v>0</v>
      </c>
      <c r="AM416" s="773">
        <v>0</v>
      </c>
      <c r="AN416" s="771">
        <v>0</v>
      </c>
      <c r="AO416" s="779">
        <v>0</v>
      </c>
      <c r="AP416" s="507"/>
      <c r="AQ416" s="507"/>
      <c r="AR416" s="510"/>
      <c r="AS416" s="507"/>
      <c r="AT416" s="507"/>
      <c r="AU416" s="507"/>
      <c r="AV416" s="507"/>
      <c r="AW416" s="507"/>
      <c r="AX416" s="507"/>
      <c r="AY416" s="507"/>
      <c r="AZ416" s="507"/>
      <c r="BA416" s="507"/>
      <c r="BB416" s="507"/>
      <c r="BC416" s="507"/>
      <c r="BD416" s="507"/>
      <c r="BE416" s="507"/>
      <c r="BF416" s="507"/>
      <c r="BG416" s="507"/>
      <c r="BH416" s="507"/>
      <c r="BI416" s="507"/>
    </row>
    <row r="417" spans="1:61" ht="15.75" hidden="1" customHeight="1">
      <c r="A417" s="523" t="s">
        <v>20</v>
      </c>
      <c r="B417" s="504"/>
      <c r="C417" s="737" t="s">
        <v>227</v>
      </c>
      <c r="V417" s="600" t="s">
        <v>20</v>
      </c>
      <c r="W417" s="775"/>
      <c r="X417" s="772"/>
      <c r="Y417" s="776">
        <v>0</v>
      </c>
      <c r="Z417" s="769">
        <v>0</v>
      </c>
      <c r="AA417" s="768"/>
      <c r="AB417" s="776"/>
      <c r="AC417" s="769"/>
      <c r="AD417" s="777"/>
      <c r="AE417" s="776">
        <v>0</v>
      </c>
      <c r="AF417" s="769">
        <v>0</v>
      </c>
      <c r="AG417" s="770">
        <v>0</v>
      </c>
      <c r="AH417" s="771">
        <v>0</v>
      </c>
      <c r="AI417" s="772">
        <v>0</v>
      </c>
      <c r="AJ417" s="777"/>
      <c r="AK417" s="771">
        <v>0</v>
      </c>
      <c r="AL417" s="769">
        <v>0</v>
      </c>
      <c r="AM417" s="773">
        <v>0</v>
      </c>
      <c r="AN417" s="771">
        <v>0</v>
      </c>
      <c r="AO417" s="779">
        <v>0</v>
      </c>
      <c r="AP417" s="507"/>
      <c r="AQ417" s="507"/>
      <c r="AR417" s="510"/>
      <c r="AS417" s="507"/>
      <c r="AT417" s="507"/>
      <c r="AU417" s="507"/>
      <c r="AV417" s="507"/>
      <c r="AW417" s="507"/>
      <c r="AX417" s="507"/>
      <c r="AY417" s="507"/>
      <c r="AZ417" s="507"/>
      <c r="BA417" s="507"/>
      <c r="BB417" s="507"/>
      <c r="BC417" s="507"/>
      <c r="BD417" s="507"/>
      <c r="BE417" s="507"/>
      <c r="BF417" s="507"/>
      <c r="BG417" s="507"/>
      <c r="BH417" s="507"/>
      <c r="BI417" s="507"/>
    </row>
    <row r="418" spans="1:61" ht="15.75" hidden="1" customHeight="1">
      <c r="A418" s="523" t="s">
        <v>20</v>
      </c>
      <c r="B418" s="504"/>
      <c r="C418" s="737" t="s">
        <v>227</v>
      </c>
      <c r="V418" s="600" t="s">
        <v>20</v>
      </c>
      <c r="W418" s="775" t="s">
        <v>139</v>
      </c>
      <c r="X418" s="768"/>
      <c r="Y418" s="776">
        <v>0</v>
      </c>
      <c r="Z418" s="769">
        <v>0</v>
      </c>
      <c r="AA418" s="768"/>
      <c r="AB418" s="776"/>
      <c r="AC418" s="769"/>
      <c r="AD418" s="777"/>
      <c r="AE418" s="776">
        <v>0</v>
      </c>
      <c r="AF418" s="769">
        <v>0</v>
      </c>
      <c r="AG418" s="770">
        <v>0</v>
      </c>
      <c r="AH418" s="771">
        <v>0</v>
      </c>
      <c r="AI418" s="772">
        <v>0</v>
      </c>
      <c r="AJ418" s="777"/>
      <c r="AK418" s="771">
        <v>0</v>
      </c>
      <c r="AL418" s="769">
        <v>0</v>
      </c>
      <c r="AM418" s="773">
        <v>0</v>
      </c>
      <c r="AN418" s="771">
        <v>0</v>
      </c>
      <c r="AO418" s="779">
        <v>0</v>
      </c>
      <c r="AP418" s="507"/>
      <c r="AQ418" s="507"/>
      <c r="AR418" s="510"/>
      <c r="AS418" s="507"/>
      <c r="AT418" s="507"/>
      <c r="AU418" s="507"/>
      <c r="AV418" s="507"/>
      <c r="AW418" s="507"/>
      <c r="AX418" s="507"/>
      <c r="AY418" s="507"/>
      <c r="AZ418" s="507"/>
      <c r="BA418" s="507"/>
      <c r="BB418" s="507"/>
      <c r="BC418" s="507"/>
      <c r="BD418" s="507"/>
      <c r="BE418" s="507"/>
      <c r="BF418" s="507"/>
      <c r="BG418" s="507"/>
      <c r="BH418" s="507"/>
      <c r="BI418" s="507"/>
    </row>
    <row r="419" spans="1:61" ht="15.75" customHeight="1">
      <c r="A419" s="523" t="s">
        <v>38</v>
      </c>
      <c r="B419" s="504"/>
      <c r="C419" s="737" t="s">
        <v>227</v>
      </c>
      <c r="V419" s="785" t="s">
        <v>38</v>
      </c>
      <c r="W419" s="786"/>
      <c r="X419" s="787">
        <v>0.23720153035603589</v>
      </c>
      <c r="Y419" s="786"/>
      <c r="Z419" s="788">
        <v>125646.95771235035</v>
      </c>
      <c r="AA419" s="787"/>
      <c r="AB419" s="786"/>
      <c r="AC419" s="788"/>
      <c r="AD419" s="789">
        <v>0.20676041707684603</v>
      </c>
      <c r="AE419" s="786"/>
      <c r="AF419" s="788">
        <v>94618.74</v>
      </c>
      <c r="AG419" s="790"/>
      <c r="AH419" s="791">
        <v>-31028.21771235035</v>
      </c>
      <c r="AI419" s="787">
        <v>-0.24694762433790673</v>
      </c>
      <c r="AJ419" s="789">
        <v>0.25417085762597313</v>
      </c>
      <c r="AK419" s="786"/>
      <c r="AL419" s="788">
        <v>132269.49</v>
      </c>
      <c r="AM419" s="792"/>
      <c r="AN419" s="791">
        <v>-37650.749999999985</v>
      </c>
      <c r="AO419" s="766">
        <v>-0.2846518119938316</v>
      </c>
      <c r="AP419" s="507"/>
      <c r="AQ419" s="507"/>
      <c r="AR419" s="510"/>
      <c r="AS419" s="507"/>
      <c r="AT419" s="507"/>
      <c r="AU419" s="507"/>
      <c r="AV419" s="507"/>
      <c r="AW419" s="507"/>
      <c r="AX419" s="507"/>
      <c r="AY419" s="507"/>
      <c r="AZ419" s="507"/>
      <c r="BA419" s="507"/>
      <c r="BB419" s="507"/>
      <c r="BC419" s="507"/>
      <c r="BD419" s="507"/>
      <c r="BE419" s="507"/>
      <c r="BF419" s="507"/>
      <c r="BG419" s="507"/>
      <c r="BH419" s="507"/>
      <c r="BI419" s="507"/>
    </row>
    <row r="420" spans="1:61" ht="15.75" customHeight="1">
      <c r="A420" s="523" t="s">
        <v>140</v>
      </c>
      <c r="B420" s="504"/>
      <c r="C420" s="737" t="s">
        <v>227</v>
      </c>
      <c r="V420" s="600" t="s">
        <v>140</v>
      </c>
      <c r="W420" s="775" t="s">
        <v>141</v>
      </c>
      <c r="X420" s="768"/>
      <c r="Y420" s="768"/>
      <c r="Z420" s="769">
        <v>13542.199999999997</v>
      </c>
      <c r="AA420" s="768"/>
      <c r="AB420" s="768"/>
      <c r="AC420" s="769"/>
      <c r="AD420" s="777"/>
      <c r="AE420" s="776"/>
      <c r="AF420" s="769">
        <v>11445.98</v>
      </c>
      <c r="AG420" s="770"/>
      <c r="AH420" s="771">
        <v>-2096.2199999999975</v>
      </c>
      <c r="AI420" s="772">
        <v>-0.1547916882042798</v>
      </c>
      <c r="AJ420" s="777"/>
      <c r="AK420" s="768"/>
      <c r="AL420" s="769">
        <v>9442.2999999999993</v>
      </c>
      <c r="AM420" s="773"/>
      <c r="AN420" s="771">
        <v>2003.6800000000003</v>
      </c>
      <c r="AO420" s="779">
        <v>0.21220253539921421</v>
      </c>
      <c r="AP420" s="507"/>
      <c r="AQ420" s="507"/>
      <c r="AR420" s="507"/>
      <c r="AS420" s="507"/>
      <c r="AT420" s="507"/>
      <c r="AU420" s="507"/>
      <c r="AV420" s="507"/>
      <c r="AW420" s="507"/>
      <c r="AX420" s="507"/>
      <c r="AY420" s="507"/>
      <c r="AZ420" s="507"/>
      <c r="BA420" s="507"/>
      <c r="BB420" s="507"/>
      <c r="BC420" s="507"/>
      <c r="BD420" s="507"/>
      <c r="BE420" s="507"/>
      <c r="BF420" s="507"/>
      <c r="BG420" s="507"/>
      <c r="BH420" s="507"/>
      <c r="BI420" s="507"/>
    </row>
    <row r="421" spans="1:61" ht="15.75" customHeight="1">
      <c r="A421" s="523" t="s">
        <v>41</v>
      </c>
      <c r="B421" s="504"/>
      <c r="C421" s="737" t="s">
        <v>227</v>
      </c>
      <c r="V421" s="600" t="s">
        <v>41</v>
      </c>
      <c r="W421" s="775" t="s">
        <v>142</v>
      </c>
      <c r="X421" s="768"/>
      <c r="Y421" s="768"/>
      <c r="Z421" s="769">
        <v>53378.839743589742</v>
      </c>
      <c r="AA421" s="768"/>
      <c r="AB421" s="768"/>
      <c r="AC421" s="769"/>
      <c r="AD421" s="777"/>
      <c r="AE421" s="776"/>
      <c r="AF421" s="769">
        <v>33046.129999999997</v>
      </c>
      <c r="AG421" s="770"/>
      <c r="AH421" s="771">
        <v>-20332.709743589745</v>
      </c>
      <c r="AI421" s="772">
        <v>-0.38091329525444578</v>
      </c>
      <c r="AJ421" s="777"/>
      <c r="AK421" s="768"/>
      <c r="AL421" s="769">
        <v>52589.61</v>
      </c>
      <c r="AM421" s="773"/>
      <c r="AN421" s="771">
        <v>-19543.480000000003</v>
      </c>
      <c r="AO421" s="779">
        <v>-0.37162245546221018</v>
      </c>
      <c r="AP421" s="507"/>
      <c r="AQ421" s="507"/>
      <c r="AR421" s="507"/>
      <c r="AS421" s="507"/>
      <c r="AT421" s="507"/>
      <c r="AU421" s="507"/>
      <c r="AV421" s="507"/>
      <c r="AW421" s="507"/>
      <c r="AX421" s="507"/>
      <c r="AY421" s="507"/>
      <c r="AZ421" s="507"/>
      <c r="BA421" s="507"/>
      <c r="BB421" s="507"/>
      <c r="BC421" s="507"/>
      <c r="BD421" s="507"/>
      <c r="BE421" s="507"/>
      <c r="BF421" s="507"/>
      <c r="BG421" s="507"/>
      <c r="BH421" s="507"/>
      <c r="BI421" s="507"/>
    </row>
    <row r="422" spans="1:61" ht="15.75" customHeight="1">
      <c r="A422" s="523" t="s">
        <v>42</v>
      </c>
      <c r="B422" s="504"/>
      <c r="C422" s="737" t="s">
        <v>227</v>
      </c>
      <c r="V422" s="602" t="s">
        <v>42</v>
      </c>
      <c r="W422" s="780" t="s">
        <v>143</v>
      </c>
      <c r="X422" s="751"/>
      <c r="Y422" s="751"/>
      <c r="Z422" s="752">
        <v>55333.304615384615</v>
      </c>
      <c r="AA422" s="751"/>
      <c r="AB422" s="751"/>
      <c r="AC422" s="752"/>
      <c r="AD422" s="782"/>
      <c r="AE422" s="781"/>
      <c r="AF422" s="752">
        <v>45552.9</v>
      </c>
      <c r="AG422" s="753"/>
      <c r="AH422" s="754">
        <v>-9780.4046153846139</v>
      </c>
      <c r="AI422" s="783">
        <v>-0.17675439201340085</v>
      </c>
      <c r="AJ422" s="782"/>
      <c r="AK422" s="751"/>
      <c r="AL422" s="752">
        <v>52534.080000000002</v>
      </c>
      <c r="AM422" s="756"/>
      <c r="AN422" s="754">
        <v>-6981.18</v>
      </c>
      <c r="AO422" s="757">
        <v>-0.13288859346161577</v>
      </c>
      <c r="AP422" s="507"/>
      <c r="AQ422" s="507"/>
      <c r="AR422" s="507"/>
      <c r="AS422" s="507"/>
      <c r="AT422" s="507"/>
      <c r="AU422" s="507"/>
      <c r="AV422" s="507"/>
      <c r="AW422" s="507"/>
      <c r="AX422" s="507"/>
      <c r="AY422" s="507"/>
      <c r="AZ422" s="507"/>
      <c r="BA422" s="507"/>
      <c r="BB422" s="507"/>
      <c r="BC422" s="507"/>
      <c r="BD422" s="507"/>
      <c r="BE422" s="507"/>
      <c r="BF422" s="507"/>
      <c r="BG422" s="507"/>
      <c r="BH422" s="507"/>
      <c r="BI422" s="507"/>
    </row>
    <row r="423" spans="1:61" ht="15.75" customHeight="1">
      <c r="A423" s="523" t="s">
        <v>43</v>
      </c>
      <c r="B423" s="504"/>
      <c r="C423" s="737" t="s">
        <v>227</v>
      </c>
      <c r="V423" s="600" t="s">
        <v>43</v>
      </c>
      <c r="W423" s="775" t="s">
        <v>144</v>
      </c>
      <c r="X423" s="768"/>
      <c r="Y423" s="768"/>
      <c r="Z423" s="769">
        <v>25902.400000000001</v>
      </c>
      <c r="AA423" s="768"/>
      <c r="AB423" s="768"/>
      <c r="AC423" s="769"/>
      <c r="AD423" s="777"/>
      <c r="AE423" s="776"/>
      <c r="AF423" s="769">
        <v>20940.400000000001</v>
      </c>
      <c r="AG423" s="770"/>
      <c r="AH423" s="771">
        <v>-4962</v>
      </c>
      <c r="AI423" s="772">
        <v>-0.19156526036197416</v>
      </c>
      <c r="AJ423" s="777"/>
      <c r="AK423" s="768"/>
      <c r="AL423" s="769">
        <v>35898.379999999997</v>
      </c>
      <c r="AM423" s="773"/>
      <c r="AN423" s="771">
        <v>-14957.979999999996</v>
      </c>
      <c r="AO423" s="779">
        <v>-0.41667562714529172</v>
      </c>
      <c r="AP423" s="507"/>
      <c r="AQ423" s="507"/>
      <c r="AR423" s="507"/>
      <c r="AS423" s="507"/>
      <c r="AT423" s="507"/>
      <c r="AU423" s="507"/>
      <c r="AV423" s="507"/>
      <c r="AW423" s="507"/>
      <c r="AX423" s="507"/>
      <c r="AY423" s="507"/>
      <c r="AZ423" s="507"/>
      <c r="BA423" s="507"/>
      <c r="BB423" s="507"/>
      <c r="BC423" s="507"/>
      <c r="BD423" s="507"/>
      <c r="BE423" s="507"/>
      <c r="BF423" s="507"/>
      <c r="BG423" s="507"/>
      <c r="BH423" s="507"/>
      <c r="BI423" s="507"/>
    </row>
    <row r="424" spans="1:61" ht="15.75" customHeight="1">
      <c r="A424" s="523" t="s">
        <v>44</v>
      </c>
      <c r="B424" s="504"/>
      <c r="C424" s="737" t="s">
        <v>227</v>
      </c>
      <c r="V424" s="600" t="s">
        <v>44</v>
      </c>
      <c r="W424" s="775" t="s">
        <v>145</v>
      </c>
      <c r="X424" s="768"/>
      <c r="Y424" s="768"/>
      <c r="Z424" s="769">
        <v>25715.085923266739</v>
      </c>
      <c r="AA424" s="768"/>
      <c r="AB424" s="768"/>
      <c r="AC424" s="769"/>
      <c r="AD424" s="777"/>
      <c r="AE424" s="776"/>
      <c r="AF424" s="769">
        <v>20622.5</v>
      </c>
      <c r="AG424" s="770"/>
      <c r="AH424" s="771">
        <v>-5092.585923266739</v>
      </c>
      <c r="AI424" s="772">
        <v>-0.19803884530904953</v>
      </c>
      <c r="AJ424" s="777"/>
      <c r="AK424" s="768"/>
      <c r="AL424" s="769">
        <v>41625.18</v>
      </c>
      <c r="AM424" s="773"/>
      <c r="AN424" s="771">
        <v>-21002.68</v>
      </c>
      <c r="AO424" s="779">
        <v>-0.50456670697880468</v>
      </c>
      <c r="AP424" s="507"/>
      <c r="AQ424" s="507"/>
      <c r="AR424" s="507"/>
      <c r="AS424" s="507"/>
      <c r="AT424" s="507"/>
      <c r="AU424" s="507"/>
      <c r="AV424" s="507"/>
      <c r="AW424" s="507"/>
      <c r="AX424" s="507"/>
      <c r="AY424" s="507"/>
      <c r="AZ424" s="507"/>
      <c r="BA424" s="507"/>
      <c r="BB424" s="507"/>
      <c r="BC424" s="507"/>
      <c r="BD424" s="507"/>
      <c r="BE424" s="507"/>
      <c r="BF424" s="507"/>
      <c r="BG424" s="507"/>
      <c r="BH424" s="507"/>
      <c r="BI424" s="507"/>
    </row>
    <row r="425" spans="1:61" ht="15.75" hidden="1" customHeight="1">
      <c r="A425" s="523" t="s">
        <v>20</v>
      </c>
      <c r="B425" s="504"/>
      <c r="C425" s="737" t="s">
        <v>227</v>
      </c>
      <c r="V425" s="600" t="s">
        <v>20</v>
      </c>
      <c r="W425" s="775"/>
      <c r="X425" s="768"/>
      <c r="Y425" s="768"/>
      <c r="Z425" s="769">
        <v>0</v>
      </c>
      <c r="AA425" s="768"/>
      <c r="AB425" s="768"/>
      <c r="AC425" s="769"/>
      <c r="AD425" s="777"/>
      <c r="AE425" s="776"/>
      <c r="AF425" s="769">
        <v>0</v>
      </c>
      <c r="AG425" s="770"/>
      <c r="AH425" s="771">
        <v>0</v>
      </c>
      <c r="AI425" s="772">
        <v>0</v>
      </c>
      <c r="AJ425" s="777"/>
      <c r="AK425" s="768"/>
      <c r="AL425" s="769">
        <v>0</v>
      </c>
      <c r="AM425" s="773"/>
      <c r="AN425" s="771">
        <v>0</v>
      </c>
      <c r="AO425" s="779">
        <v>0</v>
      </c>
      <c r="AP425" s="507"/>
      <c r="AQ425" s="507"/>
      <c r="AR425" s="507"/>
      <c r="AS425" s="507"/>
      <c r="AT425" s="507"/>
      <c r="AU425" s="507"/>
      <c r="AV425" s="507"/>
      <c r="AW425" s="507"/>
      <c r="AX425" s="507"/>
      <c r="AY425" s="507"/>
      <c r="AZ425" s="507"/>
      <c r="BA425" s="507"/>
      <c r="BB425" s="507"/>
      <c r="BC425" s="507"/>
      <c r="BD425" s="507"/>
      <c r="BE425" s="507"/>
      <c r="BF425" s="507"/>
      <c r="BG425" s="507"/>
      <c r="BH425" s="507"/>
      <c r="BI425" s="507"/>
    </row>
    <row r="426" spans="1:61" ht="15.75" hidden="1" customHeight="1">
      <c r="A426" s="523" t="s">
        <v>20</v>
      </c>
      <c r="B426" s="504"/>
      <c r="C426" s="737" t="s">
        <v>227</v>
      </c>
      <c r="V426" s="600" t="s">
        <v>20</v>
      </c>
      <c r="W426" s="775"/>
      <c r="X426" s="768"/>
      <c r="Y426" s="768"/>
      <c r="Z426" s="769">
        <v>0</v>
      </c>
      <c r="AA426" s="768"/>
      <c r="AB426" s="768"/>
      <c r="AC426" s="769"/>
      <c r="AD426" s="777"/>
      <c r="AE426" s="776"/>
      <c r="AF426" s="769">
        <v>0</v>
      </c>
      <c r="AG426" s="770"/>
      <c r="AH426" s="771">
        <v>0</v>
      </c>
      <c r="AI426" s="772">
        <v>0</v>
      </c>
      <c r="AJ426" s="777"/>
      <c r="AK426" s="768"/>
      <c r="AL426" s="769">
        <v>0</v>
      </c>
      <c r="AM426" s="773"/>
      <c r="AN426" s="771">
        <v>0</v>
      </c>
      <c r="AO426" s="779">
        <v>0</v>
      </c>
      <c r="AP426" s="507"/>
      <c r="AQ426" s="507"/>
      <c r="AR426" s="507"/>
      <c r="AS426" s="507"/>
      <c r="AT426" s="507"/>
      <c r="AU426" s="507"/>
      <c r="AV426" s="507"/>
      <c r="AW426" s="507"/>
      <c r="AX426" s="507"/>
      <c r="AY426" s="507"/>
      <c r="AZ426" s="507"/>
      <c r="BA426" s="507"/>
      <c r="BB426" s="507"/>
      <c r="BC426" s="507"/>
      <c r="BD426" s="507"/>
      <c r="BE426" s="507"/>
      <c r="BF426" s="507"/>
      <c r="BG426" s="507"/>
      <c r="BH426" s="507"/>
      <c r="BI426" s="507"/>
    </row>
    <row r="427" spans="1:61" ht="15.75" hidden="1" customHeight="1">
      <c r="A427" s="523" t="s">
        <v>20</v>
      </c>
      <c r="B427" s="504"/>
      <c r="C427" s="737" t="s">
        <v>227</v>
      </c>
      <c r="V427" s="600" t="s">
        <v>20</v>
      </c>
      <c r="W427" s="775"/>
      <c r="X427" s="768"/>
      <c r="Y427" s="768"/>
      <c r="Z427" s="769">
        <v>0</v>
      </c>
      <c r="AA427" s="768"/>
      <c r="AB427" s="768"/>
      <c r="AC427" s="769"/>
      <c r="AD427" s="777"/>
      <c r="AE427" s="776"/>
      <c r="AF427" s="769">
        <v>0</v>
      </c>
      <c r="AG427" s="770"/>
      <c r="AH427" s="771">
        <v>0</v>
      </c>
      <c r="AI427" s="772">
        <v>0</v>
      </c>
      <c r="AJ427" s="777"/>
      <c r="AK427" s="768"/>
      <c r="AL427" s="769">
        <v>0</v>
      </c>
      <c r="AM427" s="773"/>
      <c r="AN427" s="771">
        <v>0</v>
      </c>
      <c r="AO427" s="779">
        <v>0</v>
      </c>
      <c r="AP427" s="507"/>
      <c r="AQ427" s="507"/>
      <c r="AR427" s="507"/>
      <c r="AS427" s="507"/>
      <c r="AT427" s="507"/>
      <c r="AU427" s="507"/>
      <c r="AV427" s="507"/>
      <c r="AW427" s="507"/>
      <c r="AX427" s="507"/>
      <c r="AY427" s="507"/>
      <c r="AZ427" s="507"/>
      <c r="BA427" s="507"/>
      <c r="BB427" s="507"/>
      <c r="BC427" s="507"/>
      <c r="BD427" s="507"/>
      <c r="BE427" s="507"/>
      <c r="BF427" s="507"/>
      <c r="BG427" s="507"/>
      <c r="BH427" s="507"/>
      <c r="BI427" s="507"/>
    </row>
    <row r="428" spans="1:61" ht="15.75" customHeight="1">
      <c r="A428" s="523" t="s">
        <v>45</v>
      </c>
      <c r="B428" s="504"/>
      <c r="C428" s="737" t="s">
        <v>227</v>
      </c>
      <c r="V428" s="602" t="s">
        <v>45</v>
      </c>
      <c r="W428" s="780" t="s">
        <v>146</v>
      </c>
      <c r="X428" s="751"/>
      <c r="Y428" s="793">
        <v>0.10943630574862237</v>
      </c>
      <c r="Z428" s="752">
        <v>34457.177562400393</v>
      </c>
      <c r="AA428" s="751"/>
      <c r="AB428" s="751"/>
      <c r="AC428" s="752"/>
      <c r="AD428" s="782"/>
      <c r="AE428" s="781"/>
      <c r="AF428" s="752">
        <v>34826.559999999998</v>
      </c>
      <c r="AG428" s="753"/>
      <c r="AH428" s="754">
        <v>369.3824375996046</v>
      </c>
      <c r="AI428" s="783">
        <v>1.0720043361957598E-2</v>
      </c>
      <c r="AJ428" s="782"/>
      <c r="AK428" s="751"/>
      <c r="AL428" s="752">
        <v>36009.14</v>
      </c>
      <c r="AM428" s="756"/>
      <c r="AN428" s="754">
        <v>-1182.5800000000017</v>
      </c>
      <c r="AO428" s="757">
        <v>-3.2841106452417411E-2</v>
      </c>
      <c r="AP428" s="507"/>
      <c r="AQ428" s="507"/>
      <c r="AR428" s="507"/>
      <c r="AS428" s="507"/>
      <c r="AT428" s="507"/>
      <c r="AU428" s="507"/>
      <c r="AV428" s="507"/>
      <c r="AW428" s="507"/>
      <c r="AX428" s="507"/>
      <c r="AY428" s="507"/>
      <c r="AZ428" s="507"/>
      <c r="BA428" s="507"/>
      <c r="BB428" s="507"/>
      <c r="BC428" s="507"/>
      <c r="BD428" s="507"/>
      <c r="BE428" s="507"/>
      <c r="BF428" s="507"/>
      <c r="BG428" s="507"/>
      <c r="BH428" s="507"/>
      <c r="BI428" s="507"/>
    </row>
    <row r="429" spans="1:61" ht="15.75" customHeight="1">
      <c r="A429" s="523" t="s">
        <v>46</v>
      </c>
      <c r="B429" s="504"/>
      <c r="C429" s="737" t="s">
        <v>227</v>
      </c>
      <c r="V429" s="600" t="s">
        <v>46</v>
      </c>
      <c r="W429" s="775" t="s">
        <v>147</v>
      </c>
      <c r="X429" s="768"/>
      <c r="Y429" s="794">
        <v>0.13305912064590208</v>
      </c>
      <c r="Z429" s="769">
        <v>41895.070516398715</v>
      </c>
      <c r="AA429" s="768"/>
      <c r="AB429" s="768"/>
      <c r="AC429" s="769"/>
      <c r="AD429" s="777"/>
      <c r="AE429" s="776"/>
      <c r="AF429" s="769">
        <v>40613.869999999995</v>
      </c>
      <c r="AG429" s="770"/>
      <c r="AH429" s="771">
        <v>-1281.2005163987196</v>
      </c>
      <c r="AI429" s="772">
        <v>-3.0581175794828358E-2</v>
      </c>
      <c r="AJ429" s="777"/>
      <c r="AK429" s="768"/>
      <c r="AL429" s="769">
        <v>52351.77</v>
      </c>
      <c r="AM429" s="773"/>
      <c r="AN429" s="771">
        <v>-11737.900000000001</v>
      </c>
      <c r="AO429" s="779">
        <v>-0.22421209445258494</v>
      </c>
      <c r="AP429" s="507"/>
      <c r="AQ429" s="507"/>
      <c r="AR429" s="507"/>
      <c r="AS429" s="507"/>
      <c r="AT429" s="507"/>
      <c r="AU429" s="507"/>
      <c r="AV429" s="507"/>
      <c r="AW429" s="507"/>
      <c r="AX429" s="507"/>
      <c r="AY429" s="507"/>
      <c r="AZ429" s="507"/>
      <c r="BA429" s="507"/>
      <c r="BB429" s="507"/>
      <c r="BC429" s="507"/>
      <c r="BD429" s="507"/>
      <c r="BE429" s="507"/>
      <c r="BF429" s="507"/>
      <c r="BG429" s="507"/>
      <c r="BH429" s="507"/>
      <c r="BI429" s="507"/>
    </row>
    <row r="430" spans="1:61" ht="15.75" customHeight="1">
      <c r="A430" s="523" t="s">
        <v>47</v>
      </c>
      <c r="B430" s="504"/>
      <c r="C430" s="737" t="s">
        <v>227</v>
      </c>
      <c r="V430" s="600" t="s">
        <v>47</v>
      </c>
      <c r="W430" s="775" t="s">
        <v>148</v>
      </c>
      <c r="X430" s="768"/>
      <c r="Y430" s="794">
        <v>6.8554373028432161E-2</v>
      </c>
      <c r="Z430" s="769">
        <v>21585.068939970643</v>
      </c>
      <c r="AA430" s="768"/>
      <c r="AB430" s="768"/>
      <c r="AC430" s="769"/>
      <c r="AD430" s="777"/>
      <c r="AE430" s="776"/>
      <c r="AF430" s="769">
        <v>15694.609999999999</v>
      </c>
      <c r="AG430" s="770"/>
      <c r="AH430" s="771">
        <v>-5890.4589399706438</v>
      </c>
      <c r="AI430" s="772">
        <v>-0.27289507188290013</v>
      </c>
      <c r="AJ430" s="777"/>
      <c r="AK430" s="768"/>
      <c r="AL430" s="769">
        <v>21307.889999999996</v>
      </c>
      <c r="AM430" s="773"/>
      <c r="AN430" s="771">
        <v>-5613.279999999997</v>
      </c>
      <c r="AO430" s="779">
        <v>-0.26343668941410897</v>
      </c>
      <c r="AP430" s="507"/>
      <c r="AQ430" s="507"/>
      <c r="AR430" s="507"/>
      <c r="AS430" s="507"/>
      <c r="AT430" s="507"/>
      <c r="AU430" s="507"/>
      <c r="AV430" s="507"/>
      <c r="AW430" s="507"/>
      <c r="AX430" s="507"/>
      <c r="AY430" s="507"/>
      <c r="AZ430" s="507"/>
      <c r="BA430" s="507"/>
      <c r="BB430" s="507"/>
      <c r="BC430" s="507"/>
      <c r="BD430" s="507"/>
      <c r="BE430" s="507"/>
      <c r="BF430" s="507"/>
      <c r="BG430" s="507"/>
      <c r="BH430" s="507"/>
      <c r="BI430" s="507"/>
    </row>
    <row r="431" spans="1:61" ht="15.75" customHeight="1">
      <c r="A431" s="523" t="s">
        <v>48</v>
      </c>
      <c r="B431" s="504"/>
      <c r="C431" s="737" t="s">
        <v>227</v>
      </c>
      <c r="V431" s="600" t="s">
        <v>48</v>
      </c>
      <c r="W431" s="775"/>
      <c r="X431" s="768"/>
      <c r="Y431" s="768"/>
      <c r="Z431" s="769">
        <v>9411.2114928142037</v>
      </c>
      <c r="AA431" s="768"/>
      <c r="AB431" s="768"/>
      <c r="AC431" s="769"/>
      <c r="AD431" s="777"/>
      <c r="AE431" s="776"/>
      <c r="AF431" s="769">
        <v>11032.3</v>
      </c>
      <c r="AG431" s="770"/>
      <c r="AH431" s="771">
        <v>1621.0885071857956</v>
      </c>
      <c r="AI431" s="795">
        <v>0.17225077859779844</v>
      </c>
      <c r="AJ431" s="777"/>
      <c r="AK431" s="768"/>
      <c r="AL431" s="769">
        <v>9455.4700000000012</v>
      </c>
      <c r="AM431" s="773"/>
      <c r="AN431" s="771">
        <v>1576.8299999999981</v>
      </c>
      <c r="AO431" s="779">
        <v>0.16676378857952043</v>
      </c>
      <c r="AP431" s="507"/>
      <c r="AQ431" s="507"/>
      <c r="AR431" s="507"/>
      <c r="AS431" s="507"/>
      <c r="AT431" s="507"/>
      <c r="AU431" s="507"/>
      <c r="AV431" s="507"/>
      <c r="AW431" s="507"/>
      <c r="AX431" s="507"/>
      <c r="AY431" s="507"/>
      <c r="AZ431" s="507"/>
      <c r="BA431" s="507"/>
      <c r="BB431" s="507"/>
      <c r="BC431" s="507"/>
      <c r="BD431" s="507"/>
      <c r="BE431" s="507"/>
      <c r="BF431" s="507"/>
      <c r="BG431" s="507"/>
      <c r="BH431" s="507"/>
      <c r="BI431" s="507"/>
    </row>
    <row r="432" spans="1:61" ht="15.75" hidden="1" customHeight="1">
      <c r="A432" s="523" t="s">
        <v>20</v>
      </c>
      <c r="B432" s="504"/>
      <c r="C432" s="737" t="s">
        <v>227</v>
      </c>
      <c r="V432" s="531" t="s">
        <v>20</v>
      </c>
      <c r="W432" s="775"/>
      <c r="X432" s="768"/>
      <c r="Y432" s="776"/>
      <c r="Z432" s="769">
        <v>0</v>
      </c>
      <c r="AA432" s="768"/>
      <c r="AB432" s="768"/>
      <c r="AC432" s="769"/>
      <c r="AD432" s="777"/>
      <c r="AE432" s="776"/>
      <c r="AF432" s="769">
        <v>0</v>
      </c>
      <c r="AG432" s="770"/>
      <c r="AH432" s="771">
        <v>0</v>
      </c>
      <c r="AI432" s="772">
        <v>0</v>
      </c>
      <c r="AJ432" s="777"/>
      <c r="AK432" s="768"/>
      <c r="AL432" s="769">
        <v>0</v>
      </c>
      <c r="AM432" s="773"/>
      <c r="AN432" s="771"/>
      <c r="AO432" s="757"/>
      <c r="AP432" s="507"/>
      <c r="AQ432" s="507"/>
      <c r="AR432" s="507"/>
      <c r="AS432" s="507"/>
      <c r="AT432" s="507"/>
      <c r="AU432" s="507"/>
      <c r="AV432" s="507"/>
      <c r="AW432" s="507"/>
      <c r="AX432" s="507"/>
      <c r="AY432" s="507"/>
      <c r="AZ432" s="507"/>
      <c r="BA432" s="507"/>
      <c r="BB432" s="507"/>
      <c r="BC432" s="507"/>
      <c r="BD432" s="507"/>
      <c r="BE432" s="507"/>
      <c r="BF432" s="507"/>
      <c r="BG432" s="507"/>
      <c r="BH432" s="507"/>
      <c r="BI432" s="507"/>
    </row>
    <row r="433" spans="1:62" ht="15.75" customHeight="1">
      <c r="A433" s="523" t="s">
        <v>49</v>
      </c>
      <c r="B433" s="504"/>
      <c r="C433" s="737" t="s">
        <v>227</v>
      </c>
      <c r="V433" s="785" t="s">
        <v>49</v>
      </c>
      <c r="W433" s="786"/>
      <c r="X433" s="787">
        <v>0.53089943988840393</v>
      </c>
      <c r="Y433" s="786"/>
      <c r="Z433" s="788">
        <v>281220.35879382497</v>
      </c>
      <c r="AA433" s="787"/>
      <c r="AB433" s="786"/>
      <c r="AC433" s="788"/>
      <c r="AD433" s="789">
        <v>0.51084455565825482</v>
      </c>
      <c r="AE433" s="796"/>
      <c r="AF433" s="788">
        <v>233775.24999999997</v>
      </c>
      <c r="AG433" s="790"/>
      <c r="AH433" s="791">
        <v>-47445.108793824998</v>
      </c>
      <c r="AI433" s="787">
        <v>-0.1687115008220621</v>
      </c>
      <c r="AJ433" s="789">
        <v>0.59803272496518467</v>
      </c>
      <c r="AK433" s="786"/>
      <c r="AL433" s="788">
        <v>311213.82000000007</v>
      </c>
      <c r="AM433" s="797"/>
      <c r="AN433" s="791">
        <v>-77438.570000000094</v>
      </c>
      <c r="AO433" s="766">
        <v>-0.24882754242726135</v>
      </c>
      <c r="AP433" s="507"/>
      <c r="AQ433" s="507"/>
      <c r="AR433" s="507"/>
      <c r="AS433" s="507"/>
      <c r="AT433" s="507"/>
      <c r="AU433" s="507"/>
      <c r="AV433" s="507"/>
      <c r="AW433" s="507"/>
      <c r="AX433" s="507"/>
      <c r="AY433" s="507"/>
      <c r="AZ433" s="507"/>
      <c r="BA433" s="507"/>
      <c r="BB433" s="507"/>
      <c r="BC433" s="507"/>
      <c r="BD433" s="507"/>
      <c r="BE433" s="507"/>
      <c r="BF433" s="507"/>
      <c r="BG433" s="507"/>
      <c r="BH433" s="507"/>
      <c r="BI433" s="507"/>
    </row>
    <row r="434" spans="1:62" ht="15.75" customHeight="1">
      <c r="A434" s="523" t="s">
        <v>50</v>
      </c>
      <c r="B434" s="504"/>
      <c r="C434" s="737" t="s">
        <v>227</v>
      </c>
      <c r="V434" s="706" t="s">
        <v>50</v>
      </c>
      <c r="W434" s="798" t="s">
        <v>138</v>
      </c>
      <c r="X434" s="799"/>
      <c r="Y434" s="799"/>
      <c r="Z434" s="800">
        <v>14838.560455902774</v>
      </c>
      <c r="AA434" s="799"/>
      <c r="AB434" s="799"/>
      <c r="AC434" s="800"/>
      <c r="AD434" s="801"/>
      <c r="AE434" s="802"/>
      <c r="AF434" s="800">
        <v>15857.63</v>
      </c>
      <c r="AG434" s="801"/>
      <c r="AH434" s="803">
        <v>1019.0695440972249</v>
      </c>
      <c r="AI434" s="804">
        <v>6.8677116430916271E-2</v>
      </c>
      <c r="AJ434" s="801"/>
      <c r="AK434" s="799"/>
      <c r="AL434" s="800">
        <v>15661.68</v>
      </c>
      <c r="AM434" s="805"/>
      <c r="AN434" s="803">
        <v>195.94999999999891</v>
      </c>
      <c r="AO434" s="774">
        <v>1.2511429169795252E-2</v>
      </c>
      <c r="AP434" s="507"/>
      <c r="AQ434" s="507"/>
      <c r="AR434" s="507"/>
      <c r="AS434" s="507"/>
      <c r="AT434" s="507"/>
      <c r="AU434" s="507"/>
      <c r="AV434" s="507"/>
      <c r="AW434" s="507"/>
      <c r="AX434" s="507"/>
      <c r="AY434" s="507"/>
      <c r="AZ434" s="507"/>
      <c r="BA434" s="507"/>
      <c r="BB434" s="507"/>
      <c r="BC434" s="507"/>
      <c r="BD434" s="507"/>
      <c r="BE434" s="507"/>
      <c r="BF434" s="507"/>
      <c r="BG434" s="507"/>
      <c r="BH434" s="507"/>
      <c r="BI434" s="507"/>
    </row>
    <row r="435" spans="1:62" ht="15.75" customHeight="1">
      <c r="A435" s="523" t="s">
        <v>51</v>
      </c>
      <c r="B435" s="504"/>
      <c r="C435" s="737" t="s">
        <v>227</v>
      </c>
      <c r="V435" s="600" t="s">
        <v>51</v>
      </c>
      <c r="W435" s="775" t="s">
        <v>149</v>
      </c>
      <c r="X435" s="768"/>
      <c r="Y435" s="768"/>
      <c r="Z435" s="769">
        <v>5939.0656258991448</v>
      </c>
      <c r="AA435" s="768"/>
      <c r="AB435" s="768"/>
      <c r="AC435" s="769"/>
      <c r="AD435" s="777"/>
      <c r="AE435" s="776"/>
      <c r="AF435" s="769">
        <v>8393.159999999998</v>
      </c>
      <c r="AG435" s="770"/>
      <c r="AH435" s="771">
        <v>2454.0943741008532</v>
      </c>
      <c r="AI435" s="772">
        <v>0.41321220014795096</v>
      </c>
      <c r="AJ435" s="777"/>
      <c r="AK435" s="768"/>
      <c r="AL435" s="769">
        <v>1177.6199999999997</v>
      </c>
      <c r="AM435" s="773"/>
      <c r="AN435" s="771">
        <v>7215.5399999999981</v>
      </c>
      <c r="AO435" s="779">
        <v>6.1272227034187603</v>
      </c>
      <c r="AP435" s="507"/>
      <c r="AQ435" s="507"/>
      <c r="AR435" s="507"/>
      <c r="AS435" s="507"/>
      <c r="AT435" s="507"/>
      <c r="AU435" s="507"/>
      <c r="AV435" s="507"/>
      <c r="AW435" s="507"/>
      <c r="AX435" s="507"/>
      <c r="AY435" s="507"/>
      <c r="AZ435" s="507"/>
      <c r="BA435" s="507"/>
      <c r="BB435" s="507"/>
      <c r="BC435" s="507"/>
      <c r="BD435" s="507"/>
      <c r="BE435" s="507"/>
      <c r="BF435" s="507"/>
      <c r="BG435" s="507"/>
      <c r="BH435" s="507"/>
      <c r="BI435" s="507"/>
    </row>
    <row r="436" spans="1:62" ht="15.75" customHeight="1">
      <c r="A436" s="523" t="s">
        <v>52</v>
      </c>
      <c r="B436" s="504"/>
      <c r="C436" s="737" t="s">
        <v>227</v>
      </c>
      <c r="U436" s="806"/>
      <c r="V436" s="602" t="s">
        <v>52</v>
      </c>
      <c r="W436" s="780" t="s">
        <v>150</v>
      </c>
      <c r="X436" s="751"/>
      <c r="Y436" s="751"/>
      <c r="Z436" s="752">
        <v>26075</v>
      </c>
      <c r="AA436" s="751"/>
      <c r="AB436" s="751"/>
      <c r="AC436" s="752"/>
      <c r="AD436" s="782"/>
      <c r="AE436" s="781"/>
      <c r="AF436" s="752">
        <v>28719.239999999998</v>
      </c>
      <c r="AG436" s="753"/>
      <c r="AH436" s="754">
        <v>2644.239999999998</v>
      </c>
      <c r="AI436" s="783">
        <v>0.10140901246404595</v>
      </c>
      <c r="AJ436" s="782"/>
      <c r="AK436" s="751"/>
      <c r="AL436" s="752">
        <v>29080.870000000003</v>
      </c>
      <c r="AM436" s="756"/>
      <c r="AN436" s="754">
        <v>-361.63000000000466</v>
      </c>
      <c r="AO436" s="757">
        <v>-1.243532260210938E-2</v>
      </c>
      <c r="AP436" s="507"/>
      <c r="AQ436" s="507"/>
      <c r="AR436" s="507"/>
      <c r="AS436" s="507"/>
      <c r="AT436" s="507"/>
      <c r="AU436" s="507"/>
      <c r="AV436" s="507"/>
      <c r="AW436" s="507"/>
      <c r="AX436" s="507"/>
      <c r="AY436" s="507"/>
      <c r="AZ436" s="507"/>
      <c r="BA436" s="507"/>
      <c r="BB436" s="507"/>
      <c r="BC436" s="507"/>
      <c r="BD436" s="507"/>
      <c r="BE436" s="507"/>
      <c r="BF436" s="507"/>
      <c r="BG436" s="507"/>
      <c r="BH436" s="507"/>
      <c r="BI436" s="507"/>
    </row>
    <row r="437" spans="1:62" ht="15.75" customHeight="1">
      <c r="A437" s="523" t="s">
        <v>53</v>
      </c>
      <c r="B437" s="504"/>
      <c r="C437" s="737" t="s">
        <v>227</v>
      </c>
      <c r="U437" s="806"/>
      <c r="V437" s="600" t="s">
        <v>53</v>
      </c>
      <c r="W437" s="775" t="s">
        <v>151</v>
      </c>
      <c r="X437" s="768"/>
      <c r="Y437" s="768"/>
      <c r="Z437" s="769">
        <v>22270.688511111108</v>
      </c>
      <c r="AA437" s="768"/>
      <c r="AB437" s="768"/>
      <c r="AC437" s="769"/>
      <c r="AD437" s="777"/>
      <c r="AE437" s="776"/>
      <c r="AF437" s="769">
        <v>25130.729999999996</v>
      </c>
      <c r="AG437" s="770"/>
      <c r="AH437" s="807">
        <v>2860.0414888888881</v>
      </c>
      <c r="AI437" s="772">
        <v>0.1284217812782025</v>
      </c>
      <c r="AJ437" s="777"/>
      <c r="AK437" s="768"/>
      <c r="AL437" s="769">
        <v>22719.52</v>
      </c>
      <c r="AM437" s="773"/>
      <c r="AN437" s="771">
        <v>2411.2099999999955</v>
      </c>
      <c r="AO437" s="779">
        <v>0.10612944287555351</v>
      </c>
      <c r="AP437" s="507"/>
      <c r="AQ437" s="507"/>
      <c r="AR437" s="507"/>
      <c r="AS437" s="507"/>
      <c r="AT437" s="507"/>
      <c r="AU437" s="507"/>
      <c r="AV437" s="507"/>
      <c r="AW437" s="507"/>
      <c r="AX437" s="507"/>
      <c r="AY437" s="507"/>
      <c r="AZ437" s="507"/>
      <c r="BA437" s="507"/>
      <c r="BB437" s="507"/>
      <c r="BC437" s="507"/>
      <c r="BD437" s="507"/>
      <c r="BE437" s="507"/>
      <c r="BF437" s="507"/>
      <c r="BG437" s="507"/>
      <c r="BH437" s="507"/>
      <c r="BI437" s="507"/>
    </row>
    <row r="438" spans="1:62" ht="15.75" customHeight="1">
      <c r="A438" s="523" t="s">
        <v>54</v>
      </c>
      <c r="B438" s="504"/>
      <c r="C438" s="737" t="s">
        <v>227</v>
      </c>
      <c r="U438" s="806"/>
      <c r="V438" s="600" t="s">
        <v>54</v>
      </c>
      <c r="W438" s="775" t="s">
        <v>152</v>
      </c>
      <c r="X438" s="768"/>
      <c r="Y438" s="768"/>
      <c r="Z438" s="769">
        <v>3589.7692131944445</v>
      </c>
      <c r="AA438" s="768"/>
      <c r="AB438" s="768"/>
      <c r="AC438" s="769"/>
      <c r="AD438" s="777"/>
      <c r="AE438" s="776"/>
      <c r="AF438" s="769">
        <v>3767.7200000000003</v>
      </c>
      <c r="AG438" s="770"/>
      <c r="AH438" s="771">
        <v>177.95078680555571</v>
      </c>
      <c r="AI438" s="772">
        <v>4.9571651055306094E-2</v>
      </c>
      <c r="AJ438" s="777"/>
      <c r="AK438" s="768"/>
      <c r="AL438" s="769">
        <v>3416.8500000000004</v>
      </c>
      <c r="AM438" s="773"/>
      <c r="AN438" s="771">
        <v>350.86999999999989</v>
      </c>
      <c r="AO438" s="779">
        <v>0.10268814844081532</v>
      </c>
      <c r="AP438" s="507"/>
      <c r="AQ438" s="507"/>
      <c r="AR438" s="507"/>
      <c r="AS438" s="507"/>
      <c r="AT438" s="507"/>
      <c r="AU438" s="507"/>
      <c r="AV438" s="507"/>
      <c r="AW438" s="507"/>
      <c r="AX438" s="507"/>
      <c r="AY438" s="507"/>
      <c r="AZ438" s="507"/>
      <c r="BA438" s="507"/>
      <c r="BB438" s="507"/>
      <c r="BC438" s="507"/>
      <c r="BD438" s="507"/>
      <c r="BE438" s="507"/>
      <c r="BF438" s="507"/>
      <c r="BG438" s="507"/>
      <c r="BH438" s="507"/>
      <c r="BI438" s="507"/>
    </row>
    <row r="439" spans="1:62" ht="15.75" customHeight="1">
      <c r="A439" s="523" t="s">
        <v>55</v>
      </c>
      <c r="B439" s="504"/>
      <c r="C439" s="737" t="s">
        <v>227</v>
      </c>
      <c r="V439" s="600" t="s">
        <v>55</v>
      </c>
      <c r="W439" s="775" t="s">
        <v>153</v>
      </c>
      <c r="X439" s="768"/>
      <c r="Y439" s="768"/>
      <c r="Z439" s="769">
        <v>25436.160651539351</v>
      </c>
      <c r="AA439" s="768"/>
      <c r="AB439" s="768"/>
      <c r="AC439" s="769"/>
      <c r="AD439" s="777"/>
      <c r="AE439" s="776"/>
      <c r="AF439" s="769">
        <v>36822.300000000003</v>
      </c>
      <c r="AG439" s="770"/>
      <c r="AH439" s="771">
        <v>11386.139348460652</v>
      </c>
      <c r="AI439" s="772">
        <v>0.44763592683833692</v>
      </c>
      <c r="AJ439" s="777"/>
      <c r="AK439" s="768"/>
      <c r="AL439" s="769">
        <v>33136.639999999999</v>
      </c>
      <c r="AM439" s="773"/>
      <c r="AN439" s="771">
        <v>3685.6600000000035</v>
      </c>
      <c r="AO439" s="779">
        <v>0.11122612310723126</v>
      </c>
      <c r="AP439" s="507"/>
      <c r="AQ439" s="507"/>
      <c r="AR439" s="507"/>
      <c r="AS439" s="507"/>
      <c r="AT439" s="507"/>
      <c r="AU439" s="507"/>
      <c r="AV439" s="507"/>
      <c r="AW439" s="507"/>
      <c r="AX439" s="507"/>
      <c r="AY439" s="507"/>
      <c r="AZ439" s="507"/>
      <c r="BA439" s="507"/>
      <c r="BB439" s="507"/>
      <c r="BC439" s="507"/>
      <c r="BD439" s="507"/>
      <c r="BE439" s="507"/>
      <c r="BF439" s="507"/>
      <c r="BG439" s="507"/>
      <c r="BH439" s="507"/>
      <c r="BI439" s="507"/>
    </row>
    <row r="440" spans="1:62" ht="15.75" customHeight="1">
      <c r="B440" s="504"/>
      <c r="C440" s="737" t="s">
        <v>227</v>
      </c>
      <c r="V440" s="706" t="s">
        <v>98</v>
      </c>
      <c r="W440" s="798"/>
      <c r="X440" s="799"/>
      <c r="Y440" s="799"/>
      <c r="Z440" s="800">
        <v>0</v>
      </c>
      <c r="AA440" s="799"/>
      <c r="AB440" s="799"/>
      <c r="AC440" s="800"/>
      <c r="AD440" s="801"/>
      <c r="AE440" s="802"/>
      <c r="AF440" s="800">
        <v>0</v>
      </c>
      <c r="AG440" s="808"/>
      <c r="AH440" s="803">
        <v>0</v>
      </c>
      <c r="AI440" s="804">
        <v>0</v>
      </c>
      <c r="AJ440" s="801"/>
      <c r="AK440" s="799"/>
      <c r="AL440" s="800">
        <v>0</v>
      </c>
      <c r="AM440" s="805"/>
      <c r="AN440" s="803">
        <v>0</v>
      </c>
      <c r="AO440" s="774">
        <v>0</v>
      </c>
      <c r="AP440" s="507"/>
      <c r="AQ440" s="507"/>
      <c r="AR440" s="507"/>
      <c r="AS440" s="507"/>
      <c r="AT440" s="507"/>
      <c r="AU440" s="507"/>
      <c r="AV440" s="507"/>
      <c r="AW440" s="507"/>
      <c r="AX440" s="507"/>
      <c r="AY440" s="507"/>
      <c r="AZ440" s="507"/>
      <c r="BA440" s="507"/>
      <c r="BB440" s="507"/>
      <c r="BC440" s="507"/>
      <c r="BD440" s="507"/>
      <c r="BE440" s="507"/>
      <c r="BF440" s="507"/>
      <c r="BG440" s="507"/>
      <c r="BH440" s="507"/>
      <c r="BI440" s="507"/>
    </row>
    <row r="441" spans="1:62" ht="15.75" customHeight="1">
      <c r="A441" s="523" t="s">
        <v>56</v>
      </c>
      <c r="B441" s="504"/>
      <c r="C441" s="737" t="s">
        <v>227</v>
      </c>
      <c r="V441" s="600" t="s">
        <v>56</v>
      </c>
      <c r="W441" s="775" t="s">
        <v>154</v>
      </c>
      <c r="X441" s="768"/>
      <c r="Y441" s="776"/>
      <c r="Z441" s="769">
        <v>6083.333333333333</v>
      </c>
      <c r="AA441" s="768"/>
      <c r="AB441" s="776"/>
      <c r="AC441" s="769"/>
      <c r="AD441" s="777"/>
      <c r="AE441" s="776"/>
      <c r="AF441" s="769">
        <v>9834.2400000000016</v>
      </c>
      <c r="AG441" s="770"/>
      <c r="AH441" s="771">
        <v>3750.9066666666686</v>
      </c>
      <c r="AI441" s="772">
        <v>0.61658739726027434</v>
      </c>
      <c r="AJ441" s="777"/>
      <c r="AK441" s="768"/>
      <c r="AL441" s="769">
        <v>4099.88</v>
      </c>
      <c r="AM441" s="773"/>
      <c r="AN441" s="771">
        <v>5734.3600000000015</v>
      </c>
      <c r="AO441" s="779">
        <v>1.3986653267900526</v>
      </c>
      <c r="AP441" s="507"/>
      <c r="AQ441" s="507"/>
      <c r="AR441" s="507"/>
      <c r="AS441" s="507"/>
      <c r="AT441" s="507"/>
      <c r="AU441" s="507"/>
      <c r="AV441" s="507"/>
      <c r="AW441" s="507"/>
      <c r="AX441" s="507"/>
      <c r="AY441" s="507"/>
      <c r="AZ441" s="507"/>
      <c r="BA441" s="507"/>
      <c r="BB441" s="507"/>
      <c r="BC441" s="507"/>
      <c r="BD441" s="507"/>
      <c r="BE441" s="507"/>
      <c r="BF441" s="507"/>
      <c r="BG441" s="507"/>
      <c r="BH441" s="507"/>
      <c r="BI441" s="507"/>
      <c r="BJ441" s="507"/>
    </row>
    <row r="442" spans="1:62" ht="15.75" customHeight="1">
      <c r="A442" s="523" t="s">
        <v>57</v>
      </c>
      <c r="B442" s="504"/>
      <c r="C442" s="737" t="s">
        <v>227</v>
      </c>
      <c r="U442" s="507"/>
      <c r="V442" s="600" t="s">
        <v>57</v>
      </c>
      <c r="W442" s="775" t="s">
        <v>155</v>
      </c>
      <c r="X442" s="768"/>
      <c r="Y442" s="768"/>
      <c r="Z442" s="769">
        <v>1555.2749709404429</v>
      </c>
      <c r="AA442" s="768"/>
      <c r="AB442" s="768"/>
      <c r="AC442" s="769"/>
      <c r="AD442" s="777"/>
      <c r="AE442" s="776"/>
      <c r="AF442" s="769">
        <v>1044.83</v>
      </c>
      <c r="AG442" s="770"/>
      <c r="AH442" s="771">
        <v>-510.444970940443</v>
      </c>
      <c r="AI442" s="795">
        <v>-0.32820239538207663</v>
      </c>
      <c r="AJ442" s="777"/>
      <c r="AK442" s="768"/>
      <c r="AL442" s="769">
        <v>820.17</v>
      </c>
      <c r="AM442" s="773"/>
      <c r="AN442" s="771">
        <v>224.65999999999997</v>
      </c>
      <c r="AO442" s="779">
        <v>0.27391882170769472</v>
      </c>
      <c r="AP442" s="507"/>
      <c r="AQ442" s="507"/>
      <c r="AR442" s="507"/>
      <c r="AS442" s="507"/>
      <c r="AT442" s="507"/>
      <c r="AU442" s="507"/>
      <c r="AV442" s="507"/>
      <c r="AW442" s="507"/>
      <c r="AX442" s="507"/>
      <c r="AY442" s="507"/>
      <c r="AZ442" s="507"/>
      <c r="BA442" s="507"/>
      <c r="BB442" s="507"/>
      <c r="BC442" s="507"/>
      <c r="BD442" s="507"/>
      <c r="BE442" s="507"/>
      <c r="BF442" s="507"/>
      <c r="BG442" s="507"/>
      <c r="BH442" s="507"/>
      <c r="BI442" s="507"/>
      <c r="BJ442" s="507"/>
    </row>
    <row r="443" spans="1:62" ht="15.75" customHeight="1">
      <c r="A443" s="523" t="s">
        <v>58</v>
      </c>
      <c r="B443" s="504"/>
      <c r="C443" s="737" t="s">
        <v>227</v>
      </c>
      <c r="T443" s="507"/>
      <c r="U443" s="507"/>
      <c r="V443" s="600" t="s">
        <v>58</v>
      </c>
      <c r="W443" s="775" t="s">
        <v>156</v>
      </c>
      <c r="X443" s="768"/>
      <c r="Y443" s="768"/>
      <c r="Z443" s="769">
        <v>2587.4465749000001</v>
      </c>
      <c r="AA443" s="768"/>
      <c r="AB443" s="768"/>
      <c r="AC443" s="769"/>
      <c r="AD443" s="777"/>
      <c r="AE443" s="776"/>
      <c r="AF443" s="769">
        <v>5412.08</v>
      </c>
      <c r="AG443" s="770"/>
      <c r="AH443" s="771">
        <v>2824.6334250999998</v>
      </c>
      <c r="AI443" s="772">
        <v>1.0916683082467766</v>
      </c>
      <c r="AJ443" s="777"/>
      <c r="AK443" s="768"/>
      <c r="AL443" s="769">
        <v>3362.24</v>
      </c>
      <c r="AM443" s="773"/>
      <c r="AN443" s="771">
        <v>2049.84</v>
      </c>
      <c r="AO443" s="779">
        <v>0.60966498524793</v>
      </c>
      <c r="AP443" s="507"/>
      <c r="AQ443" s="507"/>
      <c r="AR443" s="507"/>
      <c r="AS443" s="507"/>
      <c r="AT443" s="507"/>
      <c r="AU443" s="507"/>
      <c r="AV443" s="507"/>
      <c r="AW443" s="507"/>
      <c r="AX443" s="507"/>
      <c r="AY443" s="507"/>
      <c r="AZ443" s="507"/>
      <c r="BA443" s="507"/>
      <c r="BB443" s="507"/>
      <c r="BC443" s="507"/>
      <c r="BD443" s="507"/>
      <c r="BE443" s="507"/>
      <c r="BF443" s="507"/>
      <c r="BG443" s="507"/>
      <c r="BH443" s="507"/>
      <c r="BI443" s="507"/>
      <c r="BJ443" s="507"/>
    </row>
    <row r="444" spans="1:62" ht="15.75" customHeight="1">
      <c r="A444" s="523" t="s">
        <v>59</v>
      </c>
      <c r="B444" s="504"/>
      <c r="C444" s="737" t="s">
        <v>227</v>
      </c>
      <c r="T444" s="507"/>
      <c r="U444" s="507"/>
      <c r="V444" s="600" t="s">
        <v>59</v>
      </c>
      <c r="W444" s="775" t="s">
        <v>157</v>
      </c>
      <c r="X444" s="768"/>
      <c r="Y444" s="768"/>
      <c r="Z444" s="769">
        <v>778.11576579027781</v>
      </c>
      <c r="AA444" s="768"/>
      <c r="AB444" s="768"/>
      <c r="AC444" s="769"/>
      <c r="AD444" s="777"/>
      <c r="AE444" s="776"/>
      <c r="AF444" s="769">
        <v>689.18000000000006</v>
      </c>
      <c r="AG444" s="770"/>
      <c r="AH444" s="771">
        <v>-88.935765790277742</v>
      </c>
      <c r="AI444" s="795">
        <v>-0.11429631643557807</v>
      </c>
      <c r="AJ444" s="777"/>
      <c r="AK444" s="768"/>
      <c r="AL444" s="769">
        <v>658.29000000000008</v>
      </c>
      <c r="AM444" s="773"/>
      <c r="AN444" s="771">
        <v>30.889999999999986</v>
      </c>
      <c r="AO444" s="779">
        <v>4.6924607695696396E-2</v>
      </c>
      <c r="AP444" s="507"/>
      <c r="AQ444" s="507"/>
      <c r="AR444" s="507"/>
      <c r="AS444" s="507"/>
      <c r="AT444" s="507"/>
      <c r="AU444" s="507"/>
      <c r="AV444" s="507"/>
      <c r="AW444" s="507"/>
      <c r="AX444" s="507"/>
      <c r="AY444" s="507"/>
      <c r="AZ444" s="507"/>
      <c r="BA444" s="507"/>
      <c r="BB444" s="507"/>
      <c r="BC444" s="507"/>
      <c r="BD444" s="507"/>
      <c r="BE444" s="507"/>
      <c r="BF444" s="507"/>
      <c r="BG444" s="507"/>
      <c r="BH444" s="507"/>
      <c r="BI444" s="507"/>
      <c r="BJ444" s="507"/>
    </row>
    <row r="445" spans="1:62" ht="15.75" customHeight="1">
      <c r="A445" s="523" t="s">
        <v>60</v>
      </c>
      <c r="B445" s="504"/>
      <c r="C445" s="737" t="s">
        <v>227</v>
      </c>
      <c r="T445" s="507"/>
      <c r="U445" s="507"/>
      <c r="V445" s="600" t="s">
        <v>60</v>
      </c>
      <c r="W445" s="775" t="s">
        <v>158</v>
      </c>
      <c r="X445" s="768"/>
      <c r="Y445" s="768"/>
      <c r="Z445" s="769">
        <v>462.27621220972219</v>
      </c>
      <c r="AA445" s="768"/>
      <c r="AB445" s="768"/>
      <c r="AC445" s="769"/>
      <c r="AD445" s="777"/>
      <c r="AE445" s="776"/>
      <c r="AF445" s="769">
        <v>-286.64</v>
      </c>
      <c r="AG445" s="770"/>
      <c r="AH445" s="771">
        <v>-748.91621220972218</v>
      </c>
      <c r="AI445" s="772">
        <v>-1.6200621888585502</v>
      </c>
      <c r="AJ445" s="777"/>
      <c r="AK445" s="768"/>
      <c r="AL445" s="769">
        <v>243.60999999999996</v>
      </c>
      <c r="AM445" s="773"/>
      <c r="AN445" s="771">
        <v>-530.25</v>
      </c>
      <c r="AO445" s="779">
        <v>-2.176634785107344</v>
      </c>
      <c r="AP445" s="507"/>
      <c r="AQ445" s="507"/>
      <c r="AR445" s="507"/>
      <c r="AS445" s="507"/>
      <c r="AT445" s="507"/>
      <c r="AU445" s="507"/>
      <c r="AV445" s="507"/>
      <c r="AW445" s="507"/>
      <c r="AX445" s="507"/>
      <c r="AY445" s="507"/>
      <c r="AZ445" s="507"/>
      <c r="BA445" s="507"/>
      <c r="BB445" s="507"/>
      <c r="BC445" s="507"/>
      <c r="BD445" s="507"/>
      <c r="BE445" s="507"/>
      <c r="BF445" s="507"/>
      <c r="BG445" s="507"/>
      <c r="BH445" s="507"/>
      <c r="BI445" s="507"/>
      <c r="BJ445" s="507"/>
    </row>
    <row r="446" spans="1:62" ht="15.75" customHeight="1">
      <c r="A446" s="523" t="s">
        <v>61</v>
      </c>
      <c r="B446" s="504"/>
      <c r="C446" s="737" t="s">
        <v>227</v>
      </c>
      <c r="T446" s="507"/>
      <c r="U446" s="507"/>
      <c r="V446" s="600" t="s">
        <v>61</v>
      </c>
      <c r="W446" s="775" t="s">
        <v>159</v>
      </c>
      <c r="X446" s="768"/>
      <c r="Y446" s="776"/>
      <c r="Z446" s="769">
        <v>1152.4792607347222</v>
      </c>
      <c r="AA446" s="768"/>
      <c r="AB446" s="776"/>
      <c r="AC446" s="769"/>
      <c r="AD446" s="777"/>
      <c r="AE446" s="776"/>
      <c r="AF446" s="769">
        <v>298.85000000000002</v>
      </c>
      <c r="AG446" s="770"/>
      <c r="AH446" s="771">
        <v>-853.62926073472215</v>
      </c>
      <c r="AI446" s="795">
        <v>-0.74068947686791442</v>
      </c>
      <c r="AJ446" s="777"/>
      <c r="AK446" s="768"/>
      <c r="AL446" s="769">
        <v>294.48</v>
      </c>
      <c r="AM446" s="773"/>
      <c r="AN446" s="771">
        <v>4.3700000000000045</v>
      </c>
      <c r="AO446" s="779">
        <v>1.4839717468079341E-2</v>
      </c>
      <c r="AP446" s="507"/>
      <c r="AQ446" s="507"/>
      <c r="AR446" s="507"/>
      <c r="AS446" s="507"/>
      <c r="AT446" s="507"/>
      <c r="AU446" s="507"/>
      <c r="AV446" s="507"/>
      <c r="AW446" s="507"/>
      <c r="AX446" s="507"/>
      <c r="AY446" s="507"/>
      <c r="AZ446" s="507"/>
      <c r="BA446" s="507"/>
      <c r="BB446" s="507"/>
      <c r="BC446" s="507"/>
      <c r="BD446" s="507"/>
      <c r="BE446" s="507"/>
      <c r="BF446" s="507"/>
      <c r="BG446" s="507"/>
      <c r="BH446" s="507"/>
      <c r="BI446" s="507"/>
      <c r="BJ446" s="507"/>
    </row>
    <row r="447" spans="1:62" ht="15.75" customHeight="1">
      <c r="A447" s="523" t="s">
        <v>62</v>
      </c>
      <c r="B447" s="504"/>
      <c r="C447" s="737" t="s">
        <v>227</v>
      </c>
      <c r="T447" s="507"/>
      <c r="U447" s="507"/>
      <c r="V447" s="600" t="s">
        <v>62</v>
      </c>
      <c r="W447" s="775" t="s">
        <v>160</v>
      </c>
      <c r="X447" s="768"/>
      <c r="Y447" s="776"/>
      <c r="Z447" s="769">
        <v>7644.3785104434319</v>
      </c>
      <c r="AA447" s="768"/>
      <c r="AB447" s="776"/>
      <c r="AC447" s="769"/>
      <c r="AD447" s="777"/>
      <c r="AE447" s="776"/>
      <c r="AF447" s="769">
        <v>580.71</v>
      </c>
      <c r="AG447" s="770"/>
      <c r="AH447" s="771">
        <v>-7063.6685104434318</v>
      </c>
      <c r="AI447" s="772">
        <v>-0.92403437385960696</v>
      </c>
      <c r="AJ447" s="777"/>
      <c r="AK447" s="768"/>
      <c r="AL447" s="769">
        <v>3917.2799999999997</v>
      </c>
      <c r="AM447" s="773"/>
      <c r="AN447" s="771">
        <v>-3336.5699999999997</v>
      </c>
      <c r="AO447" s="779">
        <v>-0.85175683127067758</v>
      </c>
      <c r="AQ447" s="507"/>
      <c r="AR447" s="507"/>
      <c r="AS447" s="507"/>
      <c r="AT447" s="507"/>
      <c r="AU447" s="507"/>
      <c r="AV447" s="507"/>
      <c r="AW447" s="507"/>
      <c r="AX447" s="507"/>
      <c r="AY447" s="507"/>
      <c r="AZ447" s="507"/>
      <c r="BA447" s="507"/>
      <c r="BB447" s="507"/>
      <c r="BC447" s="507"/>
      <c r="BD447" s="507"/>
      <c r="BE447" s="507"/>
      <c r="BF447" s="507"/>
      <c r="BG447" s="507"/>
      <c r="BH447" s="507"/>
      <c r="BI447" s="507"/>
      <c r="BJ447" s="507"/>
    </row>
    <row r="448" spans="1:62" ht="15.75" customHeight="1">
      <c r="A448" s="523" t="s">
        <v>63</v>
      </c>
      <c r="B448" s="504"/>
      <c r="C448" s="737" t="s">
        <v>227</v>
      </c>
      <c r="T448" s="507"/>
      <c r="U448" s="507"/>
      <c r="V448" s="600" t="s">
        <v>63</v>
      </c>
      <c r="W448" s="775" t="s">
        <v>161</v>
      </c>
      <c r="X448" s="768"/>
      <c r="Y448" s="794">
        <v>2.1430649860887554E-3</v>
      </c>
      <c r="Z448" s="769">
        <v>7780.2762857487296</v>
      </c>
      <c r="AA448" s="768"/>
      <c r="AB448" s="776"/>
      <c r="AC448" s="769"/>
      <c r="AD448" s="777"/>
      <c r="AE448" s="776"/>
      <c r="AF448" s="769">
        <v>9216.3499999999985</v>
      </c>
      <c r="AG448" s="770"/>
      <c r="AH448" s="771">
        <v>1436.0737142512689</v>
      </c>
      <c r="AI448" s="772">
        <v>0.18457875549763583</v>
      </c>
      <c r="AJ448" s="777"/>
      <c r="AK448" s="768"/>
      <c r="AL448" s="769">
        <v>7125.14</v>
      </c>
      <c r="AM448" s="773"/>
      <c r="AN448" s="771">
        <v>2091.2099999999982</v>
      </c>
      <c r="AO448" s="779">
        <v>0.29349739092845867</v>
      </c>
      <c r="AQ448" s="507"/>
      <c r="AR448" s="507"/>
      <c r="AS448" s="507"/>
      <c r="AT448" s="507"/>
      <c r="AU448" s="507"/>
      <c r="AV448" s="507"/>
      <c r="AW448" s="507"/>
      <c r="AX448" s="507"/>
      <c r="AY448" s="507"/>
      <c r="AZ448" s="507"/>
      <c r="BA448" s="507"/>
      <c r="BB448" s="507"/>
      <c r="BC448" s="507"/>
      <c r="BD448" s="507"/>
      <c r="BE448" s="507"/>
      <c r="BF448" s="507"/>
      <c r="BG448" s="507"/>
      <c r="BH448" s="507"/>
      <c r="BI448" s="507"/>
      <c r="BJ448" s="507"/>
    </row>
    <row r="449" spans="1:62" ht="15.75" hidden="1" customHeight="1">
      <c r="A449" s="523" t="s">
        <v>20</v>
      </c>
      <c r="B449" s="504"/>
      <c r="C449" s="737" t="s">
        <v>227</v>
      </c>
      <c r="T449" s="507"/>
      <c r="U449" s="507"/>
      <c r="V449" s="600" t="s">
        <v>20</v>
      </c>
      <c r="W449" s="775"/>
      <c r="X449" s="768"/>
      <c r="Y449" s="776"/>
      <c r="Z449" s="769">
        <v>0</v>
      </c>
      <c r="AA449" s="768"/>
      <c r="AB449" s="768"/>
      <c r="AC449" s="769"/>
      <c r="AD449" s="777"/>
      <c r="AE449" s="776"/>
      <c r="AF449" s="769">
        <v>0</v>
      </c>
      <c r="AG449" s="770"/>
      <c r="AH449" s="771">
        <v>0</v>
      </c>
      <c r="AI449" s="772">
        <v>0</v>
      </c>
      <c r="AJ449" s="777"/>
      <c r="AK449" s="768"/>
      <c r="AL449" s="769">
        <v>0</v>
      </c>
      <c r="AM449" s="773"/>
      <c r="AN449" s="771">
        <v>0</v>
      </c>
      <c r="AO449" s="779">
        <v>0</v>
      </c>
      <c r="AP449" s="507"/>
      <c r="AQ449" s="507"/>
      <c r="AR449" s="507"/>
      <c r="AS449" s="507"/>
      <c r="AT449" s="507"/>
      <c r="AU449" s="507"/>
      <c r="AV449" s="507"/>
      <c r="AW449" s="507"/>
      <c r="AX449" s="507"/>
      <c r="AY449" s="507"/>
      <c r="AZ449" s="507"/>
      <c r="BA449" s="507"/>
      <c r="BB449" s="507"/>
      <c r="BC449" s="507"/>
      <c r="BD449" s="507"/>
      <c r="BE449" s="507"/>
      <c r="BF449" s="507"/>
      <c r="BG449" s="507"/>
      <c r="BH449" s="507"/>
      <c r="BI449" s="507"/>
      <c r="BJ449" s="507"/>
    </row>
    <row r="450" spans="1:62" ht="15.75" hidden="1" customHeight="1">
      <c r="A450" s="523" t="s">
        <v>20</v>
      </c>
      <c r="B450" s="504"/>
      <c r="C450" s="737" t="s">
        <v>227</v>
      </c>
      <c r="T450" s="507"/>
      <c r="U450" s="507"/>
      <c r="V450" s="600" t="s">
        <v>20</v>
      </c>
      <c r="W450" s="775"/>
      <c r="X450" s="768"/>
      <c r="Y450" s="776"/>
      <c r="Z450" s="769">
        <v>0</v>
      </c>
      <c r="AA450" s="768"/>
      <c r="AB450" s="768"/>
      <c r="AC450" s="769"/>
      <c r="AD450" s="777"/>
      <c r="AE450" s="776"/>
      <c r="AF450" s="769">
        <v>0</v>
      </c>
      <c r="AG450" s="770"/>
      <c r="AH450" s="771">
        <v>0</v>
      </c>
      <c r="AI450" s="772">
        <v>0</v>
      </c>
      <c r="AJ450" s="777"/>
      <c r="AK450" s="768"/>
      <c r="AL450" s="769">
        <v>0</v>
      </c>
      <c r="AM450" s="773"/>
      <c r="AN450" s="771">
        <v>0</v>
      </c>
      <c r="AO450" s="779">
        <v>0</v>
      </c>
      <c r="AP450" s="507"/>
      <c r="AQ450" s="507"/>
      <c r="AR450" s="507"/>
      <c r="AS450" s="507"/>
      <c r="AT450" s="507"/>
      <c r="AU450" s="507"/>
      <c r="AV450" s="507"/>
      <c r="AW450" s="507"/>
      <c r="AX450" s="507"/>
      <c r="AY450" s="507"/>
      <c r="AZ450" s="507"/>
      <c r="BA450" s="507"/>
      <c r="BB450" s="507"/>
      <c r="BC450" s="507"/>
      <c r="BD450" s="507"/>
      <c r="BE450" s="507"/>
      <c r="BF450" s="507"/>
      <c r="BG450" s="507"/>
      <c r="BH450" s="507"/>
      <c r="BI450" s="507"/>
      <c r="BJ450" s="507"/>
    </row>
    <row r="451" spans="1:62" ht="15.75" hidden="1" customHeight="1">
      <c r="A451" s="523" t="s">
        <v>20</v>
      </c>
      <c r="B451" s="504"/>
      <c r="C451" s="737" t="s">
        <v>227</v>
      </c>
      <c r="T451" s="507"/>
      <c r="U451" s="507"/>
      <c r="V451" s="600" t="s">
        <v>20</v>
      </c>
      <c r="W451" s="775"/>
      <c r="X451" s="768"/>
      <c r="Y451" s="776"/>
      <c r="Z451" s="769">
        <v>0</v>
      </c>
      <c r="AA451" s="768"/>
      <c r="AB451" s="768"/>
      <c r="AC451" s="769"/>
      <c r="AD451" s="777"/>
      <c r="AE451" s="776"/>
      <c r="AF451" s="769">
        <v>0</v>
      </c>
      <c r="AG451" s="770"/>
      <c r="AH451" s="771">
        <v>0</v>
      </c>
      <c r="AI451" s="772">
        <v>0</v>
      </c>
      <c r="AJ451" s="777"/>
      <c r="AK451" s="768"/>
      <c r="AL451" s="769">
        <v>0</v>
      </c>
      <c r="AM451" s="773"/>
      <c r="AN451" s="771">
        <v>0</v>
      </c>
      <c r="AO451" s="779">
        <v>0</v>
      </c>
      <c r="AP451" s="507"/>
      <c r="AQ451" s="507"/>
      <c r="AR451" s="507"/>
      <c r="AS451" s="507"/>
      <c r="AT451" s="507"/>
      <c r="AU451" s="507"/>
      <c r="AV451" s="507"/>
      <c r="AW451" s="507"/>
      <c r="AX451" s="507"/>
      <c r="AY451" s="507"/>
      <c r="AZ451" s="507"/>
      <c r="BA451" s="507"/>
      <c r="BB451" s="507"/>
      <c r="BC451" s="507"/>
      <c r="BD451" s="507"/>
      <c r="BE451" s="507"/>
      <c r="BF451" s="507"/>
      <c r="BG451" s="507"/>
      <c r="BH451" s="507"/>
      <c r="BI451" s="507"/>
      <c r="BJ451" s="507"/>
    </row>
    <row r="452" spans="1:62" ht="15.75" customHeight="1">
      <c r="A452" s="523" t="s">
        <v>64</v>
      </c>
      <c r="B452" s="504"/>
      <c r="C452" s="737" t="s">
        <v>227</v>
      </c>
      <c r="T452" s="507"/>
      <c r="U452" s="507"/>
      <c r="V452" s="785" t="s">
        <v>64</v>
      </c>
      <c r="W452" s="809"/>
      <c r="X452" s="787">
        <v>0.23823204193019826</v>
      </c>
      <c r="Y452" s="786"/>
      <c r="Z452" s="788">
        <v>126192.82537174747</v>
      </c>
      <c r="AA452" s="787"/>
      <c r="AB452" s="786"/>
      <c r="AC452" s="788"/>
      <c r="AD452" s="789">
        <v>0.3179030289908536</v>
      </c>
      <c r="AE452" s="786"/>
      <c r="AF452" s="788">
        <v>145480.37999999998</v>
      </c>
      <c r="AG452" s="810"/>
      <c r="AH452" s="811">
        <v>19287.554628252517</v>
      </c>
      <c r="AI452" s="787">
        <v>0.15284192719700124</v>
      </c>
      <c r="AJ452" s="789">
        <v>0.24157425738712038</v>
      </c>
      <c r="AK452" s="787"/>
      <c r="AL452" s="788">
        <v>125714.27</v>
      </c>
      <c r="AM452" s="797"/>
      <c r="AN452" s="791">
        <v>19766.10999999999</v>
      </c>
      <c r="AO452" s="812">
        <v>0.15723044010835038</v>
      </c>
      <c r="AP452" s="507"/>
      <c r="AQ452" s="507"/>
      <c r="AR452" s="507"/>
      <c r="AS452" s="507"/>
      <c r="AT452" s="507"/>
      <c r="AU452" s="507"/>
      <c r="AV452" s="507"/>
      <c r="AW452" s="507"/>
      <c r="AX452" s="507"/>
      <c r="AY452" s="507"/>
      <c r="AZ452" s="507"/>
      <c r="BA452" s="507"/>
      <c r="BB452" s="507"/>
      <c r="BC452" s="507"/>
      <c r="BD452" s="507"/>
      <c r="BE452" s="507"/>
      <c r="BF452" s="507"/>
      <c r="BG452" s="507"/>
      <c r="BH452" s="507"/>
      <c r="BI452" s="507"/>
      <c r="BJ452" s="507"/>
    </row>
    <row r="453" spans="1:62" ht="15.75" customHeight="1">
      <c r="A453" s="523" t="s">
        <v>162</v>
      </c>
      <c r="B453" s="504"/>
      <c r="C453" s="737" t="s">
        <v>227</v>
      </c>
      <c r="D453" s="507"/>
      <c r="E453" s="507"/>
      <c r="F453" s="507"/>
      <c r="G453" s="507"/>
      <c r="H453" s="507"/>
      <c r="I453" s="507"/>
      <c r="J453" s="507"/>
      <c r="K453" s="507"/>
      <c r="L453" s="507"/>
      <c r="M453" s="507"/>
      <c r="N453" s="507"/>
      <c r="O453" s="507"/>
      <c r="P453" s="507"/>
      <c r="Q453" s="507"/>
      <c r="R453" s="507"/>
      <c r="S453" s="507"/>
      <c r="T453" s="507"/>
      <c r="U453" s="507"/>
      <c r="V453" s="600" t="s">
        <v>162</v>
      </c>
      <c r="W453" s="775" t="s">
        <v>163</v>
      </c>
      <c r="X453" s="768"/>
      <c r="Y453" s="776"/>
      <c r="Z453" s="769">
        <v>36000</v>
      </c>
      <c r="AA453" s="768"/>
      <c r="AB453" s="776"/>
      <c r="AC453" s="769"/>
      <c r="AD453" s="777"/>
      <c r="AE453" s="776"/>
      <c r="AF453" s="769">
        <v>36000</v>
      </c>
      <c r="AG453" s="770"/>
      <c r="AH453" s="771">
        <v>0</v>
      </c>
      <c r="AI453" s="772">
        <v>0</v>
      </c>
      <c r="AJ453" s="777"/>
      <c r="AK453" s="768"/>
      <c r="AL453" s="769">
        <v>26000</v>
      </c>
      <c r="AM453" s="773"/>
      <c r="AN453" s="771">
        <v>10000</v>
      </c>
      <c r="AO453" s="779">
        <v>0.38461538461538464</v>
      </c>
      <c r="AP453" s="507"/>
      <c r="AQ453" s="507"/>
      <c r="AR453" s="507"/>
      <c r="AS453" s="507"/>
      <c r="AT453" s="507"/>
      <c r="AU453" s="507"/>
      <c r="AV453" s="507"/>
      <c r="AW453" s="507"/>
      <c r="AX453" s="507"/>
      <c r="AY453" s="507"/>
      <c r="AZ453" s="507"/>
      <c r="BA453" s="507"/>
      <c r="BB453" s="507"/>
      <c r="BC453" s="507"/>
      <c r="BD453" s="507"/>
      <c r="BE453" s="507"/>
      <c r="BF453" s="507"/>
      <c r="BG453" s="507"/>
      <c r="BH453" s="507"/>
      <c r="BI453" s="507"/>
      <c r="BJ453" s="507"/>
    </row>
    <row r="454" spans="1:62" ht="15.75" customHeight="1">
      <c r="A454" s="523" t="s">
        <v>164</v>
      </c>
      <c r="B454" s="504"/>
      <c r="C454" s="737" t="s">
        <v>227</v>
      </c>
      <c r="D454" s="507"/>
      <c r="E454" s="507"/>
      <c r="F454" s="507"/>
      <c r="G454" s="507"/>
      <c r="H454" s="507"/>
      <c r="I454" s="507"/>
      <c r="J454" s="507"/>
      <c r="K454" s="507"/>
      <c r="L454" s="507"/>
      <c r="M454" s="507"/>
      <c r="N454" s="507"/>
      <c r="O454" s="507"/>
      <c r="P454" s="507"/>
      <c r="Q454" s="507"/>
      <c r="R454" s="507"/>
      <c r="S454" s="507"/>
      <c r="T454" s="507"/>
      <c r="U454" s="507"/>
      <c r="V454" s="600" t="s">
        <v>164</v>
      </c>
      <c r="W454" s="775" t="s">
        <v>165</v>
      </c>
      <c r="X454" s="768"/>
      <c r="Y454" s="776"/>
      <c r="Z454" s="769">
        <v>5176.92</v>
      </c>
      <c r="AA454" s="768"/>
      <c r="AB454" s="776"/>
      <c r="AC454" s="769"/>
      <c r="AD454" s="777"/>
      <c r="AE454" s="776"/>
      <c r="AF454" s="769">
        <v>5177</v>
      </c>
      <c r="AG454" s="770"/>
      <c r="AH454" s="771">
        <v>7.999999999992724E-2</v>
      </c>
      <c r="AI454" s="772">
        <v>1.5453203835471139E-5</v>
      </c>
      <c r="AJ454" s="777"/>
      <c r="AK454" s="768"/>
      <c r="AL454" s="769">
        <v>4930</v>
      </c>
      <c r="AM454" s="773"/>
      <c r="AN454" s="771">
        <v>247</v>
      </c>
      <c r="AO454" s="779">
        <v>5.0101419878296145E-2</v>
      </c>
      <c r="AP454" s="507"/>
      <c r="AQ454" s="507"/>
      <c r="AR454" s="507"/>
      <c r="AS454" s="507"/>
      <c r="AT454" s="507"/>
      <c r="AU454" s="507"/>
      <c r="AV454" s="507"/>
      <c r="AW454" s="507"/>
      <c r="AX454" s="507"/>
      <c r="AY454" s="507"/>
      <c r="AZ454" s="507"/>
      <c r="BA454" s="507"/>
      <c r="BB454" s="507"/>
      <c r="BC454" s="507"/>
      <c r="BD454" s="507"/>
      <c r="BE454" s="507"/>
      <c r="BF454" s="507"/>
      <c r="BG454" s="507"/>
      <c r="BH454" s="507"/>
      <c r="BI454" s="507"/>
      <c r="BJ454" s="507"/>
    </row>
    <row r="455" spans="1:62" ht="15.75" customHeight="1">
      <c r="A455" s="523" t="s">
        <v>166</v>
      </c>
      <c r="B455" s="504"/>
      <c r="C455" s="737" t="s">
        <v>227</v>
      </c>
      <c r="D455" s="507"/>
      <c r="E455" s="507"/>
      <c r="F455" s="507"/>
      <c r="G455" s="507"/>
      <c r="H455" s="507"/>
      <c r="I455" s="507"/>
      <c r="J455" s="507"/>
      <c r="K455" s="507"/>
      <c r="L455" s="507"/>
      <c r="M455" s="507"/>
      <c r="N455" s="507"/>
      <c r="O455" s="507"/>
      <c r="P455" s="507"/>
      <c r="Q455" s="507"/>
      <c r="R455" s="507"/>
      <c r="S455" s="507"/>
      <c r="T455" s="507"/>
      <c r="U455" s="507"/>
      <c r="V455" s="602" t="s">
        <v>166</v>
      </c>
      <c r="W455" s="780" t="s">
        <v>167</v>
      </c>
      <c r="X455" s="751"/>
      <c r="Y455" s="781"/>
      <c r="Z455" s="752">
        <v>3444.8400000000006</v>
      </c>
      <c r="AA455" s="751"/>
      <c r="AB455" s="781"/>
      <c r="AC455" s="752"/>
      <c r="AD455" s="782"/>
      <c r="AE455" s="781"/>
      <c r="AF455" s="752">
        <v>3445.0000000000005</v>
      </c>
      <c r="AG455" s="753"/>
      <c r="AH455" s="754">
        <v>0.15999999999985448</v>
      </c>
      <c r="AI455" s="783">
        <v>4.6446279072425558E-5</v>
      </c>
      <c r="AJ455" s="782"/>
      <c r="AK455" s="751"/>
      <c r="AL455" s="752">
        <v>3279.99999999999</v>
      </c>
      <c r="AM455" s="756"/>
      <c r="AN455" s="754">
        <v>165.00000000001046</v>
      </c>
      <c r="AO455" s="757">
        <v>5.0304878048783828E-2</v>
      </c>
      <c r="AP455" s="507"/>
      <c r="AQ455" s="507"/>
      <c r="AR455" s="507"/>
      <c r="AS455" s="507"/>
      <c r="AT455" s="507"/>
      <c r="AU455" s="507"/>
      <c r="AV455" s="507"/>
      <c r="AW455" s="507"/>
      <c r="AX455" s="507"/>
      <c r="AY455" s="507"/>
      <c r="AZ455" s="507"/>
      <c r="BA455" s="507"/>
      <c r="BB455" s="507"/>
      <c r="BC455" s="507"/>
      <c r="BD455" s="507"/>
      <c r="BE455" s="507"/>
      <c r="BF455" s="507"/>
      <c r="BG455" s="507"/>
      <c r="BH455" s="507"/>
      <c r="BI455" s="507"/>
      <c r="BJ455" s="507"/>
    </row>
    <row r="456" spans="1:62" ht="15.75" customHeight="1">
      <c r="A456" s="523" t="s">
        <v>168</v>
      </c>
      <c r="B456" s="504"/>
      <c r="C456" s="737" t="s">
        <v>227</v>
      </c>
      <c r="D456" s="507"/>
      <c r="E456" s="507"/>
      <c r="F456" s="507"/>
      <c r="G456" s="507"/>
      <c r="H456" s="507"/>
      <c r="I456" s="507"/>
      <c r="J456" s="507"/>
      <c r="K456" s="507"/>
      <c r="L456" s="507"/>
      <c r="M456" s="507"/>
      <c r="N456" s="507"/>
      <c r="O456" s="507"/>
      <c r="P456" s="507"/>
      <c r="Q456" s="507"/>
      <c r="R456" s="507"/>
      <c r="S456" s="507"/>
      <c r="T456" s="507"/>
      <c r="U456" s="507"/>
      <c r="V456" s="600" t="s">
        <v>168</v>
      </c>
      <c r="W456" s="775"/>
      <c r="X456" s="768"/>
      <c r="Y456" s="776"/>
      <c r="Z456" s="769">
        <v>0</v>
      </c>
      <c r="AA456" s="768"/>
      <c r="AB456" s="776"/>
      <c r="AC456" s="769"/>
      <c r="AD456" s="777"/>
      <c r="AE456" s="776"/>
      <c r="AF456" s="769">
        <v>0</v>
      </c>
      <c r="AG456" s="770"/>
      <c r="AH456" s="771">
        <v>0</v>
      </c>
      <c r="AI456" s="772">
        <v>0</v>
      </c>
      <c r="AJ456" s="777"/>
      <c r="AK456" s="768"/>
      <c r="AL456" s="769">
        <v>0</v>
      </c>
      <c r="AM456" s="773"/>
      <c r="AN456" s="771">
        <v>0</v>
      </c>
      <c r="AO456" s="779">
        <v>0</v>
      </c>
      <c r="AP456" s="507"/>
      <c r="AQ456" s="507"/>
      <c r="AR456" s="507"/>
      <c r="AS456" s="507"/>
      <c r="AT456" s="507"/>
      <c r="AU456" s="507"/>
      <c r="AV456" s="507"/>
      <c r="AW456" s="507"/>
      <c r="AX456" s="507"/>
      <c r="AY456" s="507"/>
      <c r="AZ456" s="507"/>
      <c r="BA456" s="507"/>
      <c r="BB456" s="507"/>
      <c r="BC456" s="507"/>
      <c r="BD456" s="507"/>
      <c r="BE456" s="507"/>
      <c r="BF456" s="507"/>
      <c r="BG456" s="507"/>
      <c r="BH456" s="507"/>
      <c r="BI456" s="507"/>
      <c r="BJ456" s="507"/>
    </row>
    <row r="457" spans="1:62" ht="15.75" customHeight="1">
      <c r="A457" s="523" t="s">
        <v>169</v>
      </c>
      <c r="B457" s="504"/>
      <c r="C457" s="737" t="s">
        <v>227</v>
      </c>
      <c r="D457" s="507"/>
      <c r="E457" s="507"/>
      <c r="F457" s="507"/>
      <c r="G457" s="507"/>
      <c r="H457" s="507"/>
      <c r="I457" s="507"/>
      <c r="J457" s="507"/>
      <c r="K457" s="507"/>
      <c r="L457" s="507"/>
      <c r="M457" s="507"/>
      <c r="N457" s="507"/>
      <c r="O457" s="507"/>
      <c r="P457" s="507"/>
      <c r="Q457" s="507"/>
      <c r="R457" s="507"/>
      <c r="S457" s="507"/>
      <c r="T457" s="507"/>
      <c r="U457" s="507"/>
      <c r="V457" s="602" t="s">
        <v>169</v>
      </c>
      <c r="W457" s="780" t="s">
        <v>170</v>
      </c>
      <c r="X457" s="751"/>
      <c r="Y457" s="781"/>
      <c r="Z457" s="752">
        <v>3893.083333333333</v>
      </c>
      <c r="AA457" s="751"/>
      <c r="AB457" s="781"/>
      <c r="AC457" s="752"/>
      <c r="AD457" s="782"/>
      <c r="AE457" s="781"/>
      <c r="AF457" s="752">
        <v>3893.08</v>
      </c>
      <c r="AG457" s="753"/>
      <c r="AH457" s="754">
        <v>-3.333333333102928E-3</v>
      </c>
      <c r="AI457" s="783">
        <v>-8.5621936334172008E-7</v>
      </c>
      <c r="AJ457" s="782"/>
      <c r="AK457" s="751"/>
      <c r="AL457" s="752">
        <v>4271</v>
      </c>
      <c r="AM457" s="756"/>
      <c r="AN457" s="754">
        <v>-377.92000000000007</v>
      </c>
      <c r="AO457" s="757">
        <v>-8.8485132287520502E-2</v>
      </c>
      <c r="AP457" s="507"/>
      <c r="AQ457" s="507"/>
      <c r="AR457" s="507"/>
      <c r="AS457" s="507"/>
      <c r="AT457" s="507"/>
      <c r="AU457" s="507"/>
      <c r="AV457" s="507"/>
      <c r="AW457" s="507"/>
      <c r="AX457" s="507"/>
      <c r="AY457" s="507"/>
      <c r="AZ457" s="507"/>
      <c r="BA457" s="507"/>
      <c r="BB457" s="507"/>
      <c r="BC457" s="507"/>
      <c r="BD457" s="507"/>
      <c r="BE457" s="507"/>
      <c r="BF457" s="507"/>
      <c r="BG457" s="507"/>
      <c r="BH457" s="507"/>
      <c r="BI457" s="507"/>
      <c r="BJ457" s="507"/>
    </row>
    <row r="458" spans="1:62" ht="15.75" customHeight="1">
      <c r="A458" s="523" t="s">
        <v>171</v>
      </c>
      <c r="B458" s="504"/>
      <c r="C458" s="737" t="s">
        <v>227</v>
      </c>
      <c r="D458" s="507"/>
      <c r="E458" s="507"/>
      <c r="F458" s="507"/>
      <c r="G458" s="507"/>
      <c r="H458" s="507"/>
      <c r="I458" s="507"/>
      <c r="J458" s="507"/>
      <c r="K458" s="507"/>
      <c r="L458" s="507"/>
      <c r="M458" s="507"/>
      <c r="N458" s="507"/>
      <c r="O458" s="507"/>
      <c r="P458" s="507"/>
      <c r="Q458" s="507"/>
      <c r="R458" s="507"/>
      <c r="S458" s="507"/>
      <c r="T458" s="507"/>
      <c r="U458" s="507"/>
      <c r="V458" s="600" t="s">
        <v>171</v>
      </c>
      <c r="W458" s="775" t="s">
        <v>172</v>
      </c>
      <c r="X458" s="813"/>
      <c r="Y458" s="814"/>
      <c r="Z458" s="769">
        <v>3451.2500000000005</v>
      </c>
      <c r="AA458" s="813"/>
      <c r="AB458" s="814"/>
      <c r="AC458" s="769"/>
      <c r="AD458" s="777"/>
      <c r="AE458" s="776"/>
      <c r="AF458" s="815">
        <v>5812.79</v>
      </c>
      <c r="AG458" s="770"/>
      <c r="AH458" s="771">
        <v>2361.5399999999995</v>
      </c>
      <c r="AI458" s="772">
        <v>0.68425642883013382</v>
      </c>
      <c r="AJ458" s="777"/>
      <c r="AK458" s="768"/>
      <c r="AL458" s="769">
        <v>2571.2199999999998</v>
      </c>
      <c r="AM458" s="773"/>
      <c r="AN458" s="771">
        <v>3241.57</v>
      </c>
      <c r="AO458" s="779">
        <v>1.2607128133726404</v>
      </c>
      <c r="AP458" s="507"/>
      <c r="AQ458" s="507"/>
      <c r="AR458" s="507"/>
      <c r="AS458" s="507"/>
      <c r="AT458" s="507"/>
      <c r="AU458" s="507"/>
      <c r="AV458" s="507"/>
      <c r="AW458" s="507"/>
      <c r="AX458" s="507"/>
      <c r="AY458" s="507"/>
      <c r="AZ458" s="507"/>
      <c r="BA458" s="507"/>
      <c r="BB458" s="507"/>
      <c r="BC458" s="507"/>
      <c r="BD458" s="507"/>
      <c r="BE458" s="507"/>
      <c r="BF458" s="507"/>
      <c r="BG458" s="507"/>
      <c r="BH458" s="507"/>
      <c r="BI458" s="507"/>
      <c r="BJ458" s="507"/>
    </row>
    <row r="459" spans="1:62" ht="15.75" customHeight="1">
      <c r="A459" s="523" t="s">
        <v>173</v>
      </c>
      <c r="B459" s="504"/>
      <c r="C459" s="737" t="s">
        <v>227</v>
      </c>
      <c r="D459" s="507"/>
      <c r="E459" s="507"/>
      <c r="F459" s="507"/>
      <c r="G459" s="507"/>
      <c r="H459" s="507"/>
      <c r="I459" s="507"/>
      <c r="J459" s="507"/>
      <c r="K459" s="507"/>
      <c r="L459" s="507"/>
      <c r="M459" s="507"/>
      <c r="N459" s="507"/>
      <c r="O459" s="507"/>
      <c r="P459" s="507"/>
      <c r="Q459" s="507"/>
      <c r="R459" s="507"/>
      <c r="S459" s="507"/>
      <c r="T459" s="507"/>
      <c r="U459" s="507"/>
      <c r="V459" s="600" t="s">
        <v>173</v>
      </c>
      <c r="W459" s="775" t="s">
        <v>174</v>
      </c>
      <c r="X459" s="768"/>
      <c r="Y459" s="776"/>
      <c r="Z459" s="769">
        <v>6784.05</v>
      </c>
      <c r="AA459" s="768"/>
      <c r="AB459" s="776"/>
      <c r="AC459" s="769"/>
      <c r="AD459" s="777"/>
      <c r="AE459" s="776"/>
      <c r="AF459" s="769">
        <v>6423.329999999999</v>
      </c>
      <c r="AG459" s="770"/>
      <c r="AH459" s="771">
        <v>-360.72000000000116</v>
      </c>
      <c r="AI459" s="772">
        <v>-5.3171777920269038E-2</v>
      </c>
      <c r="AJ459" s="777"/>
      <c r="AK459" s="768"/>
      <c r="AL459" s="769">
        <v>6550.12</v>
      </c>
      <c r="AM459" s="773"/>
      <c r="AN459" s="771">
        <v>-126.79000000000087</v>
      </c>
      <c r="AO459" s="779">
        <v>-1.9356897278217936E-2</v>
      </c>
      <c r="AP459" s="507"/>
      <c r="AQ459" s="507"/>
      <c r="AR459" s="507"/>
      <c r="AS459" s="507"/>
      <c r="AT459" s="507"/>
      <c r="AU459" s="507"/>
      <c r="AV459" s="507"/>
      <c r="AW459" s="507"/>
      <c r="AX459" s="507"/>
      <c r="AY459" s="507"/>
      <c r="AZ459" s="507"/>
      <c r="BA459" s="507"/>
      <c r="BB459" s="507"/>
      <c r="BC459" s="507"/>
      <c r="BD459" s="507"/>
      <c r="BE459" s="507"/>
      <c r="BF459" s="507"/>
      <c r="BG459" s="507"/>
      <c r="BH459" s="507"/>
      <c r="BI459" s="507"/>
      <c r="BJ459" s="507"/>
    </row>
    <row r="460" spans="1:62" ht="15.75" customHeight="1">
      <c r="A460" s="523" t="s">
        <v>175</v>
      </c>
      <c r="B460" s="504"/>
      <c r="C460" s="737" t="s">
        <v>227</v>
      </c>
      <c r="D460" s="507"/>
      <c r="E460" s="507"/>
      <c r="F460" s="507"/>
      <c r="G460" s="507"/>
      <c r="H460" s="507"/>
      <c r="I460" s="507"/>
      <c r="J460" s="507"/>
      <c r="K460" s="507"/>
      <c r="L460" s="507"/>
      <c r="M460" s="507"/>
      <c r="N460" s="507"/>
      <c r="O460" s="507"/>
      <c r="P460" s="507"/>
      <c r="Q460" s="507"/>
      <c r="R460" s="507"/>
      <c r="S460" s="507"/>
      <c r="T460" s="507"/>
      <c r="U460" s="507"/>
      <c r="V460" s="602" t="s">
        <v>175</v>
      </c>
      <c r="W460" s="780" t="s">
        <v>176</v>
      </c>
      <c r="X460" s="751"/>
      <c r="Y460" s="781"/>
      <c r="Z460" s="752">
        <v>1946.9211566305551</v>
      </c>
      <c r="AA460" s="751"/>
      <c r="AB460" s="781"/>
      <c r="AC460" s="752"/>
      <c r="AD460" s="782"/>
      <c r="AE460" s="781"/>
      <c r="AF460" s="752">
        <v>0</v>
      </c>
      <c r="AG460" s="753"/>
      <c r="AH460" s="754">
        <v>-1946.9211566305551</v>
      </c>
      <c r="AI460" s="783">
        <v>-1</v>
      </c>
      <c r="AJ460" s="782"/>
      <c r="AK460" s="751"/>
      <c r="AL460" s="752">
        <v>2113.94</v>
      </c>
      <c r="AM460" s="756"/>
      <c r="AN460" s="754">
        <v>-2113.94</v>
      </c>
      <c r="AO460" s="757">
        <v>-1</v>
      </c>
      <c r="AP460" s="507"/>
      <c r="AQ460" s="507"/>
      <c r="AR460" s="507"/>
      <c r="AS460" s="507"/>
      <c r="AT460" s="507"/>
      <c r="AU460" s="507"/>
      <c r="AV460" s="507"/>
      <c r="AW460" s="507"/>
      <c r="AX460" s="507"/>
      <c r="AY460" s="507"/>
      <c r="AZ460" s="507"/>
      <c r="BA460" s="507"/>
      <c r="BB460" s="507"/>
      <c r="BC460" s="507"/>
      <c r="BD460" s="507"/>
      <c r="BE460" s="507"/>
      <c r="BF460" s="507"/>
      <c r="BG460" s="507"/>
      <c r="BH460" s="507"/>
      <c r="BI460" s="507"/>
      <c r="BJ460" s="507"/>
    </row>
    <row r="461" spans="1:62" ht="15.75" customHeight="1">
      <c r="A461" s="523" t="s">
        <v>177</v>
      </c>
      <c r="B461" s="504"/>
      <c r="C461" s="737" t="s">
        <v>227</v>
      </c>
      <c r="D461" s="507"/>
      <c r="E461" s="507"/>
      <c r="F461" s="507"/>
      <c r="G461" s="507"/>
      <c r="H461" s="507"/>
      <c r="I461" s="507"/>
      <c r="J461" s="507"/>
      <c r="K461" s="507"/>
      <c r="L461" s="507"/>
      <c r="M461" s="507"/>
      <c r="N461" s="507"/>
      <c r="O461" s="507"/>
      <c r="P461" s="507"/>
      <c r="Q461" s="507"/>
      <c r="R461" s="507"/>
      <c r="S461" s="507"/>
      <c r="T461" s="507"/>
      <c r="U461" s="816"/>
      <c r="V461" s="600" t="s">
        <v>177</v>
      </c>
      <c r="W461" s="775" t="s">
        <v>178</v>
      </c>
      <c r="X461" s="768"/>
      <c r="Y461" s="776"/>
      <c r="Z461" s="769">
        <v>1000</v>
      </c>
      <c r="AA461" s="768"/>
      <c r="AB461" s="776"/>
      <c r="AC461" s="769"/>
      <c r="AD461" s="777"/>
      <c r="AE461" s="776"/>
      <c r="AF461" s="769">
        <v>0</v>
      </c>
      <c r="AG461" s="770"/>
      <c r="AH461" s="771">
        <v>-1000</v>
      </c>
      <c r="AI461" s="817">
        <v>-1</v>
      </c>
      <c r="AJ461" s="768"/>
      <c r="AK461" s="768"/>
      <c r="AL461" s="769">
        <v>553.80999999999995</v>
      </c>
      <c r="AM461" s="773"/>
      <c r="AN461" s="771">
        <v>-553.80999999999995</v>
      </c>
      <c r="AO461" s="779">
        <v>-1</v>
      </c>
      <c r="AP461" s="507"/>
      <c r="AQ461" s="507"/>
      <c r="AR461" s="507"/>
      <c r="AS461" s="507"/>
      <c r="AT461" s="507"/>
      <c r="AU461" s="507"/>
      <c r="AV461" s="507"/>
      <c r="AW461" s="507"/>
      <c r="AX461" s="507"/>
      <c r="AY461" s="507"/>
      <c r="AZ461" s="507"/>
      <c r="BA461" s="507"/>
      <c r="BB461" s="507"/>
      <c r="BC461" s="507"/>
      <c r="BD461" s="507"/>
      <c r="BE461" s="507"/>
      <c r="BF461" s="507"/>
      <c r="BG461" s="507"/>
      <c r="BH461" s="507"/>
      <c r="BI461" s="507"/>
      <c r="BJ461" s="507"/>
    </row>
    <row r="462" spans="1:62" ht="15.75" customHeight="1">
      <c r="A462" s="523" t="s">
        <v>179</v>
      </c>
      <c r="B462" s="504"/>
      <c r="C462" s="737" t="s">
        <v>227</v>
      </c>
      <c r="D462" s="507"/>
      <c r="E462" s="507"/>
      <c r="F462" s="507"/>
      <c r="G462" s="507"/>
      <c r="H462" s="507"/>
      <c r="I462" s="507"/>
      <c r="J462" s="507"/>
      <c r="K462" s="507"/>
      <c r="L462" s="507"/>
      <c r="M462" s="507"/>
      <c r="N462" s="507"/>
      <c r="O462" s="507"/>
      <c r="P462" s="507"/>
      <c r="Q462" s="507"/>
      <c r="R462" s="507"/>
      <c r="S462" s="507"/>
      <c r="T462" s="507"/>
      <c r="U462" s="816"/>
      <c r="V462" s="600" t="s">
        <v>179</v>
      </c>
      <c r="W462" s="775" t="s">
        <v>180</v>
      </c>
      <c r="X462" s="768"/>
      <c r="Y462" s="776"/>
      <c r="Z462" s="769">
        <v>0</v>
      </c>
      <c r="AA462" s="768"/>
      <c r="AB462" s="776"/>
      <c r="AC462" s="769"/>
      <c r="AD462" s="777"/>
      <c r="AE462" s="776"/>
      <c r="AF462" s="769">
        <v>0</v>
      </c>
      <c r="AG462" s="770"/>
      <c r="AH462" s="771">
        <v>0</v>
      </c>
      <c r="AI462" s="795">
        <v>0</v>
      </c>
      <c r="AJ462" s="768"/>
      <c r="AK462" s="768"/>
      <c r="AL462" s="769">
        <v>0</v>
      </c>
      <c r="AM462" s="773"/>
      <c r="AN462" s="771">
        <v>0</v>
      </c>
      <c r="AO462" s="779">
        <v>0</v>
      </c>
      <c r="AP462" s="507"/>
      <c r="AQ462" s="507"/>
      <c r="AR462" s="507"/>
      <c r="AS462" s="507"/>
      <c r="AT462" s="507"/>
      <c r="AU462" s="507"/>
      <c r="AV462" s="507"/>
      <c r="AW462" s="507"/>
      <c r="AX462" s="507"/>
      <c r="AY462" s="507"/>
      <c r="AZ462" s="507"/>
      <c r="BA462" s="507"/>
      <c r="BB462" s="507"/>
      <c r="BC462" s="507"/>
      <c r="BD462" s="507"/>
      <c r="BE462" s="507"/>
      <c r="BF462" s="507"/>
      <c r="BG462" s="507"/>
      <c r="BH462" s="507"/>
      <c r="BI462" s="507"/>
      <c r="BJ462" s="507"/>
    </row>
    <row r="463" spans="1:62" ht="15.75" hidden="1" customHeight="1">
      <c r="A463" s="523" t="s">
        <v>20</v>
      </c>
      <c r="B463" s="504"/>
      <c r="C463" s="737" t="s">
        <v>227</v>
      </c>
      <c r="D463" s="507"/>
      <c r="E463" s="507"/>
      <c r="F463" s="507"/>
      <c r="G463" s="507"/>
      <c r="H463" s="507"/>
      <c r="I463" s="507"/>
      <c r="J463" s="507"/>
      <c r="K463" s="507"/>
      <c r="L463" s="507"/>
      <c r="M463" s="507"/>
      <c r="N463" s="507"/>
      <c r="O463" s="507"/>
      <c r="P463" s="507"/>
      <c r="Q463" s="507"/>
      <c r="R463" s="507"/>
      <c r="S463" s="507"/>
      <c r="T463" s="507"/>
      <c r="U463" s="816"/>
      <c r="V463" s="600" t="s">
        <v>20</v>
      </c>
      <c r="W463" s="775"/>
      <c r="X463" s="768"/>
      <c r="Y463" s="776"/>
      <c r="Z463" s="769">
        <v>0</v>
      </c>
      <c r="AA463" s="768"/>
      <c r="AB463" s="768"/>
      <c r="AC463" s="769"/>
      <c r="AD463" s="777"/>
      <c r="AE463" s="776"/>
      <c r="AF463" s="769">
        <v>0</v>
      </c>
      <c r="AG463" s="770"/>
      <c r="AH463" s="771">
        <v>0</v>
      </c>
      <c r="AI463" s="772">
        <v>0</v>
      </c>
      <c r="AJ463" s="777"/>
      <c r="AK463" s="768"/>
      <c r="AL463" s="769">
        <v>0</v>
      </c>
      <c r="AM463" s="773"/>
      <c r="AN463" s="771">
        <v>0</v>
      </c>
      <c r="AO463" s="779">
        <v>1</v>
      </c>
      <c r="AP463" s="507"/>
      <c r="AQ463" s="507"/>
      <c r="AR463" s="507"/>
      <c r="AS463" s="507"/>
      <c r="AT463" s="507"/>
      <c r="AU463" s="507"/>
      <c r="AV463" s="507"/>
      <c r="AW463" s="507"/>
      <c r="AX463" s="507"/>
      <c r="AY463" s="507"/>
      <c r="AZ463" s="507"/>
      <c r="BA463" s="507"/>
      <c r="BB463" s="507"/>
      <c r="BC463" s="507"/>
      <c r="BD463" s="507"/>
      <c r="BE463" s="507"/>
      <c r="BF463" s="507"/>
      <c r="BG463" s="507"/>
      <c r="BH463" s="507"/>
      <c r="BI463" s="507"/>
      <c r="BJ463" s="507"/>
    </row>
    <row r="464" spans="1:62" ht="15.75" hidden="1" customHeight="1">
      <c r="A464" s="523" t="s">
        <v>20</v>
      </c>
      <c r="B464" s="504"/>
      <c r="C464" s="737" t="s">
        <v>227</v>
      </c>
      <c r="D464" s="507"/>
      <c r="E464" s="507"/>
      <c r="F464" s="507"/>
      <c r="G464" s="507"/>
      <c r="H464" s="507"/>
      <c r="I464" s="507"/>
      <c r="J464" s="507"/>
      <c r="K464" s="507"/>
      <c r="L464" s="507"/>
      <c r="M464" s="507"/>
      <c r="N464" s="507"/>
      <c r="O464" s="507"/>
      <c r="P464" s="507"/>
      <c r="Q464" s="507"/>
      <c r="R464" s="507"/>
      <c r="S464" s="507"/>
      <c r="T464" s="507"/>
      <c r="U464" s="816"/>
      <c r="V464" s="600" t="s">
        <v>20</v>
      </c>
      <c r="W464" s="775"/>
      <c r="X464" s="768"/>
      <c r="Y464" s="776"/>
      <c r="Z464" s="769">
        <v>0</v>
      </c>
      <c r="AA464" s="768"/>
      <c r="AB464" s="768"/>
      <c r="AC464" s="769"/>
      <c r="AD464" s="777"/>
      <c r="AE464" s="776"/>
      <c r="AF464" s="769">
        <v>0</v>
      </c>
      <c r="AG464" s="770"/>
      <c r="AH464" s="771">
        <v>0</v>
      </c>
      <c r="AI464" s="772">
        <v>0</v>
      </c>
      <c r="AJ464" s="777"/>
      <c r="AK464" s="768"/>
      <c r="AL464" s="769">
        <v>0</v>
      </c>
      <c r="AM464" s="773"/>
      <c r="AN464" s="771">
        <v>0</v>
      </c>
      <c r="AO464" s="779">
        <v>2</v>
      </c>
      <c r="AP464" s="507"/>
      <c r="AQ464" s="507"/>
      <c r="AR464" s="507"/>
      <c r="AS464" s="507"/>
      <c r="AT464" s="507"/>
      <c r="AU464" s="507"/>
      <c r="AV464" s="507"/>
      <c r="AW464" s="507"/>
      <c r="AX464" s="507"/>
      <c r="AY464" s="507"/>
      <c r="AZ464" s="507"/>
      <c r="BA464" s="507"/>
      <c r="BB464" s="507"/>
      <c r="BC464" s="507"/>
      <c r="BD464" s="507"/>
      <c r="BE464" s="507"/>
      <c r="BF464" s="507"/>
      <c r="BG464" s="507"/>
      <c r="BH464" s="507"/>
      <c r="BI464" s="507"/>
      <c r="BJ464" s="507"/>
    </row>
    <row r="465" spans="1:62" ht="15.75" hidden="1" customHeight="1">
      <c r="A465" s="523" t="s">
        <v>20</v>
      </c>
      <c r="B465" s="504"/>
      <c r="C465" s="737" t="s">
        <v>227</v>
      </c>
      <c r="D465" s="507"/>
      <c r="E465" s="507"/>
      <c r="F465" s="507"/>
      <c r="G465" s="507"/>
      <c r="H465" s="507"/>
      <c r="I465" s="507"/>
      <c r="J465" s="507"/>
      <c r="K465" s="507"/>
      <c r="L465" s="507"/>
      <c r="M465" s="507"/>
      <c r="N465" s="507"/>
      <c r="O465" s="507"/>
      <c r="P465" s="507"/>
      <c r="Q465" s="507"/>
      <c r="R465" s="507"/>
      <c r="S465" s="507"/>
      <c r="T465" s="507"/>
      <c r="U465" s="507"/>
      <c r="V465" s="600" t="s">
        <v>20</v>
      </c>
      <c r="W465" s="775"/>
      <c r="X465" s="768"/>
      <c r="Y465" s="776"/>
      <c r="Z465" s="769">
        <v>0</v>
      </c>
      <c r="AA465" s="768"/>
      <c r="AB465" s="768"/>
      <c r="AC465" s="769"/>
      <c r="AD465" s="777"/>
      <c r="AE465" s="776"/>
      <c r="AF465" s="769">
        <v>0</v>
      </c>
      <c r="AG465" s="770"/>
      <c r="AH465" s="771">
        <v>0</v>
      </c>
      <c r="AI465" s="772">
        <v>0</v>
      </c>
      <c r="AJ465" s="777"/>
      <c r="AK465" s="768"/>
      <c r="AL465" s="769">
        <v>0</v>
      </c>
      <c r="AM465" s="773"/>
      <c r="AN465" s="771">
        <v>0</v>
      </c>
      <c r="AO465" s="779">
        <v>3</v>
      </c>
      <c r="AP465" s="507"/>
      <c r="AQ465" s="507"/>
      <c r="AR465" s="507"/>
      <c r="AS465" s="507"/>
      <c r="AT465" s="507"/>
      <c r="AU465" s="507"/>
      <c r="AV465" s="507"/>
      <c r="AW465" s="507"/>
      <c r="AX465" s="507"/>
      <c r="AY465" s="507"/>
      <c r="AZ465" s="507"/>
      <c r="BA465" s="507"/>
      <c r="BB465" s="507"/>
      <c r="BC465" s="507"/>
      <c r="BD465" s="507"/>
      <c r="BE465" s="507"/>
      <c r="BF465" s="507"/>
      <c r="BG465" s="507"/>
      <c r="BH465" s="507"/>
      <c r="BI465" s="507"/>
      <c r="BJ465" s="507"/>
    </row>
    <row r="466" spans="1:62" ht="15.75" customHeight="1">
      <c r="A466" s="523" t="s">
        <v>181</v>
      </c>
      <c r="B466" s="504"/>
      <c r="C466" s="737" t="s">
        <v>227</v>
      </c>
      <c r="D466" s="507"/>
      <c r="E466" s="507"/>
      <c r="F466" s="507"/>
      <c r="G466" s="507"/>
      <c r="H466" s="507"/>
      <c r="I466" s="507"/>
      <c r="J466" s="507"/>
      <c r="K466" s="507"/>
      <c r="L466" s="507"/>
      <c r="M466" s="507"/>
      <c r="N466" s="507"/>
      <c r="O466" s="507"/>
      <c r="P466" s="507"/>
      <c r="Q466" s="507"/>
      <c r="R466" s="507"/>
      <c r="S466" s="507"/>
      <c r="T466" s="507"/>
      <c r="U466" s="507"/>
      <c r="V466" s="785" t="s">
        <v>181</v>
      </c>
      <c r="W466" s="786"/>
      <c r="X466" s="787">
        <v>0.11647427348776927</v>
      </c>
      <c r="Y466" s="786"/>
      <c r="Z466" s="788">
        <v>61697.064489963894</v>
      </c>
      <c r="AA466" s="787"/>
      <c r="AB466" s="786"/>
      <c r="AC466" s="788"/>
      <c r="AD466" s="789">
        <v>0.13275323101870612</v>
      </c>
      <c r="AE466" s="786"/>
      <c r="AF466" s="788">
        <v>60751.200000000004</v>
      </c>
      <c r="AG466" s="810"/>
      <c r="AH466" s="811">
        <v>-945.86448996389004</v>
      </c>
      <c r="AI466" s="787">
        <v>-1.5330785958507823E-2</v>
      </c>
      <c r="AJ466" s="789">
        <v>9.6599691192843146E-2</v>
      </c>
      <c r="AK466" s="787"/>
      <c r="AL466" s="788">
        <v>50270.09</v>
      </c>
      <c r="AM466" s="797"/>
      <c r="AN466" s="791">
        <v>10481.11000000001</v>
      </c>
      <c r="AO466" s="812">
        <v>0.20849594659567966</v>
      </c>
      <c r="AP466" s="507"/>
      <c r="AQ466" s="507"/>
      <c r="AR466" s="507"/>
      <c r="AS466" s="507"/>
      <c r="AT466" s="507"/>
      <c r="AU466" s="507"/>
      <c r="AV466" s="507"/>
      <c r="AW466" s="507"/>
      <c r="AX466" s="507"/>
      <c r="AY466" s="507"/>
      <c r="AZ466" s="507"/>
      <c r="BA466" s="507"/>
      <c r="BB466" s="507"/>
      <c r="BC466" s="507"/>
      <c r="BD466" s="507"/>
      <c r="BE466" s="507"/>
      <c r="BF466" s="507"/>
      <c r="BG466" s="507"/>
      <c r="BH466" s="507"/>
      <c r="BI466" s="507"/>
      <c r="BJ466" s="507"/>
    </row>
    <row r="467" spans="1:62" ht="15.75" customHeight="1">
      <c r="A467" s="523" t="s">
        <v>469</v>
      </c>
      <c r="B467" s="504"/>
      <c r="C467" s="737" t="s">
        <v>227</v>
      </c>
      <c r="D467" s="507"/>
      <c r="E467" s="507"/>
      <c r="F467" s="507"/>
      <c r="G467" s="507"/>
      <c r="H467" s="507"/>
      <c r="I467" s="507"/>
      <c r="J467" s="507"/>
      <c r="K467" s="507"/>
      <c r="L467" s="507"/>
      <c r="M467" s="507"/>
      <c r="N467" s="507"/>
      <c r="O467" s="507"/>
      <c r="P467" s="507"/>
      <c r="Q467" s="507"/>
      <c r="R467" s="507"/>
      <c r="S467" s="507"/>
      <c r="T467" s="507"/>
      <c r="U467" s="507"/>
      <c r="V467" s="600"/>
      <c r="W467" s="768"/>
      <c r="X467" s="768"/>
      <c r="Y467" s="768"/>
      <c r="Z467" s="818"/>
      <c r="AA467" s="768"/>
      <c r="AB467" s="768"/>
      <c r="AC467" s="818"/>
      <c r="AD467" s="777"/>
      <c r="AE467" s="768"/>
      <c r="AF467" s="818"/>
      <c r="AG467" s="777"/>
      <c r="AH467" s="771">
        <v>0</v>
      </c>
      <c r="AI467" s="772"/>
      <c r="AJ467" s="777"/>
      <c r="AK467" s="768"/>
      <c r="AL467" s="818"/>
      <c r="AM467" s="819"/>
      <c r="AN467" s="771">
        <v>0</v>
      </c>
      <c r="AO467" s="820">
        <v>0</v>
      </c>
      <c r="AP467" s="507"/>
      <c r="AQ467" s="507"/>
      <c r="AR467" s="507"/>
      <c r="AS467" s="507"/>
      <c r="AT467" s="507"/>
      <c r="AU467" s="507"/>
      <c r="AV467" s="507"/>
      <c r="AW467" s="507"/>
      <c r="AX467" s="507"/>
      <c r="AY467" s="507"/>
      <c r="AZ467" s="507"/>
      <c r="BA467" s="507"/>
      <c r="BB467" s="507"/>
      <c r="BC467" s="507"/>
      <c r="BD467" s="507"/>
      <c r="BE467" s="507"/>
      <c r="BF467" s="507"/>
      <c r="BG467" s="507"/>
      <c r="BH467" s="507"/>
      <c r="BI467" s="507"/>
      <c r="BJ467" s="507"/>
    </row>
    <row r="468" spans="1:62" ht="15.75" customHeight="1">
      <c r="A468" s="523" t="s">
        <v>65</v>
      </c>
      <c r="B468" s="504"/>
      <c r="C468" s="737" t="s">
        <v>227</v>
      </c>
      <c r="D468" s="507"/>
      <c r="E468" s="507"/>
      <c r="F468" s="507"/>
      <c r="G468" s="507"/>
      <c r="H468" s="507"/>
      <c r="I468" s="507"/>
      <c r="J468" s="507"/>
      <c r="K468" s="507"/>
      <c r="L468" s="507"/>
      <c r="M468" s="507"/>
      <c r="N468" s="507"/>
      <c r="O468" s="507"/>
      <c r="P468" s="507"/>
      <c r="Q468" s="507"/>
      <c r="R468" s="507"/>
      <c r="S468" s="507"/>
      <c r="T468" s="507"/>
      <c r="U468" s="507"/>
      <c r="V468" s="785" t="s">
        <v>65</v>
      </c>
      <c r="W468" s="786"/>
      <c r="X468" s="787">
        <v>1.1228072856624074</v>
      </c>
      <c r="Y468" s="786"/>
      <c r="Z468" s="788">
        <v>594757.20636788674</v>
      </c>
      <c r="AA468" s="787"/>
      <c r="AB468" s="786"/>
      <c r="AC468" s="788"/>
      <c r="AD468" s="789">
        <v>1.1682612327446604</v>
      </c>
      <c r="AE468" s="786"/>
      <c r="AF468" s="788">
        <v>534625.56999999995</v>
      </c>
      <c r="AG468" s="810"/>
      <c r="AH468" s="811">
        <v>-60131.636367886793</v>
      </c>
      <c r="AI468" s="787">
        <v>-0.10110282939672766</v>
      </c>
      <c r="AJ468" s="789">
        <v>1.1903775311711213</v>
      </c>
      <c r="AK468" s="787"/>
      <c r="AL468" s="788">
        <v>619467.67000000004</v>
      </c>
      <c r="AM468" s="797"/>
      <c r="AN468" s="791">
        <v>-84842.100000000093</v>
      </c>
      <c r="AO468" s="766">
        <v>-0.1369596899221554</v>
      </c>
      <c r="AP468" s="507"/>
      <c r="AQ468" s="507"/>
      <c r="AR468" s="507"/>
      <c r="AS468" s="507"/>
      <c r="AT468" s="507"/>
      <c r="AU468" s="507"/>
      <c r="AV468" s="507"/>
      <c r="AW468" s="507"/>
      <c r="AX468" s="507"/>
      <c r="AY468" s="507"/>
      <c r="AZ468" s="507"/>
      <c r="BA468" s="507"/>
      <c r="BB468" s="507"/>
      <c r="BC468" s="507"/>
      <c r="BD468" s="507"/>
      <c r="BE468" s="507"/>
      <c r="BF468" s="507"/>
      <c r="BG468" s="507"/>
      <c r="BH468" s="507"/>
      <c r="BI468" s="507"/>
      <c r="BJ468" s="507"/>
    </row>
    <row r="469" spans="1:62" ht="15.75" customHeight="1">
      <c r="A469" s="523" t="s">
        <v>182</v>
      </c>
      <c r="B469" s="504"/>
      <c r="C469" s="737" t="s">
        <v>227</v>
      </c>
      <c r="D469" s="507"/>
      <c r="E469" s="507"/>
      <c r="F469" s="507"/>
      <c r="G469" s="507"/>
      <c r="H469" s="507"/>
      <c r="I469" s="507"/>
      <c r="J469" s="507"/>
      <c r="K469" s="507"/>
      <c r="L469" s="507"/>
      <c r="M469" s="507"/>
      <c r="N469" s="507"/>
      <c r="O469" s="507"/>
      <c r="P469" s="507"/>
      <c r="Q469" s="507"/>
      <c r="R469" s="507"/>
      <c r="S469" s="507"/>
      <c r="T469" s="507"/>
      <c r="U469" s="507"/>
      <c r="V469" s="600" t="s">
        <v>182</v>
      </c>
      <c r="W469" s="814"/>
      <c r="X469" s="814"/>
      <c r="Y469" s="768"/>
      <c r="Z469" s="800">
        <v>22097.857499999998</v>
      </c>
      <c r="AA469" s="821"/>
      <c r="AB469" s="822"/>
      <c r="AC469" s="800"/>
      <c r="AD469" s="823"/>
      <c r="AE469" s="822"/>
      <c r="AF469" s="883">
        <v>15038.77</v>
      </c>
      <c r="AG469" s="824"/>
      <c r="AH469" s="771">
        <v>-7059.0874999999978</v>
      </c>
      <c r="AI469" s="817">
        <v>-0.31944669296559625</v>
      </c>
      <c r="AJ469" s="823"/>
      <c r="AK469" s="821"/>
      <c r="AL469" s="825">
        <v>69389.759999999995</v>
      </c>
      <c r="AM469" s="826"/>
      <c r="AN469" s="771">
        <v>-54350.989999999991</v>
      </c>
      <c r="AO469" s="779">
        <v>-0.78327104748596899</v>
      </c>
      <c r="AP469" s="507"/>
      <c r="AQ469" s="507"/>
      <c r="AR469" s="507"/>
      <c r="AS469" s="507"/>
      <c r="AT469" s="507"/>
      <c r="AU469" s="507"/>
      <c r="AV469" s="507"/>
      <c r="AW469" s="507"/>
      <c r="AX469" s="507"/>
      <c r="AY469" s="507"/>
      <c r="AZ469" s="507"/>
      <c r="BA469" s="507"/>
      <c r="BB469" s="507"/>
      <c r="BC469" s="507"/>
      <c r="BD469" s="507"/>
      <c r="BE469" s="507"/>
      <c r="BF469" s="507"/>
      <c r="BG469" s="507"/>
      <c r="BH469" s="507"/>
      <c r="BI469" s="507"/>
      <c r="BJ469" s="507"/>
    </row>
    <row r="470" spans="1:62" ht="15.75" customHeight="1">
      <c r="A470" s="523" t="s">
        <v>69</v>
      </c>
      <c r="B470" s="504"/>
      <c r="C470" s="737" t="s">
        <v>227</v>
      </c>
      <c r="D470" s="507"/>
      <c r="E470" s="507"/>
      <c r="F470" s="507"/>
      <c r="G470" s="507"/>
      <c r="H470" s="507"/>
      <c r="I470" s="507"/>
      <c r="J470" s="507"/>
      <c r="K470" s="507"/>
      <c r="L470" s="507"/>
      <c r="M470" s="507"/>
      <c r="N470" s="507"/>
      <c r="O470" s="507"/>
      <c r="P470" s="507"/>
      <c r="Q470" s="507"/>
      <c r="R470" s="507"/>
      <c r="S470" s="507"/>
      <c r="T470" s="507"/>
      <c r="U470" s="507"/>
      <c r="V470" s="600" t="s">
        <v>69</v>
      </c>
      <c r="W470" s="768"/>
      <c r="X470" s="768"/>
      <c r="Y470" s="768"/>
      <c r="Z470" s="769">
        <v>43066.288712401452</v>
      </c>
      <c r="AA470" s="813"/>
      <c r="AB470" s="771"/>
      <c r="AC470" s="769"/>
      <c r="AD470" s="827"/>
      <c r="AE470" s="828"/>
      <c r="AF470" s="769">
        <v>54053</v>
      </c>
      <c r="AG470" s="829"/>
      <c r="AH470" s="771">
        <v>10986.711287598548</v>
      </c>
      <c r="AI470" s="795">
        <v>0.25511163408967702</v>
      </c>
      <c r="AJ470" s="830"/>
      <c r="AK470" s="813"/>
      <c r="AL470" s="831">
        <v>55160.85</v>
      </c>
      <c r="AM470" s="827"/>
      <c r="AN470" s="771">
        <v>-1107.8499999999985</v>
      </c>
      <c r="AO470" s="779">
        <v>-2.0083990728931817E-2</v>
      </c>
      <c r="AP470" s="507"/>
      <c r="AQ470" s="507"/>
      <c r="AR470" s="507"/>
      <c r="AS470" s="507"/>
      <c r="AT470" s="507"/>
      <c r="AU470" s="507"/>
      <c r="AV470" s="507"/>
      <c r="AW470" s="507"/>
      <c r="AX470" s="507"/>
      <c r="AY470" s="507"/>
      <c r="AZ470" s="507"/>
      <c r="BA470" s="507"/>
      <c r="BB470" s="507"/>
      <c r="BC470" s="507"/>
      <c r="BD470" s="507"/>
      <c r="BE470" s="507"/>
      <c r="BF470" s="507"/>
      <c r="BG470" s="507"/>
      <c r="BH470" s="507"/>
      <c r="BI470" s="507"/>
      <c r="BJ470" s="507"/>
    </row>
    <row r="471" spans="1:62" ht="15.75" customHeight="1">
      <c r="A471" s="523" t="s">
        <v>197</v>
      </c>
      <c r="B471" s="504"/>
      <c r="C471" s="737" t="s">
        <v>227</v>
      </c>
      <c r="D471" s="507"/>
      <c r="E471" s="507"/>
      <c r="F471" s="507"/>
      <c r="G471" s="507"/>
      <c r="H471" s="507"/>
      <c r="I471" s="507"/>
      <c r="J471" s="507"/>
      <c r="K471" s="507"/>
      <c r="L471" s="507"/>
      <c r="M471" s="507"/>
      <c r="N471" s="507"/>
      <c r="O471" s="507"/>
      <c r="P471" s="507"/>
      <c r="Q471" s="507"/>
      <c r="R471" s="507"/>
      <c r="S471" s="507"/>
      <c r="T471" s="507"/>
      <c r="U471" s="507"/>
      <c r="V471" s="600" t="s">
        <v>197</v>
      </c>
      <c r="W471" s="768"/>
      <c r="X471" s="768"/>
      <c r="Y471" s="768"/>
      <c r="Z471" s="769">
        <v>20000</v>
      </c>
      <c r="AA471" s="813"/>
      <c r="AB471" s="814"/>
      <c r="AC471" s="769"/>
      <c r="AD471" s="830"/>
      <c r="AF471" s="883">
        <v>20000</v>
      </c>
      <c r="AG471" s="829"/>
      <c r="AH471" s="771">
        <v>0</v>
      </c>
      <c r="AI471" s="795">
        <v>0</v>
      </c>
      <c r="AJ471" s="830"/>
      <c r="AK471" s="813"/>
      <c r="AL471" s="831">
        <v>31556</v>
      </c>
      <c r="AM471" s="827"/>
      <c r="AN471" s="771">
        <v>-11556</v>
      </c>
      <c r="AO471" s="779">
        <v>-0.36620610977310181</v>
      </c>
      <c r="AP471" s="507"/>
      <c r="AQ471" s="507"/>
      <c r="AR471" s="507"/>
      <c r="AS471" s="507"/>
      <c r="AT471" s="507"/>
      <c r="AU471" s="507"/>
      <c r="AV471" s="507"/>
      <c r="AW471" s="507"/>
      <c r="AX471" s="507"/>
      <c r="AY471" s="507"/>
      <c r="AZ471" s="507"/>
      <c r="BA471" s="507"/>
      <c r="BB471" s="507"/>
      <c r="BC471" s="507"/>
      <c r="BD471" s="507"/>
      <c r="BE471" s="507"/>
      <c r="BF471" s="507"/>
      <c r="BG471" s="507"/>
      <c r="BH471" s="507"/>
      <c r="BI471" s="507"/>
      <c r="BJ471" s="507"/>
    </row>
    <row r="472" spans="1:62" ht="15.75" customHeight="1">
      <c r="A472" s="523" t="s">
        <v>194</v>
      </c>
      <c r="B472" s="504"/>
      <c r="C472" s="737" t="s">
        <v>227</v>
      </c>
      <c r="D472" s="507"/>
      <c r="E472" s="507"/>
      <c r="F472" s="507"/>
      <c r="G472" s="507"/>
      <c r="H472" s="507"/>
      <c r="I472" s="507"/>
      <c r="J472" s="507"/>
      <c r="K472" s="507"/>
      <c r="L472" s="507"/>
      <c r="M472" s="507"/>
      <c r="N472" s="507"/>
      <c r="O472" s="507"/>
      <c r="P472" s="507"/>
      <c r="Q472" s="507"/>
      <c r="R472" s="507"/>
      <c r="S472" s="507"/>
      <c r="T472" s="507"/>
      <c r="U472" s="507"/>
      <c r="V472" s="600" t="s">
        <v>194</v>
      </c>
      <c r="W472" s="768"/>
      <c r="X472" s="768"/>
      <c r="Y472" s="768"/>
      <c r="Z472" s="769">
        <v>0</v>
      </c>
      <c r="AA472" s="813"/>
      <c r="AB472" s="814"/>
      <c r="AC472" s="769"/>
      <c r="AD472" s="830"/>
      <c r="AE472" s="814"/>
      <c r="AF472" s="769">
        <v>0</v>
      </c>
      <c r="AG472" s="829"/>
      <c r="AH472" s="771">
        <v>0</v>
      </c>
      <c r="AI472" s="795">
        <v>0</v>
      </c>
      <c r="AJ472" s="830"/>
      <c r="AK472" s="813"/>
      <c r="AL472" s="831">
        <v>0</v>
      </c>
      <c r="AM472" s="827"/>
      <c r="AN472" s="771">
        <v>0</v>
      </c>
      <c r="AO472" s="779">
        <v>0</v>
      </c>
      <c r="AP472" s="507"/>
      <c r="AQ472" s="507"/>
      <c r="AR472" s="507"/>
      <c r="AS472" s="507"/>
      <c r="AT472" s="507"/>
      <c r="AU472" s="507"/>
      <c r="AV472" s="507"/>
      <c r="AW472" s="507"/>
      <c r="AX472" s="507"/>
      <c r="AY472" s="507"/>
      <c r="AZ472" s="507"/>
      <c r="BA472" s="507"/>
      <c r="BB472" s="507"/>
      <c r="BC472" s="507"/>
      <c r="BD472" s="507"/>
      <c r="BE472" s="507"/>
      <c r="BF472" s="507"/>
      <c r="BG472" s="507"/>
      <c r="BH472" s="507"/>
      <c r="BI472" s="507"/>
      <c r="BJ472" s="507"/>
    </row>
    <row r="473" spans="1:62" ht="15.75" customHeight="1">
      <c r="A473" s="523" t="s">
        <v>68</v>
      </c>
      <c r="B473" s="504"/>
      <c r="C473" s="737" t="s">
        <v>227</v>
      </c>
      <c r="D473" s="507"/>
      <c r="E473" s="507"/>
      <c r="F473" s="507"/>
      <c r="G473" s="507"/>
      <c r="H473" s="507"/>
      <c r="I473" s="507"/>
      <c r="J473" s="507"/>
      <c r="K473" s="507"/>
      <c r="L473" s="507"/>
      <c r="M473" s="507"/>
      <c r="N473" s="507"/>
      <c r="O473" s="507"/>
      <c r="P473" s="507"/>
      <c r="Q473" s="507"/>
      <c r="R473" s="507"/>
      <c r="S473" s="507"/>
      <c r="T473" s="507"/>
      <c r="U473" s="507"/>
      <c r="V473" s="600" t="s">
        <v>68</v>
      </c>
      <c r="W473" s="768"/>
      <c r="X473" s="768"/>
      <c r="Y473" s="768"/>
      <c r="Z473" s="769">
        <v>0</v>
      </c>
      <c r="AA473" s="813"/>
      <c r="AB473" s="814"/>
      <c r="AC473" s="769"/>
      <c r="AD473" s="830"/>
      <c r="AE473" s="814"/>
      <c r="AF473" s="769">
        <v>0</v>
      </c>
      <c r="AG473" s="829"/>
      <c r="AH473" s="771">
        <v>0</v>
      </c>
      <c r="AI473" s="795">
        <v>0</v>
      </c>
      <c r="AJ473" s="830"/>
      <c r="AK473" s="813"/>
      <c r="AL473" s="831">
        <v>0</v>
      </c>
      <c r="AM473" s="827"/>
      <c r="AN473" s="771">
        <v>0</v>
      </c>
      <c r="AO473" s="779">
        <v>0</v>
      </c>
      <c r="AP473" s="507"/>
      <c r="AQ473" s="507"/>
      <c r="AR473" s="507"/>
      <c r="AS473" s="507"/>
      <c r="AT473" s="507"/>
      <c r="AU473" s="507"/>
      <c r="AV473" s="507"/>
      <c r="AW473" s="507"/>
      <c r="AX473" s="507"/>
      <c r="AY473" s="507"/>
      <c r="AZ473" s="507"/>
      <c r="BA473" s="507"/>
      <c r="BB473" s="507"/>
      <c r="BC473" s="507"/>
      <c r="BD473" s="507"/>
      <c r="BE473" s="507"/>
      <c r="BF473" s="507"/>
      <c r="BG473" s="507"/>
      <c r="BH473" s="507"/>
      <c r="BI473" s="507"/>
      <c r="BJ473" s="507"/>
    </row>
    <row r="474" spans="1:62" ht="15.75" customHeight="1">
      <c r="A474" s="523" t="s">
        <v>225</v>
      </c>
      <c r="B474" s="504"/>
      <c r="C474" s="737" t="s">
        <v>227</v>
      </c>
      <c r="D474" s="507"/>
      <c r="E474" s="507"/>
      <c r="F474" s="507"/>
      <c r="G474" s="507"/>
      <c r="H474" s="507"/>
      <c r="I474" s="507"/>
      <c r="J474" s="507"/>
      <c r="K474" s="507"/>
      <c r="L474" s="507"/>
      <c r="M474" s="507"/>
      <c r="N474" s="507"/>
      <c r="O474" s="507"/>
      <c r="P474" s="507"/>
      <c r="Q474" s="507"/>
      <c r="R474" s="507"/>
      <c r="S474" s="507"/>
      <c r="T474" s="507"/>
      <c r="U474" s="507"/>
      <c r="V474" s="600" t="s">
        <v>225</v>
      </c>
      <c r="W474" s="768"/>
      <c r="X474" s="768"/>
      <c r="Y474" s="768"/>
      <c r="Z474" s="769">
        <v>0</v>
      </c>
      <c r="AA474" s="813"/>
      <c r="AB474" s="814"/>
      <c r="AC474" s="769"/>
      <c r="AD474" s="830"/>
      <c r="AE474" s="814"/>
      <c r="AF474" s="769">
        <v>0</v>
      </c>
      <c r="AG474" s="829"/>
      <c r="AH474" s="771">
        <v>0</v>
      </c>
      <c r="AI474" s="795">
        <v>0</v>
      </c>
      <c r="AJ474" s="830"/>
      <c r="AK474" s="813"/>
      <c r="AL474" s="831">
        <v>0</v>
      </c>
      <c r="AM474" s="827"/>
      <c r="AN474" s="771">
        <v>0</v>
      </c>
      <c r="AO474" s="779">
        <v>0</v>
      </c>
      <c r="AP474" s="507"/>
      <c r="AQ474" s="507"/>
      <c r="AR474" s="507"/>
      <c r="AS474" s="507"/>
      <c r="AT474" s="507"/>
      <c r="AU474" s="507"/>
      <c r="AV474" s="507"/>
      <c r="AW474" s="507"/>
      <c r="AX474" s="507"/>
      <c r="AY474" s="507"/>
      <c r="AZ474" s="507"/>
      <c r="BA474" s="507"/>
      <c r="BB474" s="507"/>
      <c r="BC474" s="507"/>
      <c r="BD474" s="507"/>
      <c r="BE474" s="507"/>
      <c r="BF474" s="507"/>
      <c r="BG474" s="507"/>
      <c r="BH474" s="507"/>
      <c r="BI474" s="507"/>
      <c r="BJ474" s="507"/>
    </row>
    <row r="475" spans="1:62" ht="15.75" customHeight="1">
      <c r="A475" s="523" t="s">
        <v>81</v>
      </c>
      <c r="B475" s="504"/>
      <c r="C475" s="737" t="s">
        <v>227</v>
      </c>
      <c r="D475" s="507"/>
      <c r="E475" s="507"/>
      <c r="F475" s="507"/>
      <c r="G475" s="507"/>
      <c r="H475" s="507"/>
      <c r="I475" s="507"/>
      <c r="J475" s="507"/>
      <c r="K475" s="507"/>
      <c r="L475" s="507"/>
      <c r="M475" s="507"/>
      <c r="N475" s="507"/>
      <c r="O475" s="507"/>
      <c r="P475" s="507"/>
      <c r="Q475" s="507"/>
      <c r="R475" s="507"/>
      <c r="S475" s="507"/>
      <c r="T475" s="507"/>
      <c r="U475" s="507"/>
      <c r="V475" s="600" t="s">
        <v>81</v>
      </c>
      <c r="W475" s="768"/>
      <c r="X475" s="768"/>
      <c r="Y475" s="768"/>
      <c r="Z475" s="769">
        <v>0</v>
      </c>
      <c r="AA475" s="813"/>
      <c r="AB475" s="814"/>
      <c r="AC475" s="769"/>
      <c r="AD475" s="830"/>
      <c r="AE475" s="814"/>
      <c r="AF475" s="769">
        <v>0</v>
      </c>
      <c r="AG475" s="829"/>
      <c r="AH475" s="771">
        <v>0</v>
      </c>
      <c r="AI475" s="795">
        <v>0</v>
      </c>
      <c r="AJ475" s="830"/>
      <c r="AK475" s="813"/>
      <c r="AL475" s="831">
        <v>0</v>
      </c>
      <c r="AM475" s="827"/>
      <c r="AN475" s="771">
        <v>0</v>
      </c>
      <c r="AO475" s="779">
        <v>0</v>
      </c>
      <c r="AP475" s="507"/>
      <c r="AQ475" s="507"/>
      <c r="AR475" s="507"/>
      <c r="AS475" s="507"/>
      <c r="AT475" s="507"/>
      <c r="AU475" s="507"/>
      <c r="AV475" s="507"/>
      <c r="AW475" s="507"/>
      <c r="AX475" s="507"/>
      <c r="AY475" s="507"/>
      <c r="AZ475" s="507"/>
      <c r="BA475" s="507"/>
      <c r="BB475" s="507"/>
      <c r="BC475" s="507"/>
      <c r="BD475" s="507"/>
      <c r="BE475" s="507"/>
      <c r="BF475" s="507"/>
      <c r="BG475" s="507"/>
      <c r="BH475" s="507"/>
      <c r="BI475" s="507"/>
      <c r="BJ475" s="507"/>
    </row>
    <row r="476" spans="1:62" ht="15.75" customHeight="1">
      <c r="A476" s="523" t="s">
        <v>82</v>
      </c>
      <c r="B476" s="504"/>
      <c r="C476" s="737" t="s">
        <v>227</v>
      </c>
      <c r="D476" s="507"/>
      <c r="E476" s="507"/>
      <c r="F476" s="507"/>
      <c r="G476" s="507"/>
      <c r="H476" s="507"/>
      <c r="I476" s="507"/>
      <c r="J476" s="507"/>
      <c r="K476" s="507"/>
      <c r="L476" s="507"/>
      <c r="M476" s="507"/>
      <c r="N476" s="507"/>
      <c r="O476" s="507"/>
      <c r="P476" s="507"/>
      <c r="Q476" s="507"/>
      <c r="R476" s="507"/>
      <c r="S476" s="507"/>
      <c r="T476" s="507"/>
      <c r="U476" s="507"/>
      <c r="V476" s="600" t="s">
        <v>82</v>
      </c>
      <c r="W476" s="768"/>
      <c r="X476" s="768"/>
      <c r="Y476" s="768"/>
      <c r="Z476" s="769">
        <v>0</v>
      </c>
      <c r="AA476" s="813"/>
      <c r="AB476" s="814"/>
      <c r="AC476" s="769"/>
      <c r="AD476" s="830"/>
      <c r="AE476" s="814"/>
      <c r="AF476" s="769">
        <v>0</v>
      </c>
      <c r="AG476" s="829"/>
      <c r="AH476" s="771">
        <v>0</v>
      </c>
      <c r="AI476" s="795">
        <v>0</v>
      </c>
      <c r="AJ476" s="830"/>
      <c r="AK476" s="813"/>
      <c r="AL476" s="831">
        <v>0</v>
      </c>
      <c r="AM476" s="827"/>
      <c r="AN476" s="771">
        <v>0</v>
      </c>
      <c r="AO476" s="779">
        <v>0</v>
      </c>
      <c r="AP476" s="507"/>
      <c r="AQ476" s="507"/>
      <c r="AR476" s="507"/>
      <c r="AS476" s="507"/>
      <c r="AT476" s="507"/>
      <c r="AU476" s="507"/>
      <c r="AV476" s="507"/>
      <c r="AW476" s="507"/>
      <c r="AX476" s="507"/>
      <c r="AY476" s="507"/>
      <c r="AZ476" s="507"/>
      <c r="BA476" s="507"/>
      <c r="BB476" s="507"/>
      <c r="BC476" s="507"/>
      <c r="BD476" s="507"/>
      <c r="BE476" s="507"/>
      <c r="BF476" s="507"/>
      <c r="BG476" s="507"/>
      <c r="BH476" s="507"/>
      <c r="BI476" s="507"/>
      <c r="BJ476" s="507"/>
    </row>
    <row r="477" spans="1:62" ht="15.75" hidden="1" customHeight="1">
      <c r="A477" s="523" t="s">
        <v>20</v>
      </c>
      <c r="B477" s="504"/>
      <c r="C477" s="737" t="s">
        <v>227</v>
      </c>
      <c r="D477" s="507"/>
      <c r="E477" s="507"/>
      <c r="F477" s="507"/>
      <c r="G477" s="507"/>
      <c r="H477" s="507"/>
      <c r="I477" s="507"/>
      <c r="J477" s="507"/>
      <c r="K477" s="507"/>
      <c r="L477" s="507"/>
      <c r="M477" s="507"/>
      <c r="N477" s="507"/>
      <c r="O477" s="507"/>
      <c r="P477" s="507"/>
      <c r="Q477" s="507"/>
      <c r="R477" s="507"/>
      <c r="S477" s="507"/>
      <c r="T477" s="507"/>
      <c r="U477" s="507"/>
      <c r="V477" s="600" t="s">
        <v>20</v>
      </c>
      <c r="W477" s="768"/>
      <c r="X477" s="768"/>
      <c r="Y477" s="768"/>
      <c r="Z477" s="769">
        <v>0</v>
      </c>
      <c r="AA477" s="768"/>
      <c r="AB477" s="768"/>
      <c r="AC477" s="769"/>
      <c r="AD477" s="777"/>
      <c r="AE477" s="776"/>
      <c r="AF477" s="769">
        <v>0</v>
      </c>
      <c r="AG477" s="770"/>
      <c r="AH477" s="771">
        <v>0</v>
      </c>
      <c r="AI477" s="772">
        <v>0</v>
      </c>
      <c r="AJ477" s="777"/>
      <c r="AK477" s="768"/>
      <c r="AL477" s="769">
        <v>0</v>
      </c>
      <c r="AM477" s="827"/>
      <c r="AN477" s="771">
        <v>0</v>
      </c>
      <c r="AO477" s="779">
        <v>0</v>
      </c>
      <c r="AP477" s="507"/>
      <c r="AQ477" s="507"/>
      <c r="AR477" s="507"/>
      <c r="AS477" s="507"/>
      <c r="AT477" s="507"/>
      <c r="AU477" s="507"/>
      <c r="AV477" s="507"/>
      <c r="AW477" s="507"/>
      <c r="AX477" s="507"/>
      <c r="AY477" s="507"/>
      <c r="AZ477" s="507"/>
      <c r="BA477" s="507"/>
      <c r="BB477" s="507"/>
      <c r="BC477" s="507"/>
      <c r="BD477" s="507"/>
      <c r="BE477" s="507"/>
      <c r="BF477" s="507"/>
      <c r="BG477" s="507"/>
      <c r="BH477" s="507"/>
      <c r="BI477" s="507"/>
      <c r="BJ477" s="507"/>
    </row>
    <row r="478" spans="1:62" ht="15.75" hidden="1" customHeight="1">
      <c r="A478" s="523" t="s">
        <v>20</v>
      </c>
      <c r="B478" s="504"/>
      <c r="C478" s="737" t="s">
        <v>227</v>
      </c>
      <c r="D478" s="507"/>
      <c r="E478" s="507"/>
      <c r="F478" s="507"/>
      <c r="G478" s="507"/>
      <c r="H478" s="507"/>
      <c r="I478" s="507"/>
      <c r="J478" s="507"/>
      <c r="K478" s="507"/>
      <c r="L478" s="507"/>
      <c r="M478" s="507"/>
      <c r="N478" s="507"/>
      <c r="O478" s="507"/>
      <c r="P478" s="507"/>
      <c r="Q478" s="507"/>
      <c r="R478" s="507"/>
      <c r="S478" s="507"/>
      <c r="T478" s="507"/>
      <c r="U478" s="507"/>
      <c r="V478" s="600" t="s">
        <v>20</v>
      </c>
      <c r="W478" s="768"/>
      <c r="X478" s="768"/>
      <c r="Y478" s="768"/>
      <c r="Z478" s="769">
        <v>0</v>
      </c>
      <c r="AA478" s="768"/>
      <c r="AB478" s="768"/>
      <c r="AC478" s="769"/>
      <c r="AD478" s="777"/>
      <c r="AE478" s="776"/>
      <c r="AF478" s="769">
        <v>0</v>
      </c>
      <c r="AG478" s="770"/>
      <c r="AH478" s="771">
        <v>0</v>
      </c>
      <c r="AI478" s="772">
        <v>0</v>
      </c>
      <c r="AJ478" s="777"/>
      <c r="AK478" s="768"/>
      <c r="AL478" s="769">
        <v>0</v>
      </c>
      <c r="AM478" s="827"/>
      <c r="AN478" s="771">
        <v>0</v>
      </c>
      <c r="AO478" s="779">
        <v>0</v>
      </c>
      <c r="AP478" s="507"/>
      <c r="AQ478" s="507"/>
      <c r="AR478" s="507"/>
      <c r="AS478" s="507"/>
      <c r="AT478" s="507"/>
      <c r="AU478" s="507"/>
      <c r="AV478" s="507"/>
      <c r="AW478" s="507"/>
      <c r="AX478" s="507"/>
      <c r="AY478" s="507"/>
      <c r="AZ478" s="507"/>
      <c r="BA478" s="507"/>
      <c r="BB478" s="507"/>
      <c r="BC478" s="507"/>
      <c r="BD478" s="507"/>
      <c r="BE478" s="507"/>
      <c r="BF478" s="507"/>
      <c r="BG478" s="507"/>
      <c r="BH478" s="507"/>
      <c r="BI478" s="507"/>
      <c r="BJ478" s="507"/>
    </row>
    <row r="479" spans="1:62" ht="15.75" hidden="1" customHeight="1">
      <c r="A479" s="523" t="s">
        <v>20</v>
      </c>
      <c r="B479" s="504"/>
      <c r="C479" s="737" t="s">
        <v>227</v>
      </c>
      <c r="D479" s="507"/>
      <c r="E479" s="507"/>
      <c r="F479" s="507"/>
      <c r="G479" s="507"/>
      <c r="H479" s="507"/>
      <c r="I479" s="507"/>
      <c r="J479" s="507"/>
      <c r="K479" s="507"/>
      <c r="L479" s="507"/>
      <c r="M479" s="507"/>
      <c r="N479" s="507"/>
      <c r="O479" s="507"/>
      <c r="P479" s="507"/>
      <c r="Q479" s="507"/>
      <c r="R479" s="507"/>
      <c r="S479" s="507"/>
      <c r="T479" s="507"/>
      <c r="U479" s="507"/>
      <c r="V479" s="600" t="s">
        <v>20</v>
      </c>
      <c r="W479" s="768"/>
      <c r="X479" s="768"/>
      <c r="Y479" s="768"/>
      <c r="Z479" s="769">
        <v>0</v>
      </c>
      <c r="AA479" s="768"/>
      <c r="AB479" s="768"/>
      <c r="AC479" s="769"/>
      <c r="AD479" s="777"/>
      <c r="AE479" s="776"/>
      <c r="AF479" s="769">
        <v>0</v>
      </c>
      <c r="AG479" s="770"/>
      <c r="AH479" s="771">
        <v>0</v>
      </c>
      <c r="AI479" s="772">
        <v>0</v>
      </c>
      <c r="AJ479" s="777"/>
      <c r="AK479" s="768"/>
      <c r="AL479" s="769">
        <v>0</v>
      </c>
      <c r="AM479" s="827"/>
      <c r="AN479" s="771">
        <v>0</v>
      </c>
      <c r="AO479" s="779">
        <v>0</v>
      </c>
      <c r="AP479" s="507"/>
      <c r="AQ479" s="507"/>
      <c r="AR479" s="507"/>
      <c r="AS479" s="507"/>
      <c r="AT479" s="507"/>
      <c r="AU479" s="507"/>
      <c r="AV479" s="507"/>
      <c r="AW479" s="507"/>
      <c r="AX479" s="507"/>
      <c r="AY479" s="507"/>
      <c r="AZ479" s="507"/>
      <c r="BA479" s="507"/>
      <c r="BB479" s="507"/>
      <c r="BC479" s="507"/>
      <c r="BD479" s="507"/>
      <c r="BE479" s="507"/>
      <c r="BF479" s="507"/>
      <c r="BG479" s="507"/>
      <c r="BH479" s="507"/>
      <c r="BI479" s="507"/>
      <c r="BJ479" s="507"/>
    </row>
    <row r="480" spans="1:62" ht="15.75" customHeight="1">
      <c r="A480" s="523" t="s">
        <v>70</v>
      </c>
      <c r="B480" s="504"/>
      <c r="C480" s="737" t="s">
        <v>227</v>
      </c>
      <c r="D480" s="507"/>
      <c r="E480" s="507"/>
      <c r="F480" s="507"/>
      <c r="G480" s="507"/>
      <c r="H480" s="507"/>
      <c r="I480" s="507"/>
      <c r="J480" s="507"/>
      <c r="K480" s="507"/>
      <c r="L480" s="507"/>
      <c r="M480" s="507"/>
      <c r="N480" s="507"/>
      <c r="O480" s="507"/>
      <c r="P480" s="507"/>
      <c r="Q480" s="507"/>
      <c r="R480" s="507"/>
      <c r="S480" s="507"/>
      <c r="T480" s="507"/>
      <c r="U480" s="507"/>
      <c r="V480" s="602" t="s">
        <v>70</v>
      </c>
      <c r="W480" s="768"/>
      <c r="X480" s="768"/>
      <c r="Y480" s="768"/>
      <c r="Z480" s="769">
        <v>28348.190000000002</v>
      </c>
      <c r="AA480" s="813"/>
      <c r="AB480" s="814"/>
      <c r="AC480" s="769"/>
      <c r="AD480" s="832">
        <v>50.549098196392784</v>
      </c>
      <c r="AE480" s="813">
        <v>1.2157316367842683</v>
      </c>
      <c r="AF480" s="769">
        <v>25224</v>
      </c>
      <c r="AG480" s="829"/>
      <c r="AH480" s="771">
        <v>-3124.1900000000023</v>
      </c>
      <c r="AI480" s="795">
        <v>-0.11020774165828584</v>
      </c>
      <c r="AJ480" s="830"/>
      <c r="AK480" s="813"/>
      <c r="AL480" s="831">
        <v>30195</v>
      </c>
      <c r="AM480" s="827"/>
      <c r="AN480" s="771">
        <v>-4971</v>
      </c>
      <c r="AO480" s="779">
        <v>-0.16462990561351218</v>
      </c>
      <c r="AP480" s="507"/>
      <c r="AQ480" s="507"/>
      <c r="AR480" s="507"/>
      <c r="AS480" s="507"/>
      <c r="AT480" s="507"/>
      <c r="AU480" s="507"/>
      <c r="AV480" s="507"/>
      <c r="AW480" s="507"/>
      <c r="AX480" s="507"/>
      <c r="AY480" s="507"/>
      <c r="AZ480" s="507"/>
      <c r="BA480" s="507"/>
      <c r="BB480" s="507"/>
      <c r="BC480" s="507"/>
      <c r="BD480" s="507"/>
      <c r="BE480" s="507"/>
      <c r="BF480" s="507"/>
      <c r="BG480" s="507"/>
      <c r="BH480" s="507"/>
      <c r="BI480" s="507"/>
      <c r="BJ480" s="507"/>
    </row>
    <row r="481" spans="1:62" ht="15.75" customHeight="1">
      <c r="A481" s="523" t="s">
        <v>183</v>
      </c>
      <c r="B481" s="504"/>
      <c r="C481" s="737" t="s">
        <v>227</v>
      </c>
      <c r="D481" s="507"/>
      <c r="E481" s="507"/>
      <c r="F481" s="507"/>
      <c r="G481" s="507"/>
      <c r="H481" s="507"/>
      <c r="I481" s="507"/>
      <c r="J481" s="507"/>
      <c r="K481" s="507"/>
      <c r="L481" s="507"/>
      <c r="M481" s="507"/>
      <c r="N481" s="507"/>
      <c r="O481" s="507"/>
      <c r="P481" s="507"/>
      <c r="Q481" s="507"/>
      <c r="R481" s="507"/>
      <c r="S481" s="507"/>
      <c r="T481" s="507"/>
      <c r="U481" s="507"/>
      <c r="V481" s="785" t="s">
        <v>183</v>
      </c>
      <c r="W481" s="786"/>
      <c r="X481" s="787">
        <v>0.21429328934101122</v>
      </c>
      <c r="Y481" s="809"/>
      <c r="Z481" s="788">
        <v>113512.33621240145</v>
      </c>
      <c r="AA481" s="787"/>
      <c r="AB481" s="809"/>
      <c r="AC481" s="788"/>
      <c r="AD481" s="787">
        <v>0.24980227261175536</v>
      </c>
      <c r="AE481" s="809"/>
      <c r="AF481" s="788">
        <v>114315.77</v>
      </c>
      <c r="AG481" s="810"/>
      <c r="AH481" s="791">
        <v>803.43378759855113</v>
      </c>
      <c r="AI481" s="787">
        <v>7.0779424898381607E-3</v>
      </c>
      <c r="AJ481" s="833"/>
      <c r="AK481" s="834"/>
      <c r="AL481" s="788">
        <v>186301.61</v>
      </c>
      <c r="AM481" s="835"/>
      <c r="AN481" s="791">
        <v>-71985.839999999982</v>
      </c>
      <c r="AO481" s="812">
        <v>-0.38639408430233096</v>
      </c>
      <c r="AP481" s="507"/>
      <c r="AQ481" s="507"/>
      <c r="AR481" s="507"/>
      <c r="AS481" s="507"/>
      <c r="AT481" s="507"/>
      <c r="AU481" s="507"/>
      <c r="AV481" s="507"/>
      <c r="AW481" s="507"/>
      <c r="AX481" s="507"/>
      <c r="AY481" s="507"/>
      <c r="AZ481" s="507"/>
      <c r="BA481" s="507"/>
      <c r="BB481" s="507"/>
      <c r="BC481" s="507"/>
      <c r="BD481" s="507"/>
      <c r="BE481" s="507"/>
      <c r="BF481" s="507"/>
      <c r="BG481" s="507"/>
      <c r="BH481" s="507"/>
      <c r="BI481" s="507"/>
      <c r="BJ481" s="507"/>
    </row>
    <row r="482" spans="1:62" ht="6" customHeight="1" thickBot="1">
      <c r="A482" s="523" t="s">
        <v>469</v>
      </c>
      <c r="B482" s="504"/>
      <c r="C482" s="737" t="s">
        <v>227</v>
      </c>
      <c r="D482" s="507"/>
      <c r="E482" s="507"/>
      <c r="F482" s="507"/>
      <c r="G482" s="507"/>
      <c r="H482" s="507"/>
      <c r="I482" s="507"/>
      <c r="J482" s="507"/>
      <c r="K482" s="507"/>
      <c r="L482" s="507"/>
      <c r="M482" s="507"/>
      <c r="N482" s="507"/>
      <c r="O482" s="507"/>
      <c r="P482" s="507"/>
      <c r="Q482" s="507"/>
      <c r="R482" s="507"/>
      <c r="S482" s="507"/>
      <c r="T482" s="507"/>
      <c r="U482" s="507"/>
      <c r="V482" s="836"/>
      <c r="W482" s="837"/>
      <c r="X482" s="837"/>
      <c r="Y482" s="838"/>
      <c r="Z482" s="839"/>
      <c r="AA482" s="837"/>
      <c r="AB482" s="840"/>
      <c r="AC482" s="839"/>
      <c r="AD482" s="837"/>
      <c r="AE482" s="840"/>
      <c r="AF482" s="841"/>
      <c r="AG482" s="842"/>
      <c r="AH482" s="843"/>
      <c r="AI482" s="844"/>
      <c r="AJ482" s="845"/>
      <c r="AK482" s="846"/>
      <c r="AL482" s="841"/>
      <c r="AM482" s="847"/>
      <c r="AN482" s="843">
        <v>0</v>
      </c>
      <c r="AO482" s="848">
        <v>0</v>
      </c>
      <c r="AP482" s="507"/>
      <c r="AQ482" s="507"/>
      <c r="AR482" s="507"/>
      <c r="AS482" s="507"/>
      <c r="AT482" s="507"/>
      <c r="AU482" s="507"/>
      <c r="AV482" s="507"/>
      <c r="AW482" s="507"/>
      <c r="AX482" s="507"/>
      <c r="AY482" s="507"/>
      <c r="AZ482" s="507"/>
      <c r="BA482" s="507"/>
      <c r="BB482" s="507"/>
      <c r="BC482" s="507"/>
      <c r="BD482" s="507"/>
      <c r="BE482" s="507"/>
      <c r="BF482" s="507"/>
      <c r="BG482" s="507"/>
      <c r="BH482" s="507"/>
      <c r="BI482" s="507"/>
      <c r="BJ482" s="507"/>
    </row>
    <row r="483" spans="1:62" ht="15.75" customHeight="1" thickTop="1" thickBot="1">
      <c r="A483" s="523" t="s">
        <v>184</v>
      </c>
      <c r="B483" s="504"/>
      <c r="C483" s="737" t="s">
        <v>227</v>
      </c>
      <c r="D483" s="507"/>
      <c r="E483" s="507"/>
      <c r="F483" s="507"/>
      <c r="G483" s="507"/>
      <c r="H483" s="507"/>
      <c r="I483" s="507"/>
      <c r="J483" s="507"/>
      <c r="K483" s="507"/>
      <c r="L483" s="507"/>
      <c r="M483" s="507"/>
      <c r="N483" s="507"/>
      <c r="O483" s="507"/>
      <c r="P483" s="507"/>
      <c r="Q483" s="507"/>
      <c r="R483" s="507"/>
      <c r="S483" s="507"/>
      <c r="T483" s="507"/>
      <c r="U483" s="507"/>
      <c r="V483" s="849" t="s">
        <v>184</v>
      </c>
      <c r="W483" s="850"/>
      <c r="X483" s="851" t="s">
        <v>185</v>
      </c>
      <c r="Y483" s="852">
        <v>1.3348407892527062E-2</v>
      </c>
      <c r="Z483" s="853">
        <v>48460.640275902639</v>
      </c>
      <c r="AA483" s="851"/>
      <c r="AB483" s="852"/>
      <c r="AC483" s="853"/>
      <c r="AD483" s="851" t="s">
        <v>185</v>
      </c>
      <c r="AE483" s="852">
        <v>1.0115683867243583E-2</v>
      </c>
      <c r="AF483" s="854">
        <v>37315.220000000074</v>
      </c>
      <c r="AG483" s="855"/>
      <c r="AH483" s="855">
        <v>-11145.420275902565</v>
      </c>
      <c r="AI483" s="856">
        <v>-0.22998912545207736</v>
      </c>
      <c r="AJ483" s="857" t="s">
        <v>185</v>
      </c>
      <c r="AK483" s="852">
        <v>9.0728956966248386E-3</v>
      </c>
      <c r="AL483" s="854">
        <v>87229.909999999218</v>
      </c>
      <c r="AM483" s="858"/>
      <c r="AN483" s="854">
        <v>-49914.689999999144</v>
      </c>
      <c r="AO483" s="859">
        <v>-0.57221989567568732</v>
      </c>
      <c r="AP483" s="507"/>
      <c r="AQ483" s="507"/>
      <c r="AR483" s="507"/>
      <c r="AS483" s="507"/>
      <c r="AT483" s="507"/>
      <c r="AU483" s="507"/>
      <c r="AV483" s="507"/>
      <c r="AW483" s="507"/>
      <c r="AX483" s="507"/>
      <c r="AY483" s="507"/>
      <c r="AZ483" s="507"/>
      <c r="BA483" s="507"/>
      <c r="BB483" s="507"/>
      <c r="BC483" s="507"/>
      <c r="BD483" s="507"/>
      <c r="BE483" s="507"/>
      <c r="BF483" s="507"/>
      <c r="BG483" s="507"/>
      <c r="BH483" s="507"/>
      <c r="BI483" s="507"/>
      <c r="BJ483" s="507"/>
    </row>
    <row r="484" spans="1:62" ht="8.25" customHeight="1" thickTop="1">
      <c r="A484" s="523" t="s">
        <v>469</v>
      </c>
      <c r="B484" s="504"/>
      <c r="C484" s="737" t="s">
        <v>227</v>
      </c>
      <c r="D484" s="507"/>
      <c r="E484" s="507"/>
      <c r="F484" s="507"/>
      <c r="G484" s="507"/>
      <c r="H484" s="507"/>
      <c r="I484" s="507"/>
      <c r="J484" s="507"/>
      <c r="K484" s="507"/>
      <c r="L484" s="507"/>
      <c r="M484" s="507"/>
      <c r="N484" s="507"/>
      <c r="O484" s="507"/>
      <c r="P484" s="507"/>
      <c r="Q484" s="507"/>
      <c r="R484" s="507"/>
      <c r="S484" s="507"/>
      <c r="T484" s="507"/>
      <c r="U484" s="507"/>
      <c r="V484" s="496"/>
      <c r="W484" s="496"/>
      <c r="X484" s="496"/>
      <c r="Y484" s="496"/>
      <c r="Z484" s="573"/>
      <c r="AA484" s="510"/>
      <c r="AB484" s="510"/>
      <c r="AC484" s="573"/>
      <c r="AD484" s="510"/>
      <c r="AE484" s="510"/>
      <c r="AF484" s="860"/>
      <c r="AG484" s="510"/>
      <c r="AH484" s="510"/>
      <c r="AI484" s="510"/>
      <c r="AJ484" s="510"/>
      <c r="AK484" s="510"/>
      <c r="AL484" s="573"/>
      <c r="AM484" s="510"/>
      <c r="AN484" s="510"/>
      <c r="AO484" s="510"/>
      <c r="AP484" s="507"/>
      <c r="AQ484" s="507"/>
      <c r="AR484" s="507"/>
      <c r="AS484" s="507"/>
      <c r="AT484" s="507"/>
      <c r="AU484" s="507"/>
      <c r="AV484" s="507"/>
      <c r="AW484" s="507"/>
      <c r="AX484" s="507"/>
      <c r="AY484" s="507"/>
      <c r="AZ484" s="507"/>
      <c r="BA484" s="507"/>
      <c r="BB484" s="507"/>
      <c r="BC484" s="507"/>
      <c r="BD484" s="507"/>
      <c r="BE484" s="507"/>
      <c r="BF484" s="507"/>
      <c r="BG484" s="507"/>
      <c r="BH484" s="507"/>
      <c r="BI484" s="507"/>
      <c r="BJ484" s="507"/>
    </row>
    <row r="485" spans="1:62" ht="18" customHeight="1">
      <c r="A485" s="523" t="s">
        <v>478</v>
      </c>
      <c r="B485" s="504"/>
      <c r="C485" s="737" t="s">
        <v>227</v>
      </c>
      <c r="D485" s="507"/>
      <c r="E485" s="507"/>
      <c r="F485" s="507"/>
      <c r="G485" s="507"/>
      <c r="H485" s="507"/>
      <c r="I485" s="507"/>
      <c r="J485" s="507"/>
      <c r="K485" s="507"/>
      <c r="L485" s="507"/>
      <c r="M485" s="507"/>
      <c r="N485" s="507"/>
      <c r="O485" s="507"/>
      <c r="P485" s="507"/>
      <c r="Q485" s="507"/>
      <c r="R485" s="507"/>
      <c r="S485" s="507"/>
      <c r="T485" s="507"/>
      <c r="U485" s="507"/>
      <c r="V485" s="861" t="s">
        <v>478</v>
      </c>
      <c r="W485" s="861"/>
      <c r="X485" s="861"/>
      <c r="Y485" s="861"/>
      <c r="Z485" s="861"/>
      <c r="AA485" s="861"/>
      <c r="AB485" s="861"/>
      <c r="AC485" s="861"/>
      <c r="AD485" s="861"/>
      <c r="AE485" s="862" t="s">
        <v>186</v>
      </c>
      <c r="AF485" s="861"/>
      <c r="AG485" s="861"/>
      <c r="AH485" s="861"/>
      <c r="AI485" s="861"/>
      <c r="AJ485" s="863"/>
      <c r="AK485" s="864"/>
      <c r="AL485" s="861"/>
      <c r="AM485" s="861"/>
      <c r="AN485" s="861"/>
      <c r="AO485" s="865" t="s">
        <v>480</v>
      </c>
      <c r="AP485" s="507"/>
      <c r="AQ485" s="507"/>
      <c r="AR485" s="507"/>
      <c r="AS485" s="507"/>
      <c r="AT485" s="507"/>
      <c r="AU485" s="507"/>
      <c r="AV485" s="507"/>
      <c r="AW485" s="507"/>
      <c r="AX485" s="507"/>
      <c r="AY485" s="507"/>
      <c r="AZ485" s="507"/>
      <c r="BA485" s="507"/>
      <c r="BB485" s="507"/>
      <c r="BC485" s="507"/>
      <c r="BD485" s="507"/>
      <c r="BE485" s="507"/>
      <c r="BF485" s="507"/>
      <c r="BG485" s="507"/>
      <c r="BH485" s="507"/>
      <c r="BI485" s="507"/>
      <c r="BJ485" s="507"/>
    </row>
    <row r="486" spans="1:62" ht="19.5" customHeight="1">
      <c r="A486" s="523" t="s">
        <v>469</v>
      </c>
      <c r="B486" s="504"/>
      <c r="C486" s="737" t="s">
        <v>227</v>
      </c>
      <c r="D486" s="507"/>
      <c r="E486" s="507"/>
      <c r="F486" s="507"/>
      <c r="G486" s="507"/>
      <c r="H486" s="507"/>
      <c r="I486" s="507"/>
      <c r="J486" s="507"/>
      <c r="K486" s="507"/>
      <c r="L486" s="507"/>
      <c r="M486" s="507"/>
      <c r="N486" s="507"/>
      <c r="O486" s="507"/>
      <c r="P486" s="507"/>
      <c r="Q486" s="507"/>
      <c r="R486" s="507"/>
      <c r="S486" s="507"/>
      <c r="T486" s="507"/>
      <c r="U486" s="507"/>
      <c r="V486" s="496"/>
      <c r="W486" s="496"/>
      <c r="X486" s="496"/>
      <c r="Y486" s="496"/>
      <c r="Z486" s="573"/>
      <c r="AA486" s="510"/>
      <c r="AB486" s="510"/>
      <c r="AC486" s="573"/>
      <c r="AD486" s="510"/>
      <c r="AE486" s="510"/>
      <c r="AF486" s="860"/>
      <c r="AG486" s="510"/>
      <c r="AH486" s="510"/>
      <c r="AI486" s="510"/>
      <c r="AJ486" s="510"/>
      <c r="AK486" s="510"/>
      <c r="AL486" s="573"/>
      <c r="AM486" s="510"/>
      <c r="AN486" s="510"/>
      <c r="AO486" s="510"/>
      <c r="AP486" s="507"/>
      <c r="AQ486" s="507"/>
      <c r="AR486" s="507"/>
      <c r="AS486" s="507"/>
      <c r="AT486" s="507"/>
      <c r="AU486" s="507"/>
      <c r="AV486" s="507"/>
      <c r="AW486" s="507"/>
      <c r="AX486" s="507"/>
      <c r="AY486" s="507"/>
      <c r="AZ486" s="507"/>
      <c r="BA486" s="507"/>
      <c r="BB486" s="507"/>
      <c r="BC486" s="507"/>
      <c r="BD486" s="507"/>
      <c r="BE486" s="507"/>
      <c r="BF486" s="507"/>
      <c r="BG486" s="507"/>
      <c r="BH486" s="507"/>
      <c r="BI486" s="507"/>
      <c r="BJ486" s="507"/>
    </row>
    <row r="487" spans="1:62" ht="19.5" customHeight="1" thickBot="1">
      <c r="A487" s="523" t="s">
        <v>469</v>
      </c>
      <c r="B487" s="504"/>
      <c r="C487" s="737" t="s">
        <v>227</v>
      </c>
      <c r="D487" s="507"/>
      <c r="E487" s="507"/>
      <c r="F487" s="507"/>
      <c r="G487" s="507"/>
      <c r="H487" s="507"/>
      <c r="I487" s="507"/>
      <c r="J487" s="507"/>
      <c r="K487" s="507"/>
      <c r="L487" s="507"/>
      <c r="M487" s="507"/>
      <c r="N487" s="507"/>
      <c r="O487" s="507"/>
      <c r="P487" s="507"/>
      <c r="Q487" s="507"/>
      <c r="R487" s="507"/>
      <c r="S487" s="507"/>
      <c r="T487" s="507"/>
      <c r="U487" s="507"/>
      <c r="V487" s="496"/>
      <c r="W487" s="496"/>
      <c r="X487" s="496"/>
      <c r="Y487" s="496"/>
      <c r="Z487" s="573"/>
      <c r="AA487" s="510"/>
      <c r="AB487" s="510"/>
      <c r="AC487" s="573"/>
      <c r="AD487" s="510"/>
      <c r="AE487" s="510"/>
      <c r="AF487" s="860"/>
      <c r="AG487" s="510"/>
      <c r="AH487" s="510"/>
      <c r="AI487" s="510"/>
      <c r="AJ487" s="510"/>
      <c r="AK487" s="510"/>
      <c r="AL487" s="573"/>
      <c r="AM487" s="510"/>
      <c r="AN487" s="510"/>
      <c r="AO487" s="510"/>
      <c r="AP487" s="507"/>
      <c r="AQ487" s="507"/>
      <c r="AR487" s="507"/>
      <c r="AS487" s="507"/>
      <c r="AT487" s="507"/>
      <c r="AU487" s="507"/>
      <c r="AV487" s="507"/>
      <c r="AW487" s="507"/>
      <c r="AX487" s="507"/>
      <c r="AY487" s="507"/>
      <c r="AZ487" s="507"/>
      <c r="BA487" s="507"/>
      <c r="BB487" s="507"/>
      <c r="BC487" s="507"/>
      <c r="BD487" s="507"/>
      <c r="BE487" s="507"/>
      <c r="BF487" s="507"/>
      <c r="BG487" s="507"/>
      <c r="BH487" s="507"/>
      <c r="BI487" s="507"/>
      <c r="BJ487" s="507"/>
    </row>
    <row r="488" spans="1:62" ht="19.5" customHeight="1" thickTop="1" thickBot="1">
      <c r="A488" s="523" t="s">
        <v>469</v>
      </c>
      <c r="B488" s="504"/>
      <c r="C488" s="737" t="s">
        <v>227</v>
      </c>
      <c r="D488" s="507"/>
      <c r="E488" s="507"/>
      <c r="F488" s="507"/>
      <c r="G488" s="507"/>
      <c r="H488" s="507"/>
      <c r="I488" s="507"/>
      <c r="J488" s="507"/>
      <c r="K488" s="507"/>
      <c r="L488" s="507"/>
      <c r="M488" s="507"/>
      <c r="N488" s="507"/>
      <c r="O488" s="507"/>
      <c r="P488" s="507"/>
      <c r="Q488" s="507"/>
      <c r="R488" s="507"/>
      <c r="S488" s="507"/>
      <c r="T488" s="507"/>
      <c r="U488" s="507"/>
      <c r="V488" s="849" t="s">
        <v>215</v>
      </c>
      <c r="W488" s="850"/>
      <c r="X488" s="851" t="s">
        <v>185</v>
      </c>
      <c r="Y488" s="852">
        <v>1.8394282157001677E-2</v>
      </c>
      <c r="Z488" s="854">
        <v>66779.401552671392</v>
      </c>
      <c r="AA488" s="851"/>
      <c r="AB488" s="852"/>
      <c r="AC488" s="853"/>
      <c r="AD488" s="851" t="s">
        <v>185</v>
      </c>
      <c r="AE488" s="852">
        <v>9.8136139510959404E-3</v>
      </c>
      <c r="AF488" s="854">
        <v>36200.930000000073</v>
      </c>
      <c r="AG488" s="855"/>
      <c r="AH488" s="855">
        <v>-30578.471552671319</v>
      </c>
      <c r="AI488" s="856">
        <v>-0.45790274907679346</v>
      </c>
      <c r="AJ488" s="851" t="s">
        <v>185</v>
      </c>
      <c r="AK488" s="852">
        <v>1.0902452254068478E-2</v>
      </c>
      <c r="AL488" s="854">
        <v>104819.88999999921</v>
      </c>
      <c r="AM488" s="858"/>
      <c r="AN488" s="854">
        <v>-68618.959999999148</v>
      </c>
      <c r="AO488" s="866">
        <v>-0.65463682512927335</v>
      </c>
      <c r="AP488" s="507"/>
      <c r="AQ488" s="507"/>
      <c r="AR488" s="507"/>
      <c r="AS488" s="507"/>
      <c r="AT488" s="507"/>
      <c r="AU488" s="507"/>
      <c r="AV488" s="507"/>
      <c r="AW488" s="507"/>
      <c r="AX488" s="507"/>
      <c r="AY488" s="507"/>
      <c r="AZ488" s="507"/>
      <c r="BA488" s="507"/>
      <c r="BB488" s="507"/>
      <c r="BC488" s="507"/>
      <c r="BD488" s="507"/>
      <c r="BE488" s="507"/>
      <c r="BF488" s="507"/>
      <c r="BG488" s="507"/>
      <c r="BH488" s="507"/>
      <c r="BI488" s="507"/>
      <c r="BJ488" s="507"/>
    </row>
    <row r="489" spans="1:62" ht="18.600000000000001" hidden="1" thickTop="1" thickBot="1">
      <c r="A489" s="523" t="s">
        <v>184</v>
      </c>
      <c r="B489" s="504"/>
      <c r="C489" s="737" t="s">
        <v>227</v>
      </c>
      <c r="D489" s="507"/>
      <c r="E489" s="507"/>
      <c r="F489" s="507"/>
      <c r="G489" s="507"/>
      <c r="H489" s="507"/>
      <c r="I489" s="507"/>
      <c r="J489" s="507"/>
      <c r="K489" s="507"/>
      <c r="L489" s="507"/>
      <c r="M489" s="507"/>
      <c r="N489" s="507"/>
      <c r="O489" s="507"/>
      <c r="P489" s="507"/>
      <c r="Q489" s="507"/>
      <c r="R489" s="507"/>
      <c r="S489" s="507"/>
      <c r="T489" s="507"/>
      <c r="U489" s="507"/>
      <c r="V489" s="849" t="s">
        <v>184</v>
      </c>
      <c r="W489" s="850"/>
      <c r="X489" s="851" t="s">
        <v>185</v>
      </c>
      <c r="Y489" s="852">
        <v>1.3348407892527062E-2</v>
      </c>
      <c r="Z489" s="853">
        <v>48460.640275902639</v>
      </c>
      <c r="AA489" s="851"/>
      <c r="AB489" s="852"/>
      <c r="AC489" s="853"/>
      <c r="AD489" s="851" t="s">
        <v>185</v>
      </c>
      <c r="AE489" s="852">
        <v>1.0115683867243583E-2</v>
      </c>
      <c r="AF489" s="853">
        <v>37315.220000000074</v>
      </c>
      <c r="AG489" s="854"/>
      <c r="AH489" s="855">
        <v>-11145.420275902565</v>
      </c>
      <c r="AI489" s="856">
        <v>-0.22998912545207736</v>
      </c>
      <c r="AJ489" s="851" t="s">
        <v>185</v>
      </c>
      <c r="AK489" s="852">
        <v>9.0728956966248386E-3</v>
      </c>
      <c r="AL489" s="867">
        <v>87229.909999999218</v>
      </c>
      <c r="AM489" s="868"/>
      <c r="AN489" s="869">
        <v>-49914.689999999144</v>
      </c>
      <c r="AO489" s="870">
        <v>-0.57221989567568732</v>
      </c>
      <c r="AP489" s="507"/>
      <c r="AQ489" s="507"/>
      <c r="AR489" s="507"/>
      <c r="AS489" s="507"/>
      <c r="AT489" s="507"/>
      <c r="AU489" s="507"/>
      <c r="AV489" s="507"/>
      <c r="AW489" s="507"/>
      <c r="AX489" s="507"/>
      <c r="AY489" s="507"/>
      <c r="AZ489" s="507"/>
      <c r="BA489" s="507"/>
      <c r="BB489" s="507"/>
      <c r="BC489" s="507"/>
      <c r="BD489" s="507"/>
      <c r="BE489" s="507"/>
      <c r="BF489" s="507"/>
      <c r="BG489" s="507"/>
      <c r="BH489" s="507"/>
      <c r="BI489" s="507"/>
      <c r="BJ489" s="507"/>
    </row>
    <row r="490" spans="1:62" ht="15.75" customHeight="1" thickTop="1">
      <c r="A490" s="523" t="s">
        <v>469</v>
      </c>
      <c r="B490" s="504"/>
      <c r="C490" s="737" t="s">
        <v>227</v>
      </c>
      <c r="D490" s="507"/>
      <c r="E490" s="507"/>
      <c r="F490" s="657"/>
      <c r="G490" s="507"/>
      <c r="H490" s="507"/>
      <c r="I490" s="657"/>
      <c r="J490" s="507"/>
      <c r="K490" s="507"/>
      <c r="L490" s="507"/>
      <c r="M490" s="657"/>
      <c r="N490" s="507"/>
      <c r="O490" s="507"/>
      <c r="P490" s="507"/>
      <c r="Q490" s="657"/>
      <c r="R490" s="657"/>
      <c r="S490" s="657"/>
      <c r="T490" s="816"/>
      <c r="U490" s="816"/>
      <c r="V490" s="871"/>
      <c r="W490" s="507"/>
      <c r="X490" s="507"/>
      <c r="Y490" s="507"/>
      <c r="Z490" s="872"/>
      <c r="AA490" s="507"/>
      <c r="AB490" s="507"/>
      <c r="AC490" s="873"/>
      <c r="AD490" s="507"/>
      <c r="AE490" s="507"/>
      <c r="AF490" s="873"/>
      <c r="AG490" s="507"/>
      <c r="AH490" s="507"/>
      <c r="AI490" s="873"/>
      <c r="AJ490" s="507"/>
      <c r="AK490" s="507"/>
      <c r="AL490" s="874"/>
      <c r="AM490" s="875"/>
      <c r="AN490" s="507"/>
      <c r="AO490" s="876"/>
      <c r="AP490" s="507"/>
      <c r="AQ490" s="507"/>
      <c r="AR490" s="507"/>
      <c r="AS490" s="507"/>
      <c r="AT490" s="507"/>
      <c r="AU490" s="507"/>
      <c r="AV490" s="507"/>
      <c r="AW490" s="507"/>
      <c r="AX490" s="507"/>
      <c r="AY490" s="507"/>
      <c r="AZ490" s="507"/>
      <c r="BA490" s="507"/>
      <c r="BB490" s="507"/>
      <c r="BC490" s="507"/>
      <c r="BD490" s="507"/>
      <c r="BE490" s="507"/>
      <c r="BF490" s="507"/>
      <c r="BG490" s="507"/>
      <c r="BH490" s="507"/>
      <c r="BI490" s="507"/>
      <c r="BJ490" s="507"/>
    </row>
    <row r="491" spans="1:62" ht="15.75" customHeight="1">
      <c r="A491" s="523" t="s">
        <v>187</v>
      </c>
      <c r="B491" s="504"/>
      <c r="C491" s="737" t="s">
        <v>227</v>
      </c>
      <c r="D491" s="507"/>
      <c r="E491" s="507"/>
      <c r="F491" s="507"/>
      <c r="G491" s="507"/>
      <c r="H491" s="507"/>
      <c r="I491" s="507"/>
      <c r="J491" s="507"/>
      <c r="K491" s="507"/>
      <c r="L491" s="507"/>
      <c r="M491" s="507"/>
      <c r="N491" s="507"/>
      <c r="O491" s="507"/>
      <c r="P491" s="507"/>
      <c r="Q491" s="507"/>
      <c r="R491" s="507"/>
      <c r="S491" s="507"/>
      <c r="T491" s="507"/>
      <c r="U491" s="507"/>
      <c r="V491" s="600" t="s">
        <v>187</v>
      </c>
      <c r="W491" s="775"/>
      <c r="X491" s="768"/>
      <c r="Y491" s="776"/>
      <c r="Z491" s="769">
        <v>34648.333333333328</v>
      </c>
      <c r="AA491" s="768"/>
      <c r="AB491" s="776"/>
      <c r="AC491" s="769"/>
      <c r="AD491" s="768"/>
      <c r="AE491" s="776"/>
      <c r="AF491" s="769">
        <v>45225.760000000009</v>
      </c>
      <c r="AG491" s="768"/>
      <c r="AH491" s="771">
        <v>10577.426666666681</v>
      </c>
      <c r="AI491" s="795">
        <v>0.30527952282457116</v>
      </c>
      <c r="AJ491" s="768"/>
      <c r="AK491" s="768"/>
      <c r="AL491" s="769">
        <v>4314.5</v>
      </c>
      <c r="AM491" s="773"/>
      <c r="AN491" s="771">
        <v>40911.260000000009</v>
      </c>
      <c r="AO491" s="779">
        <v>9.4822714103604149</v>
      </c>
      <c r="AP491" s="507"/>
      <c r="AQ491" s="507"/>
      <c r="AR491" s="507"/>
      <c r="AS491" s="507"/>
      <c r="AT491" s="507"/>
      <c r="AU491" s="507"/>
      <c r="AV491" s="507"/>
      <c r="AW491" s="507"/>
      <c r="AX491" s="507"/>
      <c r="AY491" s="507"/>
      <c r="AZ491" s="507"/>
      <c r="BA491" s="507"/>
      <c r="BB491" s="507"/>
      <c r="BC491" s="507"/>
      <c r="BD491" s="507"/>
      <c r="BE491" s="507"/>
      <c r="BF491" s="507"/>
      <c r="BG491" s="507"/>
      <c r="BH491" s="507"/>
      <c r="BI491" s="507"/>
      <c r="BJ491" s="507"/>
    </row>
    <row r="492" spans="1:62" ht="15.75" customHeight="1">
      <c r="A492" s="523" t="s">
        <v>188</v>
      </c>
      <c r="B492" s="504"/>
      <c r="C492" s="737" t="s">
        <v>227</v>
      </c>
      <c r="D492" s="507"/>
      <c r="E492" s="507"/>
      <c r="F492" s="657"/>
      <c r="G492" s="507"/>
      <c r="H492" s="507"/>
      <c r="I492" s="657"/>
      <c r="J492" s="507"/>
      <c r="K492" s="507"/>
      <c r="L492" s="507"/>
      <c r="M492" s="657"/>
      <c r="N492" s="507"/>
      <c r="O492" s="507"/>
      <c r="P492" s="507"/>
      <c r="Q492" s="657"/>
      <c r="R492" s="657"/>
      <c r="S492" s="657"/>
      <c r="T492" s="507"/>
      <c r="U492" s="507"/>
      <c r="V492" s="600" t="s">
        <v>188</v>
      </c>
      <c r="W492" s="507"/>
      <c r="X492" s="507"/>
      <c r="Y492" s="507"/>
      <c r="Z492" s="769">
        <v>0</v>
      </c>
      <c r="AA492" s="507"/>
      <c r="AB492" s="507"/>
      <c r="AC492" s="769"/>
      <c r="AD492" s="507"/>
      <c r="AE492" s="510"/>
      <c r="AF492" s="769">
        <v>0</v>
      </c>
      <c r="AG492" s="507"/>
      <c r="AH492" s="771">
        <v>0</v>
      </c>
      <c r="AI492" s="795">
        <v>0</v>
      </c>
      <c r="AJ492" s="507"/>
      <c r="AK492" s="507"/>
      <c r="AL492" s="769">
        <v>0</v>
      </c>
      <c r="AM492" s="875"/>
      <c r="AN492" s="771">
        <v>0</v>
      </c>
      <c r="AO492" s="779">
        <v>0</v>
      </c>
      <c r="AP492" s="507"/>
      <c r="AQ492" s="507"/>
      <c r="AR492" s="507"/>
      <c r="AS492" s="507"/>
      <c r="AT492" s="507"/>
      <c r="AU492" s="507"/>
      <c r="AV492" s="507"/>
      <c r="AW492" s="507"/>
      <c r="AX492" s="507"/>
      <c r="AY492" s="507"/>
      <c r="AZ492" s="507"/>
      <c r="BA492" s="507"/>
      <c r="BB492" s="507"/>
      <c r="BC492" s="507"/>
      <c r="BD492" s="507"/>
      <c r="BE492" s="507"/>
      <c r="BF492" s="507"/>
      <c r="BG492" s="507"/>
      <c r="BH492" s="507"/>
      <c r="BI492" s="507"/>
      <c r="BJ492" s="507"/>
    </row>
    <row r="493" spans="1:62" ht="15.75" customHeight="1">
      <c r="A493" s="523" t="s">
        <v>189</v>
      </c>
      <c r="B493" s="504"/>
      <c r="C493" s="737" t="s">
        <v>227</v>
      </c>
      <c r="D493" s="507"/>
      <c r="E493" s="507"/>
      <c r="F493" s="657"/>
      <c r="G493" s="507"/>
      <c r="H493" s="507"/>
      <c r="I493" s="657"/>
      <c r="J493" s="507"/>
      <c r="K493" s="507"/>
      <c r="L493" s="507"/>
      <c r="M493" s="657"/>
      <c r="N493" s="507"/>
      <c r="O493" s="507"/>
      <c r="P493" s="507"/>
      <c r="Q493" s="657"/>
      <c r="R493" s="657"/>
      <c r="S493" s="657"/>
      <c r="T493" s="507"/>
      <c r="U493" s="507"/>
      <c r="V493" s="600" t="s">
        <v>189</v>
      </c>
      <c r="W493" s="510"/>
      <c r="X493" s="510"/>
      <c r="Y493" s="510"/>
      <c r="Z493" s="769">
        <v>0</v>
      </c>
      <c r="AA493" s="507"/>
      <c r="AB493" s="507"/>
      <c r="AC493" s="769"/>
      <c r="AD493" s="507"/>
      <c r="AE493" s="510"/>
      <c r="AF493" s="769">
        <v>0</v>
      </c>
      <c r="AG493" s="507"/>
      <c r="AH493" s="771">
        <v>0</v>
      </c>
      <c r="AI493" s="795">
        <v>0</v>
      </c>
      <c r="AJ493" s="507"/>
      <c r="AK493" s="507"/>
      <c r="AL493" s="769">
        <v>-2098.77</v>
      </c>
      <c r="AM493" s="875"/>
      <c r="AN493" s="771">
        <v>2098.77</v>
      </c>
      <c r="AO493" s="779">
        <v>-1</v>
      </c>
      <c r="AP493" s="507"/>
      <c r="AQ493" s="507"/>
      <c r="AR493" s="507"/>
      <c r="AS493" s="507"/>
      <c r="AT493" s="507"/>
      <c r="AU493" s="507"/>
      <c r="AV493" s="507"/>
      <c r="AW493" s="507"/>
      <c r="AX493" s="507"/>
      <c r="AY493" s="507"/>
      <c r="AZ493" s="507"/>
      <c r="BA493" s="507"/>
      <c r="BB493" s="507"/>
      <c r="BC493" s="507"/>
      <c r="BD493" s="507"/>
      <c r="BE493" s="507"/>
      <c r="BF493" s="507"/>
      <c r="BG493" s="507"/>
      <c r="BH493" s="507"/>
      <c r="BI493" s="507"/>
      <c r="BJ493" s="507"/>
    </row>
    <row r="494" spans="1:62" ht="15.75" customHeight="1">
      <c r="A494" s="523" t="s">
        <v>190</v>
      </c>
      <c r="B494" s="504"/>
      <c r="C494" s="737" t="s">
        <v>227</v>
      </c>
      <c r="D494" s="507"/>
      <c r="E494" s="507"/>
      <c r="F494" s="657"/>
      <c r="G494" s="507"/>
      <c r="H494" s="507"/>
      <c r="I494" s="657"/>
      <c r="J494" s="507"/>
      <c r="K494" s="507"/>
      <c r="L494" s="507"/>
      <c r="M494" s="657"/>
      <c r="N494" s="507"/>
      <c r="O494" s="507"/>
      <c r="P494" s="507"/>
      <c r="Q494" s="657"/>
      <c r="R494" s="657"/>
      <c r="S494" s="657"/>
      <c r="T494" s="507"/>
      <c r="U494" s="507"/>
      <c r="V494" s="600" t="s">
        <v>190</v>
      </c>
      <c r="W494" s="510"/>
      <c r="X494" s="510"/>
      <c r="Y494" s="510"/>
      <c r="Z494" s="769">
        <v>0</v>
      </c>
      <c r="AA494" s="507"/>
      <c r="AB494" s="507"/>
      <c r="AC494" s="769"/>
      <c r="AD494" s="507"/>
      <c r="AE494" s="510"/>
      <c r="AF494" s="769">
        <v>0</v>
      </c>
      <c r="AG494" s="507"/>
      <c r="AH494" s="771">
        <v>0</v>
      </c>
      <c r="AI494" s="795">
        <v>0</v>
      </c>
      <c r="AJ494" s="507"/>
      <c r="AK494" s="507"/>
      <c r="AL494" s="769">
        <v>0</v>
      </c>
      <c r="AM494" s="875"/>
      <c r="AN494" s="771">
        <v>0</v>
      </c>
      <c r="AO494" s="779">
        <v>0</v>
      </c>
      <c r="AP494" s="507"/>
      <c r="AQ494" s="507"/>
      <c r="AR494" s="507"/>
      <c r="AS494" s="507"/>
      <c r="AT494" s="507"/>
      <c r="AU494" s="507"/>
      <c r="AV494" s="507"/>
      <c r="AW494" s="507"/>
      <c r="AX494" s="507"/>
      <c r="AY494" s="507"/>
      <c r="AZ494" s="507"/>
      <c r="BA494" s="507"/>
      <c r="BB494" s="507"/>
      <c r="BC494" s="507"/>
      <c r="BD494" s="507"/>
      <c r="BE494" s="507"/>
      <c r="BF494" s="507"/>
      <c r="BG494" s="507"/>
      <c r="BH494" s="507"/>
      <c r="BI494" s="507"/>
      <c r="BJ494" s="507"/>
    </row>
    <row r="495" spans="1:62" ht="15.75" hidden="1" customHeight="1">
      <c r="A495" s="523" t="s">
        <v>20</v>
      </c>
      <c r="B495" s="504"/>
      <c r="C495" s="737" t="s">
        <v>227</v>
      </c>
      <c r="D495" s="507"/>
      <c r="E495" s="507"/>
      <c r="F495" s="657"/>
      <c r="G495" s="507"/>
      <c r="H495" s="507"/>
      <c r="I495" s="657"/>
      <c r="J495" s="507"/>
      <c r="K495" s="507"/>
      <c r="L495" s="507"/>
      <c r="M495" s="657"/>
      <c r="N495" s="507"/>
      <c r="O495" s="507"/>
      <c r="P495" s="507"/>
      <c r="Q495" s="657"/>
      <c r="R495" s="657"/>
      <c r="S495" s="657"/>
      <c r="T495" s="507"/>
      <c r="U495" s="507"/>
      <c r="V495" s="600" t="s">
        <v>20</v>
      </c>
      <c r="W495" s="510"/>
      <c r="X495" s="510"/>
      <c r="Y495" s="510"/>
      <c r="Z495" s="769">
        <v>0</v>
      </c>
      <c r="AA495" s="768"/>
      <c r="AB495" s="768"/>
      <c r="AC495" s="769"/>
      <c r="AD495" s="777"/>
      <c r="AE495" s="776"/>
      <c r="AF495" s="769">
        <v>0</v>
      </c>
      <c r="AG495" s="770"/>
      <c r="AH495" s="771">
        <v>0</v>
      </c>
      <c r="AI495" s="772">
        <v>0</v>
      </c>
      <c r="AJ495" s="777"/>
      <c r="AK495" s="768"/>
      <c r="AL495" s="769">
        <v>0</v>
      </c>
      <c r="AM495" s="875"/>
      <c r="AN495" s="771">
        <v>0</v>
      </c>
      <c r="AO495" s="779">
        <v>0</v>
      </c>
      <c r="AP495" s="507"/>
      <c r="AQ495" s="507"/>
      <c r="AR495" s="507"/>
      <c r="AS495" s="507"/>
      <c r="AT495" s="507"/>
      <c r="AU495" s="507"/>
      <c r="AV495" s="507"/>
      <c r="AW495" s="507"/>
      <c r="AX495" s="507"/>
      <c r="AY495" s="507"/>
      <c r="AZ495" s="507"/>
      <c r="BA495" s="507"/>
      <c r="BB495" s="507"/>
      <c r="BC495" s="507"/>
      <c r="BD495" s="507"/>
      <c r="BE495" s="507"/>
      <c r="BF495" s="507"/>
      <c r="BG495" s="507"/>
      <c r="BH495" s="507"/>
      <c r="BI495" s="507"/>
      <c r="BJ495" s="507"/>
    </row>
    <row r="496" spans="1:62" ht="15.75" customHeight="1" thickBot="1">
      <c r="A496" s="600" t="s">
        <v>216</v>
      </c>
      <c r="B496" s="504"/>
      <c r="C496" s="737" t="s">
        <v>227</v>
      </c>
      <c r="D496" s="507"/>
      <c r="E496" s="507"/>
      <c r="F496" s="657"/>
      <c r="G496" s="507"/>
      <c r="H496" s="507"/>
      <c r="I496" s="657"/>
      <c r="J496" s="507"/>
      <c r="K496" s="507"/>
      <c r="L496" s="507"/>
      <c r="M496" s="657"/>
      <c r="N496" s="507"/>
      <c r="O496" s="507"/>
      <c r="P496" s="507"/>
      <c r="Q496" s="657"/>
      <c r="R496" s="657"/>
      <c r="S496" s="657"/>
      <c r="T496" s="507"/>
      <c r="U496" s="507"/>
      <c r="V496" s="600" t="s">
        <v>216</v>
      </c>
      <c r="W496" s="510"/>
      <c r="X496" s="510"/>
      <c r="Y496" s="510"/>
      <c r="Z496" s="769">
        <v>-4666.666666666667</v>
      </c>
      <c r="AA496" s="768"/>
      <c r="AB496" s="768"/>
      <c r="AC496" s="769"/>
      <c r="AD496" s="777"/>
      <c r="AE496" s="776"/>
      <c r="AF496" s="769">
        <v>-1207.6500000000001</v>
      </c>
      <c r="AG496" s="770"/>
      <c r="AH496" s="771">
        <v>3459.0166666666669</v>
      </c>
      <c r="AI496" s="772">
        <v>-0.74121785714285715</v>
      </c>
      <c r="AJ496" s="777"/>
      <c r="AK496" s="768"/>
      <c r="AL496" s="769">
        <v>0</v>
      </c>
      <c r="AM496" s="875"/>
      <c r="AN496" s="771">
        <v>-1207.6500000000001</v>
      </c>
      <c r="AO496" s="779">
        <v>0</v>
      </c>
      <c r="AP496" s="507"/>
      <c r="AQ496" s="507"/>
      <c r="AR496" s="507"/>
      <c r="AS496" s="507"/>
      <c r="AT496" s="507"/>
      <c r="AU496" s="507"/>
      <c r="AV496" s="507"/>
      <c r="AW496" s="507"/>
      <c r="AX496" s="507"/>
      <c r="AY496" s="507"/>
      <c r="AZ496" s="507"/>
      <c r="BA496" s="507"/>
      <c r="BB496" s="507"/>
      <c r="BC496" s="507"/>
      <c r="BD496" s="507"/>
      <c r="BE496" s="507"/>
      <c r="BF496" s="507"/>
      <c r="BG496" s="507"/>
      <c r="BH496" s="507"/>
      <c r="BI496" s="507"/>
      <c r="BJ496" s="507"/>
    </row>
    <row r="497" spans="1:62" ht="15.75" hidden="1" customHeight="1">
      <c r="A497" s="523" t="s">
        <v>20</v>
      </c>
      <c r="B497" s="504"/>
      <c r="C497" s="737" t="s">
        <v>227</v>
      </c>
      <c r="D497" s="507"/>
      <c r="E497" s="507"/>
      <c r="F497" s="657"/>
      <c r="G497" s="507"/>
      <c r="H497" s="507"/>
      <c r="I497" s="657"/>
      <c r="J497" s="507"/>
      <c r="K497" s="507"/>
      <c r="L497" s="507"/>
      <c r="M497" s="657"/>
      <c r="N497" s="507"/>
      <c r="O497" s="507"/>
      <c r="P497" s="507"/>
      <c r="Q497" s="657"/>
      <c r="R497" s="657"/>
      <c r="S497" s="657"/>
      <c r="T497" s="507"/>
      <c r="U497" s="507"/>
      <c r="V497" s="600" t="s">
        <v>20</v>
      </c>
      <c r="W497" s="510"/>
      <c r="X497" s="507"/>
      <c r="Y497" s="510"/>
      <c r="Z497" s="769">
        <v>0</v>
      </c>
      <c r="AA497" s="768"/>
      <c r="AB497" s="768"/>
      <c r="AC497" s="769"/>
      <c r="AD497" s="777"/>
      <c r="AE497" s="776"/>
      <c r="AF497" s="769">
        <v>0</v>
      </c>
      <c r="AG497" s="770"/>
      <c r="AH497" s="771">
        <v>0</v>
      </c>
      <c r="AI497" s="772">
        <v>0</v>
      </c>
      <c r="AJ497" s="777"/>
      <c r="AK497" s="768"/>
      <c r="AL497" s="769">
        <v>0</v>
      </c>
      <c r="AM497" s="875"/>
      <c r="AN497" s="771">
        <v>0</v>
      </c>
      <c r="AO497" s="779">
        <v>0</v>
      </c>
      <c r="AP497" s="507"/>
      <c r="AQ497" s="507"/>
      <c r="AR497" s="507"/>
      <c r="AS497" s="507"/>
      <c r="AT497" s="507"/>
      <c r="AU497" s="507"/>
      <c r="AV497" s="507"/>
      <c r="AW497" s="507"/>
      <c r="AX497" s="507"/>
      <c r="AY497" s="507"/>
      <c r="AZ497" s="507"/>
      <c r="BA497" s="507"/>
      <c r="BB497" s="507"/>
      <c r="BC497" s="507"/>
      <c r="BD497" s="507"/>
      <c r="BE497" s="507"/>
      <c r="BF497" s="507"/>
      <c r="BG497" s="507"/>
      <c r="BH497" s="507"/>
      <c r="BI497" s="507"/>
      <c r="BJ497" s="507"/>
    </row>
    <row r="498" spans="1:62" ht="15.75" customHeight="1" thickTop="1" thickBot="1">
      <c r="A498" s="523" t="s">
        <v>191</v>
      </c>
      <c r="B498" s="504"/>
      <c r="C498" s="737" t="s">
        <v>227</v>
      </c>
      <c r="D498" s="507"/>
      <c r="E498" s="507"/>
      <c r="F498" s="657"/>
      <c r="G498" s="507"/>
      <c r="H498" s="507"/>
      <c r="I498" s="657"/>
      <c r="J498" s="507"/>
      <c r="K498" s="507"/>
      <c r="L498" s="507"/>
      <c r="M498" s="657"/>
      <c r="N498" s="507"/>
      <c r="O498" s="507"/>
      <c r="P498" s="507"/>
      <c r="Q498" s="657"/>
      <c r="R498" s="657"/>
      <c r="S498" s="657"/>
      <c r="T498" s="507"/>
      <c r="U498" s="507"/>
      <c r="V498" s="849" t="s">
        <v>191</v>
      </c>
      <c r="W498" s="850"/>
      <c r="X498" s="851" t="s">
        <v>185</v>
      </c>
      <c r="Y498" s="852">
        <v>5.0900045019417646E-3</v>
      </c>
      <c r="Z498" s="853">
        <v>18478.973609235978</v>
      </c>
      <c r="AA498" s="851"/>
      <c r="AB498" s="852"/>
      <c r="AC498" s="853"/>
      <c r="AD498" s="851" t="s">
        <v>185</v>
      </c>
      <c r="AE498" s="852">
        <v>-1.8170686448293098E-3</v>
      </c>
      <c r="AF498" s="854">
        <v>-6702.8899999999358</v>
      </c>
      <c r="AG498" s="855"/>
      <c r="AH498" s="855">
        <v>-25181.863609235916</v>
      </c>
      <c r="AI498" s="856">
        <v>-1.3627306441224509</v>
      </c>
      <c r="AJ498" s="857" t="s">
        <v>185</v>
      </c>
      <c r="AK498" s="852">
        <v>8.8424347551669981E-3</v>
      </c>
      <c r="AL498" s="854">
        <v>85014.179999999222</v>
      </c>
      <c r="AM498" s="858"/>
      <c r="AN498" s="854">
        <v>-91717.069999999163</v>
      </c>
      <c r="AO498" s="866">
        <v>-1.0788443763146336</v>
      </c>
      <c r="AP498" s="507"/>
      <c r="AQ498" s="507"/>
      <c r="AR498" s="507"/>
      <c r="AS498" s="507"/>
      <c r="AT498" s="507"/>
      <c r="AU498" s="507"/>
      <c r="AV498" s="507"/>
      <c r="AW498" s="507"/>
      <c r="AX498" s="507"/>
      <c r="AY498" s="507"/>
      <c r="AZ498" s="507"/>
      <c r="BA498" s="507"/>
      <c r="BB498" s="507"/>
      <c r="BC498" s="507"/>
      <c r="BD498" s="507"/>
      <c r="BE498" s="507"/>
      <c r="BF498" s="507"/>
      <c r="BG498" s="507"/>
      <c r="BH498" s="507"/>
      <c r="BI498" s="507"/>
      <c r="BJ498" s="507"/>
    </row>
    <row r="499" spans="1:62" ht="15.75" customHeight="1" thickTop="1">
      <c r="A499" s="523" t="s">
        <v>469</v>
      </c>
      <c r="B499" s="504"/>
      <c r="C499" s="507"/>
      <c r="D499" s="507"/>
      <c r="E499" s="507"/>
      <c r="F499" s="657"/>
      <c r="G499" s="507"/>
      <c r="H499" s="507"/>
      <c r="I499" s="657"/>
      <c r="J499" s="507"/>
      <c r="K499" s="507"/>
      <c r="L499" s="507"/>
      <c r="M499" s="657"/>
      <c r="N499" s="507"/>
      <c r="O499" s="507"/>
      <c r="P499" s="507"/>
      <c r="Q499" s="657"/>
      <c r="R499" s="657"/>
      <c r="S499" s="657"/>
      <c r="T499" s="507"/>
      <c r="U499" s="507"/>
      <c r="AP499" s="507"/>
      <c r="AQ499" s="507"/>
      <c r="AR499" s="507"/>
      <c r="AS499" s="507"/>
      <c r="AT499" s="507"/>
      <c r="AU499" s="507"/>
      <c r="AV499" s="507"/>
      <c r="AW499" s="507"/>
      <c r="AX499" s="507"/>
      <c r="AY499" s="507"/>
      <c r="AZ499" s="507"/>
      <c r="BA499" s="507"/>
      <c r="BB499" s="507"/>
      <c r="BC499" s="507"/>
      <c r="BD499" s="507"/>
      <c r="BE499" s="507"/>
      <c r="BF499" s="507"/>
      <c r="BG499" s="507"/>
      <c r="BH499" s="507"/>
      <c r="BI499" s="507"/>
      <c r="BJ499" s="507"/>
    </row>
    <row r="500" spans="1:62" ht="15.75" customHeight="1">
      <c r="B500" s="504"/>
      <c r="T500" s="507"/>
      <c r="U500" s="507"/>
      <c r="V500" s="507"/>
      <c r="W500" s="507"/>
      <c r="X500" s="507"/>
      <c r="Y500" s="507"/>
      <c r="Z500" s="657"/>
      <c r="AA500" s="507"/>
      <c r="AB500" s="507"/>
      <c r="AC500" s="657"/>
      <c r="AE500" s="877" t="s">
        <v>479</v>
      </c>
      <c r="AF500" s="877">
        <v>103209</v>
      </c>
      <c r="AG500" s="507"/>
      <c r="AH500" s="507"/>
      <c r="AI500" s="507"/>
      <c r="AJ500" s="878"/>
      <c r="AK500" s="879"/>
      <c r="AL500" s="880"/>
      <c r="AM500" s="507"/>
      <c r="AN500" s="507"/>
      <c r="AO500" s="507"/>
      <c r="AP500" s="507"/>
      <c r="AQ500" s="507"/>
      <c r="AR500" s="507"/>
      <c r="AS500" s="507"/>
      <c r="AT500" s="507"/>
      <c r="AU500" s="507"/>
      <c r="AV500" s="507"/>
      <c r="AW500" s="507"/>
      <c r="AX500" s="507"/>
      <c r="AY500" s="507"/>
      <c r="AZ500" s="507"/>
      <c r="BA500" s="507"/>
      <c r="BB500" s="507"/>
      <c r="BC500" s="507"/>
      <c r="BD500" s="507"/>
      <c r="BE500" s="507"/>
      <c r="BF500" s="507"/>
      <c r="BG500" s="507"/>
      <c r="BH500" s="507"/>
      <c r="BI500" s="507"/>
      <c r="BJ500" s="507"/>
    </row>
    <row r="501" spans="1:62" ht="15.75" customHeight="1">
      <c r="B501" s="504"/>
      <c r="C501" s="507"/>
      <c r="S501" s="657"/>
      <c r="W501" s="507"/>
      <c r="X501" s="507"/>
      <c r="Y501" s="507"/>
      <c r="Z501" s="657"/>
      <c r="AA501" s="507"/>
      <c r="AB501" s="507"/>
      <c r="AC501" s="657"/>
      <c r="AD501" s="507"/>
      <c r="AE501" s="507"/>
      <c r="AF501" s="877"/>
      <c r="AG501" s="507"/>
      <c r="AH501" s="507"/>
      <c r="AI501" s="507"/>
      <c r="AJ501" s="507"/>
      <c r="AL501" s="880"/>
      <c r="AM501" s="507"/>
      <c r="AN501" s="507"/>
      <c r="AO501" s="507"/>
      <c r="AP501" s="507"/>
      <c r="AQ501" s="507"/>
      <c r="AR501" s="507"/>
      <c r="AS501" s="507"/>
      <c r="AT501" s="507"/>
      <c r="AU501" s="507"/>
      <c r="AV501" s="507"/>
      <c r="AW501" s="507"/>
      <c r="AX501" s="507"/>
      <c r="AY501" s="507"/>
      <c r="AZ501" s="507"/>
      <c r="BA501" s="507"/>
      <c r="BB501" s="507"/>
      <c r="BC501" s="507"/>
      <c r="BD501" s="507"/>
      <c r="BE501" s="507"/>
      <c r="BF501" s="507"/>
      <c r="BG501" s="507"/>
      <c r="BH501" s="507"/>
      <c r="BI501" s="507"/>
      <c r="BJ501" s="507"/>
    </row>
    <row r="502" spans="1:62" ht="15.75" customHeight="1">
      <c r="B502" s="504"/>
      <c r="C502" s="768"/>
      <c r="W502" s="507"/>
      <c r="X502" s="507"/>
      <c r="Y502" s="507"/>
      <c r="AE502" s="507"/>
      <c r="AM502" s="507"/>
      <c r="AN502" s="507"/>
      <c r="AO502" s="507"/>
      <c r="AP502" s="507"/>
      <c r="AQ502" s="507"/>
      <c r="AR502" s="507"/>
      <c r="AS502" s="507"/>
      <c r="AT502" s="507"/>
      <c r="AU502" s="507"/>
      <c r="AV502" s="507"/>
      <c r="AW502" s="507"/>
      <c r="AX502" s="507"/>
      <c r="AY502" s="507"/>
      <c r="AZ502" s="507"/>
      <c r="BA502" s="507"/>
      <c r="BB502" s="507"/>
      <c r="BC502" s="507"/>
      <c r="BD502" s="507"/>
      <c r="BE502" s="507"/>
      <c r="BF502" s="507"/>
      <c r="BG502" s="507"/>
      <c r="BH502" s="507"/>
      <c r="BI502" s="507"/>
      <c r="BJ502" s="507"/>
    </row>
    <row r="503" spans="1:62" ht="15.75" customHeight="1">
      <c r="B503" s="504"/>
      <c r="C503" s="768"/>
      <c r="W503" s="507"/>
      <c r="X503" s="507"/>
      <c r="Y503" s="507"/>
      <c r="Z503" s="507"/>
      <c r="AA503" s="507"/>
      <c r="AB503" s="507"/>
      <c r="AC503" s="507"/>
      <c r="AD503" s="507"/>
      <c r="AE503" s="657"/>
      <c r="AG503" s="507"/>
      <c r="AH503" s="507"/>
      <c r="AI503" s="507"/>
      <c r="AJ503" s="881"/>
      <c r="AK503" s="879"/>
      <c r="AL503" s="880"/>
      <c r="AM503" s="507"/>
      <c r="AN503" s="507"/>
      <c r="AO503" s="507"/>
      <c r="AP503" s="507"/>
      <c r="AQ503" s="507"/>
      <c r="AR503" s="507"/>
      <c r="AS503" s="507"/>
      <c r="AT503" s="507"/>
      <c r="AU503" s="507"/>
      <c r="AV503" s="507"/>
      <c r="AW503" s="507"/>
      <c r="AX503" s="507"/>
      <c r="AY503" s="507"/>
      <c r="AZ503" s="507"/>
      <c r="BA503" s="507"/>
      <c r="BB503" s="507"/>
      <c r="BC503" s="507"/>
      <c r="BD503" s="507"/>
      <c r="BE503" s="507"/>
      <c r="BF503" s="507"/>
      <c r="BG503" s="507"/>
      <c r="BH503" s="507"/>
      <c r="BI503" s="507"/>
      <c r="BJ503" s="507"/>
    </row>
    <row r="504" spans="1:62" ht="15.75" customHeight="1">
      <c r="B504" s="504"/>
      <c r="C504" s="768"/>
      <c r="W504" s="507"/>
      <c r="X504" s="507"/>
      <c r="Y504" s="507"/>
      <c r="Z504" s="507"/>
      <c r="AA504" s="507"/>
      <c r="AB504" s="507"/>
      <c r="AC504" s="507"/>
      <c r="AD504" s="507"/>
      <c r="AE504" s="507"/>
      <c r="AG504" s="507"/>
      <c r="AH504" s="507"/>
      <c r="AI504" s="507"/>
      <c r="AJ504" s="507"/>
      <c r="AK504" s="507"/>
      <c r="AL504" s="507"/>
      <c r="AM504" s="507"/>
      <c r="AN504" s="507"/>
      <c r="AO504" s="507"/>
      <c r="AP504" s="507"/>
      <c r="AQ504" s="507"/>
      <c r="AR504" s="507"/>
      <c r="AS504" s="507"/>
      <c r="AT504" s="507"/>
      <c r="AU504" s="507"/>
      <c r="AV504" s="507"/>
      <c r="AW504" s="507"/>
      <c r="AX504" s="507"/>
      <c r="AY504" s="507"/>
      <c r="AZ504" s="507"/>
      <c r="BA504" s="507"/>
      <c r="BB504" s="507"/>
      <c r="BC504" s="507"/>
      <c r="BD504" s="507"/>
      <c r="BE504" s="507"/>
      <c r="BF504" s="507"/>
      <c r="BG504" s="507"/>
      <c r="BH504" s="507"/>
      <c r="BI504" s="507"/>
      <c r="BJ504" s="507"/>
    </row>
    <row r="505" spans="1:62" ht="15.75" customHeight="1">
      <c r="B505" s="504"/>
      <c r="C505" s="768"/>
      <c r="W505" s="507"/>
      <c r="X505" s="507"/>
      <c r="Y505" s="507"/>
      <c r="Z505" s="507"/>
      <c r="AA505" s="507"/>
      <c r="AB505" s="507"/>
      <c r="AC505" s="507"/>
      <c r="AD505" s="507"/>
      <c r="AE505" s="507"/>
      <c r="AG505" s="507"/>
      <c r="AH505" s="507"/>
      <c r="AI505" s="507"/>
      <c r="AJ505" s="507"/>
      <c r="AK505" s="507"/>
      <c r="AL505" s="507"/>
      <c r="AM505" s="507"/>
      <c r="AN505" s="507"/>
      <c r="AO505" s="507"/>
      <c r="AP505" s="507"/>
      <c r="AQ505" s="507"/>
      <c r="AR505" s="507"/>
      <c r="AS505" s="507"/>
      <c r="AT505" s="507"/>
      <c r="AU505" s="507"/>
      <c r="AV505" s="507"/>
      <c r="AW505" s="507"/>
      <c r="AX505" s="507"/>
      <c r="AY505" s="507"/>
      <c r="AZ505" s="507"/>
      <c r="BA505" s="507"/>
      <c r="BB505" s="507"/>
      <c r="BC505" s="507"/>
      <c r="BD505" s="507"/>
      <c r="BE505" s="507"/>
      <c r="BF505" s="507"/>
      <c r="BG505" s="507"/>
      <c r="BH505" s="507"/>
      <c r="BI505" s="507"/>
      <c r="BJ505" s="507"/>
    </row>
    <row r="506" spans="1:62" ht="15.75" customHeight="1">
      <c r="B506" s="504"/>
      <c r="C506" s="768"/>
      <c r="W506" s="507"/>
      <c r="X506" s="507"/>
      <c r="Y506" s="507"/>
      <c r="Z506" s="507"/>
      <c r="AA506" s="507"/>
      <c r="AB506" s="507"/>
      <c r="AC506" s="507"/>
      <c r="AD506" s="507"/>
      <c r="AE506" s="507"/>
      <c r="AG506" s="507"/>
      <c r="AH506" s="507"/>
      <c r="AI506" s="507"/>
      <c r="AJ506" s="507"/>
      <c r="AK506" s="507"/>
      <c r="AL506" s="507"/>
      <c r="AM506" s="507"/>
      <c r="AN506" s="507"/>
      <c r="AO506" s="507"/>
      <c r="AP506" s="507"/>
      <c r="AQ506" s="507"/>
      <c r="AR506" s="507"/>
      <c r="AS506" s="507"/>
      <c r="AT506" s="507"/>
      <c r="AU506" s="507"/>
      <c r="AV506" s="507"/>
      <c r="AW506" s="507"/>
      <c r="AX506" s="507"/>
      <c r="AY506" s="507"/>
      <c r="AZ506" s="507"/>
      <c r="BA506" s="507"/>
      <c r="BB506" s="507"/>
      <c r="BC506" s="507"/>
      <c r="BD506" s="507"/>
      <c r="BE506" s="507"/>
      <c r="BF506" s="507"/>
      <c r="BG506" s="507"/>
      <c r="BH506" s="507"/>
      <c r="BI506" s="507"/>
      <c r="BJ506" s="507"/>
    </row>
    <row r="507" spans="1:62" ht="15.75" customHeight="1">
      <c r="B507" s="504"/>
      <c r="C507" s="768"/>
      <c r="W507" s="507"/>
      <c r="X507" s="507"/>
      <c r="Y507" s="507"/>
      <c r="Z507" s="507"/>
      <c r="AA507" s="507"/>
      <c r="AB507" s="507"/>
      <c r="AC507" s="507"/>
      <c r="AD507" s="507"/>
      <c r="AE507" s="507"/>
      <c r="AG507" s="507"/>
      <c r="AH507" s="507"/>
      <c r="AI507" s="507"/>
      <c r="AJ507" s="507"/>
      <c r="AK507" s="507"/>
      <c r="AL507" s="507"/>
      <c r="AM507" s="507"/>
      <c r="AN507" s="507"/>
      <c r="AO507" s="507"/>
      <c r="AP507" s="507"/>
      <c r="AQ507" s="507"/>
      <c r="AR507" s="507"/>
      <c r="AS507" s="507"/>
      <c r="AT507" s="507"/>
      <c r="AU507" s="507"/>
      <c r="AV507" s="507"/>
      <c r="AW507" s="507"/>
      <c r="AX507" s="507"/>
      <c r="AY507" s="507"/>
      <c r="AZ507" s="507"/>
      <c r="BA507" s="507"/>
      <c r="BB507" s="507"/>
      <c r="BC507" s="507"/>
      <c r="BD507" s="507"/>
      <c r="BE507" s="507"/>
      <c r="BF507" s="507"/>
      <c r="BG507" s="507"/>
      <c r="BH507" s="507"/>
      <c r="BI507" s="507"/>
      <c r="BJ507" s="507"/>
    </row>
    <row r="508" spans="1:62" ht="15.75" customHeight="1">
      <c r="B508" s="504"/>
      <c r="C508" s="768"/>
      <c r="W508" s="507"/>
      <c r="X508" s="507"/>
      <c r="Y508" s="507"/>
      <c r="Z508" s="507"/>
      <c r="AA508" s="507"/>
      <c r="AB508" s="507"/>
      <c r="AC508" s="507"/>
      <c r="AD508" s="507"/>
      <c r="AE508" s="507"/>
      <c r="AG508" s="507"/>
      <c r="AH508" s="507"/>
      <c r="AI508" s="507"/>
      <c r="AJ508" s="507"/>
      <c r="AK508" s="507"/>
      <c r="AL508" s="507"/>
      <c r="AM508" s="507"/>
      <c r="AN508" s="507"/>
      <c r="AO508" s="507"/>
      <c r="AP508" s="507"/>
      <c r="AQ508" s="507"/>
      <c r="AR508" s="507"/>
      <c r="AS508" s="507"/>
      <c r="AT508" s="507"/>
      <c r="AU508" s="507"/>
      <c r="AV508" s="507"/>
      <c r="AW508" s="507"/>
      <c r="AX508" s="507"/>
      <c r="AY508" s="507"/>
      <c r="AZ508" s="507"/>
      <c r="BA508" s="507"/>
      <c r="BB508" s="507"/>
      <c r="BC508" s="507"/>
      <c r="BD508" s="507"/>
      <c r="BE508" s="507"/>
      <c r="BF508" s="507"/>
      <c r="BG508" s="507"/>
      <c r="BH508" s="507"/>
      <c r="BI508" s="507"/>
      <c r="BJ508" s="507"/>
    </row>
    <row r="509" spans="1:62" ht="15.75" customHeight="1">
      <c r="B509" s="504"/>
      <c r="C509" s="768"/>
      <c r="W509" s="507"/>
      <c r="X509" s="507"/>
      <c r="Y509" s="507"/>
      <c r="Z509" s="507"/>
      <c r="AA509" s="507"/>
      <c r="AB509" s="507"/>
      <c r="AC509" s="507"/>
      <c r="AD509" s="507"/>
      <c r="AE509" s="507"/>
      <c r="AG509" s="507"/>
      <c r="AH509" s="507"/>
      <c r="AI509" s="507"/>
      <c r="AJ509" s="507"/>
      <c r="AK509" s="507"/>
      <c r="AL509" s="507"/>
      <c r="AM509" s="507"/>
      <c r="AN509" s="507"/>
      <c r="AO509" s="507"/>
      <c r="AP509" s="507"/>
      <c r="AQ509" s="507"/>
      <c r="AR509" s="507"/>
      <c r="AS509" s="507"/>
      <c r="AT509" s="507"/>
      <c r="AU509" s="507"/>
      <c r="AV509" s="507"/>
      <c r="AW509" s="507"/>
      <c r="AX509" s="507"/>
      <c r="AY509" s="507"/>
      <c r="AZ509" s="507"/>
      <c r="BA509" s="507"/>
      <c r="BB509" s="507"/>
      <c r="BC509" s="507"/>
      <c r="BD509" s="507"/>
      <c r="BE509" s="507"/>
      <c r="BF509" s="507"/>
      <c r="BG509" s="507"/>
      <c r="BH509" s="507"/>
      <c r="BI509" s="507"/>
      <c r="BJ509" s="507"/>
    </row>
    <row r="510" spans="1:62" ht="15.75" customHeight="1">
      <c r="B510" s="504"/>
      <c r="C510" s="768"/>
      <c r="W510" s="507"/>
      <c r="X510" s="507"/>
      <c r="Y510" s="507"/>
      <c r="Z510" s="507"/>
      <c r="AA510" s="507"/>
      <c r="AB510" s="507"/>
      <c r="AC510" s="507"/>
      <c r="AD510" s="507"/>
      <c r="AE510" s="507"/>
      <c r="AG510" s="507"/>
      <c r="AH510" s="507"/>
      <c r="AI510" s="507"/>
      <c r="AJ510" s="507"/>
      <c r="AK510" s="507"/>
      <c r="AL510" s="507"/>
      <c r="AM510" s="507"/>
      <c r="AN510" s="507"/>
      <c r="AO510" s="507"/>
      <c r="AP510" s="507"/>
      <c r="AQ510" s="507"/>
      <c r="AR510" s="507"/>
      <c r="AS510" s="507"/>
      <c r="AT510" s="507"/>
      <c r="AU510" s="507"/>
      <c r="AV510" s="507"/>
      <c r="AW510" s="507"/>
      <c r="AX510" s="507"/>
      <c r="AY510" s="507"/>
      <c r="AZ510" s="507"/>
      <c r="BA510" s="507"/>
      <c r="BB510" s="507"/>
      <c r="BC510" s="507"/>
      <c r="BD510" s="507"/>
      <c r="BE510" s="507"/>
      <c r="BF510" s="507"/>
      <c r="BG510" s="507"/>
      <c r="BH510" s="507"/>
      <c r="BI510" s="507"/>
      <c r="BJ510" s="507"/>
    </row>
    <row r="511" spans="1:62" ht="15.75" customHeight="1">
      <c r="B511" s="504"/>
      <c r="C511" s="768"/>
      <c r="W511" s="507"/>
      <c r="X511" s="507"/>
      <c r="Y511" s="507"/>
      <c r="Z511" s="507"/>
      <c r="AA511" s="507"/>
      <c r="AB511" s="507"/>
      <c r="AC511" s="507"/>
      <c r="AD511" s="507"/>
      <c r="AE511" s="507"/>
      <c r="AF511" s="877"/>
      <c r="AG511" s="507"/>
      <c r="AH511" s="507"/>
      <c r="AI511" s="507"/>
      <c r="AJ511" s="507"/>
      <c r="AK511" s="507"/>
      <c r="AL511" s="507"/>
      <c r="AM511" s="507"/>
      <c r="AN511" s="507"/>
      <c r="AO511" s="507"/>
      <c r="AP511" s="507"/>
      <c r="AQ511" s="507"/>
      <c r="AR511" s="507"/>
      <c r="AS511" s="507"/>
      <c r="AT511" s="507"/>
      <c r="AU511" s="507"/>
      <c r="AV511" s="507"/>
      <c r="AW511" s="507"/>
      <c r="AX511" s="507"/>
      <c r="AY511" s="507"/>
      <c r="AZ511" s="507"/>
      <c r="BA511" s="507"/>
      <c r="BB511" s="507"/>
      <c r="BC511" s="507"/>
      <c r="BD511" s="507"/>
      <c r="BE511" s="507"/>
      <c r="BF511" s="507"/>
      <c r="BG511" s="507"/>
      <c r="BH511" s="507"/>
      <c r="BI511" s="507"/>
      <c r="BJ511" s="507"/>
    </row>
    <row r="512" spans="1:62" ht="15.75" customHeight="1">
      <c r="B512" s="504"/>
      <c r="C512" s="768"/>
      <c r="W512" s="507"/>
      <c r="X512" s="507"/>
      <c r="Y512" s="507"/>
      <c r="Z512" s="507"/>
      <c r="AA512" s="507"/>
      <c r="AB512" s="507"/>
      <c r="AC512" s="507"/>
      <c r="AD512" s="507"/>
      <c r="AE512" s="507"/>
      <c r="AF512" s="882"/>
      <c r="AG512" s="507"/>
      <c r="AH512" s="507"/>
      <c r="AI512" s="507"/>
      <c r="AJ512" s="507"/>
      <c r="AK512" s="507"/>
      <c r="AL512" s="507"/>
      <c r="AM512" s="507"/>
      <c r="AN512" s="507"/>
      <c r="AO512" s="507"/>
      <c r="AP512" s="507"/>
      <c r="AQ512" s="507"/>
      <c r="AR512" s="507"/>
      <c r="AS512" s="507"/>
      <c r="AT512" s="507"/>
      <c r="AU512" s="507"/>
      <c r="AV512" s="507"/>
      <c r="AW512" s="507"/>
      <c r="AX512" s="507"/>
      <c r="AY512" s="507"/>
      <c r="AZ512" s="507"/>
      <c r="BA512" s="507"/>
      <c r="BB512" s="507"/>
      <c r="BC512" s="507"/>
      <c r="BD512" s="507"/>
      <c r="BE512" s="507"/>
      <c r="BF512" s="507"/>
      <c r="BG512" s="507"/>
      <c r="BH512" s="507"/>
      <c r="BI512" s="507"/>
      <c r="BJ512" s="507"/>
    </row>
    <row r="513" spans="2:62" ht="15.75" customHeight="1">
      <c r="B513" s="504"/>
      <c r="C513" s="768"/>
      <c r="W513" s="507"/>
      <c r="X513" s="507"/>
      <c r="Y513" s="507"/>
      <c r="Z513" s="507"/>
      <c r="AA513" s="507"/>
      <c r="AB513" s="507"/>
      <c r="AC513" s="507"/>
      <c r="AD513" s="507"/>
      <c r="AE513" s="507"/>
      <c r="AF513" s="882"/>
      <c r="AG513" s="507"/>
      <c r="AH513" s="507"/>
      <c r="AI513" s="507"/>
      <c r="AJ513" s="507"/>
      <c r="AK513" s="507"/>
      <c r="AL513" s="507"/>
      <c r="AM513" s="507"/>
      <c r="AN513" s="507"/>
      <c r="AO513" s="507"/>
      <c r="AP513" s="507"/>
      <c r="AQ513" s="507"/>
      <c r="AR513" s="507"/>
      <c r="AS513" s="507"/>
      <c r="AT513" s="507"/>
      <c r="AU513" s="507"/>
      <c r="AV513" s="507"/>
      <c r="AW513" s="507"/>
      <c r="AX513" s="507"/>
      <c r="AY513" s="507"/>
      <c r="AZ513" s="507"/>
      <c r="BA513" s="507"/>
      <c r="BB513" s="507"/>
      <c r="BC513" s="507"/>
      <c r="BD513" s="507"/>
      <c r="BE513" s="507"/>
      <c r="BF513" s="507"/>
      <c r="BG513" s="507"/>
      <c r="BH513" s="507"/>
      <c r="BI513" s="507"/>
      <c r="BJ513" s="507"/>
    </row>
    <row r="514" spans="2:62" ht="15.75" customHeight="1">
      <c r="B514" s="504"/>
      <c r="C514" s="768"/>
      <c r="W514" s="507"/>
      <c r="X514" s="507"/>
      <c r="Y514" s="507"/>
      <c r="Z514" s="507"/>
      <c r="AA514" s="507"/>
      <c r="AB514" s="507"/>
      <c r="AC514" s="507"/>
      <c r="AD514" s="507"/>
      <c r="AE514" s="507"/>
      <c r="AF514" s="882"/>
      <c r="AG514" s="507"/>
      <c r="AH514" s="507"/>
      <c r="AI514" s="507"/>
      <c r="AJ514" s="507"/>
      <c r="AK514" s="507"/>
      <c r="AL514" s="507"/>
      <c r="AM514" s="507"/>
      <c r="AN514" s="507"/>
      <c r="AO514" s="507"/>
      <c r="AP514" s="507"/>
      <c r="AQ514" s="507"/>
      <c r="AR514" s="507"/>
      <c r="AS514" s="507"/>
      <c r="AT514" s="507"/>
      <c r="AU514" s="507"/>
      <c r="AV514" s="507"/>
      <c r="AW514" s="507"/>
      <c r="AX514" s="507"/>
      <c r="AY514" s="507"/>
      <c r="AZ514" s="507"/>
      <c r="BA514" s="507"/>
      <c r="BB514" s="507"/>
      <c r="BC514" s="507"/>
      <c r="BD514" s="507"/>
      <c r="BE514" s="507"/>
      <c r="BF514" s="507"/>
      <c r="BG514" s="507"/>
      <c r="BH514" s="507"/>
      <c r="BI514" s="507"/>
      <c r="BJ514" s="507"/>
    </row>
    <row r="515" spans="2:62" ht="15.75" customHeight="1">
      <c r="B515" s="504"/>
      <c r="C515" s="768"/>
      <c r="W515" s="507"/>
      <c r="X515" s="507"/>
      <c r="Y515" s="507"/>
      <c r="Z515" s="507"/>
      <c r="AA515" s="507"/>
      <c r="AB515" s="507"/>
      <c r="AC515" s="507"/>
      <c r="AD515" s="507"/>
      <c r="AE515" s="507"/>
      <c r="AF515" s="507"/>
      <c r="AG515" s="507"/>
      <c r="AH515" s="507"/>
      <c r="AI515" s="507"/>
      <c r="AJ515" s="507"/>
      <c r="AK515" s="507"/>
      <c r="AL515" s="507"/>
      <c r="AM515" s="507"/>
      <c r="AN515" s="507"/>
      <c r="AO515" s="507"/>
      <c r="AP515" s="507"/>
      <c r="AQ515" s="507"/>
      <c r="AR515" s="507"/>
      <c r="AS515" s="507"/>
      <c r="AT515" s="507"/>
      <c r="AU515" s="507"/>
      <c r="AV515" s="507"/>
      <c r="AW515" s="507"/>
      <c r="AX515" s="507"/>
      <c r="AY515" s="507"/>
      <c r="AZ515" s="507"/>
      <c r="BA515" s="507"/>
      <c r="BB515" s="507"/>
      <c r="BC515" s="507"/>
      <c r="BD515" s="507"/>
      <c r="BE515" s="507"/>
      <c r="BF515" s="507"/>
      <c r="BG515" s="507"/>
      <c r="BH515" s="507"/>
      <c r="BI515" s="507"/>
      <c r="BJ515" s="507"/>
    </row>
    <row r="516" spans="2:62" ht="15.75" customHeight="1">
      <c r="B516" s="504"/>
      <c r="W516" s="507"/>
      <c r="X516" s="507"/>
      <c r="Y516" s="507"/>
      <c r="Z516" s="507"/>
      <c r="AA516" s="507"/>
      <c r="AB516" s="507"/>
      <c r="AC516" s="507"/>
      <c r="AD516" s="507"/>
      <c r="AE516" s="507"/>
      <c r="AF516" s="507"/>
      <c r="AG516" s="507"/>
      <c r="AH516" s="507"/>
      <c r="AI516" s="507"/>
      <c r="AJ516" s="507"/>
      <c r="AK516" s="507"/>
      <c r="AL516" s="507"/>
      <c r="AM516" s="507"/>
      <c r="AN516" s="507"/>
      <c r="AO516" s="507"/>
      <c r="AP516" s="507"/>
      <c r="AQ516" s="507"/>
      <c r="AR516" s="507"/>
      <c r="AS516" s="507"/>
      <c r="AT516" s="507"/>
      <c r="AU516" s="507"/>
      <c r="AV516" s="507"/>
      <c r="AW516" s="507"/>
      <c r="AX516" s="507"/>
      <c r="AY516" s="507"/>
      <c r="AZ516" s="507"/>
      <c r="BA516" s="507"/>
      <c r="BB516" s="507"/>
      <c r="BC516" s="507"/>
      <c r="BD516" s="507"/>
      <c r="BE516" s="507"/>
      <c r="BF516" s="507"/>
      <c r="BG516" s="507"/>
      <c r="BH516" s="507"/>
      <c r="BI516" s="507"/>
      <c r="BJ516" s="507"/>
    </row>
    <row r="517" spans="2:62" ht="15.75" customHeight="1">
      <c r="B517" s="504"/>
      <c r="W517" s="507"/>
      <c r="X517" s="507"/>
      <c r="Y517" s="507"/>
      <c r="Z517" s="507"/>
      <c r="AA517" s="507"/>
      <c r="AB517" s="507"/>
      <c r="AC517" s="507"/>
      <c r="AD517" s="507"/>
      <c r="AE517" s="507"/>
      <c r="AF517" s="507"/>
      <c r="AG517" s="507"/>
      <c r="AH517" s="507"/>
      <c r="AI517" s="507"/>
      <c r="AJ517" s="507"/>
      <c r="AK517" s="507"/>
      <c r="AL517" s="507"/>
      <c r="AM517" s="507"/>
      <c r="AN517" s="507"/>
      <c r="AO517" s="507"/>
      <c r="AP517" s="507"/>
      <c r="AQ517" s="507"/>
      <c r="AR517" s="507"/>
      <c r="AS517" s="507"/>
      <c r="AT517" s="507"/>
      <c r="AU517" s="507"/>
      <c r="AV517" s="507"/>
      <c r="AW517" s="507"/>
      <c r="AX517" s="507"/>
      <c r="AY517" s="507"/>
      <c r="AZ517" s="507"/>
      <c r="BA517" s="507"/>
      <c r="BB517" s="507"/>
      <c r="BC517" s="507"/>
      <c r="BD517" s="507"/>
      <c r="BE517" s="507"/>
      <c r="BF517" s="507"/>
      <c r="BG517" s="507"/>
      <c r="BH517" s="507"/>
      <c r="BI517" s="507"/>
      <c r="BJ517" s="507"/>
    </row>
    <row r="518" spans="2:62" ht="15.75" customHeight="1">
      <c r="B518" s="504"/>
      <c r="W518" s="507"/>
      <c r="X518" s="507"/>
      <c r="Y518" s="507"/>
      <c r="Z518" s="507"/>
      <c r="AA518" s="507"/>
      <c r="AB518" s="507"/>
      <c r="AC518" s="507"/>
      <c r="AD518" s="507"/>
      <c r="AE518" s="507"/>
      <c r="AF518" s="507"/>
      <c r="AG518" s="507"/>
      <c r="AH518" s="507"/>
      <c r="AI518" s="507"/>
      <c r="AJ518" s="507"/>
      <c r="AK518" s="507"/>
      <c r="AL518" s="507"/>
      <c r="AM518" s="507"/>
      <c r="AN518" s="507"/>
      <c r="AO518" s="507"/>
      <c r="AP518" s="507"/>
      <c r="AQ518" s="507"/>
      <c r="AR518" s="507"/>
      <c r="AS518" s="507"/>
      <c r="AT518" s="507"/>
      <c r="AU518" s="507"/>
      <c r="AV518" s="507"/>
      <c r="AW518" s="507"/>
      <c r="AX518" s="507"/>
      <c r="AY518" s="507"/>
      <c r="AZ518" s="507"/>
      <c r="BA518" s="507"/>
      <c r="BB518" s="507"/>
      <c r="BC518" s="507"/>
      <c r="BD518" s="507"/>
      <c r="BE518" s="507"/>
      <c r="BF518" s="507"/>
      <c r="BG518" s="507"/>
      <c r="BH518" s="507"/>
      <c r="BI518" s="507"/>
      <c r="BJ518" s="507"/>
    </row>
    <row r="519" spans="2:62" ht="15.75" customHeight="1">
      <c r="B519" s="504"/>
      <c r="W519" s="507"/>
      <c r="X519" s="507"/>
      <c r="Y519" s="507"/>
      <c r="Z519" s="507"/>
      <c r="AA519" s="507"/>
      <c r="AB519" s="507"/>
      <c r="AC519" s="507"/>
      <c r="AD519" s="507"/>
      <c r="AE519" s="507"/>
      <c r="AF519" s="507"/>
      <c r="AG519" s="507"/>
      <c r="AH519" s="507"/>
      <c r="AI519" s="507"/>
      <c r="AJ519" s="507"/>
      <c r="AK519" s="507"/>
      <c r="AL519" s="507"/>
      <c r="AM519" s="507"/>
      <c r="AN519" s="507"/>
      <c r="AO519" s="507"/>
      <c r="AP519" s="507"/>
      <c r="AQ519" s="507"/>
      <c r="AR519" s="507"/>
      <c r="AS519" s="507"/>
      <c r="AT519" s="507"/>
      <c r="AU519" s="507"/>
      <c r="AV519" s="507"/>
      <c r="AW519" s="507"/>
      <c r="AX519" s="507"/>
      <c r="AY519" s="507"/>
      <c r="AZ519" s="507"/>
      <c r="BA519" s="507"/>
      <c r="BB519" s="507"/>
      <c r="BC519" s="507"/>
      <c r="BD519" s="507"/>
      <c r="BE519" s="507"/>
      <c r="BF519" s="507"/>
      <c r="BG519" s="507"/>
      <c r="BH519" s="507"/>
      <c r="BI519" s="507"/>
      <c r="BJ519" s="507"/>
    </row>
    <row r="520" spans="2:62" ht="15.75" customHeight="1">
      <c r="B520" s="504"/>
      <c r="W520" s="507"/>
      <c r="X520" s="507"/>
      <c r="Y520" s="507"/>
      <c r="Z520" s="507"/>
      <c r="AA520" s="507"/>
      <c r="AB520" s="507"/>
      <c r="AC520" s="507"/>
      <c r="AD520" s="507"/>
      <c r="AE520" s="507"/>
      <c r="AF520" s="507"/>
      <c r="AG520" s="507"/>
      <c r="AH520" s="507"/>
      <c r="AI520" s="507"/>
      <c r="AJ520" s="507"/>
      <c r="AK520" s="507"/>
      <c r="AL520" s="507"/>
      <c r="AM520" s="507"/>
      <c r="AN520" s="507"/>
      <c r="AO520" s="507"/>
      <c r="AP520" s="507"/>
      <c r="AQ520" s="507"/>
      <c r="AR520" s="507"/>
      <c r="AS520" s="507"/>
      <c r="AT520" s="507"/>
      <c r="AU520" s="507"/>
      <c r="AV520" s="507"/>
      <c r="AW520" s="507"/>
      <c r="AX520" s="507"/>
      <c r="AY520" s="507"/>
      <c r="AZ520" s="507"/>
      <c r="BA520" s="507"/>
      <c r="BB520" s="507"/>
      <c r="BC520" s="507"/>
      <c r="BD520" s="507"/>
      <c r="BE520" s="507"/>
      <c r="BF520" s="507"/>
      <c r="BG520" s="507"/>
      <c r="BH520" s="507"/>
      <c r="BI520" s="507"/>
      <c r="BJ520" s="507"/>
    </row>
    <row r="521" spans="2:62" ht="15.75" customHeight="1">
      <c r="B521" s="504"/>
      <c r="W521" s="507"/>
      <c r="X521" s="507"/>
      <c r="Y521" s="507"/>
      <c r="Z521" s="507"/>
      <c r="AA521" s="507"/>
      <c r="AB521" s="507"/>
      <c r="AC521" s="507"/>
      <c r="AD521" s="507"/>
      <c r="AE521" s="507"/>
      <c r="AF521" s="507"/>
      <c r="AG521" s="507"/>
      <c r="AH521" s="507"/>
      <c r="AI521" s="507"/>
      <c r="AJ521" s="507"/>
      <c r="AK521" s="507"/>
      <c r="AL521" s="507"/>
      <c r="AM521" s="507"/>
      <c r="AN521" s="507"/>
      <c r="AO521" s="507"/>
      <c r="AP521" s="507"/>
      <c r="AQ521" s="507"/>
      <c r="AR521" s="507"/>
      <c r="AS521" s="507"/>
      <c r="AT521" s="507"/>
      <c r="AU521" s="507"/>
      <c r="AV521" s="507"/>
      <c r="AW521" s="507"/>
      <c r="AX521" s="507"/>
      <c r="AY521" s="507"/>
      <c r="AZ521" s="507"/>
      <c r="BA521" s="507"/>
      <c r="BB521" s="507"/>
      <c r="BC521" s="507"/>
      <c r="BD521" s="507"/>
      <c r="BE521" s="507"/>
      <c r="BF521" s="507"/>
      <c r="BG521" s="507"/>
      <c r="BH521" s="507"/>
      <c r="BI521" s="507"/>
      <c r="BJ521" s="507"/>
    </row>
    <row r="522" spans="2:62" ht="15.75" customHeight="1">
      <c r="B522" s="504"/>
      <c r="W522" s="507"/>
      <c r="X522" s="507"/>
      <c r="Y522" s="507"/>
      <c r="Z522" s="507"/>
      <c r="AA522" s="507"/>
      <c r="AB522" s="507"/>
      <c r="AC522" s="507"/>
      <c r="AD522" s="507"/>
      <c r="AE522" s="507"/>
      <c r="AF522" s="507"/>
      <c r="AG522" s="507"/>
      <c r="AH522" s="507"/>
      <c r="AI522" s="507"/>
      <c r="AJ522" s="507"/>
      <c r="AK522" s="507"/>
      <c r="AL522" s="507"/>
      <c r="AM522" s="507"/>
      <c r="AN522" s="507"/>
      <c r="AO522" s="507"/>
      <c r="AP522" s="507"/>
      <c r="AQ522" s="507"/>
      <c r="AR522" s="507"/>
      <c r="AS522" s="507"/>
      <c r="AT522" s="507"/>
      <c r="AU522" s="507"/>
      <c r="AV522" s="507"/>
      <c r="AW522" s="507"/>
      <c r="AX522" s="507"/>
      <c r="AY522" s="507"/>
      <c r="AZ522" s="507"/>
      <c r="BA522" s="507"/>
      <c r="BB522" s="507"/>
      <c r="BC522" s="507"/>
      <c r="BD522" s="507"/>
      <c r="BE522" s="507"/>
      <c r="BF522" s="507"/>
      <c r="BG522" s="507"/>
      <c r="BH522" s="507"/>
      <c r="BI522" s="507"/>
      <c r="BJ522" s="507"/>
    </row>
    <row r="523" spans="2:62" ht="15.75" customHeight="1">
      <c r="B523" s="504"/>
      <c r="W523" s="507"/>
      <c r="X523" s="507"/>
      <c r="Y523" s="507"/>
      <c r="Z523" s="507"/>
      <c r="AA523" s="507"/>
      <c r="AB523" s="507"/>
      <c r="AC523" s="507"/>
      <c r="AD523" s="507"/>
      <c r="AE523" s="507"/>
      <c r="AF523" s="507"/>
      <c r="AG523" s="507"/>
      <c r="AH523" s="507"/>
      <c r="AI523" s="507"/>
      <c r="AJ523" s="507"/>
      <c r="AK523" s="507"/>
      <c r="AL523" s="507"/>
      <c r="AM523" s="507"/>
      <c r="AN523" s="507"/>
      <c r="AO523" s="507"/>
      <c r="AP523" s="507"/>
      <c r="AQ523" s="507"/>
      <c r="AR523" s="507"/>
      <c r="AS523" s="507"/>
      <c r="AT523" s="507"/>
      <c r="AU523" s="507"/>
      <c r="AV523" s="507"/>
      <c r="AW523" s="507"/>
      <c r="AX523" s="507"/>
      <c r="AY523" s="507"/>
      <c r="AZ523" s="507"/>
      <c r="BA523" s="507"/>
      <c r="BB523" s="507"/>
      <c r="BC523" s="507"/>
      <c r="BD523" s="507"/>
      <c r="BE523" s="507"/>
      <c r="BF523" s="507"/>
      <c r="BG523" s="507"/>
      <c r="BH523" s="507"/>
      <c r="BI523" s="507"/>
      <c r="BJ523" s="507"/>
    </row>
    <row r="524" spans="2:62" ht="15.75" customHeight="1">
      <c r="B524" s="504"/>
      <c r="W524" s="507"/>
      <c r="X524" s="507"/>
      <c r="Y524" s="507"/>
      <c r="Z524" s="507"/>
      <c r="AA524" s="507"/>
      <c r="AB524" s="507"/>
      <c r="AC524" s="507"/>
      <c r="AD524" s="507"/>
      <c r="AE524" s="507"/>
      <c r="AF524" s="507"/>
      <c r="AG524" s="507"/>
      <c r="AH524" s="507"/>
      <c r="AI524" s="507"/>
      <c r="AJ524" s="507"/>
      <c r="AK524" s="507"/>
      <c r="AL524" s="507"/>
      <c r="AM524" s="507"/>
      <c r="AN524" s="507"/>
      <c r="AO524" s="507"/>
      <c r="AP524" s="507"/>
      <c r="AQ524" s="507"/>
      <c r="AR524" s="507"/>
      <c r="AS524" s="507"/>
      <c r="AT524" s="507"/>
      <c r="AU524" s="507"/>
      <c r="AV524" s="507"/>
      <c r="AW524" s="507"/>
      <c r="AX524" s="507"/>
      <c r="AY524" s="507"/>
      <c r="AZ524" s="507"/>
      <c r="BA524" s="507"/>
      <c r="BB524" s="507"/>
      <c r="BC524" s="507"/>
      <c r="BD524" s="507"/>
      <c r="BE524" s="507"/>
      <c r="BF524" s="507"/>
      <c r="BG524" s="507"/>
      <c r="BH524" s="507"/>
      <c r="BI524" s="507"/>
      <c r="BJ524" s="507"/>
    </row>
    <row r="525" spans="2:62" ht="15.75" customHeight="1">
      <c r="B525" s="504"/>
      <c r="C525" s="768"/>
      <c r="W525" s="507"/>
      <c r="X525" s="507"/>
      <c r="Y525" s="507"/>
      <c r="Z525" s="507"/>
      <c r="AA525" s="507"/>
      <c r="AB525" s="507"/>
      <c r="AC525" s="507"/>
      <c r="AD525" s="507"/>
      <c r="AE525" s="507"/>
      <c r="AF525" s="507"/>
      <c r="AG525" s="507"/>
      <c r="AH525" s="507"/>
      <c r="AI525" s="507"/>
      <c r="AJ525" s="507"/>
      <c r="AK525" s="507"/>
      <c r="AL525" s="507"/>
      <c r="AM525" s="507"/>
      <c r="AN525" s="507"/>
      <c r="AO525" s="507"/>
      <c r="AP525" s="507"/>
      <c r="AQ525" s="507"/>
      <c r="AR525" s="507"/>
      <c r="AS525" s="507"/>
      <c r="AT525" s="507"/>
      <c r="AU525" s="507"/>
      <c r="AV525" s="507"/>
      <c r="AW525" s="507"/>
      <c r="AX525" s="507"/>
      <c r="AY525" s="507"/>
      <c r="AZ525" s="507"/>
      <c r="BA525" s="507"/>
      <c r="BB525" s="507"/>
      <c r="BC525" s="507"/>
      <c r="BD525" s="507"/>
      <c r="BE525" s="507"/>
      <c r="BF525" s="507"/>
      <c r="BG525" s="507"/>
      <c r="BH525" s="507"/>
      <c r="BI525" s="507"/>
      <c r="BJ525" s="507"/>
    </row>
    <row r="526" spans="2:62" ht="15.75" customHeight="1">
      <c r="B526" s="504"/>
      <c r="C526" s="768"/>
      <c r="W526" s="507"/>
      <c r="X526" s="507"/>
      <c r="Y526" s="507"/>
      <c r="Z526" s="507"/>
      <c r="AA526" s="507"/>
      <c r="AB526" s="507"/>
      <c r="AC526" s="507"/>
      <c r="AD526" s="507"/>
      <c r="AE526" s="507"/>
      <c r="AF526" s="507"/>
      <c r="AG526" s="507"/>
      <c r="AH526" s="507"/>
      <c r="AI526" s="507"/>
      <c r="AJ526" s="507"/>
      <c r="AK526" s="507"/>
      <c r="AL526" s="507"/>
      <c r="AM526" s="507"/>
      <c r="AN526" s="507"/>
      <c r="AO526" s="507"/>
      <c r="AP526" s="507"/>
      <c r="AQ526" s="507"/>
      <c r="AR526" s="507"/>
      <c r="AS526" s="507"/>
      <c r="AT526" s="507"/>
      <c r="AU526" s="507"/>
      <c r="AV526" s="507"/>
      <c r="AW526" s="507"/>
      <c r="AX526" s="507"/>
      <c r="AY526" s="507"/>
      <c r="AZ526" s="507"/>
      <c r="BA526" s="507"/>
      <c r="BB526" s="507"/>
      <c r="BC526" s="507"/>
      <c r="BD526" s="507"/>
      <c r="BE526" s="507"/>
      <c r="BF526" s="507"/>
      <c r="BG526" s="507"/>
      <c r="BH526" s="507"/>
      <c r="BI526" s="507"/>
      <c r="BJ526" s="507"/>
    </row>
    <row r="527" spans="2:62" ht="15.75" customHeight="1">
      <c r="B527" s="504"/>
      <c r="C527" s="768"/>
      <c r="W527" s="507"/>
      <c r="X527" s="507"/>
      <c r="Y527" s="507"/>
      <c r="Z527" s="507"/>
      <c r="AA527" s="507"/>
      <c r="AB527" s="507"/>
      <c r="AC527" s="507"/>
      <c r="AD527" s="507"/>
      <c r="AE527" s="507"/>
      <c r="AF527" s="507"/>
      <c r="AG527" s="507"/>
      <c r="AH527" s="507"/>
      <c r="AI527" s="507"/>
      <c r="AJ527" s="507"/>
      <c r="AK527" s="507"/>
      <c r="AL527" s="507"/>
      <c r="AM527" s="507"/>
      <c r="AN527" s="507"/>
      <c r="AO527" s="507"/>
      <c r="AP527" s="507"/>
      <c r="AQ527" s="507"/>
      <c r="AR527" s="507"/>
      <c r="AS527" s="507"/>
      <c r="AT527" s="507"/>
      <c r="AU527" s="507"/>
      <c r="AV527" s="507"/>
      <c r="AW527" s="507"/>
      <c r="AX527" s="507"/>
      <c r="AY527" s="507"/>
      <c r="AZ527" s="507"/>
      <c r="BA527" s="507"/>
      <c r="BB527" s="507"/>
      <c r="BC527" s="507"/>
      <c r="BD527" s="507"/>
      <c r="BE527" s="507"/>
      <c r="BF527" s="507"/>
      <c r="BG527" s="507"/>
      <c r="BH527" s="507"/>
      <c r="BI527" s="507"/>
      <c r="BJ527" s="507"/>
    </row>
    <row r="528" spans="2:62" ht="15.75" customHeight="1">
      <c r="B528" s="504"/>
      <c r="C528" s="768"/>
      <c r="W528" s="507"/>
      <c r="X528" s="507"/>
      <c r="Y528" s="507"/>
      <c r="Z528" s="507"/>
      <c r="AA528" s="507"/>
      <c r="AB528" s="507"/>
      <c r="AC528" s="507"/>
      <c r="AD528" s="507"/>
      <c r="AE528" s="507"/>
      <c r="AF528" s="507"/>
      <c r="AG528" s="507"/>
      <c r="AH528" s="507"/>
      <c r="AI528" s="507"/>
      <c r="AJ528" s="507"/>
      <c r="AK528" s="507"/>
      <c r="AL528" s="507"/>
      <c r="AM528" s="507"/>
      <c r="AN528" s="507"/>
      <c r="AO528" s="507"/>
      <c r="AP528" s="507"/>
      <c r="AQ528" s="507"/>
      <c r="AR528" s="507"/>
      <c r="AS528" s="507"/>
      <c r="AT528" s="507"/>
      <c r="AU528" s="507"/>
      <c r="AV528" s="507"/>
      <c r="AW528" s="507"/>
      <c r="AX528" s="507"/>
      <c r="AY528" s="507"/>
      <c r="AZ528" s="507"/>
      <c r="BA528" s="507"/>
      <c r="BB528" s="507"/>
      <c r="BC528" s="507"/>
      <c r="BD528" s="507"/>
      <c r="BE528" s="507"/>
      <c r="BF528" s="507"/>
      <c r="BG528" s="507"/>
      <c r="BH528" s="507"/>
      <c r="BI528" s="507"/>
      <c r="BJ528" s="507"/>
    </row>
    <row r="529" spans="2:62" ht="15.75" customHeight="1">
      <c r="B529" s="504"/>
      <c r="C529" s="768"/>
      <c r="W529" s="507"/>
      <c r="X529" s="507"/>
      <c r="Y529" s="507"/>
      <c r="Z529" s="507"/>
      <c r="AA529" s="507"/>
      <c r="AB529" s="507"/>
      <c r="AC529" s="507"/>
      <c r="AD529" s="507"/>
      <c r="AE529" s="507"/>
      <c r="AF529" s="507"/>
      <c r="AG529" s="507"/>
      <c r="AH529" s="507"/>
      <c r="AI529" s="507"/>
      <c r="AJ529" s="507"/>
      <c r="AK529" s="507"/>
      <c r="AL529" s="507"/>
      <c r="AM529" s="507"/>
      <c r="AN529" s="507"/>
      <c r="AO529" s="507"/>
      <c r="AP529" s="507"/>
      <c r="AQ529" s="507"/>
      <c r="AR529" s="507"/>
      <c r="AS529" s="507"/>
      <c r="AT529" s="507"/>
      <c r="AU529" s="507"/>
      <c r="AV529" s="507"/>
      <c r="AW529" s="507"/>
      <c r="AX529" s="507"/>
      <c r="AY529" s="507"/>
      <c r="AZ529" s="507"/>
      <c r="BA529" s="507"/>
      <c r="BB529" s="507"/>
      <c r="BC529" s="507"/>
      <c r="BD529" s="507"/>
      <c r="BE529" s="507"/>
      <c r="BF529" s="507"/>
      <c r="BG529" s="507"/>
      <c r="BH529" s="507"/>
      <c r="BI529" s="507"/>
      <c r="BJ529" s="507"/>
    </row>
    <row r="530" spans="2:62" ht="15.75" customHeight="1">
      <c r="B530" s="504"/>
      <c r="C530" s="768"/>
      <c r="W530" s="507"/>
      <c r="X530" s="507"/>
      <c r="Y530" s="507"/>
      <c r="Z530" s="507"/>
      <c r="AA530" s="507"/>
      <c r="AB530" s="507"/>
      <c r="AC530" s="507"/>
      <c r="AD530" s="507"/>
      <c r="AE530" s="507"/>
      <c r="AF530" s="507"/>
      <c r="AG530" s="507"/>
      <c r="AH530" s="507"/>
      <c r="AI530" s="507"/>
      <c r="AJ530" s="507"/>
      <c r="AK530" s="507"/>
      <c r="AL530" s="507"/>
      <c r="AM530" s="507"/>
      <c r="AN530" s="507"/>
      <c r="AO530" s="507"/>
      <c r="AP530" s="507"/>
      <c r="AQ530" s="507"/>
      <c r="AR530" s="507"/>
      <c r="AS530" s="507"/>
      <c r="AT530" s="507"/>
      <c r="AU530" s="507"/>
      <c r="AV530" s="507"/>
      <c r="AW530" s="507"/>
      <c r="AX530" s="507"/>
      <c r="AY530" s="507"/>
      <c r="AZ530" s="507"/>
      <c r="BA530" s="507"/>
      <c r="BB530" s="507"/>
      <c r="BC530" s="507"/>
      <c r="BD530" s="507"/>
      <c r="BE530" s="507"/>
      <c r="BF530" s="507"/>
      <c r="BG530" s="507"/>
      <c r="BH530" s="507"/>
      <c r="BI530" s="507"/>
      <c r="BJ530" s="507"/>
    </row>
    <row r="531" spans="2:62" ht="15.75" customHeight="1">
      <c r="B531" s="504"/>
      <c r="C531" s="768"/>
      <c r="W531" s="507"/>
      <c r="X531" s="507"/>
      <c r="Y531" s="507"/>
      <c r="Z531" s="507"/>
      <c r="AA531" s="507"/>
      <c r="AB531" s="507"/>
      <c r="AC531" s="507"/>
      <c r="AD531" s="507"/>
      <c r="AE531" s="507"/>
      <c r="AF531" s="507"/>
      <c r="AG531" s="507"/>
      <c r="AH531" s="507"/>
      <c r="AI531" s="507"/>
      <c r="AJ531" s="507"/>
      <c r="AK531" s="507"/>
      <c r="AL531" s="507"/>
      <c r="AM531" s="507"/>
      <c r="AN531" s="507"/>
      <c r="AO531" s="507"/>
      <c r="AP531" s="507"/>
      <c r="AQ531" s="507"/>
      <c r="AR531" s="507"/>
      <c r="AS531" s="507"/>
      <c r="AT531" s="507"/>
      <c r="AU531" s="507"/>
      <c r="AV531" s="507"/>
      <c r="AW531" s="507"/>
      <c r="AX531" s="507"/>
      <c r="AY531" s="507"/>
      <c r="AZ531" s="507"/>
      <c r="BA531" s="507"/>
      <c r="BB531" s="507"/>
      <c r="BC531" s="507"/>
      <c r="BD531" s="507"/>
      <c r="BE531" s="507"/>
      <c r="BF531" s="507"/>
      <c r="BG531" s="507"/>
      <c r="BH531" s="507"/>
      <c r="BI531" s="507"/>
      <c r="BJ531" s="507"/>
    </row>
    <row r="532" spans="2:62" ht="15.75" customHeight="1">
      <c r="B532" s="504"/>
      <c r="C532" s="768"/>
      <c r="W532" s="507"/>
      <c r="X532" s="507"/>
      <c r="Y532" s="507"/>
      <c r="Z532" s="507"/>
      <c r="AA532" s="507"/>
      <c r="AB532" s="507"/>
      <c r="AC532" s="507"/>
      <c r="AD532" s="507"/>
      <c r="AE532" s="507"/>
      <c r="AF532" s="507"/>
      <c r="AG532" s="507"/>
      <c r="AH532" s="507"/>
      <c r="AI532" s="507"/>
      <c r="AJ532" s="507"/>
      <c r="AK532" s="507"/>
      <c r="AL532" s="507"/>
      <c r="AM532" s="507"/>
      <c r="AN532" s="507"/>
      <c r="AO532" s="507"/>
      <c r="AP532" s="507"/>
      <c r="AQ532" s="507"/>
      <c r="AR532" s="507"/>
      <c r="AS532" s="507"/>
      <c r="AT532" s="507"/>
      <c r="AU532" s="507"/>
      <c r="AV532" s="507"/>
      <c r="AW532" s="507"/>
      <c r="AX532" s="507"/>
      <c r="AY532" s="507"/>
      <c r="AZ532" s="507"/>
      <c r="BA532" s="507"/>
      <c r="BB532" s="507"/>
      <c r="BC532" s="507"/>
      <c r="BD532" s="507"/>
      <c r="BE532" s="507"/>
      <c r="BF532" s="507"/>
      <c r="BG532" s="507"/>
      <c r="BH532" s="507"/>
      <c r="BI532" s="507"/>
      <c r="BJ532" s="507"/>
    </row>
    <row r="533" spans="2:62" ht="15.75" customHeight="1">
      <c r="B533" s="504"/>
      <c r="C533" s="768"/>
      <c r="W533" s="507"/>
      <c r="X533" s="507"/>
      <c r="Y533" s="507"/>
      <c r="Z533" s="507"/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  <c r="AP533" s="507"/>
      <c r="AQ533" s="507"/>
      <c r="AR533" s="507"/>
      <c r="AS533" s="507"/>
      <c r="AT533" s="507"/>
      <c r="AU533" s="507"/>
      <c r="AV533" s="507"/>
      <c r="AW533" s="507"/>
      <c r="AX533" s="507"/>
      <c r="AY533" s="507"/>
      <c r="AZ533" s="507"/>
      <c r="BA533" s="507"/>
      <c r="BB533" s="507"/>
      <c r="BC533" s="507"/>
      <c r="BD533" s="507"/>
      <c r="BE533" s="507"/>
      <c r="BF533" s="507"/>
      <c r="BG533" s="507"/>
      <c r="BH533" s="507"/>
      <c r="BI533" s="507"/>
      <c r="BJ533" s="507"/>
    </row>
    <row r="534" spans="2:62" ht="15.75" customHeight="1">
      <c r="B534" s="504"/>
      <c r="C534" s="768"/>
      <c r="W534" s="507"/>
      <c r="X534" s="507"/>
      <c r="Y534" s="507"/>
      <c r="Z534" s="507"/>
      <c r="AA534" s="507"/>
      <c r="AB534" s="507"/>
      <c r="AC534" s="507"/>
      <c r="AD534" s="507"/>
      <c r="AE534" s="507"/>
      <c r="AF534" s="507"/>
      <c r="AG534" s="507"/>
      <c r="AH534" s="507"/>
      <c r="AI534" s="507"/>
      <c r="AJ534" s="507"/>
      <c r="AK534" s="507"/>
      <c r="AL534" s="507"/>
      <c r="AM534" s="507"/>
      <c r="AN534" s="507"/>
      <c r="AO534" s="507"/>
      <c r="AP534" s="507"/>
      <c r="AQ534" s="507"/>
      <c r="AR534" s="507"/>
      <c r="AS534" s="507"/>
      <c r="AT534" s="507"/>
      <c r="AU534" s="507"/>
      <c r="AV534" s="507"/>
      <c r="AW534" s="507"/>
      <c r="AX534" s="507"/>
      <c r="AY534" s="507"/>
      <c r="AZ534" s="507"/>
      <c r="BA534" s="507"/>
      <c r="BB534" s="507"/>
      <c r="BC534" s="507"/>
      <c r="BD534" s="507"/>
      <c r="BE534" s="507"/>
      <c r="BF534" s="507"/>
      <c r="BG534" s="507"/>
      <c r="BH534" s="507"/>
      <c r="BI534" s="507"/>
      <c r="BJ534" s="507"/>
    </row>
    <row r="535" spans="2:62" ht="15.75" customHeight="1">
      <c r="B535" s="504"/>
      <c r="W535" s="507"/>
      <c r="X535" s="507"/>
      <c r="Y535" s="507"/>
      <c r="Z535" s="507"/>
      <c r="AA535" s="507"/>
      <c r="AB535" s="507"/>
      <c r="AC535" s="507"/>
      <c r="AD535" s="507"/>
      <c r="AE535" s="507"/>
      <c r="AF535" s="507"/>
      <c r="AG535" s="507"/>
      <c r="AH535" s="507"/>
      <c r="AI535" s="507"/>
      <c r="AJ535" s="507"/>
      <c r="AK535" s="507"/>
      <c r="AL535" s="507"/>
      <c r="AM535" s="507"/>
      <c r="AN535" s="507"/>
      <c r="AO535" s="507"/>
      <c r="AP535" s="507"/>
      <c r="AQ535" s="507"/>
      <c r="AR535" s="507"/>
      <c r="AS535" s="507"/>
      <c r="AT535" s="507"/>
      <c r="AU535" s="507"/>
      <c r="AV535" s="507"/>
      <c r="AW535" s="507"/>
      <c r="AX535" s="507"/>
      <c r="AY535" s="507"/>
      <c r="AZ535" s="507"/>
      <c r="BA535" s="507"/>
      <c r="BB535" s="507"/>
      <c r="BC535" s="507"/>
      <c r="BD535" s="507"/>
      <c r="BE535" s="507"/>
      <c r="BF535" s="507"/>
      <c r="BG535" s="507"/>
      <c r="BH535" s="507"/>
      <c r="BI535" s="507"/>
      <c r="BJ535" s="507"/>
    </row>
    <row r="536" spans="2:62" ht="15.75" customHeight="1">
      <c r="B536" s="504"/>
      <c r="W536" s="507"/>
      <c r="X536" s="507"/>
      <c r="Y536" s="507"/>
      <c r="Z536" s="507"/>
      <c r="AA536" s="507"/>
      <c r="AB536" s="507"/>
      <c r="AC536" s="507"/>
      <c r="AD536" s="507"/>
      <c r="AE536" s="507"/>
      <c r="AF536" s="507"/>
      <c r="AG536" s="507"/>
      <c r="AH536" s="507"/>
      <c r="AI536" s="507"/>
      <c r="AJ536" s="507"/>
      <c r="AK536" s="507"/>
      <c r="AL536" s="507"/>
      <c r="AM536" s="507"/>
      <c r="AN536" s="507"/>
      <c r="AO536" s="507"/>
      <c r="AP536" s="507"/>
      <c r="AQ536" s="507"/>
      <c r="AR536" s="507"/>
      <c r="AS536" s="507"/>
      <c r="AT536" s="507"/>
      <c r="AU536" s="507"/>
      <c r="AV536" s="507"/>
      <c r="AW536" s="507"/>
      <c r="AX536" s="507"/>
      <c r="AY536" s="507"/>
      <c r="AZ536" s="507"/>
      <c r="BA536" s="507"/>
      <c r="BB536" s="507"/>
      <c r="BC536" s="507"/>
      <c r="BD536" s="507"/>
      <c r="BE536" s="507"/>
      <c r="BF536" s="507"/>
      <c r="BG536" s="507"/>
      <c r="BH536" s="507"/>
      <c r="BI536" s="507"/>
      <c r="BJ536" s="507"/>
    </row>
    <row r="537" spans="2:62" ht="15.75" customHeight="1">
      <c r="B537" s="504"/>
      <c r="W537" s="507"/>
      <c r="X537" s="507"/>
      <c r="Y537" s="507"/>
      <c r="Z537" s="507"/>
      <c r="AA537" s="507"/>
      <c r="AB537" s="507"/>
      <c r="AC537" s="507"/>
      <c r="AD537" s="507"/>
      <c r="AE537" s="507"/>
      <c r="AF537" s="507"/>
      <c r="AG537" s="507"/>
      <c r="AH537" s="507"/>
      <c r="AI537" s="507"/>
      <c r="AJ537" s="507"/>
      <c r="AK537" s="507"/>
      <c r="AL537" s="507"/>
      <c r="AM537" s="507"/>
      <c r="AN537" s="507"/>
      <c r="AO537" s="507"/>
      <c r="AP537" s="507"/>
      <c r="AQ537" s="507"/>
      <c r="AR537" s="507"/>
      <c r="AS537" s="507"/>
      <c r="AT537" s="507"/>
      <c r="AU537" s="507"/>
      <c r="AV537" s="507"/>
      <c r="AW537" s="507"/>
      <c r="AX537" s="507"/>
      <c r="AY537" s="507"/>
      <c r="AZ537" s="507"/>
      <c r="BA537" s="507"/>
      <c r="BB537" s="507"/>
      <c r="BC537" s="507"/>
      <c r="BD537" s="507"/>
      <c r="BE537" s="507"/>
      <c r="BF537" s="507"/>
      <c r="BG537" s="507"/>
      <c r="BH537" s="507"/>
      <c r="BI537" s="507"/>
      <c r="BJ537" s="507"/>
    </row>
    <row r="538" spans="2:62" ht="15.75" customHeight="1">
      <c r="B538" s="504"/>
      <c r="W538" s="507"/>
      <c r="X538" s="507"/>
      <c r="Y538" s="507"/>
      <c r="Z538" s="507"/>
      <c r="AA538" s="507"/>
      <c r="AB538" s="507"/>
      <c r="AC538" s="507"/>
      <c r="AD538" s="507"/>
      <c r="AE538" s="507"/>
      <c r="AF538" s="507"/>
      <c r="AG538" s="507"/>
      <c r="AH538" s="507"/>
      <c r="AI538" s="507"/>
      <c r="AJ538" s="507"/>
      <c r="AK538" s="507"/>
      <c r="AL538" s="507"/>
      <c r="AM538" s="507"/>
      <c r="AN538" s="507"/>
      <c r="AO538" s="507"/>
      <c r="AP538" s="507"/>
      <c r="AQ538" s="507"/>
      <c r="AR538" s="507"/>
      <c r="AS538" s="507"/>
      <c r="AT538" s="507"/>
      <c r="AU538" s="507"/>
      <c r="AV538" s="507"/>
      <c r="AW538" s="507"/>
      <c r="AX538" s="507"/>
      <c r="AY538" s="507"/>
      <c r="AZ538" s="507"/>
      <c r="BA538" s="507"/>
      <c r="BB538" s="507"/>
      <c r="BC538" s="507"/>
      <c r="BD538" s="507"/>
      <c r="BE538" s="507"/>
      <c r="BF538" s="507"/>
      <c r="BG538" s="507"/>
      <c r="BH538" s="507"/>
      <c r="BI538" s="507"/>
      <c r="BJ538" s="507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125" priority="2" stopIfTrue="1">
      <formula>"esterreur(reference)"</formula>
    </cfRule>
  </conditionalFormatting>
  <conditionalFormatting sqref="D172:D181">
    <cfRule type="expression" dxfId="124" priority="61" stopIfTrue="1">
      <formula>"esterreur(reference)"</formula>
    </cfRule>
  </conditionalFormatting>
  <conditionalFormatting sqref="D400">
    <cfRule type="expression" dxfId="123" priority="5" stopIfTrue="1">
      <formula>"esterreur(reference)"</formula>
    </cfRule>
  </conditionalFormatting>
  <conditionalFormatting sqref="E186">
    <cfRule type="expression" dxfId="122" priority="62" stopIfTrue="1">
      <formula>"esterreur(reference)"</formula>
    </cfRule>
  </conditionalFormatting>
  <conditionalFormatting sqref="F5">
    <cfRule type="expression" dxfId="121" priority="59" stopIfTrue="1">
      <formula>"esterreur(reference)"</formula>
    </cfRule>
  </conditionalFormatting>
  <conditionalFormatting sqref="F83:F85">
    <cfRule type="expression" dxfId="120" priority="58" stopIfTrue="1">
      <formula>"esterreur(reference)"</formula>
    </cfRule>
  </conditionalFormatting>
  <conditionalFormatting sqref="F101">
    <cfRule type="expression" dxfId="119" priority="63" stopIfTrue="1">
      <formula>"esterreur(reference)"</formula>
    </cfRule>
  </conditionalFormatting>
  <conditionalFormatting sqref="F184">
    <cfRule type="expression" dxfId="118" priority="27" stopIfTrue="1">
      <formula>"esterreur(reference)"</formula>
    </cfRule>
  </conditionalFormatting>
  <conditionalFormatting sqref="G31:G32">
    <cfRule type="expression" dxfId="117" priority="56" stopIfTrue="1">
      <formula>"esterreur(reference)"</formula>
    </cfRule>
  </conditionalFormatting>
  <conditionalFormatting sqref="G112:G113">
    <cfRule type="expression" dxfId="116" priority="53" stopIfTrue="1">
      <formula>"esterreur(reference)"</formula>
    </cfRule>
  </conditionalFormatting>
  <conditionalFormatting sqref="G172:G181">
    <cfRule type="expression" dxfId="115" priority="60" stopIfTrue="1">
      <formula>"esterreur(reference)"</formula>
    </cfRule>
  </conditionalFormatting>
  <conditionalFormatting sqref="H25:H26 H28:H72">
    <cfRule type="expression" dxfId="114" priority="55" stopIfTrue="1">
      <formula>"esterreur(reference)"</formula>
    </cfRule>
  </conditionalFormatting>
  <conditionalFormatting sqref="H360 J360:L360">
    <cfRule type="expression" dxfId="113" priority="15" stopIfTrue="1">
      <formula>"esterreur(reference)"</formula>
    </cfRule>
  </conditionalFormatting>
  <conditionalFormatting sqref="H197:L197">
    <cfRule type="expression" dxfId="112" priority="17" stopIfTrue="1">
      <formula>"esterreur(reference)"</formula>
    </cfRule>
  </conditionalFormatting>
  <conditionalFormatting sqref="H396:L399">
    <cfRule type="expression" dxfId="111" priority="13" stopIfTrue="1">
      <formula>"esterreur(reference)"</formula>
    </cfRule>
  </conditionalFormatting>
  <conditionalFormatting sqref="I16:I18 I20 I24:I30">
    <cfRule type="expression" dxfId="110" priority="57" stopIfTrue="1">
      <formula>"esterreur(reference)"</formula>
    </cfRule>
  </conditionalFormatting>
  <conditionalFormatting sqref="I377:L377 J378:L394 H378:H395">
    <cfRule type="expression" dxfId="109" priority="14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H313:L317 L318:L329 H318:H348 J318:K348 H349:L349 H352:L352 H353:H355 J353:K355 H361:L364 H365:H376 J365:L376 H400 J400:K400">
    <cfRule type="expression" dxfId="108" priority="6" stopIfTrue="1">
      <formula>"esterreur(reference)"</formula>
    </cfRule>
  </conditionalFormatting>
  <conditionalFormatting sqref="K395">
    <cfRule type="expression" dxfId="107" priority="16" stopIfTrue="1">
      <formula>"esterreur(reference)"</formula>
    </cfRule>
  </conditionalFormatting>
  <conditionalFormatting sqref="K5:L5">
    <cfRule type="expression" dxfId="106" priority="26" stopIfTrue="1">
      <formula>"esterreur(reference)"</formula>
    </cfRule>
  </conditionalFormatting>
  <conditionalFormatting sqref="K244:L244">
    <cfRule type="expression" dxfId="105" priority="23" stopIfTrue="1">
      <formula>"esterreur(reference)"</formula>
    </cfRule>
  </conditionalFormatting>
  <conditionalFormatting sqref="K247:L247">
    <cfRule type="expression" dxfId="104" priority="24" stopIfTrue="1">
      <formula>"esterreur(reference)"</formula>
    </cfRule>
  </conditionalFormatting>
  <conditionalFormatting sqref="L42:L48">
    <cfRule type="expression" dxfId="103" priority="19" stopIfTrue="1">
      <formula>"esterreur(reference)"</formula>
    </cfRule>
  </conditionalFormatting>
  <conditionalFormatting sqref="L75:L82">
    <cfRule type="expression" dxfId="102" priority="8" stopIfTrue="1">
      <formula>"esterreur(reference)"</formula>
    </cfRule>
  </conditionalFormatting>
  <conditionalFormatting sqref="L156:L162">
    <cfRule type="expression" dxfId="101" priority="22" stopIfTrue="1">
      <formula>"esterreur(reference)"</formula>
    </cfRule>
  </conditionalFormatting>
  <conditionalFormatting sqref="L198:L209">
    <cfRule type="expression" dxfId="100" priority="20" stopIfTrue="1">
      <formula>"esterreur(reference)"</formula>
    </cfRule>
  </conditionalFormatting>
  <conditionalFormatting sqref="L211:L228">
    <cfRule type="expression" dxfId="99" priority="21" stopIfTrue="1">
      <formula>"esterreur(reference)"</formula>
    </cfRule>
  </conditionalFormatting>
  <conditionalFormatting sqref="L254:L265">
    <cfRule type="expression" dxfId="98" priority="25" stopIfTrue="1">
      <formula>"esterreur(reference)"</formula>
    </cfRule>
  </conditionalFormatting>
  <conditionalFormatting sqref="L331:L348">
    <cfRule type="expression" dxfId="97" priority="18" stopIfTrue="1">
      <formula>"esterreur(reference)"</formula>
    </cfRule>
  </conditionalFormatting>
  <conditionalFormatting sqref="L356:L357 H357:I357 K357 J357:J358 H359:L359">
    <cfRule type="expression" dxfId="96" priority="12" stopIfTrue="1">
      <formula>"esterreur(reference)"</formula>
    </cfRule>
  </conditionalFormatting>
  <conditionalFormatting sqref="M95:M97">
    <cfRule type="expression" dxfId="95" priority="7" stopIfTrue="1">
      <formula>"esterreur(reference)"</formula>
    </cfRule>
  </conditionalFormatting>
  <conditionalFormatting sqref="N197:N209">
    <cfRule type="expression" dxfId="94" priority="1" stopIfTrue="1">
      <formula>"esterreur(reference)"</formula>
    </cfRule>
  </conditionalFormatting>
  <conditionalFormatting sqref="N318:N328">
    <cfRule type="expression" dxfId="93" priority="4" stopIfTrue="1">
      <formula>"esterreur(reference)"</formula>
    </cfRule>
  </conditionalFormatting>
  <conditionalFormatting sqref="O295:P303 O304:Q306 O307:P308 O309:Q317 Q318:Q329 O318:P348 O349:Q349 O352:Q352 O353:P353">
    <cfRule type="expression" dxfId="92" priority="48" stopIfTrue="1">
      <formula>"esterreur(reference)"</formula>
    </cfRule>
  </conditionalFormatting>
  <conditionalFormatting sqref="O197:Q197">
    <cfRule type="expression" dxfId="91" priority="37" stopIfTrue="1">
      <formula>"esterreur(reference)"</formula>
    </cfRule>
  </conditionalFormatting>
  <conditionalFormatting sqref="O243:Q243 O252:Q253 O254:P284 Q282:Q285 O285 O288:Q288 O289:P289">
    <cfRule type="expression" dxfId="90" priority="43" stopIfTrue="1">
      <formula>"esterreur(reference)"</formula>
    </cfRule>
  </conditionalFormatting>
  <conditionalFormatting sqref="O359:Q394">
    <cfRule type="expression" dxfId="89" priority="50" stopIfTrue="1">
      <formula>"esterreur(reference)"</formula>
    </cfRule>
  </conditionalFormatting>
  <conditionalFormatting sqref="O396:Q399">
    <cfRule type="expression" dxfId="88" priority="51" stopIfTrue="1">
      <formula>"esterreur(reference)"</formula>
    </cfRule>
  </conditionalFormatting>
  <conditionalFormatting sqref="P5">
    <cfRule type="expression" dxfId="87" priority="31" stopIfTrue="1">
      <formula>"esterreur(reference)"</formula>
    </cfRule>
  </conditionalFormatting>
  <conditionalFormatting sqref="P175">
    <cfRule type="expression" dxfId="86" priority="40" stopIfTrue="1">
      <formula>"esterreur(reference)"</formula>
    </cfRule>
  </conditionalFormatting>
  <conditionalFormatting sqref="P178">
    <cfRule type="expression" dxfId="85" priority="41" stopIfTrue="1">
      <formula>"esterreur(reference)"</formula>
    </cfRule>
  </conditionalFormatting>
  <conditionalFormatting sqref="P181">
    <cfRule type="expression" dxfId="84" priority="42" stopIfTrue="1">
      <formula>"esterreur(reference)"</formula>
    </cfRule>
  </conditionalFormatting>
  <conditionalFormatting sqref="P395">
    <cfRule type="expression" dxfId="83" priority="52" stopIfTrue="1">
      <formula>"esterreur(reference)"</formula>
    </cfRule>
  </conditionalFormatting>
  <conditionalFormatting sqref="P93:Q96 O97:Q98 O156:P157 O164:Q164 O165:P165">
    <cfRule type="expression" dxfId="82" priority="34" stopIfTrue="1">
      <formula>"esterreur(reference)"</formula>
    </cfRule>
  </conditionalFormatting>
  <conditionalFormatting sqref="P99:Q100">
    <cfRule type="expression" dxfId="81" priority="33" stopIfTrue="1">
      <formula>"esterreur(reference)"</formula>
    </cfRule>
  </conditionalFormatting>
  <conditionalFormatting sqref="P172:Q173 O172:O196 Q174:Q175 P176:Q176 Q177:Q178 P179:Q179 Q180:Q181 O198:P229 O232:Q232 O233:P233">
    <cfRule type="expression" dxfId="80" priority="36" stopIfTrue="1">
      <formula>"esterreur(reference)"</formula>
    </cfRule>
  </conditionalFormatting>
  <conditionalFormatting sqref="P182:Q196">
    <cfRule type="expression" dxfId="79" priority="3" stopIfTrue="1">
      <formula>"esterreur(reference)"</formula>
    </cfRule>
  </conditionalFormatting>
  <conditionalFormatting sqref="P241:Q241">
    <cfRule type="expression" dxfId="78" priority="47" stopIfTrue="1">
      <formula>"esterreur(reference)"</formula>
    </cfRule>
  </conditionalFormatting>
  <conditionalFormatting sqref="P244:Q244">
    <cfRule type="expression" dxfId="77" priority="44" stopIfTrue="1">
      <formula>"esterreur(reference)"</formula>
    </cfRule>
  </conditionalFormatting>
  <conditionalFormatting sqref="P247:Q247">
    <cfRule type="expression" dxfId="76" priority="45" stopIfTrue="1">
      <formula>"esterreur(reference)"</formula>
    </cfRule>
  </conditionalFormatting>
  <conditionalFormatting sqref="Q5:Q14 O13:O14 O16 Q16:Q24 O18:O24 O25:Q26 O27 Q27 O28:Q72 O83:Q85">
    <cfRule type="expression" dxfId="75" priority="30" stopIfTrue="1">
      <formula>"esterreur(reference)"</formula>
    </cfRule>
  </conditionalFormatting>
  <conditionalFormatting sqref="Q75:Q82">
    <cfRule type="expression" dxfId="74" priority="32" stopIfTrue="1">
      <formula>"esterreur(reference)"</formula>
    </cfRule>
  </conditionalFormatting>
  <conditionalFormatting sqref="Q156:Q162">
    <cfRule type="expression" dxfId="73" priority="35" stopIfTrue="1">
      <formula>"esterreur(reference)"</formula>
    </cfRule>
  </conditionalFormatting>
  <conditionalFormatting sqref="Q198:Q209">
    <cfRule type="expression" dxfId="72" priority="38" stopIfTrue="1">
      <formula>"esterreur(reference)"</formula>
    </cfRule>
  </conditionalFormatting>
  <conditionalFormatting sqref="Q211:Q228">
    <cfRule type="expression" dxfId="71" priority="39" stopIfTrue="1">
      <formula>"esterreur(reference)"</formula>
    </cfRule>
  </conditionalFormatting>
  <conditionalFormatting sqref="Q254:Q265">
    <cfRule type="expression" dxfId="70" priority="46" stopIfTrue="1">
      <formula>"esterreur(reference)"</formula>
    </cfRule>
  </conditionalFormatting>
  <conditionalFormatting sqref="Q331:Q348">
    <cfRule type="expression" dxfId="69" priority="49" stopIfTrue="1">
      <formula>"esterreur(reference)"</formula>
    </cfRule>
  </conditionalFormatting>
  <conditionalFormatting sqref="R312">
    <cfRule type="expression" dxfId="68" priority="9" stopIfTrue="1">
      <formula>"esterreur(reference)"</formula>
    </cfRule>
  </conditionalFormatting>
  <conditionalFormatting sqref="S186">
    <cfRule type="expression" dxfId="67" priority="28" stopIfTrue="1">
      <formula>"esterreur(reference)"</formula>
    </cfRule>
  </conditionalFormatting>
  <conditionalFormatting sqref="AG409:AI418 AH420:AI432 AH434:AI451 AH453:AI460 AH461:AH462 AH463:AI465 AH467:AI467 AH491:AI497">
    <cfRule type="cellIs" dxfId="66" priority="10" operator="greaterThan">
      <formula>0</formula>
    </cfRule>
  </conditionalFormatting>
  <conditionalFormatting sqref="AH469:AI476 AH480:AI480">
    <cfRule type="cellIs" dxfId="65" priority="11" operator="lessThan">
      <formula>0</formula>
    </cfRule>
  </conditionalFormatting>
  <conditionalFormatting sqref="AH477:AI479">
    <cfRule type="cellIs" dxfId="64" priority="54" operator="greaterThan">
      <formula>0</formula>
    </cfRule>
  </conditionalFormatting>
  <conditionalFormatting sqref="AO409:AO418">
    <cfRule type="cellIs" dxfId="63" priority="29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5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activeCell="D16" sqref="D16"/>
    </sheetView>
  </sheetViews>
  <sheetFormatPr baseColWidth="10" defaultColWidth="11.19921875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2024-10</vt:lpstr>
      <vt:lpstr>Print_Mois</vt:lpstr>
      <vt:lpstr>2024-12</vt:lpstr>
      <vt:lpstr>END</vt:lpstr>
      <vt:lpstr>'2024-10'!Zone_d_impression</vt:lpstr>
      <vt:lpstr>'2024-12'!Zone_d_impression</vt:lpstr>
      <vt:lpstr>Conso!Zone_d_impression</vt:lpstr>
      <vt:lpstr>Print_Mois!Zone_d_impression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2025-01-17T04:19:31Z</dcterms:modified>
</cp:coreProperties>
</file>