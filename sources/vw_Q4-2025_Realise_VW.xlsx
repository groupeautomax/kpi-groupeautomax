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5\"/>
    </mc:Choice>
  </mc:AlternateContent>
  <xr:revisionPtr revIDLastSave="0" documentId="13_ncr:1_{7E490CD0-A769-4379-A756-18D925657792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2025-10" sheetId="31" r:id="rId4"/>
    <sheet name="2025-11" sheetId="32" r:id="rId5"/>
    <sheet name="2025-12" sheetId="33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4">#REF!</definedName>
    <definedName name="Ticker" localSheetId="5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'2025-10'!$C$1:$S$353,'2025-10'!$V$402:$AO$498</definedName>
    <definedName name="_xlnm.Print_Area" localSheetId="4">'2025-11'!$C$1:$S$353,'2025-11'!$V$402:$AO$498</definedName>
    <definedName name="_xlnm.Print_Area" localSheetId="5">'2025-12'!$C$1:$S$353,'2025-12'!$V$402:$AO$498</definedName>
    <definedName name="_xlnm.Print_Area" localSheetId="1">Conso!$C$1:$S$398,Conso!$V$401:$AO$497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L6" i="1" l="1"/>
  <c r="L75" i="1"/>
  <c r="AH500" i="1"/>
  <c r="AL461" i="1"/>
  <c r="AF461" i="1"/>
  <c r="AN500" i="1"/>
  <c r="AL500" i="1"/>
  <c r="AF500" i="1"/>
  <c r="Z500" i="1"/>
  <c r="AF420" i="1" l="1"/>
  <c r="AN461" i="1"/>
  <c r="Q144" i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L347" i="1"/>
  <c r="I347" i="1"/>
  <c r="F347" i="1"/>
  <c r="L346" i="1"/>
  <c r="I346" i="1"/>
  <c r="F346" i="1"/>
  <c r="Q345" i="1"/>
  <c r="L345" i="1"/>
  <c r="I345" i="1"/>
  <c r="F345" i="1"/>
  <c r="Q284" i="1"/>
  <c r="L284" i="1"/>
  <c r="I284" i="1"/>
  <c r="F284" i="1"/>
  <c r="Q283" i="1"/>
  <c r="L283" i="1"/>
  <c r="I283" i="1"/>
  <c r="F283" i="1"/>
  <c r="Q282" i="1"/>
  <c r="L282" i="1"/>
  <c r="I282" i="1"/>
  <c r="F282" i="1"/>
  <c r="Q228" i="1"/>
  <c r="L228" i="1"/>
  <c r="I228" i="1"/>
  <c r="F228" i="1"/>
  <c r="Q227" i="1"/>
  <c r="L227" i="1"/>
  <c r="I227" i="1"/>
  <c r="F227" i="1"/>
  <c r="Q226" i="1"/>
  <c r="L226" i="1"/>
  <c r="I226" i="1"/>
  <c r="F226" i="1"/>
  <c r="Q209" i="1"/>
  <c r="L209" i="1"/>
  <c r="I209" i="1"/>
  <c r="F209" i="1"/>
  <c r="Q162" i="1"/>
  <c r="L162" i="1"/>
  <c r="I162" i="1"/>
  <c r="F162" i="1"/>
  <c r="L161" i="1"/>
  <c r="I161" i="1"/>
  <c r="Q160" i="1"/>
  <c r="L160" i="1"/>
  <c r="I160" i="1"/>
  <c r="F160" i="1"/>
  <c r="Q159" i="1"/>
  <c r="L159" i="1"/>
  <c r="I159" i="1"/>
  <c r="F159" i="1"/>
  <c r="L158" i="1"/>
  <c r="I158" i="1"/>
  <c r="F158" i="1"/>
  <c r="Q157" i="1"/>
  <c r="L157" i="1"/>
  <c r="I157" i="1"/>
  <c r="Q156" i="1"/>
  <c r="L156" i="1"/>
  <c r="I156" i="1"/>
  <c r="F156" i="1"/>
  <c r="Q152" i="1"/>
  <c r="L152" i="1"/>
  <c r="I152" i="1"/>
  <c r="F152" i="1"/>
  <c r="Q151" i="1"/>
  <c r="L151" i="1"/>
  <c r="I151" i="1"/>
  <c r="F151" i="1"/>
  <c r="Q150" i="1"/>
  <c r="L150" i="1"/>
  <c r="I150" i="1"/>
  <c r="F150" i="1"/>
  <c r="L149" i="1"/>
  <c r="I149" i="1"/>
  <c r="F149" i="1"/>
  <c r="Q148" i="1"/>
  <c r="L148" i="1"/>
  <c r="I148" i="1"/>
  <c r="F148" i="1"/>
  <c r="Q147" i="1"/>
  <c r="L147" i="1"/>
  <c r="I147" i="1"/>
  <c r="F147" i="1"/>
  <c r="L146" i="1"/>
  <c r="I146" i="1"/>
  <c r="F146" i="1"/>
  <c r="Q145" i="1"/>
  <c r="L145" i="1"/>
  <c r="I145" i="1"/>
  <c r="F145" i="1"/>
  <c r="L144" i="1"/>
  <c r="I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F140" i="1"/>
  <c r="L139" i="1"/>
  <c r="I139" i="1"/>
  <c r="F139" i="1"/>
  <c r="Q138" i="1"/>
  <c r="L138" i="1"/>
  <c r="I138" i="1"/>
  <c r="Q137" i="1"/>
  <c r="L137" i="1"/>
  <c r="I137" i="1"/>
  <c r="Q136" i="1"/>
  <c r="L136" i="1"/>
  <c r="I136" i="1"/>
  <c r="Q121" i="1"/>
  <c r="L121" i="1"/>
  <c r="I121" i="1"/>
  <c r="F121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F132" i="1"/>
  <c r="Q131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Q124" i="1"/>
  <c r="L124" i="1"/>
  <c r="I124" i="1"/>
  <c r="F124" i="1"/>
  <c r="L123" i="1"/>
  <c r="I123" i="1"/>
  <c r="F123" i="1"/>
  <c r="Q118" i="1"/>
  <c r="L118" i="1"/>
  <c r="I118" i="1"/>
  <c r="F118" i="1"/>
  <c r="Q117" i="1"/>
  <c r="L117" i="1"/>
  <c r="I117" i="1"/>
  <c r="F117" i="1"/>
  <c r="Q116" i="1"/>
  <c r="L116" i="1"/>
  <c r="I116" i="1"/>
  <c r="F116" i="1"/>
  <c r="Q115" i="1"/>
  <c r="L115" i="1"/>
  <c r="I115" i="1"/>
  <c r="F115" i="1"/>
  <c r="Q114" i="1"/>
  <c r="L114" i="1"/>
  <c r="I114" i="1"/>
  <c r="F114" i="1"/>
  <c r="Q113" i="1"/>
  <c r="L113" i="1"/>
  <c r="I113" i="1"/>
  <c r="F113" i="1"/>
  <c r="Q112" i="1"/>
  <c r="L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F494" i="1"/>
  <c r="AC494" i="1"/>
  <c r="AB494" i="1" s="1"/>
  <c r="AF493" i="1"/>
  <c r="AC493" i="1"/>
  <c r="AF492" i="1"/>
  <c r="AC492" i="1"/>
  <c r="AF491" i="1"/>
  <c r="AC491" i="1"/>
  <c r="AB491" i="1" s="1"/>
  <c r="AF490" i="1"/>
  <c r="AC490" i="1"/>
  <c r="AB490" i="1" s="1"/>
  <c r="AF489" i="1"/>
  <c r="AC489" i="1"/>
  <c r="Z489" i="1"/>
  <c r="AI489" i="1" s="1"/>
  <c r="AF463" i="1" l="1"/>
  <c r="AL464" i="1"/>
  <c r="AL463" i="1"/>
  <c r="AF464" i="1"/>
  <c r="AF462" i="1"/>
  <c r="N143" i="1"/>
  <c r="N156" i="1"/>
  <c r="N149" i="1"/>
  <c r="N124" i="1"/>
  <c r="N145" i="1"/>
  <c r="N114" i="1"/>
  <c r="N158" i="1"/>
  <c r="N132" i="1"/>
  <c r="N147" i="1"/>
  <c r="S118" i="1"/>
  <c r="N144" i="1"/>
  <c r="AH489" i="1"/>
  <c r="N126" i="1"/>
  <c r="S282" i="1"/>
  <c r="N129" i="1"/>
  <c r="N140" i="1"/>
  <c r="N117" i="1"/>
  <c r="S121" i="1"/>
  <c r="S116" i="1"/>
  <c r="N116" i="1"/>
  <c r="S113" i="1"/>
  <c r="N113" i="1"/>
  <c r="N141" i="1"/>
  <c r="N123" i="1"/>
  <c r="N127" i="1"/>
  <c r="N130" i="1"/>
  <c r="N133" i="1"/>
  <c r="N148" i="1"/>
  <c r="N142" i="1"/>
  <c r="S283" i="1"/>
  <c r="N128" i="1"/>
  <c r="N139" i="1"/>
  <c r="N146" i="1"/>
  <c r="N159" i="1"/>
  <c r="N131" i="1"/>
  <c r="N112" i="1"/>
  <c r="N115" i="1"/>
  <c r="N118" i="1"/>
  <c r="AB417" i="1"/>
  <c r="N227" i="1"/>
  <c r="N346" i="1"/>
  <c r="N347" i="1"/>
  <c r="S117" i="1"/>
  <c r="Q139" i="1"/>
  <c r="Q161" i="1"/>
  <c r="AL457" i="1"/>
  <c r="AL459" i="1"/>
  <c r="Q146" i="1"/>
  <c r="N150" i="1"/>
  <c r="S227" i="1"/>
  <c r="Q346" i="1"/>
  <c r="S346" i="1" s="1"/>
  <c r="Q120" i="1"/>
  <c r="S120" i="1" s="1"/>
  <c r="F157" i="1"/>
  <c r="N157" i="1" s="1"/>
  <c r="S284" i="1"/>
  <c r="AL452" i="1"/>
  <c r="Q123" i="1"/>
  <c r="S345" i="1"/>
  <c r="F137" i="1"/>
  <c r="N137" i="1" s="1"/>
  <c r="F161" i="1"/>
  <c r="AL460" i="1"/>
  <c r="N152" i="1"/>
  <c r="N161" i="1"/>
  <c r="F125" i="1"/>
  <c r="N125" i="1" s="1"/>
  <c r="N134" i="1"/>
  <c r="N121" i="1"/>
  <c r="AL454" i="1"/>
  <c r="F138" i="1"/>
  <c r="N138" i="1" s="1"/>
  <c r="AL455" i="1"/>
  <c r="F136" i="1"/>
  <c r="N136" i="1" s="1"/>
  <c r="N151" i="1"/>
  <c r="S209" i="1"/>
  <c r="S228" i="1"/>
  <c r="AL458" i="1"/>
  <c r="AB477" i="1"/>
  <c r="AB493" i="1"/>
  <c r="AB496" i="1"/>
  <c r="AB478" i="1"/>
  <c r="AB492" i="1"/>
  <c r="AB431" i="1"/>
  <c r="AB479" i="1"/>
  <c r="N119" i="1"/>
  <c r="N160" i="1"/>
  <c r="N162" i="1"/>
  <c r="N226" i="1"/>
  <c r="S347" i="1"/>
  <c r="J113" i="1"/>
  <c r="N345" i="1"/>
  <c r="S226" i="1"/>
  <c r="N228" i="1"/>
  <c r="N120" i="1"/>
  <c r="S119" i="1"/>
  <c r="S115" i="1"/>
  <c r="G113" i="1"/>
  <c r="S114" i="1"/>
  <c r="AB430" i="1"/>
  <c r="AN491" i="1"/>
  <c r="AN490" i="1"/>
  <c r="AO490" i="1" s="1"/>
  <c r="AN493" i="1"/>
  <c r="AO493" i="1"/>
  <c r="AN489" i="1"/>
  <c r="AB489" i="1"/>
  <c r="AN492" i="1"/>
  <c r="AO492" i="1" s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F468" i="1"/>
  <c r="AC468" i="1"/>
  <c r="AO461" i="1"/>
  <c r="AC461" i="1"/>
  <c r="Z461" i="1"/>
  <c r="AF460" i="1"/>
  <c r="AC460" i="1"/>
  <c r="AB460" i="1" s="1"/>
  <c r="AF459" i="1"/>
  <c r="AC459" i="1"/>
  <c r="AB459" i="1" s="1"/>
  <c r="AF458" i="1"/>
  <c r="AC458" i="1"/>
  <c r="AF457" i="1"/>
  <c r="AC457" i="1"/>
  <c r="AF456" i="1"/>
  <c r="AC456" i="1"/>
  <c r="AB456" i="1" s="1"/>
  <c r="AF455" i="1"/>
  <c r="AC455" i="1"/>
  <c r="AB455" i="1" s="1"/>
  <c r="AF454" i="1"/>
  <c r="AC454" i="1"/>
  <c r="AF453" i="1"/>
  <c r="AC453" i="1"/>
  <c r="AB453" i="1" s="1"/>
  <c r="AF452" i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F419" i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59" i="1"/>
  <c r="O359" i="1"/>
  <c r="L359" i="1"/>
  <c r="J359" i="1"/>
  <c r="I359" i="1"/>
  <c r="G359" i="1"/>
  <c r="F359" i="1"/>
  <c r="D359" i="1"/>
  <c r="M359" i="1" s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30" i="1"/>
  <c r="L330" i="1"/>
  <c r="I330" i="1"/>
  <c r="F330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R312" i="1" s="1"/>
  <c r="L312" i="1"/>
  <c r="J312" i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P303" i="1" s="1"/>
  <c r="L303" i="1"/>
  <c r="J303" i="1"/>
  <c r="I303" i="1"/>
  <c r="G303" i="1"/>
  <c r="H303" i="1" s="1"/>
  <c r="F303" i="1"/>
  <c r="D303" i="1"/>
  <c r="E303" i="1" s="1"/>
  <c r="Q302" i="1"/>
  <c r="O302" i="1"/>
  <c r="R302" i="1" s="1"/>
  <c r="L302" i="1"/>
  <c r="J302" i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N256" i="1" l="1"/>
  <c r="N259" i="1"/>
  <c r="N262" i="1"/>
  <c r="N267" i="1"/>
  <c r="N270" i="1"/>
  <c r="N273" i="1"/>
  <c r="N276" i="1"/>
  <c r="N191" i="1"/>
  <c r="N255" i="1"/>
  <c r="N258" i="1"/>
  <c r="N261" i="1"/>
  <c r="N264" i="1"/>
  <c r="N269" i="1"/>
  <c r="N272" i="1"/>
  <c r="N275" i="1"/>
  <c r="N278" i="1"/>
  <c r="N281" i="1"/>
  <c r="N279" i="1"/>
  <c r="N254" i="1"/>
  <c r="N257" i="1"/>
  <c r="N260" i="1"/>
  <c r="N263" i="1"/>
  <c r="N268" i="1"/>
  <c r="N271" i="1"/>
  <c r="N274" i="1"/>
  <c r="N277" i="1"/>
  <c r="N280" i="1"/>
  <c r="AL462" i="1"/>
  <c r="AN462" i="1" s="1"/>
  <c r="Z463" i="1"/>
  <c r="AN463" i="1"/>
  <c r="N175" i="1"/>
  <c r="AN464" i="1"/>
  <c r="Z464" i="1"/>
  <c r="Z462" i="1"/>
  <c r="P296" i="1"/>
  <c r="M175" i="1"/>
  <c r="E296" i="1"/>
  <c r="R297" i="1"/>
  <c r="N203" i="1"/>
  <c r="K301" i="1"/>
  <c r="M301" i="1"/>
  <c r="M247" i="1"/>
  <c r="M299" i="1"/>
  <c r="N200" i="1"/>
  <c r="N244" i="1"/>
  <c r="N245" i="1" s="1"/>
  <c r="N220" i="1"/>
  <c r="K303" i="1"/>
  <c r="M303" i="1"/>
  <c r="M297" i="1"/>
  <c r="K312" i="1"/>
  <c r="M312" i="1"/>
  <c r="M244" i="1"/>
  <c r="AH461" i="1"/>
  <c r="AI461" i="1"/>
  <c r="N211" i="1"/>
  <c r="N223" i="1"/>
  <c r="M241" i="1"/>
  <c r="K296" i="1"/>
  <c r="M296" i="1"/>
  <c r="M298" i="1"/>
  <c r="M300" i="1"/>
  <c r="K302" i="1"/>
  <c r="M302" i="1"/>
  <c r="M307" i="1"/>
  <c r="M295" i="1"/>
  <c r="M308" i="1"/>
  <c r="M172" i="1"/>
  <c r="M178" i="1"/>
  <c r="N241" i="1"/>
  <c r="N302" i="1"/>
  <c r="K311" i="1"/>
  <c r="M311" i="1"/>
  <c r="N320" i="1"/>
  <c r="N323" i="1"/>
  <c r="N326" i="1"/>
  <c r="N330" i="1"/>
  <c r="N333" i="1"/>
  <c r="N336" i="1"/>
  <c r="N339" i="1"/>
  <c r="N342" i="1"/>
  <c r="N303" i="1"/>
  <c r="N247" i="1"/>
  <c r="N178" i="1"/>
  <c r="N311" i="1"/>
  <c r="N188" i="1"/>
  <c r="N163" i="1"/>
  <c r="N122" i="1"/>
  <c r="N184" i="1"/>
  <c r="N319" i="1"/>
  <c r="N322" i="1"/>
  <c r="N325" i="1"/>
  <c r="N328" i="1"/>
  <c r="N332" i="1"/>
  <c r="N335" i="1"/>
  <c r="N338" i="1"/>
  <c r="N344" i="1"/>
  <c r="N172" i="1"/>
  <c r="N199" i="1"/>
  <c r="N202" i="1"/>
  <c r="N208" i="1"/>
  <c r="N213" i="1"/>
  <c r="N216" i="1"/>
  <c r="N219" i="1"/>
  <c r="N222" i="1"/>
  <c r="N225" i="1"/>
  <c r="M100" i="1"/>
  <c r="N295" i="1"/>
  <c r="N298" i="1"/>
  <c r="N301" i="1"/>
  <c r="K297" i="1"/>
  <c r="E299" i="1"/>
  <c r="N359" i="1"/>
  <c r="N361" i="1" s="1"/>
  <c r="N99" i="1"/>
  <c r="N103" i="1"/>
  <c r="N153" i="1"/>
  <c r="S205" i="1"/>
  <c r="N205" i="1"/>
  <c r="E297" i="1"/>
  <c r="K298" i="1"/>
  <c r="S341" i="1"/>
  <c r="N341" i="1"/>
  <c r="N135" i="1"/>
  <c r="N307" i="1"/>
  <c r="N100" i="1"/>
  <c r="N104" i="1"/>
  <c r="P301" i="1"/>
  <c r="N312" i="1"/>
  <c r="S206" i="1"/>
  <c r="N206" i="1"/>
  <c r="S214" i="1"/>
  <c r="N214" i="1"/>
  <c r="S217" i="1"/>
  <c r="N217" i="1"/>
  <c r="N297" i="1"/>
  <c r="N300" i="1"/>
  <c r="M99" i="1"/>
  <c r="AB450" i="1"/>
  <c r="N198" i="1"/>
  <c r="S201" i="1"/>
  <c r="N201" i="1"/>
  <c r="N204" i="1"/>
  <c r="N207" i="1"/>
  <c r="N212" i="1"/>
  <c r="N215" i="1"/>
  <c r="S218" i="1"/>
  <c r="N218" i="1"/>
  <c r="N221" i="1"/>
  <c r="N224" i="1"/>
  <c r="N318" i="1"/>
  <c r="S321" i="1"/>
  <c r="N321" i="1"/>
  <c r="S324" i="1"/>
  <c r="N324" i="1"/>
  <c r="N327" i="1"/>
  <c r="N331" i="1"/>
  <c r="N334" i="1"/>
  <c r="N337" i="1"/>
  <c r="S340" i="1"/>
  <c r="N340" i="1"/>
  <c r="N343" i="1"/>
  <c r="N296" i="1"/>
  <c r="N299" i="1"/>
  <c r="E307" i="1"/>
  <c r="AB471" i="1"/>
  <c r="N181" i="1"/>
  <c r="P299" i="1"/>
  <c r="N308" i="1"/>
  <c r="L105" i="1"/>
  <c r="N102" i="1"/>
  <c r="K308" i="1"/>
  <c r="K307" i="1"/>
  <c r="S332" i="1"/>
  <c r="S297" i="1"/>
  <c r="K300" i="1"/>
  <c r="S320" i="1"/>
  <c r="S326" i="1"/>
  <c r="S336" i="1"/>
  <c r="AB475" i="1"/>
  <c r="S255" i="1"/>
  <c r="S261" i="1"/>
  <c r="S272" i="1"/>
  <c r="S275" i="1"/>
  <c r="S278" i="1"/>
  <c r="P300" i="1"/>
  <c r="P297" i="1"/>
  <c r="S300" i="1"/>
  <c r="R303" i="1"/>
  <c r="S276" i="1"/>
  <c r="S219" i="1"/>
  <c r="S298" i="1"/>
  <c r="E300" i="1"/>
  <c r="S343" i="1"/>
  <c r="S279" i="1"/>
  <c r="F185" i="1"/>
  <c r="P298" i="1"/>
  <c r="S301" i="1"/>
  <c r="P308" i="1"/>
  <c r="S203" i="1"/>
  <c r="S257" i="1"/>
  <c r="S263" i="1"/>
  <c r="S271" i="1"/>
  <c r="S277" i="1"/>
  <c r="AB414" i="1"/>
  <c r="P302" i="1"/>
  <c r="S260" i="1"/>
  <c r="S223" i="1"/>
  <c r="S268" i="1"/>
  <c r="S339" i="1"/>
  <c r="S104" i="1"/>
  <c r="AB461" i="1"/>
  <c r="S215" i="1"/>
  <c r="S247" i="1"/>
  <c r="S103" i="1"/>
  <c r="S337" i="1"/>
  <c r="AB447" i="1"/>
  <c r="P312" i="1"/>
  <c r="S244" i="1"/>
  <c r="S199" i="1"/>
  <c r="E298" i="1"/>
  <c r="K299" i="1"/>
  <c r="P307" i="1"/>
  <c r="S322" i="1"/>
  <c r="S325" i="1"/>
  <c r="S328" i="1"/>
  <c r="S208" i="1"/>
  <c r="S222" i="1"/>
  <c r="S259" i="1"/>
  <c r="S296" i="1"/>
  <c r="S303" i="1"/>
  <c r="AB439" i="1"/>
  <c r="AB448" i="1"/>
  <c r="AL447" i="1"/>
  <c r="S270" i="1"/>
  <c r="S273" i="1"/>
  <c r="E308" i="1"/>
  <c r="S312" i="1"/>
  <c r="S102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S200" i="1"/>
  <c r="S202" i="1"/>
  <c r="S204" i="1"/>
  <c r="S274" i="1"/>
  <c r="P311" i="1"/>
  <c r="S331" i="1"/>
  <c r="S267" i="1"/>
  <c r="S269" i="1"/>
  <c r="S280" i="1"/>
  <c r="S307" i="1"/>
  <c r="S207" i="1"/>
  <c r="S213" i="1"/>
  <c r="S221" i="1"/>
  <c r="S302" i="1"/>
  <c r="S308" i="1"/>
  <c r="S330" i="1"/>
  <c r="S333" i="1"/>
  <c r="S335" i="1"/>
  <c r="S256" i="1"/>
  <c r="S258" i="1"/>
  <c r="S262" i="1"/>
  <c r="S299" i="1"/>
  <c r="S342" i="1"/>
  <c r="S264" i="1"/>
  <c r="S311" i="1"/>
  <c r="AN455" i="1"/>
  <c r="AO455" i="1"/>
  <c r="AN453" i="1"/>
  <c r="AO453" i="1" s="1"/>
  <c r="AN460" i="1"/>
  <c r="AO460" i="1" s="1"/>
  <c r="AN456" i="1"/>
  <c r="AO456" i="1" s="1"/>
  <c r="AN459" i="1"/>
  <c r="AO459" i="1" s="1"/>
  <c r="AN468" i="1"/>
  <c r="AO468" i="1" s="1"/>
  <c r="AN458" i="1"/>
  <c r="AO458" i="1" s="1"/>
  <c r="AN419" i="1"/>
  <c r="AO419" i="1" s="1"/>
  <c r="AB472" i="1"/>
  <c r="AN452" i="1"/>
  <c r="AO452" i="1" s="1"/>
  <c r="AN457" i="1"/>
  <c r="AO457" i="1" s="1"/>
  <c r="AN454" i="1"/>
  <c r="AO454" i="1" s="1"/>
  <c r="AB435" i="1"/>
  <c r="AB443" i="1"/>
  <c r="M102" i="1"/>
  <c r="M103" i="1"/>
  <c r="M104" i="1"/>
  <c r="R102" i="1"/>
  <c r="R103" i="1"/>
  <c r="R104" i="1"/>
  <c r="S334" i="1"/>
  <c r="S338" i="1"/>
  <c r="S319" i="1"/>
  <c r="S323" i="1"/>
  <c r="S327" i="1"/>
  <c r="R300" i="1"/>
  <c r="R307" i="1"/>
  <c r="R308" i="1"/>
  <c r="R296" i="1"/>
  <c r="R298" i="1"/>
  <c r="R299" i="1"/>
  <c r="S212" i="1"/>
  <c r="S216" i="1"/>
  <c r="S220" i="1"/>
  <c r="S224" i="1"/>
  <c r="N285" i="1" l="1"/>
  <c r="N250" i="1"/>
  <c r="N248" i="1"/>
  <c r="N185" i="1"/>
  <c r="N194" i="1" s="1"/>
  <c r="N304" i="1"/>
  <c r="N348" i="1"/>
  <c r="N155" i="1"/>
  <c r="N229" i="1"/>
  <c r="N210" i="1"/>
  <c r="N105" i="1"/>
  <c r="N231" i="1" l="1"/>
  <c r="N233" i="1" s="1"/>
  <c r="N234" i="1" s="1"/>
  <c r="N309" i="1"/>
  <c r="D96" i="1"/>
  <c r="F96" i="1"/>
  <c r="G96" i="1"/>
  <c r="H96" i="1" s="1"/>
  <c r="I96" i="1"/>
  <c r="J96" i="1"/>
  <c r="L96" i="1"/>
  <c r="A96" i="1"/>
  <c r="N314" i="1" l="1"/>
  <c r="M96" i="1"/>
  <c r="N96" i="1"/>
  <c r="K96" i="1"/>
  <c r="E96" i="1"/>
  <c r="Z491" i="1"/>
  <c r="Z490" i="1"/>
  <c r="Z468" i="1"/>
  <c r="Z460" i="1"/>
  <c r="Z457" i="1"/>
  <c r="AH468" i="1" l="1"/>
  <c r="AI468" i="1" s="1"/>
  <c r="AH491" i="1"/>
  <c r="AI491" i="1"/>
  <c r="AH457" i="1"/>
  <c r="AI457" i="1" s="1"/>
  <c r="AH460" i="1"/>
  <c r="AI460" i="1" s="1"/>
  <c r="AH490" i="1"/>
  <c r="AI490" i="1" s="1"/>
  <c r="Z419" i="1"/>
  <c r="Z459" i="1"/>
  <c r="Z452" i="1"/>
  <c r="Z453" i="1"/>
  <c r="Z454" i="1"/>
  <c r="Z455" i="1"/>
  <c r="Z456" i="1"/>
  <c r="Z492" i="1"/>
  <c r="Z458" i="1"/>
  <c r="AH454" i="1" l="1"/>
  <c r="AI454" i="1" s="1"/>
  <c r="AH452" i="1"/>
  <c r="AI452" i="1" s="1"/>
  <c r="AH459" i="1"/>
  <c r="AI459" i="1" s="1"/>
  <c r="AH456" i="1"/>
  <c r="AI456" i="1" s="1"/>
  <c r="AH453" i="1"/>
  <c r="AI453" i="1" s="1"/>
  <c r="AH419" i="1"/>
  <c r="AI419" i="1" s="1"/>
  <c r="AH458" i="1"/>
  <c r="AI458" i="1" s="1"/>
  <c r="AH492" i="1"/>
  <c r="AI492" i="1"/>
  <c r="AH455" i="1"/>
  <c r="AI455" i="1"/>
  <c r="Z465" i="1"/>
  <c r="O96" i="1"/>
  <c r="Q96" i="1"/>
  <c r="S96" i="1" s="1"/>
  <c r="P96" i="1" l="1"/>
  <c r="R96" i="1"/>
  <c r="Q281" i="1" l="1"/>
  <c r="S281" i="1" s="1"/>
  <c r="Q225" i="1"/>
  <c r="S225" i="1" s="1"/>
  <c r="Q344" i="1" l="1"/>
  <c r="S344" i="1" s="1"/>
  <c r="Q149" i="1"/>
  <c r="Z494" i="1" l="1"/>
  <c r="Z493" i="1"/>
  <c r="AF495" i="1"/>
  <c r="AF423" i="1"/>
  <c r="AF422" i="1"/>
  <c r="AF447" i="1"/>
  <c r="AF472" i="1"/>
  <c r="AF470" i="1"/>
  <c r="Z475" i="1"/>
  <c r="AI475" i="1" s="1"/>
  <c r="AF417" i="1"/>
  <c r="AF429" i="1"/>
  <c r="AF448" i="1"/>
  <c r="Z410" i="1"/>
  <c r="AF431" i="1"/>
  <c r="AF474" i="1"/>
  <c r="AF435" i="1"/>
  <c r="AF426" i="1"/>
  <c r="AF434" i="1"/>
  <c r="AF433" i="1"/>
  <c r="AF424" i="1"/>
  <c r="AF408" i="1"/>
  <c r="AF441" i="1"/>
  <c r="AF469" i="1"/>
  <c r="AF409" i="1"/>
  <c r="AL469" i="1"/>
  <c r="AF445" i="1"/>
  <c r="Z411" i="1"/>
  <c r="Z423" i="1"/>
  <c r="AF473" i="1"/>
  <c r="Z435" i="1"/>
  <c r="AF411" i="1"/>
  <c r="AH411" i="1" s="1"/>
  <c r="AF416" i="1"/>
  <c r="Z438" i="1"/>
  <c r="Z446" i="1"/>
  <c r="AF438" i="1"/>
  <c r="AF477" i="1"/>
  <c r="AF413" i="1"/>
  <c r="Z473" i="1"/>
  <c r="AI473" i="1" s="1"/>
  <c r="AF425" i="1"/>
  <c r="AF444" i="1"/>
  <c r="AF436" i="1"/>
  <c r="Z443" i="1"/>
  <c r="AH438" i="1" l="1"/>
  <c r="AI438" i="1" s="1"/>
  <c r="AI411" i="1"/>
  <c r="AH493" i="1"/>
  <c r="AI493" i="1"/>
  <c r="AH494" i="1"/>
  <c r="AI494" i="1"/>
  <c r="AH473" i="1"/>
  <c r="AH435" i="1"/>
  <c r="AI435" i="1" s="1"/>
  <c r="AH423" i="1"/>
  <c r="AI423" i="1" s="1"/>
  <c r="AF440" i="1"/>
  <c r="AF439" i="1"/>
  <c r="Z412" i="1"/>
  <c r="AF475" i="1"/>
  <c r="AH475" i="1" s="1"/>
  <c r="Z436" i="1"/>
  <c r="Z444" i="1"/>
  <c r="Z408" i="1"/>
  <c r="Z427" i="1"/>
  <c r="Z434" i="1"/>
  <c r="Z414" i="1"/>
  <c r="AF443" i="1"/>
  <c r="AH443" i="1" s="1"/>
  <c r="AI443" i="1" s="1"/>
  <c r="AF476" i="1"/>
  <c r="Z429" i="1"/>
  <c r="Z479" i="1"/>
  <c r="AF421" i="1"/>
  <c r="AF437" i="1"/>
  <c r="AF412" i="1"/>
  <c r="Z440" i="1"/>
  <c r="Z496" i="1"/>
  <c r="AI496" i="1" s="1"/>
  <c r="Z430" i="1"/>
  <c r="Z441" i="1"/>
  <c r="AF428" i="1"/>
  <c r="AF471" i="1"/>
  <c r="Z413" i="1"/>
  <c r="Z409" i="1"/>
  <c r="AF415" i="1"/>
  <c r="AE415" i="1" s="1"/>
  <c r="AF449" i="1"/>
  <c r="AN449" i="1" s="1"/>
  <c r="AO449" i="1" s="1"/>
  <c r="Z433" i="1"/>
  <c r="Z495" i="1"/>
  <c r="AF410" i="1"/>
  <c r="AH410" i="1" s="1"/>
  <c r="AI410" i="1" s="1"/>
  <c r="AF427" i="1"/>
  <c r="AF430" i="1"/>
  <c r="Z421" i="1"/>
  <c r="AF414" i="1"/>
  <c r="Z437" i="1"/>
  <c r="Z420" i="1"/>
  <c r="AF446" i="1"/>
  <c r="AH446" i="1" s="1"/>
  <c r="AI446" i="1" s="1"/>
  <c r="AF479" i="1"/>
  <c r="Z445" i="1"/>
  <c r="Z474" i="1"/>
  <c r="AF442" i="1"/>
  <c r="Z469" i="1"/>
  <c r="Z428" i="1"/>
  <c r="Z471" i="1"/>
  <c r="Z442" i="1"/>
  <c r="Z447" i="1"/>
  <c r="AF496" i="1"/>
  <c r="AN426" i="1"/>
  <c r="AO426" i="1" s="1"/>
  <c r="AF450" i="1"/>
  <c r="AE416" i="1"/>
  <c r="AH416" i="1"/>
  <c r="AN416" i="1"/>
  <c r="AO416" i="1" s="1"/>
  <c r="AH431" i="1"/>
  <c r="AN431" i="1"/>
  <c r="AO431" i="1" s="1"/>
  <c r="AF478" i="1"/>
  <c r="AN425" i="1"/>
  <c r="AO425" i="1" s="1"/>
  <c r="AN424" i="1"/>
  <c r="AO424" i="1" s="1"/>
  <c r="AE417" i="1"/>
  <c r="AN417" i="1"/>
  <c r="AO417" i="1" s="1"/>
  <c r="AH417" i="1"/>
  <c r="Z470" i="1"/>
  <c r="Z422" i="1"/>
  <c r="Z472" i="1"/>
  <c r="Z439" i="1"/>
  <c r="AL470" i="1"/>
  <c r="AN470" i="1" s="1"/>
  <c r="AO470" i="1" s="1"/>
  <c r="AL496" i="1"/>
  <c r="AL495" i="1"/>
  <c r="AL494" i="1"/>
  <c r="AL478" i="1"/>
  <c r="AL471" i="1"/>
  <c r="AL476" i="1"/>
  <c r="AL474" i="1"/>
  <c r="AN469" i="1"/>
  <c r="AO469" i="1" s="1"/>
  <c r="AL473" i="1"/>
  <c r="AL472" i="1"/>
  <c r="AL475" i="1"/>
  <c r="AL477" i="1"/>
  <c r="Z450" i="1"/>
  <c r="AI450" i="1" s="1"/>
  <c r="Z416" i="1"/>
  <c r="AI416" i="1" s="1"/>
  <c r="Z476" i="1"/>
  <c r="AI476" i="1" s="1"/>
  <c r="AH479" i="1" l="1"/>
  <c r="AI479" i="1" s="1"/>
  <c r="AH441" i="1"/>
  <c r="AI441" i="1" s="1"/>
  <c r="AH474" i="1"/>
  <c r="AI474" i="1" s="1"/>
  <c r="AH445" i="1"/>
  <c r="AI445" i="1" s="1"/>
  <c r="AH422" i="1"/>
  <c r="AI422" i="1"/>
  <c r="AH495" i="1"/>
  <c r="AI495" i="1" s="1"/>
  <c r="AH429" i="1"/>
  <c r="AI429" i="1" s="1"/>
  <c r="AH413" i="1"/>
  <c r="AI413" i="1" s="1"/>
  <c r="AH408" i="1"/>
  <c r="AI408" i="1" s="1"/>
  <c r="AH433" i="1"/>
  <c r="AI433" i="1" s="1"/>
  <c r="AH444" i="1"/>
  <c r="AI444" i="1" s="1"/>
  <c r="AG416" i="1"/>
  <c r="AH447" i="1"/>
  <c r="AI447" i="1" s="1"/>
  <c r="AH470" i="1"/>
  <c r="AI470" i="1" s="1"/>
  <c r="AG417" i="1"/>
  <c r="AH469" i="1"/>
  <c r="AI469" i="1" s="1"/>
  <c r="AG415" i="1"/>
  <c r="AH436" i="1"/>
  <c r="AI436" i="1" s="1"/>
  <c r="AH472" i="1"/>
  <c r="AI472" i="1"/>
  <c r="AH409" i="1"/>
  <c r="AI409" i="1" s="1"/>
  <c r="AH434" i="1"/>
  <c r="AI434" i="1" s="1"/>
  <c r="AH430" i="1"/>
  <c r="AI430" i="1" s="1"/>
  <c r="AH427" i="1"/>
  <c r="AI427" i="1" s="1"/>
  <c r="AH414" i="1"/>
  <c r="AI414" i="1" s="1"/>
  <c r="AN496" i="1"/>
  <c r="AO496" i="1" s="1"/>
  <c r="AH471" i="1"/>
  <c r="AI471" i="1" s="1"/>
  <c r="AH420" i="1"/>
  <c r="AI420" i="1" s="1"/>
  <c r="AH412" i="1"/>
  <c r="AI412" i="1" s="1"/>
  <c r="AH428" i="1"/>
  <c r="AI428" i="1" s="1"/>
  <c r="AH442" i="1"/>
  <c r="AI442" i="1" s="1"/>
  <c r="AH437" i="1"/>
  <c r="AI437" i="1" s="1"/>
  <c r="AH421" i="1"/>
  <c r="AI421" i="1" s="1"/>
  <c r="AH439" i="1"/>
  <c r="AI439" i="1" s="1"/>
  <c r="AH476" i="1"/>
  <c r="AH440" i="1"/>
  <c r="AI440" i="1" s="1"/>
  <c r="AH449" i="1"/>
  <c r="AN478" i="1"/>
  <c r="AL465" i="1"/>
  <c r="AN415" i="1"/>
  <c r="AO415" i="1" s="1"/>
  <c r="AH415" i="1"/>
  <c r="AE496" i="1"/>
  <c r="AH496" i="1"/>
  <c r="AO478" i="1"/>
  <c r="AH450" i="1"/>
  <c r="AN450" i="1"/>
  <c r="AO450" i="1" s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N494" i="1"/>
  <c r="AO494" i="1"/>
  <c r="AN495" i="1"/>
  <c r="AO495" i="1" s="1"/>
  <c r="AN474" i="1"/>
  <c r="AO474" i="1" s="1"/>
  <c r="AN477" i="1"/>
  <c r="AO477" i="1" s="1"/>
  <c r="AN473" i="1"/>
  <c r="AO473" i="1" s="1"/>
  <c r="AO475" i="1"/>
  <c r="AN475" i="1"/>
  <c r="AO476" i="1"/>
  <c r="AN476" i="1"/>
  <c r="AO472" i="1"/>
  <c r="AN472" i="1"/>
  <c r="AN471" i="1"/>
  <c r="AO471" i="1" s="1"/>
  <c r="AH477" i="1" l="1"/>
  <c r="AI477" i="1"/>
  <c r="AH448" i="1"/>
  <c r="AH451" i="1" s="1"/>
  <c r="AI448" i="1"/>
  <c r="AH424" i="1"/>
  <c r="AI424" i="1"/>
  <c r="AH426" i="1"/>
  <c r="AI426" i="1"/>
  <c r="AH425" i="1"/>
  <c r="AI425" i="1"/>
  <c r="AH478" i="1"/>
  <c r="AI478" i="1"/>
  <c r="AH418" i="1"/>
  <c r="AG496" i="1"/>
  <c r="Z451" i="1"/>
  <c r="Z432" i="1"/>
  <c r="AL479" i="1"/>
  <c r="AL480" i="1" s="1"/>
  <c r="AI451" i="1" l="1"/>
  <c r="AH432" i="1"/>
  <c r="AI432" i="1" s="1"/>
  <c r="AH480" i="1"/>
  <c r="AN479" i="1"/>
  <c r="AO479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H464" i="1" s="1"/>
  <c r="AC463" i="1"/>
  <c r="AH463" i="1" s="1"/>
  <c r="AC462" i="1"/>
  <c r="AH462" i="1" s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J361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L265" i="1"/>
  <c r="I265" i="1"/>
  <c r="F265" i="1"/>
  <c r="F93" i="1"/>
  <c r="N366" i="1" l="1"/>
  <c r="N379" i="1"/>
  <c r="AH465" i="1"/>
  <c r="N367" i="1"/>
  <c r="N380" i="1"/>
  <c r="N368" i="1"/>
  <c r="N381" i="1"/>
  <c r="N369" i="1"/>
  <c r="N382" i="1"/>
  <c r="N370" i="1"/>
  <c r="N383" i="1"/>
  <c r="N371" i="1"/>
  <c r="N384" i="1"/>
  <c r="N372" i="1"/>
  <c r="N385" i="1"/>
  <c r="N373" i="1"/>
  <c r="N386" i="1"/>
  <c r="N374" i="1"/>
  <c r="N387" i="1"/>
  <c r="N388" i="1"/>
  <c r="N364" i="1"/>
  <c r="N377" i="1"/>
  <c r="N389" i="1"/>
  <c r="N365" i="1"/>
  <c r="N378" i="1"/>
  <c r="N390" i="1"/>
  <c r="Q176" i="1"/>
  <c r="I248" i="1"/>
  <c r="L176" i="1"/>
  <c r="Q242" i="1"/>
  <c r="Q179" i="1"/>
  <c r="Q192" i="1"/>
  <c r="I189" i="1"/>
  <c r="H361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29" i="1"/>
  <c r="P359" i="1"/>
  <c r="H174" i="1"/>
  <c r="I210" i="1"/>
  <c r="L185" i="1"/>
  <c r="L194" i="1" s="1"/>
  <c r="L182" i="1"/>
  <c r="Q266" i="1"/>
  <c r="P266" i="1" s="1"/>
  <c r="L304" i="1"/>
  <c r="L309" i="1" s="1"/>
  <c r="L314" i="1" s="1"/>
  <c r="H359" i="1"/>
  <c r="I394" i="1"/>
  <c r="H394" i="1" s="1"/>
  <c r="K359" i="1"/>
  <c r="Q376" i="1"/>
  <c r="P376" i="1" s="1"/>
  <c r="I185" i="1"/>
  <c r="I194" i="1" s="1"/>
  <c r="L376" i="1"/>
  <c r="Q250" i="1"/>
  <c r="I376" i="1"/>
  <c r="L189" i="1"/>
  <c r="J304" i="1"/>
  <c r="Q394" i="1"/>
  <c r="P394" i="1" s="1"/>
  <c r="I266" i="1"/>
  <c r="I285" i="1"/>
  <c r="P295" i="1"/>
  <c r="Q348" i="1"/>
  <c r="L394" i="1"/>
  <c r="K394" i="1" s="1"/>
  <c r="Q361" i="1"/>
  <c r="L361" i="1"/>
  <c r="K361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AH467" i="1" l="1"/>
  <c r="AI465" i="1"/>
  <c r="K194" i="1"/>
  <c r="L195" i="1" s="1"/>
  <c r="I97" i="1"/>
  <c r="N75" i="1"/>
  <c r="M94" i="1"/>
  <c r="N76" i="1"/>
  <c r="N77" i="1"/>
  <c r="N78" i="1"/>
  <c r="L97" i="1"/>
  <c r="N94" i="1"/>
  <c r="N79" i="1"/>
  <c r="M95" i="1"/>
  <c r="N80" i="1"/>
  <c r="N95" i="1"/>
  <c r="N81" i="1"/>
  <c r="D97" i="1"/>
  <c r="G97" i="1"/>
  <c r="H119" i="1" s="1"/>
  <c r="F97" i="1"/>
  <c r="J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K95" i="1"/>
  <c r="Q396" i="1"/>
  <c r="P396" i="1" s="1"/>
  <c r="Q350" i="1"/>
  <c r="P350" i="1" s="1"/>
  <c r="H266" i="1"/>
  <c r="H100" i="1"/>
  <c r="Q287" i="1"/>
  <c r="Q289" i="1" s="1"/>
  <c r="Q290" i="1" s="1"/>
  <c r="K304" i="1"/>
  <c r="L396" i="1"/>
  <c r="K396" i="1" s="1"/>
  <c r="K100" i="1"/>
  <c r="H376" i="1"/>
  <c r="Q83" i="1"/>
  <c r="J309" i="1"/>
  <c r="K94" i="1"/>
  <c r="K329" i="1"/>
  <c r="P285" i="1"/>
  <c r="E100" i="1"/>
  <c r="I195" i="1"/>
  <c r="K376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L186" i="1"/>
  <c r="K210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15" i="1" l="1"/>
  <c r="N15" i="1"/>
  <c r="H113" i="1"/>
  <c r="M97" i="1"/>
  <c r="H120" i="1"/>
  <c r="N48" i="1"/>
  <c r="H115" i="1"/>
  <c r="E114" i="1"/>
  <c r="M98" i="1"/>
  <c r="J314" i="1"/>
  <c r="M6" i="1"/>
  <c r="N44" i="1"/>
  <c r="H121" i="1"/>
  <c r="H116" i="1"/>
  <c r="H117" i="1"/>
  <c r="H114" i="1"/>
  <c r="H118" i="1"/>
  <c r="N22" i="1"/>
  <c r="H97" i="1"/>
  <c r="M7" i="1"/>
  <c r="N7" i="1"/>
  <c r="N6" i="1"/>
  <c r="N34" i="1"/>
  <c r="E121" i="1"/>
  <c r="N52" i="1"/>
  <c r="N36" i="1"/>
  <c r="M8" i="1"/>
  <c r="N67" i="1"/>
  <c r="N35" i="1"/>
  <c r="E113" i="1"/>
  <c r="N66" i="1"/>
  <c r="E120" i="1"/>
  <c r="E115" i="1"/>
  <c r="E117" i="1"/>
  <c r="E116" i="1"/>
  <c r="E119" i="1"/>
  <c r="N21" i="1"/>
  <c r="N46" i="1"/>
  <c r="N50" i="1"/>
  <c r="E118" i="1"/>
  <c r="N60" i="1"/>
  <c r="N61" i="1"/>
  <c r="M9" i="1"/>
  <c r="N45" i="1"/>
  <c r="N49" i="1"/>
  <c r="N56" i="1"/>
  <c r="M108" i="1"/>
  <c r="M105" i="1"/>
  <c r="M17" i="1"/>
  <c r="N57" i="1"/>
  <c r="N37" i="1"/>
  <c r="N55" i="1"/>
  <c r="N17" i="1"/>
  <c r="N58" i="1"/>
  <c r="N97" i="1"/>
  <c r="L54" i="1"/>
  <c r="N42" i="1"/>
  <c r="N59" i="1"/>
  <c r="N8" i="1"/>
  <c r="N32" i="1"/>
  <c r="N43" i="1"/>
  <c r="N47" i="1"/>
  <c r="N51" i="1"/>
  <c r="N62" i="1"/>
  <c r="N23" i="1"/>
  <c r="N31" i="1"/>
  <c r="N9" i="1"/>
  <c r="N19" i="1"/>
  <c r="N33" i="1"/>
  <c r="N63" i="1"/>
  <c r="N64" i="1"/>
  <c r="N65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AN447" i="1"/>
  <c r="AO447" i="1" s="1"/>
  <c r="L398" i="1"/>
  <c r="L399" i="1" s="1"/>
  <c r="I398" i="1"/>
  <c r="H287" i="1"/>
  <c r="P287" i="1"/>
  <c r="K309" i="1"/>
  <c r="Q398" i="1"/>
  <c r="Q399" i="1" s="1"/>
  <c r="Q352" i="1"/>
  <c r="Q353" i="1" s="1"/>
  <c r="P314" i="1"/>
  <c r="P309" i="1"/>
  <c r="H314" i="1"/>
  <c r="H309" i="1"/>
  <c r="Q195" i="1"/>
  <c r="R194" i="1" s="1"/>
  <c r="P210" i="1"/>
  <c r="N108" i="1" l="1"/>
  <c r="N98" i="1"/>
  <c r="K314" i="1"/>
  <c r="N24" i="1"/>
  <c r="O13" i="2"/>
  <c r="N165" i="1" l="1"/>
  <c r="O10" i="2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A389" i="1"/>
  <c r="S388" i="1"/>
  <c r="A388" i="1"/>
  <c r="S387" i="1"/>
  <c r="A387" i="1"/>
  <c r="S386" i="1"/>
  <c r="A386" i="1"/>
  <c r="A385" i="1"/>
  <c r="S384" i="1"/>
  <c r="A384" i="1"/>
  <c r="S383" i="1"/>
  <c r="A383" i="1"/>
  <c r="A382" i="1"/>
  <c r="S381" i="1"/>
  <c r="A381" i="1"/>
  <c r="S380" i="1"/>
  <c r="A380" i="1"/>
  <c r="S379" i="1"/>
  <c r="A379" i="1"/>
  <c r="S378" i="1"/>
  <c r="A378" i="1"/>
  <c r="A377" i="1"/>
  <c r="A376" i="1"/>
  <c r="S375" i="1"/>
  <c r="A375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A366" i="1"/>
  <c r="S365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N329" i="1"/>
  <c r="N350" i="1" s="1"/>
  <c r="N352" i="1" s="1"/>
  <c r="N353" i="1" s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N265" i="1"/>
  <c r="A265" i="1"/>
  <c r="A264" i="1"/>
  <c r="A263" i="1"/>
  <c r="A262" i="1"/>
  <c r="A261" i="1"/>
  <c r="A260" i="1"/>
  <c r="A259" i="1"/>
  <c r="A258" i="1"/>
  <c r="A257" i="1"/>
  <c r="A256" i="1"/>
  <c r="A255" i="1"/>
  <c r="L266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R241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S211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S198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S184" i="1"/>
  <c r="A184" i="1"/>
  <c r="A183" i="1"/>
  <c r="M182" i="1"/>
  <c r="A182" i="1"/>
  <c r="R181" i="1"/>
  <c r="A181" i="1"/>
  <c r="A180" i="1"/>
  <c r="R179" i="1"/>
  <c r="A179" i="1"/>
  <c r="R178" i="1"/>
  <c r="F179" i="1"/>
  <c r="N179" i="1" s="1"/>
  <c r="A178" i="1"/>
  <c r="A177" i="1"/>
  <c r="A176" i="1"/>
  <c r="R175" i="1"/>
  <c r="A175" i="1"/>
  <c r="E174" i="1"/>
  <c r="A174" i="1"/>
  <c r="A173" i="1"/>
  <c r="R172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S100" i="1"/>
  <c r="R100" i="1"/>
  <c r="A100" i="1"/>
  <c r="A99" i="1"/>
  <c r="H98" i="1"/>
  <c r="E98" i="1"/>
  <c r="A98" i="1"/>
  <c r="O108" i="1"/>
  <c r="J108" i="1"/>
  <c r="A97" i="1"/>
  <c r="S95" i="1"/>
  <c r="R95" i="1"/>
  <c r="A95" i="1"/>
  <c r="S94" i="1"/>
  <c r="R94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B67" i="1"/>
  <c r="A67" i="1" s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B36" i="1"/>
  <c r="A36" i="1" s="1"/>
  <c r="B35" i="1"/>
  <c r="S34" i="1"/>
  <c r="B34" i="1"/>
  <c r="A34" i="1" s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B20" i="1"/>
  <c r="A20" i="1" s="1"/>
  <c r="R19" i="1"/>
  <c r="B19" i="1"/>
  <c r="B18" i="1"/>
  <c r="A18" i="1" s="1"/>
  <c r="R17" i="1"/>
  <c r="P17" i="1"/>
  <c r="K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F108" i="1" l="1"/>
  <c r="N109" i="1" s="1"/>
  <c r="N106" i="1"/>
  <c r="R97" i="1"/>
  <c r="R98" i="1" s="1"/>
  <c r="AK417" i="1"/>
  <c r="AM417" i="1" s="1"/>
  <c r="AK493" i="1"/>
  <c r="AK492" i="1"/>
  <c r="AK416" i="1"/>
  <c r="AM416" i="1" s="1"/>
  <c r="AK489" i="1"/>
  <c r="AK490" i="1"/>
  <c r="AK415" i="1"/>
  <c r="AM415" i="1" s="1"/>
  <c r="AK491" i="1"/>
  <c r="AK496" i="1"/>
  <c r="AM496" i="1" s="1"/>
  <c r="AK494" i="1"/>
  <c r="AK495" i="1"/>
  <c r="AE413" i="1"/>
  <c r="AE414" i="1"/>
  <c r="AE409" i="1"/>
  <c r="AE412" i="1"/>
  <c r="AE411" i="1"/>
  <c r="AE410" i="1"/>
  <c r="S97" i="1"/>
  <c r="S98" i="1" s="1"/>
  <c r="A7" i="1"/>
  <c r="I10" i="2"/>
  <c r="L108" i="1"/>
  <c r="A21" i="1"/>
  <c r="J112" i="1"/>
  <c r="K22" i="1"/>
  <c r="R22" i="1" s="1"/>
  <c r="A23" i="1"/>
  <c r="O24" i="1"/>
  <c r="A33" i="1"/>
  <c r="A15" i="1"/>
  <c r="E361" i="1"/>
  <c r="K23" i="1"/>
  <c r="R23" i="1" s="1"/>
  <c r="K21" i="1"/>
  <c r="R21" i="1" s="1"/>
  <c r="R13" i="1"/>
  <c r="R14" i="1" s="1"/>
  <c r="P6" i="1"/>
  <c r="N10" i="1"/>
  <c r="S15" i="1"/>
  <c r="G105" i="1"/>
  <c r="G108" i="1"/>
  <c r="S7" i="1"/>
  <c r="H6" i="1"/>
  <c r="S8" i="1"/>
  <c r="H22" i="1"/>
  <c r="A32" i="1"/>
  <c r="S37" i="1"/>
  <c r="N38" i="1"/>
  <c r="A44" i="1"/>
  <c r="S45" i="1"/>
  <c r="A52" i="1"/>
  <c r="S53" i="1"/>
  <c r="N53" i="1"/>
  <c r="N54" i="1" s="1"/>
  <c r="A76" i="1"/>
  <c r="E95" i="1"/>
  <c r="V484" i="1"/>
  <c r="A484" i="1" s="1"/>
  <c r="V401" i="1"/>
  <c r="C291" i="1"/>
  <c r="C355" i="1" s="1"/>
  <c r="C236" i="1"/>
  <c r="C168" i="1"/>
  <c r="C89" i="1"/>
  <c r="A81" i="1"/>
  <c r="S112" i="1"/>
  <c r="P21" i="1"/>
  <c r="A9" i="1"/>
  <c r="H17" i="1"/>
  <c r="S17" i="1"/>
  <c r="E21" i="1"/>
  <c r="I24" i="1"/>
  <c r="E23" i="1"/>
  <c r="J24" i="1"/>
  <c r="A39" i="1"/>
  <c r="P39" i="1"/>
  <c r="S40" i="1"/>
  <c r="Q54" i="1"/>
  <c r="A46" i="1"/>
  <c r="F72" i="1"/>
  <c r="N69" i="1"/>
  <c r="S78" i="1"/>
  <c r="A78" i="1"/>
  <c r="O105" i="1"/>
  <c r="P97" i="1"/>
  <c r="I122" i="1"/>
  <c r="G112" i="1"/>
  <c r="E12" i="1"/>
  <c r="N12" i="1"/>
  <c r="S60" i="1"/>
  <c r="S64" i="1"/>
  <c r="S48" i="1"/>
  <c r="AO484" i="1"/>
  <c r="AO401" i="1"/>
  <c r="S355" i="1"/>
  <c r="S236" i="1"/>
  <c r="S168" i="1"/>
  <c r="S291" i="1"/>
  <c r="S56" i="1"/>
  <c r="A11" i="1"/>
  <c r="A19" i="1"/>
  <c r="F24" i="1"/>
  <c r="S21" i="1"/>
  <c r="H23" i="1"/>
  <c r="J27" i="1"/>
  <c r="L41" i="1"/>
  <c r="A35" i="1"/>
  <c r="S36" i="1"/>
  <c r="S49" i="1"/>
  <c r="S80" i="1"/>
  <c r="A80" i="1"/>
  <c r="E94" i="1"/>
  <c r="Q105" i="1"/>
  <c r="Q108" i="1" s="1"/>
  <c r="P108" i="1" s="1"/>
  <c r="J105" i="1"/>
  <c r="H112" i="1"/>
  <c r="S59" i="1"/>
  <c r="S63" i="1"/>
  <c r="S67" i="1"/>
  <c r="S71" i="1"/>
  <c r="A77" i="1"/>
  <c r="Q24" i="1"/>
  <c r="S46" i="1"/>
  <c r="S55" i="1"/>
  <c r="K38" i="1"/>
  <c r="A42" i="1"/>
  <c r="S43" i="1"/>
  <c r="S51" i="1"/>
  <c r="A82" i="1"/>
  <c r="S89" i="1"/>
  <c r="L122" i="1"/>
  <c r="E10" i="1"/>
  <c r="O27" i="1"/>
  <c r="P23" i="1"/>
  <c r="S70" i="1"/>
  <c r="S79" i="1"/>
  <c r="A79" i="1"/>
  <c r="K112" i="1"/>
  <c r="P112" i="1"/>
  <c r="L135" i="1"/>
  <c r="S175" i="1"/>
  <c r="E185" i="1"/>
  <c r="M181" i="1"/>
  <c r="S241" i="1"/>
  <c r="S242" i="1" s="1"/>
  <c r="L242" i="1"/>
  <c r="Q135" i="1"/>
  <c r="I153" i="1"/>
  <c r="F173" i="1"/>
  <c r="S181" i="1"/>
  <c r="M188" i="1"/>
  <c r="S188" i="1"/>
  <c r="F135" i="1"/>
  <c r="F250" i="1"/>
  <c r="N251" i="1" s="1"/>
  <c r="F245" i="1"/>
  <c r="S172" i="1"/>
  <c r="Q229" i="1"/>
  <c r="F229" i="1"/>
  <c r="R185" i="1"/>
  <c r="S186" i="1" s="1"/>
  <c r="S254" i="1"/>
  <c r="S248" i="1"/>
  <c r="S265" i="1"/>
  <c r="M361" i="1"/>
  <c r="F176" i="1"/>
  <c r="E250" i="1"/>
  <c r="S295" i="1"/>
  <c r="S329" i="1"/>
  <c r="S359" i="1"/>
  <c r="F266" i="1"/>
  <c r="N266" i="1" s="1"/>
  <c r="N287" i="1" s="1"/>
  <c r="N289" i="1" s="1"/>
  <c r="N290" i="1" s="1"/>
  <c r="F163" i="1"/>
  <c r="S393" i="1"/>
  <c r="N393" i="1"/>
  <c r="AF465" i="1"/>
  <c r="F348" i="1"/>
  <c r="E359" i="1"/>
  <c r="S366" i="1"/>
  <c r="S374" i="1"/>
  <c r="N375" i="1"/>
  <c r="N376" i="1" s="1"/>
  <c r="F376" i="1"/>
  <c r="S318" i="1"/>
  <c r="F394" i="1"/>
  <c r="E394" i="1" s="1"/>
  <c r="R295" i="1"/>
  <c r="F329" i="1"/>
  <c r="S382" i="1"/>
  <c r="S385" i="1"/>
  <c r="S377" i="1"/>
  <c r="AC465" i="1"/>
  <c r="N392" i="1"/>
  <c r="N394" i="1" l="1"/>
  <c r="E194" i="1"/>
  <c r="M185" i="1"/>
  <c r="N396" i="1"/>
  <c r="N398" i="1" s="1"/>
  <c r="N399" i="1" s="1"/>
  <c r="AL448" i="1"/>
  <c r="AL439" i="1"/>
  <c r="AL429" i="1"/>
  <c r="AN429" i="1" s="1"/>
  <c r="AO429" i="1" s="1"/>
  <c r="AL408" i="1"/>
  <c r="AL412" i="1"/>
  <c r="AL420" i="1"/>
  <c r="AL440" i="1"/>
  <c r="AN440" i="1" s="1"/>
  <c r="AO440" i="1" s="1"/>
  <c r="AL441" i="1"/>
  <c r="AN441" i="1" s="1"/>
  <c r="AO441" i="1" s="1"/>
  <c r="AL411" i="1"/>
  <c r="AL430" i="1"/>
  <c r="AN430" i="1" s="1"/>
  <c r="AO430" i="1" s="1"/>
  <c r="AL444" i="1"/>
  <c r="AN444" i="1" s="1"/>
  <c r="AO444" i="1" s="1"/>
  <c r="AL437" i="1"/>
  <c r="AN437" i="1" s="1"/>
  <c r="AO437" i="1" s="1"/>
  <c r="AL428" i="1"/>
  <c r="AN428" i="1" s="1"/>
  <c r="AO428" i="1" s="1"/>
  <c r="AL422" i="1"/>
  <c r="AN422" i="1" s="1"/>
  <c r="AO422" i="1" s="1"/>
  <c r="AL435" i="1"/>
  <c r="AN435" i="1" s="1"/>
  <c r="AO435" i="1" s="1"/>
  <c r="AL413" i="1"/>
  <c r="AL433" i="1"/>
  <c r="AL427" i="1"/>
  <c r="AN427" i="1" s="1"/>
  <c r="AO427" i="1" s="1"/>
  <c r="AL446" i="1"/>
  <c r="AN446" i="1" s="1"/>
  <c r="AO446" i="1" s="1"/>
  <c r="AL436" i="1"/>
  <c r="AN436" i="1" s="1"/>
  <c r="AO436" i="1" s="1"/>
  <c r="AL443" i="1"/>
  <c r="AN443" i="1" s="1"/>
  <c r="AO443" i="1" s="1"/>
  <c r="AL409" i="1"/>
  <c r="AL438" i="1"/>
  <c r="AN438" i="1" s="1"/>
  <c r="AO438" i="1" s="1"/>
  <c r="AL421" i="1"/>
  <c r="AN421" i="1" s="1"/>
  <c r="AO421" i="1" s="1"/>
  <c r="AL423" i="1"/>
  <c r="AN423" i="1" s="1"/>
  <c r="AO423" i="1" s="1"/>
  <c r="AL434" i="1"/>
  <c r="AN434" i="1" s="1"/>
  <c r="AO434" i="1" s="1"/>
  <c r="AL414" i="1"/>
  <c r="AL442" i="1"/>
  <c r="AN442" i="1" s="1"/>
  <c r="AO442" i="1" s="1"/>
  <c r="AL445" i="1"/>
  <c r="AN445" i="1" s="1"/>
  <c r="AO445" i="1" s="1"/>
  <c r="AL410" i="1"/>
  <c r="P38" i="1"/>
  <c r="P40" i="1"/>
  <c r="P32" i="1"/>
  <c r="P35" i="1"/>
  <c r="P33" i="1"/>
  <c r="P36" i="1"/>
  <c r="P34" i="1"/>
  <c r="P31" i="1"/>
  <c r="P37" i="1"/>
  <c r="K31" i="1"/>
  <c r="K35" i="1"/>
  <c r="AN465" i="1"/>
  <c r="AO465" i="1" s="1"/>
  <c r="E135" i="1"/>
  <c r="P153" i="1"/>
  <c r="P122" i="1"/>
  <c r="F350" i="1"/>
  <c r="F396" i="1"/>
  <c r="E376" i="1"/>
  <c r="F231" i="1"/>
  <c r="E266" i="1"/>
  <c r="S361" i="1"/>
  <c r="S362" i="1" s="1"/>
  <c r="P135" i="1"/>
  <c r="S35" i="1"/>
  <c r="L245" i="1"/>
  <c r="K266" i="1"/>
  <c r="L250" i="1"/>
  <c r="S245" i="1"/>
  <c r="F251" i="1"/>
  <c r="S178" i="1"/>
  <c r="M12" i="1"/>
  <c r="H12" i="1"/>
  <c r="H15" i="1"/>
  <c r="E112" i="1"/>
  <c r="F122" i="1"/>
  <c r="S52" i="1"/>
  <c r="I13" i="1"/>
  <c r="S19" i="1"/>
  <c r="F242" i="1"/>
  <c r="N242" i="1" s="1"/>
  <c r="R27" i="1"/>
  <c r="R28" i="1" s="1"/>
  <c r="E11" i="1"/>
  <c r="Q231" i="1"/>
  <c r="K135" i="1"/>
  <c r="S135" i="1"/>
  <c r="K33" i="1"/>
  <c r="K36" i="1"/>
  <c r="S376" i="1"/>
  <c r="S77" i="1"/>
  <c r="I135" i="1"/>
  <c r="H7" i="1"/>
  <c r="S44" i="1"/>
  <c r="S50" i="1"/>
  <c r="H8" i="1"/>
  <c r="Q155" i="1"/>
  <c r="P155" i="1" s="1"/>
  <c r="S39" i="1"/>
  <c r="K37" i="1"/>
  <c r="F285" i="1"/>
  <c r="E285" i="1" s="1"/>
  <c r="R304" i="1"/>
  <c r="I229" i="1"/>
  <c r="F189" i="1"/>
  <c r="P22" i="1"/>
  <c r="L13" i="1"/>
  <c r="S6" i="1"/>
  <c r="E7" i="1"/>
  <c r="S76" i="1"/>
  <c r="I105" i="1"/>
  <c r="H105" i="1" s="1"/>
  <c r="K34" i="1"/>
  <c r="E15" i="1"/>
  <c r="P24" i="1"/>
  <c r="S10" i="1"/>
  <c r="E6" i="1"/>
  <c r="F304" i="1"/>
  <c r="S210" i="1"/>
  <c r="I350" i="1"/>
  <c r="H350" i="1" s="1"/>
  <c r="R309" i="1"/>
  <c r="AL405" i="1"/>
  <c r="K105" i="1"/>
  <c r="S81" i="1"/>
  <c r="S22" i="1"/>
  <c r="K32" i="1"/>
  <c r="E9" i="1"/>
  <c r="G13" i="1"/>
  <c r="E295" i="1"/>
  <c r="D304" i="1"/>
  <c r="M304" i="1" s="1"/>
  <c r="F182" i="1"/>
  <c r="E8" i="1"/>
  <c r="S105" i="1"/>
  <c r="S106" i="1" s="1"/>
  <c r="N11" i="1"/>
  <c r="S11" i="1"/>
  <c r="P105" i="1"/>
  <c r="S47" i="1"/>
  <c r="M10" i="1"/>
  <c r="H10" i="1"/>
  <c r="L24" i="1"/>
  <c r="K24" i="1" s="1"/>
  <c r="S108" i="1"/>
  <c r="S109" i="1" s="1"/>
  <c r="D108" i="1"/>
  <c r="M109" i="1" s="1"/>
  <c r="E97" i="1"/>
  <c r="D105" i="1"/>
  <c r="F41" i="1"/>
  <c r="Q41" i="1"/>
  <c r="Q13" i="1"/>
  <c r="S304" i="1"/>
  <c r="S122" i="1"/>
  <c r="K122" i="1"/>
  <c r="S163" i="1"/>
  <c r="S394" i="1"/>
  <c r="F153" i="1"/>
  <c r="E153" i="1" s="1"/>
  <c r="I163" i="1"/>
  <c r="S266" i="1"/>
  <c r="R108" i="1"/>
  <c r="R109" i="1" s="1"/>
  <c r="K108" i="1"/>
  <c r="F13" i="1"/>
  <c r="S32" i="1"/>
  <c r="F309" i="1" l="1"/>
  <c r="N310" i="1" s="1"/>
  <c r="N305" i="1"/>
  <c r="AN409" i="1"/>
  <c r="AO409" i="1" s="1"/>
  <c r="AK409" i="1"/>
  <c r="AM409" i="1" s="1"/>
  <c r="AN411" i="1"/>
  <c r="AO411" i="1" s="1"/>
  <c r="AK411" i="1"/>
  <c r="AM411" i="1" s="1"/>
  <c r="AN410" i="1"/>
  <c r="AO410" i="1" s="1"/>
  <c r="AK410" i="1"/>
  <c r="AM410" i="1" s="1"/>
  <c r="AN420" i="1"/>
  <c r="AO420" i="1" s="1"/>
  <c r="AL432" i="1"/>
  <c r="AL451" i="1"/>
  <c r="AN433" i="1"/>
  <c r="AO433" i="1" s="1"/>
  <c r="AN412" i="1"/>
  <c r="AO412" i="1" s="1"/>
  <c r="AK412" i="1"/>
  <c r="AM412" i="1" s="1"/>
  <c r="AN413" i="1"/>
  <c r="AO413" i="1" s="1"/>
  <c r="AK413" i="1"/>
  <c r="AM413" i="1" s="1"/>
  <c r="AL418" i="1"/>
  <c r="AN414" i="1"/>
  <c r="AO414" i="1" s="1"/>
  <c r="AK414" i="1"/>
  <c r="AM414" i="1" s="1"/>
  <c r="AN439" i="1"/>
  <c r="AO439" i="1" s="1"/>
  <c r="AO448" i="1"/>
  <c r="AN448" i="1"/>
  <c r="N9" i="2"/>
  <c r="N8" i="2" s="1"/>
  <c r="F27" i="1"/>
  <c r="E41" i="1" s="1"/>
  <c r="K13" i="1"/>
  <c r="E108" i="1"/>
  <c r="E105" i="1"/>
  <c r="S54" i="1"/>
  <c r="S398" i="1"/>
  <c r="S399" i="1" s="1"/>
  <c r="G27" i="1"/>
  <c r="H13" i="1"/>
  <c r="AB408" i="1"/>
  <c r="G24" i="1"/>
  <c r="H39" i="1" s="1"/>
  <c r="Q165" i="1"/>
  <c r="Q166" i="1" s="1"/>
  <c r="I54" i="1"/>
  <c r="I108" i="1"/>
  <c r="H135" i="1" s="1"/>
  <c r="F194" i="1"/>
  <c r="N195" i="1" s="1"/>
  <c r="F186" i="1"/>
  <c r="P231" i="1"/>
  <c r="I27" i="1"/>
  <c r="F54" i="1"/>
  <c r="S24" i="1"/>
  <c r="S25" i="1" s="1"/>
  <c r="J32" i="1"/>
  <c r="D13" i="1"/>
  <c r="S13" i="1"/>
  <c r="S14" i="1" s="1"/>
  <c r="M11" i="1"/>
  <c r="M13" i="1" s="1"/>
  <c r="H11" i="1"/>
  <c r="Q27" i="1"/>
  <c r="P13" i="1"/>
  <c r="N13" i="1"/>
  <c r="N14" i="1" s="1"/>
  <c r="H229" i="1"/>
  <c r="S250" i="1"/>
  <c r="L251" i="1"/>
  <c r="M250" i="1" s="1"/>
  <c r="Q74" i="1"/>
  <c r="R314" i="1"/>
  <c r="AF432" i="1"/>
  <c r="L27" i="1"/>
  <c r="AF406" i="1" s="1"/>
  <c r="J31" i="1"/>
  <c r="F155" i="1"/>
  <c r="E122" i="1"/>
  <c r="H9" i="1"/>
  <c r="I83" i="1"/>
  <c r="AN408" i="1"/>
  <c r="AO408" i="1" s="1"/>
  <c r="AE408" i="1"/>
  <c r="AF418" i="1"/>
  <c r="Z418" i="1"/>
  <c r="E304" i="1"/>
  <c r="D309" i="1"/>
  <c r="AK408" i="1"/>
  <c r="AM408" i="1" s="1"/>
  <c r="S185" i="1"/>
  <c r="S396" i="1"/>
  <c r="S309" i="1"/>
  <c r="S305" i="1"/>
  <c r="I352" i="1"/>
  <c r="F287" i="1"/>
  <c r="E287" i="1" s="1"/>
  <c r="Z480" i="1"/>
  <c r="AI480" i="1" s="1"/>
  <c r="F83" i="1"/>
  <c r="I41" i="1"/>
  <c r="S41" i="1"/>
  <c r="N39" i="1"/>
  <c r="N41" i="1" s="1"/>
  <c r="I155" i="1"/>
  <c r="I231" i="1"/>
  <c r="H231" i="1" s="1"/>
  <c r="E396" i="1"/>
  <c r="F398" i="1"/>
  <c r="F399" i="1" s="1"/>
  <c r="F314" i="1" l="1"/>
  <c r="AI418" i="1"/>
  <c r="D314" i="1"/>
  <c r="M309" i="1"/>
  <c r="F352" i="1"/>
  <c r="F353" i="1" s="1"/>
  <c r="N315" i="1"/>
  <c r="AF400" i="1"/>
  <c r="M27" i="1"/>
  <c r="M24" i="1"/>
  <c r="N27" i="1"/>
  <c r="N28" i="1" s="1"/>
  <c r="AL467" i="1"/>
  <c r="Z406" i="1"/>
  <c r="X418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K27" i="1"/>
  <c r="H155" i="1"/>
  <c r="H32" i="1"/>
  <c r="E350" i="1"/>
  <c r="E348" i="1"/>
  <c r="Y408" i="1"/>
  <c r="E329" i="1"/>
  <c r="E231" i="1"/>
  <c r="P74" i="1"/>
  <c r="H54" i="1"/>
  <c r="K54" i="1"/>
  <c r="S310" i="1"/>
  <c r="AN418" i="1"/>
  <c r="AO418" i="1" s="1"/>
  <c r="AN432" i="1"/>
  <c r="AO432" i="1" s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8" i="1"/>
  <c r="S194" i="1"/>
  <c r="S195" i="1" s="1"/>
  <c r="R250" i="1"/>
  <c r="S251" i="1" s="1"/>
  <c r="Q233" i="1"/>
  <c r="Q234" i="1" s="1"/>
  <c r="P229" i="1"/>
  <c r="S27" i="1"/>
  <c r="K41" i="1"/>
  <c r="D27" i="1"/>
  <c r="E13" i="1"/>
  <c r="D24" i="1"/>
  <c r="AC480" i="1"/>
  <c r="E309" i="1"/>
  <c r="AF405" i="1"/>
  <c r="I165" i="1"/>
  <c r="H122" i="1"/>
  <c r="H153" i="1"/>
  <c r="H108" i="1"/>
  <c r="F289" i="1"/>
  <c r="F290" i="1" s="1"/>
  <c r="AC432" i="1"/>
  <c r="H27" i="1"/>
  <c r="Z400" i="1" l="1"/>
  <c r="X432" i="1"/>
  <c r="M28" i="1"/>
  <c r="Z405" i="1"/>
  <c r="M314" i="1"/>
  <c r="AG408" i="1"/>
  <c r="AG413" i="1"/>
  <c r="AL482" i="1"/>
  <c r="AL400" i="1"/>
  <c r="AG411" i="1"/>
  <c r="AG414" i="1"/>
  <c r="AG412" i="1"/>
  <c r="AG410" i="1"/>
  <c r="AG409" i="1"/>
  <c r="AH406" i="1"/>
  <c r="AI406" i="1" s="1"/>
  <c r="C9" i="2"/>
  <c r="J9" i="2"/>
  <c r="J8" i="2" s="1"/>
  <c r="O9" i="2"/>
  <c r="O8" i="2" s="1"/>
  <c r="E27" i="1"/>
  <c r="X451" i="1"/>
  <c r="X480" i="1"/>
  <c r="K9" i="2"/>
  <c r="K8" i="2" s="1"/>
  <c r="C10" i="2"/>
  <c r="AA432" i="1"/>
  <c r="AA480" i="1"/>
  <c r="AA451" i="1"/>
  <c r="S28" i="1"/>
  <c r="AJ467" i="1"/>
  <c r="AJ465" i="1"/>
  <c r="AJ418" i="1"/>
  <c r="AJ432" i="1"/>
  <c r="AJ451" i="1"/>
  <c r="E74" i="1"/>
  <c r="F85" i="1"/>
  <c r="F86" i="1" s="1"/>
  <c r="E314" i="1"/>
  <c r="AA465" i="1"/>
  <c r="S314" i="1"/>
  <c r="S315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AN406" i="1"/>
  <c r="AO406" i="1" s="1"/>
  <c r="AD465" i="1"/>
  <c r="AH400" i="1" l="1"/>
  <c r="AH482" i="1"/>
  <c r="C8" i="2"/>
  <c r="P9" i="2"/>
  <c r="P8" i="2" s="1"/>
  <c r="B9" i="2"/>
  <c r="AC482" i="1"/>
  <c r="AL488" i="1"/>
  <c r="AK482" i="1"/>
  <c r="AL487" i="1" l="1"/>
  <c r="AK487" i="1" s="1"/>
  <c r="AL497" i="1"/>
  <c r="AL501" i="1" s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AF480" i="1"/>
  <c r="L82" i="1"/>
  <c r="N82" i="1" s="1"/>
  <c r="N83" i="1" s="1"/>
  <c r="AD432" i="1" l="1"/>
  <c r="AD418" i="1"/>
  <c r="S82" i="1"/>
  <c r="S83" i="1" s="1"/>
  <c r="L83" i="1"/>
  <c r="AN480" i="1"/>
  <c r="AO480" i="1" s="1"/>
  <c r="AD480" i="1"/>
  <c r="L229" i="1" l="1"/>
  <c r="L68" i="1"/>
  <c r="N68" i="1" l="1"/>
  <c r="N72" i="1" s="1"/>
  <c r="N74" i="1" s="1"/>
  <c r="N85" i="1" s="1"/>
  <c r="N86" i="1" s="1"/>
  <c r="L72" i="1"/>
  <c r="L74" i="1" s="1"/>
  <c r="S68" i="1"/>
  <c r="S72" i="1" s="1"/>
  <c r="S85" i="1" s="1"/>
  <c r="S86" i="1" s="1"/>
  <c r="K229" i="1"/>
  <c r="S229" i="1"/>
  <c r="L231" i="1"/>
  <c r="L348" i="1"/>
  <c r="S348" i="1"/>
  <c r="L11" i="2"/>
  <c r="L285" i="1"/>
  <c r="L153" i="1"/>
  <c r="L10" i="2" l="1"/>
  <c r="K72" i="1"/>
  <c r="L233" i="1"/>
  <c r="L234" i="1" s="1"/>
  <c r="S231" i="1"/>
  <c r="K231" i="1"/>
  <c r="K285" i="1"/>
  <c r="S285" i="1"/>
  <c r="L287" i="1"/>
  <c r="L350" i="1"/>
  <c r="K348" i="1"/>
  <c r="S153" i="1"/>
  <c r="L155" i="1"/>
  <c r="K153" i="1"/>
  <c r="AF451" i="1"/>
  <c r="K155" i="1" l="1"/>
  <c r="S155" i="1"/>
  <c r="L165" i="1"/>
  <c r="L166" i="1" s="1"/>
  <c r="S233" i="1"/>
  <c r="S234" i="1" s="1"/>
  <c r="M11" i="2"/>
  <c r="K287" i="1"/>
  <c r="S287" i="1"/>
  <c r="L289" i="1"/>
  <c r="L290" i="1" s="1"/>
  <c r="K350" i="1"/>
  <c r="L352" i="1"/>
  <c r="L353" i="1" s="1"/>
  <c r="S350" i="1"/>
  <c r="AN451" i="1"/>
  <c r="AO451" i="1" s="1"/>
  <c r="AF467" i="1"/>
  <c r="AD451" i="1"/>
  <c r="L85" i="1"/>
  <c r="L86" i="1" s="1"/>
  <c r="K74" i="1"/>
  <c r="S74" i="1"/>
  <c r="M10" i="2" l="1"/>
  <c r="S352" i="1"/>
  <c r="S353" i="1" s="1"/>
  <c r="S165" i="1"/>
  <c r="S166" i="1" s="1"/>
  <c r="N166" i="1"/>
  <c r="AF482" i="1"/>
  <c r="AN467" i="1"/>
  <c r="AO467" i="1" s="1"/>
  <c r="AD467" i="1"/>
  <c r="S289" i="1"/>
  <c r="S290" i="1" s="1"/>
  <c r="AN482" i="1" l="1"/>
  <c r="AO482" i="1" s="1"/>
  <c r="AE482" i="1"/>
  <c r="L9" i="2"/>
  <c r="L8" i="2" s="1"/>
  <c r="AF488" i="1"/>
  <c r="AF487" i="1" l="1"/>
  <c r="AF497" i="1"/>
  <c r="AF501" i="1" s="1"/>
  <c r="AN488" i="1"/>
  <c r="AE488" i="1"/>
  <c r="AN497" i="1" l="1"/>
  <c r="AN501" i="1" s="1"/>
  <c r="AN487" i="1"/>
  <c r="AO487" i="1" s="1"/>
  <c r="AE487" i="1"/>
  <c r="AO488" i="1"/>
  <c r="AE497" i="1"/>
  <c r="M9" i="2"/>
  <c r="M8" i="2" s="1"/>
  <c r="AO497" i="1" l="1"/>
  <c r="Z467" i="1"/>
  <c r="X465" i="1"/>
  <c r="Z482" i="1" l="1"/>
  <c r="AI482" i="1" s="1"/>
  <c r="AI467" i="1"/>
  <c r="X467" i="1"/>
  <c r="Z488" i="1" l="1"/>
  <c r="AH488" i="1" s="1"/>
  <c r="AI488" i="1" s="1"/>
  <c r="Y482" i="1"/>
  <c r="D9" i="2"/>
  <c r="D8" i="2" s="1"/>
  <c r="Z497" i="1" l="1"/>
  <c r="Y488" i="1"/>
  <c r="Z487" i="1"/>
  <c r="AH487" i="1" s="1"/>
  <c r="AH497" i="1"/>
  <c r="AI497" i="1" s="1"/>
  <c r="E9" i="2"/>
  <c r="E8" i="2" s="1"/>
  <c r="Y497" i="1"/>
  <c r="Z501" i="1"/>
  <c r="Y487" i="1"/>
  <c r="AI487" i="1"/>
  <c r="AH501" i="1" l="1"/>
</calcChain>
</file>

<file path=xl/sharedStrings.xml><?xml version="1.0" encoding="utf-8"?>
<sst xmlns="http://schemas.openxmlformats.org/spreadsheetml/2006/main" count="5682" uniqueCount="485">
  <si>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</si>
  <si>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</si>
  <si>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</si>
  <si>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</si>
  <si>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</si>
  <si>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</si>
  <si>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</si>
  <si>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</si>
  <si>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</si>
  <si>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</si>
  <si>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</si>
  <si>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</si>
  <si>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</si>
  <si>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</si>
  <si>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</si>
  <si>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</si>
  <si>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</si>
  <si>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</si>
  <si>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</si>
  <si>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</si>
  <si>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</si>
  <si>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</si>
  <si>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</si>
  <si>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</si>
  <si>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</si>
  <si>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</si>
  <si>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</si>
  <si>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</si>
  <si>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</si>
  <si>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</si>
  <si>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</si>
  <si>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</si>
  <si>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</si>
  <si>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</si>
  <si>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</si>
  <si>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</si>
  <si>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</si>
  <si>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</si>
  <si>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</si>
  <si>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</si>
  <si>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</si>
  <si>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</si>
  <si>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</si>
  <si>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</si>
  <si>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</si>
  <si>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</si>
  <si>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</si>
  <si>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</si>
  <si>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</si>
  <si>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</si>
  <si>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</si>
  <si>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</si>
  <si>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</si>
  <si>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</si>
  <si>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</si>
  <si>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</si>
  <si>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</si>
  <si>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</si>
  <si>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</si>
  <si>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</si>
  <si>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</si>
  <si>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</si>
  <si>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</si>
  <si>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</si>
  <si>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</si>
  <si>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</si>
  <si>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</si>
  <si>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</si>
  <si>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</si>
  <si>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</si>
  <si>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</si>
  <si>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</si>
  <si>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</si>
  <si>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</si>
  <si>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</si>
  <si>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</si>
  <si>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</si>
  <si>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</si>
  <si>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</si>
  <si>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</si>
  <si>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</si>
  <si>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</si>
  <si>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</si>
  <si>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</si>
  <si>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</si>
  <si>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</si>
  <si>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</si>
  <si>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</si>
  <si>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</si>
  <si>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</si>
  <si>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</si>
  <si>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</si>
  <si>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</si>
  <si>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</si>
  <si>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</si>
  <si>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</si>
  <si>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</si>
  <si>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</si>
  <si>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</si>
  <si>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</si>
  <si>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</si>
  <si>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</si>
  <si>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</si>
  <si>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</si>
  <si>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</si>
  <si>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</si>
  <si>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</si>
  <si>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</si>
  <si>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</si>
  <si>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</si>
  <si>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</si>
  <si>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</si>
  <si>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</si>
  <si>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</si>
  <si>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</si>
  <si>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</si>
  <si>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</si>
  <si>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</si>
  <si>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</si>
  <si>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</si>
  <si>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</si>
  <si>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</si>
  <si>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</si>
  <si>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</si>
  <si>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</si>
  <si>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</si>
  <si>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</si>
  <si>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</si>
  <si>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</si>
  <si>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</si>
  <si>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</si>
  <si>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</si>
  <si>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</si>
  <si>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</si>
  <si>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</si>
  <si>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</si>
  <si>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</si>
  <si>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</si>
  <si>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</si>
  <si>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</si>
  <si>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</si>
  <si>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</si>
  <si>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</si>
  <si>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</si>
  <si>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</si>
  <si>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</si>
  <si>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</si>
  <si>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</si>
  <si>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</si>
  <si>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</si>
  <si>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</si>
  <si>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</si>
  <si>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</si>
  <si>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</si>
  <si>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</si>
  <si>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</si>
  <si>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</si>
  <si>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</si>
  <si>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</si>
  <si>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</si>
  <si>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</si>
  <si>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</si>
  <si>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</si>
  <si>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</si>
  <si>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</si>
  <si>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</si>
  <si>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</si>
  <si>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</si>
  <si>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</si>
  <si>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</si>
  <si>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</si>
  <si>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</si>
  <si>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</si>
  <si>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</si>
  <si>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</si>
  <si>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</si>
  <si>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</si>
  <si>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</si>
  <si>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</si>
  <si>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</si>
  <si>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</si>
  <si>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</si>
  <si>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</si>
  <si>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</si>
  <si>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</si>
  <si>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</si>
  <si>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</si>
  <si>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</si>
  <si>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</si>
  <si>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</si>
  <si>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</si>
  <si>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</si>
  <si>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</si>
  <si>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</si>
  <si>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</si>
  <si>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</si>
  <si>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</si>
  <si>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</si>
  <si>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</si>
  <si>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</si>
  <si>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</si>
  <si>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</si>
  <si>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</si>
  <si>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</si>
  <si>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</si>
  <si>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</si>
  <si>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</si>
  <si>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</si>
  <si>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</si>
  <si>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</si>
  <si>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</si>
  <si>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</si>
  <si>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</si>
  <si>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</si>
  <si>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</si>
  <si>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</si>
  <si>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</si>
  <si>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</si>
  <si>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</si>
  <si>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</si>
  <si>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</si>
  <si>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</si>
  <si>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</si>
  <si>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</si>
  <si>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</si>
  <si>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</si>
  <si>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</si>
  <si>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</si>
  <si>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</si>
  <si>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</si>
  <si>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</si>
  <si>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</si>
  <si>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</si>
  <si>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</si>
  <si>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</si>
  <si>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</si>
  <si>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</si>
  <si>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</si>
  <si>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</si>
  <si>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</si>
  <si>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</si>
  <si>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</si>
  <si>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</si>
  <si>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</si>
  <si>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</si>
  <si>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</si>
  <si>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</si>
  <si>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</si>
  <si>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</si>
  <si>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</si>
  <si>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</si>
  <si>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</si>
  <si>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</si>
  <si>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</si>
  <si>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</si>
  <si>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</si>
  <si>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</si>
  <si>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</si>
  <si>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</si>
  <si>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</si>
  <si>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</si>
  <si>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</si>
  <si>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</si>
  <si>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</si>
  <si>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</si>
  <si>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</si>
  <si>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</si>
  <si>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</si>
  <si>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</si>
  <si>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</si>
  <si>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</si>
  <si>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</si>
  <si>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</si>
  <si>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</si>
  <si>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</si>
  <si>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</si>
  <si>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</si>
  <si>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</si>
  <si>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</si>
  <si>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</si>
  <si>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</si>
  <si>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</si>
  <si>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</si>
  <si>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</si>
  <si>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</si>
  <si>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</si>
  <si>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</si>
  <si>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</si>
  <si>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</si>
  <si>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</si>
  <si>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</si>
  <si>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</si>
  <si>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</si>
  <si>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</si>
  <si>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</si>
  <si>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</si>
  <si>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</si>
  <si>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</si>
  <si>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</si>
  <si>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</si>
  <si>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</si>
  <si>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</si>
  <si>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</si>
  <si>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</si>
  <si>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</si>
  <si>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</si>
  <si>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</si>
  <si>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</si>
  <si>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</si>
  <si>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</si>
  <si>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</si>
  <si>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</si>
  <si>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</si>
  <si>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</si>
  <si>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</si>
  <si>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</si>
  <si>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</si>
  <si>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</si>
  <si>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</si>
  <si>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</si>
  <si>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</si>
  <si>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</si>
  <si>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</si>
  <si>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</si>
  <si>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</si>
  <si>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</si>
  <si>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</si>
  <si>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</si>
  <si>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</si>
  <si>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</si>
  <si>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</si>
  <si>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</si>
  <si>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</si>
  <si>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</si>
  <si>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</si>
  <si>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</si>
  <si>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</si>
  <si>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</si>
  <si>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</si>
  <si>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</si>
  <si>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</si>
  <si>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</si>
  <si>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</si>
  <si>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</si>
  <si>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</si>
  <si>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</si>
  <si>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</si>
  <si>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</si>
  <si>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</si>
  <si>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</si>
  <si>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</si>
  <si>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</si>
  <si>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</si>
  <si>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</si>
  <si>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</si>
  <si>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</si>
  <si>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</si>
  <si>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</si>
  <si>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</si>
  <si>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</si>
  <si>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</si>
  <si>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</si>
  <si>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</si>
  <si>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</si>
  <si>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</si>
  <si>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</si>
  <si>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</si>
  <si>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</si>
  <si>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</si>
  <si>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</si>
  <si>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</si>
  <si>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</si>
  <si>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</si>
  <si>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</si>
  <si>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</si>
  <si>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</si>
  <si>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</si>
  <si>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</si>
  <si>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</si>
  <si>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</si>
  <si>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</si>
  <si>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</si>
  <si>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</si>
  <si>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</si>
  <si>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</si>
  <si>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</si>
  <si>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</si>
  <si>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</si>
  <si>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</si>
  <si>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</si>
  <si>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</si>
  <si>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</si>
  <si>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</si>
  <si>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</si>
  <si>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</si>
  <si>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</si>
  <si>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</si>
  <si>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</si>
  <si>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</si>
  <si>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</si>
  <si>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</si>
  <si>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</si>
  <si>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</si>
  <si>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</si>
  <si>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</si>
  <si>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</si>
  <si>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</si>
  <si>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</si>
  <si>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</si>
  <si>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</si>
  <si>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</si>
  <si>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</si>
  <si>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</si>
  <si>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</si>
  <si>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</si>
  <si>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</si>
  <si>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</si>
  <si>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</si>
  <si>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</si>
  <si>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</si>
  <si>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</si>
  <si>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</si>
  <si>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</si>
  <si>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</si>
  <si>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</si>
  <si>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</si>
  <si>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</si>
  <si>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</si>
  <si>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</si>
  <si>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</si>
  <si>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</si>
  <si>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</si>
  <si>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</si>
  <si>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</si>
  <si>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</si>
  <si>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</si>
  <si>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</si>
  <si>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</si>
  <si>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</si>
  <si>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</si>
  <si>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</si>
  <si>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</si>
  <si>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</si>
  <si>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</si>
  <si>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</si>
  <si>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</si>
  <si>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</si>
  <si>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</si>
  <si>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</si>
  <si>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</si>
  <si>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</si>
  <si>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</si>
  <si>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</si>
  <si>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</si>
  <si>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</si>
  <si>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</si>
  <si>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</si>
  <si>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</si>
  <si>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</si>
  <si>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</si>
  <si>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</si>
  <si>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</si>
  <si>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</si>
  <si>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</si>
  <si>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</si>
  <si>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</si>
  <si>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</si>
  <si>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</si>
  <si>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</si>
  <si>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</si>
  <si>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Revenus d'intérêts Floor plan</t>
  </si>
  <si>
    <t>*** NE PAS EFFACER / Pour An Précédente ***</t>
  </si>
  <si>
    <t>NEUF</t>
  </si>
  <si>
    <t>UNITÉS</t>
  </si>
  <si>
    <t>USAGE</t>
  </si>
  <si>
    <t>CARROSSERIE</t>
  </si>
  <si>
    <t>PIECES</t>
  </si>
  <si>
    <t>TOTAL DES REVENUS ET DÉPENSES</t>
  </si>
  <si>
    <t>Volks</t>
  </si>
  <si>
    <t>Pacing du 30</t>
  </si>
  <si>
    <t>credit 8,000 glassroom</t>
  </si>
  <si>
    <t>Bonis pneu</t>
  </si>
  <si>
    <t>Réalisé, Décembre 2025</t>
  </si>
  <si>
    <t>Réalisé, Novembre 2025</t>
  </si>
  <si>
    <t>Réalisé,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</si>
</sst>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\/mm\/yy_)"/>
    <numFmt numFmtId="166" formatCode="0.0%"/>
    <numFmt numFmtId="167" formatCode="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d/m/yyyy"/>
  </numFmts>
  <fonts count="5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5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44" fontId="17" fillId="0" borderId="0" applyFont="0" applyFill="0" applyBorder="0" applyAlignment="0" applyProtection="0"/>
    <xf numFmtId="0" fontId="10" fillId="0" borderId="0"/>
    <xf numFmtId="0" fontId="26" fillId="0" borderId="0"/>
    <xf numFmtId="170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17" fillId="0" borderId="0"/>
    <xf numFmtId="0" fontId="9" fillId="0" borderId="0"/>
    <xf numFmtId="0" fontId="26" fillId="0" borderId="0"/>
    <xf numFmtId="43" fontId="28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8" fillId="0" borderId="0"/>
    <xf numFmtId="0" fontId="4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6">
    <xf numFmtId="0" fontId="0" fillId="0" borderId="0" xfId="0"/>
    <xf numFmtId="0" fontId="18" fillId="0" borderId="18" xfId="0" applyFont="1" applyBorder="1"/>
    <xf numFmtId="0" fontId="18" fillId="0" borderId="22" xfId="0" applyFont="1" applyBorder="1"/>
    <xf numFmtId="0" fontId="18" fillId="0" borderId="6" xfId="0" applyFont="1" applyBorder="1"/>
    <xf numFmtId="0" fontId="18" fillId="0" borderId="48" xfId="0" applyFont="1" applyBorder="1"/>
    <xf numFmtId="0" fontId="18" fillId="0" borderId="11" xfId="0" applyFont="1" applyBorder="1"/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37" fontId="18" fillId="0" borderId="67" xfId="0" applyNumberFormat="1" applyFont="1" applyBorder="1"/>
    <xf numFmtId="37" fontId="18" fillId="0" borderId="68" xfId="0" applyNumberFormat="1" applyFont="1" applyBorder="1"/>
    <xf numFmtId="37" fontId="18" fillId="0" borderId="12" xfId="0" applyNumberFormat="1" applyFont="1" applyBorder="1"/>
    <xf numFmtId="166" fontId="18" fillId="0" borderId="12" xfId="0" applyNumberFormat="1" applyFont="1" applyBorder="1"/>
    <xf numFmtId="37" fontId="18" fillId="0" borderId="69" xfId="0" applyNumberFormat="1" applyFont="1" applyBorder="1"/>
    <xf numFmtId="166" fontId="18" fillId="0" borderId="17" xfId="0" applyNumberFormat="1" applyFont="1" applyBorder="1"/>
    <xf numFmtId="0" fontId="20" fillId="2" borderId="22" xfId="0" applyFont="1" applyFill="1" applyBorder="1"/>
    <xf numFmtId="0" fontId="20" fillId="2" borderId="12" xfId="0" applyFont="1" applyFill="1" applyBorder="1"/>
    <xf numFmtId="37" fontId="20" fillId="2" borderId="67" xfId="0" applyNumberFormat="1" applyFont="1" applyFill="1" applyBorder="1"/>
    <xf numFmtId="37" fontId="20" fillId="2" borderId="68" xfId="0" applyNumberFormat="1" applyFont="1" applyFill="1" applyBorder="1"/>
    <xf numFmtId="37" fontId="20" fillId="2" borderId="12" xfId="0" applyNumberFormat="1" applyFont="1" applyFill="1" applyBorder="1"/>
    <xf numFmtId="166" fontId="20" fillId="2" borderId="12" xfId="0" applyNumberFormat="1" applyFont="1" applyFill="1" applyBorder="1"/>
    <xf numFmtId="37" fontId="20" fillId="2" borderId="69" xfId="0" applyNumberFormat="1" applyFont="1" applyFill="1" applyBorder="1"/>
    <xf numFmtId="166" fontId="20" fillId="2" borderId="17" xfId="0" applyNumberFormat="1" applyFont="1" applyFill="1" applyBorder="1"/>
    <xf numFmtId="0" fontId="20" fillId="0" borderId="18" xfId="0" applyFont="1" applyBorder="1"/>
    <xf numFmtId="0" fontId="18" fillId="0" borderId="0" xfId="0" applyFont="1"/>
    <xf numFmtId="37" fontId="18" fillId="0" borderId="70" xfId="0" applyNumberFormat="1" applyFont="1" applyBorder="1"/>
    <xf numFmtId="37" fontId="18" fillId="0" borderId="71" xfId="0" applyNumberFormat="1" applyFont="1" applyBorder="1"/>
    <xf numFmtId="37" fontId="18" fillId="0" borderId="0" xfId="0" applyNumberFormat="1" applyFont="1"/>
    <xf numFmtId="166" fontId="18" fillId="0" borderId="0" xfId="0" applyNumberFormat="1" applyFont="1"/>
    <xf numFmtId="37" fontId="18" fillId="0" borderId="72" xfId="0" applyNumberFormat="1" applyFont="1" applyBorder="1"/>
    <xf numFmtId="166" fontId="18" fillId="0" borderId="21" xfId="0" applyNumberFormat="1" applyFont="1" applyBorder="1"/>
    <xf numFmtId="0" fontId="18" fillId="0" borderId="0" xfId="0" applyFont="1" applyAlignment="1">
      <alignment horizontal="right"/>
    </xf>
    <xf numFmtId="167" fontId="18" fillId="0" borderId="0" xfId="0" applyNumberFormat="1" applyFont="1"/>
    <xf numFmtId="0" fontId="18" fillId="0" borderId="71" xfId="0" applyFont="1" applyBorder="1"/>
    <xf numFmtId="166" fontId="18" fillId="0" borderId="10" xfId="0" applyNumberFormat="1" applyFont="1" applyBorder="1"/>
    <xf numFmtId="0" fontId="18" fillId="0" borderId="12" xfId="0" applyFont="1" applyBorder="1" applyAlignment="1">
      <alignment horizontal="right"/>
    </xf>
    <xf numFmtId="167" fontId="18" fillId="0" borderId="12" xfId="0" applyNumberFormat="1" applyFont="1" applyBorder="1"/>
    <xf numFmtId="0" fontId="18" fillId="0" borderId="68" xfId="0" applyFont="1" applyBorder="1"/>
    <xf numFmtId="166" fontId="18" fillId="0" borderId="67" xfId="0" applyNumberFormat="1" applyFont="1" applyBorder="1"/>
    <xf numFmtId="166" fontId="18" fillId="0" borderId="73" xfId="0" applyNumberFormat="1" applyFont="1" applyBorder="1"/>
    <xf numFmtId="166" fontId="21" fillId="0" borderId="10" xfId="0" applyNumberFormat="1" applyFont="1" applyBorder="1"/>
    <xf numFmtId="0" fontId="20" fillId="2" borderId="34" xfId="0" applyFont="1" applyFill="1" applyBorder="1"/>
    <xf numFmtId="0" fontId="20" fillId="2" borderId="35" xfId="0" applyFont="1" applyFill="1" applyBorder="1"/>
    <xf numFmtId="166" fontId="20" fillId="2" borderId="35" xfId="0" applyNumberFormat="1" applyFont="1" applyFill="1" applyBorder="1"/>
    <xf numFmtId="37" fontId="20" fillId="2" borderId="74" xfId="0" applyNumberFormat="1" applyFont="1" applyFill="1" applyBorder="1"/>
    <xf numFmtId="166" fontId="20" fillId="2" borderId="38" xfId="0" applyNumberFormat="1" applyFont="1" applyFill="1" applyBorder="1"/>
    <xf numFmtId="0" fontId="20" fillId="2" borderId="38" xfId="0" applyFont="1" applyFill="1" applyBorder="1"/>
    <xf numFmtId="37" fontId="20" fillId="2" borderId="35" xfId="0" applyNumberFormat="1" applyFont="1" applyFill="1" applyBorder="1"/>
    <xf numFmtId="0" fontId="20" fillId="2" borderId="75" xfId="0" applyFont="1" applyFill="1" applyBorder="1"/>
    <xf numFmtId="166" fontId="18" fillId="0" borderId="70" xfId="0" applyNumberFormat="1" applyFont="1" applyBorder="1"/>
    <xf numFmtId="167" fontId="20" fillId="2" borderId="35" xfId="0" applyNumberFormat="1" applyFont="1" applyFill="1" applyBorder="1"/>
    <xf numFmtId="37" fontId="20" fillId="2" borderId="38" xfId="0" applyNumberFormat="1" applyFont="1" applyFill="1" applyBorder="1"/>
    <xf numFmtId="37" fontId="20" fillId="2" borderId="75" xfId="0" applyNumberFormat="1" applyFont="1" applyFill="1" applyBorder="1"/>
    <xf numFmtId="0" fontId="18" fillId="0" borderId="7" xfId="0" applyFont="1" applyBorder="1" applyAlignment="1">
      <alignment horizontal="right"/>
    </xf>
    <xf numFmtId="0" fontId="18" fillId="0" borderId="7" xfId="0" applyFont="1" applyBorder="1"/>
    <xf numFmtId="37" fontId="18" fillId="0" borderId="76" xfId="0" applyNumberFormat="1" applyFont="1" applyBorder="1"/>
    <xf numFmtId="0" fontId="18" fillId="0" borderId="77" xfId="0" applyFont="1" applyBorder="1"/>
    <xf numFmtId="167" fontId="18" fillId="0" borderId="7" xfId="0" applyNumberFormat="1" applyFont="1" applyBorder="1"/>
    <xf numFmtId="37" fontId="18" fillId="0" borderId="7" xfId="0" applyNumberFormat="1" applyFont="1" applyBorder="1"/>
    <xf numFmtId="166" fontId="18" fillId="0" borderId="7" xfId="0" applyNumberFormat="1" applyFont="1" applyBorder="1"/>
    <xf numFmtId="37" fontId="18" fillId="0" borderId="78" xfId="0" applyNumberFormat="1" applyFont="1" applyBorder="1"/>
    <xf numFmtId="0" fontId="18" fillId="0" borderId="47" xfId="0" applyFont="1" applyBorder="1" applyAlignment="1">
      <alignment horizontal="right"/>
    </xf>
    <xf numFmtId="0" fontId="18" fillId="0" borderId="47" xfId="0" applyFont="1" applyBorder="1"/>
    <xf numFmtId="37" fontId="18" fillId="0" borderId="79" xfId="0" applyNumberFormat="1" applyFont="1" applyBorder="1"/>
    <xf numFmtId="0" fontId="18" fillId="0" borderId="80" xfId="0" applyFont="1" applyBorder="1"/>
    <xf numFmtId="167" fontId="18" fillId="0" borderId="47" xfId="0" applyNumberFormat="1" applyFont="1" applyBorder="1"/>
    <xf numFmtId="37" fontId="18" fillId="0" borderId="80" xfId="0" applyNumberFormat="1" applyFont="1" applyBorder="1"/>
    <xf numFmtId="37" fontId="18" fillId="0" borderId="47" xfId="0" applyNumberFormat="1" applyFont="1" applyBorder="1"/>
    <xf numFmtId="166" fontId="18" fillId="0" borderId="47" xfId="0" applyNumberFormat="1" applyFont="1" applyBorder="1"/>
    <xf numFmtId="37" fontId="18" fillId="0" borderId="81" xfId="0" applyNumberFormat="1" applyFont="1" applyBorder="1"/>
    <xf numFmtId="166" fontId="18" fillId="0" borderId="82" xfId="0" applyNumberFormat="1" applyFont="1" applyBorder="1"/>
    <xf numFmtId="0" fontId="18" fillId="2" borderId="35" xfId="0" applyFont="1" applyFill="1" applyBorder="1"/>
    <xf numFmtId="166" fontId="20" fillId="2" borderId="39" xfId="0" applyNumberFormat="1" applyFont="1" applyFill="1" applyBorder="1"/>
    <xf numFmtId="166" fontId="20" fillId="0" borderId="0" xfId="0" applyNumberFormat="1" applyFont="1"/>
    <xf numFmtId="0" fontId="20" fillId="0" borderId="0" xfId="0" applyFont="1"/>
    <xf numFmtId="166" fontId="18" fillId="0" borderId="76" xfId="0" applyNumberFormat="1" applyFont="1" applyBorder="1"/>
    <xf numFmtId="0" fontId="18" fillId="0" borderId="70" xfId="0" applyFont="1" applyBorder="1"/>
    <xf numFmtId="0" fontId="18" fillId="0" borderId="72" xfId="0" applyFont="1" applyBorder="1"/>
    <xf numFmtId="166" fontId="18" fillId="0" borderId="83" xfId="0" applyNumberFormat="1" applyFont="1" applyBorder="1"/>
    <xf numFmtId="166" fontId="20" fillId="0" borderId="7" xfId="0" applyNumberFormat="1" applyFont="1" applyBorder="1"/>
    <xf numFmtId="0" fontId="20" fillId="0" borderId="7" xfId="0" applyFont="1" applyBorder="1"/>
    <xf numFmtId="166" fontId="20" fillId="0" borderId="77" xfId="0" applyNumberFormat="1" applyFont="1" applyBorder="1"/>
    <xf numFmtId="37" fontId="20" fillId="0" borderId="77" xfId="0" applyNumberFormat="1" applyFont="1" applyBorder="1"/>
    <xf numFmtId="37" fontId="18" fillId="0" borderId="84" xfId="0" applyNumberFormat="1" applyFont="1" applyBorder="1"/>
    <xf numFmtId="37" fontId="20" fillId="0" borderId="7" xfId="0" applyNumberFormat="1" applyFont="1" applyBorder="1"/>
    <xf numFmtId="166" fontId="20" fillId="0" borderId="71" xfId="0" applyNumberFormat="1" applyFont="1" applyBorder="1"/>
    <xf numFmtId="37" fontId="20" fillId="0" borderId="71" xfId="0" applyNumberFormat="1" applyFont="1" applyBorder="1"/>
    <xf numFmtId="37" fontId="18" fillId="0" borderId="85" xfId="0" applyNumberFormat="1" applyFont="1" applyBorder="1"/>
    <xf numFmtId="37" fontId="20" fillId="0" borderId="0" xfId="0" applyNumberFormat="1" applyFont="1"/>
    <xf numFmtId="166" fontId="18" fillId="2" borderId="38" xfId="0" applyNumberFormat="1" applyFont="1" applyFill="1" applyBorder="1"/>
    <xf numFmtId="166" fontId="18" fillId="2" borderId="35" xfId="0" applyNumberFormat="1" applyFont="1" applyFill="1" applyBorder="1"/>
    <xf numFmtId="37" fontId="18" fillId="2" borderId="75" xfId="0" applyNumberFormat="1" applyFont="1" applyFill="1" applyBorder="1"/>
    <xf numFmtId="0" fontId="20" fillId="3" borderId="6" xfId="0" applyFont="1" applyFill="1" applyBorder="1"/>
    <xf numFmtId="0" fontId="20" fillId="3" borderId="7" xfId="0" applyFont="1" applyFill="1" applyBorder="1"/>
    <xf numFmtId="37" fontId="20" fillId="3" borderId="7" xfId="0" applyNumberFormat="1" applyFont="1" applyFill="1" applyBorder="1"/>
    <xf numFmtId="37" fontId="18" fillId="3" borderId="76" xfId="0" applyNumberFormat="1" applyFont="1" applyFill="1" applyBorder="1"/>
    <xf numFmtId="0" fontId="18" fillId="3" borderId="7" xfId="0" applyFont="1" applyFill="1" applyBorder="1"/>
    <xf numFmtId="37" fontId="18" fillId="3" borderId="7" xfId="0" applyNumberFormat="1" applyFont="1" applyFill="1" applyBorder="1"/>
    <xf numFmtId="37" fontId="18" fillId="3" borderId="77" xfId="0" applyNumberFormat="1" applyFont="1" applyFill="1" applyBorder="1"/>
    <xf numFmtId="37" fontId="18" fillId="3" borderId="0" xfId="0" applyNumberFormat="1" applyFont="1" applyFill="1"/>
    <xf numFmtId="166" fontId="18" fillId="3" borderId="0" xfId="0" applyNumberFormat="1" applyFont="1" applyFill="1"/>
    <xf numFmtId="166" fontId="18" fillId="3" borderId="77" xfId="0" applyNumberFormat="1" applyFont="1" applyFill="1" applyBorder="1"/>
    <xf numFmtId="166" fontId="18" fillId="3" borderId="7" xfId="0" applyNumberFormat="1" applyFont="1" applyFill="1" applyBorder="1"/>
    <xf numFmtId="37" fontId="18" fillId="3" borderId="78" xfId="0" applyNumberFormat="1" applyFont="1" applyFill="1" applyBorder="1"/>
    <xf numFmtId="166" fontId="18" fillId="0" borderId="45" xfId="0" applyNumberFormat="1" applyFont="1" applyBorder="1"/>
    <xf numFmtId="0" fontId="20" fillId="2" borderId="57" xfId="0" applyFont="1" applyFill="1" applyBorder="1"/>
    <xf numFmtId="0" fontId="20" fillId="2" borderId="58" xfId="0" applyFont="1" applyFill="1" applyBorder="1"/>
    <xf numFmtId="0" fontId="20" fillId="2" borderId="58" xfId="0" applyFont="1" applyFill="1" applyBorder="1" applyAlignment="1">
      <alignment horizontal="center"/>
    </xf>
    <xf numFmtId="166" fontId="20" fillId="2" borderId="58" xfId="0" applyNumberFormat="1" applyFont="1" applyFill="1" applyBorder="1"/>
    <xf numFmtId="37" fontId="20" fillId="2" borderId="86" xfId="0" applyNumberFormat="1" applyFont="1" applyFill="1" applyBorder="1"/>
    <xf numFmtId="37" fontId="20" fillId="2" borderId="58" xfId="0" applyNumberFormat="1" applyFont="1" applyFill="1" applyBorder="1"/>
    <xf numFmtId="37" fontId="20" fillId="2" borderId="87" xfId="0" applyNumberFormat="1" applyFont="1" applyFill="1" applyBorder="1"/>
    <xf numFmtId="166" fontId="20" fillId="2" borderId="88" xfId="0" applyNumberFormat="1" applyFont="1" applyFill="1" applyBorder="1"/>
    <xf numFmtId="0" fontId="20" fillId="2" borderId="87" xfId="0" applyFont="1" applyFill="1" applyBorder="1" applyAlignment="1">
      <alignment horizontal="center"/>
    </xf>
    <xf numFmtId="37" fontId="20" fillId="2" borderId="89" xfId="0" applyNumberFormat="1" applyFont="1" applyFill="1" applyBorder="1"/>
    <xf numFmtId="166" fontId="20" fillId="2" borderId="46" xfId="0" applyNumberFormat="1" applyFont="1" applyFill="1" applyBorder="1"/>
    <xf numFmtId="39" fontId="18" fillId="0" borderId="0" xfId="0" applyNumberFormat="1" applyFont="1"/>
    <xf numFmtId="0" fontId="20" fillId="2" borderId="90" xfId="0" applyFont="1" applyFill="1" applyBorder="1"/>
    <xf numFmtId="0" fontId="20" fillId="2" borderId="91" xfId="0" applyFont="1" applyFill="1" applyBorder="1"/>
    <xf numFmtId="0" fontId="20" fillId="2" borderId="91" xfId="0" applyFont="1" applyFill="1" applyBorder="1" applyAlignment="1">
      <alignment horizontal="center"/>
    </xf>
    <xf numFmtId="166" fontId="20" fillId="2" borderId="91" xfId="0" applyNumberFormat="1" applyFont="1" applyFill="1" applyBorder="1"/>
    <xf numFmtId="37" fontId="20" fillId="2" borderId="92" xfId="0" applyNumberFormat="1" applyFont="1" applyFill="1" applyBorder="1"/>
    <xf numFmtId="37" fontId="20" fillId="2" borderId="91" xfId="0" applyNumberFormat="1" applyFont="1" applyFill="1" applyBorder="1"/>
    <xf numFmtId="37" fontId="20" fillId="2" borderId="93" xfId="0" applyNumberFormat="1" applyFont="1" applyFill="1" applyBorder="1"/>
    <xf numFmtId="37" fontId="20" fillId="2" borderId="94" xfId="0" applyNumberFormat="1" applyFont="1" applyFill="1" applyBorder="1"/>
    <xf numFmtId="37" fontId="20" fillId="2" borderId="63" xfId="0" applyNumberFormat="1" applyFont="1" applyFill="1" applyBorder="1"/>
    <xf numFmtId="166" fontId="20" fillId="2" borderId="66" xfId="0" applyNumberFormat="1" applyFont="1" applyFill="1" applyBorder="1"/>
    <xf numFmtId="166" fontId="20" fillId="2" borderId="61" xfId="0" applyNumberFormat="1" applyFont="1" applyFill="1" applyBorder="1"/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4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96" xfId="0" applyFont="1" applyBorder="1" applyAlignment="1">
      <alignment vertical="center"/>
    </xf>
    <xf numFmtId="0" fontId="25" fillId="0" borderId="97" xfId="0" applyFont="1" applyBorder="1" applyAlignment="1">
      <alignment vertical="center"/>
    </xf>
    <xf numFmtId="37" fontId="25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5" fillId="7" borderId="95" xfId="0" applyFont="1" applyFill="1" applyBorder="1" applyAlignment="1">
      <alignment horizontal="center"/>
    </xf>
    <xf numFmtId="0" fontId="25" fillId="8" borderId="95" xfId="0" applyFont="1" applyFill="1" applyBorder="1" applyAlignment="1">
      <alignment horizontal="center"/>
    </xf>
    <xf numFmtId="0" fontId="25" fillId="5" borderId="95" xfId="0" applyFont="1" applyFill="1" applyBorder="1" applyAlignment="1">
      <alignment horizontal="center"/>
    </xf>
    <xf numFmtId="3" fontId="24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5" fillId="0" borderId="100" xfId="0" applyNumberFormat="1" applyFont="1" applyBorder="1" applyAlignment="1">
      <alignment horizontal="center" vertical="center"/>
    </xf>
    <xf numFmtId="3" fontId="24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3" fontId="29" fillId="0" borderId="0" xfId="0" applyNumberFormat="1" applyFont="1" applyAlignment="1">
      <alignment horizontal="center"/>
    </xf>
    <xf numFmtId="0" fontId="18" fillId="0" borderId="9" xfId="0" applyFont="1" applyBorder="1"/>
    <xf numFmtId="0" fontId="18" fillId="0" borderId="14" xfId="0" applyFont="1" applyBorder="1"/>
    <xf numFmtId="0" fontId="18" fillId="0" borderId="20" xfId="0" applyFont="1" applyBorder="1"/>
    <xf numFmtId="166" fontId="18" fillId="0" borderId="16" xfId="0" applyNumberFormat="1" applyFont="1" applyBorder="1"/>
    <xf numFmtId="0" fontId="20" fillId="0" borderId="9" xfId="0" applyFont="1" applyBorder="1"/>
    <xf numFmtId="166" fontId="18" fillId="0" borderId="8" xfId="0" applyNumberFormat="1" applyFont="1" applyBorder="1"/>
    <xf numFmtId="0" fontId="20" fillId="2" borderId="37" xfId="0" applyFont="1" applyFill="1" applyBorder="1"/>
    <xf numFmtId="0" fontId="20" fillId="2" borderId="103" xfId="0" applyFont="1" applyFill="1" applyBorder="1"/>
    <xf numFmtId="0" fontId="20" fillId="2" borderId="104" xfId="0" applyFont="1" applyFill="1" applyBorder="1"/>
    <xf numFmtId="0" fontId="20" fillId="2" borderId="104" xfId="0" applyFont="1" applyFill="1" applyBorder="1" applyAlignment="1">
      <alignment horizontal="center"/>
    </xf>
    <xf numFmtId="166" fontId="20" fillId="2" borderId="104" xfId="0" applyNumberFormat="1" applyFont="1" applyFill="1" applyBorder="1"/>
    <xf numFmtId="37" fontId="20" fillId="2" borderId="105" xfId="0" applyNumberFormat="1" applyFont="1" applyFill="1" applyBorder="1"/>
    <xf numFmtId="37" fontId="20" fillId="2" borderId="104" xfId="0" applyNumberFormat="1" applyFont="1" applyFill="1" applyBorder="1"/>
    <xf numFmtId="166" fontId="20" fillId="2" borderId="106" xfId="0" applyNumberFormat="1" applyFont="1" applyFill="1" applyBorder="1"/>
    <xf numFmtId="166" fontId="20" fillId="2" borderId="31" xfId="0" applyNumberFormat="1" applyFont="1" applyFill="1" applyBorder="1"/>
    <xf numFmtId="37" fontId="20" fillId="2" borderId="107" xfId="0" applyNumberFormat="1" applyFont="1" applyFill="1" applyBorder="1"/>
    <xf numFmtId="37" fontId="20" fillId="2" borderId="101" xfId="0" applyNumberFormat="1" applyFont="1" applyFill="1" applyBorder="1"/>
    <xf numFmtId="166" fontId="20" fillId="2" borderId="102" xfId="0" applyNumberFormat="1" applyFont="1" applyFill="1" applyBorder="1"/>
    <xf numFmtId="166" fontId="20" fillId="0" borderId="9" xfId="0" applyNumberFormat="1" applyFont="1" applyBorder="1"/>
    <xf numFmtId="166" fontId="20" fillId="0" borderId="8" xfId="0" applyNumberFormat="1" applyFont="1" applyBorder="1"/>
    <xf numFmtId="9" fontId="20" fillId="0" borderId="7" xfId="0" applyNumberFormat="1" applyFont="1" applyBorder="1"/>
    <xf numFmtId="9" fontId="20" fillId="0" borderId="0" xfId="0" applyNumberFormat="1" applyFont="1"/>
    <xf numFmtId="1" fontId="18" fillId="0" borderId="0" xfId="0" applyNumberFormat="1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3" fontId="31" fillId="0" borderId="0" xfId="0" applyNumberFormat="1" applyFont="1"/>
    <xf numFmtId="0" fontId="31" fillId="0" borderId="0" xfId="0" applyFont="1" applyAlignment="1">
      <alignment horizontal="right"/>
    </xf>
    <xf numFmtId="0" fontId="32" fillId="0" borderId="0" xfId="0" applyFont="1"/>
    <xf numFmtId="165" fontId="18" fillId="0" borderId="0" xfId="0" applyNumberFormat="1" applyFont="1" applyAlignment="1">
      <alignment horizontal="left"/>
    </xf>
    <xf numFmtId="3" fontId="18" fillId="0" borderId="0" xfId="0" applyNumberFormat="1" applyFont="1" applyAlignment="1">
      <alignment horizontal="center"/>
    </xf>
    <xf numFmtId="0" fontId="33" fillId="0" borderId="0" xfId="0" applyFont="1"/>
    <xf numFmtId="0" fontId="18" fillId="0" borderId="1" xfId="0" applyFont="1" applyBorder="1"/>
    <xf numFmtId="3" fontId="18" fillId="0" borderId="7" xfId="0" applyNumberFormat="1" applyFont="1" applyBorder="1" applyAlignment="1">
      <alignment horizontal="center"/>
    </xf>
    <xf numFmtId="3" fontId="18" fillId="0" borderId="8" xfId="0" applyNumberFormat="1" applyFon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1" fontId="34" fillId="0" borderId="0" xfId="0" applyNumberFormat="1" applyFont="1"/>
    <xf numFmtId="0" fontId="34" fillId="0" borderId="0" xfId="0" applyFont="1"/>
    <xf numFmtId="3" fontId="18" fillId="0" borderId="12" xfId="0" applyNumberFormat="1" applyFont="1" applyBorder="1" applyAlignment="1">
      <alignment horizontal="center"/>
    </xf>
    <xf numFmtId="3" fontId="18" fillId="0" borderId="13" xfId="0" applyNumberFormat="1" applyFont="1" applyBorder="1"/>
    <xf numFmtId="3" fontId="18" fillId="0" borderId="15" xfId="0" applyNumberFormat="1" applyFont="1" applyBorder="1"/>
    <xf numFmtId="3" fontId="18" fillId="0" borderId="14" xfId="0" applyNumberFormat="1" applyFont="1" applyBorder="1" applyAlignment="1">
      <alignment horizontal="center"/>
    </xf>
    <xf numFmtId="3" fontId="18" fillId="0" borderId="16" xfId="0" applyNumberFormat="1" applyFont="1" applyBorder="1" applyAlignment="1">
      <alignment horizontal="center"/>
    </xf>
    <xf numFmtId="3" fontId="18" fillId="0" borderId="17" xfId="0" applyNumberFormat="1" applyFont="1" applyBorder="1" applyAlignment="1">
      <alignment horizontal="center"/>
    </xf>
    <xf numFmtId="3" fontId="18" fillId="0" borderId="0" xfId="0" applyNumberFormat="1" applyFont="1"/>
    <xf numFmtId="3" fontId="18" fillId="0" borderId="9" xfId="0" applyNumberFormat="1" applyFont="1" applyBorder="1"/>
    <xf numFmtId="3" fontId="21" fillId="0" borderId="8" xfId="0" applyNumberFormat="1" applyFont="1" applyBorder="1"/>
    <xf numFmtId="3" fontId="18" fillId="0" borderId="8" xfId="0" applyNumberFormat="1" applyFont="1" applyBorder="1"/>
    <xf numFmtId="3" fontId="18" fillId="0" borderId="10" xfId="0" applyNumberFormat="1" applyFont="1" applyBorder="1"/>
    <xf numFmtId="0" fontId="20" fillId="0" borderId="6" xfId="0" applyFont="1" applyBorder="1"/>
    <xf numFmtId="3" fontId="20" fillId="0" borderId="7" xfId="0" applyNumberFormat="1" applyFont="1" applyBorder="1"/>
    <xf numFmtId="3" fontId="20" fillId="0" borderId="19" xfId="0" applyNumberFormat="1" applyFont="1" applyBorder="1"/>
    <xf numFmtId="3" fontId="20" fillId="0" borderId="20" xfId="0" applyNumberFormat="1" applyFont="1" applyBorder="1"/>
    <xf numFmtId="3" fontId="20" fillId="0" borderId="21" xfId="0" applyNumberFormat="1" applyFont="1" applyBorder="1"/>
    <xf numFmtId="0" fontId="18" fillId="0" borderId="8" xfId="0" applyFont="1" applyBorder="1"/>
    <xf numFmtId="166" fontId="20" fillId="0" borderId="10" xfId="0" applyNumberFormat="1" applyFont="1" applyBorder="1"/>
    <xf numFmtId="0" fontId="20" fillId="0" borderId="22" xfId="0" applyFont="1" applyBorder="1"/>
    <xf numFmtId="3" fontId="18" fillId="0" borderId="23" xfId="0" applyNumberFormat="1" applyFont="1" applyBorder="1"/>
    <xf numFmtId="3" fontId="18" fillId="0" borderId="12" xfId="0" applyNumberFormat="1" applyFont="1" applyBorder="1"/>
    <xf numFmtId="3" fontId="18" fillId="0" borderId="16" xfId="0" applyNumberFormat="1" applyFont="1" applyBorder="1"/>
    <xf numFmtId="3" fontId="20" fillId="0" borderId="14" xfId="0" applyNumberFormat="1" applyFont="1" applyBorder="1"/>
    <xf numFmtId="3" fontId="20" fillId="0" borderId="12" xfId="0" applyNumberFormat="1" applyFont="1" applyBorder="1"/>
    <xf numFmtId="3" fontId="18" fillId="0" borderId="14" xfId="0" applyNumberFormat="1" applyFont="1" applyBorder="1"/>
    <xf numFmtId="3" fontId="18" fillId="0" borderId="17" xfId="0" applyNumberFormat="1" applyFont="1" applyBorder="1"/>
    <xf numFmtId="3" fontId="18" fillId="0" borderId="7" xfId="0" applyNumberFormat="1" applyFont="1" applyBorder="1"/>
    <xf numFmtId="3" fontId="18" fillId="0" borderId="19" xfId="0" applyNumberFormat="1" applyFont="1" applyBorder="1"/>
    <xf numFmtId="3" fontId="18" fillId="0" borderId="20" xfId="0" applyNumberFormat="1" applyFont="1" applyBorder="1"/>
    <xf numFmtId="3" fontId="18" fillId="0" borderId="21" xfId="0" applyNumberFormat="1" applyFont="1" applyBorder="1"/>
    <xf numFmtId="37" fontId="18" fillId="0" borderId="8" xfId="0" applyNumberFormat="1" applyFont="1" applyBorder="1"/>
    <xf numFmtId="37" fontId="18" fillId="0" borderId="9" xfId="0" applyNumberFormat="1" applyFont="1" applyBorder="1"/>
    <xf numFmtId="0" fontId="18" fillId="0" borderId="10" xfId="0" applyFont="1" applyBorder="1"/>
    <xf numFmtId="0" fontId="20" fillId="2" borderId="24" xfId="0" applyFont="1" applyFill="1" applyBorder="1"/>
    <xf numFmtId="37" fontId="20" fillId="2" borderId="25" xfId="0" applyNumberFormat="1" applyFont="1" applyFill="1" applyBorder="1"/>
    <xf numFmtId="3" fontId="20" fillId="2" borderId="25" xfId="0" applyNumberFormat="1" applyFont="1" applyFill="1" applyBorder="1"/>
    <xf numFmtId="37" fontId="20" fillId="2" borderId="26" xfId="0" applyNumberFormat="1" applyFont="1" applyFill="1" applyBorder="1"/>
    <xf numFmtId="37" fontId="20" fillId="2" borderId="27" xfId="0" applyNumberFormat="1" applyFont="1" applyFill="1" applyBorder="1"/>
    <xf numFmtId="167" fontId="20" fillId="2" borderId="25" xfId="0" applyNumberFormat="1" applyFont="1" applyFill="1" applyBorder="1"/>
    <xf numFmtId="37" fontId="20" fillId="2" borderId="28" xfId="0" applyNumberFormat="1" applyFont="1" applyFill="1" applyBorder="1"/>
    <xf numFmtId="0" fontId="20" fillId="2" borderId="29" xfId="0" applyFont="1" applyFill="1" applyBorder="1"/>
    <xf numFmtId="0" fontId="20" fillId="2" borderId="30" xfId="0" applyFont="1" applyFill="1" applyBorder="1"/>
    <xf numFmtId="0" fontId="20" fillId="2" borderId="31" xfId="0" applyFont="1" applyFill="1" applyBorder="1"/>
    <xf numFmtId="0" fontId="20" fillId="2" borderId="32" xfId="0" applyFont="1" applyFill="1" applyBorder="1"/>
    <xf numFmtId="166" fontId="20" fillId="2" borderId="32" xfId="0" applyNumberFormat="1" applyFont="1" applyFill="1" applyBorder="1"/>
    <xf numFmtId="166" fontId="20" fillId="2" borderId="33" xfId="0" applyNumberFormat="1" applyFont="1" applyFill="1" applyBorder="1"/>
    <xf numFmtId="0" fontId="20" fillId="0" borderId="8" xfId="0" applyFont="1" applyBorder="1"/>
    <xf numFmtId="0" fontId="20" fillId="0" borderId="18" xfId="0" applyFont="1" applyBorder="1" applyAlignment="1">
      <alignment horizontal="left"/>
    </xf>
    <xf numFmtId="0" fontId="18" fillId="0" borderId="9" xfId="0" applyFont="1" applyBorder="1" applyAlignment="1">
      <alignment horizontal="right"/>
    </xf>
    <xf numFmtId="166" fontId="18" fillId="0" borderId="9" xfId="2" applyNumberFormat="1" applyFont="1" applyFill="1" applyBorder="1"/>
    <xf numFmtId="37" fontId="18" fillId="0" borderId="10" xfId="0" applyNumberFormat="1" applyFont="1" applyBorder="1"/>
    <xf numFmtId="3" fontId="33" fillId="0" borderId="0" xfId="0" applyNumberFormat="1" applyFont="1"/>
    <xf numFmtId="0" fontId="18" fillId="0" borderId="14" xfId="0" applyFont="1" applyBorder="1" applyAlignment="1">
      <alignment horizontal="right"/>
    </xf>
    <xf numFmtId="37" fontId="18" fillId="0" borderId="15" xfId="0" applyNumberFormat="1" applyFont="1" applyBorder="1"/>
    <xf numFmtId="166" fontId="18" fillId="0" borderId="14" xfId="2" applyNumberFormat="1" applyFont="1" applyBorder="1"/>
    <xf numFmtId="37" fontId="18" fillId="0" borderId="16" xfId="0" applyNumberFormat="1" applyFont="1" applyBorder="1"/>
    <xf numFmtId="37" fontId="18" fillId="0" borderId="17" xfId="0" applyNumberFormat="1" applyFont="1" applyBorder="1"/>
    <xf numFmtId="3" fontId="18" fillId="0" borderId="82" xfId="0" applyNumberFormat="1" applyFont="1" applyBorder="1"/>
    <xf numFmtId="0" fontId="20" fillId="2" borderId="35" xfId="0" applyFont="1" applyFill="1" applyBorder="1" applyAlignment="1">
      <alignment horizontal="center"/>
    </xf>
    <xf numFmtId="37" fontId="20" fillId="2" borderId="36" xfId="0" applyNumberFormat="1" applyFont="1" applyFill="1" applyBorder="1"/>
    <xf numFmtId="0" fontId="20" fillId="2" borderId="37" xfId="0" applyFont="1" applyFill="1" applyBorder="1" applyAlignment="1">
      <alignment horizontal="center"/>
    </xf>
    <xf numFmtId="0" fontId="18" fillId="2" borderId="38" xfId="0" applyFont="1" applyFill="1" applyBorder="1"/>
    <xf numFmtId="0" fontId="18" fillId="2" borderId="37" xfId="0" applyFont="1" applyFill="1" applyBorder="1"/>
    <xf numFmtId="37" fontId="20" fillId="2" borderId="39" xfId="0" applyNumberFormat="1" applyFont="1" applyFill="1" applyBorder="1"/>
    <xf numFmtId="0" fontId="18" fillId="0" borderId="20" xfId="0" applyFont="1" applyBorder="1" applyAlignment="1">
      <alignment horizontal="right"/>
    </xf>
    <xf numFmtId="3" fontId="18" fillId="0" borderId="40" xfId="0" applyNumberFormat="1" applyFont="1" applyBorder="1"/>
    <xf numFmtId="37" fontId="18" fillId="0" borderId="19" xfId="0" applyNumberFormat="1" applyFont="1" applyBorder="1"/>
    <xf numFmtId="37" fontId="18" fillId="0" borderId="21" xfId="0" applyNumberFormat="1" applyFont="1" applyBorder="1"/>
    <xf numFmtId="37" fontId="20" fillId="2" borderId="17" xfId="0" applyNumberFormat="1" applyFont="1" applyFill="1" applyBorder="1"/>
    <xf numFmtId="0" fontId="20" fillId="3" borderId="18" xfId="0" applyFont="1" applyFill="1" applyBorder="1"/>
    <xf numFmtId="0" fontId="18" fillId="3" borderId="0" xfId="0" applyFont="1" applyFill="1"/>
    <xf numFmtId="0" fontId="20" fillId="3" borderId="0" xfId="0" applyFont="1" applyFill="1"/>
    <xf numFmtId="37" fontId="20" fillId="3" borderId="8" xfId="0" applyNumberFormat="1" applyFont="1" applyFill="1" applyBorder="1"/>
    <xf numFmtId="0" fontId="18" fillId="3" borderId="9" xfId="0" applyFont="1" applyFill="1" applyBorder="1"/>
    <xf numFmtId="0" fontId="18" fillId="3" borderId="14" xfId="0" applyFont="1" applyFill="1" applyBorder="1"/>
    <xf numFmtId="0" fontId="18" fillId="3" borderId="12" xfId="0" applyFont="1" applyFill="1" applyBorder="1"/>
    <xf numFmtId="37" fontId="20" fillId="3" borderId="16" xfId="0" applyNumberFormat="1" applyFont="1" applyFill="1" applyBorder="1"/>
    <xf numFmtId="37" fontId="20" fillId="3" borderId="17" xfId="0" applyNumberFormat="1" applyFont="1" applyFill="1" applyBorder="1"/>
    <xf numFmtId="0" fontId="20" fillId="2" borderId="41" xfId="0" applyFont="1" applyFill="1" applyBorder="1"/>
    <xf numFmtId="0" fontId="18" fillId="2" borderId="42" xfId="0" applyFont="1" applyFill="1" applyBorder="1"/>
    <xf numFmtId="0" fontId="20" fillId="2" borderId="42" xfId="0" applyFont="1" applyFill="1" applyBorder="1"/>
    <xf numFmtId="37" fontId="20" fillId="2" borderId="43" xfId="0" applyNumberFormat="1" applyFont="1" applyFill="1" applyBorder="1"/>
    <xf numFmtId="0" fontId="18" fillId="2" borderId="44" xfId="0" applyFont="1" applyFill="1" applyBorder="1"/>
    <xf numFmtId="37" fontId="20" fillId="2" borderId="45" xfId="0" applyNumberFormat="1" applyFont="1" applyFill="1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35" fillId="0" borderId="0" xfId="0" applyFont="1"/>
    <xf numFmtId="1" fontId="18" fillId="0" borderId="9" xfId="0" applyNumberFormat="1" applyFont="1" applyBorder="1"/>
    <xf numFmtId="3" fontId="20" fillId="0" borderId="16" xfId="0" applyNumberFormat="1" applyFont="1" applyBorder="1"/>
    <xf numFmtId="3" fontId="20" fillId="0" borderId="17" xfId="0" applyNumberFormat="1" applyFont="1" applyBorder="1"/>
    <xf numFmtId="166" fontId="36" fillId="4" borderId="46" xfId="0" applyNumberFormat="1" applyFont="1" applyFill="1" applyBorder="1"/>
    <xf numFmtId="166" fontId="18" fillId="0" borderId="9" xfId="2" applyNumberFormat="1" applyFont="1" applyBorder="1"/>
    <xf numFmtId="0" fontId="18" fillId="2" borderId="14" xfId="0" applyFont="1" applyFill="1" applyBorder="1"/>
    <xf numFmtId="0" fontId="20" fillId="0" borderId="9" xfId="0" applyFont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0" fontId="18" fillId="2" borderId="44" xfId="0" applyFont="1" applyFill="1" applyBorder="1" applyAlignment="1">
      <alignment horizontal="right"/>
    </xf>
    <xf numFmtId="0" fontId="20" fillId="2" borderId="44" xfId="0" applyFont="1" applyFill="1" applyBorder="1"/>
    <xf numFmtId="0" fontId="18" fillId="0" borderId="20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66" fontId="18" fillId="0" borderId="9" xfId="0" applyNumberFormat="1" applyFont="1" applyBorder="1"/>
    <xf numFmtId="166" fontId="18" fillId="0" borderId="14" xfId="0" applyNumberFormat="1" applyFont="1" applyBorder="1"/>
    <xf numFmtId="37" fontId="18" fillId="0" borderId="14" xfId="0" applyNumberFormat="1" applyFont="1" applyBorder="1"/>
    <xf numFmtId="37" fontId="18" fillId="0" borderId="20" xfId="0" applyNumberFormat="1" applyFont="1" applyBorder="1"/>
    <xf numFmtId="1" fontId="18" fillId="0" borderId="12" xfId="0" applyNumberFormat="1" applyFont="1" applyBorder="1"/>
    <xf numFmtId="166" fontId="20" fillId="0" borderId="14" xfId="0" applyNumberFormat="1" applyFont="1" applyBorder="1"/>
    <xf numFmtId="166" fontId="20" fillId="0" borderId="16" xfId="0" applyNumberFormat="1" applyFont="1" applyBorder="1"/>
    <xf numFmtId="166" fontId="20" fillId="0" borderId="17" xfId="0" applyNumberFormat="1" applyFont="1" applyBorder="1"/>
    <xf numFmtId="167" fontId="18" fillId="0" borderId="15" xfId="0" applyNumberFormat="1" applyFont="1" applyBorder="1"/>
    <xf numFmtId="166" fontId="18" fillId="0" borderId="15" xfId="0" applyNumberFormat="1" applyFont="1" applyBorder="1"/>
    <xf numFmtId="166" fontId="18" fillId="0" borderId="13" xfId="0" applyNumberFormat="1" applyFont="1" applyBorder="1"/>
    <xf numFmtId="37" fontId="18" fillId="0" borderId="23" xfId="0" applyNumberFormat="1" applyFont="1" applyBorder="1"/>
    <xf numFmtId="1" fontId="18" fillId="0" borderId="7" xfId="0" applyNumberFormat="1" applyFont="1" applyBorder="1"/>
    <xf numFmtId="1" fontId="18" fillId="0" borderId="20" xfId="0" applyNumberFormat="1" applyFont="1" applyBorder="1"/>
    <xf numFmtId="166" fontId="18" fillId="0" borderId="20" xfId="0" applyNumberFormat="1" applyFont="1" applyBorder="1"/>
    <xf numFmtId="167" fontId="20" fillId="0" borderId="0" xfId="0" applyNumberFormat="1" applyFont="1"/>
    <xf numFmtId="37" fontId="20" fillId="0" borderId="8" xfId="0" applyNumberFormat="1" applyFont="1" applyBorder="1"/>
    <xf numFmtId="37" fontId="20" fillId="0" borderId="10" xfId="0" applyNumberFormat="1" applyFont="1" applyBorder="1"/>
    <xf numFmtId="0" fontId="20" fillId="0" borderId="12" xfId="0" applyFont="1" applyBorder="1"/>
    <xf numFmtId="167" fontId="20" fillId="0" borderId="12" xfId="0" applyNumberFormat="1" applyFont="1" applyBorder="1"/>
    <xf numFmtId="37" fontId="20" fillId="0" borderId="16" xfId="0" applyNumberFormat="1" applyFont="1" applyBorder="1"/>
    <xf numFmtId="37" fontId="20" fillId="0" borderId="17" xfId="0" applyNumberFormat="1" applyFont="1" applyBorder="1"/>
    <xf numFmtId="37" fontId="20" fillId="0" borderId="9" xfId="0" applyNumberFormat="1" applyFont="1" applyBorder="1"/>
    <xf numFmtId="37" fontId="18" fillId="0" borderId="44" xfId="0" applyNumberFormat="1" applyFont="1" applyBorder="1"/>
    <xf numFmtId="37" fontId="20" fillId="3" borderId="25" xfId="0" applyNumberFormat="1" applyFont="1" applyFill="1" applyBorder="1"/>
    <xf numFmtId="37" fontId="20" fillId="3" borderId="26" xfId="0" applyNumberFormat="1" applyFont="1" applyFill="1" applyBorder="1"/>
    <xf numFmtId="166" fontId="20" fillId="3" borderId="27" xfId="0" applyNumberFormat="1" applyFont="1" applyFill="1" applyBorder="1"/>
    <xf numFmtId="37" fontId="20" fillId="3" borderId="28" xfId="0" applyNumberFormat="1" applyFont="1" applyFill="1" applyBorder="1"/>
    <xf numFmtId="37" fontId="20" fillId="3" borderId="12" xfId="0" applyNumberFormat="1" applyFont="1" applyFill="1" applyBorder="1"/>
    <xf numFmtId="37" fontId="20" fillId="3" borderId="14" xfId="0" applyNumberFormat="1" applyFont="1" applyFill="1" applyBorder="1"/>
    <xf numFmtId="166" fontId="20" fillId="3" borderId="16" xfId="0" applyNumberFormat="1" applyFont="1" applyFill="1" applyBorder="1"/>
    <xf numFmtId="167" fontId="20" fillId="0" borderId="7" xfId="0" applyNumberFormat="1" applyFont="1" applyBorder="1"/>
    <xf numFmtId="37" fontId="20" fillId="0" borderId="20" xfId="0" applyNumberFormat="1" applyFont="1" applyBorder="1"/>
    <xf numFmtId="37" fontId="20" fillId="0" borderId="19" xfId="0" applyNumberFormat="1" applyFont="1" applyBorder="1"/>
    <xf numFmtId="37" fontId="20" fillId="0" borderId="21" xfId="0" applyNumberFormat="1" applyFont="1" applyBorder="1"/>
    <xf numFmtId="167" fontId="20" fillId="3" borderId="7" xfId="0" applyNumberFormat="1" applyFont="1" applyFill="1" applyBorder="1"/>
    <xf numFmtId="37" fontId="20" fillId="3" borderId="20" xfId="0" applyNumberFormat="1" applyFont="1" applyFill="1" applyBorder="1"/>
    <xf numFmtId="37" fontId="20" fillId="3" borderId="19" xfId="0" applyNumberFormat="1" applyFont="1" applyFill="1" applyBorder="1"/>
    <xf numFmtId="37" fontId="20" fillId="3" borderId="21" xfId="0" applyNumberFormat="1" applyFont="1" applyFill="1" applyBorder="1"/>
    <xf numFmtId="166" fontId="20" fillId="2" borderId="27" xfId="0" applyNumberFormat="1" applyFont="1" applyFill="1" applyBorder="1"/>
    <xf numFmtId="166" fontId="20" fillId="2" borderId="30" xfId="0" applyNumberFormat="1" applyFont="1" applyFill="1" applyBorder="1"/>
    <xf numFmtId="168" fontId="18" fillId="0" borderId="0" xfId="1" applyNumberFormat="1" applyFont="1"/>
    <xf numFmtId="168" fontId="18" fillId="0" borderId="9" xfId="1" applyNumberFormat="1" applyFont="1" applyBorder="1"/>
    <xf numFmtId="168" fontId="18" fillId="0" borderId="8" xfId="1" applyNumberFormat="1" applyFont="1" applyBorder="1"/>
    <xf numFmtId="168" fontId="18" fillId="0" borderId="10" xfId="1" applyNumberFormat="1" applyFont="1" applyBorder="1"/>
    <xf numFmtId="168" fontId="18" fillId="0" borderId="13" xfId="1" applyNumberFormat="1" applyFont="1" applyBorder="1"/>
    <xf numFmtId="168" fontId="18" fillId="0" borderId="0" xfId="1" applyNumberFormat="1" applyFont="1" applyAlignment="1">
      <alignment horizontal="right"/>
    </xf>
    <xf numFmtId="168" fontId="18" fillId="0" borderId="7" xfId="1" applyNumberFormat="1" applyFont="1" applyBorder="1"/>
    <xf numFmtId="168" fontId="18" fillId="0" borderId="7" xfId="1" applyNumberFormat="1" applyFont="1" applyBorder="1" applyAlignment="1">
      <alignment horizontal="right"/>
    </xf>
    <xf numFmtId="168" fontId="18" fillId="0" borderId="20" xfId="1" applyNumberFormat="1" applyFont="1" applyBorder="1"/>
    <xf numFmtId="168" fontId="18" fillId="0" borderId="19" xfId="1" applyNumberFormat="1" applyFont="1" applyBorder="1"/>
    <xf numFmtId="168" fontId="18" fillId="0" borderId="21" xfId="1" applyNumberFormat="1" applyFont="1" applyBorder="1"/>
    <xf numFmtId="168" fontId="18" fillId="0" borderId="12" xfId="1" applyNumberFormat="1" applyFont="1" applyBorder="1"/>
    <xf numFmtId="168" fontId="18" fillId="0" borderId="12" xfId="1" applyNumberFormat="1" applyFont="1" applyBorder="1" applyAlignment="1">
      <alignment horizontal="right"/>
    </xf>
    <xf numFmtId="168" fontId="18" fillId="0" borderId="14" xfId="1" applyNumberFormat="1" applyFont="1" applyBorder="1"/>
    <xf numFmtId="168" fontId="18" fillId="0" borderId="16" xfId="1" applyNumberFormat="1" applyFont="1" applyBorder="1"/>
    <xf numFmtId="168" fontId="18" fillId="0" borderId="17" xfId="1" applyNumberFormat="1" applyFont="1" applyBorder="1"/>
    <xf numFmtId="168" fontId="20" fillId="2" borderId="35" xfId="1" applyNumberFormat="1" applyFont="1" applyFill="1" applyBorder="1"/>
    <xf numFmtId="168" fontId="20" fillId="2" borderId="36" xfId="1" applyNumberFormat="1" applyFont="1" applyFill="1" applyBorder="1"/>
    <xf numFmtId="168" fontId="20" fillId="2" borderId="35" xfId="1" applyNumberFormat="1" applyFont="1" applyFill="1" applyBorder="1" applyAlignment="1">
      <alignment horizontal="center"/>
    </xf>
    <xf numFmtId="168" fontId="18" fillId="2" borderId="14" xfId="1" applyNumberFormat="1" applyFont="1" applyFill="1" applyBorder="1"/>
    <xf numFmtId="168" fontId="20" fillId="2" borderId="17" xfId="1" applyNumberFormat="1" applyFont="1" applyFill="1" applyBorder="1"/>
    <xf numFmtId="37" fontId="20" fillId="2" borderId="42" xfId="0" applyNumberFormat="1" applyFont="1" applyFill="1" applyBorder="1"/>
    <xf numFmtId="1" fontId="18" fillId="0" borderId="0" xfId="0" applyNumberFormat="1" applyFont="1" applyAlignment="1">
      <alignment horizontal="center"/>
    </xf>
    <xf numFmtId="1" fontId="18" fillId="0" borderId="9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3" fontId="18" fillId="0" borderId="47" xfId="0" applyNumberFormat="1" applyFont="1" applyBorder="1"/>
    <xf numFmtId="2" fontId="18" fillId="0" borderId="12" xfId="0" applyNumberFormat="1" applyFont="1" applyBorder="1"/>
    <xf numFmtId="166" fontId="20" fillId="0" borderId="20" xfId="0" applyNumberFormat="1" applyFont="1" applyBorder="1"/>
    <xf numFmtId="0" fontId="18" fillId="0" borderId="16" xfId="0" applyFont="1" applyBorder="1"/>
    <xf numFmtId="0" fontId="21" fillId="0" borderId="12" xfId="0" applyFont="1" applyBorder="1"/>
    <xf numFmtId="37" fontId="18" fillId="0" borderId="13" xfId="0" applyNumberFormat="1" applyFont="1" applyBorder="1"/>
    <xf numFmtId="166" fontId="20" fillId="2" borderId="25" xfId="0" applyNumberFormat="1" applyFont="1" applyFill="1" applyBorder="1"/>
    <xf numFmtId="166" fontId="20" fillId="2" borderId="49" xfId="0" applyNumberFormat="1" applyFont="1" applyFill="1" applyBorder="1"/>
    <xf numFmtId="37" fontId="20" fillId="2" borderId="50" xfId="0" applyNumberFormat="1" applyFont="1" applyFill="1" applyBorder="1"/>
    <xf numFmtId="37" fontId="20" fillId="2" borderId="51" xfId="0" applyNumberFormat="1" applyFont="1" applyFill="1" applyBorder="1"/>
    <xf numFmtId="0" fontId="20" fillId="2" borderId="52" xfId="0" applyFont="1" applyFill="1" applyBorder="1"/>
    <xf numFmtId="37" fontId="20" fillId="2" borderId="53" xfId="0" applyNumberFormat="1" applyFont="1" applyFill="1" applyBorder="1"/>
    <xf numFmtId="167" fontId="20" fillId="2" borderId="53" xfId="0" applyNumberFormat="1" applyFont="1" applyFill="1" applyBorder="1"/>
    <xf numFmtId="37" fontId="20" fillId="2" borderId="54" xfId="0" applyNumberFormat="1" applyFont="1" applyFill="1" applyBorder="1"/>
    <xf numFmtId="37" fontId="20" fillId="2" borderId="55" xfId="0" applyNumberFormat="1" applyFont="1" applyFill="1" applyBorder="1"/>
    <xf numFmtId="0" fontId="18" fillId="2" borderId="32" xfId="0" applyFont="1" applyFill="1" applyBorder="1"/>
    <xf numFmtId="168" fontId="18" fillId="0" borderId="8" xfId="1" applyNumberFormat="1" applyFont="1" applyFill="1" applyBorder="1"/>
    <xf numFmtId="0" fontId="21" fillId="0" borderId="56" xfId="0" applyFont="1" applyBorder="1"/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37" fontId="18" fillId="4" borderId="0" xfId="0" applyNumberFormat="1" applyFont="1" applyFill="1"/>
    <xf numFmtId="166" fontId="20" fillId="2" borderId="0" xfId="0" applyNumberFormat="1" applyFont="1" applyFill="1"/>
    <xf numFmtId="37" fontId="18" fillId="4" borderId="5" xfId="0" applyNumberFormat="1" applyFont="1" applyFill="1" applyBorder="1"/>
    <xf numFmtId="3" fontId="18" fillId="4" borderId="1" xfId="0" applyNumberFormat="1" applyFont="1" applyFill="1" applyBorder="1"/>
    <xf numFmtId="3" fontId="18" fillId="4" borderId="3" xfId="0" applyNumberFormat="1" applyFont="1" applyFill="1" applyBorder="1"/>
    <xf numFmtId="37" fontId="36" fillId="0" borderId="0" xfId="0" applyNumberFormat="1" applyFont="1"/>
    <xf numFmtId="166" fontId="18" fillId="0" borderId="0" xfId="2" applyNumberFormat="1" applyFont="1" applyFill="1" applyBorder="1"/>
    <xf numFmtId="0" fontId="21" fillId="0" borderId="0" xfId="0" applyFont="1"/>
    <xf numFmtId="166" fontId="18" fillId="0" borderId="8" xfId="2" applyNumberFormat="1" applyFont="1" applyFill="1" applyBorder="1"/>
    <xf numFmtId="0" fontId="20" fillId="0" borderId="10" xfId="0" applyFont="1" applyBorder="1"/>
    <xf numFmtId="37" fontId="20" fillId="2" borderId="59" xfId="0" applyNumberFormat="1" applyFont="1" applyFill="1" applyBorder="1"/>
    <xf numFmtId="0" fontId="20" fillId="2" borderId="60" xfId="0" applyFont="1" applyFill="1" applyBorder="1"/>
    <xf numFmtId="0" fontId="18" fillId="2" borderId="60" xfId="0" applyFont="1" applyFill="1" applyBorder="1"/>
    <xf numFmtId="0" fontId="18" fillId="2" borderId="58" xfId="0" applyFont="1" applyFill="1" applyBorder="1"/>
    <xf numFmtId="37" fontId="20" fillId="2" borderId="61" xfId="0" applyNumberFormat="1" applyFont="1" applyFill="1" applyBorder="1"/>
    <xf numFmtId="0" fontId="20" fillId="0" borderId="0" xfId="0" applyFont="1" applyAlignment="1">
      <alignment horizontal="right" vertical="center"/>
    </xf>
    <xf numFmtId="0" fontId="18" fillId="0" borderId="62" xfId="0" applyFont="1" applyBorder="1" applyAlignment="1">
      <alignment horizontal="left"/>
    </xf>
    <xf numFmtId="0" fontId="20" fillId="0" borderId="6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43" fontId="18" fillId="0" borderId="0" xfId="0" applyNumberFormat="1" applyFont="1"/>
    <xf numFmtId="43" fontId="33" fillId="0" borderId="0" xfId="0" applyNumberFormat="1" applyFont="1"/>
    <xf numFmtId="37" fontId="33" fillId="0" borderId="0" xfId="0" applyNumberFormat="1" applyFont="1"/>
    <xf numFmtId="169" fontId="33" fillId="0" borderId="0" xfId="0" applyNumberFormat="1" applyFont="1"/>
    <xf numFmtId="168" fontId="33" fillId="0" borderId="0" xfId="0" applyNumberFormat="1" applyFont="1"/>
    <xf numFmtId="0" fontId="33" fillId="3" borderId="0" xfId="0" applyFont="1" applyFill="1"/>
    <xf numFmtId="9" fontId="33" fillId="0" borderId="0" xfId="0" applyNumberFormat="1" applyFont="1"/>
    <xf numFmtId="0" fontId="33" fillId="0" borderId="18" xfId="0" applyFont="1" applyBorder="1"/>
    <xf numFmtId="37" fontId="33" fillId="0" borderId="70" xfId="0" applyNumberFormat="1" applyFont="1" applyBorder="1"/>
    <xf numFmtId="0" fontId="33" fillId="0" borderId="70" xfId="0" applyFont="1" applyBorder="1"/>
    <xf numFmtId="0" fontId="33" fillId="0" borderId="72" xfId="0" applyFont="1" applyBorder="1"/>
    <xf numFmtId="0" fontId="33" fillId="0" borderId="10" xfId="0" applyFont="1" applyBorder="1"/>
    <xf numFmtId="1" fontId="18" fillId="0" borderId="72" xfId="0" applyNumberFormat="1" applyFont="1" applyBorder="1"/>
    <xf numFmtId="37" fontId="31" fillId="0" borderId="0" xfId="0" applyNumberFormat="1" applyFont="1"/>
    <xf numFmtId="0" fontId="31" fillId="3" borderId="0" xfId="0" applyFont="1" applyFill="1"/>
    <xf numFmtId="37" fontId="33" fillId="3" borderId="0" xfId="0" applyNumberFormat="1" applyFont="1" applyFill="1"/>
    <xf numFmtId="0" fontId="37" fillId="3" borderId="0" xfId="0" applyFont="1" applyFill="1"/>
    <xf numFmtId="37" fontId="31" fillId="3" borderId="0" xfId="0" applyNumberFormat="1" applyFont="1" applyFill="1"/>
    <xf numFmtId="0" fontId="33" fillId="3" borderId="0" xfId="0" applyFont="1" applyFill="1" applyAlignment="1">
      <alignment horizontal="center" vertical="center"/>
    </xf>
    <xf numFmtId="165" fontId="38" fillId="3" borderId="0" xfId="0" applyNumberFormat="1" applyFont="1" applyFill="1" applyAlignment="1">
      <alignment horizontal="right"/>
    </xf>
    <xf numFmtId="0" fontId="31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38" fillId="3" borderId="0" xfId="0" applyFont="1" applyFill="1"/>
    <xf numFmtId="166" fontId="33" fillId="3" borderId="0" xfId="0" applyNumberFormat="1" applyFont="1" applyFill="1"/>
    <xf numFmtId="9" fontId="33" fillId="3" borderId="0" xfId="0" applyNumberFormat="1" applyFont="1" applyFill="1"/>
    <xf numFmtId="166" fontId="31" fillId="3" borderId="0" xfId="0" applyNumberFormat="1" applyFont="1" applyFill="1"/>
    <xf numFmtId="0" fontId="22" fillId="3" borderId="0" xfId="0" applyFont="1" applyFill="1"/>
    <xf numFmtId="165" fontId="33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left"/>
    </xf>
    <xf numFmtId="0" fontId="39" fillId="3" borderId="0" xfId="0" applyFont="1" applyFill="1"/>
    <xf numFmtId="168" fontId="18" fillId="0" borderId="0" xfId="1" applyNumberFormat="1" applyFont="1" applyBorder="1"/>
    <xf numFmtId="168" fontId="18" fillId="0" borderId="0" xfId="1" applyNumberFormat="1" applyFont="1" applyBorder="1" applyAlignment="1">
      <alignment horizontal="right"/>
    </xf>
    <xf numFmtId="0" fontId="18" fillId="0" borderId="111" xfId="0" applyFont="1" applyBorder="1"/>
    <xf numFmtId="0" fontId="18" fillId="0" borderId="110" xfId="0" applyFont="1" applyBorder="1"/>
    <xf numFmtId="0" fontId="18" fillId="0" borderId="108" xfId="0" applyFont="1" applyBorder="1" applyAlignment="1">
      <alignment horizontal="center"/>
    </xf>
    <xf numFmtId="37" fontId="18" fillId="0" borderId="108" xfId="0" applyNumberFormat="1" applyFont="1" applyBorder="1"/>
    <xf numFmtId="166" fontId="18" fillId="0" borderId="108" xfId="0" applyNumberFormat="1" applyFont="1" applyBorder="1"/>
    <xf numFmtId="0" fontId="18" fillId="0" borderId="114" xfId="0" applyFont="1" applyBorder="1"/>
    <xf numFmtId="166" fontId="18" fillId="0" borderId="109" xfId="0" applyNumberFormat="1" applyFont="1" applyBorder="1"/>
    <xf numFmtId="0" fontId="18" fillId="0" borderId="115" xfId="0" applyFont="1" applyBorder="1"/>
    <xf numFmtId="166" fontId="18" fillId="0" borderId="116" xfId="0" applyNumberFormat="1" applyFont="1" applyBorder="1"/>
    <xf numFmtId="0" fontId="20" fillId="3" borderId="117" xfId="0" applyFont="1" applyFill="1" applyBorder="1"/>
    <xf numFmtId="37" fontId="20" fillId="3" borderId="118" xfId="0" applyNumberFormat="1" applyFont="1" applyFill="1" applyBorder="1"/>
    <xf numFmtId="0" fontId="20" fillId="3" borderId="114" xfId="0" applyFont="1" applyFill="1" applyBorder="1"/>
    <xf numFmtId="166" fontId="20" fillId="3" borderId="109" xfId="0" applyNumberFormat="1" applyFont="1" applyFill="1" applyBorder="1"/>
    <xf numFmtId="0" fontId="20" fillId="0" borderId="115" xfId="0" applyFont="1" applyBorder="1"/>
    <xf numFmtId="37" fontId="20" fillId="0" borderId="119" xfId="0" applyNumberFormat="1" applyFont="1" applyBorder="1"/>
    <xf numFmtId="0" fontId="20" fillId="3" borderId="115" xfId="0" applyFont="1" applyFill="1" applyBorder="1"/>
    <xf numFmtId="37" fontId="20" fillId="3" borderId="119" xfId="0" applyNumberFormat="1" applyFont="1" applyFill="1" applyBorder="1"/>
    <xf numFmtId="0" fontId="20" fillId="2" borderId="117" xfId="0" applyFont="1" applyFill="1" applyBorder="1"/>
    <xf numFmtId="37" fontId="20" fillId="2" borderId="118" xfId="0" applyNumberFormat="1" applyFont="1" applyFill="1" applyBorder="1"/>
    <xf numFmtId="0" fontId="20" fillId="2" borderId="120" xfId="0" applyFont="1" applyFill="1" applyBorder="1"/>
    <xf numFmtId="166" fontId="20" fillId="2" borderId="121" xfId="0" applyNumberFormat="1" applyFont="1" applyFill="1" applyBorder="1"/>
    <xf numFmtId="0" fontId="20" fillId="0" borderId="110" xfId="0" applyFont="1" applyBorder="1"/>
    <xf numFmtId="166" fontId="20" fillId="0" borderId="108" xfId="0" applyNumberFormat="1" applyFont="1" applyBorder="1"/>
    <xf numFmtId="0" fontId="20" fillId="0" borderId="110" xfId="0" applyFont="1" applyBorder="1" applyAlignment="1">
      <alignment horizontal="left"/>
    </xf>
    <xf numFmtId="168" fontId="18" fillId="0" borderId="108" xfId="1" applyNumberFormat="1" applyFont="1" applyBorder="1"/>
    <xf numFmtId="168" fontId="18" fillId="0" borderId="116" xfId="1" applyNumberFormat="1" applyFont="1" applyBorder="1"/>
    <xf numFmtId="168" fontId="18" fillId="0" borderId="119" xfId="1" applyNumberFormat="1" applyFont="1" applyBorder="1"/>
    <xf numFmtId="0" fontId="20" fillId="2" borderId="122" xfId="0" applyFont="1" applyFill="1" applyBorder="1"/>
    <xf numFmtId="168" fontId="20" fillId="2" borderId="123" xfId="1" applyNumberFormat="1" applyFont="1" applyFill="1" applyBorder="1"/>
    <xf numFmtId="3" fontId="18" fillId="0" borderId="108" xfId="0" applyNumberFormat="1" applyFont="1" applyBorder="1"/>
    <xf numFmtId="37" fontId="20" fillId="2" borderId="123" xfId="0" applyNumberFormat="1" applyFont="1" applyFill="1" applyBorder="1"/>
    <xf numFmtId="37" fontId="18" fillId="0" borderId="109" xfId="0" applyNumberFormat="1" applyFont="1" applyBorder="1"/>
    <xf numFmtId="0" fontId="20" fillId="2" borderId="124" xfId="0" applyFont="1" applyFill="1" applyBorder="1"/>
    <xf numFmtId="0" fontId="18" fillId="2" borderId="125" xfId="0" applyFont="1" applyFill="1" applyBorder="1" applyAlignment="1">
      <alignment horizontal="right"/>
    </xf>
    <xf numFmtId="0" fontId="18" fillId="2" borderId="125" xfId="0" applyFont="1" applyFill="1" applyBorder="1"/>
    <xf numFmtId="37" fontId="20" fillId="2" borderId="126" xfId="0" applyNumberFormat="1" applyFont="1" applyFill="1" applyBorder="1"/>
    <xf numFmtId="41" fontId="18" fillId="0" borderId="0" xfId="0" applyNumberFormat="1" applyFont="1"/>
    <xf numFmtId="9" fontId="18" fillId="0" borderId="0" xfId="2" applyFont="1"/>
    <xf numFmtId="0" fontId="25" fillId="7" borderId="95" xfId="0" applyFont="1" applyFill="1" applyBorder="1" applyAlignment="1">
      <alignment horizontal="center" vertical="center"/>
    </xf>
    <xf numFmtId="0" fontId="25" fillId="8" borderId="95" xfId="0" applyFon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 vertical="center"/>
    </xf>
    <xf numFmtId="0" fontId="25" fillId="5" borderId="95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21" fillId="0" borderId="5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12" xfId="0" applyFont="1" applyBorder="1" applyAlignment="1">
      <alignment horizontal="center"/>
    </xf>
    <xf numFmtId="0" fontId="20" fillId="0" borderId="113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65" xfId="0" applyFont="1" applyBorder="1" applyAlignment="1">
      <alignment horizontal="center" vertical="center"/>
    </xf>
    <xf numFmtId="0" fontId="21" fillId="0" borderId="63" xfId="0" applyFont="1" applyBorder="1"/>
    <xf numFmtId="0" fontId="21" fillId="0" borderId="66" xfId="0" applyFont="1" applyBorder="1"/>
    <xf numFmtId="0" fontId="20" fillId="0" borderId="63" xfId="0" applyFont="1" applyBorder="1" applyAlignment="1">
      <alignment horizontal="center" vertical="center"/>
    </xf>
    <xf numFmtId="0" fontId="21" fillId="0" borderId="64" xfId="0" applyFont="1" applyBorder="1"/>
    <xf numFmtId="0" fontId="50" fillId="0" borderId="0" xfId="32"/>
    <xf numFmtId="0" fontId="11" fillId="0" borderId="0" xfId="32" applyFont="1"/>
    <xf numFmtId="0" fontId="43" fillId="12" borderId="0" xfId="32" applyFont="1" applyFill="1"/>
    <xf numFmtId="0" fontId="11" fillId="0" borderId="0" xfId="32" applyFont="1" applyAlignment="1">
      <alignment horizontal="center" vertical="center"/>
    </xf>
    <xf numFmtId="0" fontId="13" fillId="0" borderId="0" xfId="32" applyFont="1" applyAlignment="1">
      <alignment horizontal="left" vertical="center"/>
    </xf>
    <xf numFmtId="0" fontId="11" fillId="0" borderId="0" xfId="32" applyFont="1" applyAlignment="1">
      <alignment horizontal="center"/>
    </xf>
    <xf numFmtId="3" fontId="11" fillId="0" borderId="0" xfId="32" applyNumberFormat="1" applyFont="1"/>
    <xf numFmtId="0" fontId="43" fillId="12" borderId="0" xfId="32" applyFont="1" applyFill="1" applyAlignment="1">
      <alignment horizontal="center" vertical="center"/>
    </xf>
    <xf numFmtId="0" fontId="43" fillId="12" borderId="0" xfId="32" applyFont="1" applyFill="1" applyAlignment="1">
      <alignment horizontal="right"/>
    </xf>
    <xf numFmtId="0" fontId="12" fillId="0" borderId="0" xfId="32" applyFont="1"/>
    <xf numFmtId="165" fontId="13" fillId="0" borderId="0" xfId="32" applyNumberFormat="1" applyFont="1" applyAlignment="1">
      <alignment horizontal="left"/>
    </xf>
    <xf numFmtId="0" fontId="13" fillId="0" borderId="0" xfId="32" applyFont="1" applyAlignment="1">
      <alignment horizontal="center"/>
    </xf>
    <xf numFmtId="0" fontId="13" fillId="0" borderId="0" xfId="32" applyFont="1"/>
    <xf numFmtId="0" fontId="44" fillId="9" borderId="27" xfId="32" applyFont="1" applyFill="1" applyBorder="1"/>
    <xf numFmtId="0" fontId="45" fillId="9" borderId="26" xfId="32" applyFont="1" applyFill="1" applyBorder="1"/>
    <xf numFmtId="0" fontId="14" fillId="0" borderId="0" xfId="32" applyFont="1"/>
    <xf numFmtId="0" fontId="14" fillId="0" borderId="49" xfId="32" applyFont="1" applyBorder="1"/>
    <xf numFmtId="0" fontId="15" fillId="0" borderId="127" xfId="32" applyFont="1" applyBorder="1" applyAlignment="1">
      <alignment horizontal="center"/>
    </xf>
    <xf numFmtId="0" fontId="16" fillId="0" borderId="127" xfId="32" applyFont="1" applyBorder="1"/>
    <xf numFmtId="0" fontId="16" fillId="0" borderId="50" xfId="32" applyFont="1" applyBorder="1"/>
    <xf numFmtId="0" fontId="15" fillId="0" borderId="49" xfId="32" applyFont="1" applyBorder="1" applyAlignment="1">
      <alignment horizontal="center"/>
    </xf>
    <xf numFmtId="0" fontId="46" fillId="9" borderId="9" xfId="32" applyFont="1" applyFill="1" applyBorder="1"/>
    <xf numFmtId="10" fontId="46" fillId="9" borderId="8" xfId="32" applyNumberFormat="1" applyFont="1" applyFill="1" applyBorder="1"/>
    <xf numFmtId="0" fontId="14" fillId="0" borderId="20" xfId="32" applyFont="1" applyBorder="1"/>
    <xf numFmtId="3" fontId="14" fillId="0" borderId="7" xfId="32" applyNumberFormat="1" applyFont="1" applyBorder="1" applyAlignment="1">
      <alignment horizontal="center"/>
    </xf>
    <xf numFmtId="3" fontId="14" fillId="0" borderId="0" xfId="32" applyNumberFormat="1" applyFont="1" applyAlignment="1">
      <alignment horizontal="center"/>
    </xf>
    <xf numFmtId="3" fontId="14" fillId="0" borderId="8" xfId="32" applyNumberFormat="1" applyFont="1" applyBorder="1" applyAlignment="1">
      <alignment horizontal="center"/>
    </xf>
    <xf numFmtId="3" fontId="14" fillId="0" borderId="9" xfId="32" applyNumberFormat="1" applyFont="1" applyBorder="1" applyAlignment="1">
      <alignment horizontal="center"/>
    </xf>
    <xf numFmtId="0" fontId="1" fillId="0" borderId="0" xfId="32" applyFont="1"/>
    <xf numFmtId="0" fontId="14" fillId="0" borderId="14" xfId="32" applyFont="1" applyBorder="1"/>
    <xf numFmtId="3" fontId="14" fillId="0" borderId="12" xfId="32" applyNumberFormat="1" applyFont="1" applyBorder="1" applyAlignment="1">
      <alignment horizontal="center"/>
    </xf>
    <xf numFmtId="3" fontId="14" fillId="0" borderId="16" xfId="32" applyNumberFormat="1" applyFont="1" applyBorder="1"/>
    <xf numFmtId="3" fontId="14" fillId="0" borderId="12" xfId="32" applyNumberFormat="1" applyFont="1" applyBorder="1" applyAlignment="1">
      <alignment horizontal="right"/>
    </xf>
    <xf numFmtId="3" fontId="14" fillId="0" borderId="12" xfId="32" applyNumberFormat="1" applyFont="1" applyBorder="1"/>
    <xf numFmtId="3" fontId="14" fillId="0" borderId="14" xfId="32" applyNumberFormat="1" applyFont="1" applyBorder="1" applyAlignment="1">
      <alignment horizontal="center"/>
    </xf>
    <xf numFmtId="3" fontId="14" fillId="0" borderId="16" xfId="32" applyNumberFormat="1" applyFont="1" applyBorder="1" applyAlignment="1">
      <alignment horizontal="center"/>
    </xf>
    <xf numFmtId="0" fontId="14" fillId="0" borderId="9" xfId="32" applyFont="1" applyBorder="1"/>
    <xf numFmtId="3" fontId="14" fillId="0" borderId="0" xfId="32" applyNumberFormat="1" applyFont="1"/>
    <xf numFmtId="3" fontId="14" fillId="0" borderId="9" xfId="32" applyNumberFormat="1" applyFont="1" applyBorder="1"/>
    <xf numFmtId="3" fontId="14" fillId="0" borderId="8" xfId="32" applyNumberFormat="1" applyFont="1" applyBorder="1"/>
    <xf numFmtId="0" fontId="45" fillId="9" borderId="32" xfId="32" applyFont="1" applyFill="1" applyBorder="1"/>
    <xf numFmtId="10" fontId="46" fillId="9" borderId="31" xfId="32" applyNumberFormat="1" applyFont="1" applyFill="1" applyBorder="1"/>
    <xf numFmtId="0" fontId="15" fillId="0" borderId="20" xfId="32" applyFont="1" applyBorder="1"/>
    <xf numFmtId="3" fontId="15" fillId="0" borderId="7" xfId="32" applyNumberFormat="1" applyFont="1" applyBorder="1"/>
    <xf numFmtId="3" fontId="15" fillId="0" borderId="19" xfId="32" applyNumberFormat="1" applyFont="1" applyBorder="1"/>
    <xf numFmtId="3" fontId="15" fillId="0" borderId="20" xfId="32" applyNumberFormat="1" applyFont="1" applyBorder="1"/>
    <xf numFmtId="0" fontId="14" fillId="0" borderId="8" xfId="32" applyFont="1" applyBorder="1"/>
    <xf numFmtId="166" fontId="20" fillId="0" borderId="9" xfId="32" applyNumberFormat="1" applyFont="1" applyBorder="1" applyAlignment="1">
      <alignment vertical="center"/>
    </xf>
    <xf numFmtId="166" fontId="20" fillId="0" borderId="8" xfId="32" applyNumberFormat="1" applyFont="1" applyBorder="1" applyAlignment="1">
      <alignment vertical="center"/>
    </xf>
    <xf numFmtId="0" fontId="15" fillId="0" borderId="14" xfId="32" applyFont="1" applyBorder="1"/>
    <xf numFmtId="3" fontId="14" fillId="0" borderId="14" xfId="32" applyNumberFormat="1" applyFont="1" applyBorder="1"/>
    <xf numFmtId="3" fontId="15" fillId="0" borderId="14" xfId="32" applyNumberFormat="1" applyFont="1" applyBorder="1"/>
    <xf numFmtId="3" fontId="15" fillId="0" borderId="12" xfId="32" applyNumberFormat="1" applyFont="1" applyBorder="1"/>
    <xf numFmtId="166" fontId="15" fillId="0" borderId="9" xfId="32" applyNumberFormat="1" applyFont="1" applyBorder="1"/>
    <xf numFmtId="166" fontId="15" fillId="0" borderId="8" xfId="32" applyNumberFormat="1" applyFont="1" applyBorder="1"/>
    <xf numFmtId="0" fontId="15" fillId="0" borderId="9" xfId="32" applyFont="1" applyBorder="1"/>
    <xf numFmtId="3" fontId="50" fillId="0" borderId="0" xfId="32" applyNumberFormat="1"/>
    <xf numFmtId="3" fontId="14" fillId="0" borderId="7" xfId="32" applyNumberFormat="1" applyFont="1" applyBorder="1"/>
    <xf numFmtId="3" fontId="14" fillId="0" borderId="19" xfId="32" applyNumberFormat="1" applyFont="1" applyBorder="1"/>
    <xf numFmtId="3" fontId="14" fillId="0" borderId="20" xfId="32" applyNumberFormat="1" applyFont="1" applyBorder="1"/>
    <xf numFmtId="43" fontId="14" fillId="0" borderId="0" xfId="32" applyNumberFormat="1" applyFont="1"/>
    <xf numFmtId="3" fontId="15" fillId="0" borderId="9" xfId="32" applyNumberFormat="1" applyFont="1" applyBorder="1"/>
    <xf numFmtId="37" fontId="14" fillId="0" borderId="8" xfId="32" applyNumberFormat="1" applyFont="1" applyBorder="1"/>
    <xf numFmtId="37" fontId="14" fillId="0" borderId="9" xfId="32" applyNumberFormat="1" applyFont="1" applyBorder="1"/>
    <xf numFmtId="0" fontId="15" fillId="2" borderId="27" xfId="32" applyFont="1" applyFill="1" applyBorder="1"/>
    <xf numFmtId="37" fontId="15" fillId="2" borderId="25" xfId="32" applyNumberFormat="1" applyFont="1" applyFill="1" applyBorder="1"/>
    <xf numFmtId="3" fontId="15" fillId="2" borderId="25" xfId="32" applyNumberFormat="1" applyFont="1" applyFill="1" applyBorder="1"/>
    <xf numFmtId="37" fontId="15" fillId="2" borderId="26" xfId="32" applyNumberFormat="1" applyFont="1" applyFill="1" applyBorder="1"/>
    <xf numFmtId="37" fontId="15" fillId="2" borderId="27" xfId="32" applyNumberFormat="1" applyFont="1" applyFill="1" applyBorder="1"/>
    <xf numFmtId="0" fontId="15" fillId="2" borderId="32" xfId="32" applyFont="1" applyFill="1" applyBorder="1"/>
    <xf numFmtId="0" fontId="15" fillId="2" borderId="30" xfId="32" applyFont="1" applyFill="1" applyBorder="1"/>
    <xf numFmtId="0" fontId="15" fillId="2" borderId="31" xfId="32" applyFont="1" applyFill="1" applyBorder="1"/>
    <xf numFmtId="3" fontId="15" fillId="2" borderId="30" xfId="32" applyNumberFormat="1" applyFont="1" applyFill="1" applyBorder="1"/>
    <xf numFmtId="166" fontId="15" fillId="2" borderId="31" xfId="33" applyNumberFormat="1" applyFont="1" applyFill="1" applyBorder="1"/>
    <xf numFmtId="166" fontId="15" fillId="2" borderId="32" xfId="32" applyNumberFormat="1" applyFont="1" applyFill="1" applyBorder="1"/>
    <xf numFmtId="166" fontId="15" fillId="2" borderId="31" xfId="32" applyNumberFormat="1" applyFont="1" applyFill="1" applyBorder="1"/>
    <xf numFmtId="0" fontId="15" fillId="0" borderId="0" xfId="32" applyFont="1"/>
    <xf numFmtId="0" fontId="15" fillId="0" borderId="8" xfId="32" applyFont="1" applyBorder="1"/>
    <xf numFmtId="37" fontId="14" fillId="0" borderId="0" xfId="32" applyNumberFormat="1" applyFont="1"/>
    <xf numFmtId="0" fontId="15" fillId="0" borderId="9" xfId="32" applyFont="1" applyBorder="1" applyAlignment="1">
      <alignment horizontal="left"/>
    </xf>
    <xf numFmtId="0" fontId="14" fillId="0" borderId="0" xfId="32" applyFont="1" applyAlignment="1">
      <alignment horizontal="center"/>
    </xf>
    <xf numFmtId="166" fontId="14" fillId="0" borderId="0" xfId="32" applyNumberFormat="1" applyFont="1" applyAlignment="1">
      <alignment horizontal="right"/>
    </xf>
    <xf numFmtId="166" fontId="14" fillId="0" borderId="9" xfId="32" applyNumberFormat="1" applyFont="1" applyBorder="1"/>
    <xf numFmtId="166" fontId="14" fillId="0" borderId="9" xfId="33" applyNumberFormat="1" applyFont="1" applyBorder="1"/>
    <xf numFmtId="166" fontId="14" fillId="0" borderId="12" xfId="32" applyNumberFormat="1" applyFont="1" applyBorder="1" applyAlignment="1">
      <alignment horizontal="right"/>
    </xf>
    <xf numFmtId="37" fontId="14" fillId="0" borderId="12" xfId="32" applyNumberFormat="1" applyFont="1" applyBorder="1"/>
    <xf numFmtId="166" fontId="14" fillId="0" borderId="14" xfId="32" applyNumberFormat="1" applyFont="1" applyBorder="1"/>
    <xf numFmtId="37" fontId="14" fillId="0" borderId="16" xfId="32" applyNumberFormat="1" applyFont="1" applyBorder="1"/>
    <xf numFmtId="166" fontId="14" fillId="0" borderId="14" xfId="33" applyNumberFormat="1" applyFont="1" applyBorder="1"/>
    <xf numFmtId="0" fontId="14" fillId="0" borderId="0" xfId="32" applyFont="1" applyAlignment="1">
      <alignment horizontal="right"/>
    </xf>
    <xf numFmtId="0" fontId="14" fillId="0" borderId="9" xfId="32" applyFont="1" applyBorder="1" applyAlignment="1">
      <alignment horizontal="right"/>
    </xf>
    <xf numFmtId="3" fontId="1" fillId="0" borderId="0" xfId="32" applyNumberFormat="1" applyFont="1"/>
    <xf numFmtId="0" fontId="14" fillId="0" borderId="12" xfId="32" applyFont="1" applyBorder="1" applyAlignment="1">
      <alignment horizontal="right"/>
    </xf>
    <xf numFmtId="0" fontId="14" fillId="0" borderId="14" xfId="32" applyFont="1" applyBorder="1" applyAlignment="1">
      <alignment horizontal="right"/>
    </xf>
    <xf numFmtId="3" fontId="14" fillId="0" borderId="84" xfId="32" applyNumberFormat="1" applyFont="1" applyBorder="1"/>
    <xf numFmtId="3" fontId="14" fillId="0" borderId="85" xfId="32" applyNumberFormat="1" applyFont="1" applyBorder="1"/>
    <xf numFmtId="3" fontId="14" fillId="0" borderId="128" xfId="32" applyNumberFormat="1" applyFont="1" applyBorder="1"/>
    <xf numFmtId="0" fontId="15" fillId="2" borderId="37" xfId="32" applyFont="1" applyFill="1" applyBorder="1"/>
    <xf numFmtId="0" fontId="15" fillId="2" borderId="35" xfId="32" applyFont="1" applyFill="1" applyBorder="1" applyAlignment="1">
      <alignment horizontal="center"/>
    </xf>
    <xf numFmtId="166" fontId="15" fillId="2" borderId="35" xfId="32" applyNumberFormat="1" applyFont="1" applyFill="1" applyBorder="1"/>
    <xf numFmtId="37" fontId="15" fillId="2" borderId="36" xfId="32" applyNumberFormat="1" applyFont="1" applyFill="1" applyBorder="1"/>
    <xf numFmtId="0" fontId="15" fillId="2" borderId="37" xfId="32" applyFont="1" applyFill="1" applyBorder="1" applyAlignment="1">
      <alignment horizontal="center"/>
    </xf>
    <xf numFmtId="0" fontId="14" fillId="2" borderId="38" xfId="32" applyFont="1" applyFill="1" applyBorder="1"/>
    <xf numFmtId="37" fontId="15" fillId="2" borderId="35" xfId="32" applyNumberFormat="1" applyFont="1" applyFill="1" applyBorder="1"/>
    <xf numFmtId="0" fontId="14" fillId="2" borderId="37" xfId="32" applyFont="1" applyFill="1" applyBorder="1"/>
    <xf numFmtId="0" fontId="18" fillId="0" borderId="9" xfId="32" applyFont="1" applyBorder="1"/>
    <xf numFmtId="166" fontId="14" fillId="0" borderId="0" xfId="33" applyNumberFormat="1" applyFont="1"/>
    <xf numFmtId="0" fontId="18" fillId="0" borderId="14" xfId="32" applyFont="1" applyBorder="1"/>
    <xf numFmtId="0" fontId="14" fillId="0" borderId="7" xfId="32" applyFont="1" applyBorder="1" applyAlignment="1">
      <alignment horizontal="right"/>
    </xf>
    <xf numFmtId="0" fontId="14" fillId="0" borderId="7" xfId="32" applyFont="1" applyBorder="1"/>
    <xf numFmtId="0" fontId="14" fillId="0" borderId="20" xfId="32" applyFont="1" applyBorder="1" applyAlignment="1">
      <alignment horizontal="right"/>
    </xf>
    <xf numFmtId="37" fontId="14" fillId="0" borderId="19" xfId="32" applyNumberFormat="1" applyFont="1" applyBorder="1"/>
    <xf numFmtId="0" fontId="14" fillId="0" borderId="12" xfId="32" applyFont="1" applyBorder="1"/>
    <xf numFmtId="37" fontId="15" fillId="0" borderId="0" xfId="32" applyNumberFormat="1" applyFont="1"/>
    <xf numFmtId="37" fontId="15" fillId="2" borderId="16" xfId="32" applyNumberFormat="1" applyFont="1" applyFill="1" applyBorder="1"/>
    <xf numFmtId="168" fontId="14" fillId="0" borderId="0" xfId="34" applyNumberFormat="1" applyFont="1"/>
    <xf numFmtId="9" fontId="14" fillId="0" borderId="9" xfId="33" applyFont="1" applyFill="1" applyBorder="1"/>
    <xf numFmtId="0" fontId="17" fillId="13" borderId="0" xfId="32" applyFont="1" applyFill="1"/>
    <xf numFmtId="0" fontId="14" fillId="13" borderId="0" xfId="32" applyFont="1" applyFill="1"/>
    <xf numFmtId="9" fontId="14" fillId="0" borderId="0" xfId="33" applyFont="1" applyAlignment="1">
      <alignment horizontal="right"/>
    </xf>
    <xf numFmtId="168" fontId="14" fillId="0" borderId="0" xfId="32" applyNumberFormat="1" applyFont="1"/>
    <xf numFmtId="0" fontId="15" fillId="3" borderId="9" xfId="32" applyFont="1" applyFill="1" applyBorder="1"/>
    <xf numFmtId="0" fontId="14" fillId="3" borderId="0" xfId="32" applyFont="1" applyFill="1"/>
    <xf numFmtId="0" fontId="15" fillId="3" borderId="0" xfId="32" applyFont="1" applyFill="1"/>
    <xf numFmtId="37" fontId="15" fillId="3" borderId="8" xfId="32" applyNumberFormat="1" applyFont="1" applyFill="1" applyBorder="1"/>
    <xf numFmtId="0" fontId="14" fillId="3" borderId="9" xfId="32" applyFont="1" applyFill="1" applyBorder="1"/>
    <xf numFmtId="0" fontId="14" fillId="3" borderId="14" xfId="32" applyFont="1" applyFill="1" applyBorder="1"/>
    <xf numFmtId="0" fontId="14" fillId="3" borderId="12" xfId="32" applyFont="1" applyFill="1" applyBorder="1"/>
    <xf numFmtId="37" fontId="15" fillId="3" borderId="16" xfId="32" applyNumberFormat="1" applyFont="1" applyFill="1" applyBorder="1"/>
    <xf numFmtId="0" fontId="15" fillId="2" borderId="55" xfId="32" applyFont="1" applyFill="1" applyBorder="1"/>
    <xf numFmtId="0" fontId="14" fillId="2" borderId="53" xfId="32" applyFont="1" applyFill="1" applyBorder="1"/>
    <xf numFmtId="0" fontId="15" fillId="2" borderId="53" xfId="32" applyFont="1" applyFill="1" applyBorder="1"/>
    <xf numFmtId="37" fontId="15" fillId="2" borderId="54" xfId="32" applyNumberFormat="1" applyFont="1" applyFill="1" applyBorder="1"/>
    <xf numFmtId="0" fontId="14" fillId="2" borderId="55" xfId="32" applyFont="1" applyFill="1" applyBorder="1"/>
    <xf numFmtId="166" fontId="15" fillId="2" borderId="53" xfId="33" applyNumberFormat="1" applyFont="1" applyFill="1" applyBorder="1"/>
    <xf numFmtId="0" fontId="19" fillId="0" borderId="0" xfId="32" applyFont="1"/>
    <xf numFmtId="1" fontId="19" fillId="0" borderId="0" xfId="32" applyNumberFormat="1" applyFont="1"/>
    <xf numFmtId="9" fontId="19" fillId="0" borderId="0" xfId="33" applyFont="1"/>
    <xf numFmtId="37" fontId="19" fillId="0" borderId="0" xfId="32" applyNumberFormat="1" applyFont="1"/>
    <xf numFmtId="0" fontId="43" fillId="14" borderId="0" xfId="32" applyFont="1" applyFill="1"/>
    <xf numFmtId="0" fontId="11" fillId="0" borderId="0" xfId="32" applyFont="1" applyAlignment="1">
      <alignment horizontal="right"/>
    </xf>
    <xf numFmtId="0" fontId="14" fillId="0" borderId="14" xfId="32" applyFont="1" applyBorder="1" applyAlignment="1">
      <alignment horizontal="center"/>
    </xf>
    <xf numFmtId="0" fontId="14" fillId="0" borderId="16" xfId="32" applyFont="1" applyBorder="1" applyAlignment="1">
      <alignment horizontal="center"/>
    </xf>
    <xf numFmtId="0" fontId="47" fillId="0" borderId="0" xfId="32" applyFont="1"/>
    <xf numFmtId="166" fontId="20" fillId="0" borderId="9" xfId="32" applyNumberFormat="1" applyFont="1" applyBorder="1"/>
    <xf numFmtId="166" fontId="20" fillId="0" borderId="8" xfId="32" applyNumberFormat="1" applyFont="1" applyBorder="1"/>
    <xf numFmtId="3" fontId="14" fillId="15" borderId="0" xfId="32" applyNumberFormat="1" applyFont="1" applyFill="1"/>
    <xf numFmtId="39" fontId="14" fillId="0" borderId="0" xfId="32" applyNumberFormat="1" applyFont="1"/>
    <xf numFmtId="3" fontId="15" fillId="0" borderId="16" xfId="32" applyNumberFormat="1" applyFont="1" applyBorder="1"/>
    <xf numFmtId="167" fontId="14" fillId="0" borderId="0" xfId="32" applyNumberFormat="1" applyFont="1"/>
    <xf numFmtId="167" fontId="15" fillId="2" borderId="25" xfId="32" applyNumberFormat="1" applyFont="1" applyFill="1" applyBorder="1"/>
    <xf numFmtId="9" fontId="15" fillId="2" borderId="32" xfId="32" applyNumberFormat="1" applyFont="1" applyFill="1" applyBorder="1"/>
    <xf numFmtId="166" fontId="15" fillId="10" borderId="31" xfId="32" applyNumberFormat="1" applyFont="1" applyFill="1" applyBorder="1"/>
    <xf numFmtId="166" fontId="14" fillId="0" borderId="0" xfId="32" applyNumberFormat="1" applyFont="1"/>
    <xf numFmtId="9" fontId="14" fillId="0" borderId="12" xfId="33" applyFont="1" applyBorder="1" applyAlignment="1">
      <alignment horizontal="right"/>
    </xf>
    <xf numFmtId="0" fontId="14" fillId="2" borderId="14" xfId="32" applyFont="1" applyFill="1" applyBorder="1"/>
    <xf numFmtId="0" fontId="15" fillId="0" borderId="0" xfId="32" applyFont="1" applyAlignment="1">
      <alignment horizontal="center"/>
    </xf>
    <xf numFmtId="166" fontId="15" fillId="0" borderId="0" xfId="32" applyNumberFormat="1" applyFont="1"/>
    <xf numFmtId="0" fontId="15" fillId="0" borderId="9" xfId="32" applyFont="1" applyBorder="1" applyAlignment="1">
      <alignment horizontal="center"/>
    </xf>
    <xf numFmtId="9" fontId="14" fillId="0" borderId="0" xfId="33" applyFont="1"/>
    <xf numFmtId="0" fontId="14" fillId="2" borderId="53" xfId="32" applyFont="1" applyFill="1" applyBorder="1" applyAlignment="1">
      <alignment horizontal="right"/>
    </xf>
    <xf numFmtId="0" fontId="14" fillId="2" borderId="55" xfId="32" applyFont="1" applyFill="1" applyBorder="1" applyAlignment="1">
      <alignment horizontal="right"/>
    </xf>
    <xf numFmtId="37" fontId="13" fillId="0" borderId="0" xfId="32" applyNumberFormat="1" applyFont="1"/>
    <xf numFmtId="0" fontId="14" fillId="0" borderId="8" xfId="32" applyFont="1" applyBorder="1" applyAlignment="1">
      <alignment horizontal="center"/>
    </xf>
    <xf numFmtId="0" fontId="14" fillId="0" borderId="9" xfId="32" applyFont="1" applyBorder="1" applyAlignment="1">
      <alignment horizontal="center"/>
    </xf>
    <xf numFmtId="166" fontId="14" fillId="0" borderId="8" xfId="32" applyNumberFormat="1" applyFont="1" applyBorder="1"/>
    <xf numFmtId="39" fontId="14" fillId="0" borderId="12" xfId="32" applyNumberFormat="1" applyFont="1" applyBorder="1" applyAlignment="1">
      <alignment horizontal="center"/>
    </xf>
    <xf numFmtId="166" fontId="14" fillId="0" borderId="16" xfId="32" applyNumberFormat="1" applyFont="1" applyBorder="1"/>
    <xf numFmtId="37" fontId="14" fillId="0" borderId="14" xfId="32" applyNumberFormat="1" applyFont="1" applyBorder="1"/>
    <xf numFmtId="37" fontId="14" fillId="0" borderId="7" xfId="32" applyNumberFormat="1" applyFont="1" applyBorder="1"/>
    <xf numFmtId="37" fontId="14" fillId="0" borderId="20" xfId="32" applyNumberFormat="1" applyFont="1" applyBorder="1"/>
    <xf numFmtId="10" fontId="14" fillId="0" borderId="0" xfId="32" applyNumberFormat="1" applyFont="1"/>
    <xf numFmtId="166" fontId="15" fillId="0" borderId="14" xfId="32" applyNumberFormat="1" applyFont="1" applyBorder="1"/>
    <xf numFmtId="166" fontId="15" fillId="0" borderId="16" xfId="32" applyNumberFormat="1" applyFont="1" applyBorder="1"/>
    <xf numFmtId="166" fontId="14" fillId="0" borderId="20" xfId="32" applyNumberFormat="1" applyFont="1" applyBorder="1"/>
    <xf numFmtId="167" fontId="15" fillId="0" borderId="0" xfId="32" applyNumberFormat="1" applyFont="1"/>
    <xf numFmtId="37" fontId="15" fillId="0" borderId="9" xfId="32" applyNumberFormat="1" applyFont="1" applyBorder="1"/>
    <xf numFmtId="37" fontId="15" fillId="0" borderId="8" xfId="32" applyNumberFormat="1" applyFont="1" applyBorder="1"/>
    <xf numFmtId="0" fontId="15" fillId="0" borderId="12" xfId="32" applyFont="1" applyBorder="1"/>
    <xf numFmtId="167" fontId="15" fillId="0" borderId="12" xfId="32" applyNumberFormat="1" applyFont="1" applyBorder="1"/>
    <xf numFmtId="37" fontId="15" fillId="0" borderId="14" xfId="32" applyNumberFormat="1" applyFont="1" applyBorder="1"/>
    <xf numFmtId="37" fontId="15" fillId="0" borderId="16" xfId="32" applyNumberFormat="1" applyFont="1" applyBorder="1"/>
    <xf numFmtId="37" fontId="14" fillId="0" borderId="55" xfId="32" applyNumberFormat="1" applyFont="1" applyBorder="1"/>
    <xf numFmtId="0" fontId="15" fillId="3" borderId="27" xfId="32" applyFont="1" applyFill="1" applyBorder="1"/>
    <xf numFmtId="37" fontId="15" fillId="3" borderId="25" xfId="32" applyNumberFormat="1" applyFont="1" applyFill="1" applyBorder="1"/>
    <xf numFmtId="37" fontId="15" fillId="3" borderId="26" xfId="32" applyNumberFormat="1" applyFont="1" applyFill="1" applyBorder="1"/>
    <xf numFmtId="37" fontId="15" fillId="3" borderId="27" xfId="32" applyNumberFormat="1" applyFont="1" applyFill="1" applyBorder="1"/>
    <xf numFmtId="166" fontId="15" fillId="3" borderId="27" xfId="32" applyNumberFormat="1" applyFont="1" applyFill="1" applyBorder="1"/>
    <xf numFmtId="0" fontId="15" fillId="3" borderId="14" xfId="32" applyFont="1" applyFill="1" applyBorder="1"/>
    <xf numFmtId="37" fontId="15" fillId="3" borderId="12" xfId="32" applyNumberFormat="1" applyFont="1" applyFill="1" applyBorder="1"/>
    <xf numFmtId="39" fontId="15" fillId="3" borderId="12" xfId="32" applyNumberFormat="1" applyFont="1" applyFill="1" applyBorder="1" applyAlignment="1">
      <alignment horizontal="center"/>
    </xf>
    <xf numFmtId="166" fontId="15" fillId="3" borderId="16" xfId="32" applyNumberFormat="1" applyFont="1" applyFill="1" applyBorder="1"/>
    <xf numFmtId="37" fontId="15" fillId="3" borderId="14" xfId="32" applyNumberFormat="1" applyFont="1" applyFill="1" applyBorder="1"/>
    <xf numFmtId="37" fontId="15" fillId="0" borderId="7" xfId="32" applyNumberFormat="1" applyFont="1" applyBorder="1"/>
    <xf numFmtId="167" fontId="15" fillId="0" borderId="7" xfId="32" applyNumberFormat="1" applyFont="1" applyBorder="1"/>
    <xf numFmtId="37" fontId="15" fillId="0" borderId="19" xfId="32" applyNumberFormat="1" applyFont="1" applyBorder="1"/>
    <xf numFmtId="37" fontId="15" fillId="0" borderId="20" xfId="32" applyNumberFormat="1" applyFont="1" applyBorder="1"/>
    <xf numFmtId="0" fontId="15" fillId="3" borderId="20" xfId="32" applyFont="1" applyFill="1" applyBorder="1"/>
    <xf numFmtId="37" fontId="15" fillId="3" borderId="7" xfId="32" applyNumberFormat="1" applyFont="1" applyFill="1" applyBorder="1"/>
    <xf numFmtId="167" fontId="15" fillId="3" borderId="7" xfId="32" applyNumberFormat="1" applyFont="1" applyFill="1" applyBorder="1"/>
    <xf numFmtId="37" fontId="15" fillId="3" borderId="19" xfId="32" applyNumberFormat="1" applyFont="1" applyFill="1" applyBorder="1"/>
    <xf numFmtId="37" fontId="15" fillId="3" borderId="20" xfId="32" applyNumberFormat="1" applyFont="1" applyFill="1" applyBorder="1"/>
    <xf numFmtId="166" fontId="15" fillId="2" borderId="27" xfId="32" applyNumberFormat="1" applyFont="1" applyFill="1" applyBorder="1"/>
    <xf numFmtId="166" fontId="14" fillId="0" borderId="0" xfId="33" applyNumberFormat="1" applyFont="1" applyFill="1"/>
    <xf numFmtId="37" fontId="14" fillId="0" borderId="0" xfId="32" applyNumberFormat="1" applyFont="1" applyAlignment="1">
      <alignment horizontal="center"/>
    </xf>
    <xf numFmtId="1" fontId="14" fillId="0" borderId="9" xfId="32" applyNumberFormat="1" applyFont="1" applyBorder="1"/>
    <xf numFmtId="0" fontId="14" fillId="0" borderId="12" xfId="32" applyFont="1" applyBorder="1" applyAlignment="1">
      <alignment horizontal="center"/>
    </xf>
    <xf numFmtId="1" fontId="14" fillId="0" borderId="20" xfId="32" applyNumberFormat="1" applyFont="1" applyBorder="1"/>
    <xf numFmtId="167" fontId="14" fillId="0" borderId="12" xfId="32" applyNumberFormat="1" applyFont="1" applyBorder="1"/>
    <xf numFmtId="2" fontId="14" fillId="0" borderId="12" xfId="32" applyNumberFormat="1" applyFont="1" applyBorder="1"/>
    <xf numFmtId="10" fontId="15" fillId="2" borderId="27" xfId="32" applyNumberFormat="1" applyFont="1" applyFill="1" applyBorder="1"/>
    <xf numFmtId="0" fontId="18" fillId="0" borderId="20" xfId="32" applyFont="1" applyBorder="1"/>
    <xf numFmtId="166" fontId="15" fillId="0" borderId="7" xfId="32" applyNumberFormat="1" applyFont="1" applyBorder="1"/>
    <xf numFmtId="166" fontId="15" fillId="0" borderId="20" xfId="32" applyNumberFormat="1" applyFont="1" applyBorder="1"/>
    <xf numFmtId="0" fontId="14" fillId="0" borderId="16" xfId="32" applyFont="1" applyBorder="1"/>
    <xf numFmtId="166" fontId="14" fillId="0" borderId="12" xfId="32" applyNumberFormat="1" applyFont="1" applyBorder="1"/>
    <xf numFmtId="166" fontId="15" fillId="2" borderId="25" xfId="32" applyNumberFormat="1" applyFont="1" applyFill="1" applyBorder="1"/>
    <xf numFmtId="166" fontId="15" fillId="2" borderId="49" xfId="32" applyNumberFormat="1" applyFont="1" applyFill="1" applyBorder="1"/>
    <xf numFmtId="37" fontId="15" fillId="2" borderId="50" xfId="32" applyNumberFormat="1" applyFont="1" applyFill="1" applyBorder="1"/>
    <xf numFmtId="37" fontId="15" fillId="2" borderId="53" xfId="32" applyNumberFormat="1" applyFont="1" applyFill="1" applyBorder="1"/>
    <xf numFmtId="167" fontId="15" fillId="2" borderId="53" xfId="32" applyNumberFormat="1" applyFont="1" applyFill="1" applyBorder="1"/>
    <xf numFmtId="37" fontId="15" fillId="2" borderId="55" xfId="32" applyNumberFormat="1" applyFont="1" applyFill="1" applyBorder="1"/>
    <xf numFmtId="166" fontId="15" fillId="2" borderId="54" xfId="33" applyNumberFormat="1" applyFont="1" applyFill="1" applyBorder="1"/>
    <xf numFmtId="0" fontId="14" fillId="2" borderId="32" xfId="32" applyFont="1" applyFill="1" applyBorder="1"/>
    <xf numFmtId="6" fontId="13" fillId="0" borderId="0" xfId="32" applyNumberFormat="1" applyFont="1"/>
    <xf numFmtId="6" fontId="14" fillId="0" borderId="0" xfId="32" applyNumberFormat="1" applyFont="1"/>
    <xf numFmtId="0" fontId="48" fillId="0" borderId="0" xfId="32" applyFont="1"/>
    <xf numFmtId="0" fontId="14" fillId="0" borderId="53" xfId="32" applyFont="1" applyBorder="1" applyAlignment="1">
      <alignment horizontal="center"/>
    </xf>
    <xf numFmtId="0" fontId="14" fillId="0" borderId="54" xfId="32" applyFont="1" applyBorder="1" applyAlignment="1">
      <alignment horizontal="center"/>
    </xf>
    <xf numFmtId="0" fontId="14" fillId="0" borderId="55" xfId="32" applyFont="1" applyBorder="1" applyAlignment="1">
      <alignment horizontal="center"/>
    </xf>
    <xf numFmtId="37" fontId="14" fillId="10" borderId="0" xfId="32" applyNumberFormat="1" applyFont="1" applyFill="1"/>
    <xf numFmtId="166" fontId="15" fillId="2" borderId="0" xfId="32" applyNumberFormat="1" applyFont="1" applyFill="1"/>
    <xf numFmtId="37" fontId="14" fillId="10" borderId="50" xfId="32" applyNumberFormat="1" applyFont="1" applyFill="1" applyBorder="1"/>
    <xf numFmtId="3" fontId="14" fillId="10" borderId="49" xfId="32" applyNumberFormat="1" applyFont="1" applyFill="1" applyBorder="1"/>
    <xf numFmtId="3" fontId="14" fillId="10" borderId="50" xfId="32" applyNumberFormat="1" applyFont="1" applyFill="1" applyBorder="1"/>
    <xf numFmtId="0" fontId="49" fillId="0" borderId="0" xfId="32" applyFont="1"/>
    <xf numFmtId="166" fontId="15" fillId="0" borderId="26" xfId="32" applyNumberFormat="1" applyFont="1" applyBorder="1"/>
    <xf numFmtId="0" fontId="15" fillId="2" borderId="103" xfId="32" applyFont="1" applyFill="1" applyBorder="1"/>
    <xf numFmtId="0" fontId="15" fillId="2" borderId="104" xfId="32" applyFont="1" applyFill="1" applyBorder="1"/>
    <xf numFmtId="37" fontId="15" fillId="2" borderId="135" xfId="32" applyNumberFormat="1" applyFont="1" applyFill="1" applyBorder="1"/>
    <xf numFmtId="0" fontId="14" fillId="2" borderId="103" xfId="32" applyFont="1" applyFill="1" applyBorder="1"/>
    <xf numFmtId="0" fontId="14" fillId="2" borderId="104" xfId="32" applyFont="1" applyFill="1" applyBorder="1"/>
    <xf numFmtId="3" fontId="15" fillId="0" borderId="0" xfId="32" applyNumberFormat="1" applyFont="1"/>
    <xf numFmtId="37" fontId="50" fillId="0" borderId="0" xfId="32" applyNumberFormat="1"/>
    <xf numFmtId="0" fontId="41" fillId="11" borderId="0" xfId="32" applyFont="1" applyFill="1"/>
    <xf numFmtId="0" fontId="43" fillId="12" borderId="0" xfId="32" applyFont="1" applyFill="1" applyAlignment="1">
      <alignment vertical="center"/>
    </xf>
    <xf numFmtId="0" fontId="11" fillId="0" borderId="0" xfId="32" applyFont="1" applyAlignment="1">
      <alignment horizontal="right" vertical="center"/>
    </xf>
    <xf numFmtId="0" fontId="20" fillId="0" borderId="0" xfId="32" applyFont="1" applyAlignment="1">
      <alignment horizontal="center" vertical="center"/>
    </xf>
    <xf numFmtId="0" fontId="14" fillId="0" borderId="129" xfId="32" applyFont="1" applyBorder="1" applyAlignment="1">
      <alignment horizontal="left"/>
    </xf>
    <xf numFmtId="0" fontId="15" fillId="0" borderId="101" xfId="32" applyFont="1" applyBorder="1" applyAlignment="1">
      <alignment horizontal="center" vertical="center"/>
    </xf>
    <xf numFmtId="0" fontId="15" fillId="0" borderId="101" xfId="32" applyFont="1" applyBorder="1" applyAlignment="1">
      <alignment horizontal="center" vertical="center"/>
    </xf>
    <xf numFmtId="0" fontId="16" fillId="0" borderId="101" xfId="32" applyFont="1" applyBorder="1"/>
    <xf numFmtId="0" fontId="16" fillId="0" borderId="130" xfId="32" applyFont="1" applyBorder="1"/>
    <xf numFmtId="0" fontId="15" fillId="0" borderId="131" xfId="32" applyFont="1" applyBorder="1" applyAlignment="1">
      <alignment horizontal="center" vertical="center"/>
    </xf>
    <xf numFmtId="0" fontId="16" fillId="0" borderId="102" xfId="32" applyFont="1" applyBorder="1"/>
    <xf numFmtId="0" fontId="14" fillId="0" borderId="67" xfId="32" applyFont="1" applyBorder="1" applyAlignment="1">
      <alignment horizontal="center"/>
    </xf>
    <xf numFmtId="0" fontId="14" fillId="0" borderId="68" xfId="32" applyFont="1" applyBorder="1" applyAlignment="1">
      <alignment horizontal="center"/>
    </xf>
    <xf numFmtId="0" fontId="14" fillId="0" borderId="69" xfId="32" applyFont="1" applyBorder="1" applyAlignment="1">
      <alignment horizontal="center"/>
    </xf>
    <xf numFmtId="0" fontId="18" fillId="0" borderId="12" xfId="32" applyFont="1" applyBorder="1"/>
    <xf numFmtId="37" fontId="18" fillId="0" borderId="67" xfId="32" applyNumberFormat="1" applyFont="1" applyBorder="1"/>
    <xf numFmtId="37" fontId="18" fillId="0" borderId="68" xfId="32" applyNumberFormat="1" applyFont="1" applyBorder="1"/>
    <xf numFmtId="37" fontId="18" fillId="0" borderId="12" xfId="32" applyNumberFormat="1" applyFont="1" applyBorder="1"/>
    <xf numFmtId="166" fontId="18" fillId="0" borderId="12" xfId="32" applyNumberFormat="1" applyFont="1" applyBorder="1"/>
    <xf numFmtId="37" fontId="18" fillId="0" borderId="69" xfId="32" applyNumberFormat="1" applyFont="1" applyBorder="1"/>
    <xf numFmtId="166" fontId="18" fillId="0" borderId="16" xfId="32" applyNumberFormat="1" applyFont="1" applyBorder="1"/>
    <xf numFmtId="0" fontId="20" fillId="2" borderId="14" xfId="32" applyFont="1" applyFill="1" applyBorder="1"/>
    <xf numFmtId="0" fontId="20" fillId="2" borderId="12" xfId="32" applyFont="1" applyFill="1" applyBorder="1"/>
    <xf numFmtId="9" fontId="20" fillId="2" borderId="68" xfId="33" applyFont="1" applyFill="1" applyBorder="1"/>
    <xf numFmtId="37" fontId="20" fillId="2" borderId="67" xfId="32" applyNumberFormat="1" applyFont="1" applyFill="1" applyBorder="1"/>
    <xf numFmtId="37" fontId="20" fillId="2" borderId="12" xfId="32" applyNumberFormat="1" applyFont="1" applyFill="1" applyBorder="1"/>
    <xf numFmtId="37" fontId="20" fillId="2" borderId="68" xfId="32" applyNumberFormat="1" applyFont="1" applyFill="1" applyBorder="1"/>
    <xf numFmtId="166" fontId="20" fillId="2" borderId="12" xfId="32" applyNumberFormat="1" applyFont="1" applyFill="1" applyBorder="1"/>
    <xf numFmtId="37" fontId="20" fillId="2" borderId="69" xfId="32" applyNumberFormat="1" applyFont="1" applyFill="1" applyBorder="1"/>
    <xf numFmtId="166" fontId="20" fillId="2" borderId="16" xfId="32" applyNumberFormat="1" applyFont="1" applyFill="1" applyBorder="1"/>
    <xf numFmtId="0" fontId="20" fillId="0" borderId="9" xfId="32" applyFont="1" applyBorder="1"/>
    <xf numFmtId="0" fontId="18" fillId="0" borderId="0" xfId="32" applyFont="1"/>
    <xf numFmtId="37" fontId="18" fillId="0" borderId="70" xfId="32" applyNumberFormat="1" applyFont="1" applyBorder="1"/>
    <xf numFmtId="37" fontId="18" fillId="0" borderId="71" xfId="32" applyNumberFormat="1" applyFont="1" applyBorder="1"/>
    <xf numFmtId="37" fontId="18" fillId="0" borderId="0" xfId="32" applyNumberFormat="1" applyFont="1"/>
    <xf numFmtId="166" fontId="18" fillId="0" borderId="0" xfId="32" applyNumberFormat="1" applyFont="1"/>
    <xf numFmtId="37" fontId="18" fillId="0" borderId="72" xfId="32" applyNumberFormat="1" applyFont="1" applyBorder="1"/>
    <xf numFmtId="166" fontId="18" fillId="0" borderId="19" xfId="32" applyNumberFormat="1" applyFont="1" applyBorder="1"/>
    <xf numFmtId="0" fontId="18" fillId="0" borderId="0" xfId="32" applyFont="1" applyAlignment="1">
      <alignment horizontal="right"/>
    </xf>
    <xf numFmtId="167" fontId="18" fillId="0" borderId="0" xfId="32" applyNumberFormat="1" applyFont="1"/>
    <xf numFmtId="0" fontId="18" fillId="0" borderId="71" xfId="32" applyFont="1" applyBorder="1"/>
    <xf numFmtId="166" fontId="18" fillId="0" borderId="71" xfId="33" applyNumberFormat="1" applyFont="1" applyBorder="1"/>
    <xf numFmtId="166" fontId="18" fillId="0" borderId="8" xfId="32" applyNumberFormat="1" applyFont="1" applyBorder="1"/>
    <xf numFmtId="0" fontId="18" fillId="0" borderId="12" xfId="32" applyFont="1" applyBorder="1" applyAlignment="1">
      <alignment horizontal="right"/>
    </xf>
    <xf numFmtId="167" fontId="18" fillId="0" borderId="12" xfId="32" applyNumberFormat="1" applyFont="1" applyBorder="1"/>
    <xf numFmtId="0" fontId="18" fillId="0" borderId="68" xfId="32" applyFont="1" applyBorder="1"/>
    <xf numFmtId="166" fontId="18" fillId="0" borderId="67" xfId="32" applyNumberFormat="1" applyFont="1" applyBorder="1"/>
    <xf numFmtId="166" fontId="18" fillId="0" borderId="68" xfId="33" applyNumberFormat="1" applyFont="1" applyBorder="1"/>
    <xf numFmtId="0" fontId="20" fillId="2" borderId="37" xfId="32" applyFont="1" applyFill="1" applyBorder="1"/>
    <xf numFmtId="0" fontId="20" fillId="2" borderId="35" xfId="32" applyFont="1" applyFill="1" applyBorder="1"/>
    <xf numFmtId="166" fontId="20" fillId="2" borderId="35" xfId="32" applyNumberFormat="1" applyFont="1" applyFill="1" applyBorder="1"/>
    <xf numFmtId="37" fontId="20" fillId="2" borderId="74" xfId="32" applyNumberFormat="1" applyFont="1" applyFill="1" applyBorder="1"/>
    <xf numFmtId="166" fontId="20" fillId="2" borderId="38" xfId="32" applyNumberFormat="1" applyFont="1" applyFill="1" applyBorder="1"/>
    <xf numFmtId="0" fontId="20" fillId="2" borderId="38" xfId="32" applyFont="1" applyFill="1" applyBorder="1"/>
    <xf numFmtId="37" fontId="20" fillId="2" borderId="35" xfId="32" applyNumberFormat="1" applyFont="1" applyFill="1" applyBorder="1"/>
    <xf numFmtId="0" fontId="20" fillId="2" borderId="75" xfId="32" applyFont="1" applyFill="1" applyBorder="1"/>
    <xf numFmtId="166" fontId="18" fillId="0" borderId="12" xfId="33" applyNumberFormat="1" applyFont="1" applyBorder="1"/>
    <xf numFmtId="166" fontId="18" fillId="0" borderId="0" xfId="33" applyNumberFormat="1" applyFont="1"/>
    <xf numFmtId="166" fontId="18" fillId="0" borderId="70" xfId="32" applyNumberFormat="1" applyFont="1" applyBorder="1"/>
    <xf numFmtId="167" fontId="20" fillId="2" borderId="35" xfId="32" applyNumberFormat="1" applyFont="1" applyFill="1" applyBorder="1"/>
    <xf numFmtId="37" fontId="20" fillId="2" borderId="75" xfId="32" applyNumberFormat="1" applyFont="1" applyFill="1" applyBorder="1"/>
    <xf numFmtId="0" fontId="18" fillId="0" borderId="7" xfId="32" applyFont="1" applyBorder="1" applyAlignment="1">
      <alignment horizontal="right"/>
    </xf>
    <xf numFmtId="0" fontId="18" fillId="0" borderId="7" xfId="32" applyFont="1" applyBorder="1"/>
    <xf numFmtId="37" fontId="18" fillId="0" borderId="76" xfId="32" applyNumberFormat="1" applyFont="1" applyBorder="1"/>
    <xf numFmtId="0" fontId="18" fillId="0" borderId="77" xfId="32" applyFont="1" applyBorder="1"/>
    <xf numFmtId="167" fontId="18" fillId="0" borderId="7" xfId="32" applyNumberFormat="1" applyFont="1" applyBorder="1"/>
    <xf numFmtId="37" fontId="18" fillId="0" borderId="7" xfId="32" applyNumberFormat="1" applyFont="1" applyBorder="1"/>
    <xf numFmtId="166" fontId="18" fillId="0" borderId="7" xfId="32" applyNumberFormat="1" applyFont="1" applyBorder="1"/>
    <xf numFmtId="37" fontId="18" fillId="0" borderId="78" xfId="32" applyNumberFormat="1" applyFont="1" applyBorder="1"/>
    <xf numFmtId="9" fontId="17" fillId="0" borderId="0" xfId="32" applyNumberFormat="1" applyFont="1"/>
    <xf numFmtId="37" fontId="35" fillId="0" borderId="0" xfId="32" applyNumberFormat="1" applyFont="1"/>
    <xf numFmtId="37" fontId="18" fillId="0" borderId="77" xfId="32" applyNumberFormat="1" applyFont="1" applyBorder="1"/>
    <xf numFmtId="0" fontId="18" fillId="2" borderId="35" xfId="32" applyFont="1" applyFill="1" applyBorder="1"/>
    <xf numFmtId="37" fontId="20" fillId="2" borderId="38" xfId="32" applyNumberFormat="1" applyFont="1" applyFill="1" applyBorder="1"/>
    <xf numFmtId="3" fontId="20" fillId="2" borderId="35" xfId="32" applyNumberFormat="1" applyFont="1" applyFill="1" applyBorder="1" applyAlignment="1">
      <alignment horizontal="center"/>
    </xf>
    <xf numFmtId="166" fontId="20" fillId="2" borderId="36" xfId="32" applyNumberFormat="1" applyFont="1" applyFill="1" applyBorder="1"/>
    <xf numFmtId="166" fontId="20" fillId="0" borderId="0" xfId="32" applyNumberFormat="1" applyFont="1"/>
    <xf numFmtId="0" fontId="20" fillId="0" borderId="0" xfId="32" applyFont="1"/>
    <xf numFmtId="168" fontId="18" fillId="0" borderId="70" xfId="32" applyNumberFormat="1" applyFont="1" applyBorder="1"/>
    <xf numFmtId="0" fontId="13" fillId="3" borderId="0" xfId="32" applyFont="1" applyFill="1"/>
    <xf numFmtId="166" fontId="18" fillId="0" borderId="76" xfId="32" applyNumberFormat="1" applyFont="1" applyBorder="1"/>
    <xf numFmtId="0" fontId="18" fillId="0" borderId="70" xfId="32" applyFont="1" applyBorder="1"/>
    <xf numFmtId="0" fontId="18" fillId="0" borderId="72" xfId="32" applyFont="1" applyBorder="1"/>
    <xf numFmtId="166" fontId="18" fillId="0" borderId="36" xfId="32" applyNumberFormat="1" applyFont="1" applyBorder="1"/>
    <xf numFmtId="166" fontId="20" fillId="0" borderId="7" xfId="32" applyNumberFormat="1" applyFont="1" applyBorder="1"/>
    <xf numFmtId="0" fontId="20" fillId="0" borderId="7" xfId="32" applyFont="1" applyBorder="1"/>
    <xf numFmtId="166" fontId="20" fillId="0" borderId="77" xfId="32" applyNumberFormat="1" applyFont="1" applyBorder="1"/>
    <xf numFmtId="37" fontId="20" fillId="0" borderId="77" xfId="32" applyNumberFormat="1" applyFont="1" applyBorder="1"/>
    <xf numFmtId="37" fontId="18" fillId="0" borderId="84" xfId="32" applyNumberFormat="1" applyFont="1" applyBorder="1"/>
    <xf numFmtId="37" fontId="20" fillId="0" borderId="7" xfId="32" applyNumberFormat="1" applyFont="1" applyBorder="1"/>
    <xf numFmtId="37" fontId="20" fillId="0" borderId="0" xfId="32" applyNumberFormat="1" applyFont="1"/>
    <xf numFmtId="1" fontId="20" fillId="0" borderId="0" xfId="32" applyNumberFormat="1" applyFont="1"/>
    <xf numFmtId="37" fontId="20" fillId="0" borderId="71" xfId="32" applyNumberFormat="1" applyFont="1" applyBorder="1"/>
    <xf numFmtId="166" fontId="20" fillId="0" borderId="71" xfId="32" applyNumberFormat="1" applyFont="1" applyBorder="1"/>
    <xf numFmtId="37" fontId="18" fillId="0" borderId="85" xfId="32" applyNumberFormat="1" applyFont="1" applyBorder="1"/>
    <xf numFmtId="43" fontId="20" fillId="0" borderId="71" xfId="32" applyNumberFormat="1" applyFont="1" applyBorder="1"/>
    <xf numFmtId="166" fontId="18" fillId="2" borderId="38" xfId="32" applyNumberFormat="1" applyFont="1" applyFill="1" applyBorder="1"/>
    <xf numFmtId="166" fontId="18" fillId="2" borderId="35" xfId="32" applyNumberFormat="1" applyFont="1" applyFill="1" applyBorder="1"/>
    <xf numFmtId="37" fontId="18" fillId="2" borderId="75" xfId="32" applyNumberFormat="1" applyFont="1" applyFill="1" applyBorder="1"/>
    <xf numFmtId="0" fontId="20" fillId="3" borderId="20" xfId="32" applyFont="1" applyFill="1" applyBorder="1"/>
    <xf numFmtId="0" fontId="20" fillId="3" borderId="7" xfId="32" applyFont="1" applyFill="1" applyBorder="1"/>
    <xf numFmtId="37" fontId="20" fillId="3" borderId="7" xfId="32" applyNumberFormat="1" applyFont="1" applyFill="1" applyBorder="1"/>
    <xf numFmtId="37" fontId="18" fillId="3" borderId="76" xfId="32" applyNumberFormat="1" applyFont="1" applyFill="1" applyBorder="1"/>
    <xf numFmtId="0" fontId="18" fillId="3" borderId="7" xfId="32" applyFont="1" applyFill="1" applyBorder="1"/>
    <xf numFmtId="37" fontId="18" fillId="3" borderId="7" xfId="32" applyNumberFormat="1" applyFont="1" applyFill="1" applyBorder="1"/>
    <xf numFmtId="37" fontId="18" fillId="3" borderId="77" xfId="32" applyNumberFormat="1" applyFont="1" applyFill="1" applyBorder="1"/>
    <xf numFmtId="37" fontId="18" fillId="3" borderId="0" xfId="32" applyNumberFormat="1" applyFont="1" applyFill="1"/>
    <xf numFmtId="166" fontId="18" fillId="3" borderId="0" xfId="32" applyNumberFormat="1" applyFont="1" applyFill="1"/>
    <xf numFmtId="166" fontId="18" fillId="3" borderId="77" xfId="32" applyNumberFormat="1" applyFont="1" applyFill="1" applyBorder="1"/>
    <xf numFmtId="166" fontId="18" fillId="3" borderId="7" xfId="32" applyNumberFormat="1" applyFont="1" applyFill="1" applyBorder="1"/>
    <xf numFmtId="37" fontId="18" fillId="3" borderId="78" xfId="32" applyNumberFormat="1" applyFont="1" applyFill="1" applyBorder="1"/>
    <xf numFmtId="166" fontId="18" fillId="0" borderId="54" xfId="32" applyNumberFormat="1" applyFont="1" applyBorder="1"/>
    <xf numFmtId="0" fontId="20" fillId="2" borderId="103" xfId="32" applyFont="1" applyFill="1" applyBorder="1"/>
    <xf numFmtId="0" fontId="20" fillId="2" borderId="104" xfId="32" applyFont="1" applyFill="1" applyBorder="1"/>
    <xf numFmtId="0" fontId="20" fillId="2" borderId="104" xfId="32" applyFont="1" applyFill="1" applyBorder="1" applyAlignment="1">
      <alignment horizontal="center"/>
    </xf>
    <xf numFmtId="166" fontId="20" fillId="2" borderId="104" xfId="32" applyNumberFormat="1" applyFont="1" applyFill="1" applyBorder="1"/>
    <xf numFmtId="37" fontId="20" fillId="2" borderId="105" xfId="32" applyNumberFormat="1" applyFont="1" applyFill="1" applyBorder="1"/>
    <xf numFmtId="37" fontId="20" fillId="2" borderId="104" xfId="32" applyNumberFormat="1" applyFont="1" applyFill="1" applyBorder="1"/>
    <xf numFmtId="37" fontId="20" fillId="2" borderId="132" xfId="32" applyNumberFormat="1" applyFont="1" applyFill="1" applyBorder="1"/>
    <xf numFmtId="166" fontId="20" fillId="2" borderId="106" xfId="32" applyNumberFormat="1" applyFont="1" applyFill="1" applyBorder="1"/>
    <xf numFmtId="0" fontId="20" fillId="2" borderId="132" xfId="32" applyFont="1" applyFill="1" applyBorder="1" applyAlignment="1">
      <alignment horizontal="center"/>
    </xf>
    <xf numFmtId="37" fontId="20" fillId="2" borderId="133" xfId="32" applyNumberFormat="1" applyFont="1" applyFill="1" applyBorder="1"/>
    <xf numFmtId="166" fontId="20" fillId="2" borderId="31" xfId="32" applyNumberFormat="1" applyFont="1" applyFill="1" applyBorder="1"/>
    <xf numFmtId="39" fontId="18" fillId="0" borderId="0" xfId="32" applyNumberFormat="1" applyFont="1"/>
    <xf numFmtId="0" fontId="42" fillId="0" borderId="0" xfId="32" applyFont="1"/>
    <xf numFmtId="0" fontId="42" fillId="0" borderId="0" xfId="32" applyFont="1" applyAlignment="1">
      <alignment horizontal="center"/>
    </xf>
    <xf numFmtId="0" fontId="42" fillId="0" borderId="0" xfId="32" applyFont="1" applyAlignment="1">
      <alignment horizontal="right" vertical="center"/>
    </xf>
    <xf numFmtId="0" fontId="42" fillId="0" borderId="0" xfId="32" applyFont="1" applyAlignment="1">
      <alignment horizontal="center" vertical="center"/>
    </xf>
    <xf numFmtId="0" fontId="42" fillId="0" borderId="0" xfId="32" applyFont="1" applyAlignment="1">
      <alignment horizontal="right"/>
    </xf>
    <xf numFmtId="166" fontId="20" fillId="2" borderId="135" xfId="32" applyNumberFormat="1" applyFont="1" applyFill="1" applyBorder="1"/>
    <xf numFmtId="37" fontId="20" fillId="2" borderId="134" xfId="32" applyNumberFormat="1" applyFont="1" applyFill="1" applyBorder="1"/>
    <xf numFmtId="37" fontId="20" fillId="2" borderId="107" xfId="32" applyNumberFormat="1" applyFont="1" applyFill="1" applyBorder="1"/>
    <xf numFmtId="37" fontId="20" fillId="2" borderId="101" xfId="32" applyNumberFormat="1" applyFont="1" applyFill="1" applyBorder="1"/>
    <xf numFmtId="166" fontId="20" fillId="2" borderId="102" xfId="32" applyNumberFormat="1" applyFont="1" applyFill="1" applyBorder="1"/>
    <xf numFmtId="0" fontId="13" fillId="0" borderId="9" xfId="32" applyFont="1" applyBorder="1"/>
    <xf numFmtId="37" fontId="13" fillId="0" borderId="70" xfId="32" applyNumberFormat="1" applyFont="1" applyBorder="1"/>
    <xf numFmtId="0" fontId="13" fillId="0" borderId="70" xfId="32" applyFont="1" applyBorder="1"/>
    <xf numFmtId="0" fontId="13" fillId="0" borderId="85" xfId="32" applyFont="1" applyBorder="1"/>
    <xf numFmtId="0" fontId="13" fillId="0" borderId="72" xfId="32" applyFont="1" applyBorder="1"/>
    <xf numFmtId="0" fontId="13" fillId="0" borderId="8" xfId="32" applyFont="1" applyBorder="1"/>
    <xf numFmtId="39" fontId="18" fillId="0" borderId="70" xfId="32" applyNumberFormat="1" applyFont="1" applyBorder="1"/>
    <xf numFmtId="43" fontId="13" fillId="0" borderId="0" xfId="32" applyNumberFormat="1" applyFont="1"/>
    <xf numFmtId="172" fontId="13" fillId="0" borderId="0" xfId="32" applyNumberFormat="1" applyFont="1" applyAlignment="1">
      <alignment horizontal="right"/>
    </xf>
    <xf numFmtId="10" fontId="50" fillId="0" borderId="0" xfId="32" applyNumberFormat="1"/>
    <xf numFmtId="43" fontId="13" fillId="0" borderId="0" xfId="34" applyFont="1"/>
    <xf numFmtId="17" fontId="13" fillId="0" borderId="0" xfId="32" applyNumberFormat="1" applyFont="1" applyAlignment="1">
      <alignment horizontal="right"/>
    </xf>
    <xf numFmtId="164" fontId="13" fillId="0" borderId="0" xfId="32" applyNumberFormat="1" applyFont="1"/>
    <xf numFmtId="168" fontId="18" fillId="15" borderId="70" xfId="32" applyNumberFormat="1" applyFont="1" applyFill="1" applyBorder="1"/>
  </cellXfs>
  <cellStyles count="35">
    <cellStyle name="Comma 2" xfId="19" xr:uid="{2FDBCE47-4B20-4737-86AE-34257C6F40FA}"/>
    <cellStyle name="Milliers" xfId="1" builtinId="3"/>
    <cellStyle name="Milliers 2" xfId="7" xr:uid="{00000000-0005-0000-0000-000001000000}"/>
    <cellStyle name="Milliers 3" xfId="13" xr:uid="{2971D271-07C3-42EA-AF54-CA19A237EB8E}"/>
    <cellStyle name="Milliers 4" xfId="21" xr:uid="{5B2C26D2-7768-4385-B7FD-FFDD39A163D2}"/>
    <cellStyle name="Milliers 5" xfId="23" xr:uid="{C831CD9E-13B9-4152-A22D-37DBC65D228E}"/>
    <cellStyle name="Milliers 6" xfId="25" xr:uid="{9EE1D211-3C30-4AEF-8139-508DB395B2E3}"/>
    <cellStyle name="Milliers 7" xfId="28" xr:uid="{95982B31-364D-421B-87E6-81DCD3F9DD49}"/>
    <cellStyle name="Milliers 8" xfId="31" xr:uid="{DE66E1A0-267C-441F-BCCE-8E6350BD68C1}"/>
    <cellStyle name="Milliers 9" xfId="34" xr:uid="{7DF02E52-A882-47F6-91CC-81AD3BBC664C}"/>
    <cellStyle name="Monétaire 2" xfId="4" xr:uid="{00000000-0005-0000-0000-000002000000}"/>
    <cellStyle name="Monétaire 3" xfId="9" xr:uid="{00000000-0005-0000-0000-000003000000}"/>
    <cellStyle name="Normal" xfId="0" builtinId="0"/>
    <cellStyle name="Normal 10" xfId="26" xr:uid="{EF443499-8900-46B7-A64E-D464221A6AB2}"/>
    <cellStyle name="Normal 11" xfId="29" xr:uid="{F2B05DB1-FF2F-4DB4-9C8B-1FBEF15396D8}"/>
    <cellStyle name="Normal 12" xfId="16" xr:uid="{38AAD80B-D2B1-4EDC-AF3A-6BEE5BDF1226}"/>
    <cellStyle name="Normal 13" xfId="32" xr:uid="{C9FB0D6F-EB5E-42DA-BD57-C56588ADACEA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72471CAB-9B8A-47AC-B215-647C63FBCBF8}"/>
    <cellStyle name="Percent 2" xfId="18" xr:uid="{41CC2E25-7C72-4E1E-B6BE-7A8AD4AFD977}"/>
    <cellStyle name="Pourcentage" xfId="2" builtinId="5"/>
    <cellStyle name="Pourcentage 2" xfId="8" xr:uid="{00000000-0005-0000-0000-000009000000}"/>
    <cellStyle name="Pourcentage 3" xfId="15" xr:uid="{B09CCB1C-0232-46FA-AAFA-AA26EA7AA4F5}"/>
    <cellStyle name="Pourcentage 4" xfId="20" xr:uid="{B440DACC-A14B-474F-8FDE-17DE450841D6}"/>
    <cellStyle name="Pourcentage 5" xfId="22" xr:uid="{BCEB7096-13DC-4AD2-B0FD-6F21CA50CCD5}"/>
    <cellStyle name="Pourcentage 6" xfId="24" xr:uid="{26A909FF-9538-46F1-BBF5-E6DC65F9CB4F}"/>
    <cellStyle name="Pourcentage 7" xfId="27" xr:uid="{37B6B9A0-89F6-4488-B077-1BC20C057946}"/>
    <cellStyle name="Pourcentage 8" xfId="30" xr:uid="{B0387917-5E02-4101-9023-5398CE65A554}"/>
    <cellStyle name="Pourcentage 9" xfId="33" xr:uid="{6E323148-15C7-4216-A31B-4C976D4357A3}"/>
  </cellStyles>
  <dxfs count="286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5\2025-10_R&#233;alis&#233;_VW.xlsx" TargetMode="External"/><Relationship Id="rId1" Type="http://schemas.openxmlformats.org/officeDocument/2006/relationships/externalLinkPath" Target="2025-10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5\2025-11_R&#233;alis&#233;_VW.xlsx" TargetMode="External"/><Relationship Id="rId1" Type="http://schemas.openxmlformats.org/officeDocument/2006/relationships/externalLinkPath" Target="2025-11_R&#233;alis&#233;_V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5\2025-12_R&#233;alis&#233;_VW.xlsx" TargetMode="External"/><Relationship Id="rId1" Type="http://schemas.openxmlformats.org/officeDocument/2006/relationships/externalLinkPath" Target="2025-12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4"/>
      <sheetName val="Capex"/>
      <sheetName val="Inventaire_Used"/>
      <sheetName val="Inventaire_Neuf"/>
      <sheetName val="Print_Mois"/>
      <sheetName val="2pager"/>
      <sheetName val="Chart1"/>
      <sheetName val="Démo"/>
      <sheetName val="Wholesale"/>
      <sheetName val="Print_AAD"/>
      <sheetName val="Vol &amp; Taux MOIS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4"/>
      <sheetName val="Capex"/>
      <sheetName val="Inventaire_Used"/>
      <sheetName val="Inventaire_Neuf"/>
      <sheetName val="Print_Mois"/>
      <sheetName val="2pager"/>
      <sheetName val="Chart1"/>
      <sheetName val="Démo"/>
      <sheetName val="Wholesale"/>
      <sheetName val="Print_AAD"/>
      <sheetName val="Vol &amp; Taux MOIS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4"/>
      <sheetName val="Capex"/>
      <sheetName val="Inventaire_Used"/>
      <sheetName val="Inventaire_Neuf"/>
      <sheetName val="Print_Mois"/>
      <sheetName val="2pager"/>
      <sheetName val="Chart1"/>
      <sheetName val="Démo"/>
      <sheetName val="Wholesale"/>
      <sheetName val="Print_AAD"/>
      <sheetName val="Vol &amp; Taux MOIS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baseColWidth="10" defaultColWidth="11.25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477" t="s">
        <v>205</v>
      </c>
      <c r="C6" s="477"/>
      <c r="D6" s="477"/>
      <c r="E6" s="477"/>
      <c r="F6" s="478" t="s">
        <v>206</v>
      </c>
      <c r="G6" s="478"/>
      <c r="H6" s="478"/>
      <c r="I6" s="478"/>
      <c r="J6" s="479" t="s">
        <v>207</v>
      </c>
      <c r="K6" s="479"/>
      <c r="L6" s="479"/>
      <c r="M6" s="479"/>
      <c r="N6" s="480" t="s">
        <v>208</v>
      </c>
      <c r="O6" s="480"/>
      <c r="P6" s="480"/>
      <c r="Q6" s="480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20000714.760609265</v>
      </c>
      <c r="C9" s="133">
        <f>+Conso!$Z$406</f>
        <v>2455615.9364628782</v>
      </c>
      <c r="D9" s="133">
        <f>+Conso!$Z$482</f>
        <v>742277.72211046028</v>
      </c>
      <c r="E9" s="133">
        <f>+Conso!$Z$497</f>
        <v>614571.22211046028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17432381.240000002</v>
      </c>
      <c r="K9" s="133">
        <f>+Conso!$AF$406</f>
        <v>2121598.5999999996</v>
      </c>
      <c r="L9" s="133">
        <f>+Conso!$AF$482</f>
        <v>595238.06999999937</v>
      </c>
      <c r="M9" s="133">
        <f>+Conso!$AF$497</f>
        <v>468373.06999999937</v>
      </c>
      <c r="N9" s="133">
        <f>+Conso!$AL$405</f>
        <v>12663799.47999998</v>
      </c>
      <c r="O9" s="133">
        <f>+Conso!$AL$406</f>
        <v>1865550.6699999971</v>
      </c>
      <c r="P9" s="133">
        <f>+Conso!$AL$482</f>
        <v>359623.02999999735</v>
      </c>
      <c r="Q9" s="133">
        <f>+Conso!$AL$497</f>
        <v>249286.09999999733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3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C281" zoomScale="70" zoomScaleNormal="70" workbookViewId="0">
      <selection activeCell="F315" sqref="F315"/>
    </sheetView>
  </sheetViews>
  <sheetFormatPr baseColWidth="10" defaultColWidth="12.625" defaultRowHeight="15" customHeight="1"/>
  <cols>
    <col min="1" max="1" width="24.125" style="23" hidden="1" customWidth="1"/>
    <col min="2" max="2" width="21.625" style="23" hidden="1" customWidth="1"/>
    <col min="3" max="3" width="34.625" style="23" customWidth="1"/>
    <col min="4" max="4" width="16.375" style="23" customWidth="1"/>
    <col min="5" max="5" width="15.625" style="23" customWidth="1"/>
    <col min="6" max="6" width="16.875" style="23" customWidth="1"/>
    <col min="7" max="7" width="17.75" style="23" hidden="1" customWidth="1"/>
    <col min="8" max="8" width="15.625" style="23" hidden="1" customWidth="1"/>
    <col min="9" max="9" width="15.875" style="23" hidden="1" customWidth="1"/>
    <col min="10" max="10" width="16.75" style="23" customWidth="1"/>
    <col min="11" max="11" width="14.5" style="23" customWidth="1"/>
    <col min="12" max="12" width="15.875" style="23" customWidth="1"/>
    <col min="13" max="13" width="12" style="23" customWidth="1"/>
    <col min="14" max="14" width="18.625" style="23" customWidth="1"/>
    <col min="15" max="15" width="16.375" style="23" customWidth="1"/>
    <col min="16" max="16" width="15.625" style="23" customWidth="1"/>
    <col min="17" max="17" width="16.375" style="23" customWidth="1"/>
    <col min="18" max="19" width="18.75" style="23" customWidth="1"/>
    <col min="20" max="20" width="3" style="23" customWidth="1"/>
    <col min="21" max="21" width="4" style="23" customWidth="1"/>
    <col min="22" max="22" width="29.875" style="23" customWidth="1"/>
    <col min="23" max="23" width="12.875" style="23" customWidth="1"/>
    <col min="24" max="24" width="13.375" style="23" customWidth="1"/>
    <col min="25" max="25" width="10.5" style="23" customWidth="1"/>
    <col min="26" max="26" width="17.375" style="23" customWidth="1"/>
    <col min="27" max="27" width="10.875" style="23" hidden="1" customWidth="1"/>
    <col min="28" max="28" width="10" style="23" hidden="1" customWidth="1"/>
    <col min="29" max="29" width="17.5" style="23" hidden="1" customWidth="1"/>
    <col min="30" max="30" width="16.375" style="23" customWidth="1"/>
    <col min="31" max="31" width="12" style="23" customWidth="1"/>
    <col min="32" max="32" width="18.875" style="23" customWidth="1"/>
    <col min="33" max="33" width="10.875" style="23" customWidth="1"/>
    <col min="34" max="34" width="16.25" style="23" customWidth="1"/>
    <col min="35" max="35" width="12.375" style="23" customWidth="1"/>
    <col min="36" max="36" width="10.875" style="23" customWidth="1"/>
    <col min="37" max="37" width="10" style="23" customWidth="1"/>
    <col min="38" max="38" width="17.5" style="23" customWidth="1"/>
    <col min="39" max="39" width="10.875" style="23" customWidth="1"/>
    <col min="40" max="40" width="16" style="23" customWidth="1"/>
    <col min="41" max="41" width="12.375" style="23" customWidth="1"/>
    <col min="42" max="42" width="11" style="23" customWidth="1"/>
    <col min="43" max="43" width="24" style="23" customWidth="1"/>
    <col min="44" max="62" width="11" style="23" customWidth="1"/>
    <col min="63" max="16384" width="12.625" style="23"/>
  </cols>
  <sheetData>
    <row r="1" spans="1:40" ht="18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.75" thickTop="1">
      <c r="B3" s="184"/>
      <c r="C3" s="185"/>
      <c r="D3" s="483" t="s">
        <v>5</v>
      </c>
      <c r="E3" s="484"/>
      <c r="F3" s="485"/>
      <c r="G3" s="481" t="s">
        <v>6</v>
      </c>
      <c r="H3" s="484"/>
      <c r="I3" s="485"/>
      <c r="J3" s="481" t="s">
        <v>7</v>
      </c>
      <c r="K3" s="484"/>
      <c r="L3" s="485"/>
      <c r="M3" s="481" t="s">
        <v>9</v>
      </c>
      <c r="N3" s="485"/>
      <c r="O3" s="483" t="s">
        <v>8</v>
      </c>
      <c r="P3" s="484"/>
      <c r="Q3" s="485"/>
      <c r="R3" s="481" t="s">
        <v>217</v>
      </c>
      <c r="S3" s="482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8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8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11342294.48644956</v>
      </c>
      <c r="G5" s="153"/>
      <c r="H5" s="192"/>
      <c r="I5" s="193">
        <f>+SUM(START:END!I5)</f>
        <v>0</v>
      </c>
      <c r="J5" s="153"/>
      <c r="K5" s="194"/>
      <c r="L5" s="193">
        <f>+SUM(START:END!L5)</f>
        <v>9449688.8499999996</v>
      </c>
      <c r="M5" s="195"/>
      <c r="N5" s="196"/>
      <c r="O5" s="153"/>
      <c r="P5" s="194"/>
      <c r="Q5" s="193">
        <f>+SUM(START:END!Q5)</f>
        <v>6739517.3699999899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8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56</v>
      </c>
      <c r="E6" s="198">
        <f>IF(D6=0,0,F6/D6)</f>
        <v>1953.6491683802797</v>
      </c>
      <c r="F6" s="198">
        <f>+SUM(START:END!F6)</f>
        <v>109404.35342929566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23</v>
      </c>
      <c r="K6" s="198">
        <f>IF(J6=0,0,L6/J6)</f>
        <v>1641.9099999999987</v>
      </c>
      <c r="L6" s="200">
        <f>+SUM(START:END!L6)</f>
        <v>37763.929999999971</v>
      </c>
      <c r="M6" s="199">
        <f>J6-D6</f>
        <v>-33</v>
      </c>
      <c r="N6" s="201">
        <f>L6-F6</f>
        <v>-71640.423429295683</v>
      </c>
      <c r="O6" s="199">
        <f>+SUM(START:END!O6)</f>
        <v>26</v>
      </c>
      <c r="P6" s="198">
        <f>IF(O6=0,0,Q6/O6)</f>
        <v>1810.3249999999955</v>
      </c>
      <c r="Q6" s="200">
        <f>+SUM(START:END!Q6)</f>
        <v>47068.449999999881</v>
      </c>
      <c r="R6" s="199">
        <f t="shared" ref="R6:R12" si="2">J6-O6</f>
        <v>-3</v>
      </c>
      <c r="S6" s="202">
        <f t="shared" ref="S6:S12" si="3">L6-Q6</f>
        <v>-9304.5199999999095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8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149</v>
      </c>
      <c r="E7" s="198">
        <f t="shared" ref="E7:E12" si="4">IF(D7=0,0,F7/D7)</f>
        <v>2435.9046775963689</v>
      </c>
      <c r="F7" s="198">
        <f>+SUM(START:END!F7)</f>
        <v>362949.79696185899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134</v>
      </c>
      <c r="K7" s="198">
        <f t="shared" ref="K7:K12" si="6">IF(J7=0,0,L7/J7)</f>
        <v>1956.4093283582058</v>
      </c>
      <c r="L7" s="200">
        <f>+SUM(START:END!L7)</f>
        <v>262158.84999999957</v>
      </c>
      <c r="M7" s="199">
        <f t="shared" ref="M7:M9" si="7">J7-D7</f>
        <v>-15</v>
      </c>
      <c r="N7" s="201">
        <f t="shared" ref="N7:N9" si="8">L7-F7</f>
        <v>-100790.94696185942</v>
      </c>
      <c r="O7" s="199">
        <f>+SUM(START:END!O7)</f>
        <v>83</v>
      </c>
      <c r="P7" s="198">
        <f t="shared" ref="P7:P12" si="9">IF(O7=0,0,Q7/O7)</f>
        <v>1820.1256626506038</v>
      </c>
      <c r="Q7" s="200">
        <f>+SUM(START:END!Q7)</f>
        <v>151070.43000000011</v>
      </c>
      <c r="R7" s="199">
        <f t="shared" si="2"/>
        <v>51</v>
      </c>
      <c r="S7" s="202">
        <f t="shared" si="3"/>
        <v>111088.41999999946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8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8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8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8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8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8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205</v>
      </c>
      <c r="E13" s="204">
        <f>IF(D13&lt;=0,0,F13/D13)</f>
        <v>2304.166587273925</v>
      </c>
      <c r="F13" s="205">
        <f>+SUM(F6:F12)</f>
        <v>472354.15039115463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157</v>
      </c>
      <c r="K13" s="204">
        <f>IF(J13&lt;=0,0,L13/J13)</f>
        <v>1910.3361783439464</v>
      </c>
      <c r="L13" s="205">
        <f>+SUM(L6:L12)</f>
        <v>299922.77999999956</v>
      </c>
      <c r="M13" s="206">
        <f>+SUM(M6:M12)</f>
        <v>-48</v>
      </c>
      <c r="N13" s="205">
        <f>+SUM(N6:N12)</f>
        <v>-172431.3703911551</v>
      </c>
      <c r="O13" s="206">
        <f>+SUM(O6:O12)</f>
        <v>109</v>
      </c>
      <c r="P13" s="204">
        <f>IF(O13&lt;=0,0,Q13/O13)</f>
        <v>1817.7878899082568</v>
      </c>
      <c r="Q13" s="205">
        <f>+SUM(Q6:Q12)</f>
        <v>198138.88</v>
      </c>
      <c r="R13" s="206">
        <f>+SUM(R6:R12)</f>
        <v>48</v>
      </c>
      <c r="S13" s="207">
        <f>+SUM(S6:S12)</f>
        <v>101783.89999999956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8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-0.36504679856917815</v>
      </c>
      <c r="O14" s="152"/>
      <c r="P14" s="198"/>
      <c r="Q14" s="208"/>
      <c r="R14" s="170">
        <f>R13/O13</f>
        <v>0.44036697247706424</v>
      </c>
      <c r="S14" s="209">
        <f>IF(Q13=0,0,(S13/Q13))</f>
        <v>0.51369978471665712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8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10</v>
      </c>
      <c r="E15" s="194">
        <f t="shared" ref="E15" si="12">IF(D15=0,0,F15/D15)</f>
        <v>1534.7521433415677</v>
      </c>
      <c r="F15" s="193">
        <f>+SUM(START:END!F15)</f>
        <v>15347.521433415677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8</v>
      </c>
      <c r="K15" s="215">
        <f>IF(J15=0,0,L15/J15)</f>
        <v>822.34625000000051</v>
      </c>
      <c r="L15" s="215">
        <f>+SUM(START:END!L15)</f>
        <v>6578.7700000000041</v>
      </c>
      <c r="M15" s="216">
        <f>J15-D15</f>
        <v>-2</v>
      </c>
      <c r="N15" s="213">
        <f>L15-F15</f>
        <v>-8768.7514334156731</v>
      </c>
      <c r="O15" s="214">
        <f>+SUM(START:END!O15)</f>
        <v>12</v>
      </c>
      <c r="P15" s="215">
        <f>IF(O15=0,0,Q15/O15)</f>
        <v>1517.4408333333297</v>
      </c>
      <c r="Q15" s="215">
        <f>+SUM(START:END!Q15)</f>
        <v>18209.289999999957</v>
      </c>
      <c r="R15" s="216">
        <f>J15-O15</f>
        <v>-4</v>
      </c>
      <c r="S15" s="217">
        <f>L15-Q15</f>
        <v>-11630.519999999953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8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8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5</v>
      </c>
      <c r="E17" s="198">
        <f t="shared" ref="E17" si="14">IF(D17=0,0,F17/D17)</f>
        <v>2393.8521192147828</v>
      </c>
      <c r="F17" s="198">
        <f>+SUM(START:END!F17)</f>
        <v>11969.260596073913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5</v>
      </c>
      <c r="K17" s="198">
        <f>IF(J17=0,0,L17/J17)</f>
        <v>2778.1439999999975</v>
      </c>
      <c r="L17" s="201">
        <f>+SUM(START:END!L17)</f>
        <v>13890.719999999987</v>
      </c>
      <c r="M17" s="216">
        <f>J17-D17</f>
        <v>0</v>
      </c>
      <c r="N17" s="201">
        <f>L17-F17</f>
        <v>1921.4594039260737</v>
      </c>
      <c r="O17" s="216">
        <f>+SUM(START:END!O17)</f>
        <v>11</v>
      </c>
      <c r="P17" s="198">
        <f>IF(O17=0,0,Q17/O17)</f>
        <v>1058.8518181818165</v>
      </c>
      <c r="Q17" s="201">
        <f>+SUM(START:END!Q17)</f>
        <v>11647.369999999981</v>
      </c>
      <c r="R17" s="199">
        <f>J17-O17</f>
        <v>-6</v>
      </c>
      <c r="S17" s="202">
        <f>L17-Q17</f>
        <v>2243.3500000000058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8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8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22950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27609.850000000035</v>
      </c>
      <c r="M19" s="199"/>
      <c r="N19" s="201">
        <f>L19-F19</f>
        <v>4659.8500000000349</v>
      </c>
      <c r="O19" s="211"/>
      <c r="P19" s="198"/>
      <c r="Q19" s="201">
        <f>+SUM(START:END!Q19)</f>
        <v>23749</v>
      </c>
      <c r="R19" s="199">
        <f>O19-K19</f>
        <v>0</v>
      </c>
      <c r="S19" s="202">
        <f>L19-Q19</f>
        <v>3860.8500000000349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8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10750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34.835878787878791</v>
      </c>
      <c r="L21" s="201">
        <f>+SUM(START:END!L21)</f>
        <v>5747.92</v>
      </c>
      <c r="M21" s="199"/>
      <c r="N21" s="201">
        <f t="shared" ref="N21:N23" si="18">L21-F21</f>
        <v>-5002.08</v>
      </c>
      <c r="O21" s="199"/>
      <c r="P21" s="198">
        <f>IF(O13=0,0,Q21/(O13+O15))</f>
        <v>10.651570247933883</v>
      </c>
      <c r="Q21" s="201">
        <f>+SUM(START:END!Q21)</f>
        <v>1288.8399999999999</v>
      </c>
      <c r="R21" s="199">
        <f t="shared" ref="R21:R23" si="19">O21-K21</f>
        <v>-34.835878787878791</v>
      </c>
      <c r="S21" s="202">
        <f t="shared" ref="S21:S24" si="20">L21-Q21</f>
        <v>4459.08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199950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938.41254545454547</v>
      </c>
      <c r="L22" s="201">
        <f>+SUM(START:END!L22)</f>
        <v>154838.07</v>
      </c>
      <c r="M22" s="199"/>
      <c r="N22" s="201">
        <f t="shared" si="18"/>
        <v>-45111.929999999993</v>
      </c>
      <c r="O22" s="199"/>
      <c r="P22" s="198">
        <f>IF(O13=0,0,Q22/(O13+O15))</f>
        <v>1036.3080165289255</v>
      </c>
      <c r="Q22" s="201">
        <f>+SUM(START:END!Q22)</f>
        <v>125393.26999999999</v>
      </c>
      <c r="R22" s="199">
        <f t="shared" si="19"/>
        <v>-938.41254545454547</v>
      </c>
      <c r="S22" s="202">
        <f t="shared" si="20"/>
        <v>29444.800000000017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4300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11.995878787878789</v>
      </c>
      <c r="L23" s="201">
        <f>+SUM(START:END!L23)</f>
        <v>1979.3200000000002</v>
      </c>
      <c r="M23" s="216"/>
      <c r="N23" s="201">
        <f t="shared" si="18"/>
        <v>-2320.6799999999998</v>
      </c>
      <c r="O23" s="199"/>
      <c r="P23" s="198">
        <f>IF(O13=0,0,Q23/(O13+O15))</f>
        <v>10.654380165289254</v>
      </c>
      <c r="Q23" s="201">
        <f>+SUM(START:END!Q23)</f>
        <v>1289.1799999999998</v>
      </c>
      <c r="R23" s="199">
        <f t="shared" si="19"/>
        <v>-11.995878787878789</v>
      </c>
      <c r="S23" s="202">
        <f t="shared" si="20"/>
        <v>690.14000000000033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215</v>
      </c>
      <c r="E24" s="204">
        <f>IF(D24&lt;=0,0,F24/D24)</f>
        <v>1000</v>
      </c>
      <c r="F24" s="205">
        <f>F21+F22+F23</f>
        <v>215000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165</v>
      </c>
      <c r="K24" s="204">
        <f>IF(J24&lt;=0,0,L24/J24)</f>
        <v>985.24430303030317</v>
      </c>
      <c r="L24" s="205">
        <f>L21+L22+L23</f>
        <v>162565.31000000003</v>
      </c>
      <c r="M24" s="206">
        <f>+M15+M13</f>
        <v>-50</v>
      </c>
      <c r="N24" s="205">
        <f>N21+N22+N23</f>
        <v>-52434.689999999995</v>
      </c>
      <c r="O24" s="206">
        <f>+O15+O13</f>
        <v>121</v>
      </c>
      <c r="P24" s="204">
        <f>IF(O24&lt;=0,0,Q24/O24)</f>
        <v>1057.6139669421486</v>
      </c>
      <c r="Q24" s="205">
        <f>Q21+Q22+Q23</f>
        <v>127971.28999999998</v>
      </c>
      <c r="R24" s="220"/>
      <c r="S24" s="207">
        <f t="shared" si="20"/>
        <v>34594.020000000048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0.27032641462002965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220</v>
      </c>
      <c r="E27" s="227">
        <f>IF(D27&lt;=0,0,F27/D27)</f>
        <v>3352.822420093838</v>
      </c>
      <c r="F27" s="228">
        <f>F13+F17+F24+F19+F15</f>
        <v>737620.93242064433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170</v>
      </c>
      <c r="K27" s="230">
        <f>IF(J27&lt;=0,0,L27/J27)</f>
        <v>3003.3378235294099</v>
      </c>
      <c r="L27" s="228">
        <f>L13+L17+L24+L19+L15</f>
        <v>510567.42999999964</v>
      </c>
      <c r="M27" s="229">
        <f>+M13+M15+M17</f>
        <v>-50</v>
      </c>
      <c r="N27" s="228">
        <f>N13+N17+N24+N19+N15</f>
        <v>-227053.50242064468</v>
      </c>
      <c r="O27" s="229">
        <f>+O13+O15+O17</f>
        <v>132</v>
      </c>
      <c r="P27" s="230">
        <f>IF(O27&lt;=0,0,Q27/O27)</f>
        <v>2876.6350757575756</v>
      </c>
      <c r="Q27" s="228">
        <f>Q13+Q17+Q24+Q19+Q15</f>
        <v>379715.82999999996</v>
      </c>
      <c r="R27" s="229">
        <f>J27-O27</f>
        <v>38</v>
      </c>
      <c r="S27" s="231">
        <f>L27-Q27</f>
        <v>130851.59999999969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-0.22727272727272727</v>
      </c>
      <c r="N28" s="166">
        <f>N27/F27</f>
        <v>-0.30781868089822934</v>
      </c>
      <c r="O28" s="235"/>
      <c r="P28" s="233"/>
      <c r="Q28" s="234"/>
      <c r="R28" s="236">
        <f>R27/O27</f>
        <v>0.2878787878787879</v>
      </c>
      <c r="S28" s="237">
        <f>IF(Q27=0,0,S27/Q27)</f>
        <v>0.34460401611383884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740.68292623752654</v>
      </c>
      <c r="F31" s="198">
        <f>+SUM(START:END!F31)</f>
        <v>159246.82914106821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0.35182455964165221</v>
      </c>
      <c r="K31" s="26">
        <f t="shared" ref="K31:K40" si="23">IF(L31=0,0,L31/J$24)</f>
        <v>639.51636363636351</v>
      </c>
      <c r="L31" s="198">
        <f>+SUM(START:END!L31)</f>
        <v>105520.19999999998</v>
      </c>
      <c r="M31" s="152"/>
      <c r="N31" s="222">
        <f t="shared" ref="N31:N37" si="24">L31-F31</f>
        <v>-53726.629141068232</v>
      </c>
      <c r="O31" s="152"/>
      <c r="P31" s="26">
        <f t="shared" ref="P31:P40" si="25">IF(Q31=0,0,Q31/O$24)</f>
        <v>622.44396694214879</v>
      </c>
      <c r="Q31" s="201">
        <f>+SUM(START:END!Q31)</f>
        <v>75315.72</v>
      </c>
      <c r="R31" s="152"/>
      <c r="S31" s="242">
        <f t="shared" ref="S31:S41" si="26">L31-Q31</f>
        <v>30204.479999999981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280.00000000000006</v>
      </c>
      <c r="F32" s="193">
        <f>+SUM(START:END!F32)</f>
        <v>60200.000000000007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0.26999917756131364</v>
      </c>
      <c r="K32" s="10">
        <f t="shared" si="23"/>
        <v>266.0151515151515</v>
      </c>
      <c r="L32" s="193">
        <f>+SUM(START:END!L32)</f>
        <v>43892.5</v>
      </c>
      <c r="M32" s="153"/>
      <c r="N32" s="247">
        <f t="shared" si="24"/>
        <v>-16307.500000000007</v>
      </c>
      <c r="O32" s="153"/>
      <c r="P32" s="10">
        <f t="shared" si="25"/>
        <v>300.16132231404958</v>
      </c>
      <c r="Q32" s="193">
        <f>+SUM(START:END!Q32)</f>
        <v>36319.519999999997</v>
      </c>
      <c r="R32" s="153"/>
      <c r="S32" s="248">
        <f t="shared" si="26"/>
        <v>7572.9800000000032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115</v>
      </c>
      <c r="F33" s="198">
        <f>+SUM(START:END!F33)</f>
        <v>24725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98.449515151515158</v>
      </c>
      <c r="L33" s="198">
        <f>+SUM(START:END!L33)</f>
        <v>16244.170000000002</v>
      </c>
      <c r="M33" s="152"/>
      <c r="N33" s="222">
        <f t="shared" si="24"/>
        <v>-8480.8299999999981</v>
      </c>
      <c r="O33" s="152"/>
      <c r="P33" s="26">
        <f t="shared" si="25"/>
        <v>157.53768595041322</v>
      </c>
      <c r="Q33" s="201">
        <f>+SUM(START:END!Q33)</f>
        <v>19062.060000000001</v>
      </c>
      <c r="R33" s="152"/>
      <c r="S33" s="242">
        <f t="shared" si="26"/>
        <v>-2817.8899999999994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10</v>
      </c>
      <c r="F34" s="198">
        <f>+SUM(START:END!F34)</f>
        <v>2150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3.3441818181818181</v>
      </c>
      <c r="L34" s="198">
        <f>+SUM(START:END!L34)</f>
        <v>551.79</v>
      </c>
      <c r="M34" s="152"/>
      <c r="N34" s="222">
        <f t="shared" si="24"/>
        <v>-1598.21</v>
      </c>
      <c r="O34" s="152"/>
      <c r="P34" s="26">
        <f t="shared" si="25"/>
        <v>47.640495867768593</v>
      </c>
      <c r="Q34" s="201">
        <f>+SUM(START:END!Q34)</f>
        <v>5764.5</v>
      </c>
      <c r="R34" s="152"/>
      <c r="S34" s="242">
        <f t="shared" si="26"/>
        <v>-5212.71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120.75</v>
      </c>
      <c r="F35" s="193">
        <f>+SUM(START:END!F35)</f>
        <v>25961.25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119.71527272727273</v>
      </c>
      <c r="L35" s="193">
        <f>+SUM(START:END!L35)</f>
        <v>19753.02</v>
      </c>
      <c r="M35" s="153"/>
      <c r="N35" s="247">
        <f t="shared" si="24"/>
        <v>-6208.23</v>
      </c>
      <c r="O35" s="153"/>
      <c r="P35" s="10">
        <f t="shared" si="25"/>
        <v>158.87983471074381</v>
      </c>
      <c r="Q35" s="201">
        <f>+SUM(START:END!Q35)</f>
        <v>19224.46</v>
      </c>
      <c r="R35" s="153"/>
      <c r="S35" s="248">
        <f t="shared" si="26"/>
        <v>528.56000000000131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115.74883720930232</v>
      </c>
      <c r="F36" s="198">
        <f>+SUM(START:END!F36)</f>
        <v>24886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166.23072727272728</v>
      </c>
      <c r="L36" s="249">
        <f>+SUM(START:END!L36)</f>
        <v>27428.07</v>
      </c>
      <c r="N36" s="222">
        <f t="shared" si="24"/>
        <v>2542.0699999999997</v>
      </c>
      <c r="O36" s="152"/>
      <c r="P36" s="26">
        <f t="shared" si="25"/>
        <v>342.80652892561903</v>
      </c>
      <c r="Q36" s="219">
        <f>+SUM(START:END!Q36)</f>
        <v>41479.589999999902</v>
      </c>
      <c r="R36" s="152"/>
      <c r="S36" s="242">
        <f t="shared" si="26"/>
        <v>-14051.519999999902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514.75140565382355</v>
      </c>
      <c r="F37" s="198">
        <f>+SUM(START:END!F37)</f>
        <v>110671.55221557207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393.6270909090909</v>
      </c>
      <c r="L37" s="202">
        <f>+SUM(START:END!L37)</f>
        <v>64948.469999999994</v>
      </c>
      <c r="N37" s="222">
        <f t="shared" si="24"/>
        <v>-45723.082215572074</v>
      </c>
      <c r="O37" s="152"/>
      <c r="P37" s="26">
        <f t="shared" si="25"/>
        <v>-117.72404958677689</v>
      </c>
      <c r="Q37" s="201">
        <f>+SUM(START:END!Q37)</f>
        <v>-14244.610000000002</v>
      </c>
      <c r="R37" s="152"/>
      <c r="S37" s="242">
        <f t="shared" si="26"/>
        <v>79193.08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0.55291358125945955</v>
      </c>
      <c r="F41" s="251">
        <f>SUM(F31:F40)</f>
        <v>407840.63135664025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0.54515467232212633</v>
      </c>
      <c r="L41" s="251">
        <f>SUM(L31:L40)</f>
        <v>278338.21999999997</v>
      </c>
      <c r="M41" s="253"/>
      <c r="N41" s="251">
        <f>SUM(N31:N40)</f>
        <v>-129502.41135664031</v>
      </c>
      <c r="O41" s="252" t="s">
        <v>39</v>
      </c>
      <c r="P41" s="42">
        <f>Q41/Q$27</f>
        <v>0.48173193095478767</v>
      </c>
      <c r="Q41" s="46">
        <f>SUM(Q31:Q40)</f>
        <v>182921.23999999987</v>
      </c>
      <c r="R41" s="254"/>
      <c r="S41" s="255">
        <f t="shared" si="26"/>
        <v>95416.980000000098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77393.512500000012</v>
      </c>
      <c r="G42" s="152"/>
      <c r="I42" s="198">
        <f>+SUM(START:END!I42)</f>
        <v>0</v>
      </c>
      <c r="J42" s="152"/>
      <c r="L42" s="201">
        <f>+SUM(START:END!L42)</f>
        <v>51077.440000000002</v>
      </c>
      <c r="M42" s="152"/>
      <c r="N42" s="222">
        <f t="shared" ref="N42:N52" si="28">L42-F42</f>
        <v>-26316.072500000009</v>
      </c>
      <c r="O42" s="152"/>
      <c r="Q42" s="201">
        <f>+SUM(START:END!Q42)</f>
        <v>52366.83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44976.212000000007</v>
      </c>
      <c r="G43" s="240"/>
      <c r="I43" s="193">
        <f>+SUM(START:END!I43)</f>
        <v>0</v>
      </c>
      <c r="J43" s="152"/>
      <c r="L43" s="201">
        <f>+SUM(START:END!L43)</f>
        <v>48329.27</v>
      </c>
      <c r="M43" s="152"/>
      <c r="N43" s="222">
        <f t="shared" si="28"/>
        <v>3353.05799999999</v>
      </c>
      <c r="O43" s="152"/>
      <c r="Q43" s="201">
        <f>+SUM(START:END!Q43)</f>
        <v>30835.879999999997</v>
      </c>
      <c r="R43" s="152"/>
      <c r="S43" s="242">
        <f t="shared" ref="S43:S53" si="29">L43-Q43</f>
        <v>17493.39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1025.5500000000002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3533.9500000000003</v>
      </c>
      <c r="M44" s="154"/>
      <c r="N44" s="258">
        <f t="shared" si="28"/>
        <v>2508.4</v>
      </c>
      <c r="O44" s="154"/>
      <c r="P44" s="53"/>
      <c r="Q44" s="257">
        <f>+SUM(START:END!Q44)</f>
        <v>9321.24</v>
      </c>
      <c r="R44" s="154"/>
      <c r="S44" s="259">
        <f t="shared" si="29"/>
        <v>-5787.2899999999991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37234.098209800432</v>
      </c>
      <c r="G49" s="240"/>
      <c r="I49" s="193">
        <f>+SUM(START:END!I49)</f>
        <v>0</v>
      </c>
      <c r="J49" s="152"/>
      <c r="L49" s="193">
        <f>+SUM(START:END!L49)</f>
        <v>34992.240000000005</v>
      </c>
      <c r="M49" s="152"/>
      <c r="N49" s="222">
        <f t="shared" si="28"/>
        <v>-2241.8582098004263</v>
      </c>
      <c r="O49" s="152"/>
      <c r="Q49" s="193">
        <f>+SUM(START:END!Q49)</f>
        <v>31124.080000000002</v>
      </c>
      <c r="R49" s="152"/>
      <c r="S49" s="242">
        <f t="shared" si="29"/>
        <v>3868.1600000000035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45271.414563457787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42118.21</v>
      </c>
      <c r="M50" s="154"/>
      <c r="N50" s="258">
        <f t="shared" si="28"/>
        <v>-3153.204563457788</v>
      </c>
      <c r="O50" s="154"/>
      <c r="P50" s="53"/>
      <c r="Q50" s="201">
        <f>+SUM(START:END!Q50)</f>
        <v>37824.340000000004</v>
      </c>
      <c r="R50" s="154"/>
      <c r="S50" s="259">
        <f t="shared" si="29"/>
        <v>4293.8699999999953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23324.620112042379</v>
      </c>
      <c r="G51" s="240"/>
      <c r="I51" s="198">
        <f>+SUM(START:END!I51)</f>
        <v>0</v>
      </c>
      <c r="J51" s="152"/>
      <c r="L51" s="201">
        <f>+SUM(START:END!L51)</f>
        <v>22867.25</v>
      </c>
      <c r="M51" s="152"/>
      <c r="N51" s="222">
        <f t="shared" si="28"/>
        <v>-457.37011204237933</v>
      </c>
      <c r="O51" s="152"/>
      <c r="Q51" s="201">
        <f>+SUM(START:END!Q51)</f>
        <v>11323.66</v>
      </c>
      <c r="R51" s="152"/>
      <c r="S51" s="242">
        <f t="shared" si="29"/>
        <v>11543.59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10169.665590341967</v>
      </c>
      <c r="G52" s="240"/>
      <c r="I52" s="198">
        <f>+SUM(START:END!I52)</f>
        <v>0</v>
      </c>
      <c r="J52" s="152"/>
      <c r="L52" s="201">
        <f>+SUM(START:END!L52)</f>
        <v>7050.7800000000007</v>
      </c>
      <c r="M52" s="152"/>
      <c r="N52" s="222">
        <f t="shared" si="28"/>
        <v>-3118.8855903419662</v>
      </c>
      <c r="O52" s="152"/>
      <c r="Q52" s="201">
        <f>+SUM(START:END!Q52)</f>
        <v>5653.92</v>
      </c>
      <c r="R52" s="152"/>
      <c r="S52" s="242">
        <f t="shared" si="29"/>
        <v>1396.8600000000006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0.32455027027232236</v>
      </c>
      <c r="F54" s="251">
        <f>+SUM(F42:F53)</f>
        <v>239395.07297564254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0.41124663984148013</v>
      </c>
      <c r="L54" s="251">
        <f>+SUM(L42:L53)</f>
        <v>209969.13999999998</v>
      </c>
      <c r="M54" s="254"/>
      <c r="N54" s="251">
        <f>+SUM(N42:N53)</f>
        <v>-29425.93297564258</v>
      </c>
      <c r="O54" s="252" t="s">
        <v>39</v>
      </c>
      <c r="P54" s="42">
        <f>Q54/Q$27</f>
        <v>0.469956572524248</v>
      </c>
      <c r="Q54" s="251">
        <f>+SUM(Q42:Q53)</f>
        <v>178449.95</v>
      </c>
      <c r="R54" s="254"/>
      <c r="S54" s="255">
        <f>+SUM(S42:S53)</f>
        <v>32808.58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26857.643799999998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26778.66</v>
      </c>
      <c r="M57" s="153"/>
      <c r="N57" s="247">
        <f t="shared" si="30"/>
        <v>-78.983799999998155</v>
      </c>
      <c r="O57" s="153"/>
      <c r="P57" s="7"/>
      <c r="Q57" s="193">
        <f>+SUM(START:END!Q57)</f>
        <v>28844.140000000003</v>
      </c>
      <c r="R57" s="153"/>
      <c r="S57" s="248">
        <f t="shared" si="31"/>
        <v>-2065.4800000000032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23882.984275546671</v>
      </c>
      <c r="G58" s="240"/>
      <c r="I58" s="198">
        <f>+SUM(START:END!I58)</f>
        <v>0</v>
      </c>
      <c r="J58" s="152"/>
      <c r="L58" s="201">
        <f>+SUM(START:END!L58)</f>
        <v>24605.629999999997</v>
      </c>
      <c r="M58" s="152"/>
      <c r="N58" s="222">
        <f t="shared" si="30"/>
        <v>722.64572445332669</v>
      </c>
      <c r="O58" s="152"/>
      <c r="Q58" s="201">
        <f>+SUM(START:END!Q58)</f>
        <v>21883.84</v>
      </c>
      <c r="R58" s="152"/>
      <c r="S58" s="242">
        <f t="shared" si="31"/>
        <v>2721.7899999999972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3800.0925025889419</v>
      </c>
      <c r="G59" s="240"/>
      <c r="I59" s="198">
        <f>+SUM(START:END!I59)</f>
        <v>0</v>
      </c>
      <c r="J59" s="152"/>
      <c r="L59" s="201">
        <f>+SUM(START:END!L59)</f>
        <v>5988.46</v>
      </c>
      <c r="M59" s="152"/>
      <c r="N59" s="222">
        <f t="shared" si="30"/>
        <v>2188.3674974110581</v>
      </c>
      <c r="O59" s="152"/>
      <c r="Q59" s="201">
        <f>+SUM(START:END!Q59)</f>
        <v>5836.41</v>
      </c>
      <c r="R59" s="152"/>
      <c r="S59" s="242">
        <f t="shared" si="31"/>
        <v>152.05000000000018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21647.22217076259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27978.36</v>
      </c>
      <c r="M60" s="153"/>
      <c r="N60" s="247">
        <f t="shared" si="30"/>
        <v>6331.1378292374102</v>
      </c>
      <c r="O60" s="153"/>
      <c r="P60" s="7"/>
      <c r="Q60" s="193">
        <f>+SUM(START:END!Q60)</f>
        <v>22830.12</v>
      </c>
      <c r="R60" s="153"/>
      <c r="S60" s="248">
        <f t="shared" si="31"/>
        <v>5148.2400000000016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291.77200000000005</v>
      </c>
      <c r="G61" s="240"/>
      <c r="I61" s="198">
        <f>+SUM(START:END!I61)</f>
        <v>0</v>
      </c>
      <c r="J61" s="152"/>
      <c r="L61" s="201">
        <f>+SUM(START:END!L61)</f>
        <v>0</v>
      </c>
      <c r="M61" s="152"/>
      <c r="N61" s="222">
        <f t="shared" si="30"/>
        <v>-291.77200000000005</v>
      </c>
      <c r="O61" s="152"/>
      <c r="Q61" s="201">
        <f>+SUM(START:END!Q61)</f>
        <v>176.44</v>
      </c>
      <c r="R61" s="152"/>
      <c r="S61" s="242">
        <f t="shared" si="31"/>
        <v>-176.44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85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-85</v>
      </c>
      <c r="O62" s="152"/>
      <c r="Q62" s="201">
        <f>+SUM(START:END!Q62)</f>
        <v>434.88</v>
      </c>
      <c r="R62" s="152"/>
      <c r="S62" s="242">
        <f t="shared" si="31"/>
        <v>-434.88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2224.2926840073601</v>
      </c>
      <c r="G63" s="240"/>
      <c r="I63" s="198">
        <f>+SUM(START:END!I63)</f>
        <v>0</v>
      </c>
      <c r="J63" s="152"/>
      <c r="L63" s="200">
        <f>+SUM(START:END!L63)</f>
        <v>1789.3899999999999</v>
      </c>
      <c r="M63" s="152"/>
      <c r="N63" s="222">
        <f t="shared" si="30"/>
        <v>-434.90268400736022</v>
      </c>
      <c r="O63" s="152"/>
      <c r="Q63" s="200">
        <f>+SUM(START:END!Q63)</f>
        <v>2702.08</v>
      </c>
      <c r="R63" s="152"/>
      <c r="S63" s="242">
        <f t="shared" si="31"/>
        <v>-912.69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1034.4059547539466</v>
      </c>
      <c r="G64" s="240"/>
      <c r="I64" s="198">
        <f>+SUM(START:END!I64)</f>
        <v>0</v>
      </c>
      <c r="J64" s="152"/>
      <c r="L64" s="201">
        <f>+SUM(START:END!L64)</f>
        <v>1168.72</v>
      </c>
      <c r="M64" s="152"/>
      <c r="N64" s="222">
        <f t="shared" si="30"/>
        <v>134.31404524605341</v>
      </c>
      <c r="O64" s="152"/>
      <c r="Q64" s="201">
        <f>+SUM(START:END!Q64)</f>
        <v>1073.56</v>
      </c>
      <c r="R64" s="152"/>
      <c r="S64" s="242">
        <f t="shared" si="31"/>
        <v>95.160000000000082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308.46718610525329</v>
      </c>
      <c r="G65" s="240"/>
      <c r="I65" s="198">
        <f>+SUM(START:END!I65)</f>
        <v>0</v>
      </c>
      <c r="J65" s="152"/>
      <c r="L65" s="201">
        <f>+SUM(START:END!L65)</f>
        <v>339.02</v>
      </c>
      <c r="M65" s="152"/>
      <c r="N65" s="222">
        <f t="shared" si="30"/>
        <v>30.552813894746691</v>
      </c>
      <c r="O65" s="152"/>
      <c r="Q65" s="201">
        <f>+SUM(START:END!Q65)</f>
        <v>106.17000000000002</v>
      </c>
      <c r="R65" s="152"/>
      <c r="S65" s="242">
        <f t="shared" si="31"/>
        <v>232.84999999999997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603.51115550381337</v>
      </c>
      <c r="G66" s="240"/>
      <c r="I66" s="198">
        <f>+SUM(START:END!I66)</f>
        <v>0</v>
      </c>
      <c r="J66" s="152"/>
      <c r="L66" s="201">
        <f>+SUM(START:END!L66)</f>
        <v>1208.69</v>
      </c>
      <c r="M66" s="152"/>
      <c r="N66" s="222">
        <f t="shared" si="30"/>
        <v>605.17884449618668</v>
      </c>
      <c r="O66" s="152"/>
      <c r="Q66" s="201">
        <f>+SUM(START:END!Q66)</f>
        <v>776.91</v>
      </c>
      <c r="R66" s="152"/>
      <c r="S66" s="242">
        <f t="shared" si="31"/>
        <v>431.78000000000009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5804.1187499999987</v>
      </c>
      <c r="G67" s="240"/>
      <c r="I67" s="198">
        <f>+SUM(START:END!I67)</f>
        <v>0</v>
      </c>
      <c r="J67" s="152"/>
      <c r="L67" s="201">
        <f>+SUM(START:END!L67)</f>
        <v>1287.1099999999999</v>
      </c>
      <c r="M67" s="152"/>
      <c r="N67" s="222">
        <f t="shared" si="30"/>
        <v>-4517.0087499999991</v>
      </c>
      <c r="O67" s="152"/>
      <c r="Q67" s="201">
        <f>+SUM(START:END!Q67)</f>
        <v>4254.49</v>
      </c>
      <c r="R67" s="152"/>
      <c r="S67" s="242">
        <f t="shared" si="31"/>
        <v>-2967.38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12342.47393191274</v>
      </c>
      <c r="G68" s="240"/>
      <c r="I68" s="198">
        <f>+SUM(START:END!I68)</f>
        <v>0</v>
      </c>
      <c r="J68" s="152"/>
      <c r="L68" s="200">
        <f>+SUM(START:END!L68)</f>
        <v>14989.810000000001</v>
      </c>
      <c r="M68" s="152"/>
      <c r="N68" s="222">
        <f t="shared" si="30"/>
        <v>2647.3360680872611</v>
      </c>
      <c r="O68" s="152"/>
      <c r="Q68" s="201">
        <f>+SUM(START:END!Q68)</f>
        <v>15688.779999999999</v>
      </c>
      <c r="R68" s="152"/>
      <c r="S68" s="242">
        <f t="shared" si="31"/>
        <v>-698.96999999999753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0.1340552851268485</v>
      </c>
      <c r="F72" s="251">
        <f>+SUM(F55:F71)</f>
        <v>98881.984411181314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0.20787430565243864</v>
      </c>
      <c r="L72" s="251">
        <f>+SUM(L55:L71)</f>
        <v>106133.84999999999</v>
      </c>
      <c r="M72" s="254"/>
      <c r="N72" s="251">
        <f>+SUM(N55:N71)</f>
        <v>7251.8655888186859</v>
      </c>
      <c r="O72" s="252" t="s">
        <v>39</v>
      </c>
      <c r="P72" s="42">
        <f>Q72/Q$27</f>
        <v>0.2754897524288098</v>
      </c>
      <c r="Q72" s="251">
        <f>+SUM(Q55:Q71)</f>
        <v>104607.82</v>
      </c>
      <c r="R72" s="254"/>
      <c r="S72" s="255">
        <f>+SUM(S55:S71)</f>
        <v>1526.0299999999988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1.0115191366586302</v>
      </c>
      <c r="F74" s="251">
        <f>F41+F54+F72</f>
        <v>746117.68874346407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1.1642756178160452</v>
      </c>
      <c r="L74" s="251">
        <f>L41+L54+L72</f>
        <v>594441.21</v>
      </c>
      <c r="M74" s="254"/>
      <c r="N74" s="251">
        <f>N41+N54+N72</f>
        <v>-151676.47874346422</v>
      </c>
      <c r="O74" s="252" t="s">
        <v>39</v>
      </c>
      <c r="P74" s="42">
        <f>Q74/Q$27</f>
        <v>1.2271782559078455</v>
      </c>
      <c r="Q74" s="251">
        <f>Q41+Q54+Q72</f>
        <v>465979.00999999989</v>
      </c>
      <c r="R74" s="254"/>
      <c r="S74" s="260">
        <f>L74-Q74</f>
        <v>128462.20000000007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25000</v>
      </c>
      <c r="G75" s="240"/>
      <c r="I75" s="198">
        <f>+SUM(START:END!I75)</f>
        <v>0</v>
      </c>
      <c r="J75" s="152"/>
      <c r="L75" s="200">
        <f>+SUM(START:END!L75)</f>
        <v>56650</v>
      </c>
      <c r="M75" s="152"/>
      <c r="N75" s="222">
        <f t="shared" ref="N75:N82" si="33">L75-F75</f>
        <v>31650</v>
      </c>
      <c r="O75" s="152"/>
      <c r="Q75" s="200">
        <f>+SUM(START:END!Q75)</f>
        <v>32500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309091.51351248776</v>
      </c>
      <c r="G78" s="240"/>
      <c r="I78" s="198">
        <f>+SUM(START:END!I78)</f>
        <v>0</v>
      </c>
      <c r="J78" s="152"/>
      <c r="L78" s="201">
        <f>+SUM(START:END!L78)</f>
        <v>229545</v>
      </c>
      <c r="M78" s="152"/>
      <c r="N78" s="222">
        <f t="shared" si="33"/>
        <v>-79546.513512487756</v>
      </c>
      <c r="O78" s="152"/>
      <c r="Q78" s="200">
        <f>+SUM(START:END!Q78)</f>
        <v>175923.85</v>
      </c>
      <c r="R78" s="152"/>
      <c r="S78" s="242">
        <f t="shared" si="34"/>
        <v>53621.149999999994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101920.75</v>
      </c>
      <c r="G82" s="240"/>
      <c r="I82" s="198">
        <f>+SUM(START:END!I82)</f>
        <v>0</v>
      </c>
      <c r="J82" s="152"/>
      <c r="L82" s="200">
        <f>+SUM(START:END!L82)</f>
        <v>75714</v>
      </c>
      <c r="M82" s="152"/>
      <c r="N82" s="222">
        <f t="shared" si="33"/>
        <v>-26206.75</v>
      </c>
      <c r="O82" s="152"/>
      <c r="Q82" s="200">
        <f>+SUM(START:END!Q82)</f>
        <v>57657</v>
      </c>
      <c r="R82" s="152"/>
      <c r="S82" s="242">
        <f t="shared" si="34"/>
        <v>18057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436012.26351248776</v>
      </c>
      <c r="G83" s="252"/>
      <c r="H83" s="42"/>
      <c r="I83" s="251">
        <f>+SUM(I75:I82)</f>
        <v>0</v>
      </c>
      <c r="J83" s="252"/>
      <c r="K83" s="42"/>
      <c r="L83" s="251">
        <f>+SUM(L75:L82)</f>
        <v>361909</v>
      </c>
      <c r="M83" s="254"/>
      <c r="N83" s="251">
        <f>+SUM(N75:N82)</f>
        <v>-74103.263512487756</v>
      </c>
      <c r="O83" s="252"/>
      <c r="P83" s="42"/>
      <c r="Q83" s="251">
        <f>+SUM(Q75:Q82)</f>
        <v>266080.84999999998</v>
      </c>
      <c r="R83" s="254"/>
      <c r="S83" s="255">
        <f>+SUM(S75:S82)</f>
        <v>71678.149999999994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1"/>
      <c r="D84" s="262"/>
      <c r="E84" s="263"/>
      <c r="F84" s="264"/>
      <c r="G84" s="265"/>
      <c r="H84" s="263"/>
      <c r="I84" s="264"/>
      <c r="J84" s="266"/>
      <c r="K84" s="267"/>
      <c r="L84" s="264"/>
      <c r="M84" s="266"/>
      <c r="N84" s="268"/>
      <c r="O84" s="266"/>
      <c r="P84" s="267"/>
      <c r="Q84" s="264"/>
      <c r="R84" s="266"/>
      <c r="S84" s="269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0" t="s">
        <v>72</v>
      </c>
      <c r="D85" s="271"/>
      <c r="E85" s="272"/>
      <c r="F85" s="273">
        <f>F27-F74+F83</f>
        <v>427515.50718966802</v>
      </c>
      <c r="G85" s="274"/>
      <c r="H85" s="272"/>
      <c r="I85" s="273">
        <f>I27-I74+I83</f>
        <v>0</v>
      </c>
      <c r="J85" s="274"/>
      <c r="K85" s="271"/>
      <c r="L85" s="273">
        <f>L27-L74+L83</f>
        <v>278035.21999999968</v>
      </c>
      <c r="M85" s="274"/>
      <c r="N85" s="273">
        <f>N27-N74+N83</f>
        <v>-149480.28718966822</v>
      </c>
      <c r="O85" s="274"/>
      <c r="P85" s="271"/>
      <c r="Q85" s="273">
        <f>Q27-Q74+Q83</f>
        <v>179817.67000000004</v>
      </c>
      <c r="R85" s="274"/>
      <c r="S85" s="275">
        <f>S27-S41-S54-S72+S83</f>
        <v>72778.159999999581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476">
        <f>L85/F85</f>
        <v>0.65035119270340025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483" t="s">
        <v>5</v>
      </c>
      <c r="E91" s="484"/>
      <c r="F91" s="485"/>
      <c r="G91" s="481" t="s">
        <v>74</v>
      </c>
      <c r="H91" s="484"/>
      <c r="I91" s="485"/>
      <c r="J91" s="481" t="s">
        <v>7</v>
      </c>
      <c r="K91" s="484"/>
      <c r="L91" s="485"/>
      <c r="M91" s="481" t="s">
        <v>9</v>
      </c>
      <c r="N91" s="485"/>
      <c r="O91" s="483" t="s">
        <v>8</v>
      </c>
      <c r="P91" s="484"/>
      <c r="Q91" s="485"/>
      <c r="R91" s="481" t="s">
        <v>217</v>
      </c>
      <c r="S91" s="482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6" t="s">
        <v>10</v>
      </c>
      <c r="E92" s="175" t="s">
        <v>11</v>
      </c>
      <c r="F92" s="277" t="s">
        <v>12</v>
      </c>
      <c r="G92" s="278" t="s">
        <v>10</v>
      </c>
      <c r="H92" s="175" t="s">
        <v>11</v>
      </c>
      <c r="I92" s="277" t="s">
        <v>12</v>
      </c>
      <c r="J92" s="278" t="s">
        <v>10</v>
      </c>
      <c r="K92" s="175" t="s">
        <v>13</v>
      </c>
      <c r="L92" s="277" t="s">
        <v>12</v>
      </c>
      <c r="M92" s="278" t="s">
        <v>14</v>
      </c>
      <c r="N92" s="277" t="s">
        <v>12</v>
      </c>
      <c r="O92" s="175" t="s">
        <v>10</v>
      </c>
      <c r="P92" s="175" t="s">
        <v>13</v>
      </c>
      <c r="Q92" s="277" t="s">
        <v>12</v>
      </c>
      <c r="R92" s="278" t="s">
        <v>10</v>
      </c>
      <c r="S92" s="279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5554122.870552389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4629658.58</v>
      </c>
      <c r="M93" s="280"/>
      <c r="N93" s="281"/>
      <c r="O93" s="153"/>
      <c r="P93" s="194"/>
      <c r="Q93" s="193">
        <f>+SUM(START:END!Q93)</f>
        <v>3170589.9499999899</v>
      </c>
      <c r="R93" s="280"/>
      <c r="S93" s="282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80</v>
      </c>
      <c r="E94" s="198">
        <f>IF(D94=0,0,F94/D94)</f>
        <v>1400</v>
      </c>
      <c r="F94" s="249">
        <f>+SUM(START:END!F94)</f>
        <v>112000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64</v>
      </c>
      <c r="K94" s="198">
        <f>IF(J94=0,0,L94/J94)</f>
        <v>1467.5926562500008</v>
      </c>
      <c r="L94" s="198">
        <f>+SUM(START:END!L94)</f>
        <v>93925.930000000051</v>
      </c>
      <c r="M94" s="199">
        <f t="shared" ref="M94:M96" si="36">J94-D94</f>
        <v>-16</v>
      </c>
      <c r="N94" s="201">
        <f t="shared" ref="N94:N96" si="37">L94-F94</f>
        <v>-18074.069999999949</v>
      </c>
      <c r="O94" s="198">
        <f>+SUM(START:END!O94)</f>
        <v>84</v>
      </c>
      <c r="P94" s="198">
        <f>IF(O94=0,0,Q94/O94)</f>
        <v>1254.913214285712</v>
      </c>
      <c r="Q94" s="198">
        <f>+SUM(START:END!Q94)</f>
        <v>105412.7099999998</v>
      </c>
      <c r="R94" s="199">
        <f t="shared" ref="R94:R95" si="38">J94-O94</f>
        <v>-20</v>
      </c>
      <c r="S94" s="202">
        <f t="shared" ref="S94:S95" si="39">L94-Q94</f>
        <v>-11486.779999999751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10</v>
      </c>
      <c r="E95" s="198">
        <f t="shared" ref="E95:E105" si="40">IF(D95=0,0,F95/D95)</f>
        <v>1800</v>
      </c>
      <c r="F95" s="202">
        <f>+SUM(START:END!F95)</f>
        <v>18000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0</v>
      </c>
      <c r="K95" s="198">
        <f t="shared" ref="K95" si="42">IF(J95=0,0,L95/J95)</f>
        <v>0</v>
      </c>
      <c r="L95" s="198">
        <f>+SUM(START:END!L95)</f>
        <v>-556.42999999999995</v>
      </c>
      <c r="M95" s="199">
        <f t="shared" si="36"/>
        <v>-10</v>
      </c>
      <c r="N95" s="201">
        <f t="shared" si="37"/>
        <v>-18556.43</v>
      </c>
      <c r="O95" s="198">
        <f>+SUM(START:END!O95)</f>
        <v>5</v>
      </c>
      <c r="P95" s="198">
        <f t="shared" ref="P95" si="43">IF(O95=0,0,Q95/O95)</f>
        <v>-1216.643999999998</v>
      </c>
      <c r="Q95" s="198">
        <f>+SUM(START:END!Q95)</f>
        <v>-6083.2199999999903</v>
      </c>
      <c r="R95" s="199">
        <f t="shared" si="38"/>
        <v>-5</v>
      </c>
      <c r="S95" s="202">
        <f t="shared" si="39"/>
        <v>5526.78999999999</v>
      </c>
      <c r="V95" s="283"/>
      <c r="W95" s="283"/>
      <c r="X95" s="283"/>
      <c r="Y95" s="283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13</v>
      </c>
      <c r="E96" s="194">
        <f t="shared" ref="E96" si="45">IF(D96=0,0,F96/D96)</f>
        <v>1500</v>
      </c>
      <c r="F96" s="202">
        <f>+SUM(START:END!F96)</f>
        <v>19500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1</v>
      </c>
      <c r="K96" s="194">
        <f t="shared" ref="K96" si="47">IF(J96=0,0,L96/J96)</f>
        <v>4147.3000000000029</v>
      </c>
      <c r="L96" s="198">
        <f>+SUM(START:END!L96)</f>
        <v>4147.3000000000029</v>
      </c>
      <c r="M96" s="199">
        <f t="shared" si="36"/>
        <v>-12</v>
      </c>
      <c r="N96" s="201">
        <f t="shared" si="37"/>
        <v>-15352.699999999997</v>
      </c>
      <c r="O96" s="198">
        <f>+SUM(START:END!O96)</f>
        <v>7</v>
      </c>
      <c r="P96" s="198">
        <f t="shared" ref="P96" si="48">IF(O96=0,0,Q96/O96)</f>
        <v>2176.9999999999986</v>
      </c>
      <c r="Q96" s="198">
        <f>+SUM(START:END!Q96)</f>
        <v>15238.999999999991</v>
      </c>
      <c r="R96" s="199">
        <f t="shared" ref="R96" si="49">J96-O96</f>
        <v>-6</v>
      </c>
      <c r="S96" s="202">
        <f t="shared" ref="S96" si="50">L96-Q96</f>
        <v>-11091.699999999988</v>
      </c>
      <c r="V96" s="283"/>
      <c r="W96" s="283"/>
      <c r="X96" s="283"/>
      <c r="Y96" s="283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103</v>
      </c>
      <c r="E97" s="198">
        <f t="shared" si="40"/>
        <v>1451.4563106796118</v>
      </c>
      <c r="F97" s="205">
        <f>+F94+F95+F96</f>
        <v>149500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65</v>
      </c>
      <c r="K97" s="198">
        <f t="shared" ref="K97" si="52">IF(J97=0,0,L97/J97)</f>
        <v>1500.2584615384624</v>
      </c>
      <c r="L97" s="205">
        <f>+L94+L95+L96</f>
        <v>97516.800000000061</v>
      </c>
      <c r="M97" s="204">
        <f>+M95+M94+M96</f>
        <v>-38</v>
      </c>
      <c r="N97" s="205">
        <f>+N94+N95+N96</f>
        <v>-51983.199999999946</v>
      </c>
      <c r="O97" s="204">
        <f>+O95+O94+O96</f>
        <v>96</v>
      </c>
      <c r="P97" s="204">
        <f>IF(O97&lt;=0,0,Q97/O97)</f>
        <v>1193.4217708333313</v>
      </c>
      <c r="Q97" s="205">
        <f>+Q94+Q95+Q96</f>
        <v>114568.4899999998</v>
      </c>
      <c r="R97" s="206">
        <f>R94+R95+R96</f>
        <v>-31</v>
      </c>
      <c r="S97" s="207">
        <f>S94+S95+S96</f>
        <v>-17051.689999999748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-0.3477137123745816</v>
      </c>
      <c r="O98" s="152"/>
      <c r="Q98" s="208"/>
      <c r="R98" s="170">
        <f>R97/O97</f>
        <v>-0.32291666666666669</v>
      </c>
      <c r="S98" s="209">
        <f>IF(Q97=0,0,(S97/Q97))</f>
        <v>-0.14883402932167281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4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119</v>
      </c>
      <c r="E100" s="198">
        <f t="shared" ref="E100" si="58">IF(D100=0,0,F100/D100)</f>
        <v>400</v>
      </c>
      <c r="F100" s="198">
        <f>+SUM(START:END!F100)</f>
        <v>47600</v>
      </c>
      <c r="G100" s="284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137</v>
      </c>
      <c r="K100" s="198">
        <f t="shared" ref="K100" si="60">IF(J100=0,0,L100/J100)</f>
        <v>-80.515985401459872</v>
      </c>
      <c r="L100" s="201">
        <f>+SUM(START:END!L100)</f>
        <v>-11030.690000000002</v>
      </c>
      <c r="M100" s="199">
        <f t="shared" si="55"/>
        <v>18</v>
      </c>
      <c r="N100" s="201">
        <f t="shared" si="56"/>
        <v>-58630.69</v>
      </c>
      <c r="O100" s="199">
        <f>+SUM(START:END!O100)</f>
        <v>64</v>
      </c>
      <c r="P100" s="198">
        <f t="shared" ref="P100" si="61">IF(O100=0,0,Q100/O100)</f>
        <v>9.3240625000001671</v>
      </c>
      <c r="Q100" s="200">
        <f>+SUM(START:END!Q100)</f>
        <v>596.7400000000107</v>
      </c>
      <c r="R100" s="199">
        <f t="shared" ref="R100" si="62">J100-O100</f>
        <v>73</v>
      </c>
      <c r="S100" s="202">
        <f t="shared" ref="S100" si="63">L100-Q100</f>
        <v>-11627.430000000013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5"/>
      <c r="O101" s="216"/>
      <c r="P101" s="212"/>
      <c r="Q101" s="213"/>
      <c r="R101" s="214"/>
      <c r="S101" s="286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61800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8191.87</v>
      </c>
      <c r="M102" s="199">
        <f t="shared" ref="M102:M104" si="67">J102-G102</f>
        <v>0</v>
      </c>
      <c r="N102" s="201">
        <f t="shared" si="56"/>
        <v>-53608.13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29057.010000000002</v>
      </c>
      <c r="R102" s="199">
        <f t="shared" ref="R102:R104" si="69">J102-O102</f>
        <v>0</v>
      </c>
      <c r="S102" s="202">
        <f t="shared" ref="S102:S104" si="70">L102-Q102</f>
        <v>-20865.140000000003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128750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125622.32</v>
      </c>
      <c r="M103" s="199">
        <f t="shared" si="67"/>
        <v>0</v>
      </c>
      <c r="N103" s="201">
        <f t="shared" si="56"/>
        <v>-3127.679999999993</v>
      </c>
      <c r="O103" s="199">
        <f>+SUM(START:END!O103)</f>
        <v>0</v>
      </c>
      <c r="P103" s="198">
        <f t="shared" si="68"/>
        <v>0</v>
      </c>
      <c r="Q103" s="201">
        <f>+SUM(START:END!Q103)</f>
        <v>138631.75</v>
      </c>
      <c r="R103" s="199">
        <f t="shared" si="69"/>
        <v>0</v>
      </c>
      <c r="S103" s="202">
        <f t="shared" si="70"/>
        <v>-13009.429999999993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5150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1965.4</v>
      </c>
      <c r="M104" s="216">
        <f t="shared" si="67"/>
        <v>0</v>
      </c>
      <c r="N104" s="201">
        <f t="shared" si="56"/>
        <v>-3184.6</v>
      </c>
      <c r="O104" s="199">
        <f>+SUM(START:END!O104)</f>
        <v>0</v>
      </c>
      <c r="P104" s="212">
        <f t="shared" si="68"/>
        <v>0</v>
      </c>
      <c r="Q104" s="201">
        <f>+SUM(START:END!Q104)</f>
        <v>1705.6799999999998</v>
      </c>
      <c r="R104" s="199">
        <f t="shared" si="69"/>
        <v>0</v>
      </c>
      <c r="S104" s="202">
        <f t="shared" si="70"/>
        <v>259.72000000000025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103</v>
      </c>
      <c r="E105" s="198">
        <f t="shared" si="40"/>
        <v>1900</v>
      </c>
      <c r="F105" s="205">
        <f>F102+F103+F104</f>
        <v>195700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65</v>
      </c>
      <c r="K105" s="204">
        <f>IF(J105&lt;=0,0,L105/J105)</f>
        <v>2088.9167692307692</v>
      </c>
      <c r="L105" s="205">
        <f>L102+L103+L104</f>
        <v>135779.59</v>
      </c>
      <c r="M105" s="199">
        <f>M97</f>
        <v>-38</v>
      </c>
      <c r="N105" s="205">
        <f>N102+N103+N104</f>
        <v>-59920.409999999989</v>
      </c>
      <c r="O105" s="206">
        <f>O97</f>
        <v>96</v>
      </c>
      <c r="P105" s="204">
        <f>IF(O105&lt;=0,0,Q105/O105)</f>
        <v>1764.5254166666666</v>
      </c>
      <c r="Q105" s="205">
        <f>Q102+Q103+Q104</f>
        <v>169394.44</v>
      </c>
      <c r="R105" s="220"/>
      <c r="S105" s="207">
        <f t="shared" ref="S105" si="72">L105-Q105</f>
        <v>-33614.850000000006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-0.30618502810424114</v>
      </c>
      <c r="O106" s="152"/>
      <c r="Q106" s="222"/>
      <c r="R106" s="223"/>
      <c r="S106" s="209">
        <f>IF(Q105=0,0,(S105/Q105))</f>
        <v>-0.19844128296064503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222</v>
      </c>
      <c r="E108" s="230">
        <f>IF(D108&lt;=0,0,F108/D108)</f>
        <v>1769.3693693693695</v>
      </c>
      <c r="F108" s="228">
        <f>F97+F105+F100</f>
        <v>392800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202</v>
      </c>
      <c r="K108" s="230">
        <f>IF(J108&lt;=0,0,L108/J108)</f>
        <v>1100.3252475247527</v>
      </c>
      <c r="L108" s="228">
        <f>L97+L105+L100+L99</f>
        <v>222265.70000000007</v>
      </c>
      <c r="M108" s="229">
        <f>M97+M100+M99</f>
        <v>-20</v>
      </c>
      <c r="N108" s="228">
        <f>N97+N105+N100+N99</f>
        <v>-170534.29999999993</v>
      </c>
      <c r="O108" s="229">
        <f>O97+O100+O99</f>
        <v>160</v>
      </c>
      <c r="P108" s="230">
        <f>IF(O108&lt;=0,0,Q108/O108)</f>
        <v>1778.4979374999989</v>
      </c>
      <c r="Q108" s="228">
        <f>Q97+Q105+Q100+Q99</f>
        <v>284559.66999999981</v>
      </c>
      <c r="R108" s="229">
        <f>J108-O108</f>
        <v>42</v>
      </c>
      <c r="S108" s="231">
        <f>L108-Q108</f>
        <v>-62293.969999999739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-9.0090090090090086E-2</v>
      </c>
      <c r="N109" s="166">
        <f>N108/F108</f>
        <v>-0.43415045824847232</v>
      </c>
      <c r="O109" s="235"/>
      <c r="P109" s="233"/>
      <c r="Q109" s="234"/>
      <c r="R109" s="236">
        <f>O108/R108</f>
        <v>3.8095238095238093</v>
      </c>
      <c r="S109" s="287">
        <f>IF(Q108=0,0,(S108/Q108))</f>
        <v>-0.2189135586219923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496.38866354382014</v>
      </c>
      <c r="F112" s="198">
        <f>+SUM(START:END!F112)</f>
        <v>51128.032345013475</v>
      </c>
      <c r="G112" s="288" t="e">
        <f>I112/I97</f>
        <v>#DIV/0!</v>
      </c>
      <c r="H112" s="26" t="e">
        <f>I112/G$97</f>
        <v>#DIV/0!</v>
      </c>
      <c r="I112" s="198">
        <f>+SUM(START:END!I112)</f>
        <v>0</v>
      </c>
      <c r="J112" s="288">
        <f>L112/L97</f>
        <v>0.31722605745881716</v>
      </c>
      <c r="K112" s="26">
        <f>IF($J$97=0,0,L112/(J$94+J$95))</f>
        <v>483.35734374999998</v>
      </c>
      <c r="L112" s="201">
        <f>+SUM(START:END!L112)</f>
        <v>30934.87</v>
      </c>
      <c r="M112" s="152"/>
      <c r="N112" s="222">
        <f t="shared" ref="N112:N118" si="73">L112-F112</f>
        <v>-20193.162345013476</v>
      </c>
      <c r="O112" s="152"/>
      <c r="P112" s="26">
        <f>IF($J$97=0,0,Q112/(O$94+O$95))</f>
        <v>730.73640449438199</v>
      </c>
      <c r="Q112" s="201">
        <f>+SUM(START:END!Q112)</f>
        <v>65035.539999999994</v>
      </c>
      <c r="R112" s="152"/>
      <c r="S112" s="242">
        <f t="shared" ref="S112:S122" si="74">L112-Q112</f>
        <v>-34100.67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570</v>
      </c>
      <c r="F113" s="193">
        <f>+SUM(START:END!F113)</f>
        <v>58710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674.06359374999988</v>
      </c>
      <c r="L113" s="201">
        <f>+SUM(START:END!L113)</f>
        <v>43140.069999999992</v>
      </c>
      <c r="M113" s="153"/>
      <c r="N113" s="247">
        <f t="shared" si="73"/>
        <v>-15569.930000000008</v>
      </c>
      <c r="O113" s="153"/>
      <c r="P113" s="10">
        <f>IF($J$97=0,0,Q113/(O$94+O$95))</f>
        <v>552.91471910112352</v>
      </c>
      <c r="Q113" s="201">
        <f>+SUM(START:END!Q113)</f>
        <v>49209.409999999996</v>
      </c>
      <c r="R113" s="153"/>
      <c r="S113" s="248">
        <f t="shared" ref="S113" si="75">L113-Q113</f>
        <v>-6069.3400000000038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8</v>
      </c>
      <c r="F114" s="198">
        <f>+SUM(START:END!F114)</f>
        <v>824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15.07046875</v>
      </c>
      <c r="L114" s="257">
        <f>+SUM(START:END!L114)</f>
        <v>964.51</v>
      </c>
      <c r="M114" s="152"/>
      <c r="N114" s="222">
        <f t="shared" si="73"/>
        <v>140.51</v>
      </c>
      <c r="O114" s="152"/>
      <c r="P114" s="26">
        <f>IF($J$97=0,0,Q114/(O$94+O$95))</f>
        <v>-20.664606741573031</v>
      </c>
      <c r="Q114" s="257">
        <f>+SUM(START:END!Q114)</f>
        <v>-1839.1499999999999</v>
      </c>
      <c r="R114" s="152"/>
      <c r="S114" s="242">
        <f t="shared" si="74"/>
        <v>2803.66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45</v>
      </c>
      <c r="F115" s="198">
        <f>+SUM(START:END!F115)</f>
        <v>4635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23.372812500000002</v>
      </c>
      <c r="L115" s="201">
        <f>+SUM(START:END!L115)</f>
        <v>1495.8600000000001</v>
      </c>
      <c r="M115" s="152"/>
      <c r="N115" s="222">
        <f t="shared" si="73"/>
        <v>-3139.14</v>
      </c>
      <c r="O115" s="152"/>
      <c r="P115" s="26">
        <f t="shared" ref="P115:P121" si="79">IF($J$97=0,0,Q115/(O$94+O$95))</f>
        <v>40.131797752808986</v>
      </c>
      <c r="Q115" s="201">
        <f>+SUM(START:END!Q115)</f>
        <v>3571.73</v>
      </c>
      <c r="R115" s="152"/>
      <c r="S115" s="242">
        <f t="shared" ref="S115:S118" si="80">L115-Q115</f>
        <v>-2075.87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160</v>
      </c>
      <c r="F116" s="193">
        <f>+SUM(START:END!F116)</f>
        <v>16480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217.84359375</v>
      </c>
      <c r="L116" s="213">
        <f>+SUM(START:END!L116)</f>
        <v>13941.99</v>
      </c>
      <c r="M116" s="153"/>
      <c r="N116" s="247">
        <f t="shared" si="73"/>
        <v>-2538.0100000000002</v>
      </c>
      <c r="O116" s="153"/>
      <c r="P116" s="10">
        <f t="shared" si="79"/>
        <v>164.85651685393259</v>
      </c>
      <c r="Q116" s="213">
        <f>+SUM(START:END!Q116)</f>
        <v>14672.230000000001</v>
      </c>
      <c r="R116" s="153"/>
      <c r="S116" s="248">
        <f t="shared" si="80"/>
        <v>-730.2400000000016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345.10679611650488</v>
      </c>
      <c r="F117" s="198">
        <f>+SUM(START:END!F117)</f>
        <v>35546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612.90406250000001</v>
      </c>
      <c r="L117" s="201">
        <f>+SUM(START:END!L117)</f>
        <v>39225.86</v>
      </c>
      <c r="M117" s="152"/>
      <c r="N117" s="222">
        <f t="shared" si="73"/>
        <v>3679.8600000000006</v>
      </c>
      <c r="O117" s="152"/>
      <c r="P117" s="26">
        <f t="shared" si="79"/>
        <v>425.85831460674154</v>
      </c>
      <c r="Q117" s="201">
        <f>+SUM(START:END!Q117)</f>
        <v>37901.39</v>
      </c>
      <c r="R117" s="152"/>
      <c r="S117" s="242">
        <f t="shared" si="80"/>
        <v>1324.4700000000012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204.09253465402099</v>
      </c>
      <c r="F118" s="198">
        <f>+SUM(START:END!F118)</f>
        <v>21021.531069364162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34.192656249999999</v>
      </c>
      <c r="L118" s="201">
        <f>+SUM(START:END!L118)</f>
        <v>2188.33</v>
      </c>
      <c r="M118" s="152"/>
      <c r="N118" s="222">
        <f t="shared" si="73"/>
        <v>-18833.201069364164</v>
      </c>
      <c r="O118" s="152"/>
      <c r="P118" s="26">
        <f t="shared" si="79"/>
        <v>90.163707865168533</v>
      </c>
      <c r="Q118" s="201">
        <f>+SUM(START:END!Q118)</f>
        <v>8024.57</v>
      </c>
      <c r="R118" s="152"/>
      <c r="S118" s="242">
        <f t="shared" si="80"/>
        <v>-5836.24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0.47949226938487177</v>
      </c>
      <c r="F122" s="251">
        <f>SUM(F112:F121)</f>
        <v>188344.56341437763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0.59339560714946094</v>
      </c>
      <c r="L122" s="251">
        <f>SUM(L112:L121)</f>
        <v>131891.49</v>
      </c>
      <c r="M122" s="254"/>
      <c r="N122" s="251">
        <f>SUM(N112:N121)</f>
        <v>-56453.07341437765</v>
      </c>
      <c r="O122" s="252" t="s">
        <v>39</v>
      </c>
      <c r="P122" s="42">
        <f>Q122/Q$108</f>
        <v>0.62052264820239666</v>
      </c>
      <c r="Q122" s="251">
        <f>SUM(Q112:Q121)</f>
        <v>176575.71999999997</v>
      </c>
      <c r="R122" s="254"/>
      <c r="S122" s="255">
        <f t="shared" si="74"/>
        <v>-44684.229999999981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28865.225000000002</v>
      </c>
      <c r="G123" s="152"/>
      <c r="I123" s="198">
        <f>+SUM(START:END!I123)</f>
        <v>0</v>
      </c>
      <c r="J123" s="152"/>
      <c r="L123" s="201">
        <f>+SUM(START:END!L123)</f>
        <v>33066.729999999996</v>
      </c>
      <c r="M123" s="152"/>
      <c r="N123" s="222">
        <f t="shared" ref="N123:N133" si="83">L123-F123</f>
        <v>4201.5049999999937</v>
      </c>
      <c r="O123" s="152"/>
      <c r="Q123" s="201">
        <f>+SUM(START:END!Q123)</f>
        <v>32587.78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27552.639999999996</v>
      </c>
      <c r="G124" s="240"/>
      <c r="I124" s="193">
        <f>+SUM(START:END!I124)</f>
        <v>0</v>
      </c>
      <c r="J124" s="152"/>
      <c r="L124" s="193">
        <f>+SUM(START:END!L124)</f>
        <v>7791.8899999999994</v>
      </c>
      <c r="M124" s="152"/>
      <c r="N124" s="222">
        <f t="shared" si="83"/>
        <v>-19760.749999999996</v>
      </c>
      <c r="O124" s="152"/>
      <c r="Q124" s="193">
        <f>+SUM(START:END!Q124)</f>
        <v>5795.83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10870.9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14177.949999999999</v>
      </c>
      <c r="M125" s="154"/>
      <c r="N125" s="258">
        <f t="shared" si="83"/>
        <v>3307.0499999999993</v>
      </c>
      <c r="O125" s="154"/>
      <c r="P125" s="53"/>
      <c r="Q125" s="201">
        <f>+SUM(START:END!Q125)</f>
        <v>19965.169999999998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23129.003327500002</v>
      </c>
      <c r="G130" s="240"/>
      <c r="I130" s="198">
        <f>+SUM(START:END!I130)</f>
        <v>0</v>
      </c>
      <c r="J130" s="152"/>
      <c r="L130" s="201">
        <f>+SUM(START:END!L130)</f>
        <v>21900.43</v>
      </c>
      <c r="M130" s="152"/>
      <c r="N130" s="222">
        <f t="shared" si="83"/>
        <v>-1228.5733275000021</v>
      </c>
      <c r="O130" s="152"/>
      <c r="Q130" s="201">
        <f>+SUM(START:END!Q130)</f>
        <v>15435.619999999999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28121.60757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25772.35</v>
      </c>
      <c r="M131" s="154"/>
      <c r="N131" s="258">
        <f t="shared" si="83"/>
        <v>-2349.2575700000016</v>
      </c>
      <c r="O131" s="154"/>
      <c r="P131" s="53"/>
      <c r="Q131" s="219">
        <f>+SUM(START:END!Q131)</f>
        <v>21910.639999999999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14488.741291499997</v>
      </c>
      <c r="G132" s="240"/>
      <c r="I132" s="198">
        <f>+SUM(START:END!I132)</f>
        <v>0</v>
      </c>
      <c r="J132" s="152"/>
      <c r="L132" s="201">
        <f>+SUM(START:END!L132)</f>
        <v>11720.010000000002</v>
      </c>
      <c r="M132" s="152"/>
      <c r="N132" s="222">
        <f t="shared" si="83"/>
        <v>-2768.7312914999948</v>
      </c>
      <c r="O132" s="152"/>
      <c r="Q132" s="201">
        <f>+SUM(START:END!Q132)</f>
        <v>3777.4100000000003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6317.1727150000006</v>
      </c>
      <c r="G133" s="240"/>
      <c r="I133" s="198">
        <f>+SUM(START:END!I133)</f>
        <v>0</v>
      </c>
      <c r="J133" s="152"/>
      <c r="L133" s="201">
        <f>+SUM(START:END!L133)</f>
        <v>4044.81</v>
      </c>
      <c r="M133" s="152"/>
      <c r="N133" s="222">
        <f t="shared" si="83"/>
        <v>-2272.3627150000007</v>
      </c>
      <c r="O133" s="152"/>
      <c r="Q133" s="201">
        <f>+SUM(START:END!Q133)</f>
        <v>3349.99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0.35474870138492864</v>
      </c>
      <c r="F135" s="251">
        <f>+SUM(F123:F134)</f>
        <v>139345.28990399998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0.53302947778267173</v>
      </c>
      <c r="L135" s="251">
        <f>SUM(L123:L134)</f>
        <v>118474.17000000001</v>
      </c>
      <c r="M135" s="289"/>
      <c r="N135" s="251">
        <f>SUM(N123:N134)</f>
        <v>-20871.119904000003</v>
      </c>
      <c r="O135" s="252" t="s">
        <v>39</v>
      </c>
      <c r="P135" s="42">
        <f>Q135/Q$108</f>
        <v>0.36133876596075637</v>
      </c>
      <c r="Q135" s="251">
        <f>SUM(Q123:Q134)</f>
        <v>102822.44</v>
      </c>
      <c r="R135" s="289"/>
      <c r="S135" s="260">
        <f t="shared" ref="S135:S153" si="85">L135-Q135</f>
        <v>15651.73000000001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3852.459866666667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5004.07</v>
      </c>
      <c r="M138" s="153"/>
      <c r="N138" s="247">
        <f t="shared" si="86"/>
        <v>1151.6101333333327</v>
      </c>
      <c r="O138" s="153"/>
      <c r="P138" s="7"/>
      <c r="Q138" s="193">
        <f>+SUM(START:END!Q138)</f>
        <v>7633.0599999999995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11273.056868079997</v>
      </c>
      <c r="G139" s="240"/>
      <c r="I139" s="198">
        <f>+SUM(START:END!I139)</f>
        <v>0</v>
      </c>
      <c r="J139" s="152"/>
      <c r="L139" s="201">
        <f>+SUM(START:END!L139)</f>
        <v>13447.21</v>
      </c>
      <c r="M139" s="152"/>
      <c r="N139" s="222">
        <f t="shared" si="86"/>
        <v>2174.1531319200021</v>
      </c>
      <c r="O139" s="152"/>
      <c r="Q139" s="201">
        <f>+SUM(START:END!Q139)</f>
        <v>10592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1667.0107313221488</v>
      </c>
      <c r="G140" s="240"/>
      <c r="I140" s="198">
        <f>+SUM(START:END!I140)</f>
        <v>0</v>
      </c>
      <c r="J140" s="152"/>
      <c r="L140" s="201">
        <f>+SUM(START:END!L140)</f>
        <v>2264.62</v>
      </c>
      <c r="M140" s="152"/>
      <c r="N140" s="222">
        <f t="shared" si="86"/>
        <v>597.60926867785111</v>
      </c>
      <c r="O140" s="152"/>
      <c r="Q140" s="201">
        <f>+SUM(START:END!Q140)</f>
        <v>1736.2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4196.548392160973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7371.34</v>
      </c>
      <c r="M141" s="153"/>
      <c r="N141" s="247">
        <f t="shared" si="86"/>
        <v>3174.7916078390272</v>
      </c>
      <c r="O141" s="153"/>
      <c r="P141" s="7"/>
      <c r="Q141" s="193">
        <f>+SUM(START:END!Q141)</f>
        <v>6629.74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251.65659999999997</v>
      </c>
      <c r="G142" s="240"/>
      <c r="I142" s="198">
        <f>+SUM(START:END!I142)</f>
        <v>0</v>
      </c>
      <c r="J142" s="152"/>
      <c r="L142" s="201">
        <f>+SUM(START:END!L142)</f>
        <v>0</v>
      </c>
      <c r="M142" s="152"/>
      <c r="N142" s="222">
        <f t="shared" si="86"/>
        <v>-251.65659999999997</v>
      </c>
      <c r="O142" s="152"/>
      <c r="Q142" s="201">
        <f>+SUM(START:END!Q142)</f>
        <v>21.93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85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-85</v>
      </c>
      <c r="O143" s="152"/>
      <c r="Q143" s="201">
        <f>+SUM(START:END!Q143)</f>
        <v>434.88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970.85819212775982</v>
      </c>
      <c r="G144" s="240"/>
      <c r="I144" s="198">
        <f>+SUM(START:END!I144)</f>
        <v>0</v>
      </c>
      <c r="J144" s="152"/>
      <c r="L144" s="200">
        <f>+SUM(START:END!L144)</f>
        <v>860.77</v>
      </c>
      <c r="M144" s="152"/>
      <c r="N144" s="222">
        <f t="shared" si="86"/>
        <v>-110.08819212775984</v>
      </c>
      <c r="O144" s="152"/>
      <c r="Q144" s="200">
        <f>+SUM(START:END!Q144)</f>
        <v>1048.0900000000001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188.29366453272999</v>
      </c>
      <c r="G145" s="240"/>
      <c r="I145" s="198">
        <f>+SUM(START:END!I145)</f>
        <v>0</v>
      </c>
      <c r="J145" s="152"/>
      <c r="L145" s="201">
        <f>+SUM(START:END!L145)</f>
        <v>269.19</v>
      </c>
      <c r="M145" s="152"/>
      <c r="N145" s="222">
        <f t="shared" si="86"/>
        <v>80.896335467270006</v>
      </c>
      <c r="O145" s="152"/>
      <c r="Q145" s="201">
        <f>+SUM(START:END!Q145)</f>
        <v>278.5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144.65053241446998</v>
      </c>
      <c r="G146" s="240"/>
      <c r="I146" s="198">
        <f>+SUM(START:END!I146)</f>
        <v>0</v>
      </c>
      <c r="J146" s="152"/>
      <c r="L146" s="201">
        <f>+SUM(START:END!L146)</f>
        <v>152.38999999999999</v>
      </c>
      <c r="M146" s="152"/>
      <c r="N146" s="222">
        <f t="shared" si="86"/>
        <v>7.7394675855300079</v>
      </c>
      <c r="O146" s="152"/>
      <c r="Q146" s="201">
        <f>+SUM(START:END!Q146)</f>
        <v>39.81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322.05485231393004</v>
      </c>
      <c r="G147" s="240"/>
      <c r="I147" s="198">
        <f>+SUM(START:END!I147)</f>
        <v>0</v>
      </c>
      <c r="J147" s="152"/>
      <c r="L147" s="201">
        <f>+SUM(START:END!L147)</f>
        <v>453.25</v>
      </c>
      <c r="M147" s="152"/>
      <c r="N147" s="222">
        <f t="shared" si="86"/>
        <v>131.19514768606996</v>
      </c>
      <c r="O147" s="152"/>
      <c r="Q147" s="201">
        <f>+SUM(START:END!Q147)</f>
        <v>291.32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655.39311509095455</v>
      </c>
      <c r="G148" s="240"/>
      <c r="I148" s="198">
        <f>+SUM(START:END!I148)</f>
        <v>0</v>
      </c>
      <c r="J148" s="152"/>
      <c r="L148" s="201">
        <f>+SUM(START:END!L148)</f>
        <v>482.66999999999996</v>
      </c>
      <c r="M148" s="152"/>
      <c r="N148" s="222">
        <f t="shared" si="86"/>
        <v>-172.72311509095459</v>
      </c>
      <c r="O148" s="152"/>
      <c r="Q148" s="201">
        <f>+SUM(START:END!Q148)</f>
        <v>804.08999999999992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2809.9527255598414</v>
      </c>
      <c r="G149" s="240"/>
      <c r="I149" s="198">
        <f>+SUM(START:END!I149)</f>
        <v>0</v>
      </c>
      <c r="J149" s="152"/>
      <c r="L149" s="201">
        <f>+SUM(START:END!L149)</f>
        <v>3331.07</v>
      </c>
      <c r="M149" s="152"/>
      <c r="N149" s="222">
        <f t="shared" si="86"/>
        <v>521.11727444015878</v>
      </c>
      <c r="O149" s="152"/>
      <c r="Q149" s="201">
        <f>+SUM(START:END!Q149)</f>
        <v>3560.3999999999996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6.7252890886633068E-2</v>
      </c>
      <c r="F153" s="251">
        <f>+SUM(F136:F152)</f>
        <v>26416.935540269471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0.1513350013069942</v>
      </c>
      <c r="L153" s="251">
        <f>+SUM(L136:L152)</f>
        <v>33636.579999999994</v>
      </c>
      <c r="M153" s="254"/>
      <c r="N153" s="251">
        <f>+SUM(N136:N152)</f>
        <v>7219.6444597305272</v>
      </c>
      <c r="O153" s="252" t="s">
        <v>39</v>
      </c>
      <c r="P153" s="42">
        <f>Q153/Q$108</f>
        <v>0.11621471166311104</v>
      </c>
      <c r="Q153" s="251">
        <f>+SUM(Q136:Q152)</f>
        <v>33070.020000000004</v>
      </c>
      <c r="R153" s="254"/>
      <c r="S153" s="255">
        <f t="shared" si="85"/>
        <v>566.5599999999904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0.90149386165643353</v>
      </c>
      <c r="F155" s="251">
        <f>F122+F135+F153</f>
        <v>354106.78885864711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1.277760086239127</v>
      </c>
      <c r="L155" s="251">
        <f>L122+L135+L153</f>
        <v>284002.24</v>
      </c>
      <c r="M155" s="254"/>
      <c r="N155" s="251">
        <f>N122+N135+N153</f>
        <v>-70104.548858647133</v>
      </c>
      <c r="O155" s="252" t="s">
        <v>39</v>
      </c>
      <c r="P155" s="42">
        <f>Q155/Q$108</f>
        <v>1.0980761258262641</v>
      </c>
      <c r="Q155" s="251">
        <f>Q122+Q135+Q153</f>
        <v>312468.18</v>
      </c>
      <c r="R155" s="254"/>
      <c r="S155" s="260">
        <f>L155-Q155</f>
        <v>-28465.940000000002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0"/>
      <c r="H156" s="72"/>
      <c r="I156" s="198">
        <f>+SUM(START:END!I156)</f>
        <v>0</v>
      </c>
      <c r="J156" s="290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0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0"/>
      <c r="H157" s="72"/>
      <c r="I157" s="198">
        <f>+SUM(START:END!I157)</f>
        <v>0</v>
      </c>
      <c r="J157" s="290"/>
      <c r="K157" s="72"/>
      <c r="L157" s="201">
        <f>+SUM(START:END!L157)</f>
        <v>0</v>
      </c>
      <c r="M157" s="152"/>
      <c r="N157" s="222">
        <f t="shared" si="88"/>
        <v>0</v>
      </c>
      <c r="O157" s="290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39042.149999999994</v>
      </c>
      <c r="G159" s="240"/>
      <c r="I159" s="198">
        <f>+SUM(START:END!I159)</f>
        <v>0</v>
      </c>
      <c r="J159" s="152"/>
      <c r="L159" s="200">
        <f>+SUM(START:END!L159)</f>
        <v>30402</v>
      </c>
      <c r="M159" s="152"/>
      <c r="N159" s="222">
        <f t="shared" si="88"/>
        <v>-8640.1499999999942</v>
      </c>
      <c r="O159" s="152"/>
      <c r="Q159" s="201">
        <f>+SUM(START:END!Q159)</f>
        <v>44124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39042.149999999994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30402</v>
      </c>
      <c r="M163" s="254"/>
      <c r="N163" s="251">
        <f>+SUM(N156:N162)</f>
        <v>-8640.1499999999942</v>
      </c>
      <c r="O163" s="252"/>
      <c r="P163" s="42"/>
      <c r="Q163" s="251">
        <f>+SUM(Q156:Q162)</f>
        <v>44124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0" t="s">
        <v>72</v>
      </c>
      <c r="D165" s="291"/>
      <c r="E165" s="271"/>
      <c r="F165" s="273">
        <f>F108-F155+F163</f>
        <v>77735.361141352885</v>
      </c>
      <c r="G165" s="292"/>
      <c r="H165" s="271"/>
      <c r="I165" s="273">
        <f>I108-I155+I163</f>
        <v>0</v>
      </c>
      <c r="J165" s="293"/>
      <c r="K165" s="272"/>
      <c r="L165" s="273">
        <f>L108-L155+L163</f>
        <v>-31334.539999999921</v>
      </c>
      <c r="M165" s="293"/>
      <c r="N165" s="273">
        <f>N108-N155+N163</f>
        <v>-109069.90114135279</v>
      </c>
      <c r="O165" s="293"/>
      <c r="P165" s="272"/>
      <c r="Q165" s="273">
        <f>Q108-Q155+Q163</f>
        <v>16215.489999999816</v>
      </c>
      <c r="R165" s="293"/>
      <c r="S165" s="275">
        <f>L165-Q165</f>
        <v>-47550.029999999737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39"/>
      <c r="D170" s="486" t="s">
        <v>5</v>
      </c>
      <c r="E170" s="486"/>
      <c r="F170" s="487"/>
      <c r="G170" s="483" t="s">
        <v>74</v>
      </c>
      <c r="H170" s="484"/>
      <c r="I170" s="485"/>
      <c r="J170" s="481" t="s">
        <v>7</v>
      </c>
      <c r="K170" s="484"/>
      <c r="L170" s="485"/>
      <c r="M170" s="481" t="s">
        <v>9</v>
      </c>
      <c r="N170" s="485"/>
      <c r="O170" s="483" t="s">
        <v>8</v>
      </c>
      <c r="P170" s="484"/>
      <c r="Q170" s="485"/>
      <c r="R170" s="481" t="s">
        <v>217</v>
      </c>
      <c r="S170" s="482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0"/>
      <c r="D171" s="175" t="s">
        <v>40</v>
      </c>
      <c r="E171" s="175" t="s">
        <v>84</v>
      </c>
      <c r="F171" s="441" t="s">
        <v>12</v>
      </c>
      <c r="G171" s="276" t="s">
        <v>40</v>
      </c>
      <c r="H171" s="276" t="s">
        <v>84</v>
      </c>
      <c r="I171" s="295" t="s">
        <v>12</v>
      </c>
      <c r="J171" s="175" t="s">
        <v>40</v>
      </c>
      <c r="K171" s="175" t="s">
        <v>84</v>
      </c>
      <c r="L171" s="277" t="s">
        <v>12</v>
      </c>
      <c r="M171" s="278" t="s">
        <v>40</v>
      </c>
      <c r="N171" s="277" t="s">
        <v>12</v>
      </c>
      <c r="O171" s="175" t="s">
        <v>40</v>
      </c>
      <c r="P171" s="175" t="s">
        <v>84</v>
      </c>
      <c r="Q171" s="277" t="s">
        <v>12</v>
      </c>
      <c r="R171" s="278" t="s">
        <v>85</v>
      </c>
      <c r="S171" s="279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0" t="s">
        <v>86</v>
      </c>
      <c r="D172" s="174">
        <f>+SUM(START:END!D172)</f>
        <v>2068.62</v>
      </c>
      <c r="E172" s="26">
        <f>+SUM(START:END!E172)</f>
        <v>703330.8</v>
      </c>
      <c r="F172" s="442">
        <f>+SUM(START:END!F172)</f>
        <v>548598.02399999998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1960</v>
      </c>
      <c r="K172" s="26">
        <f>+SUM(START:END!K172)</f>
        <v>605828.09000000008</v>
      </c>
      <c r="L172" s="26">
        <f>+SUM(START:END!L172)</f>
        <v>478406.74</v>
      </c>
      <c r="M172" s="296">
        <f>(K172-E172)/E172</f>
        <v>-0.13862994482823723</v>
      </c>
      <c r="N172" s="222">
        <f t="shared" ref="N172" si="92">L172-F172</f>
        <v>-70191.283999999985</v>
      </c>
      <c r="O172" s="174">
        <f>+SUM(START:END!O172)</f>
        <v>1857</v>
      </c>
      <c r="P172" s="26">
        <f>+SUM(START:END!P172)</f>
        <v>619731.36999999895</v>
      </c>
      <c r="Q172" s="26">
        <f>+SUM(START:END!Q172)</f>
        <v>501781.39999999804</v>
      </c>
      <c r="R172" s="296">
        <f>IF(O172=0,0,J172/O172)</f>
        <v>1.0554658050619279</v>
      </c>
      <c r="S172" s="242">
        <f>L172-Q172</f>
        <v>-23374.659999998054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0" t="s">
        <v>87</v>
      </c>
      <c r="E173" s="31"/>
      <c r="F173" s="443">
        <f>F172/E172</f>
        <v>0.77999999999999992</v>
      </c>
      <c r="H173" s="31"/>
      <c r="I173" s="157" t="e">
        <f>I172/H172</f>
        <v>#DIV/0!</v>
      </c>
      <c r="K173" s="31"/>
      <c r="L173" s="157">
        <f>L172/K172</f>
        <v>0.78967408064555067</v>
      </c>
      <c r="M173" s="296"/>
      <c r="N173" s="222"/>
      <c r="P173" s="31"/>
      <c r="Q173" s="157">
        <f>Q172/P172</f>
        <v>0.80967565027408395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4"/>
      <c r="D174" s="7"/>
      <c r="E174" s="35">
        <f t="shared" ref="E174" si="93">IFERROR(E172/D172,0)</f>
        <v>340.00000000000006</v>
      </c>
      <c r="F174" s="445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309.09596428571433</v>
      </c>
      <c r="L174" s="155"/>
      <c r="M174" s="297"/>
      <c r="N174" s="247"/>
      <c r="O174" s="7"/>
      <c r="P174" s="35">
        <f t="shared" ref="P174" si="96">IFERROR(P172/O172,0)</f>
        <v>333.72717824447977</v>
      </c>
      <c r="Q174" s="155"/>
      <c r="R174" s="298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6" t="s">
        <v>88</v>
      </c>
      <c r="D175" s="57">
        <f>+SUM(START:END!D175)</f>
        <v>343.87</v>
      </c>
      <c r="E175" s="26">
        <f>+SUM(START:END!E175)</f>
        <v>92844.9</v>
      </c>
      <c r="F175" s="442">
        <f>+SUM(START:END!F175)</f>
        <v>59420.735999999997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461</v>
      </c>
      <c r="K175" s="26">
        <f>+SUM(START:END!K175)</f>
        <v>154966.28</v>
      </c>
      <c r="L175" s="26">
        <f>+SUM(START:END!L175)</f>
        <v>102537.78</v>
      </c>
      <c r="M175" s="296">
        <f>(K175-E175)/E175</f>
        <v>0.66908769356205899</v>
      </c>
      <c r="N175" s="258">
        <f t="shared" ref="N175" si="97">L175-F175</f>
        <v>43117.044000000002</v>
      </c>
      <c r="O175" s="57">
        <f>+SUM(START:END!O175)</f>
        <v>514</v>
      </c>
      <c r="P175" s="26">
        <f>+SUM(START:END!P175)</f>
        <v>131906.48000000001</v>
      </c>
      <c r="Q175" s="26">
        <f>+SUM(START:END!Q175)</f>
        <v>88430.049999999901</v>
      </c>
      <c r="R175" s="296">
        <f>IF(O175=0,0,J175/O175)</f>
        <v>0.89688715953307396</v>
      </c>
      <c r="S175" s="242">
        <f>L175-Q175</f>
        <v>14107.730000000098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0" t="s">
        <v>87</v>
      </c>
      <c r="F176" s="443">
        <f>F175/E175</f>
        <v>0.64</v>
      </c>
      <c r="I176" s="157" t="e">
        <f>I175/H175</f>
        <v>#DIV/0!</v>
      </c>
      <c r="L176" s="157">
        <f>L175/K175</f>
        <v>0.66167801150030836</v>
      </c>
      <c r="M176" s="170"/>
      <c r="N176" s="171"/>
      <c r="Q176" s="157">
        <f>Q175/P175</f>
        <v>0.6703995891634732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4"/>
      <c r="D177" s="300"/>
      <c r="E177" s="7"/>
      <c r="F177" s="445"/>
      <c r="G177" s="7"/>
      <c r="H177" s="7"/>
      <c r="I177" s="155"/>
      <c r="J177" s="7"/>
      <c r="K177" s="7"/>
      <c r="L177" s="155"/>
      <c r="M177" s="301"/>
      <c r="N177" s="302"/>
      <c r="O177" s="7"/>
      <c r="P177" s="7"/>
      <c r="Q177" s="155"/>
      <c r="R177" s="301"/>
      <c r="S177" s="303"/>
    </row>
    <row r="178" spans="1:25" ht="15.75" customHeight="1">
      <c r="A178" s="23" t="str">
        <f t="shared" si="91"/>
        <v>ServiceM/O Interne</v>
      </c>
      <c r="B178" s="184" t="s">
        <v>83</v>
      </c>
      <c r="C178" s="440" t="s">
        <v>89</v>
      </c>
      <c r="D178" s="174">
        <f>+SUM(START:END!D178)</f>
        <v>816.21</v>
      </c>
      <c r="E178" s="26">
        <f>+SUM(START:END!E178)</f>
        <v>250592.7942</v>
      </c>
      <c r="F178" s="442">
        <f>+SUM(START:END!F178)</f>
        <v>185438.66770799999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732</v>
      </c>
      <c r="K178" s="26">
        <f>+SUM(START:END!K178)</f>
        <v>223338.96000000002</v>
      </c>
      <c r="L178" s="26">
        <f>+SUM(START:END!L178)</f>
        <v>174668.52000000002</v>
      </c>
      <c r="M178" s="296">
        <f>(K178-E178)/E178</f>
        <v>-0.10875745364908015</v>
      </c>
      <c r="N178" s="222">
        <f t="shared" ref="N178" si="98">L178-F178</f>
        <v>-10770.147707999975</v>
      </c>
      <c r="O178" s="23">
        <f>+SUM(START:END!O178)</f>
        <v>733</v>
      </c>
      <c r="P178" s="26">
        <f>+SUM(START:END!P178)</f>
        <v>221258.08000000002</v>
      </c>
      <c r="Q178" s="26">
        <f>+SUM(START:END!Q178)</f>
        <v>171447.42</v>
      </c>
      <c r="R178" s="296">
        <f>IF(O178=0,0,J178/O178)</f>
        <v>0.99863574351978168</v>
      </c>
      <c r="S178" s="242">
        <f>L178-Q178</f>
        <v>3221.1000000000058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0" t="s">
        <v>87</v>
      </c>
      <c r="E179" s="31"/>
      <c r="F179" s="443">
        <f>F178/E178</f>
        <v>0.74</v>
      </c>
      <c r="H179" s="31"/>
      <c r="I179" s="157" t="e">
        <f>I178/H178</f>
        <v>#DIV/0!</v>
      </c>
      <c r="K179" s="31"/>
      <c r="L179" s="157">
        <f>L178/K178</f>
        <v>0.78207814704608636</v>
      </c>
      <c r="M179" s="296"/>
      <c r="N179" s="222">
        <f>L179-F179</f>
        <v>4.2078147046086367E-2</v>
      </c>
      <c r="P179" s="31"/>
      <c r="Q179" s="157">
        <f>Q178/P178</f>
        <v>0.77487529494968044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0"/>
      <c r="E180" s="304"/>
      <c r="F180" s="447"/>
      <c r="H180" s="304"/>
      <c r="I180" s="306"/>
      <c r="K180" s="304"/>
      <c r="L180" s="306"/>
      <c r="M180" s="296"/>
      <c r="N180" s="222"/>
      <c r="P180" s="304"/>
      <c r="Q180" s="306"/>
      <c r="R180" s="307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6" t="s">
        <v>90</v>
      </c>
      <c r="D181" s="308">
        <f>+SUM(START:END!D181)</f>
        <v>158.256</v>
      </c>
      <c r="E181" s="26">
        <f>+SUM(START:END!E181)</f>
        <v>42729.119999999995</v>
      </c>
      <c r="F181" s="442">
        <f>+SUM(START:END!F181)</f>
        <v>32046.84</v>
      </c>
      <c r="G181" s="308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36120.31</v>
      </c>
      <c r="L181" s="26">
        <f>+SUM(START:END!L181)</f>
        <v>28772.829999999998</v>
      </c>
      <c r="M181" s="310">
        <f>IF(H181=0,0,(K181-H181)/H181)</f>
        <v>0</v>
      </c>
      <c r="N181" s="258">
        <f t="shared" ref="N181" si="99">L181-F181</f>
        <v>-3274.010000000002</v>
      </c>
      <c r="O181" s="53">
        <f>+SUM(START:END!O181)</f>
        <v>0</v>
      </c>
      <c r="P181" s="26">
        <f>+SUM(START:END!P181)</f>
        <v>39284.79</v>
      </c>
      <c r="Q181" s="26">
        <f>+SUM(START:END!Q181)</f>
        <v>29200.5799999999</v>
      </c>
      <c r="R181" s="296">
        <f>IF(O181=0,0,J181/O181)</f>
        <v>0</v>
      </c>
      <c r="S181" s="259">
        <f>L181-Q181</f>
        <v>-427.74999999990177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0" t="s">
        <v>87</v>
      </c>
      <c r="D182" s="73"/>
      <c r="E182" s="311"/>
      <c r="F182" s="443">
        <f>IFERROR(F181/E181,0)</f>
        <v>0.75000000000000011</v>
      </c>
      <c r="G182" s="73"/>
      <c r="H182" s="311"/>
      <c r="I182" s="157">
        <f>IFERROR(I181/H181,0)</f>
        <v>0</v>
      </c>
      <c r="J182" s="73"/>
      <c r="K182" s="311"/>
      <c r="L182" s="157">
        <f>IFERROR(L181/K181,0)</f>
        <v>0.79658314117459128</v>
      </c>
      <c r="M182" s="223">
        <f>J182-G182</f>
        <v>0</v>
      </c>
      <c r="N182" s="312"/>
      <c r="O182" s="73"/>
      <c r="P182" s="311"/>
      <c r="Q182" s="157">
        <f>IFERROR(Q181/P181,0)</f>
        <v>0.74330497884804525</v>
      </c>
      <c r="R182" s="152"/>
      <c r="S182" s="313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4"/>
      <c r="D183" s="314"/>
      <c r="E183" s="315"/>
      <c r="F183" s="445"/>
      <c r="G183" s="314"/>
      <c r="H183" s="315"/>
      <c r="I183" s="155"/>
      <c r="J183" s="314"/>
      <c r="K183" s="315"/>
      <c r="L183" s="155"/>
      <c r="M183" s="298"/>
      <c r="N183" s="316"/>
      <c r="O183" s="314"/>
      <c r="P183" s="315"/>
      <c r="Q183" s="155"/>
      <c r="R183" s="153"/>
      <c r="S183" s="317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0" t="s">
        <v>91</v>
      </c>
      <c r="F184" s="442">
        <f>+SUM(START:END!F184)</f>
        <v>-12540.323671070721</v>
      </c>
      <c r="I184" s="222">
        <f>+SUM(START:END!I184)</f>
        <v>0</v>
      </c>
      <c r="L184" s="222">
        <f>+SUM(START:END!L184)</f>
        <v>-8061.26</v>
      </c>
      <c r="M184" s="318"/>
      <c r="N184" s="222">
        <f t="shared" ref="N184" si="100">L184-F184</f>
        <v>4479.0636710707204</v>
      </c>
      <c r="Q184" s="222">
        <f>+SUM(START:END!Q184)</f>
        <v>-7353.7000000000007</v>
      </c>
      <c r="R184" s="319"/>
      <c r="S184" s="242">
        <f t="shared" ref="S184:S185" si="101">L184-Q184</f>
        <v>-707.55999999999949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8" t="s">
        <v>92</v>
      </c>
      <c r="D185" s="320"/>
      <c r="E185" s="320">
        <f t="shared" ref="E185" si="102">E172+E175+E178+E181+E184</f>
        <v>1089497.6142000002</v>
      </c>
      <c r="F185" s="449">
        <f>F172+F175+F178+F181+F184</f>
        <v>812963.94403692917</v>
      </c>
      <c r="G185" s="320"/>
      <c r="H185" s="320">
        <f t="shared" ref="H185:I185" si="103">H172+H175+H178+H181+H184</f>
        <v>0</v>
      </c>
      <c r="I185" s="321">
        <f t="shared" si="103"/>
        <v>0</v>
      </c>
      <c r="J185" s="320"/>
      <c r="K185" s="320">
        <f t="shared" ref="K185:L185" si="104">K172+K175+K178+K181+K184</f>
        <v>1020253.6400000001</v>
      </c>
      <c r="L185" s="321">
        <f t="shared" si="104"/>
        <v>776324.61</v>
      </c>
      <c r="M185" s="322">
        <f>(K185-E185)/E185</f>
        <v>-6.3555875017537095E-2</v>
      </c>
      <c r="N185" s="321">
        <f t="shared" ref="N185" si="105">N172+N175+N178+N181+N184</f>
        <v>-36639.334036929242</v>
      </c>
      <c r="O185" s="320"/>
      <c r="P185" s="320">
        <f t="shared" ref="P185:Q185" si="106">P172+P175+P178+P181+P184</f>
        <v>1012180.719999999</v>
      </c>
      <c r="Q185" s="321">
        <f t="shared" si="106"/>
        <v>783505.7499999979</v>
      </c>
      <c r="R185" s="170">
        <f>IF(O185=0,0,J185/O185)</f>
        <v>0</v>
      </c>
      <c r="S185" s="323">
        <f t="shared" si="101"/>
        <v>-7181.1399999979185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0" t="s">
        <v>93</v>
      </c>
      <c r="D186" s="324"/>
      <c r="E186" s="324"/>
      <c r="F186" s="451">
        <f>F185/E185</f>
        <v>0.74618239952170518</v>
      </c>
      <c r="G186" s="324"/>
      <c r="H186" s="324"/>
      <c r="I186" s="326" t="e">
        <f>I185/H185</f>
        <v>#DIV/0!</v>
      </c>
      <c r="J186" s="324"/>
      <c r="K186" s="324"/>
      <c r="L186" s="326">
        <f>L185/K185</f>
        <v>0.76091334503839647</v>
      </c>
      <c r="M186" s="325"/>
      <c r="N186" s="326"/>
      <c r="O186" s="324"/>
      <c r="P186" s="324"/>
      <c r="Q186" s="326">
        <f>Q185/P185</f>
        <v>0.77407693558912938</v>
      </c>
      <c r="R186" s="325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2"/>
      <c r="D187" s="83"/>
      <c r="E187" s="327"/>
      <c r="F187" s="453"/>
      <c r="G187" s="83"/>
      <c r="H187" s="327"/>
      <c r="I187" s="329"/>
      <c r="J187" s="83"/>
      <c r="K187" s="327"/>
      <c r="L187" s="329"/>
      <c r="M187" s="328"/>
      <c r="N187" s="329"/>
      <c r="O187" s="83"/>
      <c r="P187" s="327"/>
      <c r="Q187" s="329"/>
      <c r="R187" s="328"/>
      <c r="S187" s="330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0" t="s">
        <v>94</v>
      </c>
      <c r="D188" s="26"/>
      <c r="E188" s="26">
        <f>+SUM(START:END!E188)</f>
        <v>57279.96</v>
      </c>
      <c r="F188" s="442">
        <f>+SUM(START:END!F188)</f>
        <v>10081.27296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38076.769999999997</v>
      </c>
      <c r="L188" s="26">
        <f>+SUM(START:END!L188)</f>
        <v>9539.44</v>
      </c>
      <c r="M188" s="241">
        <f>IF(H188=0,0,(K188-H188)/H188)</f>
        <v>0</v>
      </c>
      <c r="N188" s="222">
        <f t="shared" ref="N188" si="107">L188-F188</f>
        <v>-541.83295999999973</v>
      </c>
      <c r="O188" s="26"/>
      <c r="P188" s="26">
        <f>+SUM(START:END!P188)</f>
        <v>40955.870000000003</v>
      </c>
      <c r="Q188" s="26">
        <f>+SUM(START:END!Q188)</f>
        <v>8266.76</v>
      </c>
      <c r="R188" s="296">
        <f>IF(O188=0,0,J188/O188)</f>
        <v>0</v>
      </c>
      <c r="S188" s="242">
        <f>L188-Q188</f>
        <v>1272.6800000000003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0" t="s">
        <v>87</v>
      </c>
      <c r="E189" s="31"/>
      <c r="F189" s="443">
        <f>IFERROR(F188/E188,0)</f>
        <v>0.17600000000000002</v>
      </c>
      <c r="H189" s="31"/>
      <c r="I189" s="157">
        <f>IFERROR(I188/H188,0)</f>
        <v>0</v>
      </c>
      <c r="K189" s="31"/>
      <c r="L189" s="157">
        <f>IFERROR(L188/K188,0)</f>
        <v>0.25053175466301375</v>
      </c>
      <c r="M189" s="318"/>
      <c r="N189" s="312"/>
      <c r="P189" s="31"/>
      <c r="Q189" s="157">
        <f>IFERROR(Q188/P188,0)</f>
        <v>0.201845547414815</v>
      </c>
      <c r="R189" s="318"/>
      <c r="S189" s="313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0"/>
      <c r="E190" s="31"/>
      <c r="F190" s="443"/>
      <c r="H190" s="31"/>
      <c r="I190" s="157"/>
      <c r="K190" s="31"/>
      <c r="L190" s="157"/>
      <c r="M190" s="318"/>
      <c r="N190" s="312"/>
      <c r="P190" s="31"/>
      <c r="Q190" s="157"/>
      <c r="R190" s="318"/>
      <c r="S190" s="313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0" t="s">
        <v>95</v>
      </c>
      <c r="E191" s="26">
        <f>+SUM(START:END!E191)</f>
        <v>32760</v>
      </c>
      <c r="F191" s="442">
        <f>+SUM(START:END!F191)</f>
        <v>22932</v>
      </c>
      <c r="H191" s="26">
        <f>+SUM(START:END!H191)</f>
        <v>0</v>
      </c>
      <c r="I191" s="222">
        <f>+SUM(START:END!I191)</f>
        <v>0</v>
      </c>
      <c r="K191" s="26">
        <f>+SUM(START:END!K191)</f>
        <v>35380</v>
      </c>
      <c r="L191" s="26">
        <f>+SUM(START:END!L191)</f>
        <v>28265.3</v>
      </c>
      <c r="M191" s="318"/>
      <c r="N191" s="222">
        <f t="shared" ref="N191" si="108">L191-F191</f>
        <v>5333.2999999999993</v>
      </c>
      <c r="P191" s="26">
        <f>+SUM(START:END!P191)</f>
        <v>24339.8</v>
      </c>
      <c r="Q191" s="26">
        <f>+SUM(START:END!Q191)</f>
        <v>16952.729999999989</v>
      </c>
      <c r="R191" s="318"/>
      <c r="S191" s="313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0" t="s">
        <v>87</v>
      </c>
      <c r="E192" s="31"/>
      <c r="F192" s="443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0.79890616167326167</v>
      </c>
      <c r="M192" s="318"/>
      <c r="N192" s="312"/>
      <c r="P192" s="31"/>
      <c r="Q192" s="157">
        <f>IF(Q191=0,0,Q191/P191)</f>
        <v>0.69650243633883557</v>
      </c>
      <c r="R192" s="318"/>
      <c r="S192" s="313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4"/>
      <c r="D193" s="93"/>
      <c r="E193" s="331"/>
      <c r="F193" s="455"/>
      <c r="G193" s="93"/>
      <c r="H193" s="331"/>
      <c r="I193" s="333"/>
      <c r="J193" s="93"/>
      <c r="K193" s="331"/>
      <c r="L193" s="333"/>
      <c r="M193" s="332"/>
      <c r="N193" s="333"/>
      <c r="O193" s="93"/>
      <c r="P193" s="331"/>
      <c r="Q193" s="333"/>
      <c r="R193" s="332"/>
      <c r="S193" s="334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6" t="s">
        <v>96</v>
      </c>
      <c r="D194" s="226"/>
      <c r="E194" s="226">
        <f t="shared" ref="E194:F194" si="109">E185+E188+E191</f>
        <v>1179537.5742000001</v>
      </c>
      <c r="F194" s="457">
        <f t="shared" si="109"/>
        <v>845977.21699692914</v>
      </c>
      <c r="G194" s="226"/>
      <c r="H194" s="226">
        <f t="shared" ref="H194:I194" si="110">H185+H188+H191</f>
        <v>0</v>
      </c>
      <c r="I194" s="228">
        <f t="shared" si="110"/>
        <v>0</v>
      </c>
      <c r="J194" s="226"/>
      <c r="K194" s="226">
        <f t="shared" ref="K194:N194" si="111">K185+K188+K191</f>
        <v>1093710.4100000001</v>
      </c>
      <c r="L194" s="228">
        <f t="shared" si="111"/>
        <v>814129.35</v>
      </c>
      <c r="M194" s="335">
        <f>L195-F195</f>
        <v>2.7162868042507005E-2</v>
      </c>
      <c r="N194" s="228">
        <f t="shared" si="111"/>
        <v>-31847.866996929242</v>
      </c>
      <c r="O194" s="226"/>
      <c r="P194" s="226">
        <f t="shared" ref="P194:Q194" si="112">P185+P188+P191</f>
        <v>1077476.3899999992</v>
      </c>
      <c r="Q194" s="228">
        <f t="shared" si="112"/>
        <v>808725.2399999979</v>
      </c>
      <c r="R194" s="335">
        <f>L195-Q195</f>
        <v>-6.1997356624868827E-3</v>
      </c>
      <c r="S194" s="231">
        <f>L194-Q194</f>
        <v>5404.1100000020815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8"/>
      <c r="D195" s="233"/>
      <c r="E195" s="233"/>
      <c r="F195" s="459">
        <f>F194/E194</f>
        <v>0.71721091002183446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0.74437377806434146</v>
      </c>
      <c r="M195" s="236"/>
      <c r="N195" s="166">
        <f>N194/F194</f>
        <v>-3.7646246680239907E-2</v>
      </c>
      <c r="O195" s="233"/>
      <c r="P195" s="233"/>
      <c r="Q195" s="166">
        <f>Q194/P194</f>
        <v>0.75057351372682835</v>
      </c>
      <c r="R195" s="236"/>
      <c r="S195" s="237">
        <f>L194/S194</f>
        <v>150.65003303035772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0"/>
      <c r="D196" s="73"/>
      <c r="E196" s="73"/>
      <c r="F196" s="461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2" t="s">
        <v>30</v>
      </c>
      <c r="F197" s="442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0" t="s">
        <v>41</v>
      </c>
      <c r="F198" s="463">
        <f>+SUM(START:END!F198)</f>
        <v>49999.206250000003</v>
      </c>
      <c r="G198" s="437"/>
      <c r="H198" s="337"/>
      <c r="I198" s="339">
        <f>+SUM(START:END!I198)</f>
        <v>0</v>
      </c>
      <c r="J198" s="337"/>
      <c r="K198" s="337"/>
      <c r="L198" s="337">
        <f>+SUM(START:END!L198)</f>
        <v>41636.119999999995</v>
      </c>
      <c r="M198" s="338"/>
      <c r="N198" s="339">
        <f t="shared" ref="N198:N208" si="113">L198-F198</f>
        <v>-8363.0862500000076</v>
      </c>
      <c r="O198" s="337"/>
      <c r="P198" s="337"/>
      <c r="Q198" s="337">
        <f>+SUM(START:END!Q198)</f>
        <v>45289.66</v>
      </c>
      <c r="R198" s="338"/>
      <c r="S198" s="340">
        <f>L198-Q198</f>
        <v>-3653.5400000000081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4" t="s">
        <v>42</v>
      </c>
      <c r="D199" s="30"/>
      <c r="F199" s="464">
        <f>+SUM(START:END!F199)</f>
        <v>27134.095600000001</v>
      </c>
      <c r="G199" s="438"/>
      <c r="H199" s="337"/>
      <c r="I199" s="341">
        <f>+SUM(START:END!I199)</f>
        <v>0</v>
      </c>
      <c r="J199" s="342"/>
      <c r="K199" s="337"/>
      <c r="L199" s="341">
        <f>+SUM(START:END!L199)</f>
        <v>30780.92</v>
      </c>
      <c r="M199" s="338"/>
      <c r="N199" s="339">
        <f t="shared" si="113"/>
        <v>3646.8243999999977</v>
      </c>
      <c r="O199" s="342"/>
      <c r="P199" s="337"/>
      <c r="Q199" s="341">
        <f>+SUM(START:END!Q199)</f>
        <v>24381.999999999996</v>
      </c>
      <c r="R199" s="338"/>
      <c r="S199" s="340">
        <f t="shared" ref="S199:S208" si="114">L199-Q199</f>
        <v>6398.9200000000019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0" t="s">
        <v>43</v>
      </c>
      <c r="D200" s="52"/>
      <c r="E200" s="53"/>
      <c r="F200" s="463">
        <f>+SUM(START:END!F200)</f>
        <v>50920.274999999994</v>
      </c>
      <c r="G200" s="344"/>
      <c r="H200" s="343"/>
      <c r="I200" s="339">
        <f>+SUM(START:END!I200)</f>
        <v>0</v>
      </c>
      <c r="J200" s="344"/>
      <c r="K200" s="343"/>
      <c r="L200" s="337">
        <f>+SUM(START:END!L200)</f>
        <v>70777.62</v>
      </c>
      <c r="M200" s="345"/>
      <c r="N200" s="346">
        <f t="shared" si="113"/>
        <v>19857.345000000001</v>
      </c>
      <c r="O200" s="344"/>
      <c r="P200" s="343"/>
      <c r="Q200" s="337">
        <f>+SUM(START:END!Q200)</f>
        <v>68064.12</v>
      </c>
      <c r="R200" s="345"/>
      <c r="S200" s="347">
        <f t="shared" si="114"/>
        <v>2713.5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0" t="s">
        <v>44</v>
      </c>
      <c r="D201" s="30"/>
      <c r="F201" s="463">
        <f>+SUM(START:END!F201)</f>
        <v>109571.48983999999</v>
      </c>
      <c r="G201" s="438"/>
      <c r="H201" s="337"/>
      <c r="I201" s="339">
        <f>+SUM(START:END!I201)</f>
        <v>0</v>
      </c>
      <c r="J201" s="342"/>
      <c r="K201" s="337"/>
      <c r="L201" s="337">
        <f>+SUM(START:END!L201)</f>
        <v>77740.290000000008</v>
      </c>
      <c r="M201" s="338"/>
      <c r="N201" s="339">
        <f t="shared" si="113"/>
        <v>-31831.199839999987</v>
      </c>
      <c r="O201" s="342"/>
      <c r="P201" s="337"/>
      <c r="Q201" s="337">
        <f>+SUM(START:END!Q201)</f>
        <v>89259.56</v>
      </c>
      <c r="R201" s="338"/>
      <c r="S201" s="340">
        <f t="shared" si="114"/>
        <v>-11519.26999999999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0" t="s">
        <v>20</v>
      </c>
      <c r="D202" s="30"/>
      <c r="F202" s="463">
        <f>+SUM(START:END!F202)</f>
        <v>0</v>
      </c>
      <c r="G202" s="438"/>
      <c r="H202" s="337"/>
      <c r="I202" s="339">
        <f>+SUM(START:END!I202)</f>
        <v>0</v>
      </c>
      <c r="J202" s="342"/>
      <c r="K202" s="337"/>
      <c r="L202" s="337">
        <f>+SUM(START:END!L202)</f>
        <v>0</v>
      </c>
      <c r="M202" s="338"/>
      <c r="N202" s="339">
        <f t="shared" si="113"/>
        <v>0</v>
      </c>
      <c r="O202" s="342"/>
      <c r="P202" s="337"/>
      <c r="Q202" s="337">
        <f>+SUM(START:END!Q202)</f>
        <v>0</v>
      </c>
      <c r="R202" s="338"/>
      <c r="S202" s="340">
        <f t="shared" si="114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0" t="s">
        <v>20</v>
      </c>
      <c r="D203" s="30"/>
      <c r="F203" s="463">
        <f>+SUM(START:END!F203)</f>
        <v>0</v>
      </c>
      <c r="G203" s="438"/>
      <c r="H203" s="337"/>
      <c r="I203" s="339">
        <f>+SUM(START:END!I203)</f>
        <v>0</v>
      </c>
      <c r="J203" s="342"/>
      <c r="K203" s="337"/>
      <c r="L203" s="337">
        <f>+SUM(START:END!L203)</f>
        <v>0</v>
      </c>
      <c r="M203" s="338"/>
      <c r="N203" s="339">
        <f t="shared" si="113"/>
        <v>0</v>
      </c>
      <c r="O203" s="342"/>
      <c r="P203" s="337"/>
      <c r="Q203" s="337">
        <f>+SUM(START:END!Q203)</f>
        <v>0</v>
      </c>
      <c r="R203" s="338"/>
      <c r="S203" s="340">
        <f t="shared" si="114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0" t="s">
        <v>20</v>
      </c>
      <c r="D204" s="30"/>
      <c r="F204" s="463">
        <f>+SUM(START:END!F204)</f>
        <v>0</v>
      </c>
      <c r="G204" s="438"/>
      <c r="H204" s="337"/>
      <c r="I204" s="339">
        <f>+SUM(START:END!I204)</f>
        <v>0</v>
      </c>
      <c r="J204" s="342"/>
      <c r="K204" s="337"/>
      <c r="L204" s="337">
        <f>+SUM(START:END!L204)</f>
        <v>0</v>
      </c>
      <c r="M204" s="338"/>
      <c r="N204" s="339">
        <f t="shared" si="113"/>
        <v>0</v>
      </c>
      <c r="O204" s="342"/>
      <c r="P204" s="337"/>
      <c r="Q204" s="337">
        <f>+SUM(START:END!Q204)</f>
        <v>0</v>
      </c>
      <c r="R204" s="338"/>
      <c r="S204" s="340">
        <f t="shared" si="114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4" t="s">
        <v>45</v>
      </c>
      <c r="D205" s="30"/>
      <c r="F205" s="463">
        <f>+SUM(START:END!F205)</f>
        <v>59545.276507823553</v>
      </c>
      <c r="G205" s="438"/>
      <c r="H205" s="337"/>
      <c r="I205" s="339">
        <f>+SUM(START:END!I205)</f>
        <v>0</v>
      </c>
      <c r="J205" s="342"/>
      <c r="K205" s="337"/>
      <c r="L205" s="337">
        <f>+SUM(START:END!L205)</f>
        <v>55032.640000000007</v>
      </c>
      <c r="M205" s="338"/>
      <c r="N205" s="339">
        <f t="shared" si="113"/>
        <v>-4512.6365078235467</v>
      </c>
      <c r="O205" s="342"/>
      <c r="P205" s="337"/>
      <c r="Q205" s="337">
        <f>+SUM(START:END!Q205)</f>
        <v>47992.079999999994</v>
      </c>
      <c r="R205" s="338"/>
      <c r="S205" s="340">
        <f t="shared" si="114"/>
        <v>7040.5600000000122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0" t="s">
        <v>46</v>
      </c>
      <c r="D206" s="52"/>
      <c r="E206" s="53"/>
      <c r="F206" s="465">
        <f>+SUM(START:END!F206)</f>
        <v>72398.662185723791</v>
      </c>
      <c r="G206" s="344"/>
      <c r="H206" s="343"/>
      <c r="I206" s="346">
        <f>+SUM(START:END!I206)</f>
        <v>0</v>
      </c>
      <c r="J206" s="344"/>
      <c r="K206" s="343"/>
      <c r="L206" s="346">
        <f>+SUM(START:END!L206)</f>
        <v>71526.58</v>
      </c>
      <c r="M206" s="345"/>
      <c r="N206" s="346">
        <f t="shared" si="113"/>
        <v>-872.08218572378973</v>
      </c>
      <c r="O206" s="344"/>
      <c r="P206" s="343"/>
      <c r="Q206" s="346">
        <f>+SUM(START:END!Q206)</f>
        <v>64359.81</v>
      </c>
      <c r="R206" s="345"/>
      <c r="S206" s="347">
        <f t="shared" si="114"/>
        <v>7166.7700000000041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0" t="s">
        <v>47</v>
      </c>
      <c r="D207" s="30"/>
      <c r="F207" s="463">
        <f>+SUM(START:END!F207)</f>
        <v>37301.049865253335</v>
      </c>
      <c r="G207" s="438"/>
      <c r="H207" s="337"/>
      <c r="I207" s="339">
        <f>+SUM(START:END!I207)</f>
        <v>0</v>
      </c>
      <c r="J207" s="342"/>
      <c r="K207" s="337"/>
      <c r="L207" s="337">
        <f>+SUM(START:END!L207)</f>
        <v>35875.850000000006</v>
      </c>
      <c r="M207" s="338"/>
      <c r="N207" s="339">
        <f t="shared" si="113"/>
        <v>-1425.1998652533293</v>
      </c>
      <c r="O207" s="342"/>
      <c r="P207" s="337"/>
      <c r="Q207" s="337">
        <f>+SUM(START:END!Q207)</f>
        <v>28267.649999999987</v>
      </c>
      <c r="R207" s="338"/>
      <c r="S207" s="340">
        <f t="shared" si="114"/>
        <v>7608.2000000000189</v>
      </c>
    </row>
    <row r="208" spans="1:20" ht="15.75" customHeight="1">
      <c r="A208" s="23" t="str">
        <f t="shared" si="91"/>
        <v>ServiceCsst</v>
      </c>
      <c r="B208" s="184" t="s">
        <v>83</v>
      </c>
      <c r="C208" s="440" t="s">
        <v>48</v>
      </c>
      <c r="D208" s="30"/>
      <c r="F208" s="463">
        <f>+SUM(START:END!F208)</f>
        <v>16263.467592445195</v>
      </c>
      <c r="G208" s="438"/>
      <c r="H208" s="337"/>
      <c r="I208" s="339">
        <f>+SUM(START:END!I208)</f>
        <v>0</v>
      </c>
      <c r="J208" s="342"/>
      <c r="K208" s="337"/>
      <c r="L208" s="337">
        <f>+SUM(START:END!L208)</f>
        <v>12802.27</v>
      </c>
      <c r="M208" s="338"/>
      <c r="N208" s="339">
        <f t="shared" si="113"/>
        <v>-3461.1975924451945</v>
      </c>
      <c r="O208" s="342"/>
      <c r="P208" s="337"/>
      <c r="Q208" s="337">
        <f>+SUM(START:END!Q208)</f>
        <v>12213.86</v>
      </c>
      <c r="R208" s="338"/>
      <c r="S208" s="340">
        <f t="shared" si="114"/>
        <v>588.40999999999985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0" t="s">
        <v>20</v>
      </c>
      <c r="D209" s="34"/>
      <c r="E209" s="7"/>
      <c r="F209" s="463">
        <f>+SUM(START:END!F209)</f>
        <v>0</v>
      </c>
      <c r="G209" s="349"/>
      <c r="H209" s="348"/>
      <c r="I209" s="339">
        <f>+SUM(START:END!I209)</f>
        <v>0</v>
      </c>
      <c r="J209" s="349"/>
      <c r="K209" s="348"/>
      <c r="L209" s="337">
        <f>+SUM(START:END!L209)</f>
        <v>0</v>
      </c>
      <c r="M209" s="350"/>
      <c r="N209" s="351"/>
      <c r="O209" s="349"/>
      <c r="P209" s="348"/>
      <c r="Q209" s="337">
        <f>+SUM(START:END!Q209)</f>
        <v>0</v>
      </c>
      <c r="R209" s="350"/>
      <c r="S209" s="352">
        <f t="shared" ref="S209" si="115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6" t="s">
        <v>49</v>
      </c>
      <c r="D210" s="250" t="s">
        <v>97</v>
      </c>
      <c r="E210" s="42">
        <f>F210/F$194</f>
        <v>0.50017129816249151</v>
      </c>
      <c r="F210" s="467">
        <f>+SUM(F198:F209)</f>
        <v>423133.52284124587</v>
      </c>
      <c r="G210" s="355" t="s">
        <v>97</v>
      </c>
      <c r="H210" s="353" t="e">
        <f>I210/I$194</f>
        <v>#DIV/0!</v>
      </c>
      <c r="I210" s="354">
        <f>+SUM(I198:I209)</f>
        <v>0</v>
      </c>
      <c r="J210" s="355" t="s">
        <v>97</v>
      </c>
      <c r="K210" s="353">
        <f>L210/L$194</f>
        <v>0.48662081768701748</v>
      </c>
      <c r="L210" s="354">
        <f>+SUM(L198:L209)</f>
        <v>396172.29000000004</v>
      </c>
      <c r="M210" s="356"/>
      <c r="N210" s="354">
        <f>+SUM(N198:N209)</f>
        <v>-26961.232841245856</v>
      </c>
      <c r="O210" s="355" t="s">
        <v>97</v>
      </c>
      <c r="P210" s="353">
        <f>Q210/Q$194</f>
        <v>0.46966351637547621</v>
      </c>
      <c r="Q210" s="354">
        <f>+SUM(Q198:Q209)</f>
        <v>379828.73999999993</v>
      </c>
      <c r="R210" s="356"/>
      <c r="S210" s="357">
        <f t="shared" ref="S210:S229" si="116">L210-Q210</f>
        <v>16343.550000000105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0" t="s">
        <v>50</v>
      </c>
      <c r="D211" s="30"/>
      <c r="F211" s="463">
        <f>+SUM(START:END!F211)</f>
        <v>39517.592446293304</v>
      </c>
      <c r="G211" s="438"/>
      <c r="H211" s="337"/>
      <c r="I211" s="339">
        <f>+SUM(START:END!I211)</f>
        <v>0</v>
      </c>
      <c r="J211" s="342"/>
      <c r="K211" s="337"/>
      <c r="L211" s="337">
        <f>+SUM(START:END!L211)</f>
        <v>32802.93</v>
      </c>
      <c r="M211" s="338"/>
      <c r="N211" s="339">
        <f t="shared" ref="N211:N225" si="117">L211-F211</f>
        <v>-6714.6624462933032</v>
      </c>
      <c r="O211" s="342"/>
      <c r="P211" s="337"/>
      <c r="Q211" s="337">
        <f>+SUM(START:END!Q211)</f>
        <v>34869.11</v>
      </c>
      <c r="R211" s="338"/>
      <c r="S211" s="340">
        <f t="shared" si="116"/>
        <v>-2066.1800000000003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0" t="s">
        <v>51</v>
      </c>
      <c r="D212" s="30"/>
      <c r="F212" s="463">
        <f>+SUM(START:END!F212)</f>
        <v>10266.532209971128</v>
      </c>
      <c r="G212" s="438"/>
      <c r="H212" s="337"/>
      <c r="I212" s="339">
        <f>+SUM(START:END!I212)</f>
        <v>0</v>
      </c>
      <c r="J212" s="342"/>
      <c r="K212" s="337"/>
      <c r="L212" s="337">
        <f>+SUM(START:END!L212)</f>
        <v>8535.65</v>
      </c>
      <c r="M212" s="338"/>
      <c r="N212" s="339">
        <f t="shared" si="117"/>
        <v>-1730.8822099711288</v>
      </c>
      <c r="O212" s="342"/>
      <c r="P212" s="337"/>
      <c r="Q212" s="337">
        <f>+SUM(START:END!Q212)</f>
        <v>26459.319999999992</v>
      </c>
      <c r="R212" s="338"/>
      <c r="S212" s="340">
        <f t="shared" ref="S212:S225" si="118">L212-Q212</f>
        <v>-17923.669999999991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4" t="s">
        <v>52</v>
      </c>
      <c r="D213" s="34"/>
      <c r="E213" s="7"/>
      <c r="F213" s="464">
        <f>+SUM(START:END!F213)</f>
        <v>44251.218066666661</v>
      </c>
      <c r="G213" s="349"/>
      <c r="H213" s="348"/>
      <c r="I213" s="341">
        <f>+SUM(START:END!I213)</f>
        <v>0</v>
      </c>
      <c r="J213" s="349"/>
      <c r="K213" s="348"/>
      <c r="L213" s="341">
        <f>+SUM(START:END!L213)</f>
        <v>45315.44</v>
      </c>
      <c r="M213" s="350"/>
      <c r="N213" s="351">
        <f t="shared" si="117"/>
        <v>1064.2219333333414</v>
      </c>
      <c r="O213" s="349"/>
      <c r="P213" s="348"/>
      <c r="Q213" s="341">
        <f>+SUM(START:END!Q213)</f>
        <v>39746.46</v>
      </c>
      <c r="R213" s="350"/>
      <c r="S213" s="352">
        <f t="shared" si="118"/>
        <v>5568.9800000000032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0" t="s">
        <v>53</v>
      </c>
      <c r="D214" s="30"/>
      <c r="F214" s="463">
        <f>+SUM(START:END!F214)</f>
        <v>14349.948412159998</v>
      </c>
      <c r="G214" s="438"/>
      <c r="H214" s="337"/>
      <c r="I214" s="339">
        <f>+SUM(START:END!I214)</f>
        <v>0</v>
      </c>
      <c r="J214" s="342"/>
      <c r="K214" s="337"/>
      <c r="L214" s="337">
        <f>+SUM(START:END!L214)</f>
        <v>15930.93</v>
      </c>
      <c r="M214" s="338"/>
      <c r="N214" s="339">
        <f t="shared" si="117"/>
        <v>1580.9815878400022</v>
      </c>
      <c r="O214" s="342"/>
      <c r="P214" s="337"/>
      <c r="Q214" s="337">
        <f>+SUM(START:END!Q214)</f>
        <v>15279.689999999999</v>
      </c>
      <c r="R214" s="338"/>
      <c r="S214" s="340">
        <f t="shared" si="118"/>
        <v>651.2400000000016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0" t="s">
        <v>54</v>
      </c>
      <c r="D215" s="30"/>
      <c r="F215" s="463">
        <f>+SUM(START:END!F215)</f>
        <v>3152.6255417810712</v>
      </c>
      <c r="G215" s="438"/>
      <c r="H215" s="337"/>
      <c r="I215" s="339">
        <f>+SUM(START:END!I215)</f>
        <v>0</v>
      </c>
      <c r="J215" s="342"/>
      <c r="K215" s="337"/>
      <c r="L215" s="337">
        <f>+SUM(START:END!L215)</f>
        <v>4832.9399999999996</v>
      </c>
      <c r="M215" s="338"/>
      <c r="N215" s="339">
        <f t="shared" si="117"/>
        <v>1680.3144582189284</v>
      </c>
      <c r="O215" s="342"/>
      <c r="P215" s="337"/>
      <c r="Q215" s="337">
        <f>+SUM(START:END!Q215)</f>
        <v>4397.41</v>
      </c>
      <c r="R215" s="338"/>
      <c r="S215" s="340">
        <f t="shared" si="118"/>
        <v>435.52999999999975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4" t="s">
        <v>55</v>
      </c>
      <c r="D216" s="34"/>
      <c r="E216" s="7"/>
      <c r="F216" s="464">
        <f>+SUM(START:END!F216)</f>
        <v>41384.695365051113</v>
      </c>
      <c r="G216" s="349"/>
      <c r="H216" s="348"/>
      <c r="I216" s="341">
        <f>+SUM(START:END!I216)</f>
        <v>0</v>
      </c>
      <c r="J216" s="349"/>
      <c r="K216" s="348"/>
      <c r="L216" s="341">
        <f>+SUM(START:END!L216)</f>
        <v>59772.509999999995</v>
      </c>
      <c r="M216" s="350"/>
      <c r="N216" s="351">
        <f t="shared" si="117"/>
        <v>18387.814634948882</v>
      </c>
      <c r="O216" s="349"/>
      <c r="P216" s="348"/>
      <c r="Q216" s="341">
        <f>+SUM(START:END!Q216)</f>
        <v>49351.19</v>
      </c>
      <c r="R216" s="350"/>
      <c r="S216" s="352">
        <f t="shared" si="118"/>
        <v>10421.319999999992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0" t="s">
        <v>98</v>
      </c>
      <c r="D217" s="30"/>
      <c r="F217" s="463">
        <f>+SUM(START:END!F217)</f>
        <v>0</v>
      </c>
      <c r="G217" s="438"/>
      <c r="H217" s="337"/>
      <c r="I217" s="339">
        <f>+SUM(START:END!I217)</f>
        <v>0</v>
      </c>
      <c r="J217" s="342"/>
      <c r="K217" s="337"/>
      <c r="L217" s="337">
        <f>+SUM(START:END!L217)</f>
        <v>0</v>
      </c>
      <c r="M217" s="338"/>
      <c r="N217" s="339">
        <f t="shared" si="117"/>
        <v>0</v>
      </c>
      <c r="O217" s="342"/>
      <c r="P217" s="337"/>
      <c r="Q217" s="337">
        <f>+SUM(START:END!Q217)</f>
        <v>0</v>
      </c>
      <c r="R217" s="338"/>
      <c r="S217" s="340">
        <f t="shared" si="118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0" t="s">
        <v>56</v>
      </c>
      <c r="D218" s="30"/>
      <c r="F218" s="463">
        <f>+SUM(START:END!F218)</f>
        <v>14309.76126666667</v>
      </c>
      <c r="G218" s="438"/>
      <c r="H218" s="337"/>
      <c r="I218" s="339">
        <f>+SUM(START:END!I218)</f>
        <v>0</v>
      </c>
      <c r="J218" s="342"/>
      <c r="K218" s="337"/>
      <c r="L218" s="337">
        <f>+SUM(START:END!L218)</f>
        <v>8501.380000000001</v>
      </c>
      <c r="M218" s="338"/>
      <c r="N218" s="339">
        <f t="shared" si="117"/>
        <v>-5808.381266666669</v>
      </c>
      <c r="O218" s="342"/>
      <c r="P218" s="337"/>
      <c r="Q218" s="337">
        <f>+SUM(START:END!Q218)</f>
        <v>20694.739999999998</v>
      </c>
      <c r="R218" s="338"/>
      <c r="S218" s="340">
        <f t="shared" si="118"/>
        <v>-12193.359999999997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0" t="s">
        <v>57</v>
      </c>
      <c r="D219" s="30"/>
      <c r="F219" s="463">
        <f>+SUM(START:END!F219)</f>
        <v>3661.3962203592514</v>
      </c>
      <c r="G219" s="438"/>
      <c r="H219" s="337"/>
      <c r="I219" s="339">
        <f>+SUM(START:END!I219)</f>
        <v>0</v>
      </c>
      <c r="J219" s="342"/>
      <c r="K219" s="337"/>
      <c r="L219" s="337">
        <f>+SUM(START:END!L219)</f>
        <v>2104.3000000000002</v>
      </c>
      <c r="M219" s="338"/>
      <c r="N219" s="339">
        <f t="shared" si="117"/>
        <v>-1557.0962203592512</v>
      </c>
      <c r="O219" s="342"/>
      <c r="P219" s="337"/>
      <c r="Q219" s="337">
        <f>+SUM(START:END!Q219)</f>
        <v>4266.17</v>
      </c>
      <c r="R219" s="338"/>
      <c r="S219" s="340">
        <f t="shared" si="118"/>
        <v>-2161.87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0" t="s">
        <v>58</v>
      </c>
      <c r="D220" s="30"/>
      <c r="F220" s="463">
        <f>+SUM(START:END!F220)</f>
        <v>2499.1624492555202</v>
      </c>
      <c r="G220" s="438"/>
      <c r="H220" s="337"/>
      <c r="I220" s="339">
        <f>+SUM(START:END!I220)</f>
        <v>0</v>
      </c>
      <c r="J220" s="342"/>
      <c r="K220" s="337"/>
      <c r="L220" s="337">
        <f>+SUM(START:END!L220)</f>
        <v>1460.51</v>
      </c>
      <c r="M220" s="338"/>
      <c r="N220" s="339">
        <f t="shared" si="117"/>
        <v>-1038.6524492555202</v>
      </c>
      <c r="O220" s="342"/>
      <c r="P220" s="337"/>
      <c r="Q220" s="337">
        <f>+SUM(START:END!Q220)</f>
        <v>4921.08</v>
      </c>
      <c r="R220" s="338"/>
      <c r="S220" s="340">
        <f t="shared" si="118"/>
        <v>-3460.5699999999997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0" t="s">
        <v>59</v>
      </c>
      <c r="D221" s="30"/>
      <c r="F221" s="463">
        <f>+SUM(START:END!F221)</f>
        <v>537.61350506546012</v>
      </c>
      <c r="G221" s="438"/>
      <c r="H221" s="337"/>
      <c r="I221" s="339">
        <f>+SUM(START:END!I221)</f>
        <v>0</v>
      </c>
      <c r="J221" s="342"/>
      <c r="K221" s="337"/>
      <c r="L221" s="337">
        <f>+SUM(START:END!L221)</f>
        <v>658.26</v>
      </c>
      <c r="M221" s="338"/>
      <c r="N221" s="339">
        <f t="shared" si="117"/>
        <v>120.64649493453987</v>
      </c>
      <c r="O221" s="342"/>
      <c r="P221" s="337"/>
      <c r="Q221" s="337">
        <f>+SUM(START:END!Q221)</f>
        <v>797</v>
      </c>
      <c r="R221" s="338"/>
      <c r="S221" s="340">
        <f t="shared" si="118"/>
        <v>-138.74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0" t="s">
        <v>60</v>
      </c>
      <c r="D222" s="30"/>
      <c r="F222" s="463">
        <f>+SUM(START:END!F222)</f>
        <v>278.37171382893996</v>
      </c>
      <c r="G222" s="438"/>
      <c r="H222" s="337"/>
      <c r="I222" s="339">
        <f>+SUM(START:END!I222)</f>
        <v>0</v>
      </c>
      <c r="J222" s="342"/>
      <c r="K222" s="337"/>
      <c r="L222" s="337">
        <f>+SUM(START:END!L222)</f>
        <v>161.44</v>
      </c>
      <c r="M222" s="338"/>
      <c r="N222" s="339">
        <f t="shared" si="117"/>
        <v>-116.93171382893996</v>
      </c>
      <c r="O222" s="342"/>
      <c r="P222" s="337"/>
      <c r="Q222" s="337">
        <f>+SUM(START:END!Q222)</f>
        <v>179.62</v>
      </c>
      <c r="R222" s="338"/>
      <c r="S222" s="340">
        <f t="shared" si="118"/>
        <v>-18.180000000000007</v>
      </c>
    </row>
    <row r="223" spans="1:19" ht="15.75" customHeight="1">
      <c r="A223" s="23" t="str">
        <f t="shared" si="91"/>
        <v>ServiceDivers</v>
      </c>
      <c r="B223" s="184" t="s">
        <v>83</v>
      </c>
      <c r="C223" s="440" t="s">
        <v>61</v>
      </c>
      <c r="D223" s="30"/>
      <c r="F223" s="463">
        <f>+SUM(START:END!F223)</f>
        <v>457.35285562785998</v>
      </c>
      <c r="G223" s="438"/>
      <c r="H223" s="337"/>
      <c r="I223" s="339">
        <f>+SUM(START:END!I223)</f>
        <v>0</v>
      </c>
      <c r="J223" s="342"/>
      <c r="K223" s="337"/>
      <c r="L223" s="337">
        <f>+SUM(START:END!L223)</f>
        <v>906.5200000000001</v>
      </c>
      <c r="M223" s="338"/>
      <c r="N223" s="339">
        <f t="shared" si="117"/>
        <v>449.16714437214011</v>
      </c>
      <c r="O223" s="342"/>
      <c r="P223" s="337"/>
      <c r="Q223" s="337">
        <f>+SUM(START:END!Q223)</f>
        <v>582.70000000000005</v>
      </c>
      <c r="R223" s="338"/>
      <c r="S223" s="340">
        <f t="shared" si="118"/>
        <v>323.82000000000005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0" t="s">
        <v>62</v>
      </c>
      <c r="D224" s="30"/>
      <c r="F224" s="463">
        <f>+SUM(START:END!F224)</f>
        <v>9199.5401965574583</v>
      </c>
      <c r="G224" s="438"/>
      <c r="H224" s="337"/>
      <c r="I224" s="339">
        <f>+SUM(START:END!I224)</f>
        <v>0</v>
      </c>
      <c r="J224" s="342"/>
      <c r="K224" s="337"/>
      <c r="L224" s="337">
        <f>+SUM(START:END!L224)</f>
        <v>5160.8500000000004</v>
      </c>
      <c r="M224" s="338"/>
      <c r="N224" s="339">
        <f t="shared" si="117"/>
        <v>-4038.690196557458</v>
      </c>
      <c r="O224" s="342"/>
      <c r="P224" s="337"/>
      <c r="Q224" s="337">
        <f>+SUM(START:END!Q224)</f>
        <v>2037.53</v>
      </c>
      <c r="R224" s="338"/>
      <c r="S224" s="340">
        <f t="shared" si="118"/>
        <v>3123.3200000000006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0" t="s">
        <v>63</v>
      </c>
      <c r="D225" s="30"/>
      <c r="F225" s="463">
        <f>+SUM(START:END!F225)</f>
        <v>6487.4739751376446</v>
      </c>
      <c r="G225" s="438"/>
      <c r="H225" s="337"/>
      <c r="I225" s="339">
        <f>+SUM(START:END!I225)</f>
        <v>0</v>
      </c>
      <c r="J225" s="342"/>
      <c r="K225" s="337"/>
      <c r="L225" s="337">
        <f>+SUM(START:END!L225)</f>
        <v>7494.9000000000005</v>
      </c>
      <c r="M225" s="338"/>
      <c r="N225" s="339">
        <f t="shared" si="117"/>
        <v>1007.4260248623559</v>
      </c>
      <c r="O225" s="342"/>
      <c r="P225" s="337"/>
      <c r="Q225" s="337">
        <f>+SUM(START:END!Q225)</f>
        <v>7844.4000000000005</v>
      </c>
      <c r="R225" s="338"/>
      <c r="S225" s="340">
        <f t="shared" si="118"/>
        <v>-349.5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0" t="s">
        <v>20</v>
      </c>
      <c r="D226" s="30"/>
      <c r="F226" s="468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9">L226-I226</f>
        <v>0</v>
      </c>
      <c r="O226" s="30"/>
      <c r="Q226" s="198">
        <f>+SUM(START:END!Q226)</f>
        <v>0</v>
      </c>
      <c r="R226" s="152"/>
      <c r="S226" s="242">
        <f t="shared" ref="S226:S228" si="120">L226-Q226</f>
        <v>0</v>
      </c>
    </row>
    <row r="227" spans="1:40" ht="15.75" hidden="1" customHeight="1">
      <c r="B227" s="184" t="s">
        <v>83</v>
      </c>
      <c r="C227" s="440" t="s">
        <v>20</v>
      </c>
      <c r="D227" s="30"/>
      <c r="F227" s="468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9"/>
        <v>0</v>
      </c>
      <c r="O227" s="30"/>
      <c r="Q227" s="198">
        <f>+SUM(START:END!Q227)</f>
        <v>0</v>
      </c>
      <c r="R227" s="152"/>
      <c r="S227" s="242">
        <f t="shared" si="120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0" t="s">
        <v>20</v>
      </c>
      <c r="D228" s="30"/>
      <c r="F228" s="468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9"/>
        <v>0</v>
      </c>
      <c r="O228" s="30"/>
      <c r="Q228" s="198">
        <f>+SUM(START:END!Q228)</f>
        <v>0</v>
      </c>
      <c r="R228" s="152"/>
      <c r="S228" s="242">
        <f t="shared" si="120"/>
        <v>0</v>
      </c>
    </row>
    <row r="229" spans="1:40" ht="15.75" customHeight="1">
      <c r="B229" s="184"/>
      <c r="C229" s="466" t="s">
        <v>64</v>
      </c>
      <c r="D229" s="250" t="s">
        <v>97</v>
      </c>
      <c r="E229" s="42">
        <f>F229/F$194</f>
        <v>0.22500994163902296</v>
      </c>
      <c r="F229" s="469">
        <f>+SUM(F211:F228)</f>
        <v>190353.2842244221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0.23784741331337586</v>
      </c>
      <c r="L229" s="251">
        <f>+SUM(L211:L228)</f>
        <v>193638.56000000003</v>
      </c>
      <c r="M229" s="254"/>
      <c r="N229" s="251">
        <f>+SUM(N211:N228)</f>
        <v>3285.2757755779194</v>
      </c>
      <c r="O229" s="252" t="s">
        <v>97</v>
      </c>
      <c r="P229" s="42">
        <f>Q229/Q$194</f>
        <v>0.261431707015847</v>
      </c>
      <c r="Q229" s="251">
        <f>+SUM(Q211:Q228)</f>
        <v>211426.41999999998</v>
      </c>
      <c r="R229" s="254"/>
      <c r="S229" s="255">
        <f t="shared" si="116"/>
        <v>-17787.859999999957</v>
      </c>
    </row>
    <row r="230" spans="1:40" ht="15.75" customHeight="1">
      <c r="B230" s="184"/>
      <c r="C230" s="444"/>
      <c r="D230" s="34"/>
      <c r="E230" s="7"/>
      <c r="F230" s="470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6" t="s">
        <v>65</v>
      </c>
      <c r="D231" s="250" t="s">
        <v>39</v>
      </c>
      <c r="E231" s="42">
        <f>F231/F$194</f>
        <v>0.7251812398015145</v>
      </c>
      <c r="F231" s="469">
        <f>F210+F229</f>
        <v>613486.80706566793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0.72446823100039337</v>
      </c>
      <c r="L231" s="251">
        <f>L210+L229</f>
        <v>589810.85000000009</v>
      </c>
      <c r="M231" s="254"/>
      <c r="N231" s="251">
        <f>N210+N229</f>
        <v>-23675.957065667935</v>
      </c>
      <c r="O231" s="252" t="s">
        <v>39</v>
      </c>
      <c r="P231" s="42">
        <f>Q231/Q$194</f>
        <v>0.73109522339132316</v>
      </c>
      <c r="Q231" s="251">
        <f>Q210+Q229</f>
        <v>591255.15999999992</v>
      </c>
      <c r="R231" s="254"/>
      <c r="S231" s="260">
        <f>L231-Q231</f>
        <v>-1444.309999999823</v>
      </c>
    </row>
    <row r="232" spans="1:40" ht="15.75" customHeight="1">
      <c r="B232" s="184"/>
      <c r="C232" s="440"/>
      <c r="D232" s="30"/>
      <c r="F232" s="442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1" t="s">
        <v>72</v>
      </c>
      <c r="D233" s="472"/>
      <c r="E233" s="473"/>
      <c r="F233" s="474">
        <f>F194-F231</f>
        <v>232490.40993126121</v>
      </c>
      <c r="G233" s="291"/>
      <c r="H233" s="271"/>
      <c r="I233" s="273">
        <f>I194-I231</f>
        <v>0</v>
      </c>
      <c r="J233" s="272"/>
      <c r="K233" s="272"/>
      <c r="L233" s="273">
        <f>L194-L231</f>
        <v>224318.49999999988</v>
      </c>
      <c r="M233" s="293"/>
      <c r="N233" s="273">
        <f>N194-N231</f>
        <v>-8171.9099312613071</v>
      </c>
      <c r="O233" s="293"/>
      <c r="P233" s="272"/>
      <c r="Q233" s="273">
        <f>Q194-Q231</f>
        <v>217470.07999999798</v>
      </c>
      <c r="R233" s="293"/>
      <c r="S233" s="275">
        <f>L233-Q233</f>
        <v>6848.4200000019046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483" t="s">
        <v>5</v>
      </c>
      <c r="E238" s="484"/>
      <c r="F238" s="484"/>
      <c r="G238" s="488" t="s">
        <v>74</v>
      </c>
      <c r="H238" s="484"/>
      <c r="I238" s="485"/>
      <c r="J238" s="481" t="s">
        <v>7</v>
      </c>
      <c r="K238" s="484"/>
      <c r="L238" s="485"/>
      <c r="M238" s="481" t="s">
        <v>9</v>
      </c>
      <c r="N238" s="485"/>
      <c r="O238" s="483" t="s">
        <v>8</v>
      </c>
      <c r="P238" s="484"/>
      <c r="Q238" s="485"/>
      <c r="R238" s="481" t="s">
        <v>217</v>
      </c>
      <c r="S238" s="482"/>
      <c r="T238" s="176"/>
    </row>
    <row r="239" spans="1:40" ht="15.75" customHeight="1">
      <c r="A239" s="23" t="str">
        <f t="shared" ref="A239:A284" si="121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4" t="s">
        <v>40</v>
      </c>
      <c r="H239" s="175" t="s">
        <v>84</v>
      </c>
      <c r="I239" s="277" t="s">
        <v>12</v>
      </c>
      <c r="J239" s="278" t="s">
        <v>40</v>
      </c>
      <c r="K239" s="175" t="s">
        <v>84</v>
      </c>
      <c r="L239" s="277" t="s">
        <v>12</v>
      </c>
      <c r="M239" s="278" t="s">
        <v>40</v>
      </c>
      <c r="N239" s="277" t="s">
        <v>12</v>
      </c>
      <c r="O239" s="175" t="s">
        <v>40</v>
      </c>
      <c r="P239" s="175" t="s">
        <v>84</v>
      </c>
      <c r="Q239" s="277" t="s">
        <v>12</v>
      </c>
      <c r="R239" s="278" t="s">
        <v>85</v>
      </c>
      <c r="S239" s="279" t="s">
        <v>12</v>
      </c>
      <c r="T239" s="175"/>
    </row>
    <row r="240" spans="1:40" ht="15.75" customHeight="1">
      <c r="A240" s="23" t="str">
        <f t="shared" si="121"/>
        <v>Carrosserie</v>
      </c>
      <c r="B240" s="184" t="s">
        <v>99</v>
      </c>
      <c r="C240" s="1"/>
      <c r="D240" s="175"/>
      <c r="E240" s="175"/>
      <c r="F240" s="175"/>
      <c r="G240" s="278"/>
      <c r="H240" s="175"/>
      <c r="I240" s="175"/>
      <c r="J240" s="278"/>
      <c r="K240" s="198"/>
      <c r="L240" s="201"/>
      <c r="M240" s="278"/>
      <c r="N240" s="277"/>
      <c r="O240" s="175"/>
      <c r="P240" s="175"/>
      <c r="Q240" s="277"/>
      <c r="R240" s="278"/>
      <c r="S240" s="279"/>
      <c r="T240" s="175"/>
      <c r="V240" s="198"/>
      <c r="W240" s="198"/>
      <c r="X240" s="198"/>
      <c r="Y240" s="198"/>
    </row>
    <row r="241" spans="1:25" ht="15.75" customHeight="1">
      <c r="A241" s="23" t="str">
        <f t="shared" si="121"/>
        <v>CarrosserieM/O Sous-traitement</v>
      </c>
      <c r="B241" s="184" t="s">
        <v>99</v>
      </c>
      <c r="C241" s="1" t="s">
        <v>100</v>
      </c>
      <c r="D241" s="359">
        <f>+SUM(START:END!D241)</f>
        <v>0</v>
      </c>
      <c r="E241" s="26">
        <f>+SUM(START:END!E241)</f>
        <v>132000</v>
      </c>
      <c r="F241" s="26">
        <f>+SUM(START:END!F241)</f>
        <v>29040</v>
      </c>
      <c r="G241" s="360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93</v>
      </c>
      <c r="K241" s="198">
        <f>+SUM(START:END!K241)</f>
        <v>300917.40000000002</v>
      </c>
      <c r="L241" s="201">
        <f>+SUM(START:END!L241)</f>
        <v>47732.569999999992</v>
      </c>
      <c r="M241" s="296">
        <f>IFERROR((K241-E241)/E241,0)</f>
        <v>1.2796772727272729</v>
      </c>
      <c r="N241" s="222">
        <f t="shared" ref="N241:N242" si="122">L241-F241</f>
        <v>18692.569999999992</v>
      </c>
      <c r="O241" s="223">
        <f>+SUM(START:END!O241)</f>
        <v>18</v>
      </c>
      <c r="P241" s="198">
        <f>+SUM(START:END!P241)</f>
        <v>37119.550000000003</v>
      </c>
      <c r="Q241" s="201">
        <f>+SUM(START:END!Q241)</f>
        <v>9309.1699999999892</v>
      </c>
      <c r="R241" s="296">
        <f>IF(O241=0,0,J241/O241)</f>
        <v>5.166666666666667</v>
      </c>
      <c r="S241" s="242">
        <f>L241-Q241</f>
        <v>38423.4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1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0.22</v>
      </c>
      <c r="G242" s="278"/>
      <c r="H242" s="31"/>
      <c r="I242" s="27">
        <f>IFERROR(I241/H241,0)</f>
        <v>0</v>
      </c>
      <c r="J242" s="223"/>
      <c r="L242" s="157">
        <f>IFERROR(L241/K241,0)</f>
        <v>0.15862349601585016</v>
      </c>
      <c r="M242" s="296"/>
      <c r="N242" s="222">
        <f t="shared" si="122"/>
        <v>-6.1376503984149844E-2</v>
      </c>
      <c r="O242" s="223"/>
      <c r="Q242" s="157">
        <f>IFERROR(Q241/P241,0)</f>
        <v>0.2507888700159347</v>
      </c>
      <c r="R242" s="223"/>
      <c r="S242" s="242">
        <f>IFERROR(S241/R241,0)</f>
        <v>7436.7870967741937</v>
      </c>
      <c r="T242" s="175"/>
    </row>
    <row r="243" spans="1:25" ht="15.75" customHeight="1">
      <c r="A243" s="23" t="str">
        <f t="shared" si="121"/>
        <v>Carrosserie</v>
      </c>
      <c r="B243" s="184" t="s">
        <v>99</v>
      </c>
      <c r="C243" s="1"/>
      <c r="D243" s="175"/>
      <c r="E243" s="361"/>
      <c r="F243" s="361"/>
      <c r="G243" s="278"/>
      <c r="H243" s="361"/>
      <c r="I243" s="361"/>
      <c r="J243" s="278"/>
      <c r="K243" s="175"/>
      <c r="L243" s="277"/>
      <c r="M243" s="278"/>
      <c r="N243" s="277"/>
      <c r="O243" s="278"/>
      <c r="P243" s="175"/>
      <c r="Q243" s="277"/>
      <c r="R243" s="362"/>
      <c r="S243" s="279"/>
      <c r="T243" s="175"/>
    </row>
    <row r="244" spans="1:25" ht="15.75" customHeight="1">
      <c r="A244" s="23" t="str">
        <f t="shared" si="121"/>
        <v>CarrosserieM/O Carrosserie</v>
      </c>
      <c r="B244" s="184" t="s">
        <v>99</v>
      </c>
      <c r="C244" s="3" t="s">
        <v>101</v>
      </c>
      <c r="D244" s="308">
        <f>+SUM(START:END!D244)</f>
        <v>0</v>
      </c>
      <c r="E244" s="26">
        <f>+SUM(START:END!E244)</f>
        <v>0</v>
      </c>
      <c r="F244" s="26">
        <f>+SUM(START:END!F244)</f>
        <v>0</v>
      </c>
      <c r="G244" s="309">
        <f>+SUM(START:END!G244)</f>
        <v>0</v>
      </c>
      <c r="H244" s="26">
        <f>+SUM(START:END!H244)</f>
        <v>0</v>
      </c>
      <c r="I244" s="26">
        <f>+SUM(START:END!I244)</f>
        <v>0</v>
      </c>
      <c r="J244" s="299">
        <f>+SUM(START:END!J244)</f>
        <v>0</v>
      </c>
      <c r="K244" s="363">
        <f>+SUM(START:END!K244)</f>
        <v>0</v>
      </c>
      <c r="L244" s="257">
        <f>+SUM(START:END!L244)</f>
        <v>0</v>
      </c>
      <c r="M244" s="310">
        <f>IFERROR((K244-E244)/E244,0)</f>
        <v>0</v>
      </c>
      <c r="N244" s="258">
        <f t="shared" ref="N244" si="123">L244-F244</f>
        <v>0</v>
      </c>
      <c r="O244" s="299">
        <f>+SUM(START:END!O244)</f>
        <v>0</v>
      </c>
      <c r="P244" s="363">
        <f>+SUM(START:END!P244)</f>
        <v>0</v>
      </c>
      <c r="Q244" s="257">
        <f>+SUM(START:END!Q244)</f>
        <v>0</v>
      </c>
      <c r="R244" s="296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1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6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1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8"/>
      <c r="K246" s="364"/>
      <c r="L246" s="155"/>
      <c r="M246" s="297"/>
      <c r="N246" s="247"/>
      <c r="O246" s="298"/>
      <c r="P246" s="364"/>
      <c r="Q246" s="155"/>
      <c r="R246" s="298"/>
      <c r="S246" s="248"/>
      <c r="T246" s="27"/>
    </row>
    <row r="247" spans="1:25" ht="15.75" customHeight="1">
      <c r="A247" s="23" t="str">
        <f t="shared" si="121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299">
        <f>+SUM(START:END!G247)</f>
        <v>0</v>
      </c>
      <c r="H247" s="26">
        <f>+SUM(START:END!H247)</f>
        <v>0</v>
      </c>
      <c r="I247" s="26">
        <f>+SUM(START:END!I247)</f>
        <v>0</v>
      </c>
      <c r="J247" s="299">
        <f>+SUM(START:END!J247)</f>
        <v>0</v>
      </c>
      <c r="K247" s="198">
        <f>+SUM(START:END!K247)</f>
        <v>0</v>
      </c>
      <c r="L247" s="201">
        <f>+SUM(START:END!L247)</f>
        <v>0</v>
      </c>
      <c r="M247" s="296">
        <f>IFERROR((K247-E247)/E247,0)</f>
        <v>0</v>
      </c>
      <c r="N247" s="258">
        <f t="shared" ref="N247" si="124">L247-F247</f>
        <v>0</v>
      </c>
      <c r="O247" s="299">
        <f>+SUM(START:END!O247)</f>
        <v>0</v>
      </c>
      <c r="P247" s="198">
        <f>+SUM(START:END!P247)</f>
        <v>0</v>
      </c>
      <c r="Q247" s="201">
        <f>+SUM(START:END!Q247)</f>
        <v>0</v>
      </c>
      <c r="R247" s="296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1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1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1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5">E244+E247+E241</f>
        <v>132000</v>
      </c>
      <c r="F250" s="226">
        <f t="shared" si="125"/>
        <v>29040</v>
      </c>
      <c r="G250" s="229"/>
      <c r="H250" s="226">
        <f t="shared" ref="H250:I250" si="126">H244+H247+H241</f>
        <v>0</v>
      </c>
      <c r="I250" s="226">
        <f t="shared" si="126"/>
        <v>0</v>
      </c>
      <c r="J250" s="229"/>
      <c r="K250" s="226">
        <f t="shared" ref="K250:N250" si="127">K244+K247+K241</f>
        <v>300917.40000000002</v>
      </c>
      <c r="L250" s="228">
        <f t="shared" si="127"/>
        <v>47732.569999999992</v>
      </c>
      <c r="M250" s="335">
        <f>L251-F251</f>
        <v>-6.1376503984149844E-2</v>
      </c>
      <c r="N250" s="228">
        <f t="shared" si="127"/>
        <v>18692.569999999992</v>
      </c>
      <c r="O250" s="229"/>
      <c r="P250" s="226">
        <f t="shared" ref="P250:Q250" si="128">P244+P247+P241</f>
        <v>37119.550000000003</v>
      </c>
      <c r="Q250" s="228">
        <f t="shared" si="128"/>
        <v>9309.1699999999892</v>
      </c>
      <c r="R250" s="335">
        <f>L251-Q251</f>
        <v>-9.2165374000084538E-2</v>
      </c>
      <c r="S250" s="231">
        <f>L250-Q250</f>
        <v>38423.4</v>
      </c>
      <c r="T250" s="27"/>
    </row>
    <row r="251" spans="1:25" ht="23.25" customHeight="1" thickBot="1">
      <c r="A251" s="23" t="str">
        <f t="shared" si="121"/>
        <v>Carrosserie</v>
      </c>
      <c r="B251" s="184" t="s">
        <v>99</v>
      </c>
      <c r="C251" s="232"/>
      <c r="D251" s="233"/>
      <c r="E251" s="233"/>
      <c r="F251" s="336">
        <f>F250/E250</f>
        <v>0.22</v>
      </c>
      <c r="G251" s="235"/>
      <c r="H251" s="233"/>
      <c r="I251" s="336" t="e">
        <f>I250/H250</f>
        <v>#DIV/0!</v>
      </c>
      <c r="J251" s="235"/>
      <c r="K251" s="233"/>
      <c r="L251" s="166">
        <f>IF(K250=0,0,L250/K250)</f>
        <v>0.15862349601585016</v>
      </c>
      <c r="M251" s="236"/>
      <c r="N251" s="166">
        <f>N250/F250</f>
        <v>0.64368353994490335</v>
      </c>
      <c r="O251" s="235"/>
      <c r="P251" s="233"/>
      <c r="Q251" s="166">
        <f>IF(P250=0,0,Q250/P250)</f>
        <v>0.2507888700159347</v>
      </c>
      <c r="R251" s="236"/>
      <c r="S251" s="237">
        <f>IF(R250=0,0,S250/R250)</f>
        <v>-416896.26301483635</v>
      </c>
      <c r="T251" s="27"/>
    </row>
    <row r="252" spans="1:25" ht="15.75" customHeight="1" thickTop="1">
      <c r="A252" s="23" t="str">
        <f t="shared" si="121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1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1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2">
        <f t="shared" ref="N254:N264" si="129">L254-F254</f>
        <v>1739.3337499999998</v>
      </c>
      <c r="O254" s="152"/>
      <c r="Q254" s="201">
        <f>+SUM(START:END!Q254)</f>
        <v>2705.64</v>
      </c>
      <c r="R254" s="152"/>
      <c r="S254" s="202">
        <f>L254-Q254</f>
        <v>0</v>
      </c>
    </row>
    <row r="255" spans="1:25" ht="15.75" customHeight="1">
      <c r="A255" s="23" t="str">
        <f t="shared" si="121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15622.989999999998</v>
      </c>
      <c r="G255" s="240"/>
      <c r="I255" s="194">
        <f>+SUM(START:END!I255)</f>
        <v>0</v>
      </c>
      <c r="J255" s="152"/>
      <c r="L255" s="201">
        <f>+SUM(START:END!L255)</f>
        <v>17696.099999999999</v>
      </c>
      <c r="M255" s="152"/>
      <c r="N255" s="242">
        <f t="shared" si="129"/>
        <v>2073.1100000000006</v>
      </c>
      <c r="O255" s="152"/>
      <c r="Q255" s="201">
        <f>+SUM(START:END!Q255)</f>
        <v>12779.170000000002</v>
      </c>
      <c r="R255" s="152"/>
      <c r="S255" s="242">
        <f t="shared" ref="S255:S264" si="130">L255-Q255</f>
        <v>4916.9299999999967</v>
      </c>
    </row>
    <row r="256" spans="1:25" ht="15.75" customHeight="1">
      <c r="A256" s="23" t="str">
        <f t="shared" si="121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9">
        <f t="shared" si="129"/>
        <v>-56.734999999999999</v>
      </c>
      <c r="O256" s="154"/>
      <c r="P256" s="53"/>
      <c r="Q256" s="257">
        <f>+SUM(START:END!Q256)</f>
        <v>0.24</v>
      </c>
      <c r="R256" s="154"/>
      <c r="S256" s="259">
        <f t="shared" si="130"/>
        <v>0</v>
      </c>
    </row>
    <row r="257" spans="1:19" ht="15.75" customHeight="1">
      <c r="A257" s="23" t="str">
        <f t="shared" si="121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42">
        <f t="shared" si="129"/>
        <v>0</v>
      </c>
      <c r="O257" s="152"/>
      <c r="Q257" s="201">
        <f>+SUM(START:END!Q257)</f>
        <v>0</v>
      </c>
      <c r="R257" s="152"/>
      <c r="S257" s="242">
        <f t="shared" si="130"/>
        <v>0</v>
      </c>
    </row>
    <row r="258" spans="1:19" ht="15.75" hidden="1" customHeight="1">
      <c r="A258" s="23" t="str">
        <f t="shared" si="121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42">
        <f t="shared" si="129"/>
        <v>0</v>
      </c>
      <c r="O258" s="152"/>
      <c r="Q258" s="201">
        <f>+SUM(START:END!Q258)</f>
        <v>0</v>
      </c>
      <c r="R258" s="152"/>
      <c r="S258" s="242">
        <f t="shared" si="130"/>
        <v>0</v>
      </c>
    </row>
    <row r="259" spans="1:19" ht="15.75" hidden="1" customHeight="1">
      <c r="A259" s="23" t="str">
        <f t="shared" si="121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42">
        <f t="shared" si="129"/>
        <v>0</v>
      </c>
      <c r="O259" s="152"/>
      <c r="Q259" s="201">
        <f>+SUM(START:END!Q259)</f>
        <v>0</v>
      </c>
      <c r="R259" s="152"/>
      <c r="S259" s="242">
        <f t="shared" si="130"/>
        <v>0</v>
      </c>
    </row>
    <row r="260" spans="1:19" ht="15.75" hidden="1" customHeight="1">
      <c r="A260" s="23" t="str">
        <f t="shared" si="121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42">
        <f t="shared" si="129"/>
        <v>0</v>
      </c>
      <c r="O260" s="152"/>
      <c r="Q260" s="201">
        <f>+SUM(START:END!Q260)</f>
        <v>0</v>
      </c>
      <c r="R260" s="152"/>
      <c r="S260" s="242">
        <f t="shared" si="130"/>
        <v>0</v>
      </c>
    </row>
    <row r="261" spans="1:19" ht="15.75" customHeight="1">
      <c r="A261" s="23" t="str">
        <f t="shared" si="121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1999.3758493749995</v>
      </c>
      <c r="G261" s="240"/>
      <c r="I261" s="194">
        <f>+SUM(START:END!I261)</f>
        <v>0</v>
      </c>
      <c r="J261" s="152"/>
      <c r="L261" s="201">
        <f>+SUM(START:END!L261)</f>
        <v>1988.01</v>
      </c>
      <c r="M261" s="152"/>
      <c r="N261" s="242">
        <f t="shared" si="129"/>
        <v>-11.36584937499947</v>
      </c>
      <c r="O261" s="152"/>
      <c r="Q261" s="201">
        <f>+SUM(START:END!Q261)</f>
        <v>1361.51</v>
      </c>
      <c r="R261" s="152"/>
      <c r="S261" s="242">
        <f t="shared" si="130"/>
        <v>626.5</v>
      </c>
    </row>
    <row r="262" spans="1:19" ht="15.75" customHeight="1">
      <c r="A262" s="23" t="str">
        <f t="shared" si="121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2430.9591824999998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4595.18</v>
      </c>
      <c r="M262" s="154"/>
      <c r="N262" s="259">
        <f t="shared" si="129"/>
        <v>2164.2208175000005</v>
      </c>
      <c r="O262" s="154"/>
      <c r="P262" s="53"/>
      <c r="Q262" s="257">
        <f>+SUM(START:END!Q262)</f>
        <v>3884.79</v>
      </c>
      <c r="R262" s="154"/>
      <c r="S262" s="259">
        <f t="shared" si="130"/>
        <v>710.39000000000033</v>
      </c>
    </row>
    <row r="263" spans="1:19" ht="15.75" customHeight="1">
      <c r="A263" s="23" t="str">
        <f t="shared" si="121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1252.4724483749997</v>
      </c>
      <c r="G263" s="240"/>
      <c r="I263" s="198">
        <f>+SUM(START:END!I263)</f>
        <v>0</v>
      </c>
      <c r="J263" s="152"/>
      <c r="L263" s="201">
        <f>+SUM(START:END!L263)</f>
        <v>622.57999999999993</v>
      </c>
      <c r="M263" s="152"/>
      <c r="N263" s="242">
        <f t="shared" si="129"/>
        <v>-629.89244837499973</v>
      </c>
      <c r="O263" s="152"/>
      <c r="Q263" s="201">
        <f>+SUM(START:END!Q263)</f>
        <v>-491.69</v>
      </c>
      <c r="R263" s="152"/>
      <c r="S263" s="242">
        <f t="shared" si="130"/>
        <v>1114.27</v>
      </c>
    </row>
    <row r="264" spans="1:19" ht="15.75" customHeight="1">
      <c r="A264" s="23" t="str">
        <f t="shared" si="121"/>
        <v>CarrosserieCsst</v>
      </c>
      <c r="B264" s="184" t="s">
        <v>99</v>
      </c>
      <c r="C264" s="1" t="s">
        <v>48</v>
      </c>
      <c r="D264" s="30"/>
      <c r="F264" s="198">
        <f>+SUM(START:END!F264)</f>
        <v>546.08503374999987</v>
      </c>
      <c r="G264" s="240"/>
      <c r="I264" s="198">
        <f>+SUM(START:END!I264)</f>
        <v>0</v>
      </c>
      <c r="J264" s="152"/>
      <c r="L264" s="201">
        <f>+SUM(START:END!L264)</f>
        <v>690.65</v>
      </c>
      <c r="M264" s="152"/>
      <c r="N264" s="242">
        <f t="shared" si="129"/>
        <v>144.56496625000011</v>
      </c>
      <c r="O264" s="152"/>
      <c r="Q264" s="201">
        <f>+SUM(START:END!Q264)</f>
        <v>695.56</v>
      </c>
      <c r="R264" s="152"/>
      <c r="S264" s="242">
        <f t="shared" si="130"/>
        <v>-4.9099999999999682</v>
      </c>
    </row>
    <row r="265" spans="1:19" ht="15.75" hidden="1" customHeight="1">
      <c r="A265" s="23" t="str">
        <f t="shared" si="121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546.08503374999987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690.65</v>
      </c>
      <c r="M265" s="153"/>
      <c r="N265" s="248">
        <f t="shared" ref="N265" si="131">L265-I265</f>
        <v>690.65</v>
      </c>
      <c r="O265" s="153"/>
      <c r="P265" s="7"/>
      <c r="Q265" s="201">
        <f>+SUM(START:END!Q264)</f>
        <v>695.56</v>
      </c>
      <c r="R265" s="153"/>
      <c r="S265" s="248">
        <f t="shared" ref="S265:S285" si="132">L265-Q265</f>
        <v>-4.9099999999999682</v>
      </c>
    </row>
    <row r="266" spans="1:19" ht="15.75" customHeight="1">
      <c r="A266" s="23" t="str">
        <f t="shared" si="121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23421.248797749999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28989.050000000003</v>
      </c>
      <c r="M266" s="289"/>
      <c r="N266" s="260">
        <f>L266-F266</f>
        <v>5567.8012022500043</v>
      </c>
      <c r="O266" s="252" t="s">
        <v>39</v>
      </c>
      <c r="P266" s="42">
        <f>IF(Q244=0,0,Q266/Q$244)</f>
        <v>0</v>
      </c>
      <c r="Q266" s="251">
        <f>+SUM(Q254:Q265)</f>
        <v>21630.780000000006</v>
      </c>
      <c r="R266" s="289"/>
      <c r="S266" s="260">
        <f t="shared" si="132"/>
        <v>7358.2699999999968</v>
      </c>
    </row>
    <row r="267" spans="1:19" ht="15.75" customHeight="1">
      <c r="A267" s="23" t="str">
        <f t="shared" si="121"/>
        <v>CarrosseriePublicité 2</v>
      </c>
      <c r="B267" s="184" t="s">
        <v>99</v>
      </c>
      <c r="C267" s="3" t="s">
        <v>50</v>
      </c>
      <c r="D267" s="30"/>
      <c r="F267" s="198">
        <f>+SUM(START:END!F267)</f>
        <v>145</v>
      </c>
      <c r="G267" s="240"/>
      <c r="I267" s="198">
        <f>+SUM(START:END!I267)</f>
        <v>0</v>
      </c>
      <c r="J267" s="152"/>
      <c r="L267" s="201">
        <f>+SUM(START:END!L267)</f>
        <v>55.050000000000004</v>
      </c>
      <c r="M267" s="152"/>
      <c r="N267" s="242">
        <f t="shared" ref="N267:N281" si="133">L267-F267</f>
        <v>-89.949999999999989</v>
      </c>
      <c r="O267" s="152"/>
      <c r="Q267" s="201">
        <f>+SUM(START:END!Q267)</f>
        <v>229.14999999999998</v>
      </c>
      <c r="R267" s="152"/>
      <c r="S267" s="242">
        <f>L267-Q267</f>
        <v>-174.09999999999997</v>
      </c>
    </row>
    <row r="268" spans="1:19" ht="15.75" customHeight="1">
      <c r="A268" s="23" t="str">
        <f t="shared" si="121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1685.0339438417132</v>
      </c>
      <c r="G268" s="240"/>
      <c r="I268" s="198">
        <f>+SUM(START:END!I268)</f>
        <v>0</v>
      </c>
      <c r="J268" s="152"/>
      <c r="L268" s="201">
        <f>+SUM(START:END!L268)</f>
        <v>456.47</v>
      </c>
      <c r="M268" s="152"/>
      <c r="N268" s="242">
        <f t="shared" si="133"/>
        <v>-1228.5639438417131</v>
      </c>
      <c r="O268" s="152"/>
      <c r="Q268" s="201">
        <f>+SUM(START:END!Q268)</f>
        <v>7755.41</v>
      </c>
      <c r="R268" s="152"/>
      <c r="S268" s="242">
        <f t="shared" ref="S268:S281" si="134">L268-Q268</f>
        <v>-7298.94</v>
      </c>
    </row>
    <row r="269" spans="1:19" ht="15.75" customHeight="1">
      <c r="A269" s="23" t="str">
        <f t="shared" si="121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373.51080000000002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505.56</v>
      </c>
      <c r="M269" s="153"/>
      <c r="N269" s="248">
        <f t="shared" si="133"/>
        <v>132.04919999999998</v>
      </c>
      <c r="O269" s="153"/>
      <c r="P269" s="7"/>
      <c r="Q269" s="201">
        <f>+SUM(START:END!Q269)</f>
        <v>649.99</v>
      </c>
      <c r="R269" s="153"/>
      <c r="S269" s="248">
        <f t="shared" si="134"/>
        <v>-144.43</v>
      </c>
    </row>
    <row r="270" spans="1:19" ht="15.75" customHeight="1">
      <c r="A270" s="23" t="str">
        <f t="shared" si="121"/>
        <v>CarrosserieInformatique</v>
      </c>
      <c r="B270" s="184" t="s">
        <v>99</v>
      </c>
      <c r="C270" s="1" t="s">
        <v>53</v>
      </c>
      <c r="D270" s="30"/>
      <c r="F270" s="198">
        <f>+SUM(START:END!F270)</f>
        <v>4351.2806587133327</v>
      </c>
      <c r="G270" s="240"/>
      <c r="I270" s="198">
        <f>+SUM(START:END!I270)</f>
        <v>0</v>
      </c>
      <c r="J270" s="152"/>
      <c r="L270" s="257">
        <f>+SUM(START:END!L270)</f>
        <v>4864.79</v>
      </c>
      <c r="M270" s="152"/>
      <c r="N270" s="242">
        <f t="shared" si="133"/>
        <v>513.50934128666722</v>
      </c>
      <c r="O270" s="152"/>
      <c r="Q270" s="257">
        <f>+SUM(START:END!Q270)</f>
        <v>4473.74</v>
      </c>
      <c r="R270" s="152"/>
      <c r="S270" s="242">
        <f t="shared" si="134"/>
        <v>391.05000000000018</v>
      </c>
    </row>
    <row r="271" spans="1:19" ht="15.75" customHeight="1">
      <c r="A271" s="23" t="str">
        <f t="shared" si="121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642.114715135746</v>
      </c>
      <c r="G271" s="240"/>
      <c r="I271" s="198">
        <f>+SUM(START:END!I271)</f>
        <v>0</v>
      </c>
      <c r="J271" s="152"/>
      <c r="L271" s="201">
        <f>+SUM(START:END!L271)</f>
        <v>1176.33</v>
      </c>
      <c r="M271" s="152"/>
      <c r="N271" s="242">
        <f t="shared" si="133"/>
        <v>534.21528486425393</v>
      </c>
      <c r="O271" s="152"/>
      <c r="Q271" s="201">
        <f>+SUM(START:END!Q271)</f>
        <v>944.92</v>
      </c>
      <c r="R271" s="152"/>
      <c r="S271" s="242">
        <f t="shared" si="134"/>
        <v>231.40999999999997</v>
      </c>
    </row>
    <row r="272" spans="1:19" ht="15.75" customHeight="1">
      <c r="A272" s="23" t="str">
        <f t="shared" si="121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2061.4402330574421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3457.4</v>
      </c>
      <c r="M272" s="153"/>
      <c r="N272" s="248">
        <f t="shared" si="133"/>
        <v>1395.959766942558</v>
      </c>
      <c r="O272" s="153"/>
      <c r="P272" s="7"/>
      <c r="Q272" s="201">
        <f>+SUM(START:END!Q272)</f>
        <v>2452.6999999999998</v>
      </c>
      <c r="R272" s="153"/>
      <c r="S272" s="248">
        <f t="shared" si="134"/>
        <v>1004.7000000000003</v>
      </c>
    </row>
    <row r="273" spans="1:20" ht="15.75" customHeight="1">
      <c r="A273" s="23" t="str">
        <f t="shared" si="121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42">
        <f t="shared" si="133"/>
        <v>0</v>
      </c>
      <c r="O273" s="152"/>
      <c r="Q273" s="219">
        <f>+SUM(START:END!Q273)</f>
        <v>0</v>
      </c>
      <c r="R273" s="152"/>
      <c r="S273" s="242">
        <f t="shared" si="134"/>
        <v>0</v>
      </c>
    </row>
    <row r="274" spans="1:20" ht="15.75" customHeight="1">
      <c r="A274" s="23" t="str">
        <f t="shared" si="121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137.8546</v>
      </c>
      <c r="G274" s="240"/>
      <c r="I274" s="198">
        <f>+SUM(START:END!I274)</f>
        <v>0</v>
      </c>
      <c r="J274" s="152"/>
      <c r="L274" s="201">
        <f>+SUM(START:END!L274)</f>
        <v>0</v>
      </c>
      <c r="M274" s="152"/>
      <c r="N274" s="242">
        <f t="shared" si="133"/>
        <v>-137.8546</v>
      </c>
      <c r="O274" s="152"/>
      <c r="Q274" s="201">
        <f>+SUM(START:END!Q274)</f>
        <v>12.79</v>
      </c>
      <c r="R274" s="152"/>
      <c r="S274" s="242">
        <f t="shared" si="134"/>
        <v>-12.79</v>
      </c>
    </row>
    <row r="275" spans="1:20" ht="15.75" customHeight="1">
      <c r="A275" s="23" t="str">
        <f t="shared" si="121"/>
        <v>CarrosserieUniformes</v>
      </c>
      <c r="B275" s="184" t="s">
        <v>99</v>
      </c>
      <c r="C275" s="1" t="s">
        <v>57</v>
      </c>
      <c r="D275" s="30"/>
      <c r="F275" s="198">
        <f>+SUM(START:END!F275)</f>
        <v>85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42">
        <f t="shared" si="133"/>
        <v>-85</v>
      </c>
      <c r="O275" s="152"/>
      <c r="Q275" s="201">
        <f>+SUM(START:END!Q275)</f>
        <v>0</v>
      </c>
      <c r="R275" s="152"/>
      <c r="S275" s="242">
        <f t="shared" si="134"/>
        <v>0</v>
      </c>
    </row>
    <row r="276" spans="1:20" ht="15.75" customHeight="1">
      <c r="A276" s="23" t="str">
        <f t="shared" si="121"/>
        <v>CarrosseriePapeterie</v>
      </c>
      <c r="B276" s="184" t="s">
        <v>99</v>
      </c>
      <c r="C276" s="1" t="s">
        <v>58</v>
      </c>
      <c r="D276" s="30"/>
      <c r="F276" s="198">
        <f>+SUM(START:END!F276)</f>
        <v>438.71069115785986</v>
      </c>
      <c r="G276" s="240"/>
      <c r="I276" s="198">
        <f>+SUM(START:END!I276)</f>
        <v>0</v>
      </c>
      <c r="J276" s="152"/>
      <c r="L276" s="200">
        <f>+SUM(START:END!L276)</f>
        <v>391.40999999999997</v>
      </c>
      <c r="M276" s="152"/>
      <c r="N276" s="242">
        <f t="shared" si="133"/>
        <v>-47.300691157859887</v>
      </c>
      <c r="O276" s="152"/>
      <c r="Q276" s="200">
        <f>+SUM(START:END!Q276)</f>
        <v>448.88</v>
      </c>
      <c r="R276" s="152"/>
      <c r="S276" s="242">
        <f t="shared" si="134"/>
        <v>-57.470000000000027</v>
      </c>
    </row>
    <row r="277" spans="1:20" ht="15.75" customHeight="1">
      <c r="A277" s="23" t="str">
        <f t="shared" si="121"/>
        <v>CarrosserieTéléphone</v>
      </c>
      <c r="B277" s="184" t="s">
        <v>99</v>
      </c>
      <c r="C277" s="1" t="s">
        <v>59</v>
      </c>
      <c r="D277" s="30"/>
      <c r="F277" s="198">
        <f>+SUM(START:END!F277)</f>
        <v>97.106925977425846</v>
      </c>
      <c r="G277" s="240"/>
      <c r="I277" s="198">
        <f>+SUM(START:END!I277)</f>
        <v>0</v>
      </c>
      <c r="J277" s="152"/>
      <c r="L277" s="201">
        <f>+SUM(START:END!L277)</f>
        <v>86.98</v>
      </c>
      <c r="M277" s="152"/>
      <c r="N277" s="242">
        <f t="shared" si="133"/>
        <v>-10.126925977425842</v>
      </c>
      <c r="O277" s="152"/>
      <c r="Q277" s="201">
        <f>+SUM(START:END!Q277)</f>
        <v>92.5</v>
      </c>
      <c r="R277" s="152"/>
      <c r="S277" s="242">
        <f t="shared" si="134"/>
        <v>-5.519999999999996</v>
      </c>
    </row>
    <row r="278" spans="1:20" ht="15.75" customHeight="1">
      <c r="A278" s="23" t="str">
        <f t="shared" si="121"/>
        <v>CarrosserieFrais postaux</v>
      </c>
      <c r="B278" s="184" t="s">
        <v>99</v>
      </c>
      <c r="C278" s="1" t="s">
        <v>60</v>
      </c>
      <c r="D278" s="30"/>
      <c r="F278" s="198">
        <f>+SUM(START:END!F278)</f>
        <v>67.476296491774178</v>
      </c>
      <c r="G278" s="240"/>
      <c r="I278" s="198">
        <f>+SUM(START:END!I278)</f>
        <v>0</v>
      </c>
      <c r="J278" s="152"/>
      <c r="L278" s="201">
        <f>+SUM(START:END!L278)</f>
        <v>74.180000000000007</v>
      </c>
      <c r="M278" s="152"/>
      <c r="N278" s="242">
        <f t="shared" si="133"/>
        <v>6.7037035082258285</v>
      </c>
      <c r="O278" s="152"/>
      <c r="Q278" s="201">
        <f>+SUM(START:END!Q278)</f>
        <v>23.220000000000002</v>
      </c>
      <c r="R278" s="152"/>
      <c r="S278" s="242">
        <f t="shared" si="134"/>
        <v>50.960000000000008</v>
      </c>
    </row>
    <row r="279" spans="1:20" ht="15.75" customHeight="1">
      <c r="A279" s="23" t="str">
        <f t="shared" si="121"/>
        <v>CarrosserieDivers</v>
      </c>
      <c r="B279" s="184" t="s">
        <v>99</v>
      </c>
      <c r="C279" s="1" t="s">
        <v>61</v>
      </c>
      <c r="D279" s="30"/>
      <c r="F279" s="198">
        <f>+SUM(START:END!F279)</f>
        <v>308.71520251645916</v>
      </c>
      <c r="G279" s="240"/>
      <c r="I279" s="198">
        <f>+SUM(START:END!I279)</f>
        <v>0</v>
      </c>
      <c r="J279" s="152"/>
      <c r="L279" s="201">
        <f>+SUM(START:END!L279)</f>
        <v>264.38</v>
      </c>
      <c r="M279" s="152"/>
      <c r="N279" s="242">
        <f t="shared" si="133"/>
        <v>-44.335202516459162</v>
      </c>
      <c r="O279" s="152"/>
      <c r="Q279" s="201">
        <f>+SUM(START:END!Q279)</f>
        <v>169.98000000000002</v>
      </c>
      <c r="R279" s="152"/>
      <c r="S279" s="242">
        <f t="shared" si="134"/>
        <v>94.399999999999977</v>
      </c>
    </row>
    <row r="280" spans="1:20" ht="15.75" customHeight="1">
      <c r="A280" s="23" t="str">
        <f t="shared" si="121"/>
        <v>CarrosserieFormation</v>
      </c>
      <c r="B280" s="184" t="s">
        <v>99</v>
      </c>
      <c r="C280" s="1" t="s">
        <v>62</v>
      </c>
      <c r="D280" s="30"/>
      <c r="F280" s="198">
        <f>+SUM(START:END!F280)</f>
        <v>526.49610536094769</v>
      </c>
      <c r="G280" s="240"/>
      <c r="I280" s="198">
        <f>+SUM(START:END!I280)</f>
        <v>0</v>
      </c>
      <c r="J280" s="152"/>
      <c r="L280" s="201">
        <f>+SUM(START:END!L280)</f>
        <v>281.56</v>
      </c>
      <c r="M280" s="152"/>
      <c r="N280" s="242">
        <f t="shared" si="133"/>
        <v>-244.93610536094769</v>
      </c>
      <c r="O280" s="152"/>
      <c r="Q280" s="201">
        <f>+SUM(START:END!Q280)</f>
        <v>469.04</v>
      </c>
      <c r="R280" s="152"/>
      <c r="S280" s="242">
        <f t="shared" si="134"/>
        <v>-187.48000000000002</v>
      </c>
    </row>
    <row r="281" spans="1:20" ht="15.75" customHeight="1">
      <c r="A281" s="23" t="str">
        <f t="shared" si="121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707.43684408985587</v>
      </c>
      <c r="G281" s="240"/>
      <c r="I281" s="198">
        <f>+SUM(START:END!I281)</f>
        <v>0</v>
      </c>
      <c r="J281" s="152"/>
      <c r="L281" s="201">
        <f>+SUM(START:END!L281)</f>
        <v>832.78</v>
      </c>
      <c r="M281" s="152"/>
      <c r="N281" s="242">
        <f t="shared" si="133"/>
        <v>125.34315591014411</v>
      </c>
      <c r="O281" s="152"/>
      <c r="Q281" s="201">
        <f>+SUM(START:END!Q281)</f>
        <v>871.61</v>
      </c>
      <c r="R281" s="152"/>
      <c r="S281" s="242">
        <f t="shared" si="134"/>
        <v>-38.830000000000041</v>
      </c>
    </row>
    <row r="282" spans="1:20" ht="15.75" hidden="1" customHeight="1">
      <c r="A282" s="23" t="str">
        <f t="shared" si="121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42"/>
      <c r="O282" s="152"/>
      <c r="Q282" s="201">
        <f>+SUM(START:END!Q282)</f>
        <v>0</v>
      </c>
      <c r="R282" s="152"/>
      <c r="S282" s="242">
        <f t="shared" ref="S282:S284" si="135">L282-Q282</f>
        <v>0</v>
      </c>
    </row>
    <row r="283" spans="1:20" ht="15.75" hidden="1" customHeight="1">
      <c r="A283" s="23" t="str">
        <f t="shared" si="121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42"/>
      <c r="O283" s="152"/>
      <c r="Q283" s="201">
        <f>+SUM(START:END!Q283)</f>
        <v>0</v>
      </c>
      <c r="R283" s="152"/>
      <c r="S283" s="242">
        <f t="shared" si="135"/>
        <v>0</v>
      </c>
    </row>
    <row r="284" spans="1:20" ht="15.75" hidden="1" customHeight="1">
      <c r="A284" s="23" t="str">
        <f t="shared" si="121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42"/>
      <c r="O284" s="152"/>
      <c r="Q284" s="201">
        <f>+SUM(START:END!Q284)</f>
        <v>0</v>
      </c>
      <c r="R284" s="152"/>
      <c r="S284" s="242">
        <f t="shared" si="135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0.40038488348287044</v>
      </c>
      <c r="F285" s="46">
        <f>+SUM(F267:F284)</f>
        <v>11627.177016342557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0.26076303873853851</v>
      </c>
      <c r="L285" s="251">
        <f>+SUM(L267:L284)</f>
        <v>12446.89</v>
      </c>
      <c r="M285" s="254"/>
      <c r="N285" s="255">
        <f>+SUM(N267:N284)</f>
        <v>819.71298365744337</v>
      </c>
      <c r="O285" s="252" t="s">
        <v>39</v>
      </c>
      <c r="P285" s="42">
        <f>Q285/Q$250</f>
        <v>1.9973778543092484</v>
      </c>
      <c r="Q285" s="251">
        <f>+SUM(Q267:Q284)</f>
        <v>18593.930000000004</v>
      </c>
      <c r="R285" s="254"/>
      <c r="S285" s="255">
        <f t="shared" si="132"/>
        <v>-6147.0400000000045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8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1.2069017153613137</v>
      </c>
      <c r="F287" s="46">
        <f>F266+F285</f>
        <v>35048.425814092552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0.8680852508046395</v>
      </c>
      <c r="L287" s="251">
        <f>L266+L285</f>
        <v>41435.94</v>
      </c>
      <c r="M287" s="254"/>
      <c r="N287" s="260">
        <f>N266+N285</f>
        <v>6387.5141859074474</v>
      </c>
      <c r="O287" s="252" t="s">
        <v>39</v>
      </c>
      <c r="P287" s="42">
        <f>Q287/Q$250</f>
        <v>4.3209770581050782</v>
      </c>
      <c r="Q287" s="251">
        <f>Q266+Q285</f>
        <v>40224.710000000006</v>
      </c>
      <c r="R287" s="254"/>
      <c r="S287" s="260">
        <f>L287-Q287</f>
        <v>1211.2299999999959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42"/>
      <c r="O288" s="152"/>
      <c r="Q288" s="222"/>
      <c r="R288" s="152"/>
      <c r="S288" s="242"/>
    </row>
    <row r="289" spans="1:20" ht="15.75" customHeight="1" thickBot="1">
      <c r="B289" s="184"/>
      <c r="C289" s="270" t="s">
        <v>72</v>
      </c>
      <c r="D289" s="291"/>
      <c r="E289" s="271"/>
      <c r="F289" s="358">
        <f>F250-F287</f>
        <v>-6008.4258140925522</v>
      </c>
      <c r="G289" s="292"/>
      <c r="H289" s="271"/>
      <c r="I289" s="273">
        <f>I250-I287</f>
        <v>0</v>
      </c>
      <c r="J289" s="293"/>
      <c r="K289" s="272"/>
      <c r="L289" s="273">
        <f>L250-L287</f>
        <v>6296.6299999999901</v>
      </c>
      <c r="M289" s="293"/>
      <c r="N289" s="275">
        <f>N250-N287</f>
        <v>12305.055814092546</v>
      </c>
      <c r="O289" s="293"/>
      <c r="P289" s="272"/>
      <c r="Q289" s="273">
        <f>Q250-Q287</f>
        <v>-30915.540000000015</v>
      </c>
      <c r="R289" s="293"/>
      <c r="S289" s="275">
        <f>L289-Q289</f>
        <v>37212.170000000006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483" t="s">
        <v>5</v>
      </c>
      <c r="E293" s="484"/>
      <c r="F293" s="485"/>
      <c r="G293" s="481" t="s">
        <v>74</v>
      </c>
      <c r="H293" s="484"/>
      <c r="I293" s="485"/>
      <c r="J293" s="481" t="s">
        <v>7</v>
      </c>
      <c r="K293" s="484"/>
      <c r="L293" s="485"/>
      <c r="M293" s="481" t="s">
        <v>9</v>
      </c>
      <c r="N293" s="485"/>
      <c r="O293" s="483" t="s">
        <v>8</v>
      </c>
      <c r="P293" s="484"/>
      <c r="Q293" s="485"/>
      <c r="R293" s="481" t="s">
        <v>217</v>
      </c>
      <c r="S293" s="482"/>
    </row>
    <row r="294" spans="1:20" ht="15.75" customHeight="1">
      <c r="A294" s="23" t="str">
        <f t="shared" ref="A294:A347" si="136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7" t="s">
        <v>12</v>
      </c>
      <c r="G294" s="278" t="s">
        <v>84</v>
      </c>
      <c r="H294" s="175" t="s">
        <v>104</v>
      </c>
      <c r="I294" s="277" t="s">
        <v>12</v>
      </c>
      <c r="J294" s="278" t="s">
        <v>84</v>
      </c>
      <c r="K294" s="175" t="s">
        <v>104</v>
      </c>
      <c r="L294" s="277" t="s">
        <v>12</v>
      </c>
      <c r="M294" s="278" t="s">
        <v>40</v>
      </c>
      <c r="N294" s="277" t="s">
        <v>12</v>
      </c>
      <c r="O294" s="175" t="s">
        <v>84</v>
      </c>
      <c r="P294" s="175" t="s">
        <v>104</v>
      </c>
      <c r="Q294" s="277" t="s">
        <v>12</v>
      </c>
      <c r="R294" s="278" t="s">
        <v>85</v>
      </c>
      <c r="S294" s="279" t="s">
        <v>12</v>
      </c>
    </row>
    <row r="295" spans="1:20" ht="15.75" customHeight="1">
      <c r="A295" s="23" t="str">
        <f t="shared" si="136"/>
        <v>PiècesPièces Ro Clients</v>
      </c>
      <c r="B295" s="184" t="s">
        <v>103</v>
      </c>
      <c r="C295" s="1" t="s">
        <v>105</v>
      </c>
      <c r="D295" s="26">
        <f>+SUM(START:END!D295)</f>
        <v>399702.89363999997</v>
      </c>
      <c r="E295" s="27">
        <f>IF(D295=0,0,F295/D295)</f>
        <v>0.35699999999999998</v>
      </c>
      <c r="F295" s="242">
        <f>+SUM(START:END!F295)</f>
        <v>142693.93302947999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320480</v>
      </c>
      <c r="K295" s="27">
        <f>IF(J295=0,0,L295/J295)</f>
        <v>0.35733396779830257</v>
      </c>
      <c r="L295" s="201">
        <f>+SUM(START:END!L295)</f>
        <v>114518.39000000001</v>
      </c>
      <c r="M295" s="296">
        <f>(+J295-D295)/D295</f>
        <v>-0.19820445360936911</v>
      </c>
      <c r="N295" s="222">
        <f t="shared" ref="N295:N303" si="137">L295-F295</f>
        <v>-28175.543029479973</v>
      </c>
      <c r="O295" s="198">
        <f>+SUM(START:END!O295)</f>
        <v>345530.09</v>
      </c>
      <c r="P295" s="27">
        <f>IF(O295=0,0,Q295/O295)</f>
        <v>0.30506309884618149</v>
      </c>
      <c r="Q295" s="201">
        <f>+SUM(START:END!Q295)</f>
        <v>105408.48</v>
      </c>
      <c r="R295" s="296">
        <f>IF(O295=0,0,(J295-O295)/O295)</f>
        <v>-7.2497564539169432E-2</v>
      </c>
      <c r="S295" s="242">
        <f t="shared" ref="S295:S304" si="138">L295-Q295</f>
        <v>9109.910000000018</v>
      </c>
    </row>
    <row r="296" spans="1:20" ht="15.75" customHeight="1">
      <c r="A296" s="23" t="str">
        <f t="shared" si="136"/>
        <v>PiècesPièces Ro Carrosserie</v>
      </c>
      <c r="B296" s="184" t="s">
        <v>103</v>
      </c>
      <c r="C296" s="1" t="s">
        <v>106</v>
      </c>
      <c r="D296" s="26">
        <f>+SUM(START:END!D296)</f>
        <v>79200</v>
      </c>
      <c r="E296" s="27">
        <f t="shared" ref="E296:E303" si="139">IF(D296=0,0,F296/D296)</f>
        <v>0.24799999999999997</v>
      </c>
      <c r="F296" s="242">
        <f>+SUM(START:END!F296)</f>
        <v>19641.599999999999</v>
      </c>
      <c r="G296" s="26">
        <f>+SUM(START:END!G296)</f>
        <v>0</v>
      </c>
      <c r="H296" s="27">
        <f t="shared" ref="H296:H303" si="140">IF(G296=0,0,I296/G296)</f>
        <v>0</v>
      </c>
      <c r="I296" s="242">
        <f>+SUM(START:END!I296)</f>
        <v>0</v>
      </c>
      <c r="J296" s="198">
        <f>+SUM(START:END!J296)</f>
        <v>206259.9</v>
      </c>
      <c r="K296" s="27">
        <f t="shared" ref="K296:K303" si="141">IF(J296=0,0,L296/J296)</f>
        <v>0.23291730481785364</v>
      </c>
      <c r="L296" s="201">
        <f>+SUM(START:END!L296)</f>
        <v>48041.500000000007</v>
      </c>
      <c r="M296" s="296">
        <f t="shared" ref="M296:M303" si="142">(+J296-D296)/D296</f>
        <v>1.6042916666666667</v>
      </c>
      <c r="N296" s="222">
        <f t="shared" si="137"/>
        <v>28399.900000000009</v>
      </c>
      <c r="O296" s="198">
        <f>+SUM(START:END!O296)</f>
        <v>17886.97</v>
      </c>
      <c r="P296" s="27">
        <f t="shared" ref="P296:P303" si="143">IF(O296=0,0,Q296/O296)</f>
        <v>0.25687246079128995</v>
      </c>
      <c r="Q296" s="201">
        <f>+SUM(START:END!Q296)</f>
        <v>4594.6699999999801</v>
      </c>
      <c r="R296" s="296">
        <f t="shared" ref="R296:R303" si="144">IF(O296=0,0,(J296-O296)/O296)</f>
        <v>10.531293449924721</v>
      </c>
      <c r="S296" s="242">
        <f t="shared" ref="S296:S303" si="145">L296-Q296</f>
        <v>43446.830000000031</v>
      </c>
    </row>
    <row r="297" spans="1:20" ht="15.75" customHeight="1">
      <c r="A297" s="23" t="str">
        <f t="shared" si="136"/>
        <v>PiècesP/A Garantie</v>
      </c>
      <c r="B297" s="184" t="s">
        <v>103</v>
      </c>
      <c r="C297" s="1" t="s">
        <v>107</v>
      </c>
      <c r="D297" s="26">
        <f>+SUM(START:END!D297)</f>
        <v>140116.35749999998</v>
      </c>
      <c r="E297" s="27">
        <f t="shared" si="139"/>
        <v>0.23699999999999999</v>
      </c>
      <c r="F297" s="242">
        <f>+SUM(START:END!F297)</f>
        <v>33207.576727499996</v>
      </c>
      <c r="G297" s="26">
        <f>+SUM(START:END!G297)</f>
        <v>0</v>
      </c>
      <c r="H297" s="27">
        <f t="shared" si="140"/>
        <v>0</v>
      </c>
      <c r="I297" s="242">
        <f>+SUM(START:END!I297)</f>
        <v>0</v>
      </c>
      <c r="J297" s="198">
        <f>+SUM(START:END!J297)</f>
        <v>219808.75</v>
      </c>
      <c r="K297" s="27">
        <f t="shared" si="141"/>
        <v>0.23308603501907904</v>
      </c>
      <c r="L297" s="201">
        <f>+SUM(START:END!L297)</f>
        <v>51234.349999999991</v>
      </c>
      <c r="M297" s="296">
        <f t="shared" si="142"/>
        <v>0.56875866545417453</v>
      </c>
      <c r="N297" s="222">
        <f t="shared" si="137"/>
        <v>18026.773272499995</v>
      </c>
      <c r="O297" s="198">
        <f>+SUM(START:END!O297)</f>
        <v>139333.47</v>
      </c>
      <c r="P297" s="27">
        <f t="shared" si="143"/>
        <v>0.23159474891424151</v>
      </c>
      <c r="Q297" s="201">
        <f>+SUM(START:END!Q297)</f>
        <v>32268.9</v>
      </c>
      <c r="R297" s="296">
        <f>IF(O297=0,0,(J297-O297)/O297)</f>
        <v>0.57757321338512557</v>
      </c>
      <c r="S297" s="242">
        <f t="shared" si="145"/>
        <v>18965.44999999999</v>
      </c>
    </row>
    <row r="298" spans="1:20" ht="15.75" customHeight="1">
      <c r="A298" s="23" t="str">
        <f t="shared" si="136"/>
        <v>PiècesVentes Internes</v>
      </c>
      <c r="B298" s="184" t="s">
        <v>103</v>
      </c>
      <c r="C298" s="1" t="s">
        <v>108</v>
      </c>
      <c r="D298" s="26">
        <f>+SUM(START:END!D298)</f>
        <v>196047.62099999998</v>
      </c>
      <c r="E298" s="27">
        <f t="shared" si="139"/>
        <v>0.29400000000000004</v>
      </c>
      <c r="F298" s="242">
        <f>+SUM(START:END!F298)</f>
        <v>57638.000573999998</v>
      </c>
      <c r="G298" s="26">
        <f>+SUM(START:END!G298)</f>
        <v>0</v>
      </c>
      <c r="H298" s="27">
        <f t="shared" si="140"/>
        <v>0</v>
      </c>
      <c r="I298" s="242">
        <f>+SUM(START:END!I298)</f>
        <v>0</v>
      </c>
      <c r="J298" s="198">
        <f>+SUM(START:END!J298)</f>
        <v>185345.08000000002</v>
      </c>
      <c r="K298" s="27">
        <f t="shared" si="141"/>
        <v>0.27346282944224892</v>
      </c>
      <c r="L298" s="201">
        <f>+SUM(START:END!L298)</f>
        <v>50684.989999999991</v>
      </c>
      <c r="M298" s="296">
        <f t="shared" si="142"/>
        <v>-5.4591537226559711E-2</v>
      </c>
      <c r="N298" s="222">
        <f t="shared" si="137"/>
        <v>-6953.0105740000072</v>
      </c>
      <c r="O298" s="198">
        <f>+SUM(START:END!O298)</f>
        <v>192968.76</v>
      </c>
      <c r="P298" s="27">
        <f t="shared" si="143"/>
        <v>0.27729042773555623</v>
      </c>
      <c r="Q298" s="201">
        <f>+SUM(START:END!Q298)</f>
        <v>53508.389999999898</v>
      </c>
      <c r="R298" s="296">
        <f t="shared" si="144"/>
        <v>-3.9507327507312548E-2</v>
      </c>
      <c r="S298" s="242">
        <f t="shared" si="145"/>
        <v>-2823.3999999999069</v>
      </c>
    </row>
    <row r="299" spans="1:20" ht="15.75" customHeight="1">
      <c r="A299" s="23" t="str">
        <f t="shared" si="136"/>
        <v>PiècesVentes Détails</v>
      </c>
      <c r="B299" s="184" t="s">
        <v>103</v>
      </c>
      <c r="C299" s="1" t="s">
        <v>109</v>
      </c>
      <c r="D299" s="26">
        <f>+SUM(START:END!D299)</f>
        <v>68731.975999999995</v>
      </c>
      <c r="E299" s="27">
        <f t="shared" si="139"/>
        <v>0.27700000000000002</v>
      </c>
      <c r="F299" s="242">
        <f>+SUM(START:END!F299)</f>
        <v>19038.757352000001</v>
      </c>
      <c r="G299" s="26">
        <f>+SUM(START:END!G299)</f>
        <v>0</v>
      </c>
      <c r="H299" s="27">
        <f t="shared" si="140"/>
        <v>0</v>
      </c>
      <c r="I299" s="242">
        <f>+SUM(START:END!I299)</f>
        <v>0</v>
      </c>
      <c r="J299" s="198">
        <f>+SUM(START:END!J299)</f>
        <v>61941.93</v>
      </c>
      <c r="K299" s="27">
        <f t="shared" si="141"/>
        <v>0.26665668958006306</v>
      </c>
      <c r="L299" s="201">
        <f>+SUM(START:END!L299)</f>
        <v>16517.229999999996</v>
      </c>
      <c r="M299" s="296">
        <f t="shared" si="142"/>
        <v>-9.8790205013165849E-2</v>
      </c>
      <c r="N299" s="222">
        <f t="shared" si="137"/>
        <v>-2521.5273520000046</v>
      </c>
      <c r="O299" s="198">
        <f>+SUM(START:END!O299)</f>
        <v>69015.990000000005</v>
      </c>
      <c r="P299" s="27">
        <f t="shared" si="143"/>
        <v>0.24351965392367736</v>
      </c>
      <c r="Q299" s="201">
        <f>+SUM(START:END!Q299)</f>
        <v>16806.749999999978</v>
      </c>
      <c r="R299" s="296">
        <f t="shared" si="144"/>
        <v>-0.10249885569996177</v>
      </c>
      <c r="S299" s="242">
        <f t="shared" si="145"/>
        <v>-289.51999999998225</v>
      </c>
    </row>
    <row r="300" spans="1:20" ht="15.75" customHeight="1">
      <c r="A300" s="23" t="str">
        <f t="shared" si="136"/>
        <v>PiècesVentes de Gros</v>
      </c>
      <c r="B300" s="184" t="s">
        <v>103</v>
      </c>
      <c r="C300" s="1" t="s">
        <v>110</v>
      </c>
      <c r="D300" s="26">
        <f>+SUM(START:END!D300)</f>
        <v>565424.66099999996</v>
      </c>
      <c r="E300" s="27">
        <f t="shared" si="139"/>
        <v>0.13500000000000004</v>
      </c>
      <c r="F300" s="242">
        <f>+SUM(START:END!F300)</f>
        <v>76332.329235000012</v>
      </c>
      <c r="G300" s="26">
        <f>+SUM(START:END!G300)</f>
        <v>0</v>
      </c>
      <c r="H300" s="27">
        <f t="shared" si="140"/>
        <v>0</v>
      </c>
      <c r="I300" s="242">
        <f>+SUM(START:END!I300)</f>
        <v>0</v>
      </c>
      <c r="J300" s="198">
        <f>+SUM(START:END!J300)</f>
        <v>592846.26</v>
      </c>
      <c r="K300" s="27">
        <f t="shared" si="141"/>
        <v>0.1483438218873136</v>
      </c>
      <c r="L300" s="201">
        <f>+SUM(START:END!L300)</f>
        <v>87945.080000000016</v>
      </c>
      <c r="M300" s="296">
        <f t="shared" si="142"/>
        <v>4.8497352328960491E-2</v>
      </c>
      <c r="N300" s="222">
        <f t="shared" si="137"/>
        <v>11612.750765000004</v>
      </c>
      <c r="O300" s="198">
        <f>+SUM(START:END!O300)</f>
        <v>530401.27</v>
      </c>
      <c r="P300" s="27">
        <f t="shared" si="143"/>
        <v>0.12617383061695875</v>
      </c>
      <c r="Q300" s="201">
        <f>+SUM(START:END!Q300)</f>
        <v>66922.759999999806</v>
      </c>
      <c r="R300" s="296">
        <f t="shared" si="144"/>
        <v>0.11773159969997807</v>
      </c>
      <c r="S300" s="242">
        <f t="shared" si="145"/>
        <v>21022.320000000211</v>
      </c>
    </row>
    <row r="301" spans="1:20" ht="15.75" hidden="1" customHeight="1">
      <c r="A301" s="23" t="str">
        <f t="shared" si="136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9"/>
        <v>0</v>
      </c>
      <c r="F301" s="242">
        <f>+SUM(START:END!F301)</f>
        <v>0</v>
      </c>
      <c r="G301" s="26">
        <f>+SUM(START:END!G301)</f>
        <v>0</v>
      </c>
      <c r="H301" s="27">
        <f t="shared" si="140"/>
        <v>0</v>
      </c>
      <c r="I301" s="242">
        <f>+SUM(START:END!I301)</f>
        <v>0</v>
      </c>
      <c r="J301" s="198">
        <f>+SUM(START:END!J301)</f>
        <v>0</v>
      </c>
      <c r="K301" s="27">
        <f t="shared" si="141"/>
        <v>0</v>
      </c>
      <c r="L301" s="201">
        <f>+SUM(START:END!L301)</f>
        <v>0</v>
      </c>
      <c r="M301" s="296" t="e">
        <f t="shared" si="142"/>
        <v>#DIV/0!</v>
      </c>
      <c r="N301" s="222">
        <f t="shared" si="137"/>
        <v>0</v>
      </c>
      <c r="O301" s="198">
        <f>+SUM(START:END!O301)</f>
        <v>0</v>
      </c>
      <c r="P301" s="27">
        <f t="shared" si="143"/>
        <v>0</v>
      </c>
      <c r="Q301" s="201">
        <f>+SUM(START:END!Q301)</f>
        <v>0</v>
      </c>
      <c r="R301" s="296">
        <f t="shared" si="144"/>
        <v>0</v>
      </c>
      <c r="S301" s="242">
        <f t="shared" si="145"/>
        <v>0</v>
      </c>
    </row>
    <row r="302" spans="1:20" ht="15.75" customHeight="1">
      <c r="A302" s="23" t="str">
        <f t="shared" si="136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9"/>
        <v>0</v>
      </c>
      <c r="F302" s="242">
        <f>+SUM(START:END!F302)</f>
        <v>37155.428938891651</v>
      </c>
      <c r="G302" s="26">
        <f>+SUM(START:END!G302)</f>
        <v>0</v>
      </c>
      <c r="H302" s="27">
        <f t="shared" si="140"/>
        <v>0</v>
      </c>
      <c r="I302" s="242">
        <f>+SUM(START:END!I302)</f>
        <v>0</v>
      </c>
      <c r="J302" s="198">
        <f>+SUM(START:END!J302)</f>
        <v>0</v>
      </c>
      <c r="K302" s="27">
        <f t="shared" si="141"/>
        <v>0</v>
      </c>
      <c r="L302" s="201">
        <f>+SUM(START:END!L302)</f>
        <v>80347.98000000001</v>
      </c>
      <c r="M302" s="296" t="e">
        <f t="shared" si="142"/>
        <v>#DIV/0!</v>
      </c>
      <c r="N302" s="222">
        <f t="shared" si="137"/>
        <v>43192.551061108359</v>
      </c>
      <c r="O302" s="198">
        <f>+SUM(START:END!O302)</f>
        <v>0</v>
      </c>
      <c r="P302" s="27">
        <f t="shared" si="143"/>
        <v>0</v>
      </c>
      <c r="Q302" s="201">
        <f>+SUM(START:END!Q302)</f>
        <v>35792.659999999902</v>
      </c>
      <c r="R302" s="296">
        <f t="shared" si="144"/>
        <v>0</v>
      </c>
      <c r="S302" s="242">
        <f t="shared" si="145"/>
        <v>44555.320000000109</v>
      </c>
    </row>
    <row r="303" spans="1:20" ht="15.75" customHeight="1">
      <c r="A303" s="23" t="str">
        <f t="shared" si="136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9"/>
        <v>0</v>
      </c>
      <c r="F303" s="242">
        <f>+SUM(START:END!F303)</f>
        <v>0</v>
      </c>
      <c r="G303" s="26">
        <f>+SUM(START:END!G303)</f>
        <v>0</v>
      </c>
      <c r="H303" s="27">
        <f t="shared" si="140"/>
        <v>0</v>
      </c>
      <c r="I303" s="242">
        <f>+SUM(START:END!I303)</f>
        <v>0</v>
      </c>
      <c r="J303" s="198">
        <f>+SUM(START:END!J303)</f>
        <v>0</v>
      </c>
      <c r="K303" s="27">
        <f t="shared" si="141"/>
        <v>0</v>
      </c>
      <c r="L303" s="201">
        <f>+SUM(START:END!L303)</f>
        <v>0</v>
      </c>
      <c r="M303" s="296" t="e">
        <f t="shared" si="142"/>
        <v>#DIV/0!</v>
      </c>
      <c r="N303" s="222">
        <f t="shared" si="137"/>
        <v>0</v>
      </c>
      <c r="O303" s="198">
        <f>+SUM(START:END!O303)</f>
        <v>0</v>
      </c>
      <c r="P303" s="27">
        <f t="shared" si="143"/>
        <v>0</v>
      </c>
      <c r="Q303" s="201">
        <f>+SUM(START:END!Q303)</f>
        <v>0</v>
      </c>
      <c r="R303" s="296">
        <f t="shared" si="144"/>
        <v>0</v>
      </c>
      <c r="S303" s="242">
        <f t="shared" si="145"/>
        <v>0</v>
      </c>
    </row>
    <row r="304" spans="1:20" ht="15.75" customHeight="1">
      <c r="A304" s="23" t="str">
        <f t="shared" si="136"/>
        <v>PiècesSous-total Pièces</v>
      </c>
      <c r="B304" s="184" t="s">
        <v>103</v>
      </c>
      <c r="C304" s="22" t="s">
        <v>113</v>
      </c>
      <c r="D304" s="83">
        <f>SUM(D295:D303)</f>
        <v>1449223.5091399997</v>
      </c>
      <c r="E304" s="78">
        <f>IF(D304&lt;=0,0,F304/D304)</f>
        <v>0.2661477842612136</v>
      </c>
      <c r="F304" s="330">
        <f>SUM(F295:F303)</f>
        <v>385707.6258568716</v>
      </c>
      <c r="G304" s="83">
        <f>SUM(G295:G303)</f>
        <v>0</v>
      </c>
      <c r="H304" s="78">
        <f>IF(G304&lt;=0,0,I304/G304)</f>
        <v>0</v>
      </c>
      <c r="I304" s="330">
        <f>SUM(I295:I303)</f>
        <v>0</v>
      </c>
      <c r="J304" s="83">
        <f>SUM(J295:J303)</f>
        <v>1586681.92</v>
      </c>
      <c r="K304" s="78">
        <f>IF(J304&lt;=0,0,L304/J304)</f>
        <v>0.28316294169407313</v>
      </c>
      <c r="L304" s="329">
        <f>SUM(L295:L303)</f>
        <v>449289.52</v>
      </c>
      <c r="M304" s="365">
        <f>(+J304-D304)/D304</f>
        <v>9.4849697091631463E-2</v>
      </c>
      <c r="N304" s="329">
        <f>SUM(N295:N303)</f>
        <v>63581.894143128382</v>
      </c>
      <c r="O304" s="83">
        <f>SUM(O295:O303)</f>
        <v>1295136.55</v>
      </c>
      <c r="P304" s="78">
        <f>IF(O304&lt;=0,0,Q304/O304)</f>
        <v>0.24345124844171803</v>
      </c>
      <c r="Q304" s="329">
        <f>SUM(Q295:Q303)</f>
        <v>315302.60999999958</v>
      </c>
      <c r="R304" s="365">
        <f>IF(O304=0,0,(J304-O304)/O304)</f>
        <v>0.22510782357273437</v>
      </c>
      <c r="S304" s="330">
        <f t="shared" si="138"/>
        <v>133986.91000000044</v>
      </c>
    </row>
    <row r="305" spans="1:19" ht="15.75" customHeight="1">
      <c r="A305" s="23" t="str">
        <f t="shared" si="136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0.16484479403765367</v>
      </c>
      <c r="O305" s="152"/>
      <c r="Q305" s="208"/>
      <c r="R305" s="152"/>
      <c r="S305" s="209">
        <f>IF(Q304=0,0,S304/Q304)</f>
        <v>0.42494703738735501</v>
      </c>
    </row>
    <row r="306" spans="1:19" ht="15.75" customHeight="1">
      <c r="A306" s="23" t="str">
        <f t="shared" si="136"/>
        <v>Pièces</v>
      </c>
      <c r="B306" s="184" t="s">
        <v>103</v>
      </c>
      <c r="C306" s="2"/>
      <c r="D306" s="7"/>
      <c r="E306" s="7"/>
      <c r="F306" s="366"/>
      <c r="G306" s="153"/>
      <c r="H306" s="367"/>
      <c r="I306" s="366"/>
      <c r="J306" s="153"/>
      <c r="K306" s="7"/>
      <c r="L306" s="366"/>
      <c r="M306" s="153"/>
      <c r="N306" s="302"/>
      <c r="O306" s="153"/>
      <c r="P306" s="7"/>
      <c r="Q306" s="366"/>
      <c r="R306" s="153"/>
      <c r="S306" s="303"/>
    </row>
    <row r="307" spans="1:19" ht="15.75" customHeight="1">
      <c r="A307" s="23" t="str">
        <f t="shared" si="136"/>
        <v>PiècesVentes Pneus</v>
      </c>
      <c r="B307" s="184" t="s">
        <v>103</v>
      </c>
      <c r="C307" s="1" t="s">
        <v>114</v>
      </c>
      <c r="D307" s="26">
        <f>+SUM(START:END!D307)</f>
        <v>276178.08</v>
      </c>
      <c r="E307" s="27">
        <f t="shared" ref="E307:E308" si="146">IF(D307=0,0,F307/D307)</f>
        <v>0.17100000000000001</v>
      </c>
      <c r="F307" s="259">
        <f>+SUM(START:END!F307)</f>
        <v>47226.451680000006</v>
      </c>
      <c r="G307" s="26">
        <f>+SUM(START:END!G307)</f>
        <v>0</v>
      </c>
      <c r="H307" s="27">
        <f t="shared" ref="H307:H308" si="147">IF(G307=0,0,I307/G307)</f>
        <v>0</v>
      </c>
      <c r="I307" s="259">
        <f>+SUM(START:END!I307)</f>
        <v>0</v>
      </c>
      <c r="J307" s="198">
        <f>+SUM(START:END!J307)</f>
        <v>289760.80000000005</v>
      </c>
      <c r="K307" s="27">
        <f t="shared" ref="K307:K308" si="148">IF(J307=0,0,L307/J307)</f>
        <v>0.18747849950717974</v>
      </c>
      <c r="L307" s="201">
        <f>+SUM(START:END!L307)</f>
        <v>54323.920000000013</v>
      </c>
      <c r="M307" s="296">
        <f t="shared" ref="M307:M308" si="149">(+J307-D307)/D307</f>
        <v>4.918102117300558E-2</v>
      </c>
      <c r="N307" s="222">
        <f t="shared" ref="N307:N308" si="150">L307-F307</f>
        <v>7097.4683200000072</v>
      </c>
      <c r="O307" s="198">
        <f>+SUM(START:END!O307)</f>
        <v>252856.88999999998</v>
      </c>
      <c r="P307" s="27">
        <f t="shared" ref="P307:P308" si="151">IF(O307=0,0,Q307/O307)</f>
        <v>0.17447869425270557</v>
      </c>
      <c r="Q307" s="201">
        <f>+SUM(START:END!Q307)</f>
        <v>44118.14</v>
      </c>
      <c r="R307" s="296">
        <f t="shared" ref="R307:R308" si="152">IF(O307=0,0,(J307-O307)/O307)</f>
        <v>0.14594781261447953</v>
      </c>
      <c r="S307" s="242">
        <f t="shared" ref="S307:S308" si="153">L307-Q307</f>
        <v>10205.780000000013</v>
      </c>
    </row>
    <row r="308" spans="1:19" ht="15.75" customHeight="1">
      <c r="A308" s="23" t="str">
        <f t="shared" si="136"/>
        <v>PiècesHuiles et Graisse</v>
      </c>
      <c r="B308" s="184" t="s">
        <v>103</v>
      </c>
      <c r="C308" s="2" t="s">
        <v>115</v>
      </c>
      <c r="D308" s="26">
        <f>+SUM(START:END!D308)</f>
        <v>67358.2402673162</v>
      </c>
      <c r="E308" s="27">
        <f t="shared" si="146"/>
        <v>0.25600000000000001</v>
      </c>
      <c r="F308" s="248">
        <f>+SUM(START:END!F308)</f>
        <v>17243.709508432948</v>
      </c>
      <c r="G308" s="26">
        <f>+SUM(START:END!G308)</f>
        <v>0</v>
      </c>
      <c r="H308" s="27">
        <f t="shared" si="147"/>
        <v>0</v>
      </c>
      <c r="I308" s="248">
        <f>+SUM(START:END!I308)</f>
        <v>0</v>
      </c>
      <c r="J308" s="198">
        <f>+SUM(START:END!J308)</f>
        <v>81963.28</v>
      </c>
      <c r="K308" s="27">
        <f t="shared" si="148"/>
        <v>0.28415297679643864</v>
      </c>
      <c r="L308" s="201">
        <f>+SUM(START:END!L308)</f>
        <v>23290.11</v>
      </c>
      <c r="M308" s="296">
        <f t="shared" si="149"/>
        <v>0.2168263255501125</v>
      </c>
      <c r="N308" s="222">
        <f t="shared" si="150"/>
        <v>6046.4004915670521</v>
      </c>
      <c r="O308" s="198">
        <f>+SUM(START:END!O308)</f>
        <v>91102.78</v>
      </c>
      <c r="P308" s="27">
        <f t="shared" si="151"/>
        <v>0.26146304207182153</v>
      </c>
      <c r="Q308" s="201">
        <f>+SUM(START:END!Q308)</f>
        <v>23820.0099999999</v>
      </c>
      <c r="R308" s="296">
        <f t="shared" si="152"/>
        <v>-0.10032075859814596</v>
      </c>
      <c r="S308" s="242">
        <f t="shared" si="153"/>
        <v>-529.89999999989959</v>
      </c>
    </row>
    <row r="309" spans="1:19" ht="15.75" customHeight="1">
      <c r="A309" s="23" t="str">
        <f t="shared" si="136"/>
        <v>PiècesSous-total Pièces et Acc.</v>
      </c>
      <c r="B309" s="184" t="s">
        <v>103</v>
      </c>
      <c r="C309" s="22" t="s">
        <v>116</v>
      </c>
      <c r="D309" s="83">
        <f>D304+D307+D308</f>
        <v>1792759.8294073159</v>
      </c>
      <c r="E309" s="78">
        <f>IF(D309&lt;=0,0,F309/D309)</f>
        <v>0.25110880981426986</v>
      </c>
      <c r="F309" s="329">
        <f t="shared" ref="F309" si="154">F304+F307+F308</f>
        <v>450177.78704530455</v>
      </c>
      <c r="G309" s="328">
        <f>G304+G307+G308</f>
        <v>0</v>
      </c>
      <c r="H309" s="78">
        <f>IF(G309&lt;=0,0,I309/G309)</f>
        <v>0</v>
      </c>
      <c r="I309" s="329">
        <f t="shared" ref="I309" si="155">I304+I307+I308</f>
        <v>0</v>
      </c>
      <c r="J309" s="328">
        <f>J304+J307+J308</f>
        <v>1958406</v>
      </c>
      <c r="K309" s="78">
        <f>IF(J309&lt;=0,0,L309/J309)</f>
        <v>0.26904714854836026</v>
      </c>
      <c r="L309" s="329">
        <f t="shared" ref="L309:N309" si="156">L304+L307+L308</f>
        <v>526903.55000000005</v>
      </c>
      <c r="M309" s="365">
        <f>(+J309-D309)/D309</f>
        <v>9.2397301565735362E-2</v>
      </c>
      <c r="N309" s="329">
        <f t="shared" si="156"/>
        <v>76725.762954695441</v>
      </c>
      <c r="O309" s="328">
        <f>O304+O307+O308</f>
        <v>1639096.22</v>
      </c>
      <c r="P309" s="78">
        <f>IF(O309&lt;=0,0,Q309/O309)</f>
        <v>0.23381224074813589</v>
      </c>
      <c r="Q309" s="329">
        <f t="shared" ref="Q309" si="157">Q304+Q307+Q308</f>
        <v>383240.75999999949</v>
      </c>
      <c r="R309" s="365">
        <f>IF(O309=0,0,(J309-O309)/O309)</f>
        <v>0.19480844144707993</v>
      </c>
      <c r="S309" s="330">
        <f t="shared" ref="S309" si="158">L309-Q309</f>
        <v>143662.79000000056</v>
      </c>
    </row>
    <row r="310" spans="1:19" ht="15.75" customHeight="1">
      <c r="A310" s="23" t="str">
        <f t="shared" si="136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0.1704343598520866</v>
      </c>
      <c r="O310" s="152"/>
      <c r="Q310" s="208"/>
      <c r="R310" s="152"/>
      <c r="S310" s="209">
        <f>IF(Q309=0,0,S309/Q309)</f>
        <v>0.374863023442498</v>
      </c>
    </row>
    <row r="311" spans="1:19" ht="15.75" hidden="1" customHeight="1">
      <c r="A311" s="23" t="str">
        <f t="shared" si="136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9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60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61">IF(J311=0,0,L311/J311)</f>
        <v>0</v>
      </c>
      <c r="L311" s="201">
        <f>+SUM(START:END!L311)</f>
        <v>0</v>
      </c>
      <c r="M311" s="27" t="e">
        <f t="shared" ref="M311:M312" si="162">(+J311-D311)/D311</f>
        <v>#DIV/0!</v>
      </c>
      <c r="N311" s="222">
        <f t="shared" ref="N311:N312" si="163">L311-F311</f>
        <v>0</v>
      </c>
      <c r="O311" s="199">
        <f>+SUM(START:END!O311)</f>
        <v>0</v>
      </c>
      <c r="P311" s="27">
        <f t="shared" ref="P311:P312" si="164">IF(O311=0,0,Q311/O311)</f>
        <v>0</v>
      </c>
      <c r="Q311" s="201">
        <f>+SUM(START:END!Q311)</f>
        <v>0</v>
      </c>
      <c r="R311" s="27">
        <f t="shared" ref="R311:R312" si="165">IF(O311=0,0,(J311-O311)/O311)</f>
        <v>0</v>
      </c>
      <c r="S311" s="242">
        <f t="shared" ref="S311:S312" si="166">L311-Q311</f>
        <v>0</v>
      </c>
    </row>
    <row r="312" spans="1:19" ht="15.75" hidden="1" customHeight="1">
      <c r="A312" s="23" t="str">
        <f t="shared" si="136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5">
        <f t="shared" si="159"/>
        <v>0</v>
      </c>
      <c r="F312" s="368">
        <f>+SUM(START:END!F312)</f>
        <v>0</v>
      </c>
      <c r="G312" s="307">
        <f>+SUM(START:END!G312)</f>
        <v>0</v>
      </c>
      <c r="H312" s="305">
        <f t="shared" si="160"/>
        <v>0</v>
      </c>
      <c r="I312" s="368">
        <f>+SUM(START:END!I312)</f>
        <v>0</v>
      </c>
      <c r="J312" s="211">
        <f>+SUM(START:END!J312)</f>
        <v>0</v>
      </c>
      <c r="K312" s="11">
        <f t="shared" si="161"/>
        <v>0</v>
      </c>
      <c r="L312" s="193">
        <f>+SUM(START:END!L312)</f>
        <v>0</v>
      </c>
      <c r="M312" s="11" t="e">
        <f t="shared" si="162"/>
        <v>#DIV/0!</v>
      </c>
      <c r="N312" s="247">
        <f t="shared" si="163"/>
        <v>0</v>
      </c>
      <c r="O312" s="211">
        <f>+SUM(START:END!O312)</f>
        <v>0</v>
      </c>
      <c r="P312" s="11">
        <f t="shared" si="164"/>
        <v>0</v>
      </c>
      <c r="Q312" s="193">
        <f>+SUM(START:END!Q312)</f>
        <v>0</v>
      </c>
      <c r="R312" s="11">
        <f t="shared" si="165"/>
        <v>0</v>
      </c>
      <c r="S312" s="248">
        <f t="shared" si="166"/>
        <v>0</v>
      </c>
    </row>
    <row r="313" spans="1:19" ht="15.75" customHeight="1" thickBot="1">
      <c r="A313" s="23" t="str">
        <f t="shared" si="136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6"/>
      <c r="N313" s="222"/>
      <c r="O313" s="223"/>
      <c r="P313" s="27"/>
      <c r="Q313" s="222"/>
      <c r="R313" s="296"/>
      <c r="S313" s="242"/>
    </row>
    <row r="314" spans="1:19" ht="15.75" customHeight="1" thickTop="1">
      <c r="A314" s="23" t="str">
        <f t="shared" si="136"/>
        <v>PiècesTotal Dépt. Pièces</v>
      </c>
      <c r="B314" s="184" t="s">
        <v>103</v>
      </c>
      <c r="C314" s="225" t="s">
        <v>118</v>
      </c>
      <c r="D314" s="226">
        <f>D309+D312+D311</f>
        <v>1792759.8294073159</v>
      </c>
      <c r="E314" s="369">
        <f>IF(D314&lt;=0,0,F314/D314)</f>
        <v>0.25110880981426986</v>
      </c>
      <c r="F314" s="228">
        <f>F309+F312+F311</f>
        <v>450177.78704530455</v>
      </c>
      <c r="G314" s="229">
        <f>G309+G312+G311</f>
        <v>0</v>
      </c>
      <c r="H314" s="369">
        <f>IF(G314&lt;=0,0,I314/G314)</f>
        <v>0</v>
      </c>
      <c r="I314" s="228">
        <f>I309+I312+I311</f>
        <v>0</v>
      </c>
      <c r="J314" s="229">
        <f>J309+J312+J311</f>
        <v>1958406</v>
      </c>
      <c r="K314" s="369">
        <f>IF(J314&lt;=0,0,L314/J314)</f>
        <v>0.26904714854836026</v>
      </c>
      <c r="L314" s="228">
        <f>L309+L312+L311</f>
        <v>526903.55000000005</v>
      </c>
      <c r="M314" s="370">
        <f>(+J314-D314)/D314</f>
        <v>9.2397301565735362E-2</v>
      </c>
      <c r="N314" s="372">
        <f>N309+N312+N311</f>
        <v>76725.762954695441</v>
      </c>
      <c r="O314" s="229">
        <f>O309+O312+O311</f>
        <v>1639096.22</v>
      </c>
      <c r="P314" s="369">
        <f>IF(O314&lt;=0,0,Q314/O314)</f>
        <v>0.23381224074813589</v>
      </c>
      <c r="Q314" s="228">
        <f>Q309+Q312+Q311</f>
        <v>383240.75999999949</v>
      </c>
      <c r="R314" s="370">
        <f>IF(O314=0,0,(J314-O314)/O314)</f>
        <v>0.19480844144707993</v>
      </c>
      <c r="S314" s="372">
        <f>L314-Q314</f>
        <v>143662.79000000056</v>
      </c>
    </row>
    <row r="315" spans="1:19" ht="15.75" customHeight="1" thickBot="1">
      <c r="A315" s="23" t="str">
        <f t="shared" si="136"/>
        <v>Pièces</v>
      </c>
      <c r="B315" s="184" t="s">
        <v>103</v>
      </c>
      <c r="C315" s="373"/>
      <c r="D315" s="374"/>
      <c r="E315" s="375"/>
      <c r="F315" s="376"/>
      <c r="G315" s="377"/>
      <c r="H315" s="375"/>
      <c r="I315" s="376"/>
      <c r="J315" s="377"/>
      <c r="K315" s="375"/>
      <c r="L315" s="376"/>
      <c r="M315" s="378"/>
      <c r="N315" s="237">
        <f>N314/F314</f>
        <v>0.1704343598520866</v>
      </c>
      <c r="O315" s="377"/>
      <c r="P315" s="375"/>
      <c r="Q315" s="376"/>
      <c r="R315" s="378"/>
      <c r="S315" s="237">
        <f>IF(Q314=0,0,S314/Q314)</f>
        <v>0.374863023442498</v>
      </c>
    </row>
    <row r="316" spans="1:19" ht="15.75" customHeight="1" thickTop="1">
      <c r="A316" s="23" t="str">
        <f t="shared" si="136"/>
        <v>Pièces</v>
      </c>
      <c r="B316" s="184" t="s">
        <v>103</v>
      </c>
      <c r="C316" s="22"/>
      <c r="D316" s="87"/>
      <c r="E316" s="311"/>
      <c r="F316" s="312"/>
      <c r="G316" s="318"/>
      <c r="H316" s="311"/>
      <c r="I316" s="312"/>
      <c r="J316" s="318"/>
      <c r="K316" s="311"/>
      <c r="L316" s="312"/>
      <c r="M316" s="152"/>
      <c r="N316" s="171"/>
      <c r="O316" s="318"/>
      <c r="P316" s="311"/>
      <c r="Q316" s="312"/>
      <c r="R316" s="152"/>
      <c r="S316" s="209"/>
    </row>
    <row r="317" spans="1:19" ht="15.75" customHeight="1">
      <c r="A317" s="23" t="str">
        <f t="shared" si="136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6"/>
        <v>PiècesSalaires cadres</v>
      </c>
      <c r="B318" s="184" t="s">
        <v>103</v>
      </c>
      <c r="C318" s="1" t="s">
        <v>41</v>
      </c>
      <c r="F318" s="198">
        <f>+SUM(START:END!F318)</f>
        <v>22063.75</v>
      </c>
      <c r="G318" s="152"/>
      <c r="I318" s="198">
        <f>+SUM(START:END!I318)</f>
        <v>0</v>
      </c>
      <c r="J318" s="152"/>
      <c r="L318" s="201">
        <f>+SUM(START:END!L318)</f>
        <v>22363.519999999997</v>
      </c>
      <c r="M318" s="152"/>
      <c r="N318" s="379">
        <f t="shared" ref="N318:N328" si="167">L318-F318</f>
        <v>299.7699999999968</v>
      </c>
      <c r="O318" s="152"/>
      <c r="Q318" s="201">
        <f>+SUM(START:END!Q318)</f>
        <v>25875.43</v>
      </c>
      <c r="R318" s="152"/>
      <c r="S318" s="202">
        <f>L318-Q318</f>
        <v>-3511.9100000000035</v>
      </c>
    </row>
    <row r="319" spans="1:19" ht="15.75" customHeight="1">
      <c r="A319" s="23" t="str">
        <f t="shared" si="136"/>
        <v>PiècesSalaires commis</v>
      </c>
      <c r="B319" s="184" t="s">
        <v>103</v>
      </c>
      <c r="C319" s="2" t="s">
        <v>42</v>
      </c>
      <c r="D319" s="30"/>
      <c r="F319" s="193">
        <f>+SUM(START:END!F319)</f>
        <v>85337.878400000001</v>
      </c>
      <c r="G319" s="240"/>
      <c r="I319" s="193">
        <f>+SUM(START:END!I319)</f>
        <v>0</v>
      </c>
      <c r="J319" s="152"/>
      <c r="L319" s="201">
        <f>+SUM(START:END!L319)</f>
        <v>72922.03</v>
      </c>
      <c r="M319" s="152"/>
      <c r="N319" s="222">
        <f t="shared" si="167"/>
        <v>-12415.848400000003</v>
      </c>
      <c r="O319" s="152"/>
      <c r="Q319" s="201">
        <f>+SUM(START:END!Q319)</f>
        <v>82474.739999999991</v>
      </c>
      <c r="R319" s="152"/>
      <c r="S319" s="242">
        <f t="shared" ref="S319:S328" si="168">L319-Q319</f>
        <v>-9552.7099999999919</v>
      </c>
    </row>
    <row r="320" spans="1:19" ht="15.75" customHeight="1">
      <c r="A320" s="23" t="str">
        <f t="shared" si="136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7"/>
        <v>-114.04000000000002</v>
      </c>
      <c r="O320" s="154"/>
      <c r="P320" s="53"/>
      <c r="Q320" s="257">
        <f>+SUM(START:END!Q320)</f>
        <v>341.76</v>
      </c>
      <c r="R320" s="154"/>
      <c r="S320" s="259">
        <f t="shared" si="168"/>
        <v>0</v>
      </c>
    </row>
    <row r="321" spans="1:19" ht="15.75" customHeight="1">
      <c r="A321" s="23" t="str">
        <f t="shared" si="136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7"/>
        <v>0</v>
      </c>
      <c r="O321" s="152"/>
      <c r="Q321" s="201">
        <f>+SUM(START:END!Q321)</f>
        <v>0</v>
      </c>
      <c r="R321" s="152"/>
      <c r="S321" s="242">
        <f t="shared" si="168"/>
        <v>0</v>
      </c>
    </row>
    <row r="322" spans="1:19" ht="15.75" hidden="1" customHeight="1">
      <c r="A322" s="23" t="str">
        <f t="shared" si="136"/>
        <v>Pièces[...]</v>
      </c>
      <c r="B322" s="184" t="s">
        <v>103</v>
      </c>
      <c r="C322" s="380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7"/>
        <v>0</v>
      </c>
      <c r="O322" s="152"/>
      <c r="Q322" s="201">
        <f>+SUM(START:END!Q322)</f>
        <v>0</v>
      </c>
      <c r="R322" s="152"/>
      <c r="S322" s="242">
        <f t="shared" si="168"/>
        <v>0</v>
      </c>
    </row>
    <row r="323" spans="1:19" ht="15.75" hidden="1" customHeight="1">
      <c r="A323" s="23" t="str">
        <f t="shared" si="136"/>
        <v>Pièces[...]</v>
      </c>
      <c r="B323" s="184" t="s">
        <v>103</v>
      </c>
      <c r="C323" s="380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7"/>
        <v>0</v>
      </c>
      <c r="O323" s="152"/>
      <c r="Q323" s="201">
        <f>+SUM(START:END!Q323)</f>
        <v>0</v>
      </c>
      <c r="R323" s="152"/>
      <c r="S323" s="242">
        <f t="shared" si="168"/>
        <v>0</v>
      </c>
    </row>
    <row r="324" spans="1:19" ht="15.75" hidden="1" customHeight="1">
      <c r="A324" s="23" t="str">
        <f t="shared" si="136"/>
        <v>Pièces[...]</v>
      </c>
      <c r="B324" s="184" t="s">
        <v>103</v>
      </c>
      <c r="C324" s="380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7"/>
        <v>0</v>
      </c>
      <c r="O324" s="152"/>
      <c r="Q324" s="201">
        <f>+SUM(START:END!Q324)</f>
        <v>0</v>
      </c>
      <c r="R324" s="152"/>
      <c r="S324" s="242">
        <f t="shared" si="168"/>
        <v>0</v>
      </c>
    </row>
    <row r="325" spans="1:19" ht="15.75" customHeight="1">
      <c r="A325" s="23" t="str">
        <f t="shared" si="136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13298.0491234</v>
      </c>
      <c r="G325" s="240"/>
      <c r="I325" s="193">
        <f>+SUM(START:END!I325)</f>
        <v>0</v>
      </c>
      <c r="J325" s="152"/>
      <c r="L325" s="201">
        <f>+SUM(START:END!L325)</f>
        <v>10374.060000000001</v>
      </c>
      <c r="M325" s="152"/>
      <c r="N325" s="222">
        <f t="shared" si="167"/>
        <v>-2923.9891233999988</v>
      </c>
      <c r="O325" s="152"/>
      <c r="Q325" s="201">
        <f>+SUM(START:END!Q325)</f>
        <v>11181.05</v>
      </c>
      <c r="R325" s="152"/>
      <c r="S325" s="242">
        <f t="shared" si="168"/>
        <v>-806.98999999999796</v>
      </c>
    </row>
    <row r="326" spans="1:19" ht="15.75" customHeight="1">
      <c r="A326" s="23" t="str">
        <f t="shared" si="136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16168.553119200002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17065.689999999999</v>
      </c>
      <c r="M326" s="154"/>
      <c r="N326" s="258">
        <f t="shared" si="167"/>
        <v>897.13688079999702</v>
      </c>
      <c r="O326" s="154"/>
      <c r="P326" s="53"/>
      <c r="Q326" s="257">
        <f>+SUM(START:END!Q326)</f>
        <v>18924.069999999982</v>
      </c>
      <c r="R326" s="154"/>
      <c r="S326" s="259">
        <f t="shared" si="168"/>
        <v>-1858.3799999999828</v>
      </c>
    </row>
    <row r="327" spans="1:19" ht="15.75" customHeight="1">
      <c r="A327" s="23" t="str">
        <f t="shared" si="136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8330.3197592399993</v>
      </c>
      <c r="G327" s="240"/>
      <c r="I327" s="198">
        <f>+SUM(START:END!I327)</f>
        <v>0</v>
      </c>
      <c r="J327" s="152"/>
      <c r="L327" s="201">
        <f>+SUM(START:END!L327)</f>
        <v>4850</v>
      </c>
      <c r="M327" s="152"/>
      <c r="N327" s="222">
        <f t="shared" si="167"/>
        <v>-3480.3197592399993</v>
      </c>
      <c r="O327" s="152"/>
      <c r="Q327" s="201">
        <f>+SUM(START:END!Q327)</f>
        <v>-978.25999999999976</v>
      </c>
      <c r="R327" s="152"/>
      <c r="S327" s="242">
        <f t="shared" si="168"/>
        <v>5828.26</v>
      </c>
    </row>
    <row r="328" spans="1:19" ht="15.75" customHeight="1">
      <c r="A328" s="23" t="str">
        <f t="shared" si="136"/>
        <v>PiècesCsst</v>
      </c>
      <c r="B328" s="184" t="s">
        <v>103</v>
      </c>
      <c r="C328" s="1" t="s">
        <v>48</v>
      </c>
      <c r="D328" s="30"/>
      <c r="F328" s="198">
        <f>+SUM(START:END!F328)</f>
        <v>3632.0662803999994</v>
      </c>
      <c r="G328" s="240"/>
      <c r="I328" s="198">
        <f>+SUM(START:END!I328)</f>
        <v>0</v>
      </c>
      <c r="J328" s="152"/>
      <c r="L328" s="201">
        <f>+SUM(START:END!L328)</f>
        <v>2672.84</v>
      </c>
      <c r="M328" s="152"/>
      <c r="N328" s="222">
        <f t="shared" si="167"/>
        <v>-959.22628039999927</v>
      </c>
      <c r="O328" s="152"/>
      <c r="Q328" s="201">
        <f>+SUM(START:END!Q328)</f>
        <v>3491.06</v>
      </c>
      <c r="R328" s="152"/>
      <c r="S328" s="242">
        <f t="shared" si="168"/>
        <v>-818.2199999999998</v>
      </c>
    </row>
    <row r="329" spans="1:19" ht="15.75" customHeight="1">
      <c r="A329" s="23" t="str">
        <f t="shared" si="136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0.33161657677973405</v>
      </c>
      <c r="F329" s="251">
        <f>+SUM(F318:F328)</f>
        <v>149286.41668224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0.24784403141713501</v>
      </c>
      <c r="L329" s="251">
        <f>+SUM(L318:L328)</f>
        <v>130589.89999999998</v>
      </c>
      <c r="M329" s="289"/>
      <c r="N329" s="251">
        <f>+SUM(N318:N328)</f>
        <v>-18696.516682240006</v>
      </c>
      <c r="O329" s="252" t="s">
        <v>39</v>
      </c>
      <c r="P329" s="42">
        <f>Q329/Q$314</f>
        <v>0.36872343641109606</v>
      </c>
      <c r="Q329" s="251">
        <f>+SUM(Q318:Q328)</f>
        <v>141309.84999999995</v>
      </c>
      <c r="R329" s="289"/>
      <c r="S329" s="260">
        <f t="shared" ref="S329:S344" si="169">L329-Q329</f>
        <v>-10719.949999999968</v>
      </c>
    </row>
    <row r="330" spans="1:19" ht="15.75" customHeight="1">
      <c r="A330" s="23" t="str">
        <f t="shared" si="136"/>
        <v>PiècesPublicité 2</v>
      </c>
      <c r="B330" s="184" t="s">
        <v>103</v>
      </c>
      <c r="C330" s="3" t="s">
        <v>50</v>
      </c>
      <c r="D330" s="30"/>
      <c r="F330" s="198">
        <f>+SUM(START:END!F331)</f>
        <v>18806.704314212191</v>
      </c>
      <c r="G330" s="240"/>
      <c r="I330" s="198">
        <f>+SUM(START:END!I331)</f>
        <v>0</v>
      </c>
      <c r="J330" s="152"/>
      <c r="L330" s="201">
        <f>+SUM(START:END!L331)</f>
        <v>13376.800000000001</v>
      </c>
      <c r="M330" s="152"/>
      <c r="N330" s="222">
        <f t="shared" ref="N330:N344" si="170">L330-F330</f>
        <v>-5429.90431421219</v>
      </c>
      <c r="O330" s="152"/>
      <c r="Q330" s="201">
        <f>+SUM(START:END!Q331)</f>
        <v>12206.230000000001</v>
      </c>
      <c r="R330" s="152"/>
      <c r="S330" s="242">
        <f t="shared" si="169"/>
        <v>1170.5699999999997</v>
      </c>
    </row>
    <row r="331" spans="1:19" ht="15.75" customHeight="1">
      <c r="A331" s="23" t="str">
        <f t="shared" si="136"/>
        <v>PiècesService gratuit 2</v>
      </c>
      <c r="B331" s="184" t="s">
        <v>103</v>
      </c>
      <c r="C331" s="1" t="s">
        <v>51</v>
      </c>
      <c r="D331" s="30"/>
      <c r="F331" s="198">
        <f>+SUM(START:END!F332)</f>
        <v>1684.577334604282</v>
      </c>
      <c r="G331" s="240"/>
      <c r="I331" s="198">
        <f>+SUM(START:END!I332)</f>
        <v>0</v>
      </c>
      <c r="J331" s="152"/>
      <c r="L331" s="201">
        <f>+SUM(START:END!L332)</f>
        <v>657.8</v>
      </c>
      <c r="M331" s="152"/>
      <c r="N331" s="222">
        <f t="shared" si="170"/>
        <v>-1026.777334604282</v>
      </c>
      <c r="O331" s="152"/>
      <c r="Q331" s="201">
        <f>+SUM(START:END!Q332)</f>
        <v>3470.73</v>
      </c>
      <c r="R331" s="152"/>
      <c r="S331" s="242">
        <f t="shared" si="169"/>
        <v>-2812.9300000000003</v>
      </c>
    </row>
    <row r="332" spans="1:19" ht="15.75" customHeight="1">
      <c r="A332" s="23" t="str">
        <f t="shared" si="136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3792.9614666666675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3744.63</v>
      </c>
      <c r="M332" s="153"/>
      <c r="N332" s="247">
        <f t="shared" si="170"/>
        <v>-48.331466666667438</v>
      </c>
      <c r="O332" s="153"/>
      <c r="P332" s="7"/>
      <c r="Q332" s="201">
        <f>+SUM(START:END!Q333)</f>
        <v>3660.25</v>
      </c>
      <c r="R332" s="153"/>
      <c r="S332" s="248">
        <f t="shared" si="169"/>
        <v>84.380000000000109</v>
      </c>
    </row>
    <row r="333" spans="1:19" ht="15.75" customHeight="1">
      <c r="A333" s="23" t="str">
        <f t="shared" si="136"/>
        <v>PiècesInformatique</v>
      </c>
      <c r="B333" s="184" t="s">
        <v>103</v>
      </c>
      <c r="C333" s="1" t="s">
        <v>53</v>
      </c>
      <c r="D333" s="30"/>
      <c r="F333" s="198">
        <f>+SUM(START:END!F334)</f>
        <v>13348.970216833335</v>
      </c>
      <c r="G333" s="240"/>
      <c r="I333" s="198">
        <f>+SUM(START:END!I334)</f>
        <v>0</v>
      </c>
      <c r="J333" s="152"/>
      <c r="L333" s="257">
        <f>+SUM(START:END!L334)</f>
        <v>18312.29</v>
      </c>
      <c r="M333" s="152"/>
      <c r="N333" s="222">
        <f t="shared" si="170"/>
        <v>4963.3197831666657</v>
      </c>
      <c r="O333" s="152"/>
      <c r="Q333" s="257">
        <f>+SUM(START:END!Q334)</f>
        <v>15448.570000000002</v>
      </c>
      <c r="R333" s="152"/>
      <c r="S333" s="242">
        <f t="shared" si="169"/>
        <v>2863.7199999999993</v>
      </c>
    </row>
    <row r="334" spans="1:19" ht="15.75" customHeight="1">
      <c r="A334" s="23" t="str">
        <f t="shared" si="136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2454.829406630427</v>
      </c>
      <c r="G334" s="240"/>
      <c r="I334" s="198">
        <f>+SUM(START:END!I335)</f>
        <v>0</v>
      </c>
      <c r="J334" s="152"/>
      <c r="L334" s="201">
        <f>+SUM(START:END!L335)</f>
        <v>4201.26</v>
      </c>
      <c r="M334" s="152"/>
      <c r="N334" s="222">
        <f t="shared" si="170"/>
        <v>1746.4305933695732</v>
      </c>
      <c r="O334" s="152"/>
      <c r="Q334" s="201">
        <f>+SUM(START:END!Q335)</f>
        <v>3374.83</v>
      </c>
      <c r="R334" s="152"/>
      <c r="S334" s="242">
        <f t="shared" si="169"/>
        <v>826.43000000000029</v>
      </c>
    </row>
    <row r="335" spans="1:19" ht="15.75" customHeight="1">
      <c r="A335" s="23" t="str">
        <f t="shared" si="136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37464.257631795728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47390.229999999996</v>
      </c>
      <c r="M335" s="153"/>
      <c r="N335" s="247">
        <f t="shared" si="170"/>
        <v>9925.9723682042677</v>
      </c>
      <c r="O335" s="153"/>
      <c r="P335" s="7"/>
      <c r="Q335" s="213">
        <f>+SUM(START:END!Q336)</f>
        <v>34138</v>
      </c>
      <c r="R335" s="153"/>
      <c r="S335" s="248">
        <f t="shared" si="169"/>
        <v>13252.229999999996</v>
      </c>
    </row>
    <row r="336" spans="1:19" ht="15.75" customHeight="1">
      <c r="A336" s="23" t="str">
        <f t="shared" si="136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70"/>
        <v>0</v>
      </c>
      <c r="O336" s="152"/>
      <c r="Q336" s="201">
        <f>+SUM(START:END!Q337)</f>
        <v>0</v>
      </c>
      <c r="R336" s="152"/>
      <c r="S336" s="242">
        <f t="shared" si="169"/>
        <v>0</v>
      </c>
    </row>
    <row r="337" spans="1:19" ht="15.75" customHeight="1">
      <c r="A337" s="23" t="str">
        <f t="shared" si="136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767.02599999999995</v>
      </c>
      <c r="G337" s="240"/>
      <c r="I337" s="198">
        <f>+SUM(START:END!I338)</f>
        <v>0</v>
      </c>
      <c r="J337" s="152"/>
      <c r="L337" s="201">
        <f>+SUM(START:END!L338)</f>
        <v>364.74</v>
      </c>
      <c r="M337" s="152"/>
      <c r="N337" s="222">
        <f t="shared" si="170"/>
        <v>-402.28599999999994</v>
      </c>
      <c r="O337" s="152"/>
      <c r="Q337" s="201">
        <f>+SUM(START:END!Q338)</f>
        <v>348.61</v>
      </c>
      <c r="R337" s="152"/>
      <c r="S337" s="242">
        <f t="shared" si="169"/>
        <v>16.129999999999995</v>
      </c>
    </row>
    <row r="338" spans="1:19" ht="15.75" customHeight="1">
      <c r="A338" s="23" t="str">
        <f t="shared" si="136"/>
        <v>PiècesUniformes</v>
      </c>
      <c r="B338" s="184" t="s">
        <v>103</v>
      </c>
      <c r="C338" s="1" t="s">
        <v>57</v>
      </c>
      <c r="D338" s="30"/>
      <c r="F338" s="198">
        <f>+SUM(START:END!F339)</f>
        <v>85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70"/>
        <v>-85</v>
      </c>
      <c r="O338" s="152"/>
      <c r="Q338" s="201">
        <f>+SUM(START:END!Q339)</f>
        <v>240</v>
      </c>
      <c r="R338" s="152"/>
      <c r="S338" s="242">
        <f t="shared" si="169"/>
        <v>-240</v>
      </c>
    </row>
    <row r="339" spans="1:19" ht="15.75" customHeight="1">
      <c r="A339" s="23" t="str">
        <f t="shared" si="136"/>
        <v>PiècesPapeterie</v>
      </c>
      <c r="B339" s="184" t="s">
        <v>103</v>
      </c>
      <c r="C339" s="1" t="s">
        <v>58</v>
      </c>
      <c r="D339" s="30"/>
      <c r="F339" s="198">
        <f>+SUM(START:END!F340)</f>
        <v>2149.2271398495</v>
      </c>
      <c r="G339" s="240"/>
      <c r="I339" s="198">
        <f>+SUM(START:END!I340)</f>
        <v>0</v>
      </c>
      <c r="J339" s="152"/>
      <c r="L339" s="200">
        <f>+SUM(START:END!L340)</f>
        <v>1733.9599999999998</v>
      </c>
      <c r="M339" s="152"/>
      <c r="N339" s="222">
        <f t="shared" si="170"/>
        <v>-415.26713984950015</v>
      </c>
      <c r="O339" s="152"/>
      <c r="Q339" s="200">
        <f>+SUM(START:END!Q340)</f>
        <v>2171.7600000000002</v>
      </c>
      <c r="R339" s="152"/>
      <c r="S339" s="242">
        <f t="shared" si="169"/>
        <v>-437.80000000000041</v>
      </c>
    </row>
    <row r="340" spans="1:19" ht="15.75" customHeight="1">
      <c r="A340" s="23" t="str">
        <f t="shared" si="136"/>
        <v>PiècesTéléphone</v>
      </c>
      <c r="B340" s="184" t="s">
        <v>103</v>
      </c>
      <c r="C340" s="1" t="s">
        <v>59</v>
      </c>
      <c r="D340" s="30"/>
      <c r="F340" s="198">
        <f>+SUM(START:END!F341)</f>
        <v>346.62223077652089</v>
      </c>
      <c r="G340" s="240"/>
      <c r="I340" s="198">
        <f>+SUM(START:END!I341)</f>
        <v>0</v>
      </c>
      <c r="J340" s="152"/>
      <c r="L340" s="201">
        <f>+SUM(START:END!L341)</f>
        <v>310.65999999999997</v>
      </c>
      <c r="M340" s="152"/>
      <c r="N340" s="222">
        <f t="shared" si="170"/>
        <v>-35.962230776520926</v>
      </c>
      <c r="O340" s="152"/>
      <c r="Q340" s="201">
        <f>+SUM(START:END!Q341)</f>
        <v>330.07</v>
      </c>
      <c r="R340" s="152"/>
      <c r="S340" s="242">
        <f t="shared" si="169"/>
        <v>-19.410000000000025</v>
      </c>
    </row>
    <row r="341" spans="1:19" ht="15.75" customHeight="1">
      <c r="A341" s="23" t="str">
        <f t="shared" si="136"/>
        <v>PiècesFrais postaux</v>
      </c>
      <c r="B341" s="184" t="s">
        <v>103</v>
      </c>
      <c r="C341" s="1" t="s">
        <v>60</v>
      </c>
      <c r="D341" s="30"/>
      <c r="F341" s="198">
        <f>+SUM(START:END!F342)</f>
        <v>-93.331042386520863</v>
      </c>
      <c r="G341" s="240"/>
      <c r="I341" s="198">
        <f>+SUM(START:END!I342)</f>
        <v>0</v>
      </c>
      <c r="J341" s="152"/>
      <c r="L341" s="201">
        <f>+SUM(START:END!L342)</f>
        <v>-3269.0099999999998</v>
      </c>
      <c r="M341" s="152"/>
      <c r="N341" s="222">
        <f t="shared" si="170"/>
        <v>-3175.6789576134788</v>
      </c>
      <c r="O341" s="152"/>
      <c r="Q341" s="201">
        <f>+SUM(START:END!Q342)</f>
        <v>-616.85</v>
      </c>
      <c r="R341" s="152"/>
      <c r="S341" s="242">
        <f t="shared" si="169"/>
        <v>-2652.16</v>
      </c>
    </row>
    <row r="342" spans="1:19" ht="15.75" customHeight="1">
      <c r="A342" s="23" t="str">
        <f t="shared" si="136"/>
        <v>PiècesDivers</v>
      </c>
      <c r="B342" s="184" t="s">
        <v>103</v>
      </c>
      <c r="C342" s="1" t="s">
        <v>61</v>
      </c>
      <c r="D342" s="30"/>
      <c r="F342" s="198">
        <f>+SUM(START:END!F343)</f>
        <v>469.53352998735431</v>
      </c>
      <c r="G342" s="240"/>
      <c r="I342" s="198">
        <f>+SUM(START:END!I343)</f>
        <v>0</v>
      </c>
      <c r="J342" s="152"/>
      <c r="L342" s="201">
        <f>+SUM(START:END!L343)</f>
        <v>944.31000000000006</v>
      </c>
      <c r="M342" s="152"/>
      <c r="N342" s="222">
        <f t="shared" si="170"/>
        <v>474.77647001264575</v>
      </c>
      <c r="O342" s="152"/>
      <c r="Q342" s="201">
        <f>+SUM(START:END!Q343)</f>
        <v>606.92000000000007</v>
      </c>
      <c r="R342" s="152"/>
      <c r="S342" s="242">
        <f t="shared" si="169"/>
        <v>337.39</v>
      </c>
    </row>
    <row r="343" spans="1:19" ht="15.75" customHeight="1">
      <c r="A343" s="23" t="str">
        <f t="shared" si="136"/>
        <v>PiècesFormation</v>
      </c>
      <c r="B343" s="184" t="s">
        <v>103</v>
      </c>
      <c r="C343" s="1" t="s">
        <v>62</v>
      </c>
      <c r="D343" s="30"/>
      <c r="F343" s="198">
        <f>+SUM(START:END!F344)</f>
        <v>1136.8629636429398</v>
      </c>
      <c r="G343" s="240"/>
      <c r="I343" s="198">
        <f>+SUM(START:END!I344)</f>
        <v>0</v>
      </c>
      <c r="J343" s="152"/>
      <c r="L343" s="201">
        <f>+SUM(START:END!L344)</f>
        <v>1005.55</v>
      </c>
      <c r="M343" s="152"/>
      <c r="N343" s="222">
        <f t="shared" si="170"/>
        <v>-131.31296364293985</v>
      </c>
      <c r="O343" s="152"/>
      <c r="Q343" s="201">
        <f>+SUM(START:END!Q344)</f>
        <v>1675.1599999999999</v>
      </c>
      <c r="R343" s="152"/>
      <c r="S343" s="242">
        <f t="shared" si="169"/>
        <v>-669.6099999999999</v>
      </c>
    </row>
    <row r="344" spans="1:19" ht="15.75" customHeight="1">
      <c r="A344" s="23" t="str">
        <f t="shared" si="136"/>
        <v>PiècesFrais bancaires</v>
      </c>
      <c r="B344" s="184" t="s">
        <v>103</v>
      </c>
      <c r="C344" s="1" t="s">
        <v>63</v>
      </c>
      <c r="D344" s="30"/>
      <c r="F344" s="198">
        <f>+SUM(START:END!F345)</f>
        <v>5467.6725196376383</v>
      </c>
      <c r="G344" s="240"/>
      <c r="I344" s="198">
        <f>+SUM(START:END!I345)</f>
        <v>0</v>
      </c>
      <c r="J344" s="152"/>
      <c r="L344" s="200">
        <f>+SUM(START:END!L345)</f>
        <v>6691.02</v>
      </c>
      <c r="M344" s="152"/>
      <c r="N344" s="222">
        <f t="shared" si="170"/>
        <v>1223.3474803623621</v>
      </c>
      <c r="O344" s="152"/>
      <c r="Q344" s="201">
        <f>+SUM(START:END!Q345)</f>
        <v>7019.96</v>
      </c>
      <c r="R344" s="152"/>
      <c r="S344" s="242">
        <f t="shared" si="169"/>
        <v>-328.9399999999996</v>
      </c>
    </row>
    <row r="345" spans="1:19" ht="15.75" hidden="1" customHeight="1">
      <c r="A345" s="23" t="str">
        <f t="shared" si="136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71">L345-I345</f>
        <v>0</v>
      </c>
      <c r="O345" s="152"/>
      <c r="Q345" s="201">
        <f>+SUM(START:END!Q346)</f>
        <v>0</v>
      </c>
      <c r="R345" s="152"/>
      <c r="S345" s="242">
        <f t="shared" ref="S345:S347" si="172">L345-Q345</f>
        <v>0</v>
      </c>
    </row>
    <row r="346" spans="1:19" ht="15.75" hidden="1" customHeight="1">
      <c r="A346" s="23" t="str">
        <f t="shared" si="136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71"/>
        <v>0</v>
      </c>
      <c r="O346" s="152"/>
      <c r="Q346" s="201">
        <f>+SUM(START:END!Q347)</f>
        <v>0</v>
      </c>
      <c r="R346" s="152"/>
      <c r="S346" s="242">
        <f t="shared" si="172"/>
        <v>0</v>
      </c>
    </row>
    <row r="347" spans="1:19" ht="15.75" hidden="1" customHeight="1">
      <c r="A347" s="23" t="str">
        <f t="shared" si="136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71"/>
        <v>0</v>
      </c>
      <c r="O347" s="152"/>
      <c r="Q347" s="201">
        <f>+SUM(START:END!Q348)</f>
        <v>0</v>
      </c>
      <c r="R347" s="152"/>
      <c r="S347" s="242">
        <f t="shared" si="172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0.1952137938414229</v>
      </c>
      <c r="F348" s="251">
        <f>+SUM(F330:F347)</f>
        <v>87880.913712250069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0.18117972444862068</v>
      </c>
      <c r="L348" s="251">
        <f>+SUM(L330:L347)</f>
        <v>95464.240000000034</v>
      </c>
      <c r="M348" s="254"/>
      <c r="N348" s="251">
        <f>+SUM(N330:N347)</f>
        <v>7583.3262877499337</v>
      </c>
      <c r="O348" s="252" t="s">
        <v>39</v>
      </c>
      <c r="P348" s="42">
        <f>Q348/Q$314</f>
        <v>0.21937708295954772</v>
      </c>
      <c r="Q348" s="251">
        <f>+SUM(Q330:Q347)</f>
        <v>84074.240000000005</v>
      </c>
      <c r="R348" s="254"/>
      <c r="S348" s="255">
        <f>+SUM(S330:S347)</f>
        <v>11389.999999999993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0.52683037062115701</v>
      </c>
      <c r="F350" s="251">
        <f>F329+F348</f>
        <v>237167.33039449007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0.4290237558657557</v>
      </c>
      <c r="L350" s="251">
        <f>L329+L348</f>
        <v>226054.14</v>
      </c>
      <c r="M350" s="254"/>
      <c r="N350" s="251">
        <f>N329+N348</f>
        <v>-11113.190394490073</v>
      </c>
      <c r="O350" s="252" t="s">
        <v>39</v>
      </c>
      <c r="P350" s="42">
        <f>Q350/Q$314</f>
        <v>0.58810051937064389</v>
      </c>
      <c r="Q350" s="251">
        <f>Q329+Q348</f>
        <v>225384.08999999997</v>
      </c>
      <c r="R350" s="254"/>
      <c r="S350" s="260">
        <f>L350-Q350</f>
        <v>670.05000000004657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0" t="s">
        <v>72</v>
      </c>
      <c r="D352" s="291"/>
      <c r="E352" s="271"/>
      <c r="F352" s="273">
        <f>F314-F350</f>
        <v>213010.45665081448</v>
      </c>
      <c r="G352" s="292"/>
      <c r="H352" s="271"/>
      <c r="I352" s="273">
        <f>I314-I350</f>
        <v>0</v>
      </c>
      <c r="J352" s="293"/>
      <c r="K352" s="272"/>
      <c r="L352" s="273">
        <f>L314-L350</f>
        <v>300849.41000000003</v>
      </c>
      <c r="M352" s="293"/>
      <c r="N352" s="273">
        <f>N314-N350</f>
        <v>87838.953349185511</v>
      </c>
      <c r="O352" s="293"/>
      <c r="P352" s="272"/>
      <c r="Q352" s="273">
        <f>Q314-Q350</f>
        <v>157856.66999999952</v>
      </c>
      <c r="R352" s="293"/>
      <c r="S352" s="275">
        <f>L352-Q352</f>
        <v>142992.74000000051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hidden="1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hidden="1" customHeight="1" thickBot="1">
      <c r="B356" s="181"/>
      <c r="C356" s="182"/>
    </row>
    <row r="357" spans="1:24" ht="15.75" hidden="1" customHeight="1" thickTop="1">
      <c r="B357" s="181"/>
      <c r="C357" s="185"/>
      <c r="D357" s="483" t="s">
        <v>5</v>
      </c>
      <c r="E357" s="484"/>
      <c r="F357" s="485"/>
      <c r="G357" s="481" t="s">
        <v>74</v>
      </c>
      <c r="H357" s="484"/>
      <c r="I357" s="485"/>
      <c r="J357" s="481" t="s">
        <v>7</v>
      </c>
      <c r="K357" s="484"/>
      <c r="L357" s="485"/>
      <c r="M357" s="481" t="s">
        <v>9</v>
      </c>
      <c r="N357" s="485"/>
      <c r="O357" s="483" t="s">
        <v>8</v>
      </c>
      <c r="P357" s="484"/>
      <c r="Q357" s="485"/>
      <c r="R357" s="481" t="s">
        <v>217</v>
      </c>
      <c r="S357" s="482"/>
    </row>
    <row r="358" spans="1:24" ht="15.75" hidden="1" customHeight="1" thickBot="1">
      <c r="A358" s="23" t="str">
        <f t="shared" ref="A358:A393" si="173">+B358&amp;C358</f>
        <v>Boutique</v>
      </c>
      <c r="B358" s="184" t="s">
        <v>119</v>
      </c>
      <c r="C358" s="1"/>
      <c r="D358" s="381" t="s">
        <v>84</v>
      </c>
      <c r="E358" s="381" t="s">
        <v>104</v>
      </c>
      <c r="F358" s="382" t="s">
        <v>12</v>
      </c>
      <c r="G358" s="383" t="s">
        <v>84</v>
      </c>
      <c r="H358" s="381" t="s">
        <v>104</v>
      </c>
      <c r="I358" s="382" t="s">
        <v>12</v>
      </c>
      <c r="J358" s="278" t="s">
        <v>84</v>
      </c>
      <c r="K358" s="175" t="s">
        <v>104</v>
      </c>
      <c r="L358" s="277" t="s">
        <v>12</v>
      </c>
      <c r="M358" s="278" t="s">
        <v>40</v>
      </c>
      <c r="N358" s="277" t="s">
        <v>12</v>
      </c>
      <c r="O358" s="278" t="s">
        <v>84</v>
      </c>
      <c r="P358" s="175" t="s">
        <v>104</v>
      </c>
      <c r="Q358" s="277" t="s">
        <v>12</v>
      </c>
      <c r="R358" s="278" t="s">
        <v>85</v>
      </c>
      <c r="S358" s="279" t="s">
        <v>12</v>
      </c>
    </row>
    <row r="359" spans="1:24" ht="15.75" hidden="1" customHeight="1" thickTop="1">
      <c r="A359" s="23" t="str">
        <f t="shared" si="173"/>
        <v>BoutiqueBoutique</v>
      </c>
      <c r="B359" s="184" t="s">
        <v>119</v>
      </c>
      <c r="C359" s="225" t="s">
        <v>119</v>
      </c>
      <c r="D359" s="384">
        <f>+SUM(START:END!D360)</f>
        <v>0</v>
      </c>
      <c r="E359" s="385">
        <f>IFERROR(F359/D359,0)</f>
        <v>0</v>
      </c>
      <c r="F359" s="386">
        <f>+SUM(START:END!F360)</f>
        <v>0</v>
      </c>
      <c r="G359" s="384">
        <f>+SUM(START:END!G360)</f>
        <v>0</v>
      </c>
      <c r="H359" s="385">
        <f>IFERROR(I359/G359,0)</f>
        <v>0</v>
      </c>
      <c r="I359" s="384">
        <f>+SUM(START:END!I360)</f>
        <v>0</v>
      </c>
      <c r="J359" s="387">
        <f>+SUM(START:END!J360)</f>
        <v>0</v>
      </c>
      <c r="K359" s="369">
        <f>IFERROR(L359/J359,0)</f>
        <v>0</v>
      </c>
      <c r="L359" s="388">
        <f>+SUM(START:END!L360)</f>
        <v>0</v>
      </c>
      <c r="M359" s="370">
        <f>IF(D359=0,0,(+J359-D359)/D359)</f>
        <v>0</v>
      </c>
      <c r="N359" s="371">
        <f t="shared" ref="N359" si="174">L359-F359</f>
        <v>0</v>
      </c>
      <c r="O359" s="387">
        <f>+SUM(START:END!O360)</f>
        <v>0</v>
      </c>
      <c r="P359" s="369">
        <f>IFERROR(Q359/O359,0)</f>
        <v>0</v>
      </c>
      <c r="Q359" s="388">
        <f>+SUM(START:END!Q360)</f>
        <v>0</v>
      </c>
      <c r="R359" s="370">
        <f>IF(O359=0,0,(J359-O359)/O359)</f>
        <v>0</v>
      </c>
      <c r="S359" s="372">
        <f>L359-Q359</f>
        <v>0</v>
      </c>
      <c r="X359" s="283"/>
    </row>
    <row r="360" spans="1:24" ht="15.75" hidden="1" customHeight="1" thickBot="1">
      <c r="A360" s="23" t="str">
        <f t="shared" si="173"/>
        <v>Boutique</v>
      </c>
      <c r="B360" s="184" t="s">
        <v>119</v>
      </c>
      <c r="C360" s="373"/>
      <c r="D360" s="374"/>
      <c r="E360" s="375"/>
      <c r="F360" s="376"/>
      <c r="G360" s="377"/>
      <c r="H360" s="375"/>
      <c r="I360" s="376"/>
      <c r="J360" s="377"/>
      <c r="K360" s="375"/>
      <c r="L360" s="376"/>
      <c r="M360" s="378"/>
      <c r="N360" s="166"/>
      <c r="O360" s="377"/>
      <c r="P360" s="375"/>
      <c r="Q360" s="376"/>
      <c r="R360" s="378"/>
      <c r="S360" s="237"/>
    </row>
    <row r="361" spans="1:24" ht="15.75" hidden="1" customHeight="1" thickTop="1">
      <c r="A361" s="23" t="str">
        <f t="shared" si="173"/>
        <v>BoutiqueTotal Dépt. Boutique</v>
      </c>
      <c r="B361" s="184" t="s">
        <v>119</v>
      </c>
      <c r="C361" s="22" t="s">
        <v>120</v>
      </c>
      <c r="D361" s="389">
        <f>+D359</f>
        <v>0</v>
      </c>
      <c r="E361" s="311">
        <f>IF(D361&lt;=0,0,F361/D361)</f>
        <v>0</v>
      </c>
      <c r="F361" s="312">
        <f t="shared" ref="F361" si="175">+F359</f>
        <v>0</v>
      </c>
      <c r="G361" s="318">
        <f>+G359</f>
        <v>0</v>
      </c>
      <c r="H361" s="311">
        <f>IF(G361&lt;=0,0,I361/G361)</f>
        <v>0</v>
      </c>
      <c r="I361" s="312">
        <f t="shared" ref="I361" si="176">+I359</f>
        <v>0</v>
      </c>
      <c r="J361" s="318">
        <f>+J359</f>
        <v>0</v>
      </c>
      <c r="K361" s="311">
        <f>IF(J361&lt;=0,0,L361/J361)</f>
        <v>0</v>
      </c>
      <c r="L361" s="312">
        <f t="shared" ref="L361:N361" si="177">+L359</f>
        <v>0</v>
      </c>
      <c r="M361" s="390">
        <f>IF(G361=0,0,(+J361-G361)/G361)</f>
        <v>0</v>
      </c>
      <c r="N361" s="312">
        <f t="shared" si="177"/>
        <v>0</v>
      </c>
      <c r="O361" s="318">
        <f>+O359</f>
        <v>0</v>
      </c>
      <c r="P361" s="311">
        <f>IF(O361&lt;=0,0,Q361/O361)</f>
        <v>0</v>
      </c>
      <c r="Q361" s="312">
        <f t="shared" ref="Q361" si="178">+Q359</f>
        <v>0</v>
      </c>
      <c r="R361" s="152">
        <f>IF(O361=0,0,(J361-O361)/O361)</f>
        <v>0</v>
      </c>
      <c r="S361" s="209">
        <f>L361-Q361</f>
        <v>0</v>
      </c>
    </row>
    <row r="362" spans="1:24" ht="15.75" hidden="1" customHeight="1">
      <c r="A362" s="23" t="str">
        <f t="shared" si="173"/>
        <v>Boutique</v>
      </c>
      <c r="B362" s="184" t="s">
        <v>119</v>
      </c>
      <c r="C362" s="239"/>
      <c r="F362" s="222"/>
      <c r="G362" s="152"/>
      <c r="H362" s="391"/>
      <c r="I362" s="222"/>
      <c r="J362" s="152"/>
      <c r="L362" s="208"/>
      <c r="M362" s="152"/>
      <c r="N362" s="392"/>
      <c r="O362" s="152"/>
      <c r="Q362" s="208"/>
      <c r="R362" s="152"/>
      <c r="S362" s="224">
        <f>IF(Q361=0,0,S361/Q361)</f>
        <v>0</v>
      </c>
    </row>
    <row r="363" spans="1:24" ht="15.75" hidden="1" customHeight="1">
      <c r="A363" s="23" t="str">
        <f t="shared" si="173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hidden="1" customHeight="1">
      <c r="A364" s="23" t="str">
        <f t="shared" si="173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9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hidden="1" customHeight="1">
      <c r="A365" s="23" t="str">
        <f t="shared" si="173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9"/>
        <v>0</v>
      </c>
      <c r="O365" s="152"/>
      <c r="Q365" s="193">
        <f>+SUM(START:END!Q365)</f>
        <v>0</v>
      </c>
      <c r="R365" s="152"/>
      <c r="S365" s="242">
        <f t="shared" ref="S365:S393" si="180">L365-Q365</f>
        <v>0</v>
      </c>
    </row>
    <row r="366" spans="1:24" ht="15.75" hidden="1" customHeight="1">
      <c r="A366" s="23" t="str">
        <f t="shared" si="173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9"/>
        <v>0</v>
      </c>
      <c r="O366" s="154"/>
      <c r="P366" s="53"/>
      <c r="Q366" s="201">
        <f>+SUM(START:END!Q366)</f>
        <v>0</v>
      </c>
      <c r="R366" s="154"/>
      <c r="S366" s="259">
        <f t="shared" si="180"/>
        <v>0</v>
      </c>
    </row>
    <row r="367" spans="1:24" ht="15.75" hidden="1" customHeight="1">
      <c r="A367" s="23" t="str">
        <f t="shared" si="173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9"/>
        <v>0</v>
      </c>
      <c r="O367" s="152"/>
      <c r="Q367" s="201">
        <f>+SUM(START:END!Q367)</f>
        <v>0</v>
      </c>
      <c r="R367" s="152"/>
      <c r="S367" s="242">
        <f t="shared" si="180"/>
        <v>0</v>
      </c>
    </row>
    <row r="368" spans="1:24" ht="15.75" hidden="1" customHeight="1">
      <c r="A368" s="23" t="str">
        <f t="shared" si="173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9"/>
        <v>0</v>
      </c>
      <c r="O368" s="152"/>
      <c r="Q368" s="201">
        <f>+SUM(START:END!Q368)</f>
        <v>0</v>
      </c>
      <c r="R368" s="152"/>
      <c r="S368" s="242">
        <f t="shared" si="180"/>
        <v>0</v>
      </c>
    </row>
    <row r="369" spans="1:19" ht="15.75" hidden="1" customHeight="1">
      <c r="A369" s="23" t="str">
        <f t="shared" si="173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9"/>
        <v>0</v>
      </c>
      <c r="O369" s="152"/>
      <c r="Q369" s="201">
        <f>+SUM(START:END!Q369)</f>
        <v>0</v>
      </c>
      <c r="R369" s="152"/>
      <c r="S369" s="242">
        <f t="shared" si="180"/>
        <v>0</v>
      </c>
    </row>
    <row r="370" spans="1:19" ht="15.75" hidden="1" customHeight="1">
      <c r="A370" s="23" t="str">
        <f t="shared" si="173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9"/>
        <v>0</v>
      </c>
      <c r="O370" s="152"/>
      <c r="Q370" s="201">
        <f>+SUM(START:END!Q370)</f>
        <v>0</v>
      </c>
      <c r="R370" s="152"/>
      <c r="S370" s="242">
        <f t="shared" si="180"/>
        <v>0</v>
      </c>
    </row>
    <row r="371" spans="1:19" ht="15.75" hidden="1" customHeight="1">
      <c r="A371" s="23" t="str">
        <f t="shared" si="173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9"/>
        <v>0</v>
      </c>
      <c r="O371" s="152"/>
      <c r="Q371" s="193">
        <f>+SUM(START:END!Q371)</f>
        <v>0</v>
      </c>
      <c r="R371" s="152"/>
      <c r="S371" s="242">
        <f t="shared" si="180"/>
        <v>0</v>
      </c>
    </row>
    <row r="372" spans="1:19" ht="15.75" hidden="1" customHeight="1">
      <c r="A372" s="23" t="str">
        <f t="shared" si="173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9"/>
        <v>0</v>
      </c>
      <c r="O372" s="154"/>
      <c r="P372" s="53"/>
      <c r="Q372" s="201">
        <f>+SUM(START:END!Q372)</f>
        <v>0</v>
      </c>
      <c r="R372" s="154"/>
      <c r="S372" s="259">
        <f t="shared" si="180"/>
        <v>0</v>
      </c>
    </row>
    <row r="373" spans="1:19" ht="15.75" hidden="1" customHeight="1">
      <c r="A373" s="23" t="str">
        <f t="shared" si="173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9"/>
        <v>0</v>
      </c>
      <c r="O373" s="152"/>
      <c r="Q373" s="201">
        <f>+SUM(START:END!Q373)</f>
        <v>0</v>
      </c>
      <c r="R373" s="152"/>
      <c r="S373" s="242">
        <f t="shared" si="180"/>
        <v>0</v>
      </c>
    </row>
    <row r="374" spans="1:19" ht="15.75" hidden="1" customHeight="1">
      <c r="A374" s="23" t="str">
        <f t="shared" si="173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9"/>
        <v>0</v>
      </c>
      <c r="O374" s="152"/>
      <c r="Q374" s="201">
        <f>+SUM(START:END!Q374)</f>
        <v>0</v>
      </c>
      <c r="R374" s="152"/>
      <c r="S374" s="242">
        <f t="shared" si="180"/>
        <v>0</v>
      </c>
    </row>
    <row r="375" spans="1:19" ht="15.75" hidden="1" customHeight="1">
      <c r="A375" s="23" t="str">
        <f t="shared" si="173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81">L375-I375</f>
        <v>0</v>
      </c>
      <c r="O375" s="153"/>
      <c r="P375" s="7"/>
      <c r="Q375" s="201">
        <f>+SUM(START:END!Q375)</f>
        <v>0</v>
      </c>
      <c r="R375" s="153"/>
      <c r="S375" s="248">
        <f t="shared" si="180"/>
        <v>0</v>
      </c>
    </row>
    <row r="376" spans="1:19" ht="15.75" hidden="1" customHeight="1">
      <c r="A376" s="23" t="str">
        <f t="shared" si="173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89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89"/>
      <c r="S376" s="260">
        <f t="shared" si="180"/>
        <v>0</v>
      </c>
    </row>
    <row r="377" spans="1:19" ht="15.75" hidden="1" customHeight="1">
      <c r="A377" s="23" t="str">
        <f t="shared" si="173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82">L377-F377</f>
        <v>0</v>
      </c>
      <c r="O377" s="152"/>
      <c r="Q377" s="201">
        <f>+SUM(START:END!Q377)</f>
        <v>0</v>
      </c>
      <c r="R377" s="152"/>
      <c r="S377" s="242">
        <f t="shared" si="180"/>
        <v>0</v>
      </c>
    </row>
    <row r="378" spans="1:19" ht="15.75" hidden="1" customHeight="1">
      <c r="A378" s="23" t="str">
        <f t="shared" si="173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82"/>
        <v>0</v>
      </c>
      <c r="O378" s="152"/>
      <c r="Q378" s="201">
        <f>+SUM(START:END!Q378)</f>
        <v>0</v>
      </c>
      <c r="R378" s="152"/>
      <c r="S378" s="242">
        <f t="shared" si="180"/>
        <v>0</v>
      </c>
    </row>
    <row r="379" spans="1:19" ht="15.75" hidden="1" customHeight="1">
      <c r="A379" s="23" t="str">
        <f t="shared" si="173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82"/>
        <v>0</v>
      </c>
      <c r="O379" s="153"/>
      <c r="P379" s="7"/>
      <c r="Q379" s="193">
        <f>+SUM(START:END!Q379)</f>
        <v>0</v>
      </c>
      <c r="R379" s="153"/>
      <c r="S379" s="248">
        <f t="shared" si="180"/>
        <v>0</v>
      </c>
    </row>
    <row r="380" spans="1:19" ht="15.75" hidden="1" customHeight="1">
      <c r="A380" s="23" t="str">
        <f t="shared" si="173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82"/>
        <v>0</v>
      </c>
      <c r="O380" s="152"/>
      <c r="Q380" s="201">
        <f>+SUM(START:END!Q380)</f>
        <v>0</v>
      </c>
      <c r="R380" s="152"/>
      <c r="S380" s="242">
        <f t="shared" si="180"/>
        <v>0</v>
      </c>
    </row>
    <row r="381" spans="1:19" ht="15.75" hidden="1" customHeight="1">
      <c r="A381" s="23" t="str">
        <f t="shared" si="173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82"/>
        <v>0</v>
      </c>
      <c r="O381" s="152"/>
      <c r="Q381" s="201">
        <f>+SUM(START:END!Q381)</f>
        <v>0</v>
      </c>
      <c r="R381" s="152"/>
      <c r="S381" s="242">
        <f t="shared" si="180"/>
        <v>0</v>
      </c>
    </row>
    <row r="382" spans="1:19" ht="15.75" hidden="1" customHeight="1">
      <c r="A382" s="23" t="str">
        <f t="shared" si="173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82"/>
        <v>0</v>
      </c>
      <c r="O382" s="153"/>
      <c r="P382" s="7"/>
      <c r="Q382" s="193">
        <f>+SUM(START:END!Q382)</f>
        <v>0</v>
      </c>
      <c r="R382" s="153"/>
      <c r="S382" s="248">
        <f t="shared" si="180"/>
        <v>0</v>
      </c>
    </row>
    <row r="383" spans="1:19" ht="20.25" hidden="1" customHeight="1">
      <c r="A383" s="23" t="str">
        <f t="shared" si="173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82"/>
        <v>0</v>
      </c>
      <c r="O383" s="152"/>
      <c r="Q383" s="201">
        <f>+SUM(START:END!Q383)</f>
        <v>0</v>
      </c>
      <c r="R383" s="152"/>
      <c r="S383" s="242">
        <f t="shared" si="180"/>
        <v>0</v>
      </c>
    </row>
    <row r="384" spans="1:19" ht="20.25" hidden="1" customHeight="1">
      <c r="A384" s="23" t="str">
        <f t="shared" si="173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82"/>
        <v>0</v>
      </c>
      <c r="O384" s="152"/>
      <c r="Q384" s="201">
        <f>+SUM(START:END!Q384)</f>
        <v>0</v>
      </c>
      <c r="R384" s="152"/>
      <c r="S384" s="242">
        <f t="shared" si="180"/>
        <v>0</v>
      </c>
    </row>
    <row r="385" spans="1:38" ht="20.25" hidden="1" customHeight="1">
      <c r="A385" s="23" t="str">
        <f t="shared" si="173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82"/>
        <v>0</v>
      </c>
      <c r="O385" s="152"/>
      <c r="Q385" s="201">
        <f>+SUM(START:END!Q385)</f>
        <v>0</v>
      </c>
      <c r="R385" s="152"/>
      <c r="S385" s="242">
        <f t="shared" si="180"/>
        <v>0</v>
      </c>
    </row>
    <row r="386" spans="1:38" ht="20.25" hidden="1" customHeight="1">
      <c r="A386" s="23" t="str">
        <f t="shared" si="173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82"/>
        <v>0</v>
      </c>
      <c r="O386" s="152"/>
      <c r="Q386" s="201">
        <f>+SUM(START:END!Q386)</f>
        <v>0</v>
      </c>
      <c r="R386" s="152"/>
      <c r="S386" s="242">
        <f t="shared" si="180"/>
        <v>0</v>
      </c>
    </row>
    <row r="387" spans="1:38" ht="20.25" hidden="1" customHeight="1">
      <c r="A387" s="23" t="str">
        <f t="shared" si="173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82"/>
        <v>0</v>
      </c>
      <c r="O387" s="152"/>
      <c r="Q387" s="201">
        <f>+SUM(START:END!Q387)</f>
        <v>0</v>
      </c>
      <c r="R387" s="152"/>
      <c r="S387" s="242">
        <f t="shared" si="180"/>
        <v>0</v>
      </c>
    </row>
    <row r="388" spans="1:38" ht="20.25" hidden="1" customHeight="1">
      <c r="A388" s="23" t="str">
        <f t="shared" si="173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82"/>
        <v>0</v>
      </c>
      <c r="O388" s="152"/>
      <c r="Q388" s="201">
        <f>+SUM(START:END!Q388)</f>
        <v>0</v>
      </c>
      <c r="R388" s="152"/>
      <c r="S388" s="242">
        <f t="shared" si="180"/>
        <v>0</v>
      </c>
    </row>
    <row r="389" spans="1:38" ht="20.25" hidden="1" customHeight="1">
      <c r="A389" s="23" t="str">
        <f t="shared" si="173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82"/>
        <v>0</v>
      </c>
      <c r="O389" s="152"/>
      <c r="Q389" s="201">
        <f>+SUM(START:END!Q389)</f>
        <v>0</v>
      </c>
      <c r="R389" s="152"/>
      <c r="S389" s="242">
        <f t="shared" si="180"/>
        <v>0</v>
      </c>
    </row>
    <row r="390" spans="1:38" ht="20.25" hidden="1" customHeight="1">
      <c r="A390" s="23" t="str">
        <f t="shared" si="173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82"/>
        <v>0</v>
      </c>
      <c r="O390" s="152"/>
      <c r="Q390" s="201">
        <f>+SUM(START:END!Q390)</f>
        <v>0</v>
      </c>
      <c r="R390" s="152"/>
      <c r="S390" s="242">
        <f t="shared" si="180"/>
        <v>0</v>
      </c>
    </row>
    <row r="391" spans="1:38" ht="15.75" hidden="1" customHeight="1">
      <c r="A391" s="23" t="str">
        <f t="shared" si="173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81"/>
        <v>0</v>
      </c>
      <c r="O391" s="152"/>
      <c r="Q391" s="201">
        <f>+SUM(START:END!Q391)</f>
        <v>0</v>
      </c>
      <c r="R391" s="152"/>
      <c r="S391" s="242">
        <f t="shared" si="180"/>
        <v>0</v>
      </c>
    </row>
    <row r="392" spans="1:38" ht="15.75" hidden="1" customHeight="1">
      <c r="A392" s="23" t="str">
        <f t="shared" si="173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81"/>
        <v>0</v>
      </c>
      <c r="O392" s="152"/>
      <c r="Q392" s="201">
        <f>+SUM(START:END!Q392)</f>
        <v>0</v>
      </c>
      <c r="R392" s="152"/>
      <c r="S392" s="242">
        <f t="shared" si="180"/>
        <v>0</v>
      </c>
    </row>
    <row r="393" spans="1:38" ht="15.75" hidden="1" customHeight="1">
      <c r="A393" s="23" t="str">
        <f t="shared" si="173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81"/>
        <v>0</v>
      </c>
      <c r="O393" s="153"/>
      <c r="P393" s="7"/>
      <c r="Q393" s="201">
        <f>+SUM(START:END!Q393)</f>
        <v>0</v>
      </c>
      <c r="R393" s="153"/>
      <c r="S393" s="248">
        <f t="shared" si="180"/>
        <v>0</v>
      </c>
    </row>
    <row r="394" spans="1:38" ht="15.75" hidden="1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89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89"/>
      <c r="S394" s="260">
        <f>+SUM(S377:S393)</f>
        <v>0</v>
      </c>
    </row>
    <row r="395" spans="1:38" ht="15.75" hidden="1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3"/>
      <c r="T395" s="184"/>
      <c r="U395" s="184"/>
    </row>
    <row r="396" spans="1:38" ht="15.75" hidden="1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hidden="1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3"/>
    </row>
    <row r="398" spans="1:38" ht="15.75" hidden="1" customHeight="1" thickTop="1" thickBot="1">
      <c r="B398" s="181"/>
      <c r="C398" s="104" t="s">
        <v>72</v>
      </c>
      <c r="D398" s="105"/>
      <c r="E398" s="105"/>
      <c r="F398" s="394">
        <f>F361-F396</f>
        <v>0</v>
      </c>
      <c r="G398" s="395"/>
      <c r="H398" s="105"/>
      <c r="I398" s="394">
        <f>I361-I396</f>
        <v>0</v>
      </c>
      <c r="J398" s="396"/>
      <c r="K398" s="397"/>
      <c r="L398" s="394">
        <f>L361-L396</f>
        <v>0</v>
      </c>
      <c r="M398" s="395"/>
      <c r="N398" s="394">
        <f>N361-N396</f>
        <v>0</v>
      </c>
      <c r="O398" s="396"/>
      <c r="P398" s="397"/>
      <c r="Q398" s="394">
        <f>Q361-Q396</f>
        <v>0</v>
      </c>
      <c r="R398" s="396"/>
      <c r="S398" s="398">
        <f>L398-Q398</f>
        <v>0</v>
      </c>
    </row>
    <row r="399" spans="1:38" ht="15.75" hidden="1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5" t="e">
        <f>+Z406-#REF!-#REF!-#REF!</f>
        <v>#REF!</v>
      </c>
      <c r="AF400" s="475" t="e">
        <f>+AF406-#REF!-#REF!-#REF!</f>
        <v>#REF!</v>
      </c>
      <c r="AH400" s="475" t="e">
        <f>+AH406-#REF!-#REF!-#REF!</f>
        <v>#REF!</v>
      </c>
      <c r="AL400" s="475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399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0"/>
      <c r="W403" s="401"/>
      <c r="X403" s="492" t="s">
        <v>122</v>
      </c>
      <c r="Y403" s="490"/>
      <c r="Z403" s="493"/>
      <c r="AA403" s="489" t="s">
        <v>74</v>
      </c>
      <c r="AB403" s="490"/>
      <c r="AC403" s="493"/>
      <c r="AD403" s="489" t="s">
        <v>7</v>
      </c>
      <c r="AE403" s="490"/>
      <c r="AF403" s="493"/>
      <c r="AG403" s="489" t="s">
        <v>124</v>
      </c>
      <c r="AH403" s="490"/>
      <c r="AI403" s="493"/>
      <c r="AJ403" s="489" t="s">
        <v>123</v>
      </c>
      <c r="AK403" s="490"/>
      <c r="AL403" s="490"/>
      <c r="AM403" s="489" t="s">
        <v>217</v>
      </c>
      <c r="AN403" s="490"/>
      <c r="AO403" s="491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3">+U404&amp;V404</f>
        <v/>
      </c>
      <c r="B404" s="181"/>
      <c r="V404" s="2"/>
      <c r="W404" s="402" t="s">
        <v>125</v>
      </c>
      <c r="X404" s="402" t="s">
        <v>126</v>
      </c>
      <c r="Y404" s="402" t="s">
        <v>127</v>
      </c>
      <c r="Z404" s="403" t="s">
        <v>128</v>
      </c>
      <c r="AA404" s="402" t="s">
        <v>126</v>
      </c>
      <c r="AB404" s="402" t="s">
        <v>127</v>
      </c>
      <c r="AC404" s="403" t="s">
        <v>128</v>
      </c>
      <c r="AD404" s="404" t="s">
        <v>126</v>
      </c>
      <c r="AE404" s="402" t="s">
        <v>127</v>
      </c>
      <c r="AF404" s="402" t="s">
        <v>128</v>
      </c>
      <c r="AG404" s="404" t="s">
        <v>129</v>
      </c>
      <c r="AH404" s="402" t="s">
        <v>130</v>
      </c>
      <c r="AI404" s="402" t="s">
        <v>131</v>
      </c>
      <c r="AJ404" s="404" t="s">
        <v>126</v>
      </c>
      <c r="AK404" s="402" t="s">
        <v>127</v>
      </c>
      <c r="AL404" s="402" t="s">
        <v>128</v>
      </c>
      <c r="AM404" s="405" t="s">
        <v>129</v>
      </c>
      <c r="AN404" s="402" t="s">
        <v>130</v>
      </c>
      <c r="AO404" s="282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3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20000714.760609265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17432381.240000002</v>
      </c>
      <c r="AG405" s="9"/>
      <c r="AH405" s="10"/>
      <c r="AI405" s="11"/>
      <c r="AJ405" s="9"/>
      <c r="AK405" s="10"/>
      <c r="AL405" s="10">
        <f>Q5+Q93+P194+P250+O314+O361</f>
        <v>12663799.47999998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3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2455615.9364628782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2121598.5999999996</v>
      </c>
      <c r="AG406" s="17"/>
      <c r="AH406" s="18">
        <f>AF406-Z406</f>
        <v>-334017.33646287862</v>
      </c>
      <c r="AI406" s="19">
        <f>AH406/Z406</f>
        <v>-0.13602181493576895</v>
      </c>
      <c r="AJ406" s="17"/>
      <c r="AK406" s="18"/>
      <c r="AL406" s="18">
        <f>Q27+Q108+Q194+Q250+Q314+Q361</f>
        <v>1865550.6699999971</v>
      </c>
      <c r="AM406" s="20"/>
      <c r="AN406" s="18">
        <f>AF406-AL406</f>
        <v>256047.9300000025</v>
      </c>
      <c r="AO406" s="21">
        <f>IF(AL406=0,0,AN406/AL406)</f>
        <v>0.13725058992903308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3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3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683.03526456520024</v>
      </c>
      <c r="Z408" s="24">
        <f>+SUM(START:END!Z409)</f>
        <v>210374.86148608167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614.66247747747752</v>
      </c>
      <c r="AF408" s="24">
        <f>+SUM(START:END!AF409)</f>
        <v>136455.07</v>
      </c>
      <c r="AG408" s="25">
        <f>AE408-Y408</f>
        <v>-68.372787087722713</v>
      </c>
      <c r="AH408" s="24">
        <f>AF408-Z408</f>
        <v>-73919.791486081667</v>
      </c>
      <c r="AI408" s="27">
        <f t="shared" ref="AI408:AI417" si="184">IF(Z408=0,0,AH408/Z408)</f>
        <v>-0.35137178921433143</v>
      </c>
      <c r="AJ408" s="32"/>
      <c r="AK408" s="26">
        <f>AL408/(O$13+O$97)</f>
        <v>684.64029268292688</v>
      </c>
      <c r="AL408" s="24">
        <f t="shared" ref="AL408:AL414" si="185">+SUMIF($C:$C,$V408,Q:Q)</f>
        <v>140351.26</v>
      </c>
      <c r="AM408" s="28">
        <f t="shared" ref="AM408:AM417" si="186">AE408-AK408</f>
        <v>-69.97781520544936</v>
      </c>
      <c r="AN408" s="26">
        <f t="shared" ref="AN408:AN418" si="187">AF408-AL408</f>
        <v>-3896.1900000000023</v>
      </c>
      <c r="AO408" s="33">
        <f>IF(AL408=0,0,AN408/AL408)</f>
        <v>-2.7760278033841679E-2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3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8">Z409/(D$13+D$97)</f>
        <v>386.07142857142856</v>
      </c>
      <c r="Z409" s="8">
        <f>+SUM(START:END!Z410)</f>
        <v>118910</v>
      </c>
      <c r="AA409" s="7"/>
      <c r="AB409" s="35">
        <f t="shared" ref="AB409:AB414" si="189">IF(AC409=0,0,AC409/(G$13+G$97))</f>
        <v>0</v>
      </c>
      <c r="AC409" s="8">
        <f>+SUM(START:END!AC410)</f>
        <v>0</v>
      </c>
      <c r="AD409" s="36"/>
      <c r="AE409" s="35">
        <f t="shared" ref="AE409:AE414" si="190">IF(AF409=0,0,AF409/(J$13+J$97))</f>
        <v>392.03860360360358</v>
      </c>
      <c r="AF409" s="8">
        <f>+SUM(START:END!AF410)</f>
        <v>87032.569999999992</v>
      </c>
      <c r="AG409" s="9">
        <f t="shared" ref="AG409:AG414" si="191">AE409-Y409</f>
        <v>5.967175032175021</v>
      </c>
      <c r="AH409" s="8">
        <f t="shared" ref="AH409:AH414" si="192">AF409-Z409</f>
        <v>-31877.430000000008</v>
      </c>
      <c r="AI409" s="37">
        <f t="shared" si="184"/>
        <v>-0.26808031284164502</v>
      </c>
      <c r="AJ409" s="36"/>
      <c r="AK409" s="10">
        <f t="shared" ref="AK409:AK414" si="193">AL409/(O$13+O$97)</f>
        <v>417.21429268292678</v>
      </c>
      <c r="AL409" s="8">
        <f t="shared" si="185"/>
        <v>85528.93</v>
      </c>
      <c r="AM409" s="12">
        <f t="shared" si="186"/>
        <v>-25.175689079323206</v>
      </c>
      <c r="AN409" s="10">
        <f t="shared" ref="AN409:AN414" si="194">AF409-AL409</f>
        <v>1503.6399999999994</v>
      </c>
      <c r="AO409" s="38">
        <f t="shared" ref="AO409:AO414" si="195">IF(AL409=0,0,AN409/AL409)</f>
        <v>1.7580484170677681E-2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3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8"/>
        <v>82.951298701298697</v>
      </c>
      <c r="Z410" s="24">
        <f>+SUM(START:END!Z411)</f>
        <v>25549</v>
      </c>
      <c r="AB410" s="31">
        <f t="shared" si="189"/>
        <v>0</v>
      </c>
      <c r="AC410" s="24">
        <f>+SUM(START:END!AC411)</f>
        <v>0</v>
      </c>
      <c r="AD410" s="32"/>
      <c r="AE410" s="31">
        <f t="shared" si="190"/>
        <v>77.516576576576583</v>
      </c>
      <c r="AF410" s="24">
        <f>+SUM(START:END!AF411)</f>
        <v>17208.68</v>
      </c>
      <c r="AG410" s="25">
        <f t="shared" si="191"/>
        <v>-5.4347221247221142</v>
      </c>
      <c r="AH410" s="24">
        <f t="shared" si="192"/>
        <v>-8340.32</v>
      </c>
      <c r="AI410" s="27">
        <f t="shared" si="184"/>
        <v>-0.32644408783122625</v>
      </c>
      <c r="AJ410" s="32"/>
      <c r="AK410" s="26">
        <f t="shared" si="193"/>
        <v>84.014195121951218</v>
      </c>
      <c r="AL410" s="24">
        <f t="shared" si="185"/>
        <v>17222.91</v>
      </c>
      <c r="AM410" s="28">
        <f t="shared" si="186"/>
        <v>-6.4976185453746353</v>
      </c>
      <c r="AN410" s="26">
        <f t="shared" si="194"/>
        <v>-14.229999999999563</v>
      </c>
      <c r="AO410" s="33">
        <f t="shared" si="195"/>
        <v>-8.2622506881819407E-4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3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8"/>
        <v>22.029220779220779</v>
      </c>
      <c r="Z411" s="24">
        <f>+SUM(START:END!Z412)</f>
        <v>6785</v>
      </c>
      <c r="AB411" s="31">
        <f t="shared" si="189"/>
        <v>0</v>
      </c>
      <c r="AC411" s="24">
        <f>+SUM(START:END!AC412)</f>
        <v>0</v>
      </c>
      <c r="AD411" s="32"/>
      <c r="AE411" s="31">
        <f t="shared" si="190"/>
        <v>9.2236486486486484</v>
      </c>
      <c r="AF411" s="24">
        <f>+SUM(START:END!AF412)</f>
        <v>2047.65</v>
      </c>
      <c r="AG411" s="25">
        <f t="shared" si="191"/>
        <v>-12.805572130572131</v>
      </c>
      <c r="AH411" s="24">
        <f t="shared" si="192"/>
        <v>-4737.3500000000004</v>
      </c>
      <c r="AI411" s="27">
        <f t="shared" si="184"/>
        <v>-0.69820928518791459</v>
      </c>
      <c r="AJ411" s="32"/>
      <c r="AK411" s="26">
        <f t="shared" si="193"/>
        <v>45.542585365853654</v>
      </c>
      <c r="AL411" s="24">
        <f t="shared" si="185"/>
        <v>9336.23</v>
      </c>
      <c r="AM411" s="28">
        <f t="shared" si="186"/>
        <v>-36.318936717205005</v>
      </c>
      <c r="AN411" s="26">
        <f t="shared" si="194"/>
        <v>-7288.58</v>
      </c>
      <c r="AO411" s="39">
        <f t="shared" si="195"/>
        <v>-0.78067699703199256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3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8"/>
        <v>137.79626623376623</v>
      </c>
      <c r="Z412" s="8">
        <f>+SUM(START:END!Z413)</f>
        <v>42441.25</v>
      </c>
      <c r="AA412" s="7"/>
      <c r="AB412" s="35">
        <f t="shared" si="189"/>
        <v>0</v>
      </c>
      <c r="AC412" s="8">
        <f>+SUM(START:END!AC413)</f>
        <v>0</v>
      </c>
      <c r="AD412" s="36"/>
      <c r="AE412" s="35">
        <f t="shared" si="190"/>
        <v>151.77932432432434</v>
      </c>
      <c r="AF412" s="8">
        <f>+SUM(START:END!AF413)</f>
        <v>33695.01</v>
      </c>
      <c r="AG412" s="9">
        <f t="shared" si="191"/>
        <v>13.983058090558103</v>
      </c>
      <c r="AH412" s="8">
        <f t="shared" si="192"/>
        <v>-8746.239999999998</v>
      </c>
      <c r="AI412" s="37">
        <f t="shared" si="184"/>
        <v>-0.20607875592731123</v>
      </c>
      <c r="AJ412" s="36"/>
      <c r="AK412" s="10">
        <f t="shared" si="193"/>
        <v>165.34970731707318</v>
      </c>
      <c r="AL412" s="8">
        <f t="shared" si="185"/>
        <v>33896.69</v>
      </c>
      <c r="AM412" s="12">
        <f t="shared" si="186"/>
        <v>-13.570382992748847</v>
      </c>
      <c r="AN412" s="10">
        <f t="shared" si="194"/>
        <v>-201.68000000000029</v>
      </c>
      <c r="AO412" s="38">
        <f t="shared" si="195"/>
        <v>-5.9498434802926266E-3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3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8"/>
        <v>196.20779220779221</v>
      </c>
      <c r="Z413" s="24">
        <f>+SUM(START:END!Z414)</f>
        <v>60432</v>
      </c>
      <c r="AA413" s="27"/>
      <c r="AB413" s="31">
        <f t="shared" si="189"/>
        <v>0</v>
      </c>
      <c r="AC413" s="24">
        <f>+SUM(START:END!AC414)</f>
        <v>0</v>
      </c>
      <c r="AD413" s="32"/>
      <c r="AE413" s="31">
        <f t="shared" si="190"/>
        <v>300.24292792792795</v>
      </c>
      <c r="AF413" s="24">
        <f>+SUM(START:END!AF414)</f>
        <v>66653.930000000008</v>
      </c>
      <c r="AG413" s="25">
        <f t="shared" si="191"/>
        <v>104.03513572013574</v>
      </c>
      <c r="AH413" s="24">
        <f t="shared" si="192"/>
        <v>6221.9300000000076</v>
      </c>
      <c r="AI413" s="27">
        <f t="shared" si="184"/>
        <v>0.10295753905215792</v>
      </c>
      <c r="AJ413" s="32"/>
      <c r="AK413" s="26">
        <f t="shared" si="193"/>
        <v>387.22429268292632</v>
      </c>
      <c r="AL413" s="24">
        <f t="shared" si="185"/>
        <v>79380.979999999894</v>
      </c>
      <c r="AM413" s="28">
        <f t="shared" si="186"/>
        <v>-86.981364754998367</v>
      </c>
      <c r="AN413" s="26">
        <f t="shared" si="194"/>
        <v>-12727.049999999886</v>
      </c>
      <c r="AO413" s="33">
        <f t="shared" si="195"/>
        <v>-0.16032870846391545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3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8"/>
        <v>427.57494573031244</v>
      </c>
      <c r="Z414" s="24">
        <f>+SUM(START:END!Z415)</f>
        <v>131693.08328493623</v>
      </c>
      <c r="AB414" s="31">
        <f t="shared" si="189"/>
        <v>0</v>
      </c>
      <c r="AC414" s="24">
        <f>+SUM(START:END!AC415)</f>
        <v>0</v>
      </c>
      <c r="AD414" s="32"/>
      <c r="AE414" s="31">
        <f t="shared" si="190"/>
        <v>302.41801801801796</v>
      </c>
      <c r="AF414" s="24">
        <f>+SUM(START:END!AF415)</f>
        <v>67136.799999999988</v>
      </c>
      <c r="AG414" s="25">
        <f t="shared" si="191"/>
        <v>-125.15692771229448</v>
      </c>
      <c r="AH414" s="24">
        <f t="shared" si="192"/>
        <v>-64556.283284936246</v>
      </c>
      <c r="AI414" s="27">
        <f t="shared" si="184"/>
        <v>-0.49020253512676731</v>
      </c>
      <c r="AJ414" s="32"/>
      <c r="AK414" s="26">
        <f t="shared" si="193"/>
        <v>-30.341658536585378</v>
      </c>
      <c r="AL414" s="24">
        <f t="shared" si="185"/>
        <v>-6220.0400000000027</v>
      </c>
      <c r="AM414" s="28">
        <f t="shared" si="186"/>
        <v>332.75967655460335</v>
      </c>
      <c r="AN414" s="26">
        <f t="shared" si="194"/>
        <v>73356.84</v>
      </c>
      <c r="AO414" s="33">
        <f t="shared" si="195"/>
        <v>-11.793628336795257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3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6">Z415/(D$13+D$97)</f>
        <v>0</v>
      </c>
      <c r="Z415" s="24">
        <f>+SUM(START:END!Z416)</f>
        <v>0</v>
      </c>
      <c r="AB415" s="31">
        <f t="shared" ref="AB415:AB417" si="197">IF(AC415=0,0,AC415/(G$13+G$97))</f>
        <v>0</v>
      </c>
      <c r="AC415" s="24">
        <f>+SUM(START:END!AC416)</f>
        <v>0</v>
      </c>
      <c r="AD415" s="32"/>
      <c r="AE415" s="31">
        <f t="shared" ref="AE415:AE417" si="198">IF(AF415=0,0,AF415/(J$13+J$97))</f>
        <v>0</v>
      </c>
      <c r="AF415" s="24">
        <f>+SUM(START:END!AF416)</f>
        <v>0</v>
      </c>
      <c r="AG415" s="25">
        <f t="shared" ref="AG415:AG417" si="199">AE415-AB415</f>
        <v>0</v>
      </c>
      <c r="AH415" s="24">
        <f t="shared" ref="AH415:AH417" si="200">AF415-AC415</f>
        <v>0</v>
      </c>
      <c r="AI415" s="27">
        <f t="shared" si="184"/>
        <v>0</v>
      </c>
      <c r="AJ415" s="32"/>
      <c r="AK415" s="26">
        <f t="shared" ref="AK415:AK417" si="201">AL415/(O$13+O$97)</f>
        <v>0</v>
      </c>
      <c r="AL415" s="24"/>
      <c r="AM415" s="28">
        <f t="shared" si="186"/>
        <v>0</v>
      </c>
      <c r="AN415" s="26">
        <f t="shared" ref="AN415:AN417" si="202">AF415-AL415</f>
        <v>0</v>
      </c>
      <c r="AO415" s="33">
        <f t="shared" ref="AO415:AO417" si="203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3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6"/>
        <v>0</v>
      </c>
      <c r="Z416" s="24">
        <f>+SUM(START:END!Z417)</f>
        <v>0</v>
      </c>
      <c r="AB416" s="31">
        <f t="shared" si="197"/>
        <v>0</v>
      </c>
      <c r="AC416" s="24">
        <f>+SUM(START:END!AC417)</f>
        <v>0</v>
      </c>
      <c r="AD416" s="32"/>
      <c r="AE416" s="31">
        <f t="shared" si="198"/>
        <v>0</v>
      </c>
      <c r="AF416" s="24">
        <f>+SUM(START:END!AF417)</f>
        <v>0</v>
      </c>
      <c r="AG416" s="25">
        <f t="shared" si="199"/>
        <v>0</v>
      </c>
      <c r="AH416" s="24">
        <f t="shared" si="200"/>
        <v>0</v>
      </c>
      <c r="AI416" s="27">
        <f t="shared" si="184"/>
        <v>0</v>
      </c>
      <c r="AJ416" s="32"/>
      <c r="AK416" s="26">
        <f t="shared" si="201"/>
        <v>0</v>
      </c>
      <c r="AL416" s="24"/>
      <c r="AM416" s="28">
        <f t="shared" si="186"/>
        <v>0</v>
      </c>
      <c r="AN416" s="26">
        <f t="shared" si="202"/>
        <v>0</v>
      </c>
      <c r="AO416" s="33">
        <f t="shared" si="203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3"/>
        <v>[...]</v>
      </c>
      <c r="B417" s="181"/>
      <c r="T417" s="184"/>
      <c r="U417" s="184"/>
      <c r="V417" s="1" t="s">
        <v>20</v>
      </c>
      <c r="W417" s="30"/>
      <c r="Y417" s="31">
        <f t="shared" si="196"/>
        <v>0</v>
      </c>
      <c r="Z417" s="24">
        <f>+SUM(START:END!Z418)</f>
        <v>0</v>
      </c>
      <c r="AB417" s="31">
        <f t="shared" si="197"/>
        <v>0</v>
      </c>
      <c r="AC417" s="24">
        <f>+SUM(START:END!AC418)</f>
        <v>0</v>
      </c>
      <c r="AD417" s="32"/>
      <c r="AE417" s="31">
        <f t="shared" si="198"/>
        <v>0</v>
      </c>
      <c r="AF417" s="24">
        <f>+SUM(START:END!AF418)</f>
        <v>0</v>
      </c>
      <c r="AG417" s="25">
        <f t="shared" si="199"/>
        <v>0</v>
      </c>
      <c r="AH417" s="24">
        <f t="shared" si="200"/>
        <v>0</v>
      </c>
      <c r="AI417" s="27">
        <f t="shared" si="184"/>
        <v>0</v>
      </c>
      <c r="AJ417" s="32"/>
      <c r="AK417" s="26">
        <f t="shared" si="201"/>
        <v>0</v>
      </c>
      <c r="AL417" s="24"/>
      <c r="AM417" s="28">
        <f t="shared" si="186"/>
        <v>0</v>
      </c>
      <c r="AN417" s="26">
        <f t="shared" si="202"/>
        <v>0</v>
      </c>
      <c r="AO417" s="33">
        <f t="shared" si="203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3"/>
        <v>TOTAL VARIABLES</v>
      </c>
      <c r="B418" s="181"/>
      <c r="T418" s="184"/>
      <c r="U418" s="184"/>
      <c r="V418" s="40" t="s">
        <v>38</v>
      </c>
      <c r="W418" s="41"/>
      <c r="X418" s="42">
        <f>Z418/(Z406+Z480)</f>
        <v>0.20136831335375732</v>
      </c>
      <c r="Y418" s="41"/>
      <c r="Z418" s="43">
        <f>SUM(Z408:Z417)</f>
        <v>596185.19477101788</v>
      </c>
      <c r="AA418" s="42" t="e">
        <f>AC418/AC406</f>
        <v>#DIV/0!</v>
      </c>
      <c r="AB418" s="41"/>
      <c r="AC418" s="43">
        <f>SUM(AC408:AC417)</f>
        <v>0</v>
      </c>
      <c r="AD418" s="42">
        <f>AF418/(AF406+AF480)</f>
        <v>0.15988235428462835</v>
      </c>
      <c r="AE418" s="41"/>
      <c r="AF418" s="43">
        <f>SUM(AF408:AF417)</f>
        <v>410229.70999999996</v>
      </c>
      <c r="AG418" s="45"/>
      <c r="AH418" s="43">
        <f>SUM(AH408:AH417)</f>
        <v>-185955.48477101792</v>
      </c>
      <c r="AI418" s="42">
        <f>AH418/Z418</f>
        <v>-0.3119089276318569</v>
      </c>
      <c r="AJ418" s="44">
        <f>IF($AL$406=0,0,AL418/$AL$406)</f>
        <v>0.1927028655833832</v>
      </c>
      <c r="AK418" s="41"/>
      <c r="AL418" s="43">
        <f>SUM(AL408:AL417)</f>
        <v>359496.9599999999</v>
      </c>
      <c r="AM418" s="47"/>
      <c r="AN418" s="46">
        <f t="shared" si="187"/>
        <v>50732.750000000058</v>
      </c>
      <c r="AO418" s="21">
        <f>IF(AL418=0,0,AN418/AL418)</f>
        <v>0.1411214993306204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3"/>
        <v>Salaires propriétaire</v>
      </c>
      <c r="B419" s="181"/>
      <c r="O419" s="406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46336.125</v>
      </c>
      <c r="AB419" s="23">
        <f t="shared" ref="AB419:AB429" si="204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49056.47</v>
      </c>
      <c r="AG419" s="25"/>
      <c r="AH419" s="24">
        <f t="shared" ref="AH419:AH430" si="205">AF419-Z419</f>
        <v>2720.3450000000012</v>
      </c>
      <c r="AI419" s="27">
        <f t="shared" ref="AI419:AI431" si="206">IF(Z419=0,0,AH419/Z419)</f>
        <v>5.8708944694879021E-2</v>
      </c>
      <c r="AJ419" s="32"/>
      <c r="AL419" s="24">
        <f>+SUM(START:END!AL420)</f>
        <v>45658.129999999903</v>
      </c>
      <c r="AM419" s="28"/>
      <c r="AN419" s="26">
        <f t="shared" ref="AN419:AN429" si="207">AF419-AL419</f>
        <v>3398.3400000000984</v>
      </c>
      <c r="AO419" s="33">
        <f t="shared" ref="AO419:AO429" si="208">IF(AL419=0,0,AN419/AL419)</f>
        <v>7.4430117922045985E-2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3"/>
        <v>Salaires cadres</v>
      </c>
      <c r="B420" s="181"/>
      <c r="O420" s="406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179288</v>
      </c>
      <c r="AB420" s="23">
        <f t="shared" si="204"/>
        <v>0</v>
      </c>
      <c r="AC420" s="24">
        <f>+SUM(START:END!AC421)</f>
        <v>0</v>
      </c>
      <c r="AD420" s="32"/>
      <c r="AE420" s="31"/>
      <c r="AF420" s="24">
        <f>+SUM(START:END!AF421)</f>
        <v>150849.44999999998</v>
      </c>
      <c r="AG420" s="25"/>
      <c r="AH420" s="24">
        <f t="shared" si="205"/>
        <v>-28438.550000000017</v>
      </c>
      <c r="AI420" s="27">
        <f t="shared" si="206"/>
        <v>-0.15861937218330294</v>
      </c>
      <c r="AJ420" s="32"/>
      <c r="AL420" s="24">
        <f>+SUMIF($C:$C,$V420,Q:Q)</f>
        <v>158825.34</v>
      </c>
      <c r="AM420" s="28"/>
      <c r="AN420" s="26">
        <f t="shared" si="207"/>
        <v>-7975.890000000014</v>
      </c>
      <c r="AO420" s="33">
        <f t="shared" si="208"/>
        <v>-5.0217994181533089E-2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3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7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200623.81599999999</v>
      </c>
      <c r="AA421" s="7"/>
      <c r="AB421" s="7">
        <f t="shared" si="204"/>
        <v>0</v>
      </c>
      <c r="AC421" s="8">
        <f>+SUM(START:END!AC422)</f>
        <v>0</v>
      </c>
      <c r="AD421" s="36"/>
      <c r="AE421" s="35"/>
      <c r="AF421" s="8">
        <f>+SUM(START:END!AF422)</f>
        <v>177520.21</v>
      </c>
      <c r="AG421" s="9"/>
      <c r="AH421" s="8">
        <f t="shared" si="205"/>
        <v>-23103.606</v>
      </c>
      <c r="AI421" s="37">
        <f t="shared" si="206"/>
        <v>-0.11515884036419684</v>
      </c>
      <c r="AJ421" s="36"/>
      <c r="AK421" s="7"/>
      <c r="AL421" s="8">
        <f>+SUMIF($C:$C,$V421,Q:Q)</f>
        <v>156267.62</v>
      </c>
      <c r="AM421" s="12"/>
      <c r="AN421" s="10">
        <f t="shared" si="207"/>
        <v>21252.589999999997</v>
      </c>
      <c r="AO421" s="13">
        <f t="shared" si="208"/>
        <v>0.13600123941223394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3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7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63329.5</v>
      </c>
      <c r="AB422" s="23">
        <f t="shared" si="204"/>
        <v>0</v>
      </c>
      <c r="AC422" s="24">
        <f>+SUM(START:END!AC423)</f>
        <v>0</v>
      </c>
      <c r="AD422" s="32"/>
      <c r="AE422" s="31"/>
      <c r="AF422" s="24">
        <f>+SUM(START:END!AF423)</f>
        <v>88831.52</v>
      </c>
      <c r="AG422" s="25"/>
      <c r="AH422" s="24">
        <f t="shared" si="205"/>
        <v>25502.020000000004</v>
      </c>
      <c r="AI422" s="27">
        <f t="shared" si="206"/>
        <v>0.4026878468959964</v>
      </c>
      <c r="AJ422" s="32"/>
      <c r="AL422" s="24">
        <f>+SUMIF($C:$C,$V422,Q:Q)</f>
        <v>97692.53</v>
      </c>
      <c r="AM422" s="28"/>
      <c r="AN422" s="26">
        <f t="shared" si="207"/>
        <v>-8861.0099999999948</v>
      </c>
      <c r="AO422" s="33">
        <f t="shared" si="208"/>
        <v>-9.0703045565510426E-2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3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7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109571.48983999999</v>
      </c>
      <c r="AB423" s="23">
        <f t="shared" si="204"/>
        <v>0</v>
      </c>
      <c r="AC423" s="24">
        <f>+SUM(START:END!AC424)</f>
        <v>0</v>
      </c>
      <c r="AD423" s="32"/>
      <c r="AE423" s="31"/>
      <c r="AF423" s="24">
        <f>+SUM(START:END!AF424)</f>
        <v>77740.290000000008</v>
      </c>
      <c r="AG423" s="25"/>
      <c r="AH423" s="24">
        <f t="shared" si="205"/>
        <v>-31831.199839999987</v>
      </c>
      <c r="AI423" s="27">
        <f t="shared" si="206"/>
        <v>-0.29050622462541109</v>
      </c>
      <c r="AJ423" s="32"/>
      <c r="AL423" s="24">
        <f>+SUMIF($C:$C,$V423,Q:Q)</f>
        <v>89259.56</v>
      </c>
      <c r="AM423" s="28"/>
      <c r="AN423" s="26">
        <f t="shared" si="207"/>
        <v>-11519.26999999999</v>
      </c>
      <c r="AO423" s="33">
        <f t="shared" si="208"/>
        <v>-0.12905362742097307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3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7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4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5"/>
        <v>0</v>
      </c>
      <c r="AI424" s="27">
        <f t="shared" si="206"/>
        <v>0</v>
      </c>
      <c r="AJ424" s="32"/>
      <c r="AL424" s="24"/>
      <c r="AM424" s="28"/>
      <c r="AN424" s="26">
        <f t="shared" si="207"/>
        <v>0</v>
      </c>
      <c r="AO424" s="33">
        <f t="shared" si="208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3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7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4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5"/>
        <v>0</v>
      </c>
      <c r="AI425" s="27">
        <f t="shared" si="206"/>
        <v>0</v>
      </c>
      <c r="AJ425" s="32"/>
      <c r="AL425" s="24"/>
      <c r="AM425" s="28"/>
      <c r="AN425" s="26">
        <f t="shared" si="207"/>
        <v>0</v>
      </c>
      <c r="AO425" s="33">
        <f t="shared" si="208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3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7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4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5"/>
        <v>0</v>
      </c>
      <c r="AI426" s="27">
        <f t="shared" si="206"/>
        <v>0</v>
      </c>
      <c r="AJ426" s="32"/>
      <c r="AL426" s="24"/>
      <c r="AM426" s="28"/>
      <c r="AN426" s="26">
        <f t="shared" si="207"/>
        <v>0</v>
      </c>
      <c r="AO426" s="33">
        <f t="shared" si="208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3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7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135205.80301789899</v>
      </c>
      <c r="AA427" s="7"/>
      <c r="AB427" s="7">
        <f t="shared" si="204"/>
        <v>0</v>
      </c>
      <c r="AC427" s="8">
        <f>+SUM(START:END!AC428)</f>
        <v>0</v>
      </c>
      <c r="AD427" s="36"/>
      <c r="AE427" s="35"/>
      <c r="AF427" s="8">
        <f>+SUM(START:END!AF428)</f>
        <v>124287.38</v>
      </c>
      <c r="AG427" s="9"/>
      <c r="AH427" s="8">
        <f t="shared" si="205"/>
        <v>-10918.423017898982</v>
      </c>
      <c r="AI427" s="37">
        <f t="shared" si="206"/>
        <v>-8.0754100594732356E-2</v>
      </c>
      <c r="AJ427" s="36"/>
      <c r="AK427" s="7"/>
      <c r="AL427" s="8">
        <f>+SUMIF($C:$C,$V427,Q:Q)</f>
        <v>107094.34</v>
      </c>
      <c r="AM427" s="12"/>
      <c r="AN427" s="10">
        <f t="shared" si="207"/>
        <v>17193.040000000008</v>
      </c>
      <c r="AO427" s="38">
        <f t="shared" si="208"/>
        <v>0.16054107061120138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3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7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164391.19662088159</v>
      </c>
      <c r="AB428" s="23">
        <f t="shared" si="204"/>
        <v>0</v>
      </c>
      <c r="AC428" s="24">
        <f>+SUM(START:END!AC429)</f>
        <v>0</v>
      </c>
      <c r="AD428" s="32"/>
      <c r="AE428" s="31"/>
      <c r="AF428" s="24">
        <f>+SUM(START:END!AF429)</f>
        <v>161078.01</v>
      </c>
      <c r="AG428" s="25"/>
      <c r="AH428" s="24">
        <f t="shared" si="205"/>
        <v>-3313.1866208815773</v>
      </c>
      <c r="AI428" s="27">
        <f t="shared" si="206"/>
        <v>-2.015428252233261E-2</v>
      </c>
      <c r="AJ428" s="32"/>
      <c r="AL428" s="24">
        <f>+SUMIF($C:$C,$V428,Q:Q)</f>
        <v>146903.65</v>
      </c>
      <c r="AM428" s="28"/>
      <c r="AN428" s="26">
        <f t="shared" si="207"/>
        <v>14174.360000000015</v>
      </c>
      <c r="AO428" s="33">
        <f t="shared" si="208"/>
        <v>9.6487459637660575E-2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3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7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84697.203476410708</v>
      </c>
      <c r="AB429" s="23">
        <f t="shared" si="204"/>
        <v>0</v>
      </c>
      <c r="AC429" s="24">
        <f>+SUM(START:END!AC430)</f>
        <v>0</v>
      </c>
      <c r="AD429" s="32"/>
      <c r="AE429" s="31"/>
      <c r="AF429" s="24">
        <f>+SUM(START:END!AF430)</f>
        <v>75935.69</v>
      </c>
      <c r="AG429" s="25"/>
      <c r="AH429" s="24">
        <f t="shared" si="205"/>
        <v>-8761.5134764107061</v>
      </c>
      <c r="AI429" s="27">
        <f t="shared" si="206"/>
        <v>-0.10344513297715791</v>
      </c>
      <c r="AJ429" s="32"/>
      <c r="AL429" s="24">
        <f>+SUMIF($C:$C,$V429,Q:Q)</f>
        <v>41898.769999999982</v>
      </c>
      <c r="AM429" s="28"/>
      <c r="AN429" s="26">
        <f t="shared" si="207"/>
        <v>34036.92000000002</v>
      </c>
      <c r="AO429" s="33">
        <f t="shared" si="208"/>
        <v>0.8123608401869562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3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7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36928.457211937159</v>
      </c>
      <c r="AB430" s="23">
        <f t="shared" ref="AB430:AB431" si="209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27261.350000000002</v>
      </c>
      <c r="AG430" s="25"/>
      <c r="AH430" s="24">
        <f t="shared" si="205"/>
        <v>-9667.1072119371565</v>
      </c>
      <c r="AI430" s="48">
        <f t="shared" si="206"/>
        <v>-0.26177934151043425</v>
      </c>
      <c r="AJ430" s="32"/>
      <c r="AL430" s="24">
        <f>+SUMIF($C:$C,$V430,Q:Q)</f>
        <v>25404.390000000003</v>
      </c>
      <c r="AM430" s="28"/>
      <c r="AN430" s="26">
        <f t="shared" ref="AN430:AN431" si="210">AF430-AL430</f>
        <v>1856.9599999999991</v>
      </c>
      <c r="AO430" s="33">
        <f t="shared" ref="AO430:AO431" si="211">IF(AL430=0,0,AN430/AL430)</f>
        <v>7.3096027891242379E-2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3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9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12">AF431-AC431</f>
        <v>0</v>
      </c>
      <c r="AI431" s="27">
        <f t="shared" si="206"/>
        <v>0</v>
      </c>
      <c r="AJ431" s="32"/>
      <c r="AK431" s="26"/>
      <c r="AL431" s="24"/>
      <c r="AM431" s="28"/>
      <c r="AN431" s="26">
        <f t="shared" si="210"/>
        <v>0</v>
      </c>
      <c r="AO431" s="38">
        <f t="shared" si="211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3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Z432/(Z406+Z480)</f>
        <v>0.34464208120151513</v>
      </c>
      <c r="Y432" s="41"/>
      <c r="Z432" s="43">
        <f>SUM(Z419:Z431)</f>
        <v>1020371.5911671284</v>
      </c>
      <c r="AA432" s="42" t="e">
        <f>AC432/AC406</f>
        <v>#DIV/0!</v>
      </c>
      <c r="AB432" s="41"/>
      <c r="AC432" s="43">
        <f>SUM(AC419:AC431)</f>
        <v>0</v>
      </c>
      <c r="AD432" s="42">
        <f>AF432/(AF406+AF480)</f>
        <v>0.3634547762719188</v>
      </c>
      <c r="AE432" s="49"/>
      <c r="AF432" s="43">
        <f>SUM(AF419:AF431)</f>
        <v>932560.37</v>
      </c>
      <c r="AG432" s="50"/>
      <c r="AH432" s="43">
        <f>SUM(AH419:AH431)</f>
        <v>-87811.221167128417</v>
      </c>
      <c r="AI432" s="42">
        <f>AH432/Z432</f>
        <v>-8.6058081121885788E-2</v>
      </c>
      <c r="AJ432" s="44">
        <f>IF($AL$406=0,0,AL432/$AL$406)</f>
        <v>0.46581652483338942</v>
      </c>
      <c r="AK432" s="41"/>
      <c r="AL432" s="43">
        <f>SUM(AL419:AL431)</f>
        <v>869004.33</v>
      </c>
      <c r="AM432" s="51"/>
      <c r="AN432" s="46">
        <f t="shared" ref="AN432:AN450" si="213">AF432-AL432</f>
        <v>63556.040000000037</v>
      </c>
      <c r="AO432" s="21">
        <f>IF(AL432=0,0,AN432/AL432)</f>
        <v>7.3136620619600412E-2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3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8"/>
      <c r="S433" s="409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58469.296760505502</v>
      </c>
      <c r="AA433" s="53"/>
      <c r="AB433" s="53">
        <f t="shared" ref="AB433:AB450" si="214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46234.78</v>
      </c>
      <c r="AG433" s="55"/>
      <c r="AH433" s="54">
        <f t="shared" ref="AH433:AH448" si="215">AF433-Z433</f>
        <v>-12234.516760505503</v>
      </c>
      <c r="AI433" s="58">
        <f t="shared" ref="AI433:AI450" si="216">IF(Z433=0,0,AH433/Z433)</f>
        <v>-0.20924686011906343</v>
      </c>
      <c r="AJ433" s="55"/>
      <c r="AK433" s="53"/>
      <c r="AL433" s="54">
        <f t="shared" ref="AL433:AL446" si="217">+SUMIF($C:$C,$V433,Q:Q)</f>
        <v>47304.490000000005</v>
      </c>
      <c r="AM433" s="59"/>
      <c r="AN433" s="57">
        <f t="shared" si="213"/>
        <v>-1069.7100000000064</v>
      </c>
      <c r="AO433" s="29">
        <f t="shared" ref="AO433:AO450" si="218">IF(AL433=0,0,AN433/AL433)</f>
        <v>-2.2613286814845826E-2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3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8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13636.143488417125</v>
      </c>
      <c r="AB434" s="23">
        <f t="shared" si="214"/>
        <v>0</v>
      </c>
      <c r="AC434" s="24">
        <f>+SUM(START:END!AC435)</f>
        <v>0</v>
      </c>
      <c r="AD434" s="32"/>
      <c r="AE434" s="31"/>
      <c r="AF434" s="24">
        <f>+SUM(START:END!AF435)</f>
        <v>9649.92</v>
      </c>
      <c r="AG434" s="25"/>
      <c r="AH434" s="24">
        <f t="shared" si="215"/>
        <v>-3986.2234884171248</v>
      </c>
      <c r="AI434" s="27">
        <f t="shared" si="216"/>
        <v>-0.29232777521028003</v>
      </c>
      <c r="AJ434" s="32"/>
      <c r="AL434" s="24">
        <f t="shared" si="217"/>
        <v>37685.46</v>
      </c>
      <c r="AM434" s="28"/>
      <c r="AN434" s="26">
        <f t="shared" si="213"/>
        <v>-28035.54</v>
      </c>
      <c r="AO434" s="33">
        <f t="shared" si="218"/>
        <v>-0.74393519410403908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3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8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79127.794000000009</v>
      </c>
      <c r="AA435" s="7"/>
      <c r="AB435" s="7">
        <f t="shared" si="214"/>
        <v>0</v>
      </c>
      <c r="AC435" s="8">
        <f>+SUM(START:END!AC436)</f>
        <v>0</v>
      </c>
      <c r="AD435" s="36"/>
      <c r="AE435" s="35"/>
      <c r="AF435" s="8">
        <f>+SUM(START:END!AF436)</f>
        <v>81348.36</v>
      </c>
      <c r="AG435" s="9"/>
      <c r="AH435" s="8">
        <f t="shared" si="215"/>
        <v>2220.5659999999916</v>
      </c>
      <c r="AI435" s="37">
        <f t="shared" si="216"/>
        <v>2.8063034336582054E-2</v>
      </c>
      <c r="AJ435" s="36"/>
      <c r="AK435" s="7"/>
      <c r="AL435" s="8">
        <f t="shared" si="217"/>
        <v>80533.900000000009</v>
      </c>
      <c r="AM435" s="12"/>
      <c r="AN435" s="10">
        <f t="shared" si="213"/>
        <v>814.45999999999185</v>
      </c>
      <c r="AO435" s="13">
        <f t="shared" si="218"/>
        <v>1.0113256653409208E-2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3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8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67206.240431333339</v>
      </c>
      <c r="AB436" s="23">
        <f t="shared" si="214"/>
        <v>0</v>
      </c>
      <c r="AC436" s="24">
        <f>+SUM(START:END!AC437)</f>
        <v>0</v>
      </c>
      <c r="AD436" s="32"/>
      <c r="AE436" s="31"/>
      <c r="AF436" s="24">
        <f>+SUM(START:END!AF437)</f>
        <v>77160.850000000006</v>
      </c>
      <c r="AG436" s="25"/>
      <c r="AH436" s="24">
        <f t="shared" si="215"/>
        <v>9954.6095686666667</v>
      </c>
      <c r="AI436" s="27">
        <f t="shared" si="216"/>
        <v>0.14812031598222777</v>
      </c>
      <c r="AJ436" s="32"/>
      <c r="AL436" s="24">
        <f t="shared" si="217"/>
        <v>67677.84</v>
      </c>
      <c r="AM436" s="28"/>
      <c r="AN436" s="26">
        <f t="shared" si="213"/>
        <v>9483.0100000000093</v>
      </c>
      <c r="AO436" s="33">
        <f t="shared" si="218"/>
        <v>0.140119867891765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3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8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11716.672897458335</v>
      </c>
      <c r="AB437" s="23">
        <f t="shared" si="214"/>
        <v>0</v>
      </c>
      <c r="AC437" s="24">
        <f>+SUM(START:END!AC438)</f>
        <v>0</v>
      </c>
      <c r="AD437" s="32"/>
      <c r="AE437" s="31"/>
      <c r="AF437" s="24">
        <f>+SUM(START:END!AF438)</f>
        <v>18463.61</v>
      </c>
      <c r="AG437" s="25"/>
      <c r="AH437" s="24">
        <f t="shared" si="215"/>
        <v>6746.9371025416658</v>
      </c>
      <c r="AI437" s="27">
        <f t="shared" si="216"/>
        <v>0.57584069825874029</v>
      </c>
      <c r="AJ437" s="32"/>
      <c r="AL437" s="24">
        <f t="shared" si="217"/>
        <v>16289.77</v>
      </c>
      <c r="AM437" s="28"/>
      <c r="AN437" s="26">
        <f t="shared" si="213"/>
        <v>2173.84</v>
      </c>
      <c r="AO437" s="33">
        <f t="shared" si="218"/>
        <v>0.13344817023199224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3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8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106754.16379282785</v>
      </c>
      <c r="AB438" s="23">
        <f t="shared" si="214"/>
        <v>0</v>
      </c>
      <c r="AC438" s="24">
        <f>+SUM(START:END!AC439)</f>
        <v>0</v>
      </c>
      <c r="AD438" s="32"/>
      <c r="AE438" s="31"/>
      <c r="AF438" s="24">
        <f>+SUM(START:END!AF439)</f>
        <v>145969.84000000003</v>
      </c>
      <c r="AG438" s="25"/>
      <c r="AH438" s="24">
        <f t="shared" si="215"/>
        <v>39215.676207172175</v>
      </c>
      <c r="AI438" s="27">
        <f t="shared" si="216"/>
        <v>0.36734563612222154</v>
      </c>
      <c r="AJ438" s="32"/>
      <c r="AL438" s="24">
        <f t="shared" si="217"/>
        <v>115401.75</v>
      </c>
      <c r="AM438" s="28"/>
      <c r="AN438" s="26">
        <f t="shared" si="213"/>
        <v>30568.090000000026</v>
      </c>
      <c r="AO438" s="33">
        <f t="shared" si="218"/>
        <v>0.26488411137612755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8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4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5"/>
        <v>0</v>
      </c>
      <c r="AI439" s="67">
        <f t="shared" si="216"/>
        <v>0</v>
      </c>
      <c r="AJ439" s="63"/>
      <c r="AK439" s="61"/>
      <c r="AL439" s="62">
        <f t="shared" si="217"/>
        <v>0</v>
      </c>
      <c r="AM439" s="68"/>
      <c r="AN439" s="66">
        <f t="shared" si="213"/>
        <v>0</v>
      </c>
      <c r="AO439" s="69">
        <f t="shared" si="218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3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0"/>
      <c r="Q440" s="408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15758.070466666672</v>
      </c>
      <c r="AB440" s="31">
        <f t="shared" si="214"/>
        <v>0</v>
      </c>
      <c r="AC440" s="24">
        <f>+SUM(START:END!AC441)</f>
        <v>0</v>
      </c>
      <c r="AD440" s="32"/>
      <c r="AE440" s="31"/>
      <c r="AF440" s="24">
        <f>+SUM(START:END!AF441)</f>
        <v>8866.119999999999</v>
      </c>
      <c r="AG440" s="25"/>
      <c r="AH440" s="24">
        <f t="shared" si="215"/>
        <v>-6891.9504666666726</v>
      </c>
      <c r="AI440" s="27">
        <f t="shared" si="216"/>
        <v>-0.43736004869665601</v>
      </c>
      <c r="AJ440" s="32"/>
      <c r="AL440" s="24">
        <f t="shared" si="217"/>
        <v>21254.51</v>
      </c>
      <c r="AM440" s="28"/>
      <c r="AN440" s="26">
        <f t="shared" si="213"/>
        <v>-12388.39</v>
      </c>
      <c r="AO440" s="33">
        <f t="shared" si="218"/>
        <v>-0.58285935549678636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3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8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4001.3962203592509</v>
      </c>
      <c r="AB441" s="23">
        <f t="shared" si="214"/>
        <v>0</v>
      </c>
      <c r="AC441" s="24">
        <f>+SUM(START:END!AC442)</f>
        <v>0</v>
      </c>
      <c r="AD441" s="32"/>
      <c r="AE441" s="31"/>
      <c r="AF441" s="24">
        <f>+SUM(START:END!AF442)</f>
        <v>2104.3000000000002</v>
      </c>
      <c r="AG441" s="25"/>
      <c r="AH441" s="24">
        <f t="shared" si="215"/>
        <v>-1897.0962203592508</v>
      </c>
      <c r="AI441" s="48">
        <f t="shared" si="216"/>
        <v>-0.47410856508204696</v>
      </c>
      <c r="AJ441" s="32"/>
      <c r="AL441" s="24">
        <f t="shared" si="217"/>
        <v>5375.93</v>
      </c>
      <c r="AM441" s="28"/>
      <c r="AN441" s="26">
        <f t="shared" si="213"/>
        <v>-3271.63</v>
      </c>
      <c r="AO441" s="33">
        <f t="shared" si="218"/>
        <v>-0.60857005206541004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3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0"/>
      <c r="Q442" s="408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8282.2511563980006</v>
      </c>
      <c r="AB442" s="23">
        <f t="shared" si="214"/>
        <v>0</v>
      </c>
      <c r="AC442" s="24">
        <f>+SUM(START:END!AC443)</f>
        <v>0</v>
      </c>
      <c r="AD442" s="32"/>
      <c r="AE442" s="31"/>
      <c r="AF442" s="24">
        <f>+SUM(START:END!AF443)</f>
        <v>6236.04</v>
      </c>
      <c r="AG442" s="25"/>
      <c r="AH442" s="24">
        <f t="shared" si="215"/>
        <v>-2046.2111563980006</v>
      </c>
      <c r="AI442" s="27">
        <f t="shared" si="216"/>
        <v>-0.24705978094099598</v>
      </c>
      <c r="AJ442" s="32"/>
      <c r="AL442" s="24">
        <f t="shared" si="217"/>
        <v>11291.89</v>
      </c>
      <c r="AM442" s="28"/>
      <c r="AN442" s="26">
        <f t="shared" si="213"/>
        <v>-5055.8499999999995</v>
      </c>
      <c r="AO442" s="33">
        <f t="shared" si="218"/>
        <v>-0.44774169780258216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3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8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2204.0422811060835</v>
      </c>
      <c r="AB443" s="23">
        <f t="shared" si="214"/>
        <v>0</v>
      </c>
      <c r="AC443" s="24">
        <f>+SUM(START:END!AC444)</f>
        <v>0</v>
      </c>
      <c r="AD443" s="32"/>
      <c r="AE443" s="31"/>
      <c r="AF443" s="24">
        <f>+SUM(START:END!AF444)</f>
        <v>2493.81</v>
      </c>
      <c r="AG443" s="25"/>
      <c r="AH443" s="24">
        <f t="shared" si="215"/>
        <v>289.76771889391648</v>
      </c>
      <c r="AI443" s="48">
        <f t="shared" si="216"/>
        <v>0.1314710345522494</v>
      </c>
      <c r="AJ443" s="32"/>
      <c r="AL443" s="24">
        <f t="shared" si="217"/>
        <v>2571.63</v>
      </c>
      <c r="AM443" s="28"/>
      <c r="AN443" s="26">
        <f t="shared" si="213"/>
        <v>-77.820000000000164</v>
      </c>
      <c r="AO443" s="33">
        <f t="shared" si="218"/>
        <v>-3.0260962891240247E-2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3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8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705.6346864539164</v>
      </c>
      <c r="AB444" s="23">
        <f t="shared" si="214"/>
        <v>0</v>
      </c>
      <c r="AC444" s="24">
        <f>+SUM(START:END!AC445)</f>
        <v>0</v>
      </c>
      <c r="AD444" s="32"/>
      <c r="AE444" s="31"/>
      <c r="AF444" s="24">
        <f>+SUM(START:END!AF445)</f>
        <v>-2541.9799999999996</v>
      </c>
      <c r="AG444" s="25"/>
      <c r="AH444" s="24">
        <f t="shared" si="215"/>
        <v>-3247.614686453916</v>
      </c>
      <c r="AI444" s="27">
        <f t="shared" si="216"/>
        <v>-4.6024022752827234</v>
      </c>
      <c r="AJ444" s="32"/>
      <c r="AL444" s="24">
        <f t="shared" si="217"/>
        <v>-268.02999999999997</v>
      </c>
      <c r="AM444" s="28"/>
      <c r="AN444" s="26">
        <f t="shared" si="213"/>
        <v>-2273.9499999999998</v>
      </c>
      <c r="AO444" s="33">
        <f t="shared" si="218"/>
        <v>8.4839383651083828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3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8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2161.1675959494169</v>
      </c>
      <c r="AB445" s="31">
        <f t="shared" si="214"/>
        <v>0</v>
      </c>
      <c r="AC445" s="24">
        <f>+SUM(START:END!AC446)</f>
        <v>0</v>
      </c>
      <c r="AD445" s="32"/>
      <c r="AE445" s="31"/>
      <c r="AF445" s="24">
        <f>+SUM(START:END!AF446)</f>
        <v>3777.15</v>
      </c>
      <c r="AG445" s="25"/>
      <c r="AH445" s="24">
        <f t="shared" si="215"/>
        <v>1615.9824040505832</v>
      </c>
      <c r="AI445" s="48">
        <f t="shared" si="216"/>
        <v>0.74773581053100613</v>
      </c>
      <c r="AJ445" s="32"/>
      <c r="AL445" s="24">
        <f t="shared" si="217"/>
        <v>2427.83</v>
      </c>
      <c r="AM445" s="28"/>
      <c r="AN445" s="26">
        <f t="shared" si="213"/>
        <v>1349.3200000000002</v>
      </c>
      <c r="AO445" s="33">
        <f t="shared" si="218"/>
        <v>0.55577202687173333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3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8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17322.411130652297</v>
      </c>
      <c r="AB446" s="31">
        <f t="shared" si="214"/>
        <v>0</v>
      </c>
      <c r="AC446" s="24">
        <f>+SUM(START:END!AC447)</f>
        <v>0</v>
      </c>
      <c r="AD446" s="32"/>
      <c r="AE446" s="31"/>
      <c r="AF446" s="24">
        <f>+SUM(START:END!AF447)</f>
        <v>8217.7400000000016</v>
      </c>
      <c r="AG446" s="25"/>
      <c r="AH446" s="24">
        <f t="shared" si="215"/>
        <v>-9104.6711306522957</v>
      </c>
      <c r="AI446" s="27">
        <f t="shared" si="216"/>
        <v>-0.52560068352964029</v>
      </c>
      <c r="AJ446" s="32"/>
      <c r="AL446" s="24">
        <f t="shared" si="217"/>
        <v>9240.31</v>
      </c>
      <c r="AM446" s="28"/>
      <c r="AN446" s="26">
        <f t="shared" si="213"/>
        <v>-1022.5699999999979</v>
      </c>
      <c r="AO446" s="33">
        <f t="shared" si="218"/>
        <v>-0.11066403616328867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3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8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27815.009996337722</v>
      </c>
      <c r="AB447" s="31">
        <f t="shared" si="214"/>
        <v>0</v>
      </c>
      <c r="AC447" s="24">
        <f>+SUM(START:END!AC448)</f>
        <v>0</v>
      </c>
      <c r="AD447" s="32"/>
      <c r="AE447" s="31"/>
      <c r="AF447" s="24">
        <f>+SUM(START:END!AF448)</f>
        <v>33339.58</v>
      </c>
      <c r="AG447" s="25"/>
      <c r="AH447" s="24">
        <f t="shared" si="215"/>
        <v>5524.5700036622802</v>
      </c>
      <c r="AI447" s="27">
        <f t="shared" si="216"/>
        <v>0.1986183001332617</v>
      </c>
      <c r="AJ447" s="32"/>
      <c r="AL447" s="24">
        <f>+SUM(START:END!AL448)</f>
        <v>34985.149999999994</v>
      </c>
      <c r="AM447" s="28"/>
      <c r="AN447" s="26">
        <f t="shared" si="213"/>
        <v>-1645.5699999999924</v>
      </c>
      <c r="AO447" s="33">
        <f t="shared" si="218"/>
        <v>-4.703624252004044E-2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3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8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4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5"/>
        <v>0</v>
      </c>
      <c r="AI448" s="27">
        <f t="shared" si="216"/>
        <v>0</v>
      </c>
      <c r="AJ448" s="32"/>
      <c r="AL448" s="24">
        <f>+SUMIF($C:$C,$V448,Q:Q)</f>
        <v>0</v>
      </c>
      <c r="AM448" s="28"/>
      <c r="AN448" s="26">
        <f t="shared" si="213"/>
        <v>0</v>
      </c>
      <c r="AO448" s="33">
        <f t="shared" si="218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3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8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4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9">AF449-AC449</f>
        <v>0</v>
      </c>
      <c r="AI449" s="27">
        <f t="shared" si="216"/>
        <v>0</v>
      </c>
      <c r="AJ449" s="32"/>
      <c r="AL449" s="24"/>
      <c r="AM449" s="28"/>
      <c r="AN449" s="26">
        <f t="shared" si="213"/>
        <v>0</v>
      </c>
      <c r="AO449" s="33">
        <f t="shared" si="218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3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0"/>
      <c r="Q450" s="408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4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9"/>
        <v>0</v>
      </c>
      <c r="AI450" s="27">
        <f t="shared" si="216"/>
        <v>0</v>
      </c>
      <c r="AJ450" s="32"/>
      <c r="AL450" s="24"/>
      <c r="AM450" s="28"/>
      <c r="AN450" s="26">
        <f t="shared" si="213"/>
        <v>0</v>
      </c>
      <c r="AO450" s="33">
        <f t="shared" si="218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3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8"/>
      <c r="R451" s="184"/>
      <c r="S451" s="184"/>
      <c r="T451" s="184"/>
      <c r="U451" s="184"/>
      <c r="V451" s="40" t="s">
        <v>64</v>
      </c>
      <c r="W451" s="70"/>
      <c r="X451" s="42">
        <f>Z451/+Z406</f>
        <v>0.16906564611340291</v>
      </c>
      <c r="Y451" s="41"/>
      <c r="Z451" s="43">
        <f>+SUM(Z433:Z450)</f>
        <v>415160.29490446544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0.20801301433739641</v>
      </c>
      <c r="AE451" s="41"/>
      <c r="AF451" s="43">
        <f>+SUM(AF433:AF450)</f>
        <v>441320.12000000005</v>
      </c>
      <c r="AG451" s="50"/>
      <c r="AH451" s="43">
        <f>+SUM(AH433:AH450)</f>
        <v>26159.825095534517</v>
      </c>
      <c r="AI451" s="42">
        <f>AH451/Z451</f>
        <v>6.3011384799103398E-2</v>
      </c>
      <c r="AJ451" s="44">
        <f>IF($AL$406=0,0,AL451/$AL$406)</f>
        <v>0.24216572471869699</v>
      </c>
      <c r="AK451" s="42"/>
      <c r="AL451" s="43">
        <f>+SUM(AL433:AL450)</f>
        <v>451772.43000000005</v>
      </c>
      <c r="AM451" s="51"/>
      <c r="AN451" s="46">
        <f>+SUM(AN433:AN450)</f>
        <v>-10452.30999999997</v>
      </c>
      <c r="AO451" s="71">
        <f>IF(AL451=0,0,AN451/AL451)</f>
        <v>-2.3136228122641236E-2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3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20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98000</v>
      </c>
      <c r="AG452" s="25"/>
      <c r="AH452" s="24">
        <f t="shared" ref="AH452:AH461" si="221">AF452-Z452</f>
        <v>-10000</v>
      </c>
      <c r="AI452" s="27">
        <f t="shared" ref="AI452:AI461" si="222">IF(Z452=0,0,AH452/Z452)</f>
        <v>-9.2592592592592587E-2</v>
      </c>
      <c r="AJ452" s="32"/>
      <c r="AL452" s="24">
        <f>+SUM(START:END!AL453)</f>
        <v>108000</v>
      </c>
      <c r="AM452" s="28"/>
      <c r="AN452" s="26">
        <f t="shared" ref="AN452:AN464" si="223">AF452-AL452</f>
        <v>-10000</v>
      </c>
      <c r="AO452" s="33">
        <f t="shared" ref="AO452:AO461" si="224">IF(AL452=0,0,AN452/AL452)</f>
        <v>-9.2592592592592587E-2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3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16270.320000000002</v>
      </c>
      <c r="AB453" s="31">
        <f t="shared" si="220"/>
        <v>0</v>
      </c>
      <c r="AC453" s="24">
        <f>+SUM(START:END!AC454)</f>
        <v>0</v>
      </c>
      <c r="AD453" s="32"/>
      <c r="AE453" s="31"/>
      <c r="AF453" s="24">
        <f>+SUM(START:END!AF454)</f>
        <v>16269</v>
      </c>
      <c r="AG453" s="25"/>
      <c r="AH453" s="24">
        <f t="shared" si="221"/>
        <v>-1.320000000001528</v>
      </c>
      <c r="AI453" s="27">
        <f t="shared" si="222"/>
        <v>-8.1129320136391167E-5</v>
      </c>
      <c r="AJ453" s="32"/>
      <c r="AL453" s="24">
        <f>+SUM(START:END!AL454)</f>
        <v>15531</v>
      </c>
      <c r="AM453" s="28"/>
      <c r="AN453" s="26">
        <f t="shared" si="223"/>
        <v>738</v>
      </c>
      <c r="AO453" s="33">
        <f t="shared" si="224"/>
        <v>4.7517867490824803E-2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3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10826.640000000001</v>
      </c>
      <c r="AA454" s="7"/>
      <c r="AB454" s="35">
        <f t="shared" si="220"/>
        <v>0</v>
      </c>
      <c r="AC454" s="8">
        <f>+SUM(START:END!AC455)</f>
        <v>0</v>
      </c>
      <c r="AD454" s="36"/>
      <c r="AE454" s="35"/>
      <c r="AF454" s="8">
        <f>+SUM(START:END!AF455)</f>
        <v>10827</v>
      </c>
      <c r="AG454" s="9"/>
      <c r="AH454" s="8">
        <f t="shared" si="221"/>
        <v>0.35999999999876309</v>
      </c>
      <c r="AI454" s="37">
        <f t="shared" si="222"/>
        <v>3.3251313426766112E-5</v>
      </c>
      <c r="AJ454" s="36"/>
      <c r="AK454" s="7"/>
      <c r="AL454" s="8">
        <f>+SUM(START:END!AL455)</f>
        <v>10335</v>
      </c>
      <c r="AM454" s="12"/>
      <c r="AN454" s="10">
        <f t="shared" si="223"/>
        <v>492</v>
      </c>
      <c r="AO454" s="13">
        <f t="shared" si="224"/>
        <v>4.7605224963715533E-2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3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20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21"/>
        <v>0</v>
      </c>
      <c r="AI455" s="27">
        <f t="shared" si="222"/>
        <v>0</v>
      </c>
      <c r="AJ455" s="32"/>
      <c r="AL455" s="24">
        <f>+SUM(START:END!AL456)</f>
        <v>0</v>
      </c>
      <c r="AM455" s="28"/>
      <c r="AN455" s="26">
        <f t="shared" si="223"/>
        <v>0</v>
      </c>
      <c r="AO455" s="33">
        <f t="shared" si="224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3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13032.75</v>
      </c>
      <c r="AA456" s="7"/>
      <c r="AB456" s="35">
        <f t="shared" si="220"/>
        <v>0</v>
      </c>
      <c r="AC456" s="8">
        <f>+SUM(START:END!AC457)</f>
        <v>0</v>
      </c>
      <c r="AD456" s="36"/>
      <c r="AE456" s="35"/>
      <c r="AF456" s="8">
        <f>+SUM(START:END!AF457)</f>
        <v>13032.75</v>
      </c>
      <c r="AG456" s="9"/>
      <c r="AH456" s="8">
        <f t="shared" si="221"/>
        <v>0</v>
      </c>
      <c r="AI456" s="37">
        <f t="shared" si="222"/>
        <v>0</v>
      </c>
      <c r="AJ456" s="36"/>
      <c r="AK456" s="7"/>
      <c r="AL456" s="8">
        <f>+SUM(START:END!AL457)</f>
        <v>11679.24</v>
      </c>
      <c r="AM456" s="12"/>
      <c r="AN456" s="10">
        <f t="shared" si="223"/>
        <v>1353.5100000000002</v>
      </c>
      <c r="AO456" s="13">
        <f t="shared" si="224"/>
        <v>0.11589024628314858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3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11100</v>
      </c>
      <c r="AA457" s="72"/>
      <c r="AB457" s="73">
        <f t="shared" si="220"/>
        <v>0</v>
      </c>
      <c r="AC457" s="24">
        <f>+SUM(START:END!AC458)</f>
        <v>0</v>
      </c>
      <c r="AD457" s="32"/>
      <c r="AE457" s="31"/>
      <c r="AF457" s="24">
        <f>+SUM(START:END!AF458)</f>
        <v>23106.09</v>
      </c>
      <c r="AG457" s="25"/>
      <c r="AH457" s="24">
        <f t="shared" si="221"/>
        <v>12006.09</v>
      </c>
      <c r="AI457" s="27">
        <f t="shared" si="222"/>
        <v>1.0816297297297297</v>
      </c>
      <c r="AJ457" s="32"/>
      <c r="AL457" s="24">
        <f>+SUM(START:END!AL458)</f>
        <v>12807.81</v>
      </c>
      <c r="AM457" s="28"/>
      <c r="AN457" s="26">
        <f t="shared" si="223"/>
        <v>10298.280000000001</v>
      </c>
      <c r="AO457" s="33">
        <f t="shared" si="224"/>
        <v>0.8040625212272825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3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20"/>
        <v>0</v>
      </c>
      <c r="AC458" s="24">
        <f>+SUM(START:END!AC459)</f>
        <v>0</v>
      </c>
      <c r="AD458" s="32"/>
      <c r="AE458" s="31"/>
      <c r="AF458" s="24">
        <f>+SUM(START:END!AF459)</f>
        <v>22082.969999999998</v>
      </c>
      <c r="AG458" s="25"/>
      <c r="AH458" s="24">
        <f t="shared" si="221"/>
        <v>1730.8199999999961</v>
      </c>
      <c r="AI458" s="27">
        <f t="shared" si="222"/>
        <v>8.5043594902749639E-2</v>
      </c>
      <c r="AJ458" s="32"/>
      <c r="AL458" s="24">
        <f>+SUM(START:END!AL459)</f>
        <v>20602.80999999999</v>
      </c>
      <c r="AM458" s="28"/>
      <c r="AN458" s="26">
        <f t="shared" si="223"/>
        <v>1480.1600000000071</v>
      </c>
      <c r="AO458" s="33">
        <f t="shared" si="224"/>
        <v>7.1842627292102765E-2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3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4093.6870222936104</v>
      </c>
      <c r="AA459" s="7"/>
      <c r="AB459" s="35">
        <f t="shared" si="220"/>
        <v>0</v>
      </c>
      <c r="AC459" s="8">
        <f>+SUM(START:END!AC460)</f>
        <v>0</v>
      </c>
      <c r="AD459" s="36"/>
      <c r="AE459" s="35"/>
      <c r="AF459" s="8">
        <f>+SUM(START:END!AF460)</f>
        <v>936.16</v>
      </c>
      <c r="AG459" s="9"/>
      <c r="AH459" s="8">
        <f t="shared" si="221"/>
        <v>-3157.5270222936106</v>
      </c>
      <c r="AI459" s="37">
        <f t="shared" si="222"/>
        <v>-0.77131617661491658</v>
      </c>
      <c r="AJ459" s="36"/>
      <c r="AK459" s="7"/>
      <c r="AL459" s="8">
        <f>+SUM(START:END!AL460)</f>
        <v>1586.98</v>
      </c>
      <c r="AM459" s="12"/>
      <c r="AN459" s="10">
        <f t="shared" si="223"/>
        <v>-650.82000000000005</v>
      </c>
      <c r="AO459" s="13">
        <f t="shared" si="224"/>
        <v>-0.4100996861964234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3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1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20"/>
        <v>0</v>
      </c>
      <c r="AC460" s="24">
        <f>+SUM(START:END!AC461)</f>
        <v>0</v>
      </c>
      <c r="AD460" s="32"/>
      <c r="AE460" s="31"/>
      <c r="AF460" s="24">
        <f>+SUM(START:END!AF461)</f>
        <v>2220.06</v>
      </c>
      <c r="AG460" s="25"/>
      <c r="AH460" s="24">
        <f t="shared" si="221"/>
        <v>-779.94</v>
      </c>
      <c r="AI460" s="74">
        <f t="shared" si="222"/>
        <v>-0.25998000000000004</v>
      </c>
      <c r="AL460" s="24">
        <f>+SUM(START:END!AL461)</f>
        <v>2287.6899999999996</v>
      </c>
      <c r="AM460" s="28"/>
      <c r="AN460" s="26">
        <f t="shared" si="223"/>
        <v>-67.629999999999654</v>
      </c>
      <c r="AO460" s="33">
        <f t="shared" si="224"/>
        <v>-2.9562571851955322E-2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3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1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20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21"/>
        <v>0</v>
      </c>
      <c r="AI461" s="48">
        <f t="shared" si="222"/>
        <v>0</v>
      </c>
      <c r="AL461" s="24">
        <f>+SUM(START:END!AL462)</f>
        <v>0</v>
      </c>
      <c r="AM461" s="28"/>
      <c r="AN461" s="26">
        <f t="shared" si="223"/>
        <v>0</v>
      </c>
      <c r="AO461" s="33">
        <f t="shared" si="224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3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1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5">AF462-AC462</f>
        <v>0</v>
      </c>
      <c r="AI462" s="48">
        <v>1</v>
      </c>
      <c r="AL462" s="24">
        <f>+SUM(START:END!AL463)</f>
        <v>0</v>
      </c>
      <c r="AM462" s="28"/>
      <c r="AN462" s="26">
        <f t="shared" si="223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3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1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5"/>
        <v>0</v>
      </c>
      <c r="AI463" s="48">
        <v>2</v>
      </c>
      <c r="AL463" s="24">
        <f>+SUM(START:END!AL464)</f>
        <v>0</v>
      </c>
      <c r="AM463" s="28"/>
      <c r="AN463" s="26">
        <f t="shared" si="223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3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5"/>
        <v>0</v>
      </c>
      <c r="AI464" s="48">
        <v>3</v>
      </c>
      <c r="AL464" s="24">
        <f>+SUM(START:END!AL465)</f>
        <v>0</v>
      </c>
      <c r="AM464" s="28"/>
      <c r="AN464" s="26">
        <f t="shared" si="223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3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7.601984669116664E-2</v>
      </c>
      <c r="Y465" s="41"/>
      <c r="Z465" s="43">
        <f>SUM(Z452:Z464)</f>
        <v>186675.54702229361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8.7893171686670629E-2</v>
      </c>
      <c r="AE465" s="41"/>
      <c r="AF465" s="43">
        <f>SUM(AF452:AF464)</f>
        <v>186474.03</v>
      </c>
      <c r="AG465" s="50"/>
      <c r="AH465" s="43">
        <f>SUM(AH452:AH464)</f>
        <v>-201.51702229361717</v>
      </c>
      <c r="AI465" s="42">
        <f>IF(Z465=0,0,AH465/Z465)</f>
        <v>-1.0795041209631551E-3</v>
      </c>
      <c r="AJ465" s="44">
        <f>IF($AL$406=0,0,AL465/$AL$406)</f>
        <v>9.8003518714396692E-2</v>
      </c>
      <c r="AK465" s="42"/>
      <c r="AL465" s="43">
        <f>SUM(AL452:AL464)</f>
        <v>182830.53</v>
      </c>
      <c r="AM465" s="51"/>
      <c r="AN465" s="46">
        <f>SUM(AN452:AN464)</f>
        <v>3643.5000000000082</v>
      </c>
      <c r="AO465" s="71">
        <f>IF(AL465=0,0,AN465/AL465)</f>
        <v>1.9928290969785014E-2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3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6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3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0.90339559819778892</v>
      </c>
      <c r="Y467" s="41"/>
      <c r="Z467" s="43">
        <f>Z418+Z432+Z451+Z465</f>
        <v>2218392.6278649056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0.92882047999089012</v>
      </c>
      <c r="AE467" s="41"/>
      <c r="AF467" s="43">
        <f>AF418+AF432+AF451+AF465</f>
        <v>1970584.2300000002</v>
      </c>
      <c r="AG467" s="50"/>
      <c r="AH467" s="43">
        <f>AH418+AH432+AH451+AH465</f>
        <v>-247808.39786490542</v>
      </c>
      <c r="AI467" s="42">
        <f>AH467/Z467</f>
        <v>-0.11170628442964529</v>
      </c>
      <c r="AJ467" s="44">
        <f>IF($AL$406=0,0,AL467/$AL$406)</f>
        <v>0.99868863384986628</v>
      </c>
      <c r="AK467" s="42"/>
      <c r="AL467" s="43">
        <f>AL418+AL432+AL451+AL465</f>
        <v>1863104.2499999998</v>
      </c>
      <c r="AM467" s="51"/>
      <c r="AN467" s="46">
        <f t="shared" si="226"/>
        <v>107479.98000000045</v>
      </c>
      <c r="AO467" s="21">
        <f>IF(AL467=0,0,AN467/AL467)</f>
        <v>5.7688655908546431E-2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3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30000</v>
      </c>
      <c r="AA468" s="78"/>
      <c r="AB468" s="79">
        <f t="shared" ref="AB468:AB476" si="227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51912.7</v>
      </c>
      <c r="AG468" s="81"/>
      <c r="AH468" s="24">
        <f t="shared" ref="AH468:AH479" si="228">AF468-Z468</f>
        <v>21912.699999999997</v>
      </c>
      <c r="AI468" s="74">
        <f t="shared" ref="AI468:AI479" si="229">IF(Z468=0,0,AH468/Z468)</f>
        <v>0.7304233333333332</v>
      </c>
      <c r="AJ468" s="80"/>
      <c r="AK468" s="172"/>
      <c r="AL468" s="82">
        <f>+SUM(START:END!AL469)</f>
        <v>46971.76</v>
      </c>
      <c r="AM468" s="83"/>
      <c r="AN468" s="26">
        <f t="shared" si="226"/>
        <v>4940.9399999999951</v>
      </c>
      <c r="AO468" s="33">
        <f t="shared" ref="AO468:AO476" si="230">IF(AL468=0,0,AN468/AL468)</f>
        <v>0.10518958625352755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.75">
      <c r="A469" s="23" t="str">
        <f t="shared" si="183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309091.51351248776</v>
      </c>
      <c r="AA469" s="72"/>
      <c r="AB469" s="73">
        <f t="shared" si="227"/>
        <v>0</v>
      </c>
      <c r="AC469" s="24">
        <f>+SUM(START:END!AC470)</f>
        <v>0</v>
      </c>
      <c r="AD469" s="84"/>
      <c r="AE469" s="73"/>
      <c r="AF469" s="24">
        <f>+SUM(START:END!AF470)</f>
        <v>229545</v>
      </c>
      <c r="AG469" s="85"/>
      <c r="AH469" s="24">
        <f t="shared" si="228"/>
        <v>-79546.513512487756</v>
      </c>
      <c r="AI469" s="48">
        <f t="shared" si="229"/>
        <v>-0.2573558639916329</v>
      </c>
      <c r="AJ469" s="84"/>
      <c r="AK469" s="173"/>
      <c r="AL469" s="86">
        <f>+SUM(START:END!AL470)</f>
        <v>175923.85</v>
      </c>
      <c r="AM469" s="87"/>
      <c r="AN469" s="26">
        <f t="shared" si="226"/>
        <v>53621.149999999994</v>
      </c>
      <c r="AO469" s="33">
        <f t="shared" si="230"/>
        <v>0.30479750187367999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3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25000</v>
      </c>
      <c r="AA470" s="72"/>
      <c r="AB470" s="73">
        <f t="shared" si="227"/>
        <v>0</v>
      </c>
      <c r="AC470" s="24">
        <f>+SUM(START:END!AC471)</f>
        <v>0</v>
      </c>
      <c r="AD470" s="84"/>
      <c r="AE470" s="73"/>
      <c r="AF470" s="24">
        <f>+SUM(START:END!AF471)</f>
        <v>56650</v>
      </c>
      <c r="AG470" s="85"/>
      <c r="AH470" s="24">
        <f t="shared" si="228"/>
        <v>31650</v>
      </c>
      <c r="AI470" s="48">
        <f t="shared" si="229"/>
        <v>1.266</v>
      </c>
      <c r="AJ470" s="84"/>
      <c r="AK470" s="72"/>
      <c r="AL470" s="86">
        <f>+SUM(START:END!AL471)</f>
        <v>32500</v>
      </c>
      <c r="AM470" s="87"/>
      <c r="AN470" s="26">
        <f t="shared" si="226"/>
        <v>24150</v>
      </c>
      <c r="AO470" s="33">
        <f t="shared" si="230"/>
        <v>0.74307692307692308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3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7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8"/>
        <v>0</v>
      </c>
      <c r="AI471" s="48">
        <f t="shared" si="229"/>
        <v>0</v>
      </c>
      <c r="AJ471" s="84"/>
      <c r="AK471" s="72"/>
      <c r="AL471" s="86">
        <f>+SUM(START:END!AL472)</f>
        <v>0</v>
      </c>
      <c r="AM471" s="87"/>
      <c r="AN471" s="26">
        <f t="shared" si="226"/>
        <v>0</v>
      </c>
      <c r="AO471" s="33">
        <f t="shared" si="230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3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7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8"/>
        <v>0</v>
      </c>
      <c r="AI472" s="48">
        <f t="shared" si="229"/>
        <v>0</v>
      </c>
      <c r="AJ472" s="84"/>
      <c r="AK472" s="72"/>
      <c r="AL472" s="86">
        <f>+SUM(START:END!AL473)</f>
        <v>0</v>
      </c>
      <c r="AM472" s="87"/>
      <c r="AN472" s="26">
        <f t="shared" si="226"/>
        <v>0</v>
      </c>
      <c r="AO472" s="33">
        <f t="shared" si="230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3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7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8"/>
        <v>0</v>
      </c>
      <c r="AI473" s="48">
        <f t="shared" si="229"/>
        <v>0</v>
      </c>
      <c r="AJ473" s="84"/>
      <c r="AK473" s="72"/>
      <c r="AL473" s="86">
        <f>+SUM(START:END!AL474)</f>
        <v>0</v>
      </c>
      <c r="AM473" s="87"/>
      <c r="AN473" s="26">
        <f t="shared" si="226"/>
        <v>0</v>
      </c>
      <c r="AO473" s="33">
        <f t="shared" si="230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3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7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8"/>
        <v>0</v>
      </c>
      <c r="AI474" s="48">
        <f t="shared" si="229"/>
        <v>0</v>
      </c>
      <c r="AJ474" s="84"/>
      <c r="AK474" s="72"/>
      <c r="AL474" s="86">
        <f>+SUM(START:END!AL475)</f>
        <v>0</v>
      </c>
      <c r="AM474" s="87"/>
      <c r="AN474" s="26">
        <f t="shared" si="226"/>
        <v>0</v>
      </c>
      <c r="AO474" s="33">
        <f t="shared" si="230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3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7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8"/>
        <v>0</v>
      </c>
      <c r="AI475" s="48">
        <f t="shared" si="229"/>
        <v>0</v>
      </c>
      <c r="AJ475" s="84"/>
      <c r="AK475" s="72"/>
      <c r="AL475" s="86">
        <f>+SUM(START:END!AL476)</f>
        <v>0</v>
      </c>
      <c r="AM475" s="87"/>
      <c r="AN475" s="26">
        <f t="shared" si="226"/>
        <v>0</v>
      </c>
      <c r="AO475" s="33">
        <f t="shared" si="230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3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7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8"/>
        <v>0</v>
      </c>
      <c r="AI476" s="48">
        <f t="shared" si="229"/>
        <v>0</v>
      </c>
      <c r="AJ476" s="84"/>
      <c r="AK476" s="72"/>
      <c r="AL476" s="86">
        <f>+SUM(START:END!AL477)</f>
        <v>0</v>
      </c>
      <c r="AM476" s="87"/>
      <c r="AN476" s="26">
        <f t="shared" si="226"/>
        <v>0</v>
      </c>
      <c r="AO476" s="33">
        <f t="shared" si="230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3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31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8"/>
        <v>0</v>
      </c>
      <c r="AI477" s="48">
        <f t="shared" si="229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32">AF477-AL477</f>
        <v>0</v>
      </c>
      <c r="AO477" s="33">
        <f t="shared" ref="AO477:AO479" si="233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3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31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8"/>
        <v>0</v>
      </c>
      <c r="AI478" s="48">
        <f t="shared" si="229"/>
        <v>0</v>
      </c>
      <c r="AJ478" s="84"/>
      <c r="AK478" s="72"/>
      <c r="AL478" s="86">
        <f>+SUM(START:END!AL479)</f>
        <v>0</v>
      </c>
      <c r="AM478" s="87"/>
      <c r="AN478" s="26">
        <f t="shared" si="232"/>
        <v>0</v>
      </c>
      <c r="AO478" s="33">
        <f t="shared" si="233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3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140962.89999999997</v>
      </c>
      <c r="AA479" s="72"/>
      <c r="AB479" s="73">
        <f t="shared" si="231"/>
        <v>0</v>
      </c>
      <c r="AC479" s="24">
        <f>+SUM(START:END!AC480)</f>
        <v>0</v>
      </c>
      <c r="AD479" s="84"/>
      <c r="AE479" s="73"/>
      <c r="AF479" s="24">
        <f>+SUM(START:END!AF480)</f>
        <v>106116</v>
      </c>
      <c r="AG479" s="85"/>
      <c r="AH479" s="24">
        <f t="shared" si="228"/>
        <v>-34846.899999999965</v>
      </c>
      <c r="AI479" s="48">
        <f t="shared" si="229"/>
        <v>-0.24720617978205595</v>
      </c>
      <c r="AJ479" s="84"/>
      <c r="AK479" s="72"/>
      <c r="AL479" s="86">
        <f>+SUM(START:END!AL480)</f>
        <v>101781</v>
      </c>
      <c r="AM479" s="87"/>
      <c r="AN479" s="26">
        <f t="shared" si="232"/>
        <v>4335</v>
      </c>
      <c r="AO479" s="33">
        <f t="shared" si="233"/>
        <v>4.259144634067262E-2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3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0.20567321054284202</v>
      </c>
      <c r="Y480" s="70"/>
      <c r="Z480" s="43">
        <f>SUM(Z468:Z479)</f>
        <v>505054.41351248772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0.20938159555723693</v>
      </c>
      <c r="AE480" s="70"/>
      <c r="AF480" s="43">
        <f>SUM(AF468:AF479)</f>
        <v>444223.7</v>
      </c>
      <c r="AG480" s="50"/>
      <c r="AH480" s="43">
        <f>SUM(AH468:AH479)</f>
        <v>-60830.713512487724</v>
      </c>
      <c r="AI480" s="42">
        <f>AH480/Z480</f>
        <v>-0.12044388066907498</v>
      </c>
      <c r="AJ480" s="88"/>
      <c r="AK480" s="89"/>
      <c r="AL480" s="43">
        <f>SUM(AL468:AL479)</f>
        <v>357176.61</v>
      </c>
      <c r="AM480" s="90"/>
      <c r="AN480" s="46">
        <f t="shared" si="226"/>
        <v>87047.090000000026</v>
      </c>
      <c r="AO480" s="71">
        <f>IF(AL480=0,0,AN480/AL480)</f>
        <v>0.24370881956688045</v>
      </c>
      <c r="AP480" s="184"/>
      <c r="AQ480" s="412"/>
      <c r="AR480" s="408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3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6"/>
        <v>0</v>
      </c>
      <c r="AO481" s="103">
        <f t="shared" ref="AO481" si="234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3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3.7112559775731177E-2</v>
      </c>
      <c r="Z482" s="108">
        <f>Z406-Z467+Z480</f>
        <v>742277.72211046028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3.4145539946899374E-2</v>
      </c>
      <c r="AF482" s="109">
        <f>AF406-AF467+AF480</f>
        <v>595238.06999999937</v>
      </c>
      <c r="AG482" s="110"/>
      <c r="AH482" s="109">
        <f>AH406-AH467+AH480</f>
        <v>-147039.65211046091</v>
      </c>
      <c r="AI482" s="111">
        <f>AH482/Z482</f>
        <v>-0.19809250329161779</v>
      </c>
      <c r="AJ482" s="112" t="s">
        <v>185</v>
      </c>
      <c r="AK482" s="107">
        <f>IF($AL$405=0,0,AL482/$AL$405)</f>
        <v>2.8397719860295666E-2</v>
      </c>
      <c r="AL482" s="109">
        <f>AL406-AL467+AL480</f>
        <v>359623.02999999735</v>
      </c>
      <c r="AM482" s="113"/>
      <c r="AN482" s="109">
        <f t="shared" si="226"/>
        <v>235615.04000000202</v>
      </c>
      <c r="AO482" s="114">
        <f>IF(AL482=0,0,AN482/AL482)</f>
        <v>0.65517227859407046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3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5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399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5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5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5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4.3696978625816542E-2</v>
      </c>
      <c r="Z487" s="163">
        <f>+Z488+Z414</f>
        <v>873970.80539539654</v>
      </c>
      <c r="AA487" s="161"/>
      <c r="AB487" s="162"/>
      <c r="AC487" s="163"/>
      <c r="AD487" s="161" t="s">
        <v>185</v>
      </c>
      <c r="AE487" s="162">
        <f>AF487/AF405</f>
        <v>3.7996809551188962E-2</v>
      </c>
      <c r="AF487" s="163">
        <f>+AF488+AF414</f>
        <v>662374.86999999941</v>
      </c>
      <c r="AG487" s="164"/>
      <c r="AH487" s="163">
        <f t="shared" ref="AH487:AH488" si="236">AF487-Z487</f>
        <v>-211595.93539539713</v>
      </c>
      <c r="AI487" s="165">
        <f>AH487/Z487</f>
        <v>-0.24210869984343264</v>
      </c>
      <c r="AJ487" s="161" t="s">
        <v>185</v>
      </c>
      <c r="AK487" s="162">
        <f>AL487/AL405</f>
        <v>2.7906552891818051E-2</v>
      </c>
      <c r="AL487" s="163">
        <f>+AL488+AL414</f>
        <v>353402.98999999737</v>
      </c>
      <c r="AM487" s="167"/>
      <c r="AN487" s="168">
        <f>AF487-AL487</f>
        <v>308971.88000000204</v>
      </c>
      <c r="AO487" s="169">
        <f>IF(AL487=0,0,AN487/AL487)</f>
        <v>0.87427636081970994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5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3.7112559775731177E-2</v>
      </c>
      <c r="Z488" s="120">
        <f>Z482</f>
        <v>742277.72211046028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3.4145539946899374E-2</v>
      </c>
      <c r="AF488" s="120">
        <f>AF482</f>
        <v>595238.06999999937</v>
      </c>
      <c r="AG488" s="121"/>
      <c r="AH488" s="110">
        <f t="shared" si="236"/>
        <v>-147039.65211046091</v>
      </c>
      <c r="AI488" s="111">
        <f>AH488/Z488</f>
        <v>-0.19809250329161779</v>
      </c>
      <c r="AJ488" s="118" t="s">
        <v>185</v>
      </c>
      <c r="AK488" s="119">
        <f>IF($AL$405=0,0,AL488/$AL$405)</f>
        <v>2.8397719860295666E-2</v>
      </c>
      <c r="AL488" s="122">
        <f>AL482</f>
        <v>359623.02999999735</v>
      </c>
      <c r="AM488" s="123"/>
      <c r="AN488" s="124">
        <f>AF488-AL488</f>
        <v>235615.04000000202</v>
      </c>
      <c r="AO488" s="125">
        <f>IF(AL488=0,0,AN488/AL488)</f>
        <v>0.65517227859407046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5"/>
        <v/>
      </c>
      <c r="B489" s="181"/>
      <c r="C489" s="184"/>
      <c r="D489" s="184"/>
      <c r="E489" s="184"/>
      <c r="F489" s="408"/>
      <c r="G489" s="184"/>
      <c r="H489" s="184"/>
      <c r="I489" s="408"/>
      <c r="J489" s="184"/>
      <c r="K489" s="184"/>
      <c r="L489" s="184"/>
      <c r="M489" s="408"/>
      <c r="N489" s="184"/>
      <c r="O489" s="184"/>
      <c r="P489" s="184"/>
      <c r="Q489" s="408"/>
      <c r="R489" s="408"/>
      <c r="S489" s="408"/>
      <c r="T489" s="411"/>
      <c r="U489" s="411"/>
      <c r="V489" s="413"/>
      <c r="W489" s="184"/>
      <c r="X489" s="184"/>
      <c r="Y489" s="184"/>
      <c r="Z489" s="414">
        <f>+SUM(START:END!Z490)</f>
        <v>0</v>
      </c>
      <c r="AA489" s="184"/>
      <c r="AB489" s="184">
        <f t="shared" ref="AB489:AB496" si="237">IF(AC489=0,0,AC489/(G$13+G$97))</f>
        <v>0</v>
      </c>
      <c r="AC489" s="415">
        <f>+SUM(START:END!AC490)</f>
        <v>0</v>
      </c>
      <c r="AD489" s="184"/>
      <c r="AE489" s="184"/>
      <c r="AF489" s="414">
        <f>+SUM(START:END!AF490)</f>
        <v>0</v>
      </c>
      <c r="AG489" s="184"/>
      <c r="AH489" s="414">
        <f t="shared" ref="AH489:AH495" si="238">AF489-Z489</f>
        <v>0</v>
      </c>
      <c r="AI489" s="415">
        <f t="shared" ref="AI489:AI496" si="239">IF(Z489=0,0,AH489/Z489)</f>
        <v>0</v>
      </c>
      <c r="AJ489" s="184"/>
      <c r="AK489" s="184">
        <f t="shared" ref="AK489:AK496" si="240">AL489/(O$13+O$97)</f>
        <v>0</v>
      </c>
      <c r="AL489" s="414">
        <f>+SUM(START:END!AL490)</f>
        <v>0</v>
      </c>
      <c r="AM489" s="416"/>
      <c r="AN489" s="26">
        <f t="shared" ref="AN489:AN496" si="241">AF489-AL489</f>
        <v>0</v>
      </c>
      <c r="AO489" s="417">
        <f t="shared" ref="AO489:AO496" si="242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5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130944</v>
      </c>
      <c r="AB490" s="31">
        <f t="shared" si="237"/>
        <v>0</v>
      </c>
      <c r="AC490" s="24">
        <f>+SUM(START:END!AC491)</f>
        <v>0</v>
      </c>
      <c r="AE490" s="31"/>
      <c r="AF490" s="24">
        <f>+SUM(START:END!AF491)</f>
        <v>127944</v>
      </c>
      <c r="AG490" s="174"/>
      <c r="AH490" s="24">
        <f t="shared" si="238"/>
        <v>-3000</v>
      </c>
      <c r="AI490" s="48">
        <f t="shared" si="239"/>
        <v>-2.2910557184750734E-2</v>
      </c>
      <c r="AK490" s="174">
        <f t="shared" si="240"/>
        <v>558.64273170731713</v>
      </c>
      <c r="AL490" s="24">
        <f>+SUM(START:END!AL491)</f>
        <v>114521.76000000001</v>
      </c>
      <c r="AM490" s="28"/>
      <c r="AN490" s="26">
        <f t="shared" si="241"/>
        <v>13422.239999999991</v>
      </c>
      <c r="AO490" s="33">
        <f t="shared" si="242"/>
        <v>0.11720252989475528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5"/>
        <v>Intérêts sur marge</v>
      </c>
      <c r="B491" s="181"/>
      <c r="C491" s="184"/>
      <c r="D491" s="184"/>
      <c r="E491" s="184"/>
      <c r="F491" s="408"/>
      <c r="G491" s="184"/>
      <c r="H491" s="184"/>
      <c r="I491" s="408"/>
      <c r="J491" s="184"/>
      <c r="K491" s="184"/>
      <c r="L491" s="184"/>
      <c r="M491" s="408"/>
      <c r="N491" s="184"/>
      <c r="O491" s="184"/>
      <c r="P491" s="184"/>
      <c r="Q491" s="408"/>
      <c r="R491" s="408"/>
      <c r="S491" s="408"/>
      <c r="T491" s="184"/>
      <c r="U491" s="184"/>
      <c r="V491" s="1" t="s">
        <v>188</v>
      </c>
      <c r="Z491" s="24">
        <f>+SUM(START:END!Z492)</f>
        <v>0</v>
      </c>
      <c r="AB491" s="23">
        <f t="shared" si="237"/>
        <v>0</v>
      </c>
      <c r="AC491" s="24">
        <f>+SUM(START:END!AC492)</f>
        <v>0</v>
      </c>
      <c r="AF491" s="24">
        <f>+SUM(START:END!AF492)</f>
        <v>0</v>
      </c>
      <c r="AH491" s="24">
        <f t="shared" si="238"/>
        <v>0</v>
      </c>
      <c r="AI491" s="48">
        <f t="shared" si="239"/>
        <v>0</v>
      </c>
      <c r="AK491" s="23">
        <f t="shared" si="240"/>
        <v>0</v>
      </c>
      <c r="AL491" s="24">
        <f>+SUM(START:END!AL492)</f>
        <v>0</v>
      </c>
      <c r="AM491" s="76"/>
      <c r="AN491" s="26">
        <f t="shared" si="241"/>
        <v>0</v>
      </c>
      <c r="AO491" s="33">
        <f t="shared" si="242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5"/>
        <v>Intérêts sur prêt</v>
      </c>
      <c r="B492" s="181"/>
      <c r="C492" s="184"/>
      <c r="D492" s="184"/>
      <c r="E492" s="184"/>
      <c r="F492" s="408"/>
      <c r="G492" s="184"/>
      <c r="H492" s="184"/>
      <c r="I492" s="408"/>
      <c r="J492" s="184"/>
      <c r="K492" s="184"/>
      <c r="L492" s="184"/>
      <c r="M492" s="408"/>
      <c r="N492" s="184"/>
      <c r="O492" s="184"/>
      <c r="P492" s="184"/>
      <c r="Q492" s="408"/>
      <c r="R492" s="408"/>
      <c r="S492" s="408"/>
      <c r="T492" s="184"/>
      <c r="U492" s="184"/>
      <c r="V492" s="1" t="s">
        <v>189</v>
      </c>
      <c r="Z492" s="24">
        <f>+SUM(START:END!Z493)</f>
        <v>0</v>
      </c>
      <c r="AB492" s="23">
        <f t="shared" si="237"/>
        <v>0</v>
      </c>
      <c r="AC492" s="24">
        <f>+SUM(START:END!AC493)</f>
        <v>0</v>
      </c>
      <c r="AF492" s="24">
        <f>+SUM(START:END!AF493)</f>
        <v>0</v>
      </c>
      <c r="AH492" s="24">
        <f t="shared" si="238"/>
        <v>0</v>
      </c>
      <c r="AI492" s="48">
        <f t="shared" si="239"/>
        <v>0</v>
      </c>
      <c r="AK492" s="174">
        <f t="shared" si="240"/>
        <v>0</v>
      </c>
      <c r="AL492" s="24">
        <f>+SUM(START:END!AL493)</f>
        <v>0</v>
      </c>
      <c r="AM492" s="76"/>
      <c r="AN492" s="26">
        <f t="shared" si="241"/>
        <v>0</v>
      </c>
      <c r="AO492" s="33">
        <f t="shared" si="242"/>
        <v>0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5"/>
        <v>Intérêts sur avance</v>
      </c>
      <c r="B493" s="181"/>
      <c r="C493" s="184"/>
      <c r="D493" s="184"/>
      <c r="E493" s="184"/>
      <c r="F493" s="408"/>
      <c r="G493" s="184"/>
      <c r="H493" s="184"/>
      <c r="I493" s="408"/>
      <c r="J493" s="184"/>
      <c r="K493" s="184"/>
      <c r="L493" s="184"/>
      <c r="M493" s="408"/>
      <c r="N493" s="184"/>
      <c r="O493" s="184"/>
      <c r="P493" s="184"/>
      <c r="Q493" s="408"/>
      <c r="R493" s="408"/>
      <c r="S493" s="408"/>
      <c r="T493" s="184"/>
      <c r="U493" s="184"/>
      <c r="V493" s="1" t="s">
        <v>190</v>
      </c>
      <c r="Z493" s="24">
        <f>+SUM(START:END!Z494)</f>
        <v>0</v>
      </c>
      <c r="AB493" s="23">
        <f t="shared" si="237"/>
        <v>0</v>
      </c>
      <c r="AC493" s="24">
        <f>+SUM(START:END!AC494)</f>
        <v>0</v>
      </c>
      <c r="AF493" s="24">
        <f>+SUM(START:END!AF494)</f>
        <v>0</v>
      </c>
      <c r="AH493" s="24">
        <f t="shared" si="238"/>
        <v>0</v>
      </c>
      <c r="AI493" s="48">
        <f t="shared" si="239"/>
        <v>0</v>
      </c>
      <c r="AK493" s="23">
        <f t="shared" si="240"/>
        <v>0</v>
      </c>
      <c r="AL493" s="24">
        <f>+SUM(START:END!AL494)</f>
        <v>0</v>
      </c>
      <c r="AM493" s="76"/>
      <c r="AN493" s="26">
        <f t="shared" si="241"/>
        <v>0</v>
      </c>
      <c r="AO493" s="33">
        <f t="shared" si="242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5"/>
        <v>[...]</v>
      </c>
      <c r="B494" s="181"/>
      <c r="C494" s="184"/>
      <c r="D494" s="184"/>
      <c r="E494" s="184"/>
      <c r="F494" s="408"/>
      <c r="G494" s="184"/>
      <c r="H494" s="184"/>
      <c r="I494" s="408"/>
      <c r="J494" s="184"/>
      <c r="K494" s="184"/>
      <c r="L494" s="184"/>
      <c r="M494" s="408"/>
      <c r="N494" s="184"/>
      <c r="O494" s="184"/>
      <c r="P494" s="184"/>
      <c r="Q494" s="408"/>
      <c r="R494" s="408"/>
      <c r="S494" s="408"/>
      <c r="T494" s="184"/>
      <c r="U494" s="184"/>
      <c r="V494" s="152" t="s">
        <v>20</v>
      </c>
      <c r="Z494" s="24">
        <f>+SUM(START:END!Z495)</f>
        <v>0</v>
      </c>
      <c r="AB494" s="23">
        <f t="shared" si="237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8"/>
        <v>0</v>
      </c>
      <c r="AI494" s="48">
        <f t="shared" si="239"/>
        <v>0</v>
      </c>
      <c r="AK494" s="23">
        <f t="shared" si="240"/>
        <v>0</v>
      </c>
      <c r="AL494" s="24">
        <f>+SUM(START:END!AL495)</f>
        <v>0</v>
      </c>
      <c r="AM494" s="418"/>
      <c r="AN494" s="26">
        <f t="shared" si="241"/>
        <v>0</v>
      </c>
      <c r="AO494" s="33">
        <f t="shared" si="242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5"/>
        <v>Revenus d'intérêts floor plan</v>
      </c>
      <c r="B495" s="181"/>
      <c r="C495" s="184"/>
      <c r="D495" s="184"/>
      <c r="E495" s="184"/>
      <c r="F495" s="408"/>
      <c r="G495" s="184"/>
      <c r="H495" s="184"/>
      <c r="I495" s="408"/>
      <c r="J495" s="184"/>
      <c r="K495" s="184"/>
      <c r="L495" s="184"/>
      <c r="M495" s="408"/>
      <c r="N495" s="184"/>
      <c r="O495" s="184"/>
      <c r="P495" s="184"/>
      <c r="Q495" s="408"/>
      <c r="R495" s="408"/>
      <c r="S495" s="408"/>
      <c r="T495" s="184"/>
      <c r="U495" s="184"/>
      <c r="V495" s="152" t="s">
        <v>216</v>
      </c>
      <c r="Z495" s="24">
        <f>+SUM(START:END!Z496)</f>
        <v>-3237.5</v>
      </c>
      <c r="AB495" s="23">
        <f t="shared" si="237"/>
        <v>0</v>
      </c>
      <c r="AC495" s="24">
        <f>+SUM(START:END!AC496)</f>
        <v>0</v>
      </c>
      <c r="AF495" s="24">
        <f>+SUM(START:END!AF496)</f>
        <v>-1079</v>
      </c>
      <c r="AH495" s="24">
        <f t="shared" si="238"/>
        <v>2158.5</v>
      </c>
      <c r="AI495" s="48">
        <f t="shared" si="239"/>
        <v>-0.66671814671814666</v>
      </c>
      <c r="AK495" s="23">
        <f t="shared" si="240"/>
        <v>-20.413804878048779</v>
      </c>
      <c r="AL495" s="24">
        <f>+SUM(START:END!AL496)</f>
        <v>-4184.83</v>
      </c>
      <c r="AM495" s="76"/>
      <c r="AN495" s="26">
        <f t="shared" si="241"/>
        <v>3105.83</v>
      </c>
      <c r="AO495" s="33">
        <f t="shared" si="242"/>
        <v>-0.7421639588704918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5"/>
        <v>[...]</v>
      </c>
      <c r="B496" s="181"/>
      <c r="C496" s="184"/>
      <c r="D496" s="184"/>
      <c r="E496" s="184"/>
      <c r="F496" s="408"/>
      <c r="G496" s="184"/>
      <c r="H496" s="184"/>
      <c r="I496" s="408"/>
      <c r="J496" s="184"/>
      <c r="K496" s="184"/>
      <c r="L496" s="184"/>
      <c r="M496" s="408"/>
      <c r="N496" s="184"/>
      <c r="O496" s="184"/>
      <c r="P496" s="184"/>
      <c r="Q496" s="408"/>
      <c r="R496" s="408"/>
      <c r="S496" s="408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7"/>
        <v>0</v>
      </c>
      <c r="AC496" s="24">
        <f>+SUM(START:END!AC497)</f>
        <v>0</v>
      </c>
      <c r="AE496" s="23">
        <f t="shared" ref="AE496" si="243">IF(AF496=0,0,AF496/(J$13+J$97))</f>
        <v>0</v>
      </c>
      <c r="AF496" s="24">
        <f>+SUM(START:END!AF497)</f>
        <v>0</v>
      </c>
      <c r="AG496" s="23">
        <f t="shared" ref="AG496" si="244">AE496-AB496</f>
        <v>0</v>
      </c>
      <c r="AH496" s="26">
        <f t="shared" ref="AH496" si="245">AF496-AC496</f>
        <v>0</v>
      </c>
      <c r="AI496" s="48">
        <f t="shared" si="239"/>
        <v>0</v>
      </c>
      <c r="AK496" s="23">
        <f t="shared" si="240"/>
        <v>0</v>
      </c>
      <c r="AL496" s="24">
        <f>+SUM(START:END!AL497)</f>
        <v>0</v>
      </c>
      <c r="AM496" s="76">
        <f>AE496-AK496</f>
        <v>0</v>
      </c>
      <c r="AN496" s="26">
        <f t="shared" si="241"/>
        <v>0</v>
      </c>
      <c r="AO496" s="33">
        <f t="shared" si="242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5"/>
        <v>Profit Net</v>
      </c>
      <c r="B497" s="181"/>
      <c r="C497" s="184"/>
      <c r="D497" s="184"/>
      <c r="E497" s="184"/>
      <c r="F497" s="408"/>
      <c r="G497" s="184"/>
      <c r="H497" s="184"/>
      <c r="I497" s="408"/>
      <c r="J497" s="184"/>
      <c r="K497" s="184"/>
      <c r="L497" s="184"/>
      <c r="M497" s="408"/>
      <c r="N497" s="184"/>
      <c r="O497" s="184"/>
      <c r="P497" s="184"/>
      <c r="Q497" s="408"/>
      <c r="R497" s="408"/>
      <c r="S497" s="408"/>
      <c r="T497" s="184"/>
      <c r="U497" s="184"/>
      <c r="V497" s="104" t="s">
        <v>191</v>
      </c>
      <c r="W497" s="105"/>
      <c r="X497" s="106" t="s">
        <v>185</v>
      </c>
      <c r="Y497" s="107">
        <f>Z497/Z405</f>
        <v>3.0727462966515458E-2</v>
      </c>
      <c r="Z497" s="108">
        <f>Z488-Z490-Z491-Z492-Z496-Z493-Z494-Z495</f>
        <v>614571.22211046028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2.6867991443720818E-2</v>
      </c>
      <c r="AF497" s="108">
        <f>AF488-AF490-AF491-AF492-AF496-AF493-AF494-AF495</f>
        <v>468373.06999999937</v>
      </c>
      <c r="AG497" s="110"/>
      <c r="AH497" s="108">
        <f>AH488-AH490-AH491-AH492-AH496-AH493-AH494-AH495</f>
        <v>-146198.15211046091</v>
      </c>
      <c r="AI497" s="111">
        <f>AH497/Z497</f>
        <v>-0.23788642691145065</v>
      </c>
      <c r="AJ497" s="112" t="s">
        <v>185</v>
      </c>
      <c r="AK497" s="107">
        <f>IF($AL$405=0,0,AL497/$AL$405)</f>
        <v>1.9684937399213915E-2</v>
      </c>
      <c r="AL497" s="108">
        <f>AL488-AL490-AL491-AL492-AL496-AL493-AL494-AL495</f>
        <v>249286.09999999733</v>
      </c>
      <c r="AM497" s="113"/>
      <c r="AN497" s="109">
        <f>AN488-AN490-AN491-AN492-AN496-AN493-AN494-AN495</f>
        <v>219086.97000000204</v>
      </c>
      <c r="AO497" s="126">
        <f>IF(AL497=0,0,AN497/AL497)</f>
        <v>0.8788575456072536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5"/>
        <v/>
      </c>
      <c r="B498" s="181"/>
      <c r="C498" s="184"/>
      <c r="D498" s="184"/>
      <c r="E498" s="184"/>
      <c r="F498" s="408"/>
      <c r="G498" s="184"/>
      <c r="H498" s="184"/>
      <c r="I498" s="408"/>
      <c r="J498" s="184"/>
      <c r="K498" s="184"/>
      <c r="L498" s="184"/>
      <c r="M498" s="408"/>
      <c r="N498" s="184"/>
      <c r="O498" s="184"/>
      <c r="P498" s="184"/>
      <c r="Q498" s="408"/>
      <c r="R498" s="408"/>
      <c r="S498" s="408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19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8"/>
      <c r="G499" s="184"/>
      <c r="H499" s="184"/>
      <c r="I499" s="408"/>
      <c r="J499" s="184"/>
      <c r="K499" s="184"/>
      <c r="L499" s="184"/>
      <c r="M499" s="408"/>
      <c r="N499" s="184"/>
      <c r="O499" s="184"/>
      <c r="P499" s="184"/>
      <c r="Q499" s="408"/>
      <c r="R499" s="408"/>
      <c r="S499" s="408"/>
      <c r="T499" s="184"/>
      <c r="U499" s="184"/>
      <c r="V499" s="184"/>
      <c r="W499" s="184"/>
      <c r="X499" s="184"/>
      <c r="Y499" s="184"/>
      <c r="Z499" s="408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hidden="1" customHeight="1">
      <c r="B500" s="181"/>
      <c r="C500" s="184"/>
      <c r="D500" s="184"/>
      <c r="E500" s="184"/>
      <c r="F500" s="408"/>
      <c r="G500" s="184"/>
      <c r="H500" s="184"/>
      <c r="I500" s="408"/>
      <c r="J500" s="184"/>
      <c r="K500" s="184"/>
      <c r="L500" s="184"/>
      <c r="M500" s="408"/>
      <c r="N500" s="184"/>
      <c r="O500" s="184"/>
      <c r="P500" s="184"/>
      <c r="Q500" s="408"/>
      <c r="R500" s="408"/>
      <c r="S500" s="408"/>
      <c r="T500" s="411"/>
      <c r="U500" s="411"/>
      <c r="V500" s="184"/>
      <c r="W500" s="184"/>
      <c r="X500" s="184"/>
      <c r="Y500" s="184"/>
      <c r="Z500" s="408" t="e">
        <f>+#REF!+#REF!+#REF!</f>
        <v>#REF!</v>
      </c>
      <c r="AA500" s="184"/>
      <c r="AB500" s="184"/>
      <c r="AC500" s="184"/>
      <c r="AD500" s="184"/>
      <c r="AE500" s="184"/>
      <c r="AF500" s="408" t="e">
        <f>+#REF!+#REF!+#REF!</f>
        <v>#REF!</v>
      </c>
      <c r="AG500" s="184"/>
      <c r="AH500" s="408" t="e">
        <f>+#REF!+#REF!+#REF!</f>
        <v>#REF!</v>
      </c>
      <c r="AI500" s="184"/>
      <c r="AJ500" s="184"/>
      <c r="AK500" s="184"/>
      <c r="AL500" s="408" t="e">
        <f>+#REF!+#REF!+#REF!</f>
        <v>#REF!</v>
      </c>
      <c r="AM500" s="184"/>
      <c r="AN500" s="408" t="e">
        <f>+#REF!+#REF!+#REF!</f>
        <v>#REF!</v>
      </c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hidden="1" customHeight="1">
      <c r="B501" s="181"/>
      <c r="C501" s="184"/>
      <c r="D501" s="184"/>
      <c r="E501" s="184"/>
      <c r="F501" s="408"/>
      <c r="G501" s="184"/>
      <c r="H501" s="184"/>
      <c r="I501" s="408"/>
      <c r="J501" s="184"/>
      <c r="K501" s="184"/>
      <c r="L501" s="184"/>
      <c r="M501" s="408"/>
      <c r="N501" s="184"/>
      <c r="O501" s="184"/>
      <c r="P501" s="184"/>
      <c r="Q501" s="408"/>
      <c r="R501" s="408"/>
      <c r="S501" s="408"/>
      <c r="T501" s="411"/>
      <c r="U501" s="411"/>
      <c r="V501" s="184"/>
      <c r="W501" s="184"/>
      <c r="X501" s="184"/>
      <c r="Y501" s="184"/>
      <c r="Z501" s="408" t="e">
        <f>+Z500-Z497</f>
        <v>#REF!</v>
      </c>
      <c r="AA501" s="184"/>
      <c r="AB501" s="184"/>
      <c r="AC501" s="184"/>
      <c r="AD501" s="184"/>
      <c r="AE501" s="184"/>
      <c r="AF501" s="408" t="e">
        <f>+AF500-AF497</f>
        <v>#REF!</v>
      </c>
      <c r="AG501" s="184"/>
      <c r="AH501" s="408" t="e">
        <f>+AH500-AH497</f>
        <v>#REF!</v>
      </c>
      <c r="AI501" s="184"/>
      <c r="AJ501" s="184"/>
      <c r="AK501" s="184"/>
      <c r="AL501" s="408" t="e">
        <f>+AL500-AL497</f>
        <v>#REF!</v>
      </c>
      <c r="AM501" s="184"/>
      <c r="AN501" s="408" t="e">
        <f>+AN500-AN497</f>
        <v>#REF!</v>
      </c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8"/>
      <c r="G502" s="184"/>
      <c r="H502" s="184"/>
      <c r="I502" s="408"/>
      <c r="J502" s="184"/>
      <c r="K502" s="184"/>
      <c r="L502" s="184"/>
      <c r="M502" s="408"/>
      <c r="N502" s="184"/>
      <c r="O502" s="184"/>
      <c r="P502" s="184"/>
      <c r="Q502" s="408"/>
      <c r="R502" s="408"/>
      <c r="S502" s="408"/>
      <c r="T502" s="411"/>
      <c r="U502" s="411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8"/>
      <c r="AG502" s="184"/>
      <c r="AH502" s="184"/>
      <c r="AI502" s="408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8"/>
      <c r="G503" s="184"/>
      <c r="H503" s="184"/>
      <c r="I503" s="408"/>
      <c r="J503" s="184"/>
      <c r="K503" s="184"/>
      <c r="L503" s="184"/>
      <c r="M503" s="408"/>
      <c r="N503" s="184"/>
      <c r="O503" s="184"/>
      <c r="P503" s="184"/>
      <c r="Q503" s="408"/>
      <c r="R503" s="408"/>
      <c r="S503" s="408"/>
      <c r="T503" s="411"/>
      <c r="U503" s="411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8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8"/>
      <c r="G504" s="184"/>
      <c r="H504" s="184"/>
      <c r="I504" s="408"/>
      <c r="J504" s="184"/>
      <c r="K504" s="184"/>
      <c r="L504" s="184"/>
      <c r="M504" s="408"/>
      <c r="N504" s="184"/>
      <c r="O504" s="184"/>
      <c r="P504" s="184"/>
      <c r="Q504" s="408"/>
      <c r="R504" s="408"/>
      <c r="S504" s="408"/>
      <c r="T504" s="411"/>
      <c r="U504" s="411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8"/>
      <c r="G505" s="184"/>
      <c r="H505" s="184"/>
      <c r="I505" s="408"/>
      <c r="J505" s="184"/>
      <c r="K505" s="184"/>
      <c r="L505" s="184"/>
      <c r="M505" s="408"/>
      <c r="N505" s="184"/>
      <c r="O505" s="184"/>
      <c r="P505" s="184"/>
      <c r="Q505" s="408"/>
      <c r="R505" s="408"/>
      <c r="S505" s="408"/>
      <c r="T505" s="411"/>
      <c r="U505" s="411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08"/>
      <c r="AG505" s="184"/>
      <c r="AH505" s="184"/>
      <c r="AI505" s="184"/>
      <c r="AJ505" s="184"/>
      <c r="AK505" s="184"/>
      <c r="AL505" s="408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8"/>
      <c r="G506" s="184"/>
      <c r="H506" s="184"/>
      <c r="I506" s="408"/>
      <c r="J506" s="184"/>
      <c r="K506" s="184"/>
      <c r="L506" s="184"/>
      <c r="M506" s="408"/>
      <c r="N506" s="184"/>
      <c r="O506" s="184"/>
      <c r="P506" s="184"/>
      <c r="Q506" s="408"/>
      <c r="R506" s="408"/>
      <c r="S506" s="408"/>
      <c r="T506" s="411"/>
      <c r="U506" s="411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8"/>
      <c r="G507" s="184"/>
      <c r="H507" s="184"/>
      <c r="I507" s="408"/>
      <c r="J507" s="184"/>
      <c r="K507" s="184"/>
      <c r="L507" s="184"/>
      <c r="M507" s="408"/>
      <c r="N507" s="184"/>
      <c r="O507" s="184"/>
      <c r="P507" s="184"/>
      <c r="Q507" s="408"/>
      <c r="R507" s="408"/>
      <c r="S507" s="408"/>
      <c r="T507" s="411"/>
      <c r="U507" s="411"/>
      <c r="V507" s="184"/>
      <c r="W507" s="411"/>
      <c r="X507" s="411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8"/>
      <c r="G508" s="184"/>
      <c r="H508" s="184"/>
      <c r="I508" s="408"/>
      <c r="J508" s="184"/>
      <c r="K508" s="184"/>
      <c r="L508" s="184"/>
      <c r="M508" s="408"/>
      <c r="N508" s="184"/>
      <c r="O508" s="184"/>
      <c r="P508" s="184"/>
      <c r="Q508" s="408"/>
      <c r="R508" s="408"/>
      <c r="S508" s="408"/>
      <c r="T508" s="411"/>
      <c r="U508" s="411"/>
      <c r="V508" s="184"/>
      <c r="W508" s="411"/>
      <c r="X508" s="411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8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8"/>
      <c r="G509" s="184"/>
      <c r="H509" s="184"/>
      <c r="I509" s="408"/>
      <c r="J509" s="184"/>
      <c r="K509" s="184"/>
      <c r="L509" s="184"/>
      <c r="M509" s="408"/>
      <c r="N509" s="184"/>
      <c r="O509" s="184"/>
      <c r="P509" s="184"/>
      <c r="Q509" s="408"/>
      <c r="R509" s="408"/>
      <c r="S509" s="408"/>
      <c r="T509" s="411"/>
      <c r="U509" s="411"/>
      <c r="V509" s="184"/>
      <c r="W509" s="411"/>
      <c r="X509" s="411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8"/>
      <c r="G510" s="184"/>
      <c r="H510" s="184"/>
      <c r="I510" s="408"/>
      <c r="J510" s="184"/>
      <c r="K510" s="184"/>
      <c r="L510" s="184"/>
      <c r="M510" s="408"/>
      <c r="N510" s="184"/>
      <c r="O510" s="184"/>
      <c r="P510" s="184"/>
      <c r="Q510" s="408"/>
      <c r="R510" s="408"/>
      <c r="S510" s="408"/>
      <c r="T510" s="411"/>
      <c r="U510" s="411"/>
      <c r="V510" s="184"/>
      <c r="W510" s="411"/>
      <c r="X510" s="411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8"/>
      <c r="G511" s="184"/>
      <c r="H511" s="184"/>
      <c r="I511" s="408"/>
      <c r="J511" s="184"/>
      <c r="K511" s="184"/>
      <c r="L511" s="184"/>
      <c r="M511" s="408"/>
      <c r="N511" s="184"/>
      <c r="O511" s="184"/>
      <c r="P511" s="184"/>
      <c r="Q511" s="408"/>
      <c r="R511" s="408"/>
      <c r="S511" s="408"/>
      <c r="T511" s="411"/>
      <c r="U511" s="411"/>
      <c r="V511" s="184"/>
      <c r="W511" s="411"/>
      <c r="X511" s="411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8"/>
      <c r="G512" s="184"/>
      <c r="H512" s="184"/>
      <c r="I512" s="408"/>
      <c r="J512" s="184"/>
      <c r="K512" s="184"/>
      <c r="L512" s="184"/>
      <c r="M512" s="408"/>
      <c r="N512" s="184"/>
      <c r="O512" s="184"/>
      <c r="P512" s="184"/>
      <c r="Q512" s="408"/>
      <c r="R512" s="408"/>
      <c r="S512" s="408"/>
      <c r="T512" s="411"/>
      <c r="U512" s="411"/>
      <c r="V512" s="411"/>
      <c r="W512" s="411"/>
      <c r="X512" s="411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0"/>
      <c r="D513" s="411"/>
      <c r="E513" s="411"/>
      <c r="F513" s="421"/>
      <c r="G513" s="411"/>
      <c r="H513" s="411"/>
      <c r="I513" s="421"/>
      <c r="J513" s="411"/>
      <c r="K513" s="411"/>
      <c r="L513" s="411"/>
      <c r="M513" s="421"/>
      <c r="N513" s="411"/>
      <c r="O513" s="411"/>
      <c r="P513" s="411"/>
      <c r="Q513" s="421"/>
      <c r="R513" s="421"/>
      <c r="S513" s="421"/>
      <c r="T513" s="411"/>
      <c r="U513" s="411"/>
      <c r="V513" s="411"/>
      <c r="W513" s="411"/>
      <c r="X513" s="411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2"/>
      <c r="D514" s="411"/>
      <c r="E514" s="411"/>
      <c r="F514" s="421"/>
      <c r="G514" s="411"/>
      <c r="H514" s="411"/>
      <c r="I514" s="421"/>
      <c r="J514" s="411"/>
      <c r="K514" s="411"/>
      <c r="L514" s="411"/>
      <c r="M514" s="421"/>
      <c r="N514" s="411"/>
      <c r="O514" s="411"/>
      <c r="P514" s="411"/>
      <c r="Q514" s="421"/>
      <c r="R514" s="421"/>
      <c r="S514" s="421"/>
      <c r="T514" s="411"/>
      <c r="U514" s="411"/>
      <c r="V514" s="411"/>
      <c r="W514" s="411"/>
      <c r="X514" s="411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1"/>
      <c r="D515" s="411"/>
      <c r="E515" s="411"/>
      <c r="F515" s="421"/>
      <c r="G515" s="411"/>
      <c r="H515" s="411"/>
      <c r="I515" s="421"/>
      <c r="J515" s="411"/>
      <c r="K515" s="411"/>
      <c r="L515" s="411"/>
      <c r="M515" s="421"/>
      <c r="N515" s="411"/>
      <c r="O515" s="411"/>
      <c r="P515" s="411"/>
      <c r="Q515" s="421"/>
      <c r="R515" s="421"/>
      <c r="S515" s="421"/>
      <c r="T515" s="411"/>
      <c r="U515" s="411"/>
      <c r="V515" s="411"/>
      <c r="W515" s="411"/>
      <c r="X515" s="411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1"/>
      <c r="D516" s="411"/>
      <c r="E516" s="411"/>
      <c r="F516" s="411"/>
      <c r="G516" s="411"/>
      <c r="H516" s="411"/>
      <c r="I516" s="411"/>
      <c r="J516" s="420"/>
      <c r="K516" s="420"/>
      <c r="L516" s="420"/>
      <c r="M516" s="421"/>
      <c r="N516" s="411"/>
      <c r="O516" s="411"/>
      <c r="P516" s="411"/>
      <c r="Q516" s="411"/>
      <c r="R516" s="411"/>
      <c r="S516" s="421"/>
      <c r="T516" s="411"/>
      <c r="U516" s="411"/>
      <c r="V516" s="411"/>
      <c r="W516" s="411"/>
      <c r="X516" s="411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21"/>
      <c r="N517" s="411"/>
      <c r="O517" s="411"/>
      <c r="P517" s="411"/>
      <c r="Q517" s="411"/>
      <c r="R517" s="411"/>
      <c r="S517" s="421"/>
      <c r="T517" s="411"/>
      <c r="U517" s="411"/>
      <c r="V517" s="411"/>
      <c r="W517" s="411"/>
      <c r="X517" s="411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21"/>
      <c r="N518" s="411"/>
      <c r="O518" s="411"/>
      <c r="P518" s="411"/>
      <c r="Q518" s="411"/>
      <c r="R518" s="411"/>
      <c r="S518" s="421"/>
      <c r="T518" s="411"/>
      <c r="U518" s="411"/>
      <c r="V518" s="411"/>
      <c r="W518" s="411"/>
      <c r="X518" s="411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21"/>
      <c r="N519" s="411"/>
      <c r="O519" s="411"/>
      <c r="P519" s="411"/>
      <c r="Q519" s="411"/>
      <c r="R519" s="411"/>
      <c r="S519" s="421"/>
      <c r="T519" s="411"/>
      <c r="U519" s="411"/>
      <c r="V519" s="411"/>
      <c r="W519" s="411"/>
      <c r="X519" s="411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2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1"/>
      <c r="D521" s="411"/>
      <c r="E521" s="411"/>
      <c r="F521" s="411"/>
      <c r="G521" s="411"/>
      <c r="H521" s="411"/>
      <c r="I521" s="411"/>
      <c r="J521" s="420"/>
      <c r="K521" s="420"/>
      <c r="L521" s="420"/>
      <c r="M521" s="423"/>
      <c r="N521" s="420"/>
      <c r="O521" s="420"/>
      <c r="P521" s="420"/>
      <c r="Q521" s="411"/>
      <c r="R521" s="411"/>
      <c r="S521" s="420"/>
      <c r="T521" s="411"/>
      <c r="U521" s="411"/>
      <c r="V521" s="411"/>
      <c r="W521" s="411"/>
      <c r="X521" s="411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24"/>
      <c r="R525" s="424"/>
      <c r="S525" s="424"/>
      <c r="T525" s="411"/>
      <c r="U525" s="411"/>
      <c r="V525" s="411"/>
      <c r="W525" s="411"/>
      <c r="X525" s="411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25"/>
      <c r="R526" s="411"/>
      <c r="S526" s="411"/>
      <c r="T526" s="411"/>
      <c r="U526" s="411"/>
      <c r="V526" s="411"/>
      <c r="W526" s="411"/>
      <c r="X526" s="411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1"/>
      <c r="D527" s="411"/>
      <c r="E527" s="411"/>
      <c r="F527" s="411"/>
      <c r="G527" s="411"/>
      <c r="H527" s="411"/>
      <c r="I527" s="411"/>
      <c r="J527" s="411"/>
      <c r="K527" s="411"/>
      <c r="L527" s="426"/>
      <c r="M527" s="427"/>
      <c r="N527" s="427"/>
      <c r="O527" s="411"/>
      <c r="P527" s="426"/>
      <c r="Q527" s="427"/>
      <c r="R527" s="427"/>
      <c r="S527" s="426"/>
      <c r="T527" s="411"/>
      <c r="U527" s="411"/>
      <c r="V527" s="411"/>
      <c r="W527" s="411"/>
      <c r="X527" s="411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1"/>
      <c r="D528" s="411"/>
      <c r="E528" s="426"/>
      <c r="F528" s="428"/>
      <c r="G528" s="411"/>
      <c r="H528" s="426"/>
      <c r="I528" s="428"/>
      <c r="J528" s="427"/>
      <c r="K528" s="420"/>
      <c r="L528" s="426"/>
      <c r="M528" s="427"/>
      <c r="N528" s="427"/>
      <c r="O528" s="420"/>
      <c r="P528" s="426"/>
      <c r="Q528" s="427"/>
      <c r="R528" s="427"/>
      <c r="S528" s="426"/>
      <c r="T528" s="411"/>
      <c r="U528" s="411"/>
      <c r="V528" s="411"/>
      <c r="W528" s="411"/>
      <c r="X528" s="411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1"/>
      <c r="D529" s="429"/>
      <c r="E529" s="428"/>
      <c r="F529" s="428"/>
      <c r="G529" s="429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S529" s="428"/>
      <c r="T529" s="411"/>
      <c r="U529" s="411"/>
      <c r="V529" s="411"/>
      <c r="W529" s="411"/>
      <c r="X529" s="411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0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1"/>
      <c r="D532" s="411"/>
      <c r="E532" s="421"/>
      <c r="F532" s="430"/>
      <c r="G532" s="411"/>
      <c r="H532" s="421"/>
      <c r="I532" s="430"/>
      <c r="J532" s="430"/>
      <c r="K532" s="421"/>
      <c r="L532" s="430"/>
      <c r="M532" s="421"/>
      <c r="N532" s="430"/>
      <c r="O532" s="421"/>
      <c r="P532" s="430"/>
      <c r="Q532" s="421"/>
      <c r="R532" s="421"/>
      <c r="S532" s="421"/>
      <c r="T532" s="411"/>
      <c r="U532" s="411"/>
      <c r="V532" s="411"/>
      <c r="W532" s="411"/>
      <c r="X532" s="411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1"/>
      <c r="D533" s="411"/>
      <c r="E533" s="421"/>
      <c r="F533" s="430"/>
      <c r="G533" s="411"/>
      <c r="H533" s="421"/>
      <c r="I533" s="430"/>
      <c r="J533" s="430"/>
      <c r="K533" s="421"/>
      <c r="L533" s="430"/>
      <c r="M533" s="421"/>
      <c r="N533" s="430"/>
      <c r="O533" s="421"/>
      <c r="P533" s="430"/>
      <c r="Q533" s="421"/>
      <c r="R533" s="421"/>
      <c r="S533" s="421"/>
      <c r="T533" s="411"/>
      <c r="U533" s="411"/>
      <c r="V533" s="411"/>
      <c r="W533" s="411"/>
      <c r="X533" s="411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1"/>
      <c r="D534" s="411"/>
      <c r="E534" s="421"/>
      <c r="F534" s="430"/>
      <c r="G534" s="411"/>
      <c r="H534" s="421"/>
      <c r="I534" s="430"/>
      <c r="J534" s="430"/>
      <c r="K534" s="421"/>
      <c r="L534" s="430"/>
      <c r="M534" s="421"/>
      <c r="N534" s="430"/>
      <c r="O534" s="421"/>
      <c r="P534" s="430"/>
      <c r="Q534" s="421"/>
      <c r="R534" s="421"/>
      <c r="S534" s="421"/>
      <c r="T534" s="411"/>
      <c r="U534" s="411"/>
      <c r="V534" s="411"/>
      <c r="W534" s="411"/>
      <c r="X534" s="411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1"/>
      <c r="D535" s="411"/>
      <c r="E535" s="421"/>
      <c r="F535" s="430"/>
      <c r="G535" s="411"/>
      <c r="H535" s="421"/>
      <c r="I535" s="430"/>
      <c r="J535" s="430"/>
      <c r="K535" s="421"/>
      <c r="L535" s="430"/>
      <c r="M535" s="421"/>
      <c r="N535" s="430"/>
      <c r="O535" s="421"/>
      <c r="P535" s="430"/>
      <c r="Q535" s="421"/>
      <c r="R535" s="421"/>
      <c r="S535" s="421"/>
      <c r="T535" s="411"/>
      <c r="U535" s="411"/>
      <c r="V535" s="411"/>
      <c r="W535" s="411"/>
      <c r="X535" s="411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1"/>
      <c r="D536" s="411"/>
      <c r="E536" s="421"/>
      <c r="F536" s="430"/>
      <c r="G536" s="411"/>
      <c r="H536" s="421"/>
      <c r="I536" s="430"/>
      <c r="J536" s="430"/>
      <c r="K536" s="421"/>
      <c r="L536" s="430"/>
      <c r="M536" s="421"/>
      <c r="N536" s="430"/>
      <c r="O536" s="421"/>
      <c r="P536" s="430"/>
      <c r="Q536" s="421"/>
      <c r="R536" s="421"/>
      <c r="S536" s="411"/>
      <c r="T536" s="411"/>
      <c r="U536" s="411"/>
      <c r="V536" s="411"/>
      <c r="W536" s="411"/>
      <c r="X536" s="411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1"/>
      <c r="D537" s="411"/>
      <c r="E537" s="421"/>
      <c r="F537" s="430"/>
      <c r="G537" s="411"/>
      <c r="H537" s="421"/>
      <c r="I537" s="430"/>
      <c r="J537" s="430"/>
      <c r="K537" s="421"/>
      <c r="L537" s="430"/>
      <c r="M537" s="421"/>
      <c r="N537" s="430"/>
      <c r="O537" s="421"/>
      <c r="P537" s="430"/>
      <c r="Q537" s="421"/>
      <c r="R537" s="421"/>
      <c r="S537" s="421"/>
      <c r="T537" s="411"/>
      <c r="U537" s="411"/>
      <c r="V537" s="411"/>
      <c r="W537" s="411"/>
      <c r="X537" s="411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1"/>
      <c r="D538" s="411"/>
      <c r="E538" s="421"/>
      <c r="F538" s="431"/>
      <c r="G538" s="411"/>
      <c r="H538" s="421"/>
      <c r="I538" s="431"/>
      <c r="J538" s="430"/>
      <c r="K538" s="421"/>
      <c r="L538" s="430"/>
      <c r="M538" s="421"/>
      <c r="N538" s="430"/>
      <c r="O538" s="421"/>
      <c r="P538" s="411"/>
      <c r="Q538" s="411"/>
      <c r="R538" s="421"/>
      <c r="S538" s="421"/>
      <c r="T538" s="411"/>
      <c r="U538" s="411"/>
      <c r="V538" s="411"/>
      <c r="W538" s="411"/>
      <c r="X538" s="411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0"/>
      <c r="D539" s="420"/>
      <c r="E539" s="423"/>
      <c r="F539" s="432"/>
      <c r="G539" s="420"/>
      <c r="H539" s="423"/>
      <c r="I539" s="432"/>
      <c r="J539" s="432"/>
      <c r="K539" s="423"/>
      <c r="L539" s="432"/>
      <c r="M539" s="423"/>
      <c r="N539" s="432"/>
      <c r="O539" s="423"/>
      <c r="P539" s="432"/>
      <c r="Q539" s="423"/>
      <c r="R539" s="423"/>
      <c r="S539" s="420"/>
      <c r="T539" s="411"/>
      <c r="U539" s="411"/>
      <c r="V539" s="411"/>
      <c r="W539" s="411"/>
      <c r="X539" s="411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1"/>
      <c r="D540" s="411"/>
      <c r="E540" s="421"/>
      <c r="F540" s="411"/>
      <c r="G540" s="411"/>
      <c r="H540" s="421"/>
      <c r="I540" s="411"/>
      <c r="J540" s="430"/>
      <c r="K540" s="421"/>
      <c r="L540" s="430"/>
      <c r="M540" s="421"/>
      <c r="N540" s="430"/>
      <c r="O540" s="421"/>
      <c r="P540" s="420"/>
      <c r="Q540" s="432"/>
      <c r="R540" s="432"/>
      <c r="S540" s="411"/>
      <c r="T540" s="411"/>
      <c r="U540" s="411"/>
      <c r="V540" s="411"/>
      <c r="W540" s="411"/>
      <c r="X540" s="411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1"/>
      <c r="D541" s="411"/>
      <c r="E541" s="421"/>
      <c r="F541" s="411"/>
      <c r="G541" s="411"/>
      <c r="H541" s="421"/>
      <c r="I541" s="411"/>
      <c r="J541" s="430"/>
      <c r="K541" s="421"/>
      <c r="L541" s="430"/>
      <c r="M541" s="421"/>
      <c r="N541" s="430"/>
      <c r="O541" s="421"/>
      <c r="P541" s="411"/>
      <c r="Q541" s="411"/>
      <c r="R541" s="421"/>
      <c r="S541" s="411"/>
      <c r="T541" s="411"/>
      <c r="U541" s="411"/>
      <c r="V541" s="411"/>
      <c r="W541" s="411"/>
      <c r="X541" s="411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0"/>
      <c r="D542" s="411"/>
      <c r="E542" s="421"/>
      <c r="F542" s="411"/>
      <c r="G542" s="411"/>
      <c r="H542" s="421"/>
      <c r="I542" s="411"/>
      <c r="J542" s="430"/>
      <c r="K542" s="421"/>
      <c r="L542" s="430"/>
      <c r="M542" s="421"/>
      <c r="N542" s="430"/>
      <c r="O542" s="421"/>
      <c r="P542" s="411"/>
      <c r="Q542" s="411"/>
      <c r="R542" s="421"/>
      <c r="S542" s="411"/>
      <c r="T542" s="411"/>
      <c r="U542" s="411"/>
      <c r="V542" s="411"/>
      <c r="W542" s="411"/>
      <c r="X542" s="411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1"/>
      <c r="D544" s="411"/>
      <c r="E544" s="421"/>
      <c r="F544" s="430"/>
      <c r="G544" s="411"/>
      <c r="H544" s="421"/>
      <c r="I544" s="430"/>
      <c r="J544" s="430"/>
      <c r="K544" s="411"/>
      <c r="L544" s="430"/>
      <c r="M544" s="411"/>
      <c r="N544" s="430"/>
      <c r="O544" s="411"/>
      <c r="P544" s="430"/>
      <c r="Q544" s="421"/>
      <c r="R544" s="421"/>
      <c r="S544" s="411"/>
      <c r="T544" s="411"/>
      <c r="U544" s="411"/>
      <c r="V544" s="411"/>
      <c r="W544" s="411"/>
      <c r="X544" s="411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1"/>
      <c r="D545" s="411"/>
      <c r="E545" s="421"/>
      <c r="F545" s="431"/>
      <c r="G545" s="411"/>
      <c r="H545" s="421"/>
      <c r="I545" s="431"/>
      <c r="J545" s="430"/>
      <c r="K545" s="421"/>
      <c r="L545" s="430"/>
      <c r="M545" s="421"/>
      <c r="N545" s="430"/>
      <c r="O545" s="421"/>
      <c r="P545" s="411"/>
      <c r="Q545" s="430"/>
      <c r="R545" s="430"/>
      <c r="S545" s="421"/>
      <c r="T545" s="411"/>
      <c r="U545" s="411"/>
      <c r="V545" s="411"/>
      <c r="W545" s="411"/>
      <c r="X545" s="411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1"/>
      <c r="D546" s="411"/>
      <c r="E546" s="421"/>
      <c r="F546" s="431"/>
      <c r="G546" s="411"/>
      <c r="H546" s="421"/>
      <c r="I546" s="431"/>
      <c r="J546" s="430"/>
      <c r="K546" s="421"/>
      <c r="L546" s="430"/>
      <c r="M546" s="421"/>
      <c r="N546" s="430"/>
      <c r="O546" s="421"/>
      <c r="P546" s="411"/>
      <c r="Q546" s="411"/>
      <c r="R546" s="421"/>
      <c r="S546" s="421"/>
      <c r="T546" s="411"/>
      <c r="U546" s="411"/>
      <c r="V546" s="411"/>
      <c r="W546" s="411"/>
      <c r="X546" s="411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1"/>
      <c r="D547" s="411"/>
      <c r="E547" s="421"/>
      <c r="F547" s="430"/>
      <c r="G547" s="411"/>
      <c r="H547" s="421"/>
      <c r="I547" s="430"/>
      <c r="J547" s="430"/>
      <c r="K547" s="421"/>
      <c r="L547" s="430"/>
      <c r="M547" s="421"/>
      <c r="N547" s="430"/>
      <c r="O547" s="421"/>
      <c r="P547" s="411"/>
      <c r="Q547" s="411"/>
      <c r="R547" s="421"/>
      <c r="S547" s="411"/>
      <c r="T547" s="411"/>
      <c r="U547" s="411"/>
      <c r="V547" s="411"/>
      <c r="W547" s="411"/>
      <c r="X547" s="411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0"/>
      <c r="D548" s="420"/>
      <c r="E548" s="423"/>
      <c r="F548" s="432"/>
      <c r="G548" s="420"/>
      <c r="H548" s="423"/>
      <c r="I548" s="432"/>
      <c r="J548" s="432"/>
      <c r="K548" s="423"/>
      <c r="L548" s="432"/>
      <c r="M548" s="423"/>
      <c r="N548" s="432"/>
      <c r="O548" s="423"/>
      <c r="P548" s="432"/>
      <c r="Q548" s="420"/>
      <c r="R548" s="423"/>
      <c r="S548" s="420"/>
      <c r="T548" s="411"/>
      <c r="U548" s="411"/>
      <c r="V548" s="411"/>
      <c r="W548" s="411"/>
      <c r="X548" s="411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20"/>
      <c r="Q549" s="432"/>
      <c r="R549" s="432"/>
      <c r="S549" s="411"/>
      <c r="T549" s="411"/>
      <c r="U549" s="411"/>
      <c r="V549" s="411"/>
      <c r="W549" s="411"/>
      <c r="X549" s="411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1"/>
      <c r="D550" s="411"/>
      <c r="E550" s="421"/>
      <c r="F550" s="430"/>
      <c r="G550" s="411"/>
      <c r="H550" s="421"/>
      <c r="I550" s="430"/>
      <c r="J550" s="430"/>
      <c r="K550" s="421"/>
      <c r="L550" s="430"/>
      <c r="M550" s="421"/>
      <c r="N550" s="430"/>
      <c r="O550" s="421"/>
      <c r="P550" s="411"/>
      <c r="Q550" s="411"/>
      <c r="R550" s="421"/>
      <c r="S550" s="411"/>
      <c r="T550" s="411"/>
      <c r="U550" s="411"/>
      <c r="V550" s="411"/>
      <c r="W550" s="411"/>
      <c r="X550" s="411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0"/>
      <c r="D551" s="411"/>
      <c r="E551" s="421"/>
      <c r="F551" s="430"/>
      <c r="G551" s="411"/>
      <c r="H551" s="421"/>
      <c r="I551" s="430"/>
      <c r="J551" s="430"/>
      <c r="K551" s="421"/>
      <c r="L551" s="430"/>
      <c r="M551" s="421"/>
      <c r="N551" s="430"/>
      <c r="O551" s="421"/>
      <c r="P551" s="411"/>
      <c r="Q551" s="411"/>
      <c r="R551" s="421"/>
      <c r="S551" s="411"/>
      <c r="T551" s="411"/>
      <c r="U551" s="411"/>
      <c r="V551" s="411"/>
      <c r="W551" s="411"/>
      <c r="X551" s="411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1"/>
      <c r="D552" s="411"/>
      <c r="E552" s="421"/>
      <c r="F552" s="430"/>
      <c r="G552" s="411"/>
      <c r="H552" s="421"/>
      <c r="I552" s="430"/>
      <c r="J552" s="430"/>
      <c r="K552" s="421"/>
      <c r="L552" s="430"/>
      <c r="M552" s="421"/>
      <c r="N552" s="430"/>
      <c r="O552" s="421"/>
      <c r="P552" s="411"/>
      <c r="Q552" s="411"/>
      <c r="R552" s="421"/>
      <c r="S552" s="411"/>
      <c r="T552" s="411"/>
      <c r="U552" s="411"/>
      <c r="V552" s="411"/>
      <c r="W552" s="411"/>
      <c r="X552" s="411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30"/>
      <c r="Q553" s="421"/>
      <c r="R553" s="411"/>
      <c r="S553" s="421"/>
      <c r="T553" s="411"/>
      <c r="U553" s="411"/>
      <c r="V553" s="411"/>
      <c r="W553" s="411"/>
      <c r="X553" s="411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30"/>
      <c r="Q554" s="421"/>
      <c r="R554" s="411"/>
      <c r="S554" s="421"/>
      <c r="T554" s="411"/>
      <c r="U554" s="411"/>
      <c r="V554" s="411"/>
      <c r="W554" s="411"/>
      <c r="X554" s="411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30"/>
      <c r="Q555" s="421"/>
      <c r="R555" s="411"/>
      <c r="S555" s="421"/>
      <c r="T555" s="411"/>
      <c r="U555" s="411"/>
      <c r="V555" s="411"/>
      <c r="W555" s="411"/>
      <c r="X555" s="411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30"/>
      <c r="Q556" s="421"/>
      <c r="R556" s="411"/>
      <c r="S556" s="421"/>
      <c r="T556" s="411"/>
      <c r="U556" s="411"/>
      <c r="V556" s="411"/>
      <c r="W556" s="411"/>
      <c r="X556" s="411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30"/>
      <c r="Q557" s="421"/>
      <c r="R557" s="411"/>
      <c r="S557" s="421"/>
      <c r="T557" s="411"/>
      <c r="U557" s="411"/>
      <c r="V557" s="411"/>
      <c r="W557" s="411"/>
      <c r="X557" s="411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30"/>
      <c r="Q558" s="421"/>
      <c r="R558" s="411"/>
      <c r="S558" s="421"/>
      <c r="T558" s="411"/>
      <c r="U558" s="411"/>
      <c r="V558" s="411"/>
      <c r="W558" s="411"/>
      <c r="X558" s="411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30"/>
      <c r="Q559" s="421"/>
      <c r="R559" s="411"/>
      <c r="S559" s="421"/>
      <c r="T559" s="411"/>
      <c r="U559" s="411"/>
      <c r="V559" s="411"/>
      <c r="W559" s="411"/>
      <c r="X559" s="411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30"/>
      <c r="Q560" s="421"/>
      <c r="R560" s="411"/>
      <c r="S560" s="421"/>
      <c r="T560" s="411"/>
      <c r="U560" s="411"/>
      <c r="V560" s="411"/>
      <c r="W560" s="411"/>
      <c r="X560" s="411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0"/>
      <c r="D561" s="420"/>
      <c r="E561" s="411"/>
      <c r="F561" s="411"/>
      <c r="G561" s="420"/>
      <c r="H561" s="411"/>
      <c r="I561" s="411"/>
      <c r="J561" s="411"/>
      <c r="K561" s="411"/>
      <c r="L561" s="411"/>
      <c r="M561" s="411"/>
      <c r="N561" s="411"/>
      <c r="O561" s="411"/>
      <c r="P561" s="432"/>
      <c r="Q561" s="423"/>
      <c r="R561" s="411"/>
      <c r="S561" s="423"/>
      <c r="T561" s="411"/>
      <c r="U561" s="411"/>
      <c r="V561" s="411"/>
      <c r="W561" s="411"/>
      <c r="X561" s="411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32"/>
      <c r="Q562" s="432"/>
      <c r="R562" s="411"/>
      <c r="S562" s="411"/>
      <c r="T562" s="411"/>
      <c r="U562" s="411"/>
      <c r="V562" s="411"/>
      <c r="W562" s="411"/>
      <c r="X562" s="411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30"/>
      <c r="Q563" s="421"/>
      <c r="R563" s="411"/>
      <c r="S563" s="421"/>
      <c r="T563" s="411"/>
      <c r="U563" s="411"/>
      <c r="V563" s="411"/>
      <c r="W563" s="411"/>
      <c r="X563" s="411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30"/>
      <c r="Q564" s="421"/>
      <c r="R564" s="411"/>
      <c r="S564" s="421"/>
      <c r="T564" s="411"/>
      <c r="U564" s="411"/>
      <c r="V564" s="411"/>
      <c r="W564" s="411"/>
      <c r="X564" s="411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0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32"/>
      <c r="Q565" s="423"/>
      <c r="R565" s="411"/>
      <c r="S565" s="423"/>
      <c r="T565" s="411"/>
      <c r="U565" s="411"/>
      <c r="V565" s="411"/>
      <c r="W565" s="411"/>
      <c r="X565" s="411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32"/>
      <c r="Q566" s="432"/>
      <c r="R566" s="411"/>
      <c r="S566" s="411"/>
      <c r="T566" s="411"/>
      <c r="U566" s="411"/>
      <c r="V566" s="411"/>
      <c r="W566" s="411"/>
      <c r="X566" s="411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30"/>
      <c r="Q567" s="421"/>
      <c r="R567" s="411"/>
      <c r="S567" s="421"/>
      <c r="T567" s="411"/>
      <c r="U567" s="411"/>
      <c r="V567" s="411"/>
      <c r="W567" s="411"/>
      <c r="X567" s="411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0"/>
      <c r="D568" s="420"/>
      <c r="E568" s="411"/>
      <c r="F568" s="411"/>
      <c r="G568" s="420"/>
      <c r="H568" s="411"/>
      <c r="I568" s="411"/>
      <c r="J568" s="411"/>
      <c r="K568" s="411"/>
      <c r="L568" s="411"/>
      <c r="M568" s="411"/>
      <c r="N568" s="411"/>
      <c r="O568" s="411"/>
      <c r="P568" s="432"/>
      <c r="Q568" s="423"/>
      <c r="R568" s="411"/>
      <c r="S568" s="423"/>
      <c r="T568" s="411"/>
      <c r="U568" s="411"/>
      <c r="V568" s="411"/>
      <c r="W568" s="411"/>
      <c r="X568" s="411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32"/>
      <c r="Q569" s="432"/>
      <c r="R569" s="411"/>
      <c r="S569" s="411"/>
      <c r="T569" s="411"/>
      <c r="U569" s="411"/>
      <c r="V569" s="411"/>
      <c r="W569" s="411"/>
      <c r="X569" s="411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1"/>
      <c r="D570" s="411"/>
      <c r="E570" s="421"/>
      <c r="F570" s="430"/>
      <c r="G570" s="411"/>
      <c r="H570" s="421"/>
      <c r="I570" s="430"/>
      <c r="J570" s="430"/>
      <c r="K570" s="421"/>
      <c r="L570" s="430"/>
      <c r="M570" s="421"/>
      <c r="N570" s="430"/>
      <c r="O570" s="421"/>
      <c r="P570" s="430"/>
      <c r="Q570" s="421"/>
      <c r="R570" s="421"/>
      <c r="S570" s="411"/>
      <c r="T570" s="411"/>
      <c r="U570" s="411"/>
      <c r="V570" s="411"/>
      <c r="W570" s="411"/>
      <c r="X570" s="411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0"/>
      <c r="D571" s="420"/>
      <c r="E571" s="423"/>
      <c r="F571" s="432"/>
      <c r="G571" s="420"/>
      <c r="H571" s="423"/>
      <c r="I571" s="432"/>
      <c r="J571" s="432"/>
      <c r="K571" s="423"/>
      <c r="L571" s="432"/>
      <c r="M571" s="423"/>
      <c r="N571" s="432"/>
      <c r="O571" s="423"/>
      <c r="P571" s="432"/>
      <c r="Q571" s="423"/>
      <c r="R571" s="423"/>
      <c r="S571" s="423"/>
      <c r="T571" s="411"/>
      <c r="U571" s="411"/>
      <c r="V571" s="411"/>
      <c r="W571" s="411"/>
      <c r="X571" s="411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1"/>
      <c r="D572" s="411"/>
      <c r="E572" s="421"/>
      <c r="F572" s="430"/>
      <c r="G572" s="411"/>
      <c r="H572" s="421"/>
      <c r="I572" s="430"/>
      <c r="J572" s="421"/>
      <c r="K572" s="430"/>
      <c r="L572" s="421"/>
      <c r="M572" s="411"/>
      <c r="N572" s="421"/>
      <c r="O572" s="430"/>
      <c r="P572" s="423"/>
      <c r="Q572" s="432"/>
      <c r="R572" s="432"/>
      <c r="S572" s="421"/>
      <c r="T572" s="411"/>
      <c r="U572" s="411"/>
      <c r="V572" s="411"/>
      <c r="W572" s="411"/>
      <c r="X572" s="411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1"/>
      <c r="D573" s="411"/>
      <c r="E573" s="421"/>
      <c r="F573" s="430"/>
      <c r="G573" s="411"/>
      <c r="H573" s="421"/>
      <c r="I573" s="430"/>
      <c r="J573" s="421"/>
      <c r="K573" s="430"/>
      <c r="L573" s="421"/>
      <c r="M573" s="411"/>
      <c r="N573" s="421"/>
      <c r="O573" s="430"/>
      <c r="P573" s="421"/>
      <c r="Q573" s="411"/>
      <c r="R573" s="430"/>
      <c r="S573" s="421"/>
      <c r="T573" s="411"/>
      <c r="U573" s="411"/>
      <c r="V573" s="411"/>
      <c r="W573" s="411"/>
      <c r="X573" s="411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30"/>
      <c r="S574" s="421"/>
      <c r="T574" s="411"/>
      <c r="U574" s="411"/>
      <c r="V574" s="411"/>
      <c r="W574" s="411"/>
      <c r="X574" s="411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1"/>
      <c r="D575" s="411"/>
      <c r="E575" s="421"/>
      <c r="F575" s="430"/>
      <c r="G575" s="411"/>
      <c r="H575" s="421"/>
      <c r="I575" s="430"/>
      <c r="J575" s="421"/>
      <c r="K575" s="430"/>
      <c r="L575" s="421"/>
      <c r="M575" s="411"/>
      <c r="N575" s="421"/>
      <c r="O575" s="430"/>
      <c r="P575" s="421"/>
      <c r="Q575" s="411"/>
      <c r="R575" s="430"/>
      <c r="S575" s="421"/>
      <c r="T575" s="411"/>
      <c r="U575" s="411"/>
      <c r="V575" s="411"/>
      <c r="W575" s="411"/>
      <c r="X575" s="411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1"/>
      <c r="D576" s="411"/>
      <c r="E576" s="421"/>
      <c r="F576" s="430"/>
      <c r="G576" s="411"/>
      <c r="H576" s="421"/>
      <c r="I576" s="430"/>
      <c r="J576" s="421"/>
      <c r="K576" s="430"/>
      <c r="L576" s="421"/>
      <c r="M576" s="411"/>
      <c r="N576" s="421"/>
      <c r="O576" s="430"/>
      <c r="P576" s="421"/>
      <c r="Q576" s="411"/>
      <c r="R576" s="430"/>
      <c r="S576" s="421"/>
      <c r="T576" s="411"/>
      <c r="U576" s="411"/>
      <c r="V576" s="411"/>
      <c r="W576" s="411"/>
      <c r="X576" s="411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1"/>
      <c r="D577" s="411"/>
      <c r="E577" s="421"/>
      <c r="F577" s="430"/>
      <c r="G577" s="411"/>
      <c r="H577" s="421"/>
      <c r="I577" s="430"/>
      <c r="J577" s="421"/>
      <c r="K577" s="430"/>
      <c r="L577" s="421"/>
      <c r="M577" s="411"/>
      <c r="N577" s="421"/>
      <c r="O577" s="430"/>
      <c r="P577" s="421"/>
      <c r="Q577" s="411"/>
      <c r="R577" s="430"/>
      <c r="S577" s="421"/>
      <c r="T577" s="411"/>
      <c r="U577" s="411"/>
      <c r="V577" s="411"/>
      <c r="W577" s="411"/>
      <c r="X577" s="411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1"/>
      <c r="D578" s="411"/>
      <c r="E578" s="421"/>
      <c r="F578" s="430"/>
      <c r="G578" s="411"/>
      <c r="H578" s="421"/>
      <c r="I578" s="430"/>
      <c r="J578" s="421"/>
      <c r="K578" s="430"/>
      <c r="L578" s="421"/>
      <c r="M578" s="411"/>
      <c r="N578" s="421"/>
      <c r="O578" s="430"/>
      <c r="P578" s="421"/>
      <c r="Q578" s="411"/>
      <c r="R578" s="430"/>
      <c r="S578" s="421"/>
      <c r="T578" s="411"/>
      <c r="U578" s="411"/>
      <c r="V578" s="411"/>
      <c r="W578" s="411"/>
      <c r="X578" s="411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1"/>
      <c r="D579" s="411"/>
      <c r="E579" s="421"/>
      <c r="F579" s="430"/>
      <c r="G579" s="411"/>
      <c r="H579" s="421"/>
      <c r="I579" s="430"/>
      <c r="J579" s="421"/>
      <c r="K579" s="430"/>
      <c r="L579" s="421"/>
      <c r="M579" s="411"/>
      <c r="N579" s="421"/>
      <c r="O579" s="430"/>
      <c r="P579" s="421"/>
      <c r="Q579" s="411"/>
      <c r="R579" s="430"/>
      <c r="S579" s="421"/>
      <c r="T579" s="411"/>
      <c r="U579" s="411"/>
      <c r="V579" s="411"/>
      <c r="W579" s="411"/>
      <c r="X579" s="411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1"/>
      <c r="D580" s="411"/>
      <c r="E580" s="421"/>
      <c r="F580" s="430"/>
      <c r="G580" s="411"/>
      <c r="H580" s="421"/>
      <c r="I580" s="430"/>
      <c r="J580" s="421"/>
      <c r="K580" s="430"/>
      <c r="L580" s="421"/>
      <c r="M580" s="411"/>
      <c r="N580" s="421"/>
      <c r="O580" s="430"/>
      <c r="P580" s="421"/>
      <c r="Q580" s="411"/>
      <c r="R580" s="430"/>
      <c r="S580" s="421"/>
      <c r="T580" s="411"/>
      <c r="U580" s="411"/>
      <c r="V580" s="411"/>
      <c r="W580" s="411"/>
      <c r="X580" s="411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1"/>
      <c r="D581" s="411"/>
      <c r="E581" s="421"/>
      <c r="F581" s="430"/>
      <c r="G581" s="411"/>
      <c r="H581" s="421"/>
      <c r="I581" s="430"/>
      <c r="J581" s="421"/>
      <c r="K581" s="430"/>
      <c r="L581" s="421"/>
      <c r="M581" s="411"/>
      <c r="N581" s="421"/>
      <c r="O581" s="430"/>
      <c r="P581" s="421"/>
      <c r="Q581" s="411"/>
      <c r="R581" s="430"/>
      <c r="S581" s="421"/>
      <c r="T581" s="411"/>
      <c r="U581" s="411"/>
      <c r="V581" s="411"/>
      <c r="W581" s="411"/>
      <c r="X581" s="411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1"/>
      <c r="O634" s="411"/>
      <c r="P634" s="411"/>
      <c r="Q634" s="411"/>
      <c r="R634" s="411"/>
      <c r="S634" s="411"/>
      <c r="T634" s="411"/>
      <c r="U634" s="411"/>
      <c r="V634" s="411"/>
      <c r="W634" s="411"/>
      <c r="X634" s="411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1"/>
      <c r="O635" s="411"/>
      <c r="P635" s="411"/>
      <c r="Q635" s="411"/>
      <c r="R635" s="411"/>
      <c r="S635" s="411"/>
      <c r="T635" s="411"/>
      <c r="U635" s="411"/>
      <c r="V635" s="411"/>
      <c r="W635" s="411"/>
      <c r="X635" s="411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1"/>
      <c r="O636" s="411"/>
      <c r="P636" s="411"/>
      <c r="Q636" s="411"/>
      <c r="R636" s="411"/>
      <c r="S636" s="411"/>
      <c r="T636" s="411"/>
      <c r="U636" s="411"/>
      <c r="V636" s="411"/>
      <c r="W636" s="411"/>
      <c r="X636" s="411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1"/>
      <c r="O637" s="411"/>
      <c r="P637" s="411"/>
      <c r="Q637" s="411"/>
      <c r="R637" s="411"/>
      <c r="S637" s="411"/>
      <c r="T637" s="411"/>
      <c r="U637" s="411"/>
      <c r="V637" s="411"/>
      <c r="W637" s="411"/>
      <c r="X637" s="411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1"/>
      <c r="O638" s="411"/>
      <c r="P638" s="411"/>
      <c r="Q638" s="411"/>
      <c r="R638" s="411"/>
      <c r="S638" s="411"/>
      <c r="T638" s="411"/>
      <c r="U638" s="411"/>
      <c r="V638" s="411"/>
      <c r="W638" s="411"/>
      <c r="X638" s="411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1"/>
      <c r="O639" s="411"/>
      <c r="P639" s="411"/>
      <c r="Q639" s="411"/>
      <c r="R639" s="411"/>
      <c r="S639" s="411"/>
      <c r="T639" s="411"/>
      <c r="U639" s="411"/>
      <c r="V639" s="411"/>
      <c r="W639" s="411"/>
      <c r="X639" s="411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1"/>
      <c r="O640" s="411"/>
      <c r="P640" s="411"/>
      <c r="Q640" s="411"/>
      <c r="R640" s="411"/>
      <c r="S640" s="411"/>
      <c r="T640" s="411"/>
      <c r="U640" s="411"/>
      <c r="V640" s="411"/>
      <c r="W640" s="411"/>
      <c r="X640" s="411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1"/>
      <c r="O641" s="411"/>
      <c r="P641" s="411"/>
      <c r="Q641" s="411"/>
      <c r="R641" s="411"/>
      <c r="S641" s="411"/>
      <c r="T641" s="411"/>
      <c r="U641" s="411"/>
      <c r="V641" s="411"/>
      <c r="W641" s="411"/>
      <c r="X641" s="411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1"/>
      <c r="O642" s="411"/>
      <c r="P642" s="411"/>
      <c r="Q642" s="411"/>
      <c r="R642" s="411"/>
      <c r="S642" s="411"/>
      <c r="T642" s="411"/>
      <c r="U642" s="411"/>
      <c r="V642" s="411"/>
      <c r="W642" s="411"/>
      <c r="X642" s="411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1"/>
      <c r="O643" s="411"/>
      <c r="P643" s="411"/>
      <c r="Q643" s="411"/>
      <c r="R643" s="411"/>
      <c r="S643" s="411"/>
      <c r="T643" s="411"/>
      <c r="U643" s="411"/>
      <c r="V643" s="411"/>
      <c r="W643" s="411"/>
      <c r="X643" s="411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1"/>
      <c r="O644" s="411"/>
      <c r="P644" s="411"/>
      <c r="Q644" s="411"/>
      <c r="R644" s="411"/>
      <c r="S644" s="411"/>
      <c r="T644" s="411"/>
      <c r="U644" s="411"/>
      <c r="V644" s="411"/>
      <c r="W644" s="411"/>
      <c r="X644" s="411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3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1"/>
      <c r="O645" s="128"/>
      <c r="P645" s="411"/>
      <c r="Q645" s="411"/>
      <c r="R645" s="411"/>
      <c r="S645" s="411"/>
      <c r="T645" s="411"/>
      <c r="U645" s="411"/>
      <c r="V645" s="411"/>
      <c r="W645" s="411"/>
      <c r="X645" s="411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7"/>
      <c r="O646" s="427"/>
      <c r="P646" s="427"/>
      <c r="Q646" s="434"/>
      <c r="R646" s="427"/>
      <c r="S646" s="427"/>
      <c r="T646" s="411"/>
      <c r="U646" s="411"/>
      <c r="V646" s="411"/>
      <c r="W646" s="411"/>
      <c r="X646" s="411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1"/>
      <c r="D647" s="424"/>
      <c r="E647" s="424"/>
      <c r="F647" s="128"/>
      <c r="G647" s="424"/>
      <c r="H647" s="424"/>
      <c r="I647" s="128"/>
      <c r="J647" s="428"/>
      <c r="K647" s="428"/>
      <c r="L647" s="435"/>
      <c r="M647" s="428"/>
      <c r="N647" s="428"/>
      <c r="O647" s="428"/>
      <c r="P647" s="428"/>
      <c r="Q647" s="425"/>
      <c r="R647" s="424"/>
      <c r="S647" s="128"/>
      <c r="T647" s="411"/>
      <c r="U647" s="411"/>
      <c r="V647" s="411"/>
      <c r="W647" s="411"/>
      <c r="X647" s="411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6"/>
      <c r="D648" s="411"/>
      <c r="E648" s="411"/>
      <c r="F648" s="427"/>
      <c r="G648" s="411"/>
      <c r="H648" s="411"/>
      <c r="I648" s="427"/>
      <c r="J648" s="427"/>
      <c r="K648" s="427"/>
      <c r="L648" s="411"/>
      <c r="M648" s="427"/>
      <c r="N648" s="427"/>
      <c r="O648" s="411"/>
      <c r="P648" s="427"/>
      <c r="Q648" s="427"/>
      <c r="R648" s="411"/>
      <c r="S648" s="427"/>
      <c r="T648" s="411"/>
      <c r="U648" s="411"/>
      <c r="V648" s="411"/>
      <c r="W648" s="411"/>
      <c r="X648" s="411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1"/>
      <c r="D649" s="411"/>
      <c r="E649" s="411"/>
      <c r="F649" s="421"/>
      <c r="G649" s="411"/>
      <c r="H649" s="411"/>
      <c r="I649" s="421"/>
      <c r="J649" s="421"/>
      <c r="K649" s="421"/>
      <c r="L649" s="421"/>
      <c r="M649" s="421"/>
      <c r="N649" s="421"/>
      <c r="O649" s="421"/>
      <c r="P649" s="421"/>
      <c r="Q649" s="421"/>
      <c r="R649" s="421"/>
      <c r="S649" s="421"/>
      <c r="T649" s="411"/>
      <c r="U649" s="411"/>
      <c r="V649" s="411"/>
      <c r="W649" s="411"/>
      <c r="X649" s="411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0"/>
      <c r="D650" s="420"/>
      <c r="E650" s="420"/>
      <c r="F650" s="423"/>
      <c r="G650" s="420"/>
      <c r="H650" s="420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11"/>
      <c r="U650" s="411"/>
      <c r="V650" s="411"/>
      <c r="W650" s="411"/>
      <c r="X650" s="411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1"/>
      <c r="D651" s="411"/>
      <c r="E651" s="411"/>
      <c r="F651" s="411"/>
      <c r="G651" s="411"/>
      <c r="H651" s="411"/>
      <c r="I651" s="411"/>
      <c r="J651" s="421"/>
      <c r="K651" s="421"/>
      <c r="L651" s="421"/>
      <c r="M651" s="421"/>
      <c r="N651" s="421"/>
      <c r="O651" s="421"/>
      <c r="P651" s="421"/>
      <c r="Q651" s="421"/>
      <c r="R651" s="421"/>
      <c r="S651" s="421"/>
      <c r="T651" s="411"/>
      <c r="U651" s="411"/>
      <c r="V651" s="411"/>
      <c r="W651" s="411"/>
      <c r="X651" s="411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1"/>
      <c r="D652" s="411"/>
      <c r="E652" s="411"/>
      <c r="F652" s="411"/>
      <c r="G652" s="411"/>
      <c r="H652" s="411"/>
      <c r="I652" s="411"/>
      <c r="J652" s="411"/>
      <c r="K652" s="421"/>
      <c r="L652" s="421"/>
      <c r="M652" s="411"/>
      <c r="N652" s="421"/>
      <c r="O652" s="421"/>
      <c r="P652" s="411"/>
      <c r="Q652" s="421"/>
      <c r="R652" s="421"/>
      <c r="S652" s="411"/>
      <c r="T652" s="411"/>
      <c r="U652" s="411"/>
      <c r="V652" s="411"/>
      <c r="W652" s="411"/>
      <c r="X652" s="411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1"/>
      <c r="D653" s="411"/>
      <c r="E653" s="411"/>
      <c r="F653" s="411"/>
      <c r="G653" s="411"/>
      <c r="H653" s="411"/>
      <c r="I653" s="411"/>
      <c r="J653" s="411"/>
      <c r="K653" s="421"/>
      <c r="L653" s="421"/>
      <c r="M653" s="411"/>
      <c r="N653" s="421"/>
      <c r="O653" s="421"/>
      <c r="P653" s="411"/>
      <c r="Q653" s="421"/>
      <c r="R653" s="421"/>
      <c r="S653" s="411"/>
      <c r="T653" s="411"/>
      <c r="U653" s="411"/>
      <c r="V653" s="411"/>
      <c r="W653" s="411"/>
      <c r="X653" s="411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1"/>
      <c r="D654" s="411"/>
      <c r="E654" s="411"/>
      <c r="F654" s="411"/>
      <c r="G654" s="411"/>
      <c r="H654" s="411"/>
      <c r="I654" s="411"/>
      <c r="J654" s="411"/>
      <c r="K654" s="421"/>
      <c r="L654" s="421"/>
      <c r="M654" s="411"/>
      <c r="N654" s="421"/>
      <c r="O654" s="421"/>
      <c r="P654" s="411"/>
      <c r="Q654" s="421"/>
      <c r="R654" s="421"/>
      <c r="S654" s="411"/>
      <c r="T654" s="411"/>
      <c r="U654" s="411"/>
      <c r="V654" s="411"/>
      <c r="W654" s="411"/>
      <c r="X654" s="411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1"/>
      <c r="D655" s="411"/>
      <c r="E655" s="411"/>
      <c r="F655" s="411"/>
      <c r="G655" s="411"/>
      <c r="H655" s="411"/>
      <c r="I655" s="411"/>
      <c r="J655" s="411"/>
      <c r="K655" s="421"/>
      <c r="L655" s="421"/>
      <c r="M655" s="411"/>
      <c r="N655" s="421"/>
      <c r="O655" s="421"/>
      <c r="P655" s="411"/>
      <c r="Q655" s="421"/>
      <c r="R655" s="421"/>
      <c r="S655" s="411"/>
      <c r="T655" s="411"/>
      <c r="U655" s="411"/>
      <c r="V655" s="411"/>
      <c r="W655" s="411"/>
      <c r="X655" s="411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1"/>
      <c r="D656" s="411"/>
      <c r="E656" s="411"/>
      <c r="F656" s="411"/>
      <c r="G656" s="411"/>
      <c r="H656" s="411"/>
      <c r="I656" s="411"/>
      <c r="J656" s="411"/>
      <c r="K656" s="421"/>
      <c r="L656" s="421"/>
      <c r="M656" s="411"/>
      <c r="N656" s="421"/>
      <c r="O656" s="421"/>
      <c r="P656" s="411"/>
      <c r="Q656" s="421"/>
      <c r="R656" s="421"/>
      <c r="S656" s="411"/>
      <c r="T656" s="411"/>
      <c r="U656" s="411"/>
      <c r="V656" s="411"/>
      <c r="W656" s="411"/>
      <c r="X656" s="411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1"/>
      <c r="D657" s="411"/>
      <c r="E657" s="411"/>
      <c r="F657" s="411"/>
      <c r="G657" s="411"/>
      <c r="H657" s="411"/>
      <c r="I657" s="411"/>
      <c r="J657" s="411"/>
      <c r="K657" s="421"/>
      <c r="L657" s="423"/>
      <c r="M657" s="411"/>
      <c r="N657" s="421"/>
      <c r="O657" s="421"/>
      <c r="P657" s="411"/>
      <c r="Q657" s="421"/>
      <c r="R657" s="423"/>
      <c r="S657" s="411"/>
      <c r="T657" s="411"/>
      <c r="U657" s="411"/>
      <c r="V657" s="411"/>
      <c r="W657" s="411"/>
      <c r="X657" s="411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1"/>
      <c r="D658" s="411"/>
      <c r="E658" s="411"/>
      <c r="F658" s="411"/>
      <c r="G658" s="411"/>
      <c r="H658" s="411"/>
      <c r="I658" s="411"/>
      <c r="J658" s="411"/>
      <c r="K658" s="421"/>
      <c r="L658" s="421"/>
      <c r="M658" s="411"/>
      <c r="N658" s="421"/>
      <c r="O658" s="421"/>
      <c r="P658" s="411"/>
      <c r="Q658" s="421"/>
      <c r="R658" s="421"/>
      <c r="S658" s="411"/>
      <c r="T658" s="411"/>
      <c r="U658" s="411"/>
      <c r="V658" s="411"/>
      <c r="W658" s="411"/>
      <c r="X658" s="411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23"/>
      <c r="O659" s="423"/>
      <c r="P659" s="411"/>
      <c r="Q659" s="423"/>
      <c r="R659" s="411"/>
      <c r="S659" s="411"/>
      <c r="T659" s="411"/>
      <c r="U659" s="411"/>
      <c r="V659" s="411"/>
      <c r="W659" s="411"/>
      <c r="X659" s="411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1"/>
      <c r="D660" s="411"/>
      <c r="E660" s="411"/>
      <c r="F660" s="411"/>
      <c r="G660" s="411"/>
      <c r="H660" s="411"/>
      <c r="I660" s="411"/>
      <c r="J660" s="411"/>
      <c r="K660" s="423"/>
      <c r="L660" s="423"/>
      <c r="M660" s="411"/>
      <c r="N660" s="421"/>
      <c r="O660" s="421"/>
      <c r="P660" s="411"/>
      <c r="Q660" s="421"/>
      <c r="R660" s="423"/>
      <c r="S660" s="411"/>
      <c r="T660" s="411"/>
      <c r="U660" s="411"/>
      <c r="V660" s="411"/>
      <c r="W660" s="411"/>
      <c r="X660" s="411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1"/>
      <c r="D661" s="411"/>
      <c r="E661" s="411"/>
      <c r="F661" s="411"/>
      <c r="G661" s="411"/>
      <c r="H661" s="411"/>
      <c r="I661" s="411"/>
      <c r="J661" s="411"/>
      <c r="K661" s="421"/>
      <c r="L661" s="421"/>
      <c r="M661" s="411"/>
      <c r="N661" s="421"/>
      <c r="O661" s="421"/>
      <c r="P661" s="411"/>
      <c r="Q661" s="421"/>
      <c r="R661" s="421"/>
      <c r="S661" s="411"/>
      <c r="T661" s="411"/>
      <c r="U661" s="411"/>
      <c r="V661" s="411"/>
      <c r="W661" s="411"/>
      <c r="X661" s="411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1"/>
      <c r="D662" s="411"/>
      <c r="E662" s="411"/>
      <c r="F662" s="411"/>
      <c r="G662" s="411"/>
      <c r="H662" s="411"/>
      <c r="I662" s="411"/>
      <c r="J662" s="411"/>
      <c r="K662" s="421"/>
      <c r="L662" s="421"/>
      <c r="M662" s="411"/>
      <c r="N662" s="421"/>
      <c r="O662" s="421"/>
      <c r="P662" s="411"/>
      <c r="Q662" s="421"/>
      <c r="R662" s="421"/>
      <c r="S662" s="411"/>
      <c r="T662" s="411"/>
      <c r="U662" s="411"/>
      <c r="V662" s="411"/>
      <c r="W662" s="411"/>
      <c r="X662" s="411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1"/>
      <c r="D663" s="411"/>
      <c r="E663" s="411"/>
      <c r="F663" s="411"/>
      <c r="G663" s="411"/>
      <c r="H663" s="411"/>
      <c r="I663" s="411"/>
      <c r="J663" s="411"/>
      <c r="K663" s="421"/>
      <c r="L663" s="421"/>
      <c r="M663" s="411"/>
      <c r="N663" s="421"/>
      <c r="O663" s="421"/>
      <c r="P663" s="411"/>
      <c r="Q663" s="421"/>
      <c r="R663" s="421"/>
      <c r="S663" s="411"/>
      <c r="T663" s="411"/>
      <c r="U663" s="411"/>
      <c r="V663" s="411"/>
      <c r="W663" s="411"/>
      <c r="X663" s="411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1"/>
      <c r="D664" s="411"/>
      <c r="E664" s="411"/>
      <c r="F664" s="411"/>
      <c r="G664" s="411"/>
      <c r="H664" s="411"/>
      <c r="I664" s="411"/>
      <c r="J664" s="411"/>
      <c r="K664" s="421"/>
      <c r="L664" s="421"/>
      <c r="M664" s="411"/>
      <c r="N664" s="421"/>
      <c r="O664" s="421"/>
      <c r="P664" s="411"/>
      <c r="Q664" s="421"/>
      <c r="R664" s="421"/>
      <c r="S664" s="411"/>
      <c r="T664" s="411"/>
      <c r="U664" s="411"/>
      <c r="V664" s="411"/>
      <c r="W664" s="411"/>
      <c r="X664" s="411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1"/>
      <c r="D665" s="411"/>
      <c r="E665" s="411"/>
      <c r="F665" s="411"/>
      <c r="G665" s="411"/>
      <c r="H665" s="411"/>
      <c r="I665" s="411"/>
      <c r="J665" s="411"/>
      <c r="K665" s="421"/>
      <c r="L665" s="421"/>
      <c r="M665" s="411"/>
      <c r="N665" s="421"/>
      <c r="O665" s="421"/>
      <c r="P665" s="411"/>
      <c r="Q665" s="421"/>
      <c r="R665" s="421"/>
      <c r="S665" s="411"/>
      <c r="T665" s="411"/>
      <c r="U665" s="411"/>
      <c r="V665" s="411"/>
      <c r="W665" s="411"/>
      <c r="X665" s="411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1"/>
      <c r="D666" s="411"/>
      <c r="E666" s="411"/>
      <c r="F666" s="411"/>
      <c r="G666" s="411"/>
      <c r="H666" s="411"/>
      <c r="I666" s="411"/>
      <c r="J666" s="411"/>
      <c r="K666" s="421"/>
      <c r="L666" s="421"/>
      <c r="M666" s="411"/>
      <c r="N666" s="421"/>
      <c r="O666" s="421"/>
      <c r="P666" s="411"/>
      <c r="Q666" s="421"/>
      <c r="R666" s="421"/>
      <c r="S666" s="411"/>
      <c r="T666" s="411"/>
      <c r="U666" s="411"/>
      <c r="V666" s="411"/>
      <c r="W666" s="411"/>
      <c r="X666" s="411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1"/>
      <c r="D667" s="411"/>
      <c r="E667" s="411"/>
      <c r="F667" s="411"/>
      <c r="G667" s="411"/>
      <c r="H667" s="411"/>
      <c r="I667" s="411"/>
      <c r="J667" s="411"/>
      <c r="K667" s="421"/>
      <c r="L667" s="421"/>
      <c r="M667" s="411"/>
      <c r="N667" s="421"/>
      <c r="O667" s="421"/>
      <c r="P667" s="411"/>
      <c r="Q667" s="421"/>
      <c r="R667" s="421"/>
      <c r="S667" s="411"/>
      <c r="T667" s="411"/>
      <c r="U667" s="411"/>
      <c r="V667" s="411"/>
      <c r="W667" s="411"/>
      <c r="X667" s="411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1"/>
      <c r="D668" s="411"/>
      <c r="E668" s="411"/>
      <c r="F668" s="411"/>
      <c r="G668" s="411"/>
      <c r="H668" s="411"/>
      <c r="I668" s="411"/>
      <c r="J668" s="411"/>
      <c r="K668" s="421"/>
      <c r="L668" s="421"/>
      <c r="M668" s="411"/>
      <c r="N668" s="421"/>
      <c r="O668" s="421"/>
      <c r="P668" s="411"/>
      <c r="Q668" s="421"/>
      <c r="R668" s="421"/>
      <c r="S668" s="411"/>
      <c r="T668" s="411"/>
      <c r="U668" s="411"/>
      <c r="V668" s="411"/>
      <c r="W668" s="411"/>
      <c r="X668" s="411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1"/>
      <c r="D669" s="411"/>
      <c r="E669" s="411"/>
      <c r="F669" s="411"/>
      <c r="G669" s="411"/>
      <c r="H669" s="411"/>
      <c r="I669" s="411"/>
      <c r="J669" s="411"/>
      <c r="K669" s="421"/>
      <c r="L669" s="421"/>
      <c r="M669" s="411"/>
      <c r="N669" s="423"/>
      <c r="O669" s="423"/>
      <c r="P669" s="411"/>
      <c r="Q669" s="423"/>
      <c r="R669" s="421"/>
      <c r="S669" s="411"/>
      <c r="T669" s="411"/>
      <c r="U669" s="411"/>
      <c r="V669" s="411"/>
      <c r="W669" s="411"/>
      <c r="X669" s="411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1"/>
      <c r="D670" s="411"/>
      <c r="E670" s="411"/>
      <c r="F670" s="411"/>
      <c r="G670" s="411"/>
      <c r="H670" s="411"/>
      <c r="I670" s="411"/>
      <c r="J670" s="411"/>
      <c r="K670" s="423"/>
      <c r="L670" s="423"/>
      <c r="M670" s="411"/>
      <c r="N670" s="421"/>
      <c r="O670" s="421"/>
      <c r="P670" s="411"/>
      <c r="Q670" s="421"/>
      <c r="R670" s="423"/>
      <c r="S670" s="411"/>
      <c r="T670" s="411"/>
      <c r="U670" s="411"/>
      <c r="V670" s="411"/>
      <c r="W670" s="411"/>
      <c r="X670" s="411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1"/>
      <c r="D671" s="411"/>
      <c r="E671" s="411"/>
      <c r="F671" s="411"/>
      <c r="G671" s="411"/>
      <c r="H671" s="411"/>
      <c r="I671" s="411"/>
      <c r="J671" s="411"/>
      <c r="K671" s="421"/>
      <c r="L671" s="421"/>
      <c r="M671" s="411"/>
      <c r="N671" s="421"/>
      <c r="O671" s="421"/>
      <c r="P671" s="411"/>
      <c r="Q671" s="421"/>
      <c r="R671" s="421"/>
      <c r="S671" s="411"/>
      <c r="T671" s="411"/>
      <c r="U671" s="411"/>
      <c r="V671" s="411"/>
      <c r="W671" s="411"/>
      <c r="X671" s="411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1"/>
      <c r="D672" s="411"/>
      <c r="E672" s="411"/>
      <c r="F672" s="411"/>
      <c r="G672" s="411"/>
      <c r="H672" s="411"/>
      <c r="I672" s="411"/>
      <c r="J672" s="411"/>
      <c r="K672" s="421"/>
      <c r="L672" s="421"/>
      <c r="M672" s="411"/>
      <c r="N672" s="421"/>
      <c r="O672" s="421"/>
      <c r="P672" s="411"/>
      <c r="Q672" s="421"/>
      <c r="R672" s="421"/>
      <c r="S672" s="411"/>
      <c r="T672" s="411"/>
      <c r="U672" s="411"/>
      <c r="V672" s="411"/>
      <c r="W672" s="411"/>
      <c r="X672" s="411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1"/>
      <c r="D673" s="411"/>
      <c r="E673" s="411"/>
      <c r="F673" s="411"/>
      <c r="G673" s="411"/>
      <c r="H673" s="411"/>
      <c r="I673" s="411"/>
      <c r="J673" s="411"/>
      <c r="K673" s="421"/>
      <c r="L673" s="421"/>
      <c r="M673" s="411"/>
      <c r="N673" s="421"/>
      <c r="O673" s="421"/>
      <c r="P673" s="411"/>
      <c r="Q673" s="421"/>
      <c r="R673" s="421"/>
      <c r="S673" s="411"/>
      <c r="T673" s="411"/>
      <c r="U673" s="411"/>
      <c r="V673" s="411"/>
      <c r="W673" s="411"/>
      <c r="X673" s="411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1"/>
      <c r="D674" s="411"/>
      <c r="E674" s="411"/>
      <c r="F674" s="411"/>
      <c r="G674" s="411"/>
      <c r="H674" s="411"/>
      <c r="I674" s="411"/>
      <c r="J674" s="411"/>
      <c r="K674" s="421"/>
      <c r="L674" s="421"/>
      <c r="M674" s="411"/>
      <c r="N674" s="421"/>
      <c r="O674" s="421"/>
      <c r="P674" s="411"/>
      <c r="Q674" s="421"/>
      <c r="R674" s="421"/>
      <c r="S674" s="411"/>
      <c r="T674" s="411"/>
      <c r="U674" s="411"/>
      <c r="V674" s="411"/>
      <c r="W674" s="411"/>
      <c r="X674" s="411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1"/>
      <c r="D675" s="411"/>
      <c r="E675" s="411"/>
      <c r="F675" s="411"/>
      <c r="G675" s="411"/>
      <c r="H675" s="411"/>
      <c r="I675" s="411"/>
      <c r="J675" s="411"/>
      <c r="K675" s="421"/>
      <c r="L675" s="421"/>
      <c r="M675" s="411"/>
      <c r="N675" s="421"/>
      <c r="O675" s="421"/>
      <c r="P675" s="411"/>
      <c r="Q675" s="421"/>
      <c r="R675" s="421"/>
      <c r="S675" s="411"/>
      <c r="T675" s="411"/>
      <c r="U675" s="411"/>
      <c r="V675" s="411"/>
      <c r="W675" s="411"/>
      <c r="X675" s="411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1"/>
      <c r="D676" s="411"/>
      <c r="E676" s="411"/>
      <c r="F676" s="411"/>
      <c r="G676" s="411"/>
      <c r="H676" s="411"/>
      <c r="I676" s="411"/>
      <c r="J676" s="411"/>
      <c r="K676" s="421"/>
      <c r="L676" s="421"/>
      <c r="M676" s="411"/>
      <c r="N676" s="421"/>
      <c r="O676" s="421"/>
      <c r="P676" s="411"/>
      <c r="Q676" s="421"/>
      <c r="R676" s="421"/>
      <c r="S676" s="411"/>
      <c r="T676" s="411"/>
      <c r="U676" s="411"/>
      <c r="V676" s="411"/>
      <c r="W676" s="411"/>
      <c r="X676" s="411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1"/>
      <c r="D677" s="411"/>
      <c r="E677" s="411"/>
      <c r="F677" s="411"/>
      <c r="G677" s="411"/>
      <c r="H677" s="411"/>
      <c r="I677" s="411"/>
      <c r="J677" s="411"/>
      <c r="K677" s="421"/>
      <c r="L677" s="421"/>
      <c r="M677" s="411"/>
      <c r="N677" s="421"/>
      <c r="O677" s="421"/>
      <c r="P677" s="411"/>
      <c r="Q677" s="421"/>
      <c r="R677" s="421"/>
      <c r="S677" s="411"/>
      <c r="T677" s="411"/>
      <c r="U677" s="411"/>
      <c r="V677" s="411"/>
      <c r="W677" s="411"/>
      <c r="X677" s="411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1"/>
      <c r="D678" s="411"/>
      <c r="E678" s="411"/>
      <c r="F678" s="411"/>
      <c r="G678" s="411"/>
      <c r="H678" s="411"/>
      <c r="I678" s="411"/>
      <c r="J678" s="411"/>
      <c r="K678" s="421"/>
      <c r="L678" s="421"/>
      <c r="M678" s="411"/>
      <c r="N678" s="421"/>
      <c r="O678" s="421"/>
      <c r="P678" s="411"/>
      <c r="Q678" s="421"/>
      <c r="R678" s="421"/>
      <c r="S678" s="411"/>
      <c r="T678" s="411"/>
      <c r="U678" s="411"/>
      <c r="V678" s="411"/>
      <c r="W678" s="411"/>
      <c r="X678" s="411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1"/>
      <c r="D679" s="411"/>
      <c r="E679" s="411"/>
      <c r="F679" s="411"/>
      <c r="G679" s="411"/>
      <c r="H679" s="411"/>
      <c r="I679" s="411"/>
      <c r="J679" s="411"/>
      <c r="K679" s="421"/>
      <c r="L679" s="421"/>
      <c r="M679" s="411"/>
      <c r="N679" s="421"/>
      <c r="O679" s="421"/>
      <c r="P679" s="411"/>
      <c r="Q679" s="421"/>
      <c r="R679" s="421"/>
      <c r="S679" s="411"/>
      <c r="T679" s="411"/>
      <c r="U679" s="411"/>
      <c r="V679" s="411"/>
      <c r="W679" s="411"/>
      <c r="X679" s="411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1"/>
      <c r="D680" s="411"/>
      <c r="E680" s="411"/>
      <c r="F680" s="411"/>
      <c r="G680" s="411"/>
      <c r="H680" s="411"/>
      <c r="I680" s="411"/>
      <c r="J680" s="411"/>
      <c r="K680" s="421"/>
      <c r="L680" s="421"/>
      <c r="M680" s="411"/>
      <c r="N680" s="421"/>
      <c r="O680" s="421"/>
      <c r="P680" s="411"/>
      <c r="Q680" s="421"/>
      <c r="R680" s="421"/>
      <c r="S680" s="411"/>
      <c r="T680" s="411"/>
      <c r="U680" s="411"/>
      <c r="V680" s="411"/>
      <c r="W680" s="411"/>
      <c r="X680" s="411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1"/>
      <c r="D681" s="411"/>
      <c r="E681" s="411"/>
      <c r="F681" s="411"/>
      <c r="G681" s="411"/>
      <c r="H681" s="411"/>
      <c r="I681" s="411"/>
      <c r="J681" s="411"/>
      <c r="K681" s="421"/>
      <c r="L681" s="421"/>
      <c r="M681" s="411"/>
      <c r="N681" s="421"/>
      <c r="O681" s="421"/>
      <c r="P681" s="411"/>
      <c r="Q681" s="421"/>
      <c r="R681" s="421"/>
      <c r="S681" s="411"/>
      <c r="T681" s="411"/>
      <c r="U681" s="411"/>
      <c r="V681" s="411"/>
      <c r="W681" s="411"/>
      <c r="X681" s="411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1"/>
      <c r="D682" s="411"/>
      <c r="E682" s="411"/>
      <c r="F682" s="411"/>
      <c r="G682" s="411"/>
      <c r="H682" s="411"/>
      <c r="I682" s="411"/>
      <c r="J682" s="411"/>
      <c r="K682" s="421"/>
      <c r="L682" s="421"/>
      <c r="M682" s="411"/>
      <c r="N682" s="421"/>
      <c r="O682" s="421"/>
      <c r="P682" s="411"/>
      <c r="Q682" s="421"/>
      <c r="R682" s="421"/>
      <c r="S682" s="411"/>
      <c r="T682" s="411"/>
      <c r="U682" s="411"/>
      <c r="V682" s="411"/>
      <c r="W682" s="411"/>
      <c r="X682" s="411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1"/>
      <c r="D683" s="411"/>
      <c r="E683" s="411"/>
      <c r="F683" s="411"/>
      <c r="G683" s="411"/>
      <c r="H683" s="411"/>
      <c r="I683" s="411"/>
      <c r="J683" s="411"/>
      <c r="K683" s="421"/>
      <c r="L683" s="421"/>
      <c r="M683" s="411"/>
      <c r="N683" s="421"/>
      <c r="O683" s="421"/>
      <c r="P683" s="411"/>
      <c r="Q683" s="421"/>
      <c r="R683" s="421"/>
      <c r="S683" s="411"/>
      <c r="T683" s="411"/>
      <c r="U683" s="411"/>
      <c r="V683" s="411"/>
      <c r="W683" s="411"/>
      <c r="X683" s="411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1"/>
      <c r="D684" s="411"/>
      <c r="E684" s="411"/>
      <c r="F684" s="411"/>
      <c r="G684" s="411"/>
      <c r="H684" s="411"/>
      <c r="I684" s="411"/>
      <c r="J684" s="411"/>
      <c r="K684" s="421"/>
      <c r="L684" s="421"/>
      <c r="M684" s="411"/>
      <c r="N684" s="411"/>
      <c r="O684" s="411"/>
      <c r="P684" s="411"/>
      <c r="Q684" s="411"/>
      <c r="R684" s="421"/>
      <c r="S684" s="411"/>
      <c r="T684" s="411"/>
      <c r="U684" s="411"/>
      <c r="V684" s="411"/>
      <c r="W684" s="411"/>
      <c r="X684" s="411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1"/>
      <c r="D685" s="411"/>
      <c r="E685" s="411"/>
      <c r="F685" s="411"/>
      <c r="G685" s="411"/>
      <c r="H685" s="411"/>
      <c r="I685" s="411"/>
      <c r="J685" s="411"/>
      <c r="K685" s="421"/>
      <c r="L685" s="421"/>
      <c r="M685" s="411"/>
      <c r="N685" s="423"/>
      <c r="O685" s="423"/>
      <c r="P685" s="411"/>
      <c r="Q685" s="423"/>
      <c r="R685" s="421"/>
      <c r="S685" s="411"/>
      <c r="T685" s="411"/>
      <c r="U685" s="411"/>
      <c r="V685" s="411"/>
      <c r="W685" s="411"/>
      <c r="X685" s="411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21"/>
      <c r="O686" s="421"/>
      <c r="P686" s="411"/>
      <c r="Q686" s="421"/>
      <c r="R686" s="411"/>
      <c r="S686" s="411"/>
      <c r="T686" s="411"/>
      <c r="U686" s="411"/>
      <c r="V686" s="411"/>
      <c r="W686" s="411"/>
      <c r="X686" s="411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1"/>
      <c r="D687" s="411"/>
      <c r="E687" s="411"/>
      <c r="F687" s="411"/>
      <c r="G687" s="411"/>
      <c r="H687" s="411"/>
      <c r="I687" s="411"/>
      <c r="J687" s="411"/>
      <c r="K687" s="423"/>
      <c r="L687" s="423"/>
      <c r="M687" s="411"/>
      <c r="N687" s="421"/>
      <c r="O687" s="421"/>
      <c r="P687" s="411"/>
      <c r="Q687" s="421"/>
      <c r="R687" s="423"/>
      <c r="S687" s="411"/>
      <c r="T687" s="411"/>
      <c r="U687" s="411"/>
      <c r="V687" s="411"/>
      <c r="W687" s="411"/>
      <c r="X687" s="411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1"/>
      <c r="D688" s="411"/>
      <c r="E688" s="411"/>
      <c r="F688" s="411"/>
      <c r="G688" s="411"/>
      <c r="H688" s="411"/>
      <c r="I688" s="411"/>
      <c r="J688" s="411"/>
      <c r="K688" s="421"/>
      <c r="L688" s="421"/>
      <c r="M688" s="411"/>
      <c r="N688" s="421"/>
      <c r="O688" s="421"/>
      <c r="P688" s="411"/>
      <c r="Q688" s="421"/>
      <c r="R688" s="421"/>
      <c r="S688" s="411"/>
      <c r="T688" s="411"/>
      <c r="U688" s="411"/>
      <c r="V688" s="411"/>
      <c r="W688" s="411"/>
      <c r="X688" s="411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1"/>
      <c r="D689" s="411"/>
      <c r="E689" s="411"/>
      <c r="F689" s="411"/>
      <c r="G689" s="411"/>
      <c r="H689" s="411"/>
      <c r="I689" s="411"/>
      <c r="J689" s="411"/>
      <c r="K689" s="421"/>
      <c r="L689" s="421"/>
      <c r="M689" s="411"/>
      <c r="N689" s="421"/>
      <c r="O689" s="421"/>
      <c r="P689" s="411"/>
      <c r="Q689" s="421"/>
      <c r="R689" s="421"/>
      <c r="S689" s="411"/>
      <c r="T689" s="411"/>
      <c r="U689" s="411"/>
      <c r="V689" s="411"/>
      <c r="W689" s="411"/>
      <c r="X689" s="411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1"/>
      <c r="D690" s="411"/>
      <c r="E690" s="411"/>
      <c r="F690" s="411"/>
      <c r="G690" s="411"/>
      <c r="H690" s="411"/>
      <c r="I690" s="411"/>
      <c r="J690" s="411"/>
      <c r="K690" s="421"/>
      <c r="L690" s="421"/>
      <c r="M690" s="411"/>
      <c r="N690" s="421"/>
      <c r="O690" s="421"/>
      <c r="P690" s="411"/>
      <c r="Q690" s="421"/>
      <c r="R690" s="421"/>
      <c r="S690" s="411"/>
      <c r="T690" s="411"/>
      <c r="U690" s="411"/>
      <c r="V690" s="411"/>
      <c r="W690" s="411"/>
      <c r="X690" s="411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1"/>
      <c r="D691" s="411"/>
      <c r="E691" s="411"/>
      <c r="F691" s="411"/>
      <c r="G691" s="411"/>
      <c r="H691" s="411"/>
      <c r="I691" s="411"/>
      <c r="J691" s="411"/>
      <c r="K691" s="421"/>
      <c r="L691" s="421"/>
      <c r="M691" s="411"/>
      <c r="N691" s="421"/>
      <c r="O691" s="421"/>
      <c r="P691" s="411"/>
      <c r="Q691" s="421"/>
      <c r="R691" s="421"/>
      <c r="S691" s="411"/>
      <c r="T691" s="411"/>
      <c r="U691" s="411"/>
      <c r="V691" s="411"/>
      <c r="W691" s="411"/>
      <c r="X691" s="411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1"/>
      <c r="D692" s="411"/>
      <c r="E692" s="411"/>
      <c r="F692" s="411"/>
      <c r="G692" s="411"/>
      <c r="H692" s="411"/>
      <c r="I692" s="411"/>
      <c r="J692" s="411"/>
      <c r="K692" s="421"/>
      <c r="L692" s="421"/>
      <c r="M692" s="411"/>
      <c r="N692" s="421"/>
      <c r="O692" s="421"/>
      <c r="P692" s="411"/>
      <c r="Q692" s="421"/>
      <c r="R692" s="421"/>
      <c r="S692" s="411"/>
      <c r="T692" s="411"/>
      <c r="U692" s="411"/>
      <c r="V692" s="411"/>
      <c r="W692" s="411"/>
      <c r="X692" s="411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1"/>
      <c r="D693" s="411"/>
      <c r="E693" s="411"/>
      <c r="F693" s="411"/>
      <c r="G693" s="411"/>
      <c r="H693" s="411"/>
      <c r="I693" s="411"/>
      <c r="J693" s="411"/>
      <c r="K693" s="421"/>
      <c r="L693" s="421"/>
      <c r="M693" s="411"/>
      <c r="N693" s="421"/>
      <c r="O693" s="421"/>
      <c r="P693" s="411"/>
      <c r="Q693" s="421"/>
      <c r="R693" s="421"/>
      <c r="S693" s="411"/>
      <c r="T693" s="411"/>
      <c r="U693" s="411"/>
      <c r="V693" s="411"/>
      <c r="W693" s="411"/>
      <c r="X693" s="411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1"/>
      <c r="D694" s="411"/>
      <c r="E694" s="411"/>
      <c r="F694" s="411"/>
      <c r="G694" s="411"/>
      <c r="H694" s="411"/>
      <c r="I694" s="411"/>
      <c r="J694" s="411"/>
      <c r="K694" s="421"/>
      <c r="L694" s="423"/>
      <c r="M694" s="411"/>
      <c r="N694" s="421"/>
      <c r="O694" s="421"/>
      <c r="P694" s="411"/>
      <c r="Q694" s="421"/>
      <c r="R694" s="423"/>
      <c r="S694" s="411"/>
      <c r="T694" s="411"/>
      <c r="U694" s="411"/>
      <c r="V694" s="411"/>
      <c r="W694" s="411"/>
      <c r="X694" s="411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1"/>
      <c r="D695" s="411"/>
      <c r="E695" s="411"/>
      <c r="F695" s="411"/>
      <c r="G695" s="411"/>
      <c r="H695" s="411"/>
      <c r="I695" s="411"/>
      <c r="J695" s="411"/>
      <c r="K695" s="421"/>
      <c r="L695" s="421"/>
      <c r="M695" s="411"/>
      <c r="N695" s="421"/>
      <c r="O695" s="421"/>
      <c r="P695" s="411"/>
      <c r="Q695" s="421"/>
      <c r="R695" s="421"/>
      <c r="S695" s="411"/>
      <c r="T695" s="411"/>
      <c r="U695" s="411"/>
      <c r="V695" s="411"/>
      <c r="W695" s="411"/>
      <c r="X695" s="411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1"/>
      <c r="D696" s="411"/>
      <c r="E696" s="411"/>
      <c r="F696" s="411"/>
      <c r="G696" s="411"/>
      <c r="H696" s="411"/>
      <c r="I696" s="411"/>
      <c r="J696" s="411"/>
      <c r="K696" s="421"/>
      <c r="L696" s="421"/>
      <c r="M696" s="411"/>
      <c r="N696" s="421"/>
      <c r="O696" s="421"/>
      <c r="P696" s="411"/>
      <c r="Q696" s="421"/>
      <c r="R696" s="421"/>
      <c r="S696" s="411"/>
      <c r="T696" s="411"/>
      <c r="U696" s="411"/>
      <c r="V696" s="411"/>
      <c r="W696" s="411"/>
      <c r="X696" s="411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1"/>
      <c r="D697" s="411"/>
      <c r="E697" s="411"/>
      <c r="F697" s="411"/>
      <c r="G697" s="411"/>
      <c r="H697" s="411"/>
      <c r="I697" s="411"/>
      <c r="J697" s="411"/>
      <c r="K697" s="421"/>
      <c r="L697" s="421"/>
      <c r="M697" s="411"/>
      <c r="N697" s="423"/>
      <c r="O697" s="423"/>
      <c r="P697" s="411"/>
      <c r="Q697" s="423"/>
      <c r="R697" s="421"/>
      <c r="S697" s="411"/>
      <c r="T697" s="411"/>
      <c r="U697" s="411"/>
      <c r="V697" s="411"/>
      <c r="W697" s="411"/>
      <c r="X697" s="411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23" type="noConversion"/>
  <conditionalFormatting sqref="F5 H318:H347 J318:K347 O318:P347">
    <cfRule type="expression" dxfId="285" priority="255" stopIfTrue="1">
      <formula>"esterreur(reference)"</formula>
    </cfRule>
  </conditionalFormatting>
  <conditionalFormatting sqref="F171">
    <cfRule type="expression" dxfId="284" priority="15" stopIfTrue="1">
      <formula>"esterreur(reference)"</formula>
    </cfRule>
  </conditionalFormatting>
  <conditionalFormatting sqref="F184">
    <cfRule type="expression" dxfId="283" priority="12" stopIfTrue="1">
      <formula>"esterreur(reference)"</formula>
    </cfRule>
  </conditionalFormatting>
  <conditionalFormatting sqref="F232">
    <cfRule type="expression" dxfId="282" priority="13" stopIfTrue="1">
      <formula>"esterreur(reference)"</formula>
    </cfRule>
  </conditionalFormatting>
  <conditionalFormatting sqref="G112:G113">
    <cfRule type="expression" dxfId="281" priority="75" stopIfTrue="1">
      <formula>"esterreur(reference)"</formula>
    </cfRule>
  </conditionalFormatting>
  <conditionalFormatting sqref="H136:H152">
    <cfRule type="expression" dxfId="280" priority="113" stopIfTrue="1">
      <formula>"esterreur(reference)"</formula>
    </cfRule>
  </conditionalFormatting>
  <conditionalFormatting sqref="H359">
    <cfRule type="expression" dxfId="279" priority="407" stopIfTrue="1">
      <formula>"esterreur(reference)"</formula>
    </cfRule>
  </conditionalFormatting>
  <conditionalFormatting sqref="H395:L398">
    <cfRule type="expression" dxfId="278" priority="404" stopIfTrue="1">
      <formula>"esterreur(reference)"</formula>
    </cfRule>
  </conditionalFormatting>
  <conditionalFormatting sqref="I5">
    <cfRule type="expression" dxfId="277" priority="74" stopIfTrue="1">
      <formula>"esterreur(reference)"</formula>
    </cfRule>
  </conditionalFormatting>
  <conditionalFormatting sqref="I184">
    <cfRule type="expression" dxfId="276" priority="71" stopIfTrue="1">
      <formula>"esterreur(reference)"</formula>
    </cfRule>
  </conditionalFormatting>
  <conditionalFormatting sqref="I376:L376 H377:H394">
    <cfRule type="expression" dxfId="275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4" priority="390" stopIfTrue="1">
      <formula>"esterreur(reference)"</formula>
    </cfRule>
  </conditionalFormatting>
  <conditionalFormatting sqref="J49:L72">
    <cfRule type="expression" dxfId="273" priority="118" stopIfTrue="1">
      <formula>"esterreur(reference)"</formula>
    </cfRule>
  </conditionalFormatting>
  <conditionalFormatting sqref="J102:L104">
    <cfRule type="expression" dxfId="272" priority="363" stopIfTrue="1">
      <formula>"esterreur(reference)"</formula>
    </cfRule>
  </conditionalFormatting>
  <conditionalFormatting sqref="J112:L121">
    <cfRule type="expression" dxfId="271" priority="335" stopIfTrue="1">
      <formula>"esterreur(reference)"</formula>
    </cfRule>
  </conditionalFormatting>
  <conditionalFormatting sqref="J123:L134">
    <cfRule type="expression" dxfId="270" priority="263" stopIfTrue="1">
      <formula>"esterreur(reference)"</formula>
    </cfRule>
  </conditionalFormatting>
  <conditionalFormatting sqref="J136:L152">
    <cfRule type="expression" dxfId="269" priority="112" stopIfTrue="1">
      <formula>"esterreur(reference)"</formula>
    </cfRule>
  </conditionalFormatting>
  <conditionalFormatting sqref="J295:L303">
    <cfRule type="expression" dxfId="268" priority="85" stopIfTrue="1">
      <formula>"esterreur(reference)"</formula>
    </cfRule>
  </conditionalFormatting>
  <conditionalFormatting sqref="J307:L308">
    <cfRule type="expression" dxfId="267" priority="279" stopIfTrue="1">
      <formula>"esterreur(reference)"</formula>
    </cfRule>
  </conditionalFormatting>
  <conditionalFormatting sqref="J359:L359">
    <cfRule type="expression" dxfId="266" priority="268" stopIfTrue="1">
      <formula>"esterreur(reference)"</formula>
    </cfRule>
  </conditionalFormatting>
  <conditionalFormatting sqref="J364:L375">
    <cfRule type="expression" dxfId="265" priority="275" stopIfTrue="1">
      <formula>"esterreur(reference)"</formula>
    </cfRule>
  </conditionalFormatting>
  <conditionalFormatting sqref="J377:L393">
    <cfRule type="expression" dxfId="264" priority="274" stopIfTrue="1">
      <formula>"esterreur(reference)"</formula>
    </cfRule>
  </conditionalFormatting>
  <conditionalFormatting sqref="J311:M312">
    <cfRule type="expression" dxfId="263" priority="36" stopIfTrue="1">
      <formula>"esterreur(reference)"</formula>
    </cfRule>
  </conditionalFormatting>
  <conditionalFormatting sqref="K5">
    <cfRule type="expression" dxfId="262" priority="284" stopIfTrue="1">
      <formula>"esterreur(reference)"</formula>
    </cfRule>
  </conditionalFormatting>
  <conditionalFormatting sqref="K394">
    <cfRule type="expression" dxfId="261" priority="408" stopIfTrue="1">
      <formula>"esterreur(reference)"</formula>
    </cfRule>
  </conditionalFormatting>
  <conditionalFormatting sqref="K93:L93">
    <cfRule type="expression" dxfId="260" priority="105" stopIfTrue="1">
      <formula>"esterreur(reference)"</formula>
    </cfRule>
  </conditionalFormatting>
  <conditionalFormatting sqref="K239:L241">
    <cfRule type="expression" dxfId="259" priority="86" stopIfTrue="1">
      <formula>"esterreur(reference)"</formula>
    </cfRule>
  </conditionalFormatting>
  <conditionalFormatting sqref="K244:L244">
    <cfRule type="expression" dxfId="258" priority="281" stopIfTrue="1">
      <formula>"esterreur(reference)"</formula>
    </cfRule>
  </conditionalFormatting>
  <conditionalFormatting sqref="K247:L247">
    <cfRule type="expression" dxfId="257" priority="280" stopIfTrue="1">
      <formula>"esterreur(reference)"</formula>
    </cfRule>
  </conditionalFormatting>
  <conditionalFormatting sqref="K99:M100">
    <cfRule type="expression" dxfId="256" priority="21" stopIfTrue="1">
      <formula>"esterreur(reference)"</formula>
    </cfRule>
  </conditionalFormatting>
  <conditionalFormatting sqref="L5:L14">
    <cfRule type="expression" dxfId="255" priority="73" stopIfTrue="1">
      <formula>"esterreur(reference)"</formula>
    </cfRule>
  </conditionalFormatting>
  <conditionalFormatting sqref="L16:L24">
    <cfRule type="expression" dxfId="254" priority="387" stopIfTrue="1">
      <formula>"esterreur(reference)"</formula>
    </cfRule>
  </conditionalFormatting>
  <conditionalFormatting sqref="L42:L48">
    <cfRule type="expression" dxfId="253" priority="383" stopIfTrue="1">
      <formula>"esterreur(reference)"</formula>
    </cfRule>
  </conditionalFormatting>
  <conditionalFormatting sqref="L75:L82">
    <cfRule type="expression" dxfId="252" priority="258" stopIfTrue="1">
      <formula>"esterreur(reference)"</formula>
    </cfRule>
  </conditionalFormatting>
  <conditionalFormatting sqref="L156:L162">
    <cfRule type="expression" dxfId="251" priority="109" stopIfTrue="1">
      <formula>"esterreur(reference)"</formula>
    </cfRule>
  </conditionalFormatting>
  <conditionalFormatting sqref="L184">
    <cfRule type="expression" dxfId="250" priority="70" stopIfTrue="1">
      <formula>"esterreur(reference)"</formula>
    </cfRule>
  </conditionalFormatting>
  <conditionalFormatting sqref="L254:L265">
    <cfRule type="expression" dxfId="249" priority="305" stopIfTrue="1">
      <formula>"esterreur(reference)"</formula>
    </cfRule>
  </conditionalFormatting>
  <conditionalFormatting sqref="L267:L285">
    <cfRule type="expression" dxfId="248" priority="260" stopIfTrue="1">
      <formula>"esterreur(reference)"</formula>
    </cfRule>
  </conditionalFormatting>
  <conditionalFormatting sqref="L318:L328">
    <cfRule type="expression" dxfId="247" priority="286" stopIfTrue="1">
      <formula>"esterreur(reference)"</formula>
    </cfRule>
  </conditionalFormatting>
  <conditionalFormatting sqref="L330:L347">
    <cfRule type="expression" dxfId="246" priority="259" stopIfTrue="1">
      <formula>"esterreur(reference)"</formula>
    </cfRule>
  </conditionalFormatting>
  <conditionalFormatting sqref="L355:L356 H356:I356 K356 J356:J357 H358:L358">
    <cfRule type="expression" dxfId="245" priority="403" stopIfTrue="1">
      <formula>"esterreur(reference)"</formula>
    </cfRule>
  </conditionalFormatting>
  <conditionalFormatting sqref="M13">
    <cfRule type="expression" dxfId="244" priority="24" stopIfTrue="1">
      <formula>"esterreur(reference)"</formula>
    </cfRule>
  </conditionalFormatting>
  <conditionalFormatting sqref="M95:M96">
    <cfRule type="expression" dxfId="243" priority="391" stopIfTrue="1">
      <formula>"esterreur(reference)"</formula>
    </cfRule>
  </conditionalFormatting>
  <conditionalFormatting sqref="M24:N24">
    <cfRule type="expression" dxfId="242" priority="23" stopIfTrue="1">
      <formula>"esterreur(reference)"</formula>
    </cfRule>
  </conditionalFormatting>
  <conditionalFormatting sqref="M27:N27">
    <cfRule type="expression" dxfId="241" priority="22" stopIfTrue="1">
      <formula>"esterreur(reference)"</formula>
    </cfRule>
  </conditionalFormatting>
  <conditionalFormatting sqref="N54">
    <cfRule type="expression" dxfId="240" priority="28" stopIfTrue="1">
      <formula>"esterreur(reference)"</formula>
    </cfRule>
  </conditionalFormatting>
  <conditionalFormatting sqref="N72">
    <cfRule type="expression" dxfId="239" priority="27" stopIfTrue="1">
      <formula>"esterreur(reference)"</formula>
    </cfRule>
  </conditionalFormatting>
  <conditionalFormatting sqref="N83">
    <cfRule type="expression" dxfId="238" priority="26" stopIfTrue="1">
      <formula>"esterreur(reference)"</formula>
    </cfRule>
  </conditionalFormatting>
  <conditionalFormatting sqref="N85">
    <cfRule type="expression" dxfId="237" priority="25" stopIfTrue="1">
      <formula>"esterreur(reference)"</formula>
    </cfRule>
  </conditionalFormatting>
  <conditionalFormatting sqref="N105">
    <cfRule type="expression" dxfId="236" priority="20" stopIfTrue="1">
      <formula>"esterreur(reference)"</formula>
    </cfRule>
  </conditionalFormatting>
  <conditionalFormatting sqref="N108">
    <cfRule type="expression" dxfId="235" priority="19" stopIfTrue="1">
      <formula>"esterreur(reference)"</formula>
    </cfRule>
  </conditionalFormatting>
  <conditionalFormatting sqref="N122">
    <cfRule type="expression" dxfId="234" priority="18" stopIfTrue="1">
      <formula>"esterreur(reference)"</formula>
    </cfRule>
  </conditionalFormatting>
  <conditionalFormatting sqref="N135">
    <cfRule type="expression" dxfId="233" priority="17" stopIfTrue="1">
      <formula>"esterreur(reference)"</formula>
    </cfRule>
  </conditionalFormatting>
  <conditionalFormatting sqref="N153">
    <cfRule type="expression" dxfId="232" priority="16" stopIfTrue="1">
      <formula>"esterreur(reference)"</formula>
    </cfRule>
  </conditionalFormatting>
  <conditionalFormatting sqref="N304">
    <cfRule type="expression" dxfId="231" priority="8" stopIfTrue="1">
      <formula>"esterreur(reference)"</formula>
    </cfRule>
  </conditionalFormatting>
  <conditionalFormatting sqref="N309">
    <cfRule type="expression" dxfId="230" priority="7" stopIfTrue="1">
      <formula>"esterreur(reference)"</formula>
    </cfRule>
  </conditionalFormatting>
  <conditionalFormatting sqref="N361">
    <cfRule type="expression" dxfId="229" priority="3" stopIfTrue="1">
      <formula>"esterreur(reference)"</formula>
    </cfRule>
  </conditionalFormatting>
  <conditionalFormatting sqref="N376">
    <cfRule type="expression" dxfId="228" priority="2" stopIfTrue="1">
      <formula>"esterreur(reference)"</formula>
    </cfRule>
  </conditionalFormatting>
  <conditionalFormatting sqref="N232:Q232">
    <cfRule type="expression" dxfId="227" priority="11" stopIfTrue="1">
      <formula>"esterreur(reference)"</formula>
    </cfRule>
  </conditionalFormatting>
  <conditionalFormatting sqref="N348:Q348">
    <cfRule type="expression" dxfId="226" priority="5" stopIfTrue="1">
      <formula>"esterreur(reference)"</formula>
    </cfRule>
  </conditionalFormatting>
  <conditionalFormatting sqref="N351:Q351">
    <cfRule type="expression" dxfId="225" priority="4" stopIfTrue="1">
      <formula>"esterreur(reference)"</formula>
    </cfRule>
  </conditionalFormatting>
  <conditionalFormatting sqref="N395:Q398">
    <cfRule type="expression" dxfId="224" priority="1" stopIfTrue="1">
      <formula>"esterreur(reference)"</formula>
    </cfRule>
  </conditionalFormatting>
  <conditionalFormatting sqref="O13:O14 O16 O18:O24 O83:Q85">
    <cfRule type="expression" dxfId="223" priority="250" stopIfTrue="1">
      <formula>"esterreur(reference)"</formula>
    </cfRule>
  </conditionalFormatting>
  <conditionalFormatting sqref="O229:P229 O233:P233">
    <cfRule type="expression" dxfId="222" priority="181" stopIfTrue="1">
      <formula>"esterreur(reference)"</formula>
    </cfRule>
  </conditionalFormatting>
  <conditionalFormatting sqref="O25:Q72">
    <cfRule type="expression" dxfId="221" priority="119" stopIfTrue="1">
      <formula>"esterreur(reference)"</formula>
    </cfRule>
  </conditionalFormatting>
  <conditionalFormatting sqref="O101:Q153">
    <cfRule type="expression" dxfId="220" priority="31" stopIfTrue="1">
      <formula>"esterreur(reference)"</formula>
    </cfRule>
  </conditionalFormatting>
  <conditionalFormatting sqref="O243:Q243 O252:Q253 O254:P283 O284:O285 O289:P289">
    <cfRule type="expression" dxfId="219" priority="66" stopIfTrue="1">
      <formula>"esterreur(reference)"</formula>
    </cfRule>
  </conditionalFormatting>
  <conditionalFormatting sqref="O288:Q288">
    <cfRule type="expression" dxfId="218" priority="10" stopIfTrue="1">
      <formula>"esterreur(reference)"</formula>
    </cfRule>
  </conditionalFormatting>
  <conditionalFormatting sqref="O295:Q310">
    <cfRule type="expression" dxfId="217" priority="132" stopIfTrue="1">
      <formula>"esterreur(reference)"</formula>
    </cfRule>
  </conditionalFormatting>
  <conditionalFormatting sqref="O313:Q317 O352:P352">
    <cfRule type="expression" dxfId="216" priority="146" stopIfTrue="1">
      <formula>"esterreur(reference)"</formula>
    </cfRule>
  </conditionalFormatting>
  <conditionalFormatting sqref="O358:Q393">
    <cfRule type="expression" dxfId="215" priority="120" stopIfTrue="1">
      <formula>"esterreur(reference)"</formula>
    </cfRule>
  </conditionalFormatting>
  <conditionalFormatting sqref="O311:R312">
    <cfRule type="expression" dxfId="214" priority="33" stopIfTrue="1">
      <formula>"esterreur(reference)"</formula>
    </cfRule>
  </conditionalFormatting>
  <conditionalFormatting sqref="P5">
    <cfRule type="expression" dxfId="213" priority="227" stopIfTrue="1">
      <formula>"esterreur(reference)"</formula>
    </cfRule>
  </conditionalFormatting>
  <conditionalFormatting sqref="P97 O98:Q98 O156:P157 O164:Q164 O165:P165">
    <cfRule type="expression" dxfId="212" priority="218" stopIfTrue="1">
      <formula>"esterreur(reference)"</formula>
    </cfRule>
  </conditionalFormatting>
  <conditionalFormatting sqref="P394">
    <cfRule type="expression" dxfId="211" priority="129" stopIfTrue="1">
      <formula>"esterreur(reference)"</formula>
    </cfRule>
  </conditionalFormatting>
  <conditionalFormatting sqref="P93:Q93">
    <cfRule type="expression" dxfId="210" priority="104" stopIfTrue="1">
      <formula>"esterreur(reference)"</formula>
    </cfRule>
  </conditionalFormatting>
  <conditionalFormatting sqref="P99:Q100">
    <cfRule type="expression" dxfId="209" priority="106" stopIfTrue="1">
      <formula>"esterreur(reference)"</formula>
    </cfRule>
  </conditionalFormatting>
  <conditionalFormatting sqref="P241:Q241">
    <cfRule type="expression" dxfId="208" priority="41" stopIfTrue="1">
      <formula>"esterreur(reference)"</formula>
    </cfRule>
  </conditionalFormatting>
  <conditionalFormatting sqref="P244:Q244">
    <cfRule type="expression" dxfId="207" priority="45" stopIfTrue="1">
      <formula>"esterreur(reference)"</formula>
    </cfRule>
  </conditionalFormatting>
  <conditionalFormatting sqref="P247:Q247">
    <cfRule type="expression" dxfId="206" priority="44" stopIfTrue="1">
      <formula>"esterreur(reference)"</formula>
    </cfRule>
  </conditionalFormatting>
  <conditionalFormatting sqref="Q5:Q14">
    <cfRule type="expression" dxfId="205" priority="72" stopIfTrue="1">
      <formula>"esterreur(reference)"</formula>
    </cfRule>
  </conditionalFormatting>
  <conditionalFormatting sqref="Q16:Q24">
    <cfRule type="expression" dxfId="204" priority="247" stopIfTrue="1">
      <formula>"esterreur(reference)"</formula>
    </cfRule>
  </conditionalFormatting>
  <conditionalFormatting sqref="Q75:Q82">
    <cfRule type="expression" dxfId="203" priority="229" stopIfTrue="1">
      <formula>"esterreur(reference)"</formula>
    </cfRule>
  </conditionalFormatting>
  <conditionalFormatting sqref="Q156:Q162">
    <cfRule type="expression" dxfId="202" priority="189" stopIfTrue="1">
      <formula>"esterreur(reference)"</formula>
    </cfRule>
  </conditionalFormatting>
  <conditionalFormatting sqref="Q184">
    <cfRule type="expression" dxfId="201" priority="69" stopIfTrue="1">
      <formula>"esterreur(reference)"</formula>
    </cfRule>
  </conditionalFormatting>
  <conditionalFormatting sqref="Q254:Q265">
    <cfRule type="expression" dxfId="200" priority="53" stopIfTrue="1">
      <formula>"esterreur(reference)"</formula>
    </cfRule>
  </conditionalFormatting>
  <conditionalFormatting sqref="Q267:Q285">
    <cfRule type="expression" dxfId="199" priority="43" stopIfTrue="1">
      <formula>"esterreur(reference)"</formula>
    </cfRule>
  </conditionalFormatting>
  <conditionalFormatting sqref="Q318:Q328">
    <cfRule type="expression" dxfId="198" priority="134" stopIfTrue="1">
      <formula>"esterreur(reference)"</formula>
    </cfRule>
  </conditionalFormatting>
  <conditionalFormatting sqref="Q330:Q347">
    <cfRule type="expression" dxfId="197" priority="130" stopIfTrue="1">
      <formula>"esterreur(reference)"</formula>
    </cfRule>
  </conditionalFormatting>
  <conditionalFormatting sqref="S186">
    <cfRule type="expression" dxfId="196" priority="267" stopIfTrue="1">
      <formula>"esterreur(reference)"</formula>
    </cfRule>
  </conditionalFormatting>
  <conditionalFormatting sqref="AG408:AG417 AI408:AI417">
    <cfRule type="cellIs" dxfId="195" priority="108" operator="greaterThan">
      <formula>0</formula>
    </cfRule>
  </conditionalFormatting>
  <conditionalFormatting sqref="AI419:AI450 AG431 AI452:AI459 AI465:AI467 AI490:AI495 AH496:AI496">
    <cfRule type="cellIs" dxfId="194" priority="399" operator="greaterThan">
      <formula>0</formula>
    </cfRule>
  </conditionalFormatting>
  <conditionalFormatting sqref="AI468:AI479">
    <cfRule type="cellIs" dxfId="193" priority="400" operator="lessThan">
      <formula>0</formula>
    </cfRule>
  </conditionalFormatting>
  <conditionalFormatting sqref="AO408:AO417">
    <cfRule type="cellIs" dxfId="192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ColWidth="11.25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38E1-F749-47E7-84B1-6E4469BB9882}">
  <sheetPr>
    <tabColor rgb="FFFFC000"/>
  </sheetPr>
  <dimension ref="A1:BJ693"/>
  <sheetViews>
    <sheetView topLeftCell="U458" zoomScale="80" zoomScaleNormal="80" workbookViewId="0">
      <selection activeCell="Y499" sqref="Y499"/>
    </sheetView>
  </sheetViews>
  <sheetFormatPr baseColWidth="10" defaultColWidth="12.625" defaultRowHeight="15" customHeight="1"/>
  <cols>
    <col min="1" max="1" width="10.375" style="494" hidden="1" customWidth="1"/>
    <col min="2" max="2" width="21.875" style="494" hidden="1" customWidth="1"/>
    <col min="3" max="3" width="31.25" style="494" customWidth="1"/>
    <col min="4" max="4" width="16.5" style="494" customWidth="1"/>
    <col min="5" max="5" width="14.625" style="494" customWidth="1"/>
    <col min="6" max="6" width="14" style="494" customWidth="1"/>
    <col min="7" max="7" width="17.75" style="494" hidden="1" customWidth="1"/>
    <col min="8" max="8" width="15.125" style="494" hidden="1" customWidth="1"/>
    <col min="9" max="9" width="14" style="494" hidden="1" customWidth="1"/>
    <col min="10" max="10" width="15.625" style="494" customWidth="1"/>
    <col min="11" max="11" width="15.5" style="494" customWidth="1"/>
    <col min="12" max="12" width="14.875" style="494" customWidth="1"/>
    <col min="13" max="14" width="16.25" style="494" customWidth="1"/>
    <col min="15" max="15" width="15.5" style="494" customWidth="1"/>
    <col min="16" max="16" width="14.625" style="494" customWidth="1"/>
    <col min="17" max="17" width="14.875" style="494" bestFit="1" customWidth="1"/>
    <col min="18" max="18" width="14.75" style="494" customWidth="1"/>
    <col min="19" max="19" width="19" style="494" customWidth="1"/>
    <col min="20" max="20" width="4.625" style="494" customWidth="1"/>
    <col min="21" max="21" width="31.75" style="494" customWidth="1"/>
    <col min="22" max="22" width="34" style="494" customWidth="1"/>
    <col min="23" max="23" width="12.25" style="494" customWidth="1"/>
    <col min="24" max="24" width="13.75" style="494" customWidth="1"/>
    <col min="25" max="25" width="15.125" style="494" customWidth="1"/>
    <col min="26" max="26" width="15" style="494" customWidth="1"/>
    <col min="27" max="27" width="11.125" style="494" hidden="1" customWidth="1"/>
    <col min="28" max="28" width="9.375" style="494" hidden="1" customWidth="1"/>
    <col min="29" max="29" width="14.5" style="494" hidden="1" customWidth="1"/>
    <col min="30" max="30" width="13.5" style="494" customWidth="1"/>
    <col min="31" max="31" width="14.25" style="494" customWidth="1"/>
    <col min="32" max="32" width="14.1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75" style="494" customWidth="1"/>
    <col min="37" max="37" width="11.375" style="494" customWidth="1"/>
    <col min="38" max="38" width="12.75" style="494" customWidth="1"/>
    <col min="39" max="39" width="9" style="494" customWidth="1"/>
    <col min="40" max="40" width="11.5" style="494" bestFit="1" customWidth="1"/>
    <col min="41" max="41" width="14.75" style="494" customWidth="1"/>
    <col min="42" max="42" width="11" style="494" customWidth="1"/>
    <col min="43" max="43" width="48.375" style="494" customWidth="1"/>
    <col min="44" max="62" width="11" style="494" customWidth="1"/>
    <col min="63" max="16384" width="12.625" style="494"/>
  </cols>
  <sheetData>
    <row r="1" spans="1:40" ht="36" thickBot="1">
      <c r="B1" s="495"/>
      <c r="C1" s="496" t="s">
        <v>478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484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471</v>
      </c>
      <c r="W2" s="508"/>
    </row>
    <row r="3" spans="1:40" ht="21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220</v>
      </c>
      <c r="N3" s="513"/>
      <c r="O3" s="511" t="s">
        <v>8</v>
      </c>
      <c r="P3" s="512"/>
      <c r="Q3" s="513"/>
      <c r="R3" s="514" t="s">
        <v>221</v>
      </c>
      <c r="S3" s="513"/>
      <c r="T3" s="509"/>
      <c r="U3" s="509"/>
      <c r="V3" s="515" t="s">
        <v>472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25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473</v>
      </c>
      <c r="K4" s="519" t="s">
        <v>13</v>
      </c>
      <c r="L4" s="520" t="s">
        <v>12</v>
      </c>
      <c r="M4" s="521" t="s">
        <v>473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473</v>
      </c>
      <c r="S4" s="520" t="s">
        <v>12</v>
      </c>
      <c r="T4" s="509"/>
      <c r="U4" s="509"/>
      <c r="V4" s="515" t="s">
        <v>474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25">
      <c r="A5" s="522" t="s">
        <v>228</v>
      </c>
      <c r="B5" s="509" t="s">
        <v>0</v>
      </c>
      <c r="C5" s="523" t="s">
        <v>15</v>
      </c>
      <c r="D5" s="524"/>
      <c r="E5" s="524"/>
      <c r="F5" s="525">
        <v>3781098.1621498531</v>
      </c>
      <c r="G5" s="524"/>
      <c r="H5" s="524"/>
      <c r="I5" s="526"/>
      <c r="J5" s="523"/>
      <c r="K5" s="527"/>
      <c r="L5" s="525">
        <v>2861489.7600000002</v>
      </c>
      <c r="M5" s="528"/>
      <c r="N5" s="529"/>
      <c r="O5" s="523"/>
      <c r="P5" s="527"/>
      <c r="Q5" s="525">
        <v>2470113.9900000002</v>
      </c>
      <c r="R5" s="528"/>
      <c r="S5" s="529"/>
      <c r="T5" s="509"/>
      <c r="U5" s="509"/>
      <c r="V5" s="515" t="s">
        <v>222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25">
      <c r="A6" s="522" t="s">
        <v>229</v>
      </c>
      <c r="B6" s="509" t="s">
        <v>0</v>
      </c>
      <c r="C6" s="530" t="s">
        <v>16</v>
      </c>
      <c r="D6" s="531">
        <v>19</v>
      </c>
      <c r="E6" s="531">
        <v>1953.6491683802797</v>
      </c>
      <c r="F6" s="531">
        <v>37119.334199225312</v>
      </c>
      <c r="G6" s="532"/>
      <c r="H6" s="531"/>
      <c r="I6" s="531"/>
      <c r="J6" s="532">
        <v>11</v>
      </c>
      <c r="K6" s="531">
        <v>1392.1181818181808</v>
      </c>
      <c r="L6" s="533">
        <v>15313.299999999988</v>
      </c>
      <c r="M6" s="532">
        <v>-8</v>
      </c>
      <c r="N6" s="533">
        <v>-21806.034199225323</v>
      </c>
      <c r="O6" s="532">
        <v>12</v>
      </c>
      <c r="P6" s="531">
        <v>1802.2583333333332</v>
      </c>
      <c r="Q6" s="533">
        <v>21627.1</v>
      </c>
      <c r="R6" s="532">
        <v>-1</v>
      </c>
      <c r="S6" s="533">
        <v>-6313.8000000000102</v>
      </c>
      <c r="T6" s="509"/>
      <c r="U6" s="509"/>
      <c r="V6" s="515" t="s">
        <v>475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25">
      <c r="A7" s="522" t="s">
        <v>230</v>
      </c>
      <c r="B7" s="509" t="s">
        <v>0</v>
      </c>
      <c r="C7" s="530" t="s">
        <v>17</v>
      </c>
      <c r="D7" s="531">
        <v>50</v>
      </c>
      <c r="E7" s="531">
        <v>2435.9046775963693</v>
      </c>
      <c r="F7" s="531">
        <v>121795.23387981846</v>
      </c>
      <c r="G7" s="532"/>
      <c r="H7" s="531"/>
      <c r="I7" s="531"/>
      <c r="J7" s="532">
        <v>37</v>
      </c>
      <c r="K7" s="531">
        <v>2420.7516216216172</v>
      </c>
      <c r="L7" s="533">
        <v>89567.809999999838</v>
      </c>
      <c r="M7" s="532">
        <v>-13</v>
      </c>
      <c r="N7" s="533">
        <v>-32227.423879818627</v>
      </c>
      <c r="O7" s="532">
        <v>32</v>
      </c>
      <c r="P7" s="531">
        <v>1508.5387500000063</v>
      </c>
      <c r="Q7" s="533">
        <v>48273.240000000202</v>
      </c>
      <c r="R7" s="532">
        <v>5</v>
      </c>
      <c r="S7" s="533">
        <v>41294.569999999636</v>
      </c>
      <c r="T7" s="509"/>
      <c r="U7" s="509"/>
      <c r="V7" s="515" t="s">
        <v>476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522" t="s">
        <v>231</v>
      </c>
      <c r="B8" s="509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09"/>
      <c r="U8" s="509"/>
      <c r="V8" s="534"/>
      <c r="W8" s="535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522" t="s">
        <v>232</v>
      </c>
      <c r="B9" s="509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522" t="s">
        <v>233</v>
      </c>
      <c r="B10" s="509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522" t="s">
        <v>233</v>
      </c>
      <c r="B11" s="509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522" t="s">
        <v>233</v>
      </c>
      <c r="B12" s="509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0.25">
      <c r="A13" s="522" t="s">
        <v>234</v>
      </c>
      <c r="B13" s="509" t="s">
        <v>0</v>
      </c>
      <c r="C13" s="536" t="s">
        <v>21</v>
      </c>
      <c r="D13" s="537">
        <v>69</v>
      </c>
      <c r="E13" s="537">
        <v>2303.109682304982</v>
      </c>
      <c r="F13" s="538">
        <v>158914.56807904376</v>
      </c>
      <c r="G13" s="539"/>
      <c r="H13" s="537"/>
      <c r="I13" s="538"/>
      <c r="J13" s="539">
        <v>48</v>
      </c>
      <c r="K13" s="537">
        <v>2185.0231249999965</v>
      </c>
      <c r="L13" s="538">
        <v>104881.10999999983</v>
      </c>
      <c r="M13" s="539">
        <v>-21</v>
      </c>
      <c r="N13" s="538">
        <v>-54033.45807904395</v>
      </c>
      <c r="O13" s="539">
        <v>44</v>
      </c>
      <c r="P13" s="537">
        <v>1588.6440909090954</v>
      </c>
      <c r="Q13" s="538">
        <v>69900.3400000002</v>
      </c>
      <c r="R13" s="539">
        <v>4</v>
      </c>
      <c r="S13" s="538">
        <v>34980.769999999626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25">
      <c r="A14" s="522" t="s">
        <v>0</v>
      </c>
      <c r="B14" s="509" t="s">
        <v>0</v>
      </c>
      <c r="C14" s="530"/>
      <c r="D14" s="509"/>
      <c r="E14" s="531"/>
      <c r="F14" s="540"/>
      <c r="G14" s="530"/>
      <c r="H14" s="531"/>
      <c r="I14" s="540"/>
      <c r="J14" s="530"/>
      <c r="K14" s="531"/>
      <c r="L14" s="540"/>
      <c r="M14" s="541">
        <v>-0.30434782608695654</v>
      </c>
      <c r="N14" s="542">
        <v>-0.34001576275982343</v>
      </c>
      <c r="O14" s="530"/>
      <c r="P14" s="531"/>
      <c r="Q14" s="540"/>
      <c r="R14" s="541">
        <v>9.0909090909090912E-2</v>
      </c>
      <c r="S14" s="542">
        <v>0.5004377661110021</v>
      </c>
      <c r="T14" s="509"/>
      <c r="U14" s="509"/>
      <c r="V14" s="509"/>
      <c r="W14" s="531"/>
      <c r="X14" s="531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0.25">
      <c r="A15" s="522" t="s">
        <v>235</v>
      </c>
      <c r="B15" s="509" t="s">
        <v>0</v>
      </c>
      <c r="C15" s="543" t="s">
        <v>22</v>
      </c>
      <c r="D15" s="527">
        <v>3</v>
      </c>
      <c r="E15" s="527">
        <v>1534.7521433415677</v>
      </c>
      <c r="F15" s="525">
        <v>4604.2564300247031</v>
      </c>
      <c r="G15" s="544"/>
      <c r="H15" s="527"/>
      <c r="I15" s="525"/>
      <c r="J15" s="545">
        <v>3</v>
      </c>
      <c r="K15" s="546">
        <v>1277.7866666666621</v>
      </c>
      <c r="L15" s="546">
        <v>3833.359999999986</v>
      </c>
      <c r="M15" s="544">
        <v>0</v>
      </c>
      <c r="N15" s="525">
        <v>-770.89643002471712</v>
      </c>
      <c r="O15" s="545">
        <v>6</v>
      </c>
      <c r="P15" s="546">
        <v>1038.88333333333</v>
      </c>
      <c r="Q15" s="546">
        <v>6233.2999999999802</v>
      </c>
      <c r="R15" s="544">
        <v>-3</v>
      </c>
      <c r="S15" s="525">
        <v>-2399.9399999999941</v>
      </c>
      <c r="T15" s="509"/>
      <c r="U15" s="522"/>
      <c r="V15" s="531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0.25">
      <c r="A16" s="522" t="s">
        <v>0</v>
      </c>
      <c r="B16" s="509" t="s">
        <v>0</v>
      </c>
      <c r="C16" s="530"/>
      <c r="D16" s="509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0.25">
      <c r="A17" s="522" t="s">
        <v>236</v>
      </c>
      <c r="B17" s="509" t="s">
        <v>0</v>
      </c>
      <c r="C17" s="549" t="s">
        <v>23</v>
      </c>
      <c r="D17" s="531">
        <v>2</v>
      </c>
      <c r="E17" s="531">
        <v>2393.8521192147828</v>
      </c>
      <c r="F17" s="531">
        <v>4787.7042384295655</v>
      </c>
      <c r="G17" s="532"/>
      <c r="H17" s="531"/>
      <c r="I17" s="531"/>
      <c r="J17" s="544">
        <v>3</v>
      </c>
      <c r="K17" s="531">
        <v>2106.1833333333293</v>
      </c>
      <c r="L17" s="533">
        <v>6318.5499999999884</v>
      </c>
      <c r="M17" s="544">
        <v>1</v>
      </c>
      <c r="N17" s="533">
        <v>1530.8457615704228</v>
      </c>
      <c r="O17" s="544">
        <v>2</v>
      </c>
      <c r="P17" s="531">
        <v>383.47999999999553</v>
      </c>
      <c r="Q17" s="533">
        <v>766.95999999999106</v>
      </c>
      <c r="R17" s="532">
        <v>1</v>
      </c>
      <c r="S17" s="533">
        <v>5551.5899999999974</v>
      </c>
      <c r="T17" s="509"/>
      <c r="U17" s="506"/>
      <c r="V17" s="550"/>
      <c r="W17" s="509"/>
      <c r="X17" s="509"/>
      <c r="Y17" s="509"/>
      <c r="Z17" s="509"/>
      <c r="AA17" s="531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0.25">
      <c r="A18" s="522" t="s">
        <v>0</v>
      </c>
      <c r="B18" s="509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0.25">
      <c r="A19" s="522" t="s">
        <v>237</v>
      </c>
      <c r="B19" s="509" t="s">
        <v>0</v>
      </c>
      <c r="C19" s="543" t="s">
        <v>24</v>
      </c>
      <c r="D19" s="531">
        <v>0</v>
      </c>
      <c r="E19" s="531">
        <v>0</v>
      </c>
      <c r="F19" s="531">
        <v>7650</v>
      </c>
      <c r="G19" s="532"/>
      <c r="H19" s="531"/>
      <c r="I19" s="531"/>
      <c r="J19" s="544"/>
      <c r="K19" s="531"/>
      <c r="L19" s="533">
        <v>9560</v>
      </c>
      <c r="M19" s="532"/>
      <c r="N19" s="533">
        <v>1910</v>
      </c>
      <c r="O19" s="544"/>
      <c r="P19" s="531"/>
      <c r="Q19" s="533">
        <v>10100</v>
      </c>
      <c r="R19" s="532">
        <v>0</v>
      </c>
      <c r="S19" s="533">
        <v>-540</v>
      </c>
      <c r="T19" s="509"/>
      <c r="W19" s="531"/>
      <c r="X19" s="554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0.25">
      <c r="A20" s="522" t="s">
        <v>0</v>
      </c>
      <c r="B20" s="509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09"/>
      <c r="U20" s="509"/>
      <c r="W20" s="531"/>
      <c r="X20" s="554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522" t="s">
        <v>238</v>
      </c>
      <c r="B21" s="509" t="s">
        <v>0</v>
      </c>
      <c r="C21" s="530" t="s">
        <v>25</v>
      </c>
      <c r="D21" s="531">
        <v>0</v>
      </c>
      <c r="E21" s="531">
        <v>0</v>
      </c>
      <c r="F21" s="531">
        <v>3600</v>
      </c>
      <c r="G21" s="532"/>
      <c r="H21" s="531"/>
      <c r="I21" s="531"/>
      <c r="J21" s="532"/>
      <c r="K21" s="531">
        <v>38.216862745098041</v>
      </c>
      <c r="L21" s="533">
        <v>1949.06</v>
      </c>
      <c r="M21" s="532"/>
      <c r="N21" s="533">
        <v>-1650.94</v>
      </c>
      <c r="O21" s="532"/>
      <c r="P21" s="531"/>
      <c r="Q21" s="533">
        <v>0</v>
      </c>
      <c r="R21" s="532">
        <v>-38.216862745098041</v>
      </c>
      <c r="S21" s="533">
        <v>1949.06</v>
      </c>
      <c r="T21" s="509"/>
      <c r="U21" s="509"/>
      <c r="W21" s="509"/>
      <c r="X21" s="554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522" t="s">
        <v>239</v>
      </c>
      <c r="B22" s="509" t="s">
        <v>0</v>
      </c>
      <c r="C22" s="530" t="s">
        <v>26</v>
      </c>
      <c r="D22" s="531">
        <v>0</v>
      </c>
      <c r="E22" s="531">
        <v>0</v>
      </c>
      <c r="F22" s="531">
        <v>66960</v>
      </c>
      <c r="G22" s="532"/>
      <c r="H22" s="531"/>
      <c r="I22" s="531"/>
      <c r="J22" s="532"/>
      <c r="K22" s="531">
        <v>968.1554901960784</v>
      </c>
      <c r="L22" s="533">
        <v>49375.93</v>
      </c>
      <c r="M22" s="532"/>
      <c r="N22" s="533">
        <v>-17584.07</v>
      </c>
      <c r="O22" s="532"/>
      <c r="P22" s="531"/>
      <c r="Q22" s="533">
        <v>42226.33</v>
      </c>
      <c r="R22" s="532">
        <v>-968.1554901960784</v>
      </c>
      <c r="S22" s="533">
        <v>7149.5999999999985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522" t="s">
        <v>240</v>
      </c>
      <c r="B23" s="509" t="s">
        <v>0</v>
      </c>
      <c r="C23" s="530" t="s">
        <v>27</v>
      </c>
      <c r="D23" s="531">
        <v>0</v>
      </c>
      <c r="E23" s="531">
        <v>0</v>
      </c>
      <c r="F23" s="531">
        <v>1440</v>
      </c>
      <c r="G23" s="532"/>
      <c r="H23" s="531"/>
      <c r="I23" s="531"/>
      <c r="J23" s="532"/>
      <c r="K23" s="531">
        <v>0</v>
      </c>
      <c r="L23" s="533">
        <v>0</v>
      </c>
      <c r="M23" s="544"/>
      <c r="N23" s="533">
        <v>-1440</v>
      </c>
      <c r="O23" s="532"/>
      <c r="P23" s="531"/>
      <c r="Q23" s="533">
        <v>644.02</v>
      </c>
      <c r="R23" s="532">
        <v>0</v>
      </c>
      <c r="S23" s="533">
        <v>-644.02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522" t="s">
        <v>241</v>
      </c>
      <c r="B24" s="509" t="s">
        <v>0</v>
      </c>
      <c r="C24" s="536" t="s">
        <v>28</v>
      </c>
      <c r="D24" s="537">
        <v>72</v>
      </c>
      <c r="E24" s="537">
        <v>1000</v>
      </c>
      <c r="F24" s="538">
        <v>72000</v>
      </c>
      <c r="G24" s="539"/>
      <c r="H24" s="537"/>
      <c r="I24" s="538"/>
      <c r="J24" s="539">
        <v>51</v>
      </c>
      <c r="K24" s="537">
        <v>1006.3723529411765</v>
      </c>
      <c r="L24" s="538">
        <v>51324.99</v>
      </c>
      <c r="M24" s="555">
        <v>-21</v>
      </c>
      <c r="N24" s="538">
        <v>-20675.010000000002</v>
      </c>
      <c r="O24" s="539">
        <v>50</v>
      </c>
      <c r="P24" s="537">
        <v>857.40699999999993</v>
      </c>
      <c r="Q24" s="538">
        <v>42870.35</v>
      </c>
      <c r="R24" s="553"/>
      <c r="S24" s="538">
        <v>8454.64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522" t="s">
        <v>0</v>
      </c>
      <c r="B25" s="509" t="s">
        <v>0</v>
      </c>
      <c r="C25" s="530"/>
      <c r="D25" s="509"/>
      <c r="E25" s="509"/>
      <c r="F25" s="556"/>
      <c r="G25" s="530"/>
      <c r="H25" s="509"/>
      <c r="I25" s="556"/>
      <c r="J25" s="530"/>
      <c r="K25" s="509"/>
      <c r="L25" s="556"/>
      <c r="M25" s="547"/>
      <c r="N25" s="548">
        <v>-0.2871529166666667</v>
      </c>
      <c r="O25" s="530"/>
      <c r="P25" s="509"/>
      <c r="Q25" s="556"/>
      <c r="R25" s="557"/>
      <c r="S25" s="548">
        <v>0.19721415850348784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522" t="s">
        <v>0</v>
      </c>
      <c r="B26" s="509" t="s">
        <v>0</v>
      </c>
      <c r="C26" s="530"/>
      <c r="D26" s="509"/>
      <c r="E26" s="509"/>
      <c r="F26" s="540"/>
      <c r="G26" s="530"/>
      <c r="H26" s="509"/>
      <c r="I26" s="540"/>
      <c r="J26" s="530"/>
      <c r="K26" s="509"/>
      <c r="L26" s="540"/>
      <c r="M26" s="530"/>
      <c r="N26" s="540"/>
      <c r="O26" s="530"/>
      <c r="P26" s="509"/>
      <c r="Q26" s="540"/>
      <c r="R26" s="530"/>
      <c r="S26" s="540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522" t="s">
        <v>242</v>
      </c>
      <c r="B27" s="509" t="s">
        <v>0</v>
      </c>
      <c r="C27" s="558" t="s">
        <v>29</v>
      </c>
      <c r="D27" s="559">
        <v>74</v>
      </c>
      <c r="E27" s="560">
        <v>3350.7639019932171</v>
      </c>
      <c r="F27" s="561">
        <v>247956.52874749806</v>
      </c>
      <c r="G27" s="562"/>
      <c r="H27" s="560"/>
      <c r="I27" s="561"/>
      <c r="J27" s="562">
        <v>54</v>
      </c>
      <c r="K27" s="560">
        <v>3257.7409259259225</v>
      </c>
      <c r="L27" s="561">
        <v>175918.00999999981</v>
      </c>
      <c r="M27" s="562">
        <v>-20</v>
      </c>
      <c r="N27" s="561">
        <v>-72038.518747498252</v>
      </c>
      <c r="O27" s="562">
        <v>52</v>
      </c>
      <c r="P27" s="560">
        <v>2497.5182692307726</v>
      </c>
      <c r="Q27" s="561">
        <v>129870.95000000017</v>
      </c>
      <c r="R27" s="562">
        <v>2</v>
      </c>
      <c r="S27" s="561">
        <v>46047.059999999634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522" t="s">
        <v>0</v>
      </c>
      <c r="B28" s="509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0.70947117580897678</v>
      </c>
      <c r="M28" s="568">
        <v>-0.27027027027027029</v>
      </c>
      <c r="N28" s="569">
        <v>-0.29052882419102322</v>
      </c>
      <c r="O28" s="563"/>
      <c r="P28" s="564"/>
      <c r="Q28" s="565"/>
      <c r="R28" s="568">
        <v>3.8461538461538464E-2</v>
      </c>
      <c r="S28" s="569">
        <v>0.35456012295282024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522" t="s">
        <v>0</v>
      </c>
      <c r="B29" s="509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09"/>
      <c r="U29" s="572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522" t="s">
        <v>243</v>
      </c>
      <c r="B30" s="509" t="s">
        <v>0</v>
      </c>
      <c r="C30" s="573" t="s">
        <v>30</v>
      </c>
      <c r="D30" s="509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522" t="s">
        <v>244</v>
      </c>
      <c r="B31" s="509" t="s">
        <v>0</v>
      </c>
      <c r="C31" s="530" t="s">
        <v>31</v>
      </c>
      <c r="D31" s="575">
        <v>0.33313832916400887</v>
      </c>
      <c r="E31" s="572">
        <v>756.5887219974145</v>
      </c>
      <c r="F31" s="531">
        <v>54474.387983813845</v>
      </c>
      <c r="G31" s="576"/>
      <c r="H31" s="572"/>
      <c r="I31" s="531"/>
      <c r="J31" s="576">
        <v>0.35861572616280152</v>
      </c>
      <c r="K31" s="572">
        <v>808.87549019607843</v>
      </c>
      <c r="L31" s="531">
        <v>41252.65</v>
      </c>
      <c r="M31" s="530"/>
      <c r="N31" s="556">
        <v>-13221.737983813844</v>
      </c>
      <c r="O31" s="577">
        <v>0.36538037414532448</v>
      </c>
      <c r="P31" s="572">
        <v>561.95940000000007</v>
      </c>
      <c r="Q31" s="533">
        <v>28097.97</v>
      </c>
      <c r="R31" s="530"/>
      <c r="S31" s="556">
        <v>13154.68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522" t="s">
        <v>245</v>
      </c>
      <c r="B32" s="509" t="s">
        <v>0</v>
      </c>
      <c r="C32" s="523" t="s">
        <v>32</v>
      </c>
      <c r="D32" s="578">
        <v>0.28000000000000003</v>
      </c>
      <c r="E32" s="579">
        <v>280.00000000000006</v>
      </c>
      <c r="F32" s="525">
        <v>20160.000000000004</v>
      </c>
      <c r="G32" s="580"/>
      <c r="H32" s="579"/>
      <c r="I32" s="525"/>
      <c r="J32" s="580">
        <v>0.26999966293222855</v>
      </c>
      <c r="K32" s="579">
        <v>271.72019607843134</v>
      </c>
      <c r="L32" s="525">
        <v>13857.73</v>
      </c>
      <c r="M32" s="523"/>
      <c r="N32" s="581">
        <v>-6302.2700000000041</v>
      </c>
      <c r="O32" s="582">
        <v>0.26999336371174948</v>
      </c>
      <c r="P32" s="579">
        <v>231.49419999999998</v>
      </c>
      <c r="Q32" s="525">
        <v>11574.71</v>
      </c>
      <c r="R32" s="523"/>
      <c r="S32" s="581">
        <v>2283.0200000000004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522" t="s">
        <v>246</v>
      </c>
      <c r="B33" s="509" t="s">
        <v>0</v>
      </c>
      <c r="C33" s="530" t="s">
        <v>33</v>
      </c>
      <c r="D33" s="583"/>
      <c r="E33" s="572">
        <v>115</v>
      </c>
      <c r="F33" s="531">
        <v>8280</v>
      </c>
      <c r="G33" s="584"/>
      <c r="H33" s="572"/>
      <c r="I33" s="531"/>
      <c r="J33" s="530"/>
      <c r="K33" s="572">
        <v>127.63843137254902</v>
      </c>
      <c r="L33" s="531">
        <v>6509.56</v>
      </c>
      <c r="M33" s="530"/>
      <c r="N33" s="556">
        <v>-1770.4399999999996</v>
      </c>
      <c r="O33" s="530"/>
      <c r="P33" s="572">
        <v>156.3466</v>
      </c>
      <c r="Q33" s="533">
        <v>7817.33</v>
      </c>
      <c r="R33" s="530"/>
      <c r="S33" s="556">
        <v>-1307.7699999999995</v>
      </c>
      <c r="T33" s="509"/>
      <c r="U33" s="585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522" t="s">
        <v>247</v>
      </c>
      <c r="B34" s="509" t="s">
        <v>0</v>
      </c>
      <c r="C34" s="530" t="s">
        <v>34</v>
      </c>
      <c r="D34" s="583"/>
      <c r="E34" s="572">
        <v>10</v>
      </c>
      <c r="F34" s="531">
        <v>720</v>
      </c>
      <c r="G34" s="584"/>
      <c r="H34" s="572"/>
      <c r="I34" s="531"/>
      <c r="J34" s="530"/>
      <c r="K34" s="572">
        <v>4.0194117647058825</v>
      </c>
      <c r="L34" s="531">
        <v>204.99</v>
      </c>
      <c r="M34" s="530"/>
      <c r="N34" s="556">
        <v>-515.01</v>
      </c>
      <c r="O34" s="530"/>
      <c r="P34" s="572">
        <v>16.863599999999998</v>
      </c>
      <c r="Q34" s="533">
        <v>843.18</v>
      </c>
      <c r="R34" s="530"/>
      <c r="S34" s="556">
        <v>-638.18999999999994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522" t="s">
        <v>248</v>
      </c>
      <c r="B35" s="509" t="s">
        <v>0</v>
      </c>
      <c r="C35" s="523" t="s">
        <v>35</v>
      </c>
      <c r="D35" s="586"/>
      <c r="E35" s="579">
        <v>120.75</v>
      </c>
      <c r="F35" s="525">
        <v>8694</v>
      </c>
      <c r="G35" s="587"/>
      <c r="H35" s="579"/>
      <c r="I35" s="525"/>
      <c r="J35" s="523"/>
      <c r="K35" s="579">
        <v>94.619411764705887</v>
      </c>
      <c r="L35" s="525">
        <v>4825.59</v>
      </c>
      <c r="M35" s="523"/>
      <c r="N35" s="581">
        <v>-3868.41</v>
      </c>
      <c r="O35" s="523"/>
      <c r="P35" s="579">
        <v>159.8588</v>
      </c>
      <c r="Q35" s="533">
        <v>7992.94</v>
      </c>
      <c r="R35" s="523"/>
      <c r="S35" s="581">
        <v>-3167.3499999999995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522" t="s">
        <v>249</v>
      </c>
      <c r="B36" s="509" t="s">
        <v>0</v>
      </c>
      <c r="C36" s="530" t="s">
        <v>36</v>
      </c>
      <c r="D36" s="583"/>
      <c r="E36" s="572">
        <v>225.86111111111111</v>
      </c>
      <c r="F36" s="531">
        <v>16262</v>
      </c>
      <c r="G36" s="584"/>
      <c r="H36" s="572"/>
      <c r="I36" s="531"/>
      <c r="J36" s="530"/>
      <c r="K36" s="572">
        <v>233.87333333333336</v>
      </c>
      <c r="L36" s="588">
        <v>11927.54</v>
      </c>
      <c r="M36" s="509"/>
      <c r="N36" s="556">
        <v>-4334.4599999999991</v>
      </c>
      <c r="O36" s="530"/>
      <c r="P36" s="572">
        <v>224.68360000000001</v>
      </c>
      <c r="Q36" s="552">
        <v>11234.18</v>
      </c>
      <c r="R36" s="530"/>
      <c r="S36" s="556">
        <v>693.36000000000058</v>
      </c>
      <c r="T36" s="509"/>
      <c r="U36" s="522" t="s">
        <v>480</v>
      </c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522" t="s">
        <v>250</v>
      </c>
      <c r="B37" s="509" t="s">
        <v>0</v>
      </c>
      <c r="C37" s="530" t="s">
        <v>37</v>
      </c>
      <c r="D37" s="583"/>
      <c r="E37" s="572">
        <v>565.31871494135646</v>
      </c>
      <c r="F37" s="531">
        <v>40702.947475777662</v>
      </c>
      <c r="G37" s="584"/>
      <c r="H37" s="572"/>
      <c r="I37" s="531"/>
      <c r="J37" s="530"/>
      <c r="K37" s="572">
        <v>425.86784313725485</v>
      </c>
      <c r="L37" s="589">
        <v>21719.26</v>
      </c>
      <c r="M37" s="509"/>
      <c r="N37" s="556">
        <v>-18983.687475777664</v>
      </c>
      <c r="O37" s="530"/>
      <c r="P37" s="572">
        <v>530.40699999999993</v>
      </c>
      <c r="Q37" s="533">
        <v>26520.35</v>
      </c>
      <c r="R37" s="530"/>
      <c r="S37" s="556">
        <v>-4801.09</v>
      </c>
      <c r="T37" s="509"/>
      <c r="U37" s="522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522" t="s">
        <v>233</v>
      </c>
      <c r="B38" s="509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9">
        <v>0</v>
      </c>
      <c r="M38" s="509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522" t="s">
        <v>233</v>
      </c>
      <c r="B39" s="509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9">
        <v>0</v>
      </c>
      <c r="M39" s="509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522" t="s">
        <v>233</v>
      </c>
      <c r="B40" s="509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90">
        <v>0</v>
      </c>
      <c r="M40" s="509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522" t="s">
        <v>251</v>
      </c>
      <c r="B41" s="509" t="s">
        <v>0</v>
      </c>
      <c r="C41" s="591" t="s">
        <v>38</v>
      </c>
      <c r="D41" s="592" t="s">
        <v>39</v>
      </c>
      <c r="E41" s="593">
        <v>0.60209479546159328</v>
      </c>
      <c r="F41" s="594">
        <v>149293.33545959153</v>
      </c>
      <c r="G41" s="595"/>
      <c r="H41" s="593"/>
      <c r="I41" s="594"/>
      <c r="J41" s="595" t="s">
        <v>39</v>
      </c>
      <c r="K41" s="593">
        <v>0.57013673585780167</v>
      </c>
      <c r="L41" s="594">
        <v>100297.31999999999</v>
      </c>
      <c r="M41" s="596"/>
      <c r="N41" s="594">
        <v>-48996.015459591537</v>
      </c>
      <c r="O41" s="595" t="s">
        <v>39</v>
      </c>
      <c r="P41" s="593">
        <v>0.72441650730975538</v>
      </c>
      <c r="Q41" s="597">
        <v>94080.66</v>
      </c>
      <c r="R41" s="598"/>
      <c r="S41" s="594">
        <v>6216.6599999999889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522" t="s">
        <v>252</v>
      </c>
      <c r="B42" s="509" t="s">
        <v>0</v>
      </c>
      <c r="C42" s="599" t="s">
        <v>41</v>
      </c>
      <c r="D42" s="509"/>
      <c r="E42" s="509"/>
      <c r="F42" s="531">
        <v>28420.581730769234</v>
      </c>
      <c r="G42" s="530"/>
      <c r="H42" s="509"/>
      <c r="I42" s="531"/>
      <c r="J42" s="530"/>
      <c r="K42" s="509"/>
      <c r="L42" s="533">
        <v>20142.13</v>
      </c>
      <c r="M42" s="530"/>
      <c r="N42" s="556">
        <v>-8278.4517307692331</v>
      </c>
      <c r="O42" s="530"/>
      <c r="P42" s="600">
        <v>9.3848547346423394E-2</v>
      </c>
      <c r="Q42" s="533">
        <v>12188.2</v>
      </c>
      <c r="R42" s="530"/>
      <c r="S42" s="556">
        <v>7953.93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522" t="s">
        <v>253</v>
      </c>
      <c r="B43" s="509" t="s">
        <v>0</v>
      </c>
      <c r="C43" s="601" t="s">
        <v>42</v>
      </c>
      <c r="D43" s="583"/>
      <c r="E43" s="509"/>
      <c r="F43" s="525">
        <v>17167.773846153847</v>
      </c>
      <c r="G43" s="584"/>
      <c r="H43" s="509"/>
      <c r="I43" s="525"/>
      <c r="J43" s="530"/>
      <c r="K43" s="509"/>
      <c r="L43" s="533">
        <v>20057.189999999999</v>
      </c>
      <c r="M43" s="530"/>
      <c r="N43" s="556">
        <v>2889.4161538461522</v>
      </c>
      <c r="O43" s="530"/>
      <c r="P43" s="509"/>
      <c r="Q43" s="533">
        <v>8630.7199999999993</v>
      </c>
      <c r="R43" s="530"/>
      <c r="S43" s="556">
        <v>11426.47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522" t="s">
        <v>254</v>
      </c>
      <c r="B44" s="509" t="s">
        <v>0</v>
      </c>
      <c r="C44" s="599" t="s">
        <v>43</v>
      </c>
      <c r="D44" s="602"/>
      <c r="E44" s="603"/>
      <c r="F44" s="531">
        <v>394.44230769230774</v>
      </c>
      <c r="G44" s="604"/>
      <c r="H44" s="603"/>
      <c r="I44" s="531"/>
      <c r="J44" s="517"/>
      <c r="K44" s="603"/>
      <c r="L44" s="552">
        <v>930.2</v>
      </c>
      <c r="M44" s="517"/>
      <c r="N44" s="605">
        <v>535.75769230769231</v>
      </c>
      <c r="O44" s="517"/>
      <c r="P44" s="603"/>
      <c r="Q44" s="552">
        <v>2146.12</v>
      </c>
      <c r="R44" s="517"/>
      <c r="S44" s="605">
        <v>-1215.9199999999998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522" t="s">
        <v>255</v>
      </c>
      <c r="B45" s="509" t="s">
        <v>0</v>
      </c>
      <c r="C45" s="599" t="s">
        <v>44</v>
      </c>
      <c r="D45" s="583"/>
      <c r="E45" s="509"/>
      <c r="F45" s="531">
        <v>0</v>
      </c>
      <c r="G45" s="584"/>
      <c r="H45" s="509"/>
      <c r="I45" s="531"/>
      <c r="J45" s="530"/>
      <c r="K45" s="509"/>
      <c r="L45" s="533">
        <v>0</v>
      </c>
      <c r="M45" s="530"/>
      <c r="N45" s="556">
        <v>0</v>
      </c>
      <c r="O45" s="530"/>
      <c r="P45" s="509"/>
      <c r="Q45" s="533">
        <v>0</v>
      </c>
      <c r="R45" s="530"/>
      <c r="S45" s="556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522" t="s">
        <v>233</v>
      </c>
      <c r="B46" s="509" t="s">
        <v>0</v>
      </c>
      <c r="C46" s="599" t="s">
        <v>20</v>
      </c>
      <c r="D46" s="583"/>
      <c r="E46" s="509"/>
      <c r="F46" s="531">
        <v>0</v>
      </c>
      <c r="G46" s="584"/>
      <c r="H46" s="509"/>
      <c r="I46" s="531"/>
      <c r="J46" s="530"/>
      <c r="K46" s="509"/>
      <c r="L46" s="533">
        <v>0</v>
      </c>
      <c r="M46" s="530"/>
      <c r="N46" s="556">
        <v>0</v>
      </c>
      <c r="O46" s="530"/>
      <c r="P46" s="509"/>
      <c r="Q46" s="533">
        <v>0</v>
      </c>
      <c r="R46" s="530"/>
      <c r="S46" s="556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522" t="s">
        <v>233</v>
      </c>
      <c r="B47" s="509" t="s">
        <v>0</v>
      </c>
      <c r="C47" s="599" t="s">
        <v>20</v>
      </c>
      <c r="D47" s="583"/>
      <c r="E47" s="509"/>
      <c r="F47" s="531">
        <v>0</v>
      </c>
      <c r="G47" s="584"/>
      <c r="H47" s="509"/>
      <c r="I47" s="531"/>
      <c r="J47" s="530"/>
      <c r="K47" s="509"/>
      <c r="L47" s="533">
        <v>0</v>
      </c>
      <c r="M47" s="530"/>
      <c r="N47" s="556">
        <v>0</v>
      </c>
      <c r="O47" s="530"/>
      <c r="P47" s="509"/>
      <c r="Q47" s="533">
        <v>0</v>
      </c>
      <c r="R47" s="530"/>
      <c r="S47" s="556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522" t="s">
        <v>233</v>
      </c>
      <c r="B48" s="509" t="s">
        <v>0</v>
      </c>
      <c r="C48" s="599" t="s">
        <v>20</v>
      </c>
      <c r="D48" s="583"/>
      <c r="E48" s="509"/>
      <c r="F48" s="531">
        <v>0</v>
      </c>
      <c r="G48" s="584"/>
      <c r="H48" s="509"/>
      <c r="I48" s="531"/>
      <c r="J48" s="530"/>
      <c r="K48" s="509"/>
      <c r="L48" s="533">
        <v>0</v>
      </c>
      <c r="M48" s="530"/>
      <c r="N48" s="556">
        <v>0</v>
      </c>
      <c r="O48" s="530"/>
      <c r="P48" s="509"/>
      <c r="Q48" s="533">
        <v>0</v>
      </c>
      <c r="R48" s="530"/>
      <c r="S48" s="556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522" t="s">
        <v>256</v>
      </c>
      <c r="B49" s="509" t="s">
        <v>0</v>
      </c>
      <c r="C49" s="601" t="s">
        <v>45</v>
      </c>
      <c r="D49" s="583"/>
      <c r="E49" s="509"/>
      <c r="F49" s="525">
        <v>14095.711661841447</v>
      </c>
      <c r="G49" s="584"/>
      <c r="H49" s="509"/>
      <c r="I49" s="525"/>
      <c r="J49" s="530"/>
      <c r="K49" s="509"/>
      <c r="L49" s="525">
        <v>13521.92</v>
      </c>
      <c r="M49" s="530"/>
      <c r="N49" s="556">
        <v>-573.79166184144742</v>
      </c>
      <c r="O49" s="530"/>
      <c r="P49" s="509"/>
      <c r="Q49" s="525">
        <v>10528.2</v>
      </c>
      <c r="R49" s="530"/>
      <c r="S49" s="556">
        <v>2993.7199999999993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522" t="s">
        <v>257</v>
      </c>
      <c r="B50" s="509" t="s">
        <v>0</v>
      </c>
      <c r="C50" s="599" t="s">
        <v>46</v>
      </c>
      <c r="D50" s="602"/>
      <c r="E50" s="603"/>
      <c r="F50" s="531">
        <v>17138.398320124405</v>
      </c>
      <c r="G50" s="604"/>
      <c r="H50" s="603"/>
      <c r="I50" s="531"/>
      <c r="J50" s="517"/>
      <c r="K50" s="603"/>
      <c r="L50" s="533">
        <v>15758.45</v>
      </c>
      <c r="M50" s="517"/>
      <c r="N50" s="605">
        <v>-1379.9483201244038</v>
      </c>
      <c r="O50" s="517"/>
      <c r="P50" s="603"/>
      <c r="Q50" s="533">
        <v>14036.34</v>
      </c>
      <c r="R50" s="517"/>
      <c r="S50" s="605">
        <v>1722.1100000000006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522" t="s">
        <v>258</v>
      </c>
      <c r="B51" s="509" t="s">
        <v>0</v>
      </c>
      <c r="C51" s="599" t="s">
        <v>47</v>
      </c>
      <c r="D51" s="583"/>
      <c r="E51" s="509"/>
      <c r="F51" s="531">
        <v>8830.0008736293112</v>
      </c>
      <c r="G51" s="584"/>
      <c r="H51" s="509"/>
      <c r="I51" s="531"/>
      <c r="J51" s="530"/>
      <c r="K51" s="509"/>
      <c r="L51" s="533">
        <v>8227.6299999999992</v>
      </c>
      <c r="M51" s="530"/>
      <c r="N51" s="556">
        <v>-602.37087362931197</v>
      </c>
      <c r="O51" s="530"/>
      <c r="P51" s="509"/>
      <c r="Q51" s="533">
        <v>6769.08</v>
      </c>
      <c r="R51" s="530"/>
      <c r="S51" s="556">
        <v>1458.5499999999993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522" t="s">
        <v>259</v>
      </c>
      <c r="B52" s="509" t="s">
        <v>0</v>
      </c>
      <c r="C52" s="599" t="s">
        <v>48</v>
      </c>
      <c r="D52" s="583"/>
      <c r="E52" s="509"/>
      <c r="F52" s="531">
        <v>3849.9300574192498</v>
      </c>
      <c r="G52" s="584"/>
      <c r="H52" s="509"/>
      <c r="I52" s="531"/>
      <c r="J52" s="530"/>
      <c r="K52" s="509"/>
      <c r="L52" s="533">
        <v>3456.94</v>
      </c>
      <c r="M52" s="530"/>
      <c r="N52" s="556">
        <v>-392.99005741924975</v>
      </c>
      <c r="O52" s="530"/>
      <c r="P52" s="509"/>
      <c r="Q52" s="533">
        <v>1167.3399999999999</v>
      </c>
      <c r="R52" s="530"/>
      <c r="S52" s="556">
        <v>2289.6000000000004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522" t="s">
        <v>233</v>
      </c>
      <c r="B53" s="509" t="s">
        <v>0</v>
      </c>
      <c r="C53" s="530" t="s">
        <v>20</v>
      </c>
      <c r="D53" s="586" t="e">
        <v>#N/A</v>
      </c>
      <c r="E53" s="606"/>
      <c r="F53" s="531">
        <v>0</v>
      </c>
      <c r="G53" s="587"/>
      <c r="H53" s="606"/>
      <c r="I53" s="531"/>
      <c r="J53" s="523"/>
      <c r="K53" s="606"/>
      <c r="L53" s="533">
        <v>0</v>
      </c>
      <c r="M53" s="523"/>
      <c r="N53" s="581">
        <v>0</v>
      </c>
      <c r="O53" s="523"/>
      <c r="P53" s="606"/>
      <c r="Q53" s="533">
        <v>0</v>
      </c>
      <c r="R53" s="523"/>
      <c r="S53" s="581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522" t="s">
        <v>260</v>
      </c>
      <c r="B54" s="509" t="s">
        <v>0</v>
      </c>
      <c r="C54" s="591" t="s">
        <v>49</v>
      </c>
      <c r="D54" s="592" t="s">
        <v>39</v>
      </c>
      <c r="E54" s="593">
        <v>0.36255080377082777</v>
      </c>
      <c r="F54" s="594">
        <v>89896.838797629782</v>
      </c>
      <c r="G54" s="595"/>
      <c r="H54" s="593"/>
      <c r="I54" s="594"/>
      <c r="J54" s="595" t="s">
        <v>39</v>
      </c>
      <c r="K54" s="593">
        <v>0.46666319156293379</v>
      </c>
      <c r="L54" s="594">
        <v>82094.460000000006</v>
      </c>
      <c r="M54" s="598"/>
      <c r="N54" s="594">
        <v>-7802.3787976298017</v>
      </c>
      <c r="O54" s="595" t="s">
        <v>39</v>
      </c>
      <c r="P54" s="593">
        <v>0.42708550295504827</v>
      </c>
      <c r="Q54" s="594">
        <v>55466</v>
      </c>
      <c r="R54" s="598"/>
      <c r="S54" s="594">
        <v>26628.460000000006</v>
      </c>
      <c r="T54" s="572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522" t="s">
        <v>261</v>
      </c>
      <c r="B55" s="509" t="s">
        <v>0</v>
      </c>
      <c r="C55" s="530" t="s">
        <v>50</v>
      </c>
      <c r="D55" s="583"/>
      <c r="E55" s="509"/>
      <c r="F55" s="531">
        <v>0</v>
      </c>
      <c r="G55" s="584"/>
      <c r="H55" s="509"/>
      <c r="I55" s="531"/>
      <c r="J55" s="530"/>
      <c r="K55" s="509"/>
      <c r="L55" s="533">
        <v>0</v>
      </c>
      <c r="M55" s="530"/>
      <c r="N55" s="556">
        <v>0</v>
      </c>
      <c r="O55" s="530"/>
      <c r="P55" s="509"/>
      <c r="Q55" s="533">
        <v>0</v>
      </c>
      <c r="R55" s="530"/>
      <c r="S55" s="556">
        <v>0</v>
      </c>
      <c r="T55" s="572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522" t="s">
        <v>262</v>
      </c>
      <c r="B56" s="509" t="s">
        <v>0</v>
      </c>
      <c r="C56" s="530" t="s">
        <v>51</v>
      </c>
      <c r="D56" s="583"/>
      <c r="E56" s="509"/>
      <c r="F56" s="531">
        <v>0</v>
      </c>
      <c r="G56" s="584"/>
      <c r="H56" s="509"/>
      <c r="I56" s="531"/>
      <c r="J56" s="530"/>
      <c r="K56" s="509"/>
      <c r="L56" s="533">
        <v>0</v>
      </c>
      <c r="M56" s="530"/>
      <c r="N56" s="556">
        <v>0</v>
      </c>
      <c r="O56" s="530"/>
      <c r="P56" s="509"/>
      <c r="Q56" s="533">
        <v>0</v>
      </c>
      <c r="R56" s="530"/>
      <c r="S56" s="556">
        <v>0</v>
      </c>
      <c r="T56" s="572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522" t="s">
        <v>263</v>
      </c>
      <c r="B57" s="509" t="s">
        <v>0</v>
      </c>
      <c r="C57" s="523" t="s">
        <v>52</v>
      </c>
      <c r="D57" s="586"/>
      <c r="E57" s="606"/>
      <c r="F57" s="525">
        <v>8952.5479333333333</v>
      </c>
      <c r="G57" s="587"/>
      <c r="H57" s="606"/>
      <c r="I57" s="525"/>
      <c r="J57" s="523"/>
      <c r="K57" s="606"/>
      <c r="L57" s="525">
        <v>6523.11</v>
      </c>
      <c r="M57" s="523"/>
      <c r="N57" s="581">
        <v>-2429.4379333333336</v>
      </c>
      <c r="O57" s="523"/>
      <c r="P57" s="606"/>
      <c r="Q57" s="525">
        <v>8473.11</v>
      </c>
      <c r="R57" s="523"/>
      <c r="S57" s="581">
        <v>-1950.0000000000009</v>
      </c>
      <c r="T57" s="607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522" t="s">
        <v>264</v>
      </c>
      <c r="B58" s="509" t="s">
        <v>0</v>
      </c>
      <c r="C58" s="530" t="s">
        <v>53</v>
      </c>
      <c r="D58" s="583"/>
      <c r="E58" s="509"/>
      <c r="F58" s="531">
        <v>7960.9947585155569</v>
      </c>
      <c r="G58" s="584"/>
      <c r="H58" s="509"/>
      <c r="I58" s="531"/>
      <c r="J58" s="530"/>
      <c r="K58" s="509"/>
      <c r="L58" s="533">
        <v>7696.69</v>
      </c>
      <c r="M58" s="530"/>
      <c r="N58" s="556">
        <v>-264.3047585155573</v>
      </c>
      <c r="O58" s="530"/>
      <c r="P58" s="509"/>
      <c r="Q58" s="533">
        <v>7015.5</v>
      </c>
      <c r="R58" s="530"/>
      <c r="S58" s="556">
        <v>681.1899999999996</v>
      </c>
      <c r="T58" s="572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522" t="s">
        <v>265</v>
      </c>
      <c r="B59" s="509" t="s">
        <v>0</v>
      </c>
      <c r="C59" s="530" t="s">
        <v>54</v>
      </c>
      <c r="D59" s="583"/>
      <c r="E59" s="509"/>
      <c r="F59" s="531">
        <v>1266.6975008629806</v>
      </c>
      <c r="G59" s="584"/>
      <c r="H59" s="509"/>
      <c r="I59" s="531"/>
      <c r="J59" s="530"/>
      <c r="K59" s="509"/>
      <c r="L59" s="533">
        <v>2623.13</v>
      </c>
      <c r="M59" s="530"/>
      <c r="N59" s="556">
        <v>1356.4324991370195</v>
      </c>
      <c r="O59" s="530"/>
      <c r="P59" s="509"/>
      <c r="Q59" s="533">
        <v>2344.34</v>
      </c>
      <c r="R59" s="530"/>
      <c r="S59" s="556">
        <v>278.78999999999996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522" t="s">
        <v>266</v>
      </c>
      <c r="B60" s="509" t="s">
        <v>0</v>
      </c>
      <c r="C60" s="523" t="s">
        <v>55</v>
      </c>
      <c r="D60" s="586"/>
      <c r="E60" s="606"/>
      <c r="F60" s="525">
        <v>7215.7407235875298</v>
      </c>
      <c r="G60" s="587"/>
      <c r="H60" s="606"/>
      <c r="I60" s="525"/>
      <c r="J60" s="523"/>
      <c r="K60" s="606"/>
      <c r="L60" s="525">
        <v>8395.9699999999993</v>
      </c>
      <c r="M60" s="523"/>
      <c r="N60" s="581">
        <v>1180.2292764124695</v>
      </c>
      <c r="O60" s="523"/>
      <c r="P60" s="606"/>
      <c r="Q60" s="525">
        <v>8179.53</v>
      </c>
      <c r="R60" s="523"/>
      <c r="S60" s="581">
        <v>216.4399999999996</v>
      </c>
      <c r="T60" s="509"/>
      <c r="U60" s="506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522" t="s">
        <v>267</v>
      </c>
      <c r="B61" s="509" t="s">
        <v>0</v>
      </c>
      <c r="C61" s="530" t="s">
        <v>56</v>
      </c>
      <c r="D61" s="583"/>
      <c r="E61" s="509"/>
      <c r="F61" s="531">
        <v>97.257333333333349</v>
      </c>
      <c r="G61" s="584"/>
      <c r="H61" s="509"/>
      <c r="I61" s="531"/>
      <c r="J61" s="530"/>
      <c r="K61" s="509"/>
      <c r="L61" s="533">
        <v>0</v>
      </c>
      <c r="M61" s="530"/>
      <c r="N61" s="556">
        <v>-97.257333333333349</v>
      </c>
      <c r="O61" s="530"/>
      <c r="P61" s="509"/>
      <c r="Q61" s="533">
        <v>0</v>
      </c>
      <c r="R61" s="530"/>
      <c r="S61" s="556">
        <v>0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522" t="s">
        <v>268</v>
      </c>
      <c r="B62" s="509" t="s">
        <v>0</v>
      </c>
      <c r="C62" s="530" t="s">
        <v>57</v>
      </c>
      <c r="D62" s="583"/>
      <c r="E62" s="509"/>
      <c r="F62" s="531">
        <v>28.333333333333332</v>
      </c>
      <c r="G62" s="584"/>
      <c r="H62" s="509"/>
      <c r="I62" s="531"/>
      <c r="J62" s="530"/>
      <c r="K62" s="509"/>
      <c r="L62" s="533">
        <v>0</v>
      </c>
      <c r="M62" s="530"/>
      <c r="N62" s="556">
        <v>-28.333333333333332</v>
      </c>
      <c r="O62" s="530"/>
      <c r="P62" s="509"/>
      <c r="Q62" s="533">
        <v>434.88</v>
      </c>
      <c r="R62" s="530"/>
      <c r="S62" s="556">
        <v>-434.88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522" t="s">
        <v>269</v>
      </c>
      <c r="B63" s="509" t="s">
        <v>0</v>
      </c>
      <c r="C63" s="530" t="s">
        <v>58</v>
      </c>
      <c r="D63" s="583"/>
      <c r="E63" s="509"/>
      <c r="F63" s="531">
        <v>741.43089466911999</v>
      </c>
      <c r="G63" s="584"/>
      <c r="H63" s="509"/>
      <c r="I63" s="531"/>
      <c r="J63" s="530"/>
      <c r="K63" s="509"/>
      <c r="L63" s="533">
        <v>58.95</v>
      </c>
      <c r="M63" s="530"/>
      <c r="N63" s="556">
        <v>-682.48089466911995</v>
      </c>
      <c r="O63" s="530"/>
      <c r="P63" s="509"/>
      <c r="Q63" s="533">
        <v>377.56</v>
      </c>
      <c r="R63" s="530"/>
      <c r="S63" s="556">
        <v>-318.61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522" t="s">
        <v>270</v>
      </c>
      <c r="B64" s="509" t="s">
        <v>0</v>
      </c>
      <c r="C64" s="530" t="s">
        <v>59</v>
      </c>
      <c r="D64" s="583"/>
      <c r="E64" s="509"/>
      <c r="F64" s="531">
        <v>344.80198491798222</v>
      </c>
      <c r="G64" s="584"/>
      <c r="H64" s="509"/>
      <c r="I64" s="531"/>
      <c r="J64" s="530"/>
      <c r="K64" s="509"/>
      <c r="L64" s="533">
        <v>402.18</v>
      </c>
      <c r="M64" s="530"/>
      <c r="N64" s="556">
        <v>57.378015082017782</v>
      </c>
      <c r="O64" s="530"/>
      <c r="P64" s="509"/>
      <c r="Q64" s="533">
        <v>393.48</v>
      </c>
      <c r="R64" s="530"/>
      <c r="S64" s="556">
        <v>8.6999999999999886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522" t="s">
        <v>271</v>
      </c>
      <c r="B65" s="509" t="s">
        <v>0</v>
      </c>
      <c r="C65" s="530" t="s">
        <v>60</v>
      </c>
      <c r="D65" s="583"/>
      <c r="E65" s="509"/>
      <c r="F65" s="531">
        <v>102.82239536841776</v>
      </c>
      <c r="G65" s="584"/>
      <c r="H65" s="509"/>
      <c r="I65" s="531"/>
      <c r="J65" s="530"/>
      <c r="K65" s="509"/>
      <c r="L65" s="533">
        <v>87.27</v>
      </c>
      <c r="M65" s="530"/>
      <c r="N65" s="556">
        <v>-15.552395368417763</v>
      </c>
      <c r="O65" s="530"/>
      <c r="P65" s="509"/>
      <c r="Q65" s="533">
        <v>32.96</v>
      </c>
      <c r="R65" s="530"/>
      <c r="S65" s="556">
        <v>54.309999999999995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522" t="s">
        <v>272</v>
      </c>
      <c r="B66" s="509" t="s">
        <v>0</v>
      </c>
      <c r="C66" s="530" t="s">
        <v>61</v>
      </c>
      <c r="D66" s="583"/>
      <c r="E66" s="509"/>
      <c r="F66" s="531">
        <v>201.17038516793778</v>
      </c>
      <c r="G66" s="584"/>
      <c r="H66" s="509"/>
      <c r="I66" s="531"/>
      <c r="J66" s="530"/>
      <c r="K66" s="509"/>
      <c r="L66" s="533">
        <v>62.72</v>
      </c>
      <c r="M66" s="530"/>
      <c r="N66" s="556">
        <v>-138.45038516793778</v>
      </c>
      <c r="O66" s="530"/>
      <c r="P66" s="509"/>
      <c r="Q66" s="533">
        <v>234.47</v>
      </c>
      <c r="R66" s="530"/>
      <c r="S66" s="556">
        <v>-171.75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522" t="s">
        <v>273</v>
      </c>
      <c r="B67" s="509" t="s">
        <v>0</v>
      </c>
      <c r="C67" s="530" t="s">
        <v>62</v>
      </c>
      <c r="D67" s="583"/>
      <c r="E67" s="509"/>
      <c r="F67" s="531">
        <v>1934.7062499999995</v>
      </c>
      <c r="G67" s="584"/>
      <c r="H67" s="509"/>
      <c r="I67" s="531"/>
      <c r="J67" s="530"/>
      <c r="K67" s="509"/>
      <c r="L67" s="533">
        <v>611.27</v>
      </c>
      <c r="M67" s="530"/>
      <c r="N67" s="556">
        <v>-1323.4362499999995</v>
      </c>
      <c r="O67" s="530"/>
      <c r="P67" s="509"/>
      <c r="Q67" s="533">
        <v>2366.96</v>
      </c>
      <c r="R67" s="530"/>
      <c r="S67" s="556">
        <v>-1755.69</v>
      </c>
      <c r="T67" s="509"/>
      <c r="U67" s="522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522" t="s">
        <v>274</v>
      </c>
      <c r="B68" s="509" t="s">
        <v>0</v>
      </c>
      <c r="C68" s="530" t="s">
        <v>63</v>
      </c>
      <c r="D68" s="583"/>
      <c r="E68" s="509"/>
      <c r="F68" s="531">
        <v>4283.1051167853166</v>
      </c>
      <c r="G68" s="584"/>
      <c r="H68" s="509"/>
      <c r="I68" s="531"/>
      <c r="J68" s="530"/>
      <c r="K68" s="509"/>
      <c r="L68" s="533">
        <v>4645.42</v>
      </c>
      <c r="M68" s="530"/>
      <c r="N68" s="556">
        <v>362.3148832146835</v>
      </c>
      <c r="O68" s="530"/>
      <c r="P68" s="509"/>
      <c r="Q68" s="533">
        <v>4782.88</v>
      </c>
      <c r="R68" s="530"/>
      <c r="S68" s="556">
        <v>-137.46000000000004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522" t="s">
        <v>233</v>
      </c>
      <c r="B69" s="509" t="s">
        <v>0</v>
      </c>
      <c r="C69" s="530" t="s">
        <v>20</v>
      </c>
      <c r="D69" s="583"/>
      <c r="E69" s="509"/>
      <c r="F69" s="531">
        <v>0</v>
      </c>
      <c r="G69" s="584"/>
      <c r="H69" s="509"/>
      <c r="I69" s="531"/>
      <c r="J69" s="530"/>
      <c r="K69" s="509"/>
      <c r="L69" s="533"/>
      <c r="M69" s="530"/>
      <c r="N69" s="556">
        <v>0</v>
      </c>
      <c r="O69" s="530"/>
      <c r="P69" s="509"/>
      <c r="Q69" s="533">
        <v>0</v>
      </c>
      <c r="R69" s="530"/>
      <c r="S69" s="556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522" t="s">
        <v>233</v>
      </c>
      <c r="B70" s="509" t="s">
        <v>0</v>
      </c>
      <c r="C70" s="530" t="s">
        <v>20</v>
      </c>
      <c r="D70" s="583"/>
      <c r="E70" s="509"/>
      <c r="F70" s="531">
        <v>0</v>
      </c>
      <c r="G70" s="584"/>
      <c r="H70" s="509"/>
      <c r="I70" s="531"/>
      <c r="J70" s="530"/>
      <c r="K70" s="509"/>
      <c r="L70" s="533">
        <v>0</v>
      </c>
      <c r="M70" s="530"/>
      <c r="N70" s="556">
        <v>0</v>
      </c>
      <c r="O70" s="530"/>
      <c r="P70" s="509"/>
      <c r="Q70" s="533">
        <v>0</v>
      </c>
      <c r="R70" s="530"/>
      <c r="S70" s="556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522" t="s">
        <v>233</v>
      </c>
      <c r="B71" s="509" t="s">
        <v>0</v>
      </c>
      <c r="C71" s="530" t="s">
        <v>20</v>
      </c>
      <c r="D71" s="583"/>
      <c r="E71" s="509"/>
      <c r="F71" s="531">
        <v>0</v>
      </c>
      <c r="G71" s="584"/>
      <c r="H71" s="509"/>
      <c r="I71" s="531"/>
      <c r="J71" s="530"/>
      <c r="K71" s="509"/>
      <c r="L71" s="533">
        <v>0</v>
      </c>
      <c r="M71" s="530"/>
      <c r="N71" s="556">
        <v>0</v>
      </c>
      <c r="O71" s="530"/>
      <c r="P71" s="509"/>
      <c r="Q71" s="533">
        <v>0</v>
      </c>
      <c r="R71" s="530"/>
      <c r="S71" s="556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522" t="s">
        <v>275</v>
      </c>
      <c r="B72" s="509" t="s">
        <v>0</v>
      </c>
      <c r="C72" s="591" t="s">
        <v>64</v>
      </c>
      <c r="D72" s="592" t="s">
        <v>39</v>
      </c>
      <c r="E72" s="593">
        <v>0.13361055172542671</v>
      </c>
      <c r="F72" s="594">
        <v>33129.608609874842</v>
      </c>
      <c r="G72" s="595"/>
      <c r="H72" s="593"/>
      <c r="I72" s="594"/>
      <c r="J72" s="595" t="s">
        <v>39</v>
      </c>
      <c r="K72" s="593">
        <v>0.17682504480354252</v>
      </c>
      <c r="L72" s="594">
        <v>31106.710000000006</v>
      </c>
      <c r="M72" s="598"/>
      <c r="N72" s="594">
        <v>-2022.8986098748424</v>
      </c>
      <c r="O72" s="595" t="s">
        <v>39</v>
      </c>
      <c r="P72" s="593">
        <v>0.26669297483386356</v>
      </c>
      <c r="Q72" s="594">
        <v>34635.67</v>
      </c>
      <c r="R72" s="598"/>
      <c r="S72" s="594">
        <v>-3528.9600000000019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522" t="s">
        <v>0</v>
      </c>
      <c r="B73" s="509" t="s">
        <v>0</v>
      </c>
      <c r="C73" s="523"/>
      <c r="D73" s="586"/>
      <c r="E73" s="606"/>
      <c r="F73" s="556"/>
      <c r="G73" s="587"/>
      <c r="H73" s="606"/>
      <c r="I73" s="556"/>
      <c r="J73" s="523"/>
      <c r="K73" s="606"/>
      <c r="L73" s="581"/>
      <c r="M73" s="523"/>
      <c r="N73" s="581"/>
      <c r="O73" s="523"/>
      <c r="P73" s="606"/>
      <c r="Q73" s="581"/>
      <c r="R73" s="523"/>
      <c r="S73" s="581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522" t="s">
        <v>276</v>
      </c>
      <c r="B74" s="509" t="s">
        <v>0</v>
      </c>
      <c r="C74" s="591" t="s">
        <v>65</v>
      </c>
      <c r="D74" s="592" t="s">
        <v>39</v>
      </c>
      <c r="E74" s="593">
        <v>1.0982561509578477</v>
      </c>
      <c r="F74" s="594">
        <v>272319.78286709613</v>
      </c>
      <c r="G74" s="595"/>
      <c r="H74" s="593"/>
      <c r="I74" s="594"/>
      <c r="J74" s="595" t="s">
        <v>39</v>
      </c>
      <c r="K74" s="593">
        <v>1.2136249722242778</v>
      </c>
      <c r="L74" s="594">
        <v>213498.49</v>
      </c>
      <c r="M74" s="598"/>
      <c r="N74" s="608">
        <v>-58821.292867096141</v>
      </c>
      <c r="O74" s="595" t="s">
        <v>39</v>
      </c>
      <c r="P74" s="593">
        <v>1.4181949850986673</v>
      </c>
      <c r="Q74" s="594">
        <v>184182.33000000002</v>
      </c>
      <c r="R74" s="598"/>
      <c r="S74" s="608">
        <v>29316.159999999974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522" t="s">
        <v>277</v>
      </c>
      <c r="B75" s="509" t="s">
        <v>0</v>
      </c>
      <c r="C75" s="530" t="s">
        <v>197</v>
      </c>
      <c r="D75" s="583"/>
      <c r="E75" s="509"/>
      <c r="F75" s="531">
        <v>0</v>
      </c>
      <c r="G75" s="584"/>
      <c r="H75" s="509"/>
      <c r="I75" s="531"/>
      <c r="J75" s="530"/>
      <c r="K75" s="509"/>
      <c r="L75" s="533">
        <v>45250</v>
      </c>
      <c r="M75" s="530"/>
      <c r="N75" s="556">
        <v>45250</v>
      </c>
      <c r="O75" s="530"/>
      <c r="P75" s="509"/>
      <c r="Q75" s="533">
        <v>0</v>
      </c>
      <c r="R75" s="530"/>
      <c r="S75" s="556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522" t="s">
        <v>278</v>
      </c>
      <c r="B76" s="509" t="s">
        <v>0</v>
      </c>
      <c r="C76" s="530" t="s">
        <v>194</v>
      </c>
      <c r="D76" s="583"/>
      <c r="E76" s="509"/>
      <c r="F76" s="531">
        <v>0</v>
      </c>
      <c r="G76" s="584"/>
      <c r="H76" s="509"/>
      <c r="I76" s="531"/>
      <c r="J76" s="530"/>
      <c r="K76" s="509"/>
      <c r="L76" s="533">
        <v>0</v>
      </c>
      <c r="M76" s="530"/>
      <c r="N76" s="556">
        <v>0</v>
      </c>
      <c r="O76" s="530"/>
      <c r="P76" s="509"/>
      <c r="Q76" s="533">
        <v>0</v>
      </c>
      <c r="R76" s="530"/>
      <c r="S76" s="556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522" t="s">
        <v>279</v>
      </c>
      <c r="B77" s="509" t="s">
        <v>0</v>
      </c>
      <c r="C77" s="530" t="s">
        <v>68</v>
      </c>
      <c r="D77" s="583"/>
      <c r="E77" s="509"/>
      <c r="F77" s="531">
        <v>0</v>
      </c>
      <c r="G77" s="584"/>
      <c r="H77" s="509"/>
      <c r="I77" s="531"/>
      <c r="J77" s="530"/>
      <c r="K77" s="509"/>
      <c r="L77" s="533">
        <v>0</v>
      </c>
      <c r="M77" s="530"/>
      <c r="N77" s="556">
        <v>0</v>
      </c>
      <c r="O77" s="530"/>
      <c r="P77" s="509"/>
      <c r="Q77" s="533">
        <v>0</v>
      </c>
      <c r="R77" s="530"/>
      <c r="S77" s="556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522" t="s">
        <v>280</v>
      </c>
      <c r="B78" s="509" t="s">
        <v>0</v>
      </c>
      <c r="C78" s="530" t="s">
        <v>69</v>
      </c>
      <c r="D78" s="583"/>
      <c r="E78" s="609">
        <v>1405.8875697008341</v>
      </c>
      <c r="F78" s="531">
        <v>104035.68015786173</v>
      </c>
      <c r="G78" s="584"/>
      <c r="H78" s="509"/>
      <c r="I78" s="531"/>
      <c r="J78" s="610">
        <v>1.0121192879091445</v>
      </c>
      <c r="K78" s="609">
        <v>1422.9259259259259</v>
      </c>
      <c r="L78" s="533">
        <v>76838</v>
      </c>
      <c r="M78" s="530"/>
      <c r="N78" s="556">
        <v>-27197.680157861731</v>
      </c>
      <c r="O78" s="530"/>
      <c r="P78" s="509"/>
      <c r="Q78" s="533">
        <v>66750.850000000006</v>
      </c>
      <c r="R78" s="530"/>
      <c r="S78" s="556">
        <v>10087.149999999994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522" t="s">
        <v>233</v>
      </c>
      <c r="B79" s="509" t="s">
        <v>0</v>
      </c>
      <c r="C79" s="530" t="s">
        <v>20</v>
      </c>
      <c r="D79" s="583"/>
      <c r="E79" s="509"/>
      <c r="F79" s="531">
        <v>0</v>
      </c>
      <c r="G79" s="584"/>
      <c r="H79" s="509"/>
      <c r="I79" s="531"/>
      <c r="J79" s="530"/>
      <c r="K79" s="509"/>
      <c r="L79" s="533">
        <v>0</v>
      </c>
      <c r="M79" s="530"/>
      <c r="N79" s="556">
        <v>0</v>
      </c>
      <c r="O79" s="530"/>
      <c r="P79" s="509"/>
      <c r="Q79" s="533">
        <v>0</v>
      </c>
      <c r="R79" s="530"/>
      <c r="S79" s="556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522" t="s">
        <v>233</v>
      </c>
      <c r="B80" s="509" t="s">
        <v>0</v>
      </c>
      <c r="C80" s="530" t="s">
        <v>20</v>
      </c>
      <c r="D80" s="583"/>
      <c r="E80" s="509"/>
      <c r="F80" s="531">
        <v>0</v>
      </c>
      <c r="G80" s="584"/>
      <c r="H80" s="509"/>
      <c r="I80" s="531"/>
      <c r="J80" s="530"/>
      <c r="K80" s="509"/>
      <c r="L80" s="533">
        <v>0</v>
      </c>
      <c r="M80" s="530"/>
      <c r="N80" s="556">
        <v>0</v>
      </c>
      <c r="O80" s="530"/>
      <c r="P80" s="509"/>
      <c r="Q80" s="533">
        <v>0</v>
      </c>
      <c r="R80" s="530"/>
      <c r="S80" s="556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522" t="s">
        <v>233</v>
      </c>
      <c r="B81" s="509" t="s">
        <v>0</v>
      </c>
      <c r="C81" s="530" t="s">
        <v>20</v>
      </c>
      <c r="D81" s="583"/>
      <c r="E81" s="509"/>
      <c r="F81" s="531">
        <v>0</v>
      </c>
      <c r="G81" s="584"/>
      <c r="H81" s="509"/>
      <c r="I81" s="531"/>
      <c r="J81" s="530"/>
      <c r="K81" s="509"/>
      <c r="L81" s="533">
        <v>0</v>
      </c>
      <c r="M81" s="530"/>
      <c r="N81" s="556">
        <v>0</v>
      </c>
      <c r="O81" s="530"/>
      <c r="P81" s="509"/>
      <c r="Q81" s="533">
        <v>0</v>
      </c>
      <c r="R81" s="530"/>
      <c r="S81" s="556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11" t="s">
        <v>281</v>
      </c>
      <c r="B82" s="612" t="s">
        <v>0</v>
      </c>
      <c r="C82" s="530" t="s">
        <v>70</v>
      </c>
      <c r="D82" s="613">
        <v>0.95</v>
      </c>
      <c r="E82" s="614">
        <v>474.04999999999995</v>
      </c>
      <c r="F82" s="531">
        <v>34131.599999999999</v>
      </c>
      <c r="G82" s="584"/>
      <c r="H82" s="509"/>
      <c r="I82" s="531"/>
      <c r="J82" s="610">
        <v>0.95011169024571862</v>
      </c>
      <c r="K82" s="614">
        <v>450.35294117647061</v>
      </c>
      <c r="L82" s="533">
        <v>22968</v>
      </c>
      <c r="M82" s="530"/>
      <c r="N82" s="556">
        <v>-11163.599999999999</v>
      </c>
      <c r="O82" s="530"/>
      <c r="P82" s="509"/>
      <c r="Q82" s="533">
        <v>24378</v>
      </c>
      <c r="R82" s="530"/>
      <c r="S82" s="556">
        <v>-1410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522" t="s">
        <v>282</v>
      </c>
      <c r="B83" s="509" t="s">
        <v>0</v>
      </c>
      <c r="C83" s="591" t="s">
        <v>71</v>
      </c>
      <c r="D83" s="592"/>
      <c r="E83" s="593"/>
      <c r="F83" s="594">
        <v>138167.28015786174</v>
      </c>
      <c r="G83" s="595"/>
      <c r="H83" s="593"/>
      <c r="I83" s="594"/>
      <c r="J83" s="595"/>
      <c r="K83" s="593"/>
      <c r="L83" s="594">
        <v>145056</v>
      </c>
      <c r="M83" s="598"/>
      <c r="N83" s="594">
        <v>6888.7198421382709</v>
      </c>
      <c r="O83" s="595"/>
      <c r="P83" s="593"/>
      <c r="Q83" s="594">
        <v>91128.85</v>
      </c>
      <c r="R83" s="598"/>
      <c r="S83" s="594">
        <v>8677.1499999999942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522" t="s">
        <v>0</v>
      </c>
      <c r="B84" s="509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522" t="s">
        <v>283</v>
      </c>
      <c r="B85" s="509" t="s">
        <v>0</v>
      </c>
      <c r="C85" s="623" t="s">
        <v>72</v>
      </c>
      <c r="D85" s="624"/>
      <c r="E85" s="625"/>
      <c r="F85" s="626">
        <v>113804.02603826366</v>
      </c>
      <c r="G85" s="627"/>
      <c r="H85" s="625"/>
      <c r="I85" s="626"/>
      <c r="J85" s="627"/>
      <c r="K85" s="624"/>
      <c r="L85" s="626">
        <v>107475.51999999981</v>
      </c>
      <c r="M85" s="627"/>
      <c r="N85" s="626">
        <v>-6328.5060382638003</v>
      </c>
      <c r="O85" s="627"/>
      <c r="P85" s="628">
        <v>1.4905170428997149E-2</v>
      </c>
      <c r="Q85" s="626">
        <v>36817.470000000161</v>
      </c>
      <c r="R85" s="627"/>
      <c r="S85" s="626">
        <v>25408.049999999635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3" t="s">
        <v>478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4" t="s">
        <v>484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220</v>
      </c>
      <c r="N91" s="513"/>
      <c r="O91" s="511" t="s">
        <v>8</v>
      </c>
      <c r="P91" s="512"/>
      <c r="Q91" s="513"/>
      <c r="R91" s="514" t="s">
        <v>221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30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473</v>
      </c>
      <c r="K92" s="519" t="s">
        <v>13</v>
      </c>
      <c r="L92" s="520" t="s">
        <v>12</v>
      </c>
      <c r="M92" s="521" t="s">
        <v>473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473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522" t="s">
        <v>284</v>
      </c>
      <c r="B93" s="509" t="s">
        <v>73</v>
      </c>
      <c r="C93" s="523" t="s">
        <v>15</v>
      </c>
      <c r="D93" s="527"/>
      <c r="E93" s="527"/>
      <c r="F93" s="525">
        <v>2168676.7122492362</v>
      </c>
      <c r="G93" s="544"/>
      <c r="H93" s="527"/>
      <c r="I93" s="525"/>
      <c r="J93" s="523"/>
      <c r="K93" s="527"/>
      <c r="L93" s="525">
        <v>1500069.75</v>
      </c>
      <c r="M93" s="635"/>
      <c r="N93" s="636"/>
      <c r="O93" s="523"/>
      <c r="P93" s="527"/>
      <c r="Q93" s="525">
        <v>1341799.54</v>
      </c>
      <c r="R93" s="635"/>
      <c r="S93" s="636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522" t="s">
        <v>285</v>
      </c>
      <c r="B94" s="509" t="s">
        <v>73</v>
      </c>
      <c r="C94" s="530" t="s">
        <v>75</v>
      </c>
      <c r="D94" s="531">
        <v>33</v>
      </c>
      <c r="E94" s="531">
        <v>1400</v>
      </c>
      <c r="F94" s="531">
        <v>46200</v>
      </c>
      <c r="G94" s="532"/>
      <c r="H94" s="531"/>
      <c r="I94" s="531"/>
      <c r="J94" s="532">
        <v>15</v>
      </c>
      <c r="K94" s="531">
        <v>2694.2226666666684</v>
      </c>
      <c r="L94" s="533">
        <v>40413.340000000026</v>
      </c>
      <c r="M94" s="532">
        <v>-18</v>
      </c>
      <c r="N94" s="533">
        <v>-5786.6599999999744</v>
      </c>
      <c r="O94" s="532">
        <v>37</v>
      </c>
      <c r="P94" s="531">
        <v>1033.9343243243243</v>
      </c>
      <c r="Q94" s="533">
        <v>38255.57</v>
      </c>
      <c r="R94" s="532">
        <v>-22</v>
      </c>
      <c r="S94" s="533">
        <v>2157.7700000000259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522" t="s">
        <v>286</v>
      </c>
      <c r="B95" s="509" t="s">
        <v>73</v>
      </c>
      <c r="C95" s="530" t="s">
        <v>76</v>
      </c>
      <c r="D95" s="531">
        <v>4</v>
      </c>
      <c r="E95" s="531">
        <v>1800</v>
      </c>
      <c r="F95" s="531">
        <v>7200</v>
      </c>
      <c r="G95" s="532"/>
      <c r="H95" s="531"/>
      <c r="I95" s="531"/>
      <c r="J95" s="532">
        <v>0</v>
      </c>
      <c r="K95" s="531">
        <v>0</v>
      </c>
      <c r="L95" s="533">
        <v>0</v>
      </c>
      <c r="M95" s="532">
        <v>-4</v>
      </c>
      <c r="N95" s="533">
        <v>-7200</v>
      </c>
      <c r="O95" s="532">
        <v>3</v>
      </c>
      <c r="P95" s="531">
        <v>-1128.6233333333332</v>
      </c>
      <c r="Q95" s="533">
        <v>-3385.87</v>
      </c>
      <c r="R95" s="532">
        <v>-3</v>
      </c>
      <c r="S95" s="533">
        <v>3385.87</v>
      </c>
      <c r="T95" s="509"/>
      <c r="U95" s="509"/>
      <c r="V95" s="637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522" t="s">
        <v>287</v>
      </c>
      <c r="B96" s="509" t="s">
        <v>73</v>
      </c>
      <c r="C96" s="530" t="s">
        <v>224</v>
      </c>
      <c r="D96" s="531">
        <v>5</v>
      </c>
      <c r="E96" s="527">
        <v>1500</v>
      </c>
      <c r="F96" s="531">
        <v>7500</v>
      </c>
      <c r="G96" s="532"/>
      <c r="H96" s="531"/>
      <c r="I96" s="531"/>
      <c r="J96" s="532">
        <v>0</v>
      </c>
      <c r="K96" s="531">
        <v>0</v>
      </c>
      <c r="L96" s="533">
        <v>0</v>
      </c>
      <c r="M96" s="532">
        <v>-5</v>
      </c>
      <c r="N96" s="533">
        <v>-7500</v>
      </c>
      <c r="O96" s="532">
        <v>3</v>
      </c>
      <c r="P96" s="531">
        <v>2230.9333333333334</v>
      </c>
      <c r="Q96" s="533">
        <v>6692.8</v>
      </c>
      <c r="R96" s="532">
        <v>-3</v>
      </c>
      <c r="S96" s="533">
        <v>-6692.8</v>
      </c>
      <c r="T96" s="509"/>
      <c r="U96" s="509"/>
      <c r="V96" s="637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522" t="s">
        <v>288</v>
      </c>
      <c r="B97" s="509" t="s">
        <v>73</v>
      </c>
      <c r="C97" s="536" t="s">
        <v>77</v>
      </c>
      <c r="D97" s="537">
        <v>42</v>
      </c>
      <c r="E97" s="531">
        <v>1450</v>
      </c>
      <c r="F97" s="538">
        <v>60900</v>
      </c>
      <c r="G97" s="539"/>
      <c r="H97" s="537"/>
      <c r="I97" s="538"/>
      <c r="J97" s="539">
        <v>15</v>
      </c>
      <c r="K97" s="537">
        <v>2694.2226666666684</v>
      </c>
      <c r="L97" s="538">
        <v>40413.340000000026</v>
      </c>
      <c r="M97" s="539">
        <v>-27</v>
      </c>
      <c r="N97" s="538">
        <v>-20486.659999999974</v>
      </c>
      <c r="O97" s="539">
        <v>43</v>
      </c>
      <c r="P97" s="537">
        <v>966.56976744186045</v>
      </c>
      <c r="Q97" s="538">
        <v>41562.5</v>
      </c>
      <c r="R97" s="539">
        <v>-25</v>
      </c>
      <c r="S97" s="538">
        <v>5543.6400000000258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2"/>
      <c r="AD97" s="509"/>
      <c r="AE97" s="509"/>
      <c r="AF97" s="572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522" t="s">
        <v>73</v>
      </c>
      <c r="B98" s="509" t="s">
        <v>73</v>
      </c>
      <c r="C98" s="530"/>
      <c r="D98" s="509"/>
      <c r="E98" s="531">
        <v>0</v>
      </c>
      <c r="F98" s="540"/>
      <c r="G98" s="530"/>
      <c r="H98" s="509"/>
      <c r="I98" s="540"/>
      <c r="J98" s="530"/>
      <c r="K98" s="509"/>
      <c r="L98" s="540"/>
      <c r="M98" s="638">
        <v>-0.6428571428571429</v>
      </c>
      <c r="N98" s="639">
        <v>-0.33639835796387479</v>
      </c>
      <c r="O98" s="530"/>
      <c r="P98" s="509">
        <v>0</v>
      </c>
      <c r="Q98" s="540"/>
      <c r="R98" s="638">
        <v>-0.58139534883720934</v>
      </c>
      <c r="S98" s="639">
        <v>0.13338081203007582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522" t="s">
        <v>73</v>
      </c>
      <c r="B99" s="509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09"/>
      <c r="U99" s="509"/>
      <c r="V99" s="509"/>
      <c r="W99" s="531"/>
      <c r="X99" s="531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522" t="s">
        <v>289</v>
      </c>
      <c r="B100" s="509" t="s">
        <v>73</v>
      </c>
      <c r="C100" s="530" t="s">
        <v>78</v>
      </c>
      <c r="D100" s="531">
        <v>45</v>
      </c>
      <c r="E100" s="531">
        <v>400</v>
      </c>
      <c r="F100" s="531">
        <v>18000</v>
      </c>
      <c r="G100" s="532"/>
      <c r="H100" s="531"/>
      <c r="I100" s="531"/>
      <c r="J100" s="532">
        <v>52</v>
      </c>
      <c r="K100" s="640">
        <v>182.21538461538373</v>
      </c>
      <c r="L100" s="533">
        <v>9475.1999999999534</v>
      </c>
      <c r="M100" s="532">
        <v>7</v>
      </c>
      <c r="N100" s="533">
        <v>-8524.8000000000466</v>
      </c>
      <c r="O100" s="532">
        <v>23</v>
      </c>
      <c r="P100" s="531">
        <v>251.70434782608737</v>
      </c>
      <c r="Q100" s="533">
        <v>5789.2000000000098</v>
      </c>
      <c r="R100" s="532">
        <v>29</v>
      </c>
      <c r="S100" s="533">
        <v>3685.9999999999436</v>
      </c>
      <c r="T100" s="509"/>
      <c r="U100" s="531"/>
      <c r="V100" s="509"/>
      <c r="W100" s="509"/>
      <c r="X100" s="509"/>
      <c r="Y100" s="509"/>
      <c r="Z100" s="509"/>
      <c r="AA100" s="509"/>
      <c r="AB100" s="509"/>
      <c r="AC100" s="572"/>
      <c r="AD100" s="509"/>
      <c r="AE100" s="509"/>
      <c r="AF100" s="641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522" t="s">
        <v>73</v>
      </c>
      <c r="B101" s="509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2"/>
      <c r="O101" s="544"/>
      <c r="P101" s="527"/>
      <c r="Q101" s="525"/>
      <c r="R101" s="545"/>
      <c r="S101" s="642"/>
      <c r="T101" s="509"/>
      <c r="U101" s="509"/>
      <c r="V101" s="509"/>
      <c r="W101" s="531"/>
      <c r="X101" s="509"/>
      <c r="Y101" s="509"/>
      <c r="Z101" s="509"/>
      <c r="AA101" s="509"/>
      <c r="AB101" s="509"/>
      <c r="AC101" s="509"/>
      <c r="AD101" s="509"/>
      <c r="AE101" s="509"/>
      <c r="AF101" s="641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522" t="s">
        <v>290</v>
      </c>
      <c r="B102" s="509" t="s">
        <v>73</v>
      </c>
      <c r="C102" s="530" t="s">
        <v>25</v>
      </c>
      <c r="D102" s="531">
        <v>0</v>
      </c>
      <c r="E102" s="531">
        <v>0</v>
      </c>
      <c r="F102" s="533">
        <v>25200</v>
      </c>
      <c r="G102" s="532"/>
      <c r="H102" s="531"/>
      <c r="I102" s="531"/>
      <c r="J102" s="532"/>
      <c r="K102" s="531">
        <v>75.055333333333323</v>
      </c>
      <c r="L102" s="533">
        <v>1125.83</v>
      </c>
      <c r="M102" s="532"/>
      <c r="N102" s="533">
        <v>-24074.17</v>
      </c>
      <c r="O102" s="532"/>
      <c r="P102" s="531"/>
      <c r="Q102" s="533">
        <v>15224.94</v>
      </c>
      <c r="R102" s="532">
        <v>-75.055333333333323</v>
      </c>
      <c r="S102" s="533">
        <v>-14099.11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522" t="s">
        <v>291</v>
      </c>
      <c r="B103" s="509" t="s">
        <v>73</v>
      </c>
      <c r="C103" s="530" t="s">
        <v>26</v>
      </c>
      <c r="D103" s="531">
        <v>0</v>
      </c>
      <c r="E103" s="531">
        <v>0</v>
      </c>
      <c r="F103" s="533">
        <v>52500</v>
      </c>
      <c r="G103" s="532"/>
      <c r="H103" s="531"/>
      <c r="I103" s="531"/>
      <c r="J103" s="532"/>
      <c r="K103" s="531">
        <v>1976.5013333333334</v>
      </c>
      <c r="L103" s="533">
        <v>29647.52</v>
      </c>
      <c r="M103" s="532"/>
      <c r="N103" s="533">
        <v>-22852.48</v>
      </c>
      <c r="O103" s="532"/>
      <c r="P103" s="531"/>
      <c r="Q103" s="533">
        <v>67131.34</v>
      </c>
      <c r="R103" s="532">
        <v>-1976.5013333333334</v>
      </c>
      <c r="S103" s="533">
        <v>-37483.819999999992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522" t="s">
        <v>292</v>
      </c>
      <c r="B104" s="509" t="s">
        <v>73</v>
      </c>
      <c r="C104" s="530" t="s">
        <v>27</v>
      </c>
      <c r="D104" s="531">
        <v>0</v>
      </c>
      <c r="E104" s="527">
        <v>0</v>
      </c>
      <c r="F104" s="533">
        <v>2100</v>
      </c>
      <c r="G104" s="532"/>
      <c r="H104" s="527"/>
      <c r="I104" s="531"/>
      <c r="J104" s="532"/>
      <c r="K104" s="527">
        <v>17.580666666666666</v>
      </c>
      <c r="L104" s="533">
        <v>263.70999999999998</v>
      </c>
      <c r="M104" s="544"/>
      <c r="N104" s="533">
        <v>-1836.29</v>
      </c>
      <c r="O104" s="532"/>
      <c r="P104" s="527"/>
      <c r="Q104" s="533">
        <v>1145.29</v>
      </c>
      <c r="R104" s="532">
        <v>-17.580666666666666</v>
      </c>
      <c r="S104" s="533">
        <v>-881.57999999999993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522" t="s">
        <v>293</v>
      </c>
      <c r="B105" s="509" t="s">
        <v>73</v>
      </c>
      <c r="C105" s="536" t="s">
        <v>28</v>
      </c>
      <c r="D105" s="537">
        <v>42</v>
      </c>
      <c r="E105" s="531">
        <v>1900</v>
      </c>
      <c r="F105" s="538">
        <v>79800</v>
      </c>
      <c r="G105" s="539"/>
      <c r="H105" s="537"/>
      <c r="I105" s="538"/>
      <c r="J105" s="539">
        <v>15</v>
      </c>
      <c r="K105" s="537">
        <v>2069.1373333333331</v>
      </c>
      <c r="L105" s="538">
        <v>31037.059999999998</v>
      </c>
      <c r="M105" s="532">
        <v>-27</v>
      </c>
      <c r="N105" s="538">
        <v>-48762.94</v>
      </c>
      <c r="O105" s="539">
        <v>43</v>
      </c>
      <c r="P105" s="537">
        <v>1941.8969767441858</v>
      </c>
      <c r="Q105" s="538">
        <v>83501.569999999992</v>
      </c>
      <c r="R105" s="553"/>
      <c r="S105" s="538">
        <v>-52464.509999999995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522" t="s">
        <v>73</v>
      </c>
      <c r="B106" s="509" t="s">
        <v>73</v>
      </c>
      <c r="C106" s="530"/>
      <c r="D106" s="509"/>
      <c r="E106" s="509"/>
      <c r="F106" s="556"/>
      <c r="G106" s="530"/>
      <c r="H106" s="643"/>
      <c r="I106" s="556"/>
      <c r="J106" s="530"/>
      <c r="K106" s="509"/>
      <c r="L106" s="556"/>
      <c r="M106" s="547"/>
      <c r="N106" s="548">
        <v>-0.61106441102756892</v>
      </c>
      <c r="O106" s="530"/>
      <c r="P106" s="509"/>
      <c r="Q106" s="556"/>
      <c r="R106" s="557"/>
      <c r="S106" s="548">
        <v>-0.62830567137839444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522" t="s">
        <v>73</v>
      </c>
      <c r="B107" s="509" t="s">
        <v>73</v>
      </c>
      <c r="C107" s="530"/>
      <c r="D107" s="509"/>
      <c r="E107" s="509"/>
      <c r="F107" s="556"/>
      <c r="G107" s="530"/>
      <c r="H107" s="643"/>
      <c r="I107" s="556"/>
      <c r="J107" s="530"/>
      <c r="K107" s="509"/>
      <c r="L107" s="556"/>
      <c r="M107" s="547"/>
      <c r="N107" s="548"/>
      <c r="O107" s="530"/>
      <c r="P107" s="509"/>
      <c r="Q107" s="556"/>
      <c r="R107" s="557"/>
      <c r="S107" s="548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522" t="s">
        <v>294</v>
      </c>
      <c r="B108" s="509" t="s">
        <v>73</v>
      </c>
      <c r="C108" s="558" t="s">
        <v>79</v>
      </c>
      <c r="D108" s="559">
        <v>87</v>
      </c>
      <c r="E108" s="560">
        <v>1824.1379310344828</v>
      </c>
      <c r="F108" s="561">
        <v>158700</v>
      </c>
      <c r="G108" s="562"/>
      <c r="H108" s="644"/>
      <c r="I108" s="561"/>
      <c r="J108" s="562">
        <v>67</v>
      </c>
      <c r="K108" s="560">
        <v>1207.8447761194027</v>
      </c>
      <c r="L108" s="561">
        <v>80925.599999999977</v>
      </c>
      <c r="M108" s="562">
        <v>-20</v>
      </c>
      <c r="N108" s="561">
        <v>-77774.400000000023</v>
      </c>
      <c r="O108" s="562">
        <v>66</v>
      </c>
      <c r="P108" s="560">
        <v>1982.625303030303</v>
      </c>
      <c r="Q108" s="561">
        <v>130853.27</v>
      </c>
      <c r="R108" s="562">
        <v>1</v>
      </c>
      <c r="S108" s="561">
        <v>-49927.670000000027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522" t="s">
        <v>73</v>
      </c>
      <c r="B109" s="509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0.50992816635160665</v>
      </c>
      <c r="M109" s="568">
        <v>-0.22988505747126436</v>
      </c>
      <c r="N109" s="569">
        <v>-0.49007183364839335</v>
      </c>
      <c r="O109" s="563"/>
      <c r="P109" s="564"/>
      <c r="Q109" s="565"/>
      <c r="R109" s="645">
        <v>66</v>
      </c>
      <c r="S109" s="646">
        <v>-0.38155462221158115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522" t="s">
        <v>73</v>
      </c>
      <c r="B110" s="509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522" t="s">
        <v>295</v>
      </c>
      <c r="B111" s="509" t="s">
        <v>73</v>
      </c>
      <c r="C111" s="573" t="s">
        <v>30</v>
      </c>
      <c r="D111" s="509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522" t="s">
        <v>296</v>
      </c>
      <c r="B112" s="509" t="s">
        <v>73</v>
      </c>
      <c r="C112" s="530" t="s">
        <v>31</v>
      </c>
      <c r="D112" s="647">
        <v>0.33838336896241905</v>
      </c>
      <c r="E112" s="572">
        <v>490.65588499550768</v>
      </c>
      <c r="F112" s="531">
        <v>20607.547169811322</v>
      </c>
      <c r="G112" s="576"/>
      <c r="H112" s="572"/>
      <c r="I112" s="531"/>
      <c r="J112" s="576">
        <v>0.2793025768224055</v>
      </c>
      <c r="K112" s="572">
        <v>752.50333333333333</v>
      </c>
      <c r="L112" s="533">
        <v>11287.55</v>
      </c>
      <c r="M112" s="530"/>
      <c r="N112" s="556">
        <v>-9319.9971698113222</v>
      </c>
      <c r="O112" s="577">
        <v>0.61366472180451126</v>
      </c>
      <c r="P112" s="572">
        <v>593.14976744186049</v>
      </c>
      <c r="Q112" s="533">
        <v>25505.439999999999</v>
      </c>
      <c r="R112" s="530"/>
      <c r="S112" s="556">
        <v>-14217.89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522" t="s">
        <v>297</v>
      </c>
      <c r="B113" s="509" t="s">
        <v>73</v>
      </c>
      <c r="C113" s="523" t="s">
        <v>32</v>
      </c>
      <c r="D113" s="648">
        <v>0.3</v>
      </c>
      <c r="E113" s="579">
        <v>570</v>
      </c>
      <c r="F113" s="525">
        <v>23940</v>
      </c>
      <c r="G113" s="580"/>
      <c r="H113" s="579"/>
      <c r="I113" s="525"/>
      <c r="J113" s="580">
        <v>0.29999072077058847</v>
      </c>
      <c r="K113" s="579">
        <v>620.72199999999998</v>
      </c>
      <c r="L113" s="533">
        <v>9310.83</v>
      </c>
      <c r="M113" s="523"/>
      <c r="N113" s="581">
        <v>-14629.17</v>
      </c>
      <c r="O113" s="582">
        <v>0.2676274553941777</v>
      </c>
      <c r="P113" s="579">
        <v>582.56627906976746</v>
      </c>
      <c r="Q113" s="533">
        <v>25050.35</v>
      </c>
      <c r="R113" s="523"/>
      <c r="S113" s="581">
        <v>-15739.519999999999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522" t="s">
        <v>298</v>
      </c>
      <c r="B114" s="509" t="s">
        <v>73</v>
      </c>
      <c r="C114" s="530" t="s">
        <v>33</v>
      </c>
      <c r="D114" s="583"/>
      <c r="E114" s="572">
        <v>8</v>
      </c>
      <c r="F114" s="531">
        <v>336</v>
      </c>
      <c r="G114" s="584"/>
      <c r="H114" s="572"/>
      <c r="I114" s="531"/>
      <c r="J114" s="530"/>
      <c r="K114" s="572">
        <v>90.434666666666672</v>
      </c>
      <c r="L114" s="552">
        <v>1356.52</v>
      </c>
      <c r="M114" s="530"/>
      <c r="N114" s="556">
        <v>1020.52</v>
      </c>
      <c r="O114" s="530"/>
      <c r="P114" s="572">
        <v>-46.540465116279073</v>
      </c>
      <c r="Q114" s="552">
        <v>-2001.24</v>
      </c>
      <c r="R114" s="530"/>
      <c r="S114" s="556">
        <v>3357.76</v>
      </c>
      <c r="T114" s="509"/>
      <c r="U114" s="506"/>
      <c r="V114" s="509"/>
      <c r="W114" s="531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522" t="s">
        <v>299</v>
      </c>
      <c r="B115" s="509" t="s">
        <v>73</v>
      </c>
      <c r="C115" s="530" t="s">
        <v>34</v>
      </c>
      <c r="D115" s="583"/>
      <c r="E115" s="572">
        <v>45</v>
      </c>
      <c r="F115" s="531">
        <v>1890</v>
      </c>
      <c r="G115" s="584"/>
      <c r="H115" s="572"/>
      <c r="I115" s="531"/>
      <c r="J115" s="530"/>
      <c r="K115" s="572">
        <v>139.15133333333333</v>
      </c>
      <c r="L115" s="533">
        <v>2087.27</v>
      </c>
      <c r="M115" s="530"/>
      <c r="N115" s="556">
        <v>197.26999999999998</v>
      </c>
      <c r="O115" s="530"/>
      <c r="P115" s="572">
        <v>54.457906976744191</v>
      </c>
      <c r="Q115" s="533">
        <v>2341.69</v>
      </c>
      <c r="R115" s="530"/>
      <c r="S115" s="556">
        <v>-254.42000000000007</v>
      </c>
      <c r="T115" s="509"/>
      <c r="U115" s="509"/>
      <c r="V115" s="509"/>
      <c r="W115" s="531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522" t="s">
        <v>300</v>
      </c>
      <c r="B116" s="509" t="s">
        <v>73</v>
      </c>
      <c r="C116" s="523" t="s">
        <v>35</v>
      </c>
      <c r="D116" s="586"/>
      <c r="E116" s="579">
        <v>160</v>
      </c>
      <c r="F116" s="525">
        <v>6720</v>
      </c>
      <c r="G116" s="587"/>
      <c r="H116" s="579"/>
      <c r="I116" s="525"/>
      <c r="J116" s="523"/>
      <c r="K116" s="579">
        <v>426.20733333333334</v>
      </c>
      <c r="L116" s="525">
        <v>6393.11</v>
      </c>
      <c r="M116" s="523"/>
      <c r="N116" s="581">
        <v>-326.89000000000033</v>
      </c>
      <c r="O116" s="523"/>
      <c r="P116" s="579">
        <v>136.26488372093024</v>
      </c>
      <c r="Q116" s="525">
        <v>5859.39</v>
      </c>
      <c r="R116" s="523"/>
      <c r="S116" s="581">
        <v>533.71999999999935</v>
      </c>
      <c r="T116" s="509"/>
      <c r="U116" s="506"/>
      <c r="V116" s="509"/>
      <c r="W116" s="531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522" t="s">
        <v>301</v>
      </c>
      <c r="B117" s="509" t="s">
        <v>73</v>
      </c>
      <c r="C117" s="530" t="s">
        <v>36</v>
      </c>
      <c r="D117" s="583"/>
      <c r="E117" s="572">
        <v>263.85714285714283</v>
      </c>
      <c r="F117" s="531">
        <v>11082</v>
      </c>
      <c r="G117" s="584"/>
      <c r="H117" s="572"/>
      <c r="I117" s="531"/>
      <c r="J117" s="530"/>
      <c r="K117" s="572">
        <v>808.72799999999995</v>
      </c>
      <c r="L117" s="533">
        <v>12130.92</v>
      </c>
      <c r="M117" s="530"/>
      <c r="N117" s="556">
        <v>1048.92</v>
      </c>
      <c r="O117" s="530"/>
      <c r="P117" s="572">
        <v>302.94023255813954</v>
      </c>
      <c r="Q117" s="533">
        <v>13026.43</v>
      </c>
      <c r="R117" s="530"/>
      <c r="S117" s="556">
        <v>-895.51000000000022</v>
      </c>
      <c r="T117" s="509"/>
      <c r="U117" s="509"/>
      <c r="V117" s="509"/>
      <c r="W117" s="531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522" t="s">
        <v>302</v>
      </c>
      <c r="B118" s="509" t="s">
        <v>73</v>
      </c>
      <c r="C118" s="530" t="s">
        <v>37</v>
      </c>
      <c r="D118" s="583"/>
      <c r="E118" s="572">
        <v>189.15016859344894</v>
      </c>
      <c r="F118" s="531">
        <v>7944.3070809248557</v>
      </c>
      <c r="G118" s="584"/>
      <c r="H118" s="572"/>
      <c r="I118" s="531"/>
      <c r="J118" s="530"/>
      <c r="K118" s="572">
        <v>46.106666666666669</v>
      </c>
      <c r="L118" s="533">
        <v>691.6</v>
      </c>
      <c r="M118" s="530"/>
      <c r="N118" s="556">
        <v>-7252.7070809248553</v>
      </c>
      <c r="O118" s="530"/>
      <c r="P118" s="572">
        <v>74.765116279069773</v>
      </c>
      <c r="Q118" s="533">
        <v>3214.9</v>
      </c>
      <c r="R118" s="530"/>
      <c r="S118" s="556">
        <v>-2523.3000000000002</v>
      </c>
      <c r="T118" s="509"/>
      <c r="U118" s="509"/>
      <c r="V118" s="509"/>
      <c r="W118" s="531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522" t="s">
        <v>303</v>
      </c>
      <c r="B119" s="509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522" t="s">
        <v>303</v>
      </c>
      <c r="B120" s="509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522" t="s">
        <v>303</v>
      </c>
      <c r="B121" s="509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522" t="s">
        <v>304</v>
      </c>
      <c r="B122" s="509" t="s">
        <v>73</v>
      </c>
      <c r="C122" s="591" t="s">
        <v>38</v>
      </c>
      <c r="D122" s="592" t="s">
        <v>39</v>
      </c>
      <c r="E122" s="593">
        <v>0.45696190454150087</v>
      </c>
      <c r="F122" s="594">
        <v>72519.854250736185</v>
      </c>
      <c r="G122" s="595"/>
      <c r="H122" s="593"/>
      <c r="I122" s="594"/>
      <c r="J122" s="595" t="s">
        <v>39</v>
      </c>
      <c r="K122" s="593">
        <v>0.53453789653706629</v>
      </c>
      <c r="L122" s="594">
        <v>43257.799999999996</v>
      </c>
      <c r="M122" s="598"/>
      <c r="N122" s="594">
        <v>-29262.05425073619</v>
      </c>
      <c r="O122" s="595" t="s">
        <v>39</v>
      </c>
      <c r="P122" s="593">
        <v>0.55785354084005689</v>
      </c>
      <c r="Q122" s="594">
        <v>72996.959999999992</v>
      </c>
      <c r="R122" s="598"/>
      <c r="S122" s="594">
        <v>-29739.159999999996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522" t="s">
        <v>305</v>
      </c>
      <c r="B123" s="509" t="s">
        <v>73</v>
      </c>
      <c r="C123" s="599" t="s">
        <v>41</v>
      </c>
      <c r="D123" s="509"/>
      <c r="E123" s="509"/>
      <c r="F123" s="531">
        <v>10460.983974358975</v>
      </c>
      <c r="G123" s="530"/>
      <c r="H123" s="509"/>
      <c r="I123" s="531"/>
      <c r="J123" s="530"/>
      <c r="K123" s="509"/>
      <c r="L123" s="533">
        <v>12338.4</v>
      </c>
      <c r="M123" s="530"/>
      <c r="N123" s="556">
        <v>1877.416025641025</v>
      </c>
      <c r="O123" s="530"/>
      <c r="P123" s="509"/>
      <c r="Q123" s="533">
        <v>8898.24</v>
      </c>
      <c r="R123" s="530"/>
      <c r="S123" s="556">
        <v>3440.16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522" t="s">
        <v>306</v>
      </c>
      <c r="B124" s="509" t="s">
        <v>73</v>
      </c>
      <c r="C124" s="601" t="s">
        <v>42</v>
      </c>
      <c r="D124" s="583"/>
      <c r="E124" s="509"/>
      <c r="F124" s="525">
        <v>10493.323076923078</v>
      </c>
      <c r="G124" s="584"/>
      <c r="H124" s="509"/>
      <c r="I124" s="525"/>
      <c r="J124" s="530"/>
      <c r="K124" s="509"/>
      <c r="L124" s="525">
        <v>3437.05</v>
      </c>
      <c r="M124" s="530"/>
      <c r="N124" s="556">
        <v>-7056.2730769230775</v>
      </c>
      <c r="O124" s="530"/>
      <c r="P124" s="509"/>
      <c r="Q124" s="525">
        <v>1857.41</v>
      </c>
      <c r="R124" s="530"/>
      <c r="S124" s="556">
        <v>1579.64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522" t="s">
        <v>307</v>
      </c>
      <c r="B125" s="509" t="s">
        <v>73</v>
      </c>
      <c r="C125" s="599" t="s">
        <v>43</v>
      </c>
      <c r="D125" s="602"/>
      <c r="E125" s="603"/>
      <c r="F125" s="531">
        <v>4181.1153846153848</v>
      </c>
      <c r="G125" s="604"/>
      <c r="H125" s="603"/>
      <c r="I125" s="531"/>
      <c r="J125" s="517"/>
      <c r="K125" s="603"/>
      <c r="L125" s="533">
        <v>4478.2</v>
      </c>
      <c r="M125" s="517"/>
      <c r="N125" s="605">
        <v>297.08461538461506</v>
      </c>
      <c r="O125" s="517"/>
      <c r="P125" s="603"/>
      <c r="Q125" s="533">
        <v>5694.09</v>
      </c>
      <c r="R125" s="517"/>
      <c r="S125" s="605">
        <v>-1215.8900000000003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522" t="s">
        <v>308</v>
      </c>
      <c r="B126" s="509" t="s">
        <v>73</v>
      </c>
      <c r="C126" s="599" t="s">
        <v>44</v>
      </c>
      <c r="D126" s="583"/>
      <c r="E126" s="509"/>
      <c r="F126" s="531">
        <v>0</v>
      </c>
      <c r="G126" s="584"/>
      <c r="H126" s="509"/>
      <c r="I126" s="531"/>
      <c r="J126" s="530"/>
      <c r="K126" s="509"/>
      <c r="L126" s="533">
        <v>0</v>
      </c>
      <c r="M126" s="530"/>
      <c r="N126" s="556">
        <v>0</v>
      </c>
      <c r="O126" s="530"/>
      <c r="P126" s="509"/>
      <c r="Q126" s="533">
        <v>0</v>
      </c>
      <c r="R126" s="530"/>
      <c r="S126" s="556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522" t="s">
        <v>303</v>
      </c>
      <c r="B127" s="509" t="s">
        <v>73</v>
      </c>
      <c r="C127" s="599" t="s">
        <v>20</v>
      </c>
      <c r="D127" s="583"/>
      <c r="E127" s="509"/>
      <c r="F127" s="531">
        <v>0</v>
      </c>
      <c r="G127" s="584"/>
      <c r="H127" s="509"/>
      <c r="I127" s="531"/>
      <c r="J127" s="530"/>
      <c r="K127" s="509"/>
      <c r="L127" s="533">
        <v>0</v>
      </c>
      <c r="M127" s="530"/>
      <c r="N127" s="556">
        <v>0</v>
      </c>
      <c r="O127" s="530"/>
      <c r="P127" s="509"/>
      <c r="Q127" s="533">
        <v>0</v>
      </c>
      <c r="R127" s="530"/>
      <c r="S127" s="556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522" t="s">
        <v>303</v>
      </c>
      <c r="B128" s="509" t="s">
        <v>73</v>
      </c>
      <c r="C128" s="599" t="s">
        <v>20</v>
      </c>
      <c r="D128" s="583"/>
      <c r="E128" s="509"/>
      <c r="F128" s="531">
        <v>0</v>
      </c>
      <c r="G128" s="584"/>
      <c r="H128" s="509"/>
      <c r="I128" s="531"/>
      <c r="J128" s="530"/>
      <c r="K128" s="509"/>
      <c r="L128" s="533">
        <v>0</v>
      </c>
      <c r="M128" s="530"/>
      <c r="N128" s="556">
        <v>0</v>
      </c>
      <c r="O128" s="530"/>
      <c r="P128" s="509"/>
      <c r="Q128" s="533">
        <v>0</v>
      </c>
      <c r="R128" s="530"/>
      <c r="S128" s="556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522" t="s">
        <v>303</v>
      </c>
      <c r="B129" s="509" t="s">
        <v>73</v>
      </c>
      <c r="C129" s="599" t="s">
        <v>20</v>
      </c>
      <c r="D129" s="583"/>
      <c r="E129" s="509"/>
      <c r="F129" s="531">
        <v>0</v>
      </c>
      <c r="G129" s="584"/>
      <c r="H129" s="509"/>
      <c r="I129" s="531"/>
      <c r="J129" s="530"/>
      <c r="K129" s="509"/>
      <c r="L129" s="533">
        <v>0</v>
      </c>
      <c r="M129" s="530"/>
      <c r="N129" s="556">
        <v>0</v>
      </c>
      <c r="O129" s="530"/>
      <c r="P129" s="509"/>
      <c r="Q129" s="533">
        <v>0</v>
      </c>
      <c r="R129" s="530"/>
      <c r="S129" s="556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522" t="s">
        <v>309</v>
      </c>
      <c r="B130" s="509" t="s">
        <v>73</v>
      </c>
      <c r="C130" s="601" t="s">
        <v>45</v>
      </c>
      <c r="D130" s="583"/>
      <c r="E130" s="509"/>
      <c r="F130" s="531">
        <v>8663.315234935897</v>
      </c>
      <c r="G130" s="584"/>
      <c r="H130" s="509"/>
      <c r="I130" s="531"/>
      <c r="J130" s="530"/>
      <c r="K130" s="509"/>
      <c r="L130" s="533">
        <v>7747.06</v>
      </c>
      <c r="M130" s="530"/>
      <c r="N130" s="556">
        <v>-916.25523493589662</v>
      </c>
      <c r="O130" s="530"/>
      <c r="P130" s="509"/>
      <c r="Q130" s="533">
        <v>6393.9</v>
      </c>
      <c r="R130" s="530"/>
      <c r="S130" s="556">
        <v>1353.1600000000008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522" t="s">
        <v>310</v>
      </c>
      <c r="B131" s="509" t="s">
        <v>73</v>
      </c>
      <c r="C131" s="599" t="s">
        <v>46</v>
      </c>
      <c r="D131" s="602"/>
      <c r="E131" s="603"/>
      <c r="F131" s="551">
        <v>10533.370065384615</v>
      </c>
      <c r="G131" s="604"/>
      <c r="H131" s="603"/>
      <c r="I131" s="551"/>
      <c r="J131" s="517"/>
      <c r="K131" s="603"/>
      <c r="L131" s="552">
        <v>9111.51</v>
      </c>
      <c r="M131" s="517"/>
      <c r="N131" s="605">
        <v>-1421.8600653846152</v>
      </c>
      <c r="O131" s="517"/>
      <c r="P131" s="603"/>
      <c r="Q131" s="552">
        <v>9019.32</v>
      </c>
      <c r="R131" s="517"/>
      <c r="S131" s="605">
        <v>92.190000000000509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522" t="s">
        <v>311</v>
      </c>
      <c r="B132" s="509" t="s">
        <v>73</v>
      </c>
      <c r="C132" s="599" t="s">
        <v>47</v>
      </c>
      <c r="D132" s="583"/>
      <c r="E132" s="509"/>
      <c r="F132" s="531">
        <v>5426.9754467307685</v>
      </c>
      <c r="G132" s="584"/>
      <c r="H132" s="509"/>
      <c r="I132" s="531"/>
      <c r="J132" s="530"/>
      <c r="K132" s="509"/>
      <c r="L132" s="533">
        <v>4529.4000000000005</v>
      </c>
      <c r="M132" s="530"/>
      <c r="N132" s="556">
        <v>-897.57544673076791</v>
      </c>
      <c r="O132" s="530"/>
      <c r="P132" s="509"/>
      <c r="Q132" s="533">
        <v>4744.38</v>
      </c>
      <c r="R132" s="530"/>
      <c r="S132" s="556">
        <v>-214.97999999999956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522" t="s">
        <v>312</v>
      </c>
      <c r="B133" s="509" t="s">
        <v>73</v>
      </c>
      <c r="C133" s="599" t="s">
        <v>48</v>
      </c>
      <c r="D133" s="583"/>
      <c r="E133" s="509"/>
      <c r="F133" s="531">
        <v>2366.1918262820514</v>
      </c>
      <c r="G133" s="584"/>
      <c r="H133" s="509"/>
      <c r="I133" s="531"/>
      <c r="J133" s="530"/>
      <c r="K133" s="509"/>
      <c r="L133" s="533">
        <v>1013.35</v>
      </c>
      <c r="M133" s="530"/>
      <c r="N133" s="556">
        <v>-1352.8418262820514</v>
      </c>
      <c r="O133" s="530"/>
      <c r="P133" s="509"/>
      <c r="Q133" s="533">
        <v>590.89</v>
      </c>
      <c r="R133" s="530"/>
      <c r="S133" s="556">
        <v>422.46000000000004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522" t="s">
        <v>303</v>
      </c>
      <c r="B134" s="509" t="s">
        <v>73</v>
      </c>
      <c r="C134" s="530" t="s">
        <v>20</v>
      </c>
      <c r="D134" s="586"/>
      <c r="E134" s="606"/>
      <c r="F134" s="531">
        <v>0</v>
      </c>
      <c r="G134" s="587"/>
      <c r="H134" s="606"/>
      <c r="I134" s="531"/>
      <c r="J134" s="523"/>
      <c r="K134" s="606"/>
      <c r="L134" s="533">
        <v>0</v>
      </c>
      <c r="M134" s="523"/>
      <c r="N134" s="581">
        <v>0</v>
      </c>
      <c r="O134" s="523"/>
      <c r="P134" s="606"/>
      <c r="Q134" s="533">
        <v>0</v>
      </c>
      <c r="R134" s="523"/>
      <c r="S134" s="581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522" t="s">
        <v>313</v>
      </c>
      <c r="B135" s="509" t="s">
        <v>73</v>
      </c>
      <c r="C135" s="591" t="s">
        <v>49</v>
      </c>
      <c r="D135" s="592" t="s">
        <v>39</v>
      </c>
      <c r="E135" s="593">
        <v>0.32845163836944402</v>
      </c>
      <c r="F135" s="594">
        <v>52125.275009230769</v>
      </c>
      <c r="G135" s="595"/>
      <c r="H135" s="593"/>
      <c r="I135" s="594"/>
      <c r="J135" s="595" t="s">
        <v>39</v>
      </c>
      <c r="K135" s="593">
        <v>0.52708870864102353</v>
      </c>
      <c r="L135" s="594">
        <v>42654.97</v>
      </c>
      <c r="M135" s="649"/>
      <c r="N135" s="608">
        <v>-9470.3050092307676</v>
      </c>
      <c r="O135" s="595" t="s">
        <v>39</v>
      </c>
      <c r="P135" s="593">
        <v>0.28427436318557414</v>
      </c>
      <c r="Q135" s="594">
        <v>37198.229999999996</v>
      </c>
      <c r="R135" s="649"/>
      <c r="S135" s="608">
        <v>5456.7400000000052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522" t="s">
        <v>314</v>
      </c>
      <c r="B136" s="509" t="s">
        <v>73</v>
      </c>
      <c r="C136" s="530" t="s">
        <v>50</v>
      </c>
      <c r="D136" s="583"/>
      <c r="E136" s="509"/>
      <c r="F136" s="531">
        <v>0</v>
      </c>
      <c r="G136" s="584"/>
      <c r="H136" s="509"/>
      <c r="I136" s="531"/>
      <c r="J136" s="530"/>
      <c r="K136" s="509"/>
      <c r="L136" s="533">
        <v>0</v>
      </c>
      <c r="M136" s="530"/>
      <c r="N136" s="556">
        <v>0</v>
      </c>
      <c r="O136" s="530"/>
      <c r="P136" s="509"/>
      <c r="Q136" s="533">
        <v>0</v>
      </c>
      <c r="R136" s="530"/>
      <c r="S136" s="556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522" t="s">
        <v>315</v>
      </c>
      <c r="B137" s="509" t="s">
        <v>73</v>
      </c>
      <c r="C137" s="530" t="s">
        <v>51</v>
      </c>
      <c r="D137" s="583"/>
      <c r="E137" s="509"/>
      <c r="F137" s="531">
        <v>0</v>
      </c>
      <c r="G137" s="584"/>
      <c r="H137" s="509"/>
      <c r="I137" s="531"/>
      <c r="J137" s="530"/>
      <c r="K137" s="509"/>
      <c r="L137" s="533">
        <v>0</v>
      </c>
      <c r="M137" s="530"/>
      <c r="N137" s="556">
        <v>0</v>
      </c>
      <c r="O137" s="530"/>
      <c r="P137" s="509"/>
      <c r="Q137" s="533">
        <v>0</v>
      </c>
      <c r="R137" s="530"/>
      <c r="S137" s="556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522" t="s">
        <v>316</v>
      </c>
      <c r="B138" s="509" t="s">
        <v>73</v>
      </c>
      <c r="C138" s="523" t="s">
        <v>52</v>
      </c>
      <c r="D138" s="586"/>
      <c r="E138" s="606"/>
      <c r="F138" s="525">
        <v>1284.1532888888889</v>
      </c>
      <c r="G138" s="587"/>
      <c r="H138" s="606"/>
      <c r="I138" s="525"/>
      <c r="J138" s="523"/>
      <c r="K138" s="606"/>
      <c r="L138" s="525">
        <v>1820.43</v>
      </c>
      <c r="M138" s="523"/>
      <c r="N138" s="581">
        <v>536.27671111111113</v>
      </c>
      <c r="O138" s="523"/>
      <c r="P138" s="606"/>
      <c r="Q138" s="525">
        <v>1048.82</v>
      </c>
      <c r="R138" s="523"/>
      <c r="S138" s="581">
        <v>771.61000000000013</v>
      </c>
      <c r="T138" s="509"/>
      <c r="U138" s="506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522" t="s">
        <v>317</v>
      </c>
      <c r="B139" s="509" t="s">
        <v>73</v>
      </c>
      <c r="C139" s="530" t="s">
        <v>53</v>
      </c>
      <c r="D139" s="583"/>
      <c r="E139" s="509"/>
      <c r="F139" s="531">
        <v>3757.6856226933323</v>
      </c>
      <c r="G139" s="584"/>
      <c r="H139" s="509"/>
      <c r="I139" s="531"/>
      <c r="J139" s="530"/>
      <c r="K139" s="509"/>
      <c r="L139" s="533">
        <v>4084.13</v>
      </c>
      <c r="M139" s="530"/>
      <c r="N139" s="556">
        <v>326.44437730666777</v>
      </c>
      <c r="O139" s="530"/>
      <c r="P139" s="509"/>
      <c r="Q139" s="533">
        <v>3313.84</v>
      </c>
      <c r="R139" s="530"/>
      <c r="S139" s="556">
        <v>770.29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522" t="s">
        <v>318</v>
      </c>
      <c r="B140" s="509" t="s">
        <v>73</v>
      </c>
      <c r="C140" s="530" t="s">
        <v>54</v>
      </c>
      <c r="D140" s="583"/>
      <c r="E140" s="509"/>
      <c r="F140" s="531">
        <v>555.6702437740496</v>
      </c>
      <c r="G140" s="584"/>
      <c r="H140" s="509"/>
      <c r="I140" s="531"/>
      <c r="J140" s="530"/>
      <c r="K140" s="509"/>
      <c r="L140" s="533">
        <v>1023.43</v>
      </c>
      <c r="M140" s="530"/>
      <c r="N140" s="556">
        <v>467.75975622595035</v>
      </c>
      <c r="O140" s="530"/>
      <c r="P140" s="509"/>
      <c r="Q140" s="533">
        <v>615.11</v>
      </c>
      <c r="R140" s="530"/>
      <c r="S140" s="556">
        <v>408.31999999999994</v>
      </c>
      <c r="T140" s="647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522" t="s">
        <v>319</v>
      </c>
      <c r="B141" s="509" t="s">
        <v>73</v>
      </c>
      <c r="C141" s="523" t="s">
        <v>55</v>
      </c>
      <c r="D141" s="586"/>
      <c r="E141" s="606"/>
      <c r="F141" s="525">
        <v>1398.8494640536576</v>
      </c>
      <c r="G141" s="587"/>
      <c r="H141" s="606"/>
      <c r="I141" s="525"/>
      <c r="J141" s="523"/>
      <c r="K141" s="606"/>
      <c r="L141" s="525">
        <v>2971.04</v>
      </c>
      <c r="M141" s="523"/>
      <c r="N141" s="581">
        <v>1572.1905359463424</v>
      </c>
      <c r="O141" s="523"/>
      <c r="P141" s="606"/>
      <c r="Q141" s="525">
        <v>1598.14</v>
      </c>
      <c r="R141" s="523"/>
      <c r="S141" s="581">
        <v>1372.8999999999999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522" t="s">
        <v>320</v>
      </c>
      <c r="B142" s="509" t="s">
        <v>73</v>
      </c>
      <c r="C142" s="530" t="s">
        <v>56</v>
      </c>
      <c r="D142" s="583"/>
      <c r="E142" s="509"/>
      <c r="F142" s="531">
        <v>83.885533333333328</v>
      </c>
      <c r="G142" s="584"/>
      <c r="H142" s="509"/>
      <c r="I142" s="531"/>
      <c r="J142" s="530"/>
      <c r="K142" s="509"/>
      <c r="L142" s="533">
        <v>0</v>
      </c>
      <c r="M142" s="530"/>
      <c r="N142" s="556">
        <v>-83.885533333333328</v>
      </c>
      <c r="O142" s="530"/>
      <c r="P142" s="509"/>
      <c r="Q142" s="533">
        <v>0</v>
      </c>
      <c r="R142" s="530"/>
      <c r="S142" s="556">
        <v>0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522" t="s">
        <v>321</v>
      </c>
      <c r="B143" s="509" t="s">
        <v>73</v>
      </c>
      <c r="C143" s="530" t="s">
        <v>57</v>
      </c>
      <c r="D143" s="583"/>
      <c r="E143" s="509"/>
      <c r="F143" s="531">
        <v>28.333333333333332</v>
      </c>
      <c r="G143" s="584"/>
      <c r="H143" s="509"/>
      <c r="I143" s="531"/>
      <c r="J143" s="530"/>
      <c r="K143" s="509"/>
      <c r="L143" s="533">
        <v>0</v>
      </c>
      <c r="M143" s="530"/>
      <c r="N143" s="556">
        <v>-28.333333333333332</v>
      </c>
      <c r="O143" s="530"/>
      <c r="P143" s="509"/>
      <c r="Q143" s="533">
        <v>434.88</v>
      </c>
      <c r="R143" s="530"/>
      <c r="S143" s="556">
        <v>-434.88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522" t="s">
        <v>322</v>
      </c>
      <c r="B144" s="509" t="s">
        <v>73</v>
      </c>
      <c r="C144" s="530" t="s">
        <v>58</v>
      </c>
      <c r="D144" s="583"/>
      <c r="E144" s="509"/>
      <c r="F144" s="531">
        <v>323.61939737591996</v>
      </c>
      <c r="G144" s="584"/>
      <c r="H144" s="509"/>
      <c r="I144" s="531"/>
      <c r="J144" s="530"/>
      <c r="K144" s="509"/>
      <c r="L144" s="533">
        <v>22.11</v>
      </c>
      <c r="M144" s="530"/>
      <c r="N144" s="556">
        <v>-301.50939737591995</v>
      </c>
      <c r="O144" s="530"/>
      <c r="P144" s="509"/>
      <c r="Q144" s="533">
        <v>141.58000000000001</v>
      </c>
      <c r="R144" s="530"/>
      <c r="S144" s="556">
        <v>-119.47000000000001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522" t="s">
        <v>323</v>
      </c>
      <c r="B145" s="509" t="s">
        <v>73</v>
      </c>
      <c r="C145" s="530" t="s">
        <v>59</v>
      </c>
      <c r="D145" s="583"/>
      <c r="E145" s="509"/>
      <c r="F145" s="531">
        <v>62.764554844243328</v>
      </c>
      <c r="G145" s="584"/>
      <c r="H145" s="509"/>
      <c r="I145" s="531"/>
      <c r="J145" s="530"/>
      <c r="K145" s="509"/>
      <c r="L145" s="533">
        <v>93.69</v>
      </c>
      <c r="M145" s="530"/>
      <c r="N145" s="556">
        <v>30.92544515575667</v>
      </c>
      <c r="O145" s="530"/>
      <c r="P145" s="509"/>
      <c r="Q145" s="533">
        <v>105.42</v>
      </c>
      <c r="R145" s="530"/>
      <c r="S145" s="556">
        <v>-11.730000000000004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522" t="s">
        <v>324</v>
      </c>
      <c r="B146" s="509" t="s">
        <v>73</v>
      </c>
      <c r="C146" s="530" t="s">
        <v>60</v>
      </c>
      <c r="D146" s="583"/>
      <c r="E146" s="509"/>
      <c r="F146" s="531">
        <v>48.216844138156659</v>
      </c>
      <c r="G146" s="584"/>
      <c r="H146" s="509"/>
      <c r="I146" s="531"/>
      <c r="J146" s="530"/>
      <c r="K146" s="509"/>
      <c r="L146" s="533">
        <v>32.72</v>
      </c>
      <c r="M146" s="530"/>
      <c r="N146" s="556">
        <v>-15.496844138156661</v>
      </c>
      <c r="O146" s="530"/>
      <c r="P146" s="509"/>
      <c r="Q146" s="533">
        <v>12.36</v>
      </c>
      <c r="R146" s="530"/>
      <c r="S146" s="556">
        <v>20.36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522" t="s">
        <v>325</v>
      </c>
      <c r="B147" s="509" t="s">
        <v>73</v>
      </c>
      <c r="C147" s="530" t="s">
        <v>61</v>
      </c>
      <c r="D147" s="583"/>
      <c r="E147" s="509"/>
      <c r="F147" s="531">
        <v>107.35161743797669</v>
      </c>
      <c r="G147" s="584"/>
      <c r="H147" s="509"/>
      <c r="I147" s="531"/>
      <c r="J147" s="530"/>
      <c r="K147" s="509"/>
      <c r="L147" s="533">
        <v>23.52</v>
      </c>
      <c r="M147" s="530"/>
      <c r="N147" s="556">
        <v>-83.831617437976689</v>
      </c>
      <c r="O147" s="530"/>
      <c r="P147" s="509"/>
      <c r="Q147" s="533">
        <v>87.91</v>
      </c>
      <c r="R147" s="530"/>
      <c r="S147" s="556">
        <v>-64.39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522" t="s">
        <v>326</v>
      </c>
      <c r="B148" s="509" t="s">
        <v>73</v>
      </c>
      <c r="C148" s="530" t="s">
        <v>62</v>
      </c>
      <c r="D148" s="583"/>
      <c r="E148" s="509"/>
      <c r="F148" s="531">
        <v>218.46437169698484</v>
      </c>
      <c r="G148" s="584"/>
      <c r="H148" s="509"/>
      <c r="I148" s="531"/>
      <c r="J148" s="530"/>
      <c r="K148" s="509"/>
      <c r="L148" s="533">
        <v>229.23</v>
      </c>
      <c r="M148" s="530"/>
      <c r="N148" s="556">
        <v>10.765628303015149</v>
      </c>
      <c r="O148" s="530"/>
      <c r="P148" s="509"/>
      <c r="Q148" s="533">
        <v>498.39</v>
      </c>
      <c r="R148" s="530"/>
      <c r="S148" s="556">
        <v>-269.15999999999997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522" t="s">
        <v>327</v>
      </c>
      <c r="B149" s="509" t="s">
        <v>73</v>
      </c>
      <c r="C149" s="530" t="s">
        <v>63</v>
      </c>
      <c r="D149" s="583"/>
      <c r="E149" s="509"/>
      <c r="F149" s="531">
        <v>975.11430554061235</v>
      </c>
      <c r="G149" s="584"/>
      <c r="H149" s="509"/>
      <c r="I149" s="531"/>
      <c r="J149" s="530"/>
      <c r="K149" s="509"/>
      <c r="L149" s="533">
        <v>1032.32</v>
      </c>
      <c r="M149" s="530"/>
      <c r="N149" s="556">
        <v>57.205694459387587</v>
      </c>
      <c r="O149" s="530"/>
      <c r="P149" s="509"/>
      <c r="Q149" s="533">
        <v>1077.6600000000001</v>
      </c>
      <c r="R149" s="530"/>
      <c r="S149" s="556">
        <v>-45.340000000000146</v>
      </c>
      <c r="T149" s="572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522" t="s">
        <v>303</v>
      </c>
      <c r="B150" s="509" t="s">
        <v>73</v>
      </c>
      <c r="C150" s="530" t="s">
        <v>20</v>
      </c>
      <c r="D150" s="583"/>
      <c r="E150" s="509"/>
      <c r="F150" s="531">
        <v>0</v>
      </c>
      <c r="G150" s="584"/>
      <c r="H150" s="509"/>
      <c r="I150" s="531"/>
      <c r="J150" s="530"/>
      <c r="K150" s="509"/>
      <c r="L150" s="533">
        <v>0</v>
      </c>
      <c r="M150" s="530"/>
      <c r="N150" s="556">
        <v>0</v>
      </c>
      <c r="O150" s="530"/>
      <c r="P150" s="509"/>
      <c r="Q150" s="533">
        <v>0</v>
      </c>
      <c r="R150" s="530"/>
      <c r="S150" s="556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522" t="s">
        <v>303</v>
      </c>
      <c r="B151" s="509" t="s">
        <v>73</v>
      </c>
      <c r="C151" s="530" t="s">
        <v>20</v>
      </c>
      <c r="D151" s="583"/>
      <c r="E151" s="509"/>
      <c r="F151" s="531">
        <v>0</v>
      </c>
      <c r="G151" s="584"/>
      <c r="H151" s="509"/>
      <c r="I151" s="531"/>
      <c r="J151" s="530"/>
      <c r="K151" s="509"/>
      <c r="L151" s="533">
        <v>0</v>
      </c>
      <c r="M151" s="530"/>
      <c r="N151" s="556">
        <v>0</v>
      </c>
      <c r="O151" s="530"/>
      <c r="P151" s="509"/>
      <c r="Q151" s="533">
        <v>0</v>
      </c>
      <c r="R151" s="530"/>
      <c r="S151" s="556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522" t="s">
        <v>303</v>
      </c>
      <c r="B152" s="509" t="s">
        <v>73</v>
      </c>
      <c r="C152" s="530" t="s">
        <v>20</v>
      </c>
      <c r="D152" s="583"/>
      <c r="E152" s="509"/>
      <c r="F152" s="531">
        <v>0</v>
      </c>
      <c r="G152" s="584"/>
      <c r="H152" s="509"/>
      <c r="I152" s="531"/>
      <c r="J152" s="530"/>
      <c r="K152" s="509"/>
      <c r="L152" s="533">
        <v>0</v>
      </c>
      <c r="M152" s="530"/>
      <c r="N152" s="556">
        <v>0</v>
      </c>
      <c r="O152" s="530"/>
      <c r="P152" s="509"/>
      <c r="Q152" s="533">
        <v>0</v>
      </c>
      <c r="R152" s="530"/>
      <c r="S152" s="556">
        <v>0</v>
      </c>
      <c r="T152" s="572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522" t="s">
        <v>328</v>
      </c>
      <c r="B153" s="509" t="s">
        <v>73</v>
      </c>
      <c r="C153" s="591" t="s">
        <v>64</v>
      </c>
      <c r="D153" s="592" t="s">
        <v>39</v>
      </c>
      <c r="E153" s="593">
        <v>5.5728472445560728E-2</v>
      </c>
      <c r="F153" s="594">
        <v>8844.1085771104881</v>
      </c>
      <c r="G153" s="595"/>
      <c r="H153" s="593"/>
      <c r="I153" s="594"/>
      <c r="J153" s="595" t="s">
        <v>39</v>
      </c>
      <c r="K153" s="593">
        <v>0.14003751594056768</v>
      </c>
      <c r="L153" s="594">
        <v>11332.62</v>
      </c>
      <c r="M153" s="598"/>
      <c r="N153" s="594">
        <v>2488.5114228895127</v>
      </c>
      <c r="O153" s="595" t="s">
        <v>39</v>
      </c>
      <c r="P153" s="593">
        <v>6.8275787070510352E-2</v>
      </c>
      <c r="Q153" s="594">
        <v>8934.11</v>
      </c>
      <c r="R153" s="598"/>
      <c r="S153" s="594">
        <v>2398.5100000000002</v>
      </c>
      <c r="T153" s="607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522" t="s">
        <v>73</v>
      </c>
      <c r="B154" s="509" t="s">
        <v>73</v>
      </c>
      <c r="C154" s="523"/>
      <c r="D154" s="586"/>
      <c r="E154" s="606"/>
      <c r="F154" s="556"/>
      <c r="G154" s="587"/>
      <c r="H154" s="606"/>
      <c r="I154" s="556"/>
      <c r="J154" s="523"/>
      <c r="K154" s="606"/>
      <c r="L154" s="581"/>
      <c r="M154" s="523"/>
      <c r="N154" s="581"/>
      <c r="O154" s="523"/>
      <c r="P154" s="606"/>
      <c r="Q154" s="581"/>
      <c r="R154" s="523"/>
      <c r="S154" s="581"/>
      <c r="T154" s="607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522" t="s">
        <v>329</v>
      </c>
      <c r="B155" s="509" t="s">
        <v>73</v>
      </c>
      <c r="C155" s="591" t="s">
        <v>65</v>
      </c>
      <c r="D155" s="592" t="s">
        <v>39</v>
      </c>
      <c r="E155" s="593">
        <v>0.84114201535650557</v>
      </c>
      <c r="F155" s="594">
        <v>133489.23783707744</v>
      </c>
      <c r="G155" s="595"/>
      <c r="H155" s="593"/>
      <c r="I155" s="594"/>
      <c r="J155" s="595" t="s">
        <v>39</v>
      </c>
      <c r="K155" s="593">
        <v>1.2016641211186574</v>
      </c>
      <c r="L155" s="594">
        <v>97245.389999999985</v>
      </c>
      <c r="M155" s="598"/>
      <c r="N155" s="608">
        <v>-36243.847837077454</v>
      </c>
      <c r="O155" s="595" t="s">
        <v>39</v>
      </c>
      <c r="P155" s="593">
        <v>0.91040369109614139</v>
      </c>
      <c r="Q155" s="594">
        <v>119129.29999999999</v>
      </c>
      <c r="R155" s="598"/>
      <c r="S155" s="608">
        <v>-21883.910000000003</v>
      </c>
      <c r="T155" s="607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522" t="s">
        <v>330</v>
      </c>
      <c r="B156" s="509" t="s">
        <v>73</v>
      </c>
      <c r="C156" s="530" t="s">
        <v>225</v>
      </c>
      <c r="D156" s="650"/>
      <c r="E156" s="651"/>
      <c r="F156" s="531">
        <v>0</v>
      </c>
      <c r="G156" s="652"/>
      <c r="H156" s="651"/>
      <c r="I156" s="531"/>
      <c r="J156" s="652"/>
      <c r="K156" s="651"/>
      <c r="L156" s="533">
        <v>0</v>
      </c>
      <c r="M156" s="530"/>
      <c r="N156" s="556">
        <v>0</v>
      </c>
      <c r="O156" s="652"/>
      <c r="P156" s="651"/>
      <c r="Q156" s="533">
        <v>0</v>
      </c>
      <c r="R156" s="530"/>
      <c r="S156" s="556">
        <v>0</v>
      </c>
      <c r="T156" s="607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522" t="s">
        <v>331</v>
      </c>
      <c r="B157" s="509" t="s">
        <v>73</v>
      </c>
      <c r="C157" s="530" t="s">
        <v>81</v>
      </c>
      <c r="D157" s="650"/>
      <c r="E157" s="651"/>
      <c r="F157" s="531">
        <v>0</v>
      </c>
      <c r="G157" s="652"/>
      <c r="H157" s="651"/>
      <c r="I157" s="531"/>
      <c r="J157" s="652"/>
      <c r="K157" s="651"/>
      <c r="L157" s="533">
        <v>0</v>
      </c>
      <c r="M157" s="530"/>
      <c r="N157" s="556">
        <v>0</v>
      </c>
      <c r="O157" s="652"/>
      <c r="P157" s="651"/>
      <c r="Q157" s="533">
        <v>0</v>
      </c>
      <c r="R157" s="530"/>
      <c r="S157" s="556">
        <v>0</v>
      </c>
      <c r="T157" s="607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522" t="s">
        <v>332</v>
      </c>
      <c r="B158" s="509" t="s">
        <v>73</v>
      </c>
      <c r="C158" s="530" t="s">
        <v>82</v>
      </c>
      <c r="D158" s="583"/>
      <c r="E158" s="509"/>
      <c r="F158" s="531">
        <v>0</v>
      </c>
      <c r="G158" s="584"/>
      <c r="H158" s="509"/>
      <c r="I158" s="531"/>
      <c r="J158" s="530"/>
      <c r="K158" s="509"/>
      <c r="L158" s="533">
        <v>0</v>
      </c>
      <c r="M158" s="530"/>
      <c r="N158" s="556">
        <v>0</v>
      </c>
      <c r="O158" s="530"/>
      <c r="P158" s="509"/>
      <c r="Q158" s="533">
        <v>0</v>
      </c>
      <c r="R158" s="530"/>
      <c r="S158" s="556">
        <v>0</v>
      </c>
      <c r="T158" s="607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522" t="s">
        <v>333</v>
      </c>
      <c r="B159" s="509" t="s">
        <v>73</v>
      </c>
      <c r="C159" s="530" t="s">
        <v>70</v>
      </c>
      <c r="D159" s="653">
        <v>0.7996835443037974</v>
      </c>
      <c r="E159" s="614">
        <v>379.04999999999995</v>
      </c>
      <c r="F159" s="531">
        <v>15920.099999999999</v>
      </c>
      <c r="G159" s="584"/>
      <c r="H159" s="509"/>
      <c r="I159" s="531"/>
      <c r="J159" s="610">
        <v>1.0168776371308017</v>
      </c>
      <c r="K159" s="614">
        <v>482</v>
      </c>
      <c r="L159" s="533">
        <v>7230</v>
      </c>
      <c r="M159" s="530"/>
      <c r="N159" s="556">
        <v>-8690.0999999999985</v>
      </c>
      <c r="O159" s="530"/>
      <c r="P159" s="509"/>
      <c r="Q159" s="533">
        <v>20328</v>
      </c>
      <c r="R159" s="530"/>
      <c r="S159" s="556">
        <v>-13098</v>
      </c>
      <c r="T159" s="607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522" t="s">
        <v>303</v>
      </c>
      <c r="B160" s="509" t="s">
        <v>73</v>
      </c>
      <c r="C160" s="530" t="s">
        <v>20</v>
      </c>
      <c r="D160" s="583"/>
      <c r="E160" s="509"/>
      <c r="F160" s="531">
        <v>0</v>
      </c>
      <c r="G160" s="584"/>
      <c r="H160" s="509"/>
      <c r="I160" s="531"/>
      <c r="J160" s="530"/>
      <c r="K160" s="509"/>
      <c r="L160" s="533">
        <v>0</v>
      </c>
      <c r="M160" s="530"/>
      <c r="N160" s="556">
        <v>0</v>
      </c>
      <c r="O160" s="530"/>
      <c r="P160" s="509"/>
      <c r="Q160" s="533">
        <v>0</v>
      </c>
      <c r="R160" s="530"/>
      <c r="S160" s="556">
        <v>0</v>
      </c>
      <c r="T160" s="607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522" t="s">
        <v>303</v>
      </c>
      <c r="B161" s="509" t="s">
        <v>73</v>
      </c>
      <c r="C161" s="530" t="s">
        <v>20</v>
      </c>
      <c r="D161" s="583"/>
      <c r="E161" s="509"/>
      <c r="F161" s="531">
        <v>0</v>
      </c>
      <c r="G161" s="584"/>
      <c r="H161" s="509"/>
      <c r="I161" s="531"/>
      <c r="J161" s="530"/>
      <c r="K161" s="509"/>
      <c r="L161" s="533">
        <v>0</v>
      </c>
      <c r="M161" s="530"/>
      <c r="N161" s="556">
        <v>0</v>
      </c>
      <c r="O161" s="530"/>
      <c r="P161" s="509"/>
      <c r="Q161" s="533">
        <v>0</v>
      </c>
      <c r="R161" s="530"/>
      <c r="S161" s="556">
        <v>0</v>
      </c>
      <c r="T161" s="607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522" t="s">
        <v>303</v>
      </c>
      <c r="B162" s="509" t="s">
        <v>73</v>
      </c>
      <c r="C162" s="523" t="s">
        <v>20</v>
      </c>
      <c r="D162" s="586"/>
      <c r="E162" s="606"/>
      <c r="F162" s="531">
        <v>0</v>
      </c>
      <c r="G162" s="584"/>
      <c r="H162" s="509"/>
      <c r="I162" s="531"/>
      <c r="J162" s="530"/>
      <c r="K162" s="509"/>
      <c r="L162" s="533">
        <v>0</v>
      </c>
      <c r="M162" s="530"/>
      <c r="N162" s="556">
        <v>0</v>
      </c>
      <c r="O162" s="530"/>
      <c r="P162" s="509"/>
      <c r="Q162" s="533">
        <v>0</v>
      </c>
      <c r="R162" s="530"/>
      <c r="S162" s="556">
        <v>0</v>
      </c>
      <c r="T162" s="607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91" t="s">
        <v>71</v>
      </c>
      <c r="D163" s="592"/>
      <c r="E163" s="593"/>
      <c r="F163" s="594">
        <v>15920.099999999999</v>
      </c>
      <c r="G163" s="595"/>
      <c r="H163" s="593"/>
      <c r="I163" s="594"/>
      <c r="J163" s="595"/>
      <c r="K163" s="593"/>
      <c r="L163" s="594">
        <v>7230</v>
      </c>
      <c r="M163" s="598"/>
      <c r="N163" s="594">
        <v>-8690.0999999999985</v>
      </c>
      <c r="O163" s="595"/>
      <c r="P163" s="593"/>
      <c r="Q163" s="594">
        <v>20328</v>
      </c>
      <c r="R163" s="598"/>
      <c r="S163" s="594">
        <v>-13098</v>
      </c>
      <c r="T163" s="607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30"/>
      <c r="D164" s="583"/>
      <c r="E164" s="509"/>
      <c r="F164" s="556"/>
      <c r="G164" s="584"/>
      <c r="H164" s="509"/>
      <c r="I164" s="556"/>
      <c r="J164" s="530"/>
      <c r="K164" s="509"/>
      <c r="L164" s="556"/>
      <c r="M164" s="530"/>
      <c r="N164" s="556"/>
      <c r="O164" s="530"/>
      <c r="P164" s="509"/>
      <c r="Q164" s="556"/>
      <c r="R164" s="530"/>
      <c r="S164" s="556"/>
      <c r="T164" s="651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3" t="s">
        <v>72</v>
      </c>
      <c r="D165" s="654"/>
      <c r="E165" s="624"/>
      <c r="F165" s="626">
        <v>41130.86216292256</v>
      </c>
      <c r="G165" s="655"/>
      <c r="H165" s="624"/>
      <c r="I165" s="626"/>
      <c r="J165" s="623"/>
      <c r="K165" s="625"/>
      <c r="L165" s="626">
        <v>-9089.7900000000081</v>
      </c>
      <c r="M165" s="623"/>
      <c r="N165" s="626">
        <v>-50220.652162922568</v>
      </c>
      <c r="O165" s="623"/>
      <c r="P165" s="628">
        <v>2.3887301377372671E-2</v>
      </c>
      <c r="Q165" s="626">
        <v>32051.970000000016</v>
      </c>
      <c r="R165" s="623"/>
      <c r="S165" s="626">
        <v>-41141.760000000024</v>
      </c>
      <c r="T165" s="572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6"/>
      <c r="G166" s="506"/>
      <c r="H166" s="506"/>
      <c r="I166" s="506"/>
      <c r="J166" s="506"/>
      <c r="K166" s="506"/>
      <c r="L166" s="656"/>
      <c r="M166" s="506"/>
      <c r="N166" s="506"/>
      <c r="O166" s="506"/>
      <c r="P166" s="506"/>
      <c r="Q166" s="506"/>
      <c r="R166" s="506"/>
      <c r="S166" s="506"/>
      <c r="T166" s="656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6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3" t="s">
        <v>478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4" t="s">
        <v>484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220</v>
      </c>
      <c r="N170" s="513"/>
      <c r="O170" s="511" t="s">
        <v>8</v>
      </c>
      <c r="P170" s="512"/>
      <c r="Q170" s="513"/>
      <c r="R170" s="514" t="s">
        <v>221</v>
      </c>
      <c r="S170" s="513"/>
      <c r="T170" s="650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522" t="s">
        <v>83</v>
      </c>
      <c r="B171" s="509" t="s">
        <v>83</v>
      </c>
      <c r="C171" s="530"/>
      <c r="D171" s="574" t="s">
        <v>40</v>
      </c>
      <c r="E171" s="574" t="s">
        <v>84</v>
      </c>
      <c r="F171" s="657" t="s">
        <v>12</v>
      </c>
      <c r="G171" s="658"/>
      <c r="H171" s="574"/>
      <c r="I171" s="657"/>
      <c r="J171" s="658" t="s">
        <v>40</v>
      </c>
      <c r="K171" s="574" t="s">
        <v>84</v>
      </c>
      <c r="L171" s="657" t="s">
        <v>12</v>
      </c>
      <c r="M171" s="658" t="s">
        <v>226</v>
      </c>
      <c r="N171" s="657" t="s">
        <v>223</v>
      </c>
      <c r="O171" s="574" t="s">
        <v>40</v>
      </c>
      <c r="P171" s="574" t="s">
        <v>84</v>
      </c>
      <c r="Q171" s="657" t="s">
        <v>12</v>
      </c>
      <c r="R171" s="658" t="s">
        <v>85</v>
      </c>
      <c r="S171" s="657" t="s">
        <v>12</v>
      </c>
      <c r="T171" s="574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522" t="s">
        <v>334</v>
      </c>
      <c r="B172" s="509" t="s">
        <v>83</v>
      </c>
      <c r="C172" s="530" t="s">
        <v>86</v>
      </c>
      <c r="D172" s="572">
        <v>659.56000000000006</v>
      </c>
      <c r="E172" s="572">
        <v>224250.4</v>
      </c>
      <c r="F172" s="572">
        <v>174915.31200000001</v>
      </c>
      <c r="G172" s="557"/>
      <c r="H172" s="572"/>
      <c r="I172" s="572"/>
      <c r="J172" s="557">
        <v>585</v>
      </c>
      <c r="K172" s="572">
        <v>196053.04</v>
      </c>
      <c r="L172" s="533">
        <v>155307.74000000002</v>
      </c>
      <c r="M172" s="576">
        <v>-0.12574051149964499</v>
      </c>
      <c r="N172" s="556">
        <v>-19607.571999999986</v>
      </c>
      <c r="O172" s="557">
        <v>551</v>
      </c>
      <c r="P172" s="531">
        <v>205605.56999999899</v>
      </c>
      <c r="Q172" s="533">
        <v>166621.21999999901</v>
      </c>
      <c r="R172" s="576">
        <v>1.0617059891107079</v>
      </c>
      <c r="S172" s="556">
        <v>-11313.479999998992</v>
      </c>
      <c r="T172" s="572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522" t="s">
        <v>335</v>
      </c>
      <c r="B173" s="509" t="s">
        <v>83</v>
      </c>
      <c r="C173" s="530" t="s">
        <v>87</v>
      </c>
      <c r="D173" s="572"/>
      <c r="E173" s="643"/>
      <c r="F173" s="659">
        <v>0.78</v>
      </c>
      <c r="G173" s="557"/>
      <c r="H173" s="643"/>
      <c r="I173" s="659"/>
      <c r="J173" s="557"/>
      <c r="K173" s="509"/>
      <c r="L173" s="659">
        <v>0.79217205711270788</v>
      </c>
      <c r="M173" s="576"/>
      <c r="N173" s="556"/>
      <c r="O173" s="557"/>
      <c r="P173" s="509"/>
      <c r="Q173" s="659">
        <v>0.81039253946281631</v>
      </c>
      <c r="R173" s="557"/>
      <c r="S173" s="556"/>
      <c r="T173" s="572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522" t="s">
        <v>83</v>
      </c>
      <c r="B174" s="509" t="s">
        <v>83</v>
      </c>
      <c r="C174" s="523"/>
      <c r="D174" s="579"/>
      <c r="E174" s="660">
        <v>339.99999999999994</v>
      </c>
      <c r="F174" s="661"/>
      <c r="G174" s="662"/>
      <c r="H174" s="660"/>
      <c r="I174" s="661"/>
      <c r="J174" s="662"/>
      <c r="K174" s="660">
        <v>335.13340170940171</v>
      </c>
      <c r="L174" s="661"/>
      <c r="M174" s="580"/>
      <c r="N174" s="581"/>
      <c r="O174" s="662"/>
      <c r="P174" s="660">
        <v>373.14985480943557</v>
      </c>
      <c r="Q174" s="661"/>
      <c r="R174" s="662"/>
      <c r="S174" s="581"/>
      <c r="T174" s="572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522" t="s">
        <v>336</v>
      </c>
      <c r="B175" s="509" t="s">
        <v>83</v>
      </c>
      <c r="C175" s="517" t="s">
        <v>88</v>
      </c>
      <c r="D175" s="663">
        <v>149.33000000000001</v>
      </c>
      <c r="E175" s="572">
        <v>40319.1</v>
      </c>
      <c r="F175" s="572">
        <v>25804.223999999998</v>
      </c>
      <c r="G175" s="664"/>
      <c r="H175" s="572"/>
      <c r="I175" s="572"/>
      <c r="J175" s="664">
        <v>153</v>
      </c>
      <c r="K175" s="551">
        <v>63412.01</v>
      </c>
      <c r="L175" s="533">
        <v>41882.210000000006</v>
      </c>
      <c r="M175" s="576">
        <v>0.57275360809145059</v>
      </c>
      <c r="N175" s="605">
        <v>16077.986000000008</v>
      </c>
      <c r="O175" s="664">
        <v>182</v>
      </c>
      <c r="P175" s="551">
        <v>48010.05</v>
      </c>
      <c r="Q175" s="533">
        <v>31856.11</v>
      </c>
      <c r="R175" s="576">
        <v>0.84065934065934067</v>
      </c>
      <c r="S175" s="556">
        <v>10026.100000000006</v>
      </c>
      <c r="T175" s="572"/>
      <c r="U175" s="509"/>
      <c r="V175" s="531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522" t="s">
        <v>335</v>
      </c>
      <c r="B176" s="509" t="s">
        <v>83</v>
      </c>
      <c r="C176" s="530" t="s">
        <v>87</v>
      </c>
      <c r="D176" s="509"/>
      <c r="E176" s="509"/>
      <c r="F176" s="659">
        <v>0.64</v>
      </c>
      <c r="G176" s="530"/>
      <c r="H176" s="509"/>
      <c r="I176" s="659"/>
      <c r="J176" s="530"/>
      <c r="K176" s="509"/>
      <c r="L176" s="659">
        <v>0.6604775656851124</v>
      </c>
      <c r="M176" s="547"/>
      <c r="N176" s="548"/>
      <c r="O176" s="530"/>
      <c r="P176" s="509"/>
      <c r="Q176" s="659">
        <v>0.66353003173293923</v>
      </c>
      <c r="R176" s="547"/>
      <c r="S176" s="548"/>
      <c r="T176" s="509"/>
      <c r="U176" s="509"/>
      <c r="V176" s="531"/>
      <c r="W176" s="665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522" t="s">
        <v>83</v>
      </c>
      <c r="B177" s="509" t="s">
        <v>83</v>
      </c>
      <c r="C177" s="523"/>
      <c r="D177" s="606"/>
      <c r="E177" s="660">
        <v>269.99999999999994</v>
      </c>
      <c r="F177" s="661"/>
      <c r="G177" s="662"/>
      <c r="H177" s="660"/>
      <c r="I177" s="661"/>
      <c r="J177" s="662"/>
      <c r="K177" s="660">
        <v>414.45758169934641</v>
      </c>
      <c r="L177" s="661"/>
      <c r="M177" s="580"/>
      <c r="N177" s="581"/>
      <c r="O177" s="662"/>
      <c r="P177" s="660">
        <v>263.79148351648354</v>
      </c>
      <c r="Q177" s="661"/>
      <c r="R177" s="666"/>
      <c r="S177" s="667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522" t="s">
        <v>337</v>
      </c>
      <c r="B178" s="509" t="s">
        <v>83</v>
      </c>
      <c r="C178" s="530" t="s">
        <v>89</v>
      </c>
      <c r="D178" s="572">
        <v>272.07</v>
      </c>
      <c r="E178" s="572">
        <v>83530.931399999987</v>
      </c>
      <c r="F178" s="572">
        <v>61812.889235999988</v>
      </c>
      <c r="G178" s="557"/>
      <c r="H178" s="572"/>
      <c r="I178" s="572"/>
      <c r="J178" s="557">
        <v>294</v>
      </c>
      <c r="K178" s="551">
        <v>71140.160000000003</v>
      </c>
      <c r="L178" s="533">
        <v>56333.78</v>
      </c>
      <c r="M178" s="576">
        <v>-0.14833752230853234</v>
      </c>
      <c r="N178" s="556">
        <v>-5479.1092359999893</v>
      </c>
      <c r="O178" s="557">
        <v>214</v>
      </c>
      <c r="P178" s="551">
        <v>69981.490000000005</v>
      </c>
      <c r="Q178" s="533">
        <v>54592.47</v>
      </c>
      <c r="R178" s="576">
        <v>1.3738317757009346</v>
      </c>
      <c r="S178" s="556">
        <v>1741.3099999999977</v>
      </c>
      <c r="T178" s="572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522" t="s">
        <v>335</v>
      </c>
      <c r="B179" s="509" t="s">
        <v>83</v>
      </c>
      <c r="C179" s="530" t="s">
        <v>87</v>
      </c>
      <c r="D179" s="572"/>
      <c r="E179" s="643"/>
      <c r="F179" s="659">
        <v>0.74</v>
      </c>
      <c r="G179" s="557"/>
      <c r="H179" s="643"/>
      <c r="I179" s="659"/>
      <c r="J179" s="557"/>
      <c r="K179" s="643"/>
      <c r="L179" s="659">
        <v>0.79187030223153831</v>
      </c>
      <c r="M179" s="576"/>
      <c r="N179" s="556">
        <v>5.1870302231538323E-2</v>
      </c>
      <c r="O179" s="557"/>
      <c r="P179" s="643"/>
      <c r="Q179" s="659">
        <v>0.78009870895861178</v>
      </c>
      <c r="R179" s="557">
        <v>0</v>
      </c>
      <c r="S179" s="556"/>
      <c r="T179" s="572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522" t="s">
        <v>83</v>
      </c>
      <c r="B180" s="509" t="s">
        <v>83</v>
      </c>
      <c r="C180" s="530"/>
      <c r="D180" s="572"/>
      <c r="E180" s="660">
        <v>307.02</v>
      </c>
      <c r="F180" s="661"/>
      <c r="G180" s="662"/>
      <c r="H180" s="660"/>
      <c r="I180" s="661"/>
      <c r="J180" s="662"/>
      <c r="K180" s="660">
        <v>241.97333333333336</v>
      </c>
      <c r="L180" s="661"/>
      <c r="M180" s="580"/>
      <c r="N180" s="581"/>
      <c r="O180" s="662"/>
      <c r="P180" s="660">
        <v>327.01630841121499</v>
      </c>
      <c r="Q180" s="659"/>
      <c r="R180" s="662"/>
      <c r="S180" s="556"/>
      <c r="T180" s="572"/>
      <c r="U180" s="550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522" t="s">
        <v>338</v>
      </c>
      <c r="B181" s="509" t="s">
        <v>83</v>
      </c>
      <c r="C181" s="517" t="s">
        <v>90</v>
      </c>
      <c r="D181" s="663">
        <v>44.587999999999994</v>
      </c>
      <c r="E181" s="572">
        <v>12038.759999999998</v>
      </c>
      <c r="F181" s="572">
        <v>9029.07</v>
      </c>
      <c r="G181" s="664"/>
      <c r="H181" s="572"/>
      <c r="I181" s="572"/>
      <c r="J181" s="664">
        <v>0</v>
      </c>
      <c r="K181" s="551">
        <v>12080.43</v>
      </c>
      <c r="L181" s="552">
        <v>9484.86</v>
      </c>
      <c r="M181" s="668">
        <v>3.4613199366049243E-3</v>
      </c>
      <c r="N181" s="605">
        <v>455.79000000000087</v>
      </c>
      <c r="O181" s="664">
        <v>0</v>
      </c>
      <c r="P181" s="551">
        <v>11017.45</v>
      </c>
      <c r="Q181" s="552">
        <v>8671.2099999999991</v>
      </c>
      <c r="R181" s="576">
        <v>0</v>
      </c>
      <c r="S181" s="605">
        <v>813.65000000000146</v>
      </c>
      <c r="T181" s="572"/>
      <c r="U181" s="550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522" t="s">
        <v>335</v>
      </c>
      <c r="B182" s="509" t="s">
        <v>83</v>
      </c>
      <c r="C182" s="530" t="s">
        <v>87</v>
      </c>
      <c r="D182" s="570"/>
      <c r="E182" s="669"/>
      <c r="F182" s="659">
        <v>0.75000000000000011</v>
      </c>
      <c r="G182" s="549"/>
      <c r="H182" s="669"/>
      <c r="I182" s="659"/>
      <c r="J182" s="670"/>
      <c r="K182" s="669">
        <v>0</v>
      </c>
      <c r="L182" s="659">
        <v>0.78514258184518271</v>
      </c>
      <c r="M182" s="557">
        <v>0</v>
      </c>
      <c r="N182" s="671"/>
      <c r="O182" s="670"/>
      <c r="P182" s="669"/>
      <c r="Q182" s="659">
        <v>0.78704328134005586</v>
      </c>
      <c r="R182" s="530"/>
      <c r="S182" s="671"/>
      <c r="T182" s="607"/>
      <c r="U182" s="550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522" t="s">
        <v>83</v>
      </c>
      <c r="B183" s="509" t="s">
        <v>83</v>
      </c>
      <c r="C183" s="523"/>
      <c r="D183" s="672"/>
      <c r="E183" s="673"/>
      <c r="F183" s="661"/>
      <c r="G183" s="543"/>
      <c r="H183" s="673"/>
      <c r="I183" s="661"/>
      <c r="J183" s="674"/>
      <c r="K183" s="527"/>
      <c r="L183" s="661"/>
      <c r="M183" s="662"/>
      <c r="N183" s="675"/>
      <c r="O183" s="674"/>
      <c r="P183" s="527">
        <v>0</v>
      </c>
      <c r="Q183" s="661"/>
      <c r="R183" s="523"/>
      <c r="S183" s="675"/>
      <c r="T183" s="607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522" t="s">
        <v>339</v>
      </c>
      <c r="B184" s="509" t="s">
        <v>83</v>
      </c>
      <c r="C184" s="530" t="s">
        <v>91</v>
      </c>
      <c r="D184" s="509"/>
      <c r="E184" s="509"/>
      <c r="F184" s="556">
        <v>-4207.6552106133495</v>
      </c>
      <c r="G184" s="530"/>
      <c r="H184" s="572"/>
      <c r="I184" s="572"/>
      <c r="J184" s="557"/>
      <c r="K184" s="572"/>
      <c r="L184" s="572">
        <v>-310.10000000000002</v>
      </c>
      <c r="M184" s="670"/>
      <c r="N184" s="556">
        <v>3897.5552106133496</v>
      </c>
      <c r="O184" s="557"/>
      <c r="P184" s="572"/>
      <c r="Q184" s="533">
        <v>-3610.57</v>
      </c>
      <c r="R184" s="676"/>
      <c r="S184" s="556">
        <v>3300.4700000000003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522" t="s">
        <v>340</v>
      </c>
      <c r="B185" s="509" t="s">
        <v>83</v>
      </c>
      <c r="C185" s="677" t="s">
        <v>92</v>
      </c>
      <c r="D185" s="678">
        <v>1125.548</v>
      </c>
      <c r="E185" s="678">
        <v>360139.19140000001</v>
      </c>
      <c r="F185" s="679">
        <v>267353.84002538666</v>
      </c>
      <c r="G185" s="680"/>
      <c r="H185" s="678"/>
      <c r="I185" s="679"/>
      <c r="J185" s="680">
        <v>1032</v>
      </c>
      <c r="K185" s="678">
        <v>342685.64</v>
      </c>
      <c r="L185" s="679">
        <v>262698.49000000005</v>
      </c>
      <c r="M185" s="681">
        <v>-4.8463349218260052E-2</v>
      </c>
      <c r="N185" s="679">
        <v>-4655.3500253866077</v>
      </c>
      <c r="O185" s="680">
        <v>947</v>
      </c>
      <c r="P185" s="678">
        <v>334614.55999999901</v>
      </c>
      <c r="Q185" s="679">
        <v>258130.43999999901</v>
      </c>
      <c r="R185" s="547">
        <v>1.0897571277719114</v>
      </c>
      <c r="S185" s="679">
        <v>4568.0500000010361</v>
      </c>
      <c r="T185" s="607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522" t="s">
        <v>341</v>
      </c>
      <c r="B186" s="509" t="s">
        <v>83</v>
      </c>
      <c r="C186" s="682" t="s">
        <v>93</v>
      </c>
      <c r="D186" s="683"/>
      <c r="E186" s="684"/>
      <c r="F186" s="685">
        <v>0.74236252651670342</v>
      </c>
      <c r="G186" s="686"/>
      <c r="H186" s="684"/>
      <c r="I186" s="548"/>
      <c r="J186" s="686"/>
      <c r="K186" s="684">
        <v>332.05972868217054</v>
      </c>
      <c r="L186" s="548">
        <v>0.76658738895507861</v>
      </c>
      <c r="M186" s="686"/>
      <c r="N186" s="685">
        <v>-1.7412691827970592E-2</v>
      </c>
      <c r="O186" s="686"/>
      <c r="P186" s="684">
        <v>353.34166842660932</v>
      </c>
      <c r="Q186" s="548">
        <v>0.77142620452618615</v>
      </c>
      <c r="R186" s="686"/>
      <c r="S186" s="548">
        <v>1.7696673046391016E-2</v>
      </c>
      <c r="T186" s="607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522" t="s">
        <v>83</v>
      </c>
      <c r="B187" s="509" t="s">
        <v>83</v>
      </c>
      <c r="C187" s="536"/>
      <c r="D187" s="687"/>
      <c r="E187" s="688"/>
      <c r="F187" s="689"/>
      <c r="G187" s="690"/>
      <c r="H187" s="688"/>
      <c r="I187" s="689"/>
      <c r="J187" s="690"/>
      <c r="K187" s="688"/>
      <c r="L187" s="689"/>
      <c r="M187" s="690"/>
      <c r="N187" s="689"/>
      <c r="O187" s="690"/>
      <c r="P187" s="688"/>
      <c r="Q187" s="689"/>
      <c r="R187" s="690"/>
      <c r="S187" s="689"/>
      <c r="T187" s="607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522" t="s">
        <v>342</v>
      </c>
      <c r="B188" s="509" t="s">
        <v>83</v>
      </c>
      <c r="C188" s="530" t="s">
        <v>94</v>
      </c>
      <c r="D188" s="572"/>
      <c r="E188" s="572">
        <v>19093.32</v>
      </c>
      <c r="F188" s="572">
        <v>3360.4243199999996</v>
      </c>
      <c r="G188" s="557"/>
      <c r="H188" s="572"/>
      <c r="I188" s="572"/>
      <c r="J188" s="557"/>
      <c r="K188" s="531">
        <v>12464.83</v>
      </c>
      <c r="L188" s="533">
        <v>3483.2299999999996</v>
      </c>
      <c r="M188" s="576">
        <v>-0.34716277734830819</v>
      </c>
      <c r="N188" s="556">
        <v>122.80567999999994</v>
      </c>
      <c r="O188" s="557"/>
      <c r="P188" s="531">
        <v>17305.09</v>
      </c>
      <c r="Q188" s="533">
        <v>3325.7</v>
      </c>
      <c r="R188" s="576">
        <v>0</v>
      </c>
      <c r="S188" s="556">
        <v>157.52999999999975</v>
      </c>
      <c r="T188" s="607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522" t="s">
        <v>335</v>
      </c>
      <c r="B189" s="509" t="s">
        <v>83</v>
      </c>
      <c r="C189" s="530" t="s">
        <v>87</v>
      </c>
      <c r="D189" s="509"/>
      <c r="E189" s="643"/>
      <c r="F189" s="659">
        <v>0.17599999999999999</v>
      </c>
      <c r="G189" s="530"/>
      <c r="H189" s="643"/>
      <c r="I189" s="659"/>
      <c r="J189" s="670"/>
      <c r="K189" s="669"/>
      <c r="L189" s="659">
        <v>0.27944464545445064</v>
      </c>
      <c r="M189" s="670"/>
      <c r="N189" s="671"/>
      <c r="O189" s="670"/>
      <c r="P189" s="669"/>
      <c r="Q189" s="659">
        <v>0.19218045095402567</v>
      </c>
      <c r="R189" s="670"/>
      <c r="S189" s="671"/>
      <c r="T189" s="607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522" t="s">
        <v>83</v>
      </c>
      <c r="B190" s="509" t="s">
        <v>83</v>
      </c>
      <c r="C190" s="530"/>
      <c r="D190" s="509"/>
      <c r="E190" s="643"/>
      <c r="F190" s="659"/>
      <c r="G190" s="530"/>
      <c r="H190" s="643"/>
      <c r="I190" s="659"/>
      <c r="J190" s="670"/>
      <c r="K190" s="669"/>
      <c r="L190" s="659"/>
      <c r="M190" s="670"/>
      <c r="N190" s="671"/>
      <c r="O190" s="670"/>
      <c r="P190" s="669"/>
      <c r="Q190" s="659"/>
      <c r="R190" s="670"/>
      <c r="S190" s="671"/>
      <c r="T190" s="607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522" t="s">
        <v>343</v>
      </c>
      <c r="B191" s="509" t="s">
        <v>83</v>
      </c>
      <c r="C191" s="530" t="s">
        <v>95</v>
      </c>
      <c r="D191" s="509"/>
      <c r="E191" s="572">
        <v>9230</v>
      </c>
      <c r="F191" s="572">
        <v>6461</v>
      </c>
      <c r="G191" s="530"/>
      <c r="H191" s="572"/>
      <c r="I191" s="572"/>
      <c r="J191" s="557">
        <v>86</v>
      </c>
      <c r="K191" s="531">
        <v>18540.5</v>
      </c>
      <c r="L191" s="533">
        <v>14606.44</v>
      </c>
      <c r="M191" s="576">
        <v>1.0087215601300108</v>
      </c>
      <c r="N191" s="556">
        <v>8145.4400000000005</v>
      </c>
      <c r="O191" s="670"/>
      <c r="P191" s="531">
        <v>10359.950000000001</v>
      </c>
      <c r="Q191" s="533">
        <v>7081.85</v>
      </c>
      <c r="R191" s="670"/>
      <c r="S191" s="671"/>
      <c r="T191" s="607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522" t="s">
        <v>335</v>
      </c>
      <c r="B192" s="509" t="s">
        <v>83</v>
      </c>
      <c r="C192" s="530" t="s">
        <v>87</v>
      </c>
      <c r="D192" s="509"/>
      <c r="E192" s="643"/>
      <c r="F192" s="659">
        <v>0.7</v>
      </c>
      <c r="G192" s="530"/>
      <c r="H192" s="643"/>
      <c r="I192" s="659"/>
      <c r="J192" s="670"/>
      <c r="K192" s="669"/>
      <c r="L192" s="659">
        <v>0.78781262641244842</v>
      </c>
      <c r="M192" s="670"/>
      <c r="N192" s="671"/>
      <c r="O192" s="670"/>
      <c r="P192" s="669"/>
      <c r="Q192" s="659">
        <v>0.68357955395537617</v>
      </c>
      <c r="R192" s="670"/>
      <c r="S192" s="671"/>
      <c r="T192" s="607"/>
      <c r="U192" s="531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522" t="s">
        <v>83</v>
      </c>
      <c r="B193" s="509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7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522" t="s">
        <v>344</v>
      </c>
      <c r="B194" s="509" t="s">
        <v>83</v>
      </c>
      <c r="C194" s="558" t="s">
        <v>96</v>
      </c>
      <c r="D194" s="559"/>
      <c r="E194" s="559">
        <v>388462.51140000002</v>
      </c>
      <c r="F194" s="561">
        <v>277175.26434538665</v>
      </c>
      <c r="G194" s="562"/>
      <c r="H194" s="559"/>
      <c r="I194" s="561"/>
      <c r="J194" s="562"/>
      <c r="K194" s="559">
        <v>373690.97000000003</v>
      </c>
      <c r="L194" s="561">
        <v>280788.16000000003</v>
      </c>
      <c r="M194" s="696">
        <v>3.7872648095744865E-2</v>
      </c>
      <c r="N194" s="561">
        <v>3612.895654613385</v>
      </c>
      <c r="O194" s="562"/>
      <c r="P194" s="559">
        <v>362279.59999999905</v>
      </c>
      <c r="Q194" s="561">
        <v>268537.989999999</v>
      </c>
      <c r="R194" s="696"/>
      <c r="S194" s="561">
        <v>12250.170000001031</v>
      </c>
      <c r="T194" s="607"/>
      <c r="U194" s="653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522" t="s">
        <v>83</v>
      </c>
      <c r="B195" s="509" t="s">
        <v>83</v>
      </c>
      <c r="C195" s="563"/>
      <c r="D195" s="564"/>
      <c r="E195" s="564"/>
      <c r="F195" s="569">
        <v>0.71351869539858681</v>
      </c>
      <c r="G195" s="563"/>
      <c r="H195" s="564"/>
      <c r="I195" s="569"/>
      <c r="J195" s="563"/>
      <c r="K195" s="564"/>
      <c r="L195" s="569">
        <v>0.75139134349433168</v>
      </c>
      <c r="M195" s="568"/>
      <c r="N195" s="569">
        <v>1.3034697245246873E-2</v>
      </c>
      <c r="O195" s="563"/>
      <c r="P195" s="564"/>
      <c r="Q195" s="569">
        <v>0.74124513221279842</v>
      </c>
      <c r="R195" s="568"/>
      <c r="S195" s="569">
        <v>22.92116435934982</v>
      </c>
      <c r="T195" s="570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522" t="s">
        <v>83</v>
      </c>
      <c r="B196" s="509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7"/>
      <c r="L196" s="548"/>
      <c r="M196" s="547"/>
      <c r="N196" s="548"/>
      <c r="O196" s="549"/>
      <c r="P196" s="570"/>
      <c r="Q196" s="548"/>
      <c r="R196" s="547"/>
      <c r="S196" s="548"/>
      <c r="T196" s="570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522" t="s">
        <v>345</v>
      </c>
      <c r="B197" s="509" t="s">
        <v>83</v>
      </c>
      <c r="C197" s="573" t="s">
        <v>30</v>
      </c>
      <c r="D197" s="509"/>
      <c r="E197" s="509"/>
      <c r="F197" s="556"/>
      <c r="G197" s="530"/>
      <c r="H197" s="509"/>
      <c r="I197" s="556"/>
      <c r="J197" s="530"/>
      <c r="K197" s="509"/>
      <c r="L197" s="540"/>
      <c r="M197" s="530"/>
      <c r="N197" s="540"/>
      <c r="O197" s="530"/>
      <c r="P197" s="509"/>
      <c r="Q197" s="540"/>
      <c r="R197" s="530"/>
      <c r="S197" s="540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522" t="s">
        <v>346</v>
      </c>
      <c r="B198" s="509" t="s">
        <v>83</v>
      </c>
      <c r="C198" s="599" t="s">
        <v>41</v>
      </c>
      <c r="D198" s="509"/>
      <c r="E198" s="509"/>
      <c r="F198" s="531">
        <v>18635.594711538462</v>
      </c>
      <c r="G198" s="530"/>
      <c r="H198" s="509"/>
      <c r="I198" s="531"/>
      <c r="J198" s="530"/>
      <c r="K198" s="509"/>
      <c r="L198" s="533">
        <v>16024.81</v>
      </c>
      <c r="M198" s="530"/>
      <c r="N198" s="533">
        <v>-2610.7847115384629</v>
      </c>
      <c r="O198" s="530"/>
      <c r="P198" s="509"/>
      <c r="Q198" s="533">
        <v>11607.04</v>
      </c>
      <c r="R198" s="530"/>
      <c r="S198" s="533">
        <v>4417.7699999999986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522" t="s">
        <v>347</v>
      </c>
      <c r="B199" s="509" t="s">
        <v>83</v>
      </c>
      <c r="C199" s="601" t="s">
        <v>42</v>
      </c>
      <c r="D199" s="583"/>
      <c r="E199" s="509"/>
      <c r="F199" s="525">
        <v>10418.882923076924</v>
      </c>
      <c r="G199" s="584"/>
      <c r="H199" s="509"/>
      <c r="I199" s="525"/>
      <c r="J199" s="530"/>
      <c r="K199" s="509"/>
      <c r="L199" s="525">
        <v>13008.31</v>
      </c>
      <c r="M199" s="530"/>
      <c r="N199" s="533">
        <v>2589.4270769230752</v>
      </c>
      <c r="O199" s="530"/>
      <c r="P199" s="509"/>
      <c r="Q199" s="533">
        <v>7162.09</v>
      </c>
      <c r="R199" s="530"/>
      <c r="S199" s="556">
        <v>5846.2199999999993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25">
      <c r="A200" s="522" t="s">
        <v>348</v>
      </c>
      <c r="B200" s="509" t="s">
        <v>83</v>
      </c>
      <c r="C200" s="599" t="s">
        <v>43</v>
      </c>
      <c r="D200" s="602"/>
      <c r="E200" s="603"/>
      <c r="F200" s="531">
        <v>19584.721153846156</v>
      </c>
      <c r="G200" s="604"/>
      <c r="H200" s="603"/>
      <c r="I200" s="531"/>
      <c r="J200" s="517"/>
      <c r="K200" s="603"/>
      <c r="L200" s="531">
        <v>24939.74</v>
      </c>
      <c r="M200" s="517"/>
      <c r="N200" s="552">
        <v>5355.0188461538455</v>
      </c>
      <c r="O200" s="517"/>
      <c r="P200" s="603"/>
      <c r="Q200" s="552">
        <v>17131.98</v>
      </c>
      <c r="R200" s="517"/>
      <c r="S200" s="605">
        <v>7807.760000000002</v>
      </c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0.25">
      <c r="A201" s="522" t="s">
        <v>349</v>
      </c>
      <c r="B201" s="509" t="s">
        <v>83</v>
      </c>
      <c r="C201" s="599" t="s">
        <v>44</v>
      </c>
      <c r="D201" s="583"/>
      <c r="E201" s="600">
        <v>0.16825517469619811</v>
      </c>
      <c r="F201" s="531">
        <v>37731.290227692305</v>
      </c>
      <c r="G201" s="584"/>
      <c r="H201" s="509"/>
      <c r="I201" s="531"/>
      <c r="J201" s="530"/>
      <c r="K201" s="697">
        <v>0.15461280273950356</v>
      </c>
      <c r="L201" s="531">
        <v>30312.31</v>
      </c>
      <c r="M201" s="530"/>
      <c r="N201" s="533">
        <v>-7418.9802276923037</v>
      </c>
      <c r="O201" s="530"/>
      <c r="P201" s="509"/>
      <c r="Q201" s="533">
        <v>29317.81</v>
      </c>
      <c r="R201" s="530"/>
      <c r="S201" s="556">
        <v>994.5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522" t="s">
        <v>350</v>
      </c>
      <c r="B202" s="509" t="s">
        <v>83</v>
      </c>
      <c r="C202" s="530" t="s">
        <v>20</v>
      </c>
      <c r="D202" s="583"/>
      <c r="E202" s="509"/>
      <c r="F202" s="531">
        <v>0</v>
      </c>
      <c r="G202" s="584"/>
      <c r="H202" s="509"/>
      <c r="I202" s="531"/>
      <c r="J202" s="530"/>
      <c r="K202" s="509"/>
      <c r="L202" s="533">
        <v>0</v>
      </c>
      <c r="M202" s="530"/>
      <c r="N202" s="533">
        <v>0</v>
      </c>
      <c r="O202" s="530"/>
      <c r="P202" s="509"/>
      <c r="Q202" s="533">
        <v>0</v>
      </c>
      <c r="R202" s="530"/>
      <c r="S202" s="556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522" t="s">
        <v>350</v>
      </c>
      <c r="B203" s="509" t="s">
        <v>83</v>
      </c>
      <c r="C203" s="530" t="s">
        <v>20</v>
      </c>
      <c r="D203" s="583"/>
      <c r="E203" s="509"/>
      <c r="F203" s="531">
        <v>0</v>
      </c>
      <c r="G203" s="584"/>
      <c r="H203" s="509"/>
      <c r="I203" s="531"/>
      <c r="J203" s="530"/>
      <c r="K203" s="509"/>
      <c r="L203" s="533">
        <v>0</v>
      </c>
      <c r="M203" s="530"/>
      <c r="N203" s="533">
        <v>0</v>
      </c>
      <c r="O203" s="530"/>
      <c r="P203" s="509"/>
      <c r="Q203" s="533">
        <v>0</v>
      </c>
      <c r="R203" s="530"/>
      <c r="S203" s="556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522" t="s">
        <v>350</v>
      </c>
      <c r="B204" s="509" t="s">
        <v>83</v>
      </c>
      <c r="C204" s="530" t="s">
        <v>20</v>
      </c>
      <c r="D204" s="583"/>
      <c r="E204" s="509"/>
      <c r="F204" s="531">
        <v>0</v>
      </c>
      <c r="G204" s="584"/>
      <c r="H204" s="509"/>
      <c r="I204" s="531"/>
      <c r="J204" s="530"/>
      <c r="K204" s="509"/>
      <c r="L204" s="533">
        <v>0</v>
      </c>
      <c r="M204" s="530"/>
      <c r="N204" s="533">
        <v>0</v>
      </c>
      <c r="O204" s="530"/>
      <c r="P204" s="509"/>
      <c r="Q204" s="533">
        <v>0</v>
      </c>
      <c r="R204" s="530"/>
      <c r="S204" s="556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25">
      <c r="A205" s="522" t="s">
        <v>351</v>
      </c>
      <c r="B205" s="509" t="s">
        <v>83</v>
      </c>
      <c r="C205" s="601" t="s">
        <v>45</v>
      </c>
      <c r="D205" s="583"/>
      <c r="E205" s="509"/>
      <c r="F205" s="531">
        <v>20781.05484589054</v>
      </c>
      <c r="G205" s="584"/>
      <c r="H205" s="509"/>
      <c r="I205" s="531"/>
      <c r="J205" s="530"/>
      <c r="K205" s="509"/>
      <c r="L205" s="533">
        <v>20141.89</v>
      </c>
      <c r="M205" s="530"/>
      <c r="N205" s="533">
        <v>-639.16484589054016</v>
      </c>
      <c r="O205" s="530"/>
      <c r="P205" s="509"/>
      <c r="Q205" s="533">
        <v>20132.439999999999</v>
      </c>
      <c r="R205" s="530"/>
      <c r="S205" s="556">
        <v>9.4500000000007276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522" t="s">
        <v>352</v>
      </c>
      <c r="B206" s="509" t="s">
        <v>83</v>
      </c>
      <c r="C206" s="599" t="s">
        <v>46</v>
      </c>
      <c r="D206" s="602"/>
      <c r="E206" s="603"/>
      <c r="F206" s="552">
        <v>25266.833204695107</v>
      </c>
      <c r="G206" s="604"/>
      <c r="H206" s="603"/>
      <c r="I206" s="552"/>
      <c r="J206" s="517"/>
      <c r="K206" s="603"/>
      <c r="L206" s="552">
        <v>24695.16</v>
      </c>
      <c r="M206" s="517"/>
      <c r="N206" s="552">
        <v>-571.67320469510742</v>
      </c>
      <c r="O206" s="517"/>
      <c r="P206" s="603"/>
      <c r="Q206" s="552">
        <v>24038.78</v>
      </c>
      <c r="R206" s="517"/>
      <c r="S206" s="605">
        <v>656.38000000000102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522" t="s">
        <v>353</v>
      </c>
      <c r="B207" s="509" t="s">
        <v>83</v>
      </c>
      <c r="C207" s="599" t="s">
        <v>47</v>
      </c>
      <c r="D207" s="583"/>
      <c r="E207" s="509"/>
      <c r="F207" s="531">
        <v>13017.911890245086</v>
      </c>
      <c r="G207" s="584"/>
      <c r="H207" s="509"/>
      <c r="I207" s="531"/>
      <c r="J207" s="530"/>
      <c r="K207" s="509"/>
      <c r="L207" s="533">
        <v>12507.22</v>
      </c>
      <c r="M207" s="530"/>
      <c r="N207" s="533">
        <v>-510.69189024508705</v>
      </c>
      <c r="O207" s="530"/>
      <c r="P207" s="509"/>
      <c r="Q207" s="533">
        <v>11427.23</v>
      </c>
      <c r="R207" s="530"/>
      <c r="S207" s="556">
        <v>1079.9899999999998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522" t="s">
        <v>354</v>
      </c>
      <c r="B208" s="509" t="s">
        <v>83</v>
      </c>
      <c r="C208" s="599" t="s">
        <v>48</v>
      </c>
      <c r="D208" s="583"/>
      <c r="E208" s="509"/>
      <c r="F208" s="531">
        <v>5675.8828213445522</v>
      </c>
      <c r="G208" s="584"/>
      <c r="H208" s="509"/>
      <c r="I208" s="531"/>
      <c r="J208" s="530"/>
      <c r="K208" s="509"/>
      <c r="L208" s="533">
        <v>5100.5</v>
      </c>
      <c r="M208" s="530"/>
      <c r="N208" s="533">
        <v>-575.38282134455221</v>
      </c>
      <c r="O208" s="530"/>
      <c r="P208" s="509"/>
      <c r="Q208" s="533">
        <v>3283.11</v>
      </c>
      <c r="R208" s="530"/>
      <c r="S208" s="556">
        <v>1817.3899999999999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522" t="s">
        <v>350</v>
      </c>
      <c r="B209" s="509" t="s">
        <v>83</v>
      </c>
      <c r="C209" s="530" t="s">
        <v>20</v>
      </c>
      <c r="D209" s="586"/>
      <c r="E209" s="606"/>
      <c r="F209" s="531">
        <v>0</v>
      </c>
      <c r="G209" s="587"/>
      <c r="H209" s="606"/>
      <c r="I209" s="531"/>
      <c r="J209" s="523"/>
      <c r="K209" s="606"/>
      <c r="L209" s="533">
        <v>0</v>
      </c>
      <c r="M209" s="523"/>
      <c r="N209" s="533">
        <v>0</v>
      </c>
      <c r="O209" s="523"/>
      <c r="P209" s="606"/>
      <c r="Q209" s="533">
        <v>0</v>
      </c>
      <c r="R209" s="523"/>
      <c r="S209" s="581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522" t="s">
        <v>355</v>
      </c>
      <c r="B210" s="509" t="s">
        <v>83</v>
      </c>
      <c r="C210" s="591" t="s">
        <v>49</v>
      </c>
      <c r="D210" s="592" t="s">
        <v>97</v>
      </c>
      <c r="E210" s="593">
        <v>0.54518635396710236</v>
      </c>
      <c r="F210" s="594">
        <v>151112.17177832912</v>
      </c>
      <c r="G210" s="595"/>
      <c r="H210" s="593"/>
      <c r="I210" s="594"/>
      <c r="J210" s="595" t="s">
        <v>97</v>
      </c>
      <c r="K210" s="593">
        <v>0.52256455542854796</v>
      </c>
      <c r="L210" s="594">
        <v>146729.94</v>
      </c>
      <c r="M210" s="649"/>
      <c r="N210" s="594">
        <v>-4382.2317783291219</v>
      </c>
      <c r="O210" s="595" t="s">
        <v>97</v>
      </c>
      <c r="P210" s="593">
        <v>0.46213379343459171</v>
      </c>
      <c r="Q210" s="594">
        <v>124100.48</v>
      </c>
      <c r="R210" s="649"/>
      <c r="S210" s="608">
        <v>22629.460000000006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522" t="s">
        <v>356</v>
      </c>
      <c r="B211" s="509" t="s">
        <v>83</v>
      </c>
      <c r="C211" s="530" t="s">
        <v>50</v>
      </c>
      <c r="D211" s="583"/>
      <c r="E211" s="509"/>
      <c r="F211" s="531">
        <v>12414.998632541719</v>
      </c>
      <c r="G211" s="584"/>
      <c r="H211" s="509"/>
      <c r="I211" s="531"/>
      <c r="J211" s="530"/>
      <c r="K211" s="509"/>
      <c r="L211" s="533">
        <v>10327.75</v>
      </c>
      <c r="M211" s="530"/>
      <c r="N211" s="556">
        <v>-2087.2486325417194</v>
      </c>
      <c r="O211" s="530"/>
      <c r="P211" s="509"/>
      <c r="Q211" s="533">
        <v>11040.12</v>
      </c>
      <c r="R211" s="530"/>
      <c r="S211" s="556">
        <v>-712.3700000000008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522" t="s">
        <v>357</v>
      </c>
      <c r="B212" s="509" t="s">
        <v>83</v>
      </c>
      <c r="C212" s="530" t="s">
        <v>51</v>
      </c>
      <c r="D212" s="583"/>
      <c r="E212" s="509"/>
      <c r="F212" s="531">
        <v>3422.1774033237093</v>
      </c>
      <c r="G212" s="584"/>
      <c r="H212" s="509"/>
      <c r="I212" s="531"/>
      <c r="J212" s="530"/>
      <c r="K212" s="509"/>
      <c r="L212" s="533">
        <v>3001.7999999999997</v>
      </c>
      <c r="M212" s="530"/>
      <c r="N212" s="556">
        <v>-420.37740332370959</v>
      </c>
      <c r="O212" s="530"/>
      <c r="P212" s="509"/>
      <c r="Q212" s="533">
        <v>7866.81</v>
      </c>
      <c r="R212" s="530"/>
      <c r="S212" s="556">
        <v>-4865.01</v>
      </c>
      <c r="T212" s="509"/>
      <c r="U212" s="522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522" t="s">
        <v>358</v>
      </c>
      <c r="B213" s="509" t="s">
        <v>83</v>
      </c>
      <c r="C213" s="523" t="s">
        <v>52</v>
      </c>
      <c r="D213" s="586"/>
      <c r="E213" s="606"/>
      <c r="F213" s="525">
        <v>14083.739355555555</v>
      </c>
      <c r="G213" s="587"/>
      <c r="H213" s="606"/>
      <c r="I213" s="525"/>
      <c r="J213" s="523"/>
      <c r="K213" s="606"/>
      <c r="L213" s="533">
        <v>15650.98</v>
      </c>
      <c r="M213" s="523"/>
      <c r="N213" s="581">
        <v>1567.2406444444441</v>
      </c>
      <c r="O213" s="523"/>
      <c r="P213" s="606"/>
      <c r="Q213" s="533">
        <v>9794.68</v>
      </c>
      <c r="R213" s="523"/>
      <c r="S213" s="581">
        <v>5856.2999999999993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522" t="s">
        <v>359</v>
      </c>
      <c r="B214" s="509" t="s">
        <v>83</v>
      </c>
      <c r="C214" s="530" t="s">
        <v>53</v>
      </c>
      <c r="D214" s="583"/>
      <c r="E214" s="509"/>
      <c r="F214" s="531">
        <v>4783.316137386666</v>
      </c>
      <c r="G214" s="584"/>
      <c r="H214" s="509"/>
      <c r="I214" s="531"/>
      <c r="J214" s="530"/>
      <c r="K214" s="509"/>
      <c r="L214" s="552">
        <v>4509.63</v>
      </c>
      <c r="M214" s="530"/>
      <c r="N214" s="556">
        <v>-273.68613738666591</v>
      </c>
      <c r="O214" s="530"/>
      <c r="P214" s="509"/>
      <c r="Q214" s="552">
        <v>5132.66</v>
      </c>
      <c r="R214" s="530"/>
      <c r="S214" s="556">
        <v>-623.02999999999975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522" t="s">
        <v>360</v>
      </c>
      <c r="B215" s="509" t="s">
        <v>83</v>
      </c>
      <c r="C215" s="530" t="s">
        <v>54</v>
      </c>
      <c r="D215" s="583"/>
      <c r="E215" s="509"/>
      <c r="F215" s="531">
        <v>1050.8751805936904</v>
      </c>
      <c r="G215" s="584"/>
      <c r="H215" s="509"/>
      <c r="I215" s="531"/>
      <c r="J215" s="530"/>
      <c r="K215" s="509"/>
      <c r="L215" s="533">
        <v>1794.7</v>
      </c>
      <c r="M215" s="530"/>
      <c r="N215" s="556">
        <v>743.82481940630964</v>
      </c>
      <c r="O215" s="530"/>
      <c r="P215" s="509"/>
      <c r="Q215" s="533">
        <v>997.62</v>
      </c>
      <c r="R215" s="530"/>
      <c r="S215" s="556">
        <v>797.08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522" t="s">
        <v>361</v>
      </c>
      <c r="B216" s="509" t="s">
        <v>83</v>
      </c>
      <c r="C216" s="523" t="s">
        <v>55</v>
      </c>
      <c r="D216" s="586"/>
      <c r="E216" s="606"/>
      <c r="F216" s="525">
        <v>15128.231788350371</v>
      </c>
      <c r="G216" s="587"/>
      <c r="H216" s="606"/>
      <c r="I216" s="525"/>
      <c r="J216" s="523"/>
      <c r="K216" s="606"/>
      <c r="L216" s="533">
        <v>18700.53</v>
      </c>
      <c r="M216" s="523"/>
      <c r="N216" s="581">
        <v>3572.2982116496278</v>
      </c>
      <c r="O216" s="523"/>
      <c r="P216" s="606"/>
      <c r="Q216" s="533">
        <v>18813.41</v>
      </c>
      <c r="R216" s="523"/>
      <c r="S216" s="581">
        <v>-112.88000000000102</v>
      </c>
      <c r="T216" s="509"/>
      <c r="U216" s="506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522" t="s">
        <v>362</v>
      </c>
      <c r="B217" s="509" t="s">
        <v>83</v>
      </c>
      <c r="C217" s="530" t="s">
        <v>98</v>
      </c>
      <c r="D217" s="583"/>
      <c r="E217" s="509"/>
      <c r="F217" s="531"/>
      <c r="G217" s="584"/>
      <c r="H217" s="509"/>
      <c r="I217" s="531"/>
      <c r="J217" s="530"/>
      <c r="K217" s="509"/>
      <c r="L217" s="552">
        <v>0</v>
      </c>
      <c r="M217" s="530"/>
      <c r="N217" s="556">
        <v>0</v>
      </c>
      <c r="O217" s="530"/>
      <c r="P217" s="509"/>
      <c r="Q217" s="552">
        <v>0</v>
      </c>
      <c r="R217" s="530"/>
      <c r="S217" s="556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522" t="s">
        <v>363</v>
      </c>
      <c r="B218" s="509" t="s">
        <v>83</v>
      </c>
      <c r="C218" s="530" t="s">
        <v>56</v>
      </c>
      <c r="D218" s="583"/>
      <c r="E218" s="509"/>
      <c r="F218" s="531">
        <v>4769.9204222222234</v>
      </c>
      <c r="G218" s="584"/>
      <c r="H218" s="509"/>
      <c r="I218" s="531"/>
      <c r="J218" s="530"/>
      <c r="K218" s="509"/>
      <c r="L218" s="533">
        <v>4281.8</v>
      </c>
      <c r="M218" s="530"/>
      <c r="N218" s="556">
        <v>-488.12042222222317</v>
      </c>
      <c r="O218" s="530"/>
      <c r="P218" s="509"/>
      <c r="Q218" s="533">
        <v>6845.96</v>
      </c>
      <c r="R218" s="530"/>
      <c r="S218" s="556">
        <v>-2564.16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522" t="s">
        <v>364</v>
      </c>
      <c r="B219" s="509" t="s">
        <v>83</v>
      </c>
      <c r="C219" s="530" t="s">
        <v>57</v>
      </c>
      <c r="D219" s="583"/>
      <c r="E219" s="509"/>
      <c r="F219" s="531">
        <v>1220.4654067864171</v>
      </c>
      <c r="G219" s="584"/>
      <c r="H219" s="509"/>
      <c r="I219" s="531"/>
      <c r="J219" s="530"/>
      <c r="K219" s="509"/>
      <c r="L219" s="533">
        <v>798.57</v>
      </c>
      <c r="M219" s="530"/>
      <c r="N219" s="556">
        <v>-421.89540678641708</v>
      </c>
      <c r="O219" s="530"/>
      <c r="P219" s="509"/>
      <c r="Q219" s="533">
        <v>2261.06</v>
      </c>
      <c r="R219" s="530"/>
      <c r="S219" s="556">
        <v>-1462.4899999999998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522" t="s">
        <v>365</v>
      </c>
      <c r="B220" s="509" t="s">
        <v>83</v>
      </c>
      <c r="C220" s="530" t="s">
        <v>58</v>
      </c>
      <c r="D220" s="583"/>
      <c r="E220" s="509"/>
      <c r="F220" s="531">
        <v>833.0541497518401</v>
      </c>
      <c r="G220" s="584"/>
      <c r="H220" s="509"/>
      <c r="I220" s="531"/>
      <c r="J220" s="530"/>
      <c r="K220" s="509"/>
      <c r="L220" s="533">
        <v>44.21</v>
      </c>
      <c r="M220" s="530"/>
      <c r="N220" s="556">
        <v>-788.84414975184006</v>
      </c>
      <c r="O220" s="530"/>
      <c r="P220" s="509"/>
      <c r="Q220" s="533">
        <v>669.02</v>
      </c>
      <c r="R220" s="530"/>
      <c r="S220" s="556">
        <v>-624.80999999999995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522" t="s">
        <v>366</v>
      </c>
      <c r="B221" s="509" t="s">
        <v>83</v>
      </c>
      <c r="C221" s="530" t="s">
        <v>59</v>
      </c>
      <c r="D221" s="583"/>
      <c r="E221" s="509"/>
      <c r="F221" s="531">
        <v>179.20450168848672</v>
      </c>
      <c r="G221" s="584"/>
      <c r="H221" s="509"/>
      <c r="I221" s="531"/>
      <c r="J221" s="530"/>
      <c r="K221" s="509"/>
      <c r="L221" s="533">
        <v>233.49</v>
      </c>
      <c r="M221" s="530"/>
      <c r="N221" s="556">
        <v>54.285498311513294</v>
      </c>
      <c r="O221" s="530"/>
      <c r="P221" s="509"/>
      <c r="Q221" s="533">
        <v>450.83</v>
      </c>
      <c r="R221" s="530"/>
      <c r="S221" s="556">
        <v>-217.33999999999997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522" t="s">
        <v>367</v>
      </c>
      <c r="B222" s="509" t="s">
        <v>83</v>
      </c>
      <c r="C222" s="530" t="s">
        <v>60</v>
      </c>
      <c r="D222" s="583"/>
      <c r="E222" s="509"/>
      <c r="F222" s="531">
        <v>92.790571276313315</v>
      </c>
      <c r="G222" s="584"/>
      <c r="H222" s="509"/>
      <c r="I222" s="531"/>
      <c r="J222" s="530"/>
      <c r="K222" s="509"/>
      <c r="L222" s="533">
        <v>65.45</v>
      </c>
      <c r="M222" s="530"/>
      <c r="N222" s="556">
        <v>-27.340571276313312</v>
      </c>
      <c r="O222" s="530"/>
      <c r="P222" s="509"/>
      <c r="Q222" s="533">
        <v>124.72</v>
      </c>
      <c r="R222" s="530"/>
      <c r="S222" s="556">
        <v>-59.269999999999996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522" t="s">
        <v>368</v>
      </c>
      <c r="B223" s="509" t="s">
        <v>83</v>
      </c>
      <c r="C223" s="530" t="s">
        <v>61</v>
      </c>
      <c r="D223" s="583"/>
      <c r="E223" s="509"/>
      <c r="F223" s="531">
        <v>152.45095187595334</v>
      </c>
      <c r="G223" s="584"/>
      <c r="H223" s="509"/>
      <c r="I223" s="531"/>
      <c r="J223" s="530"/>
      <c r="K223" s="509"/>
      <c r="L223" s="533">
        <v>47.04</v>
      </c>
      <c r="M223" s="530"/>
      <c r="N223" s="556">
        <v>-105.41095187595334</v>
      </c>
      <c r="O223" s="530"/>
      <c r="P223" s="509"/>
      <c r="Q223" s="533">
        <v>175.86</v>
      </c>
      <c r="R223" s="530"/>
      <c r="S223" s="556">
        <v>-128.82000000000002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522" t="s">
        <v>369</v>
      </c>
      <c r="B224" s="509" t="s">
        <v>83</v>
      </c>
      <c r="C224" s="530" t="s">
        <v>62</v>
      </c>
      <c r="D224" s="583"/>
      <c r="E224" s="509"/>
      <c r="F224" s="531">
        <v>3066.5133988524863</v>
      </c>
      <c r="G224" s="584"/>
      <c r="H224" s="509"/>
      <c r="I224" s="531"/>
      <c r="J224" s="530"/>
      <c r="K224" s="509"/>
      <c r="L224" s="533">
        <v>458.45</v>
      </c>
      <c r="M224" s="530"/>
      <c r="N224" s="556">
        <v>-2608.0633988524864</v>
      </c>
      <c r="O224" s="530"/>
      <c r="P224" s="509"/>
      <c r="Q224" s="533">
        <v>1357.17</v>
      </c>
      <c r="R224" s="530"/>
      <c r="S224" s="556">
        <v>-898.72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522" t="s">
        <v>370</v>
      </c>
      <c r="B225" s="509" t="s">
        <v>83</v>
      </c>
      <c r="C225" s="530" t="s">
        <v>63</v>
      </c>
      <c r="D225" s="583"/>
      <c r="E225" s="509"/>
      <c r="F225" s="531">
        <v>2251.29363296273</v>
      </c>
      <c r="G225" s="584"/>
      <c r="H225" s="509"/>
      <c r="I225" s="531"/>
      <c r="J225" s="530"/>
      <c r="K225" s="509"/>
      <c r="L225" s="533">
        <v>2322.71</v>
      </c>
      <c r="M225" s="530"/>
      <c r="N225" s="556">
        <v>71.416367037269993</v>
      </c>
      <c r="O225" s="530"/>
      <c r="P225" s="509"/>
      <c r="Q225" s="533">
        <v>2391.44</v>
      </c>
      <c r="R225" s="530"/>
      <c r="S225" s="556">
        <v>-68.730000000000018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522" t="s">
        <v>350</v>
      </c>
      <c r="B226" s="509" t="s">
        <v>83</v>
      </c>
      <c r="C226" s="530" t="s">
        <v>20</v>
      </c>
      <c r="D226" s="583"/>
      <c r="E226" s="509"/>
      <c r="F226" s="531">
        <v>0</v>
      </c>
      <c r="G226" s="584"/>
      <c r="H226" s="509"/>
      <c r="I226" s="531"/>
      <c r="J226" s="530"/>
      <c r="K226" s="509"/>
      <c r="L226" s="533">
        <v>0</v>
      </c>
      <c r="M226" s="530"/>
      <c r="N226" s="556">
        <v>0</v>
      </c>
      <c r="O226" s="530"/>
      <c r="P226" s="509"/>
      <c r="Q226" s="533">
        <v>0</v>
      </c>
      <c r="R226" s="530"/>
      <c r="S226" s="556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522" t="s">
        <v>350</v>
      </c>
      <c r="B227" s="509" t="s">
        <v>83</v>
      </c>
      <c r="C227" s="530" t="s">
        <v>20</v>
      </c>
      <c r="D227" s="583"/>
      <c r="E227" s="509"/>
      <c r="F227" s="531">
        <v>0</v>
      </c>
      <c r="G227" s="584"/>
      <c r="H227" s="509"/>
      <c r="I227" s="531"/>
      <c r="J227" s="530"/>
      <c r="K227" s="509"/>
      <c r="L227" s="533">
        <v>0</v>
      </c>
      <c r="M227" s="530"/>
      <c r="N227" s="556">
        <v>0</v>
      </c>
      <c r="O227" s="530"/>
      <c r="P227" s="509"/>
      <c r="Q227" s="533">
        <v>0</v>
      </c>
      <c r="R227" s="530"/>
      <c r="S227" s="556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522" t="s">
        <v>350</v>
      </c>
      <c r="B228" s="509" t="s">
        <v>83</v>
      </c>
      <c r="C228" s="530" t="s">
        <v>20</v>
      </c>
      <c r="D228" s="583"/>
      <c r="E228" s="509"/>
      <c r="F228" s="531">
        <v>0</v>
      </c>
      <c r="G228" s="584"/>
      <c r="H228" s="509"/>
      <c r="I228" s="531"/>
      <c r="J228" s="530"/>
      <c r="K228" s="509"/>
      <c r="L228" s="533">
        <v>0</v>
      </c>
      <c r="M228" s="530"/>
      <c r="N228" s="556">
        <v>0</v>
      </c>
      <c r="O228" s="530"/>
      <c r="P228" s="509"/>
      <c r="Q228" s="533">
        <v>0</v>
      </c>
      <c r="R228" s="530"/>
      <c r="S228" s="556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91" t="s">
        <v>64</v>
      </c>
      <c r="D229" s="592" t="s">
        <v>97</v>
      </c>
      <c r="E229" s="593">
        <v>0.22891303696604273</v>
      </c>
      <c r="F229" s="594">
        <v>63449.031533168163</v>
      </c>
      <c r="G229" s="595"/>
      <c r="H229" s="593"/>
      <c r="I229" s="594"/>
      <c r="J229" s="595" t="s">
        <v>97</v>
      </c>
      <c r="K229" s="593">
        <v>0.22165147561777526</v>
      </c>
      <c r="L229" s="594">
        <v>62237.109999999986</v>
      </c>
      <c r="M229" s="598"/>
      <c r="N229" s="594">
        <v>-1211.9215331681771</v>
      </c>
      <c r="O229" s="595" t="s">
        <v>97</v>
      </c>
      <c r="P229" s="593">
        <v>0.25293017200285239</v>
      </c>
      <c r="Q229" s="594">
        <v>67921.36</v>
      </c>
      <c r="R229" s="598"/>
      <c r="S229" s="594">
        <v>-5684.2500000000146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3"/>
      <c r="D230" s="586"/>
      <c r="E230" s="606"/>
      <c r="F230" s="556"/>
      <c r="G230" s="587"/>
      <c r="H230" s="606"/>
      <c r="I230" s="556"/>
      <c r="J230" s="523"/>
      <c r="K230" s="606"/>
      <c r="L230" s="581"/>
      <c r="M230" s="523"/>
      <c r="N230" s="581"/>
      <c r="O230" s="523"/>
      <c r="P230" s="606"/>
      <c r="Q230" s="581"/>
      <c r="R230" s="523"/>
      <c r="S230" s="581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91" t="s">
        <v>65</v>
      </c>
      <c r="D231" s="592" t="s">
        <v>39</v>
      </c>
      <c r="E231" s="593">
        <v>0.77409939093314506</v>
      </c>
      <c r="F231" s="594">
        <v>214561.20331149729</v>
      </c>
      <c r="G231" s="595"/>
      <c r="H231" s="593"/>
      <c r="I231" s="594"/>
      <c r="J231" s="595" t="s">
        <v>39</v>
      </c>
      <c r="K231" s="593">
        <v>0.74421603104632317</v>
      </c>
      <c r="L231" s="594">
        <v>208967.05</v>
      </c>
      <c r="M231" s="598"/>
      <c r="N231" s="608">
        <v>-5594.153311497299</v>
      </c>
      <c r="O231" s="595" t="s">
        <v>39</v>
      </c>
      <c r="P231" s="593">
        <v>0.7150639654374441</v>
      </c>
      <c r="Q231" s="594">
        <v>192021.84</v>
      </c>
      <c r="R231" s="598"/>
      <c r="S231" s="608">
        <v>16945.209999999992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30"/>
      <c r="D232" s="583"/>
      <c r="E232" s="509"/>
      <c r="F232" s="556"/>
      <c r="G232" s="584"/>
      <c r="H232" s="509"/>
      <c r="I232" s="556"/>
      <c r="J232" s="530"/>
      <c r="K232" s="509"/>
      <c r="L232" s="556"/>
      <c r="M232" s="530"/>
      <c r="N232" s="556">
        <v>0</v>
      </c>
      <c r="O232" s="530"/>
      <c r="P232" s="509"/>
      <c r="Q232" s="556"/>
      <c r="R232" s="530"/>
      <c r="S232" s="556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3" t="s">
        <v>72</v>
      </c>
      <c r="D233" s="654"/>
      <c r="E233" s="624"/>
      <c r="F233" s="626">
        <v>62614.06103388936</v>
      </c>
      <c r="G233" s="655"/>
      <c r="H233" s="624"/>
      <c r="I233" s="626"/>
      <c r="J233" s="623"/>
      <c r="K233" s="625"/>
      <c r="L233" s="626">
        <v>71821.110000000044</v>
      </c>
      <c r="M233" s="623"/>
      <c r="N233" s="626">
        <v>9207.048966110684</v>
      </c>
      <c r="O233" s="623"/>
      <c r="P233" s="628">
        <v>0.21120744861151222</v>
      </c>
      <c r="Q233" s="626">
        <v>76516.149999999005</v>
      </c>
      <c r="R233" s="623"/>
      <c r="S233" s="626">
        <v>-4695.0399999989604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2"/>
      <c r="M234" s="572"/>
      <c r="N234" s="509"/>
      <c r="O234" s="572"/>
      <c r="P234" s="509"/>
      <c r="Q234" s="572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6"/>
      <c r="M235" s="656"/>
      <c r="N235" s="506"/>
      <c r="O235" s="656"/>
      <c r="P235" s="506"/>
      <c r="Q235" s="656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3" t="s">
        <v>478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4" t="s">
        <v>484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220</v>
      </c>
      <c r="N238" s="513"/>
      <c r="O238" s="511" t="s">
        <v>8</v>
      </c>
      <c r="P238" s="512"/>
      <c r="Q238" s="513"/>
      <c r="R238" s="514" t="s">
        <v>221</v>
      </c>
      <c r="S238" s="513"/>
      <c r="T238" s="650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522" t="s">
        <v>99</v>
      </c>
      <c r="B239" s="509" t="s">
        <v>99</v>
      </c>
      <c r="C239" s="530"/>
      <c r="D239" s="574" t="s">
        <v>40</v>
      </c>
      <c r="E239" s="574" t="s">
        <v>84</v>
      </c>
      <c r="F239" s="657" t="s">
        <v>12</v>
      </c>
      <c r="G239" s="658"/>
      <c r="H239" s="574"/>
      <c r="I239" s="657"/>
      <c r="J239" s="658" t="s">
        <v>40</v>
      </c>
      <c r="K239" s="574" t="s">
        <v>84</v>
      </c>
      <c r="L239" s="657" t="s">
        <v>12</v>
      </c>
      <c r="M239" s="658" t="s">
        <v>40</v>
      </c>
      <c r="N239" s="657" t="s">
        <v>223</v>
      </c>
      <c r="O239" s="574" t="s">
        <v>40</v>
      </c>
      <c r="P239" s="574" t="s">
        <v>84</v>
      </c>
      <c r="Q239" s="657" t="s">
        <v>12</v>
      </c>
      <c r="R239" s="658" t="s">
        <v>85</v>
      </c>
      <c r="S239" s="657" t="s">
        <v>12</v>
      </c>
      <c r="T239" s="574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522" t="s">
        <v>99</v>
      </c>
      <c r="B240" s="509" t="s">
        <v>99</v>
      </c>
      <c r="C240" s="530"/>
      <c r="D240" s="574"/>
      <c r="E240" s="574"/>
      <c r="F240" s="657"/>
      <c r="G240" s="658"/>
      <c r="H240" s="574"/>
      <c r="I240" s="657"/>
      <c r="J240" s="658"/>
      <c r="K240" s="531"/>
      <c r="L240" s="533"/>
      <c r="M240" s="658"/>
      <c r="N240" s="657"/>
      <c r="O240" s="574"/>
      <c r="P240" s="574"/>
      <c r="Q240" s="657"/>
      <c r="R240" s="658"/>
      <c r="S240" s="657"/>
      <c r="T240" s="574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522" t="s">
        <v>371</v>
      </c>
      <c r="B241" s="509" t="s">
        <v>99</v>
      </c>
      <c r="C241" s="530" t="s">
        <v>100</v>
      </c>
      <c r="D241" s="698">
        <v>0</v>
      </c>
      <c r="E241" s="572">
        <v>54000</v>
      </c>
      <c r="F241" s="572">
        <v>11880</v>
      </c>
      <c r="G241" s="699"/>
      <c r="H241" s="572"/>
      <c r="I241" s="572"/>
      <c r="J241" s="557">
        <v>29</v>
      </c>
      <c r="K241" s="572">
        <v>92900.26</v>
      </c>
      <c r="L241" s="572">
        <v>14676.709999999992</v>
      </c>
      <c r="M241" s="576">
        <v>0.72037518518518506</v>
      </c>
      <c r="N241" s="556">
        <v>2796.7099999999919</v>
      </c>
      <c r="O241" s="557">
        <v>4</v>
      </c>
      <c r="P241" s="531">
        <v>10936.23</v>
      </c>
      <c r="Q241" s="533">
        <v>3830.0299999999902</v>
      </c>
      <c r="R241" s="576">
        <v>7.25</v>
      </c>
      <c r="S241" s="556">
        <v>10846.680000000002</v>
      </c>
      <c r="T241" s="574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522" t="s">
        <v>372</v>
      </c>
      <c r="B242" s="509" t="s">
        <v>99</v>
      </c>
      <c r="C242" s="530" t="s">
        <v>87</v>
      </c>
      <c r="D242" s="574"/>
      <c r="E242" s="643"/>
      <c r="F242" s="659">
        <v>0.22</v>
      </c>
      <c r="G242" s="530"/>
      <c r="H242" s="643"/>
      <c r="I242" s="659"/>
      <c r="J242" s="557"/>
      <c r="K242" s="509"/>
      <c r="L242" s="659">
        <v>0.15798351909887004</v>
      </c>
      <c r="M242" s="576"/>
      <c r="N242" s="556">
        <v>3882.2964165277967</v>
      </c>
      <c r="O242" s="557"/>
      <c r="P242" s="509"/>
      <c r="Q242" s="659">
        <v>0.35021483637414269</v>
      </c>
      <c r="R242" s="557"/>
      <c r="S242" s="556">
        <v>1496.0937931034487</v>
      </c>
      <c r="T242" s="574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522" t="s">
        <v>99</v>
      </c>
      <c r="B243" s="509" t="s">
        <v>99</v>
      </c>
      <c r="C243" s="530"/>
      <c r="D243" s="574"/>
      <c r="E243" s="700"/>
      <c r="F243" s="636"/>
      <c r="G243" s="658"/>
      <c r="H243" s="700"/>
      <c r="I243" s="636"/>
      <c r="J243" s="658"/>
      <c r="K243" s="574"/>
      <c r="L243" s="657"/>
      <c r="M243" s="658"/>
      <c r="N243" s="657"/>
      <c r="O243" s="658"/>
      <c r="P243" s="574"/>
      <c r="Q243" s="657"/>
      <c r="R243" s="635"/>
      <c r="S243" s="657"/>
      <c r="T243" s="574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522" t="s">
        <v>373</v>
      </c>
      <c r="B244" s="509" t="s">
        <v>99</v>
      </c>
      <c r="C244" s="517" t="s">
        <v>101</v>
      </c>
      <c r="D244" s="663">
        <v>0</v>
      </c>
      <c r="E244" s="572">
        <v>0</v>
      </c>
      <c r="F244" s="572">
        <v>0</v>
      </c>
      <c r="G244" s="701"/>
      <c r="H244" s="572"/>
      <c r="I244" s="572"/>
      <c r="J244" s="664">
        <v>0</v>
      </c>
      <c r="K244" s="551">
        <v>0</v>
      </c>
      <c r="L244" s="552">
        <v>0</v>
      </c>
      <c r="M244" s="668">
        <v>0</v>
      </c>
      <c r="N244" s="605">
        <v>0</v>
      </c>
      <c r="O244" s="664">
        <v>0</v>
      </c>
      <c r="P244" s="551">
        <v>0</v>
      </c>
      <c r="Q244" s="552">
        <v>0</v>
      </c>
      <c r="R244" s="576">
        <v>0</v>
      </c>
      <c r="S244" s="605">
        <v>0</v>
      </c>
      <c r="T244" s="647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522" t="s">
        <v>372</v>
      </c>
      <c r="B245" s="509" t="s">
        <v>99</v>
      </c>
      <c r="C245" s="530" t="s">
        <v>87</v>
      </c>
      <c r="D245" s="509"/>
      <c r="E245" s="643"/>
      <c r="F245" s="659" t="e">
        <v>#DIV/0!</v>
      </c>
      <c r="G245" s="530"/>
      <c r="H245" s="643"/>
      <c r="I245" s="659"/>
      <c r="J245" s="557"/>
      <c r="K245" s="509"/>
      <c r="L245" s="659">
        <v>0</v>
      </c>
      <c r="M245" s="576"/>
      <c r="N245" s="556">
        <v>0</v>
      </c>
      <c r="O245" s="557"/>
      <c r="P245" s="509"/>
      <c r="Q245" s="659">
        <v>0</v>
      </c>
      <c r="R245" s="557"/>
      <c r="S245" s="556">
        <v>0</v>
      </c>
      <c r="T245" s="647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522" t="s">
        <v>99</v>
      </c>
      <c r="B246" s="509" t="s">
        <v>99</v>
      </c>
      <c r="C246" s="523"/>
      <c r="D246" s="606"/>
      <c r="E246" s="702"/>
      <c r="F246" s="661"/>
      <c r="G246" s="523"/>
      <c r="H246" s="702"/>
      <c r="I246" s="661"/>
      <c r="J246" s="662"/>
      <c r="K246" s="703"/>
      <c r="L246" s="661"/>
      <c r="M246" s="580"/>
      <c r="N246" s="581"/>
      <c r="O246" s="662"/>
      <c r="P246" s="703"/>
      <c r="Q246" s="661"/>
      <c r="R246" s="662"/>
      <c r="S246" s="581"/>
      <c r="T246" s="647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522" t="s">
        <v>374</v>
      </c>
      <c r="B247" s="509" t="s">
        <v>99</v>
      </c>
      <c r="C247" s="517" t="s">
        <v>102</v>
      </c>
      <c r="D247" s="663">
        <v>0</v>
      </c>
      <c r="E247" s="572">
        <v>0</v>
      </c>
      <c r="F247" s="572">
        <v>0</v>
      </c>
      <c r="G247" s="664"/>
      <c r="H247" s="572"/>
      <c r="I247" s="572"/>
      <c r="J247" s="664">
        <v>0</v>
      </c>
      <c r="K247" s="531">
        <v>0</v>
      </c>
      <c r="L247" s="533">
        <v>0</v>
      </c>
      <c r="M247" s="576">
        <v>0</v>
      </c>
      <c r="N247" s="605">
        <v>0</v>
      </c>
      <c r="O247" s="664">
        <v>0</v>
      </c>
      <c r="P247" s="531">
        <v>0</v>
      </c>
      <c r="Q247" s="533">
        <v>0</v>
      </c>
      <c r="R247" s="576">
        <v>0</v>
      </c>
      <c r="S247" s="556">
        <v>0</v>
      </c>
      <c r="T247" s="647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522" t="s">
        <v>372</v>
      </c>
      <c r="B248" s="509" t="s">
        <v>99</v>
      </c>
      <c r="C248" s="530" t="s">
        <v>87</v>
      </c>
      <c r="D248" s="509"/>
      <c r="E248" s="509"/>
      <c r="F248" s="659" t="e">
        <v>#DIV/0!</v>
      </c>
      <c r="G248" s="530"/>
      <c r="H248" s="509"/>
      <c r="I248" s="659"/>
      <c r="J248" s="530"/>
      <c r="K248" s="509"/>
      <c r="L248" s="659">
        <v>0</v>
      </c>
      <c r="M248" s="547"/>
      <c r="N248" s="548">
        <v>0</v>
      </c>
      <c r="O248" s="530"/>
      <c r="P248" s="509"/>
      <c r="Q248" s="659">
        <v>0</v>
      </c>
      <c r="R248" s="547"/>
      <c r="S248" s="548">
        <v>0</v>
      </c>
      <c r="T248" s="647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522" t="s">
        <v>99</v>
      </c>
      <c r="B249" s="509" t="s">
        <v>99</v>
      </c>
      <c r="C249" s="530"/>
      <c r="D249" s="509"/>
      <c r="E249" s="509"/>
      <c r="F249" s="659"/>
      <c r="G249" s="530"/>
      <c r="H249" s="509"/>
      <c r="I249" s="659"/>
      <c r="J249" s="530"/>
      <c r="K249" s="509"/>
      <c r="L249" s="659"/>
      <c r="M249" s="547"/>
      <c r="N249" s="548"/>
      <c r="O249" s="530"/>
      <c r="P249" s="509"/>
      <c r="Q249" s="659"/>
      <c r="R249" s="547"/>
      <c r="S249" s="548"/>
      <c r="T249" s="647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522" t="s">
        <v>375</v>
      </c>
      <c r="B250" s="509" t="s">
        <v>99</v>
      </c>
      <c r="C250" s="558" t="s">
        <v>96</v>
      </c>
      <c r="D250" s="559"/>
      <c r="E250" s="559">
        <v>54000</v>
      </c>
      <c r="F250" s="561">
        <v>11880</v>
      </c>
      <c r="G250" s="562"/>
      <c r="H250" s="559"/>
      <c r="I250" s="561"/>
      <c r="J250" s="562"/>
      <c r="K250" s="559">
        <v>92900.26</v>
      </c>
      <c r="L250" s="561">
        <v>14676.709999999992</v>
      </c>
      <c r="M250" s="696">
        <v>-6.2016480901129961E-2</v>
      </c>
      <c r="N250" s="561">
        <v>2796.7099999999919</v>
      </c>
      <c r="O250" s="562"/>
      <c r="P250" s="559">
        <v>10936.23</v>
      </c>
      <c r="Q250" s="561">
        <v>3830.0299999999902</v>
      </c>
      <c r="R250" s="704">
        <v>-0.19223131727527265</v>
      </c>
      <c r="S250" s="561">
        <v>10846.680000000002</v>
      </c>
      <c r="T250" s="647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522" t="s">
        <v>99</v>
      </c>
      <c r="B251" s="509" t="s">
        <v>99</v>
      </c>
      <c r="C251" s="563"/>
      <c r="D251" s="564"/>
      <c r="E251" s="564"/>
      <c r="F251" s="569">
        <v>0.22</v>
      </c>
      <c r="G251" s="563"/>
      <c r="H251" s="564"/>
      <c r="I251" s="569"/>
      <c r="J251" s="563"/>
      <c r="K251" s="564"/>
      <c r="L251" s="569">
        <v>0.15798351909887004</v>
      </c>
      <c r="M251" s="568"/>
      <c r="N251" s="569">
        <v>0.23541329966329896</v>
      </c>
      <c r="O251" s="563"/>
      <c r="P251" s="564"/>
      <c r="Q251" s="569">
        <v>0.35021483637414269</v>
      </c>
      <c r="R251" s="568"/>
      <c r="S251" s="569">
        <v>2.832009148753412</v>
      </c>
      <c r="T251" s="647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522" t="s">
        <v>99</v>
      </c>
      <c r="B252" s="509" t="s">
        <v>99</v>
      </c>
      <c r="C252" s="530"/>
      <c r="D252" s="509"/>
      <c r="E252" s="509"/>
      <c r="F252" s="556"/>
      <c r="G252" s="530"/>
      <c r="H252" s="509"/>
      <c r="I252" s="556"/>
      <c r="J252" s="530"/>
      <c r="K252" s="509"/>
      <c r="L252" s="540"/>
      <c r="M252" s="530"/>
      <c r="N252" s="540"/>
      <c r="O252" s="530"/>
      <c r="P252" s="509"/>
      <c r="Q252" s="540"/>
      <c r="R252" s="530"/>
      <c r="S252" s="540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522" t="s">
        <v>376</v>
      </c>
      <c r="B253" s="509" t="s">
        <v>99</v>
      </c>
      <c r="C253" s="573" t="s">
        <v>30</v>
      </c>
      <c r="D253" s="509"/>
      <c r="E253" s="509"/>
      <c r="F253" s="556"/>
      <c r="G253" s="530"/>
      <c r="H253" s="509"/>
      <c r="I253" s="556"/>
      <c r="J253" s="530"/>
      <c r="K253" s="509"/>
      <c r="L253" s="540"/>
      <c r="M253" s="530"/>
      <c r="N253" s="540"/>
      <c r="O253" s="530"/>
      <c r="P253" s="509"/>
      <c r="Q253" s="540"/>
      <c r="R253" s="530"/>
      <c r="S253" s="540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522" t="s">
        <v>377</v>
      </c>
      <c r="B254" s="509" t="s">
        <v>99</v>
      </c>
      <c r="C254" s="599" t="s">
        <v>41</v>
      </c>
      <c r="D254" s="509"/>
      <c r="E254" s="509"/>
      <c r="F254" s="531">
        <v>371.65625000000006</v>
      </c>
      <c r="G254" s="530"/>
      <c r="H254" s="509"/>
      <c r="I254" s="531"/>
      <c r="J254" s="530"/>
      <c r="K254" s="509"/>
      <c r="L254" s="533">
        <v>901.88</v>
      </c>
      <c r="M254" s="530"/>
      <c r="N254" s="556">
        <v>530.22374999999988</v>
      </c>
      <c r="O254" s="530"/>
      <c r="P254" s="509"/>
      <c r="Q254" s="533">
        <v>901.88</v>
      </c>
      <c r="R254" s="530"/>
      <c r="S254" s="533">
        <v>0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522" t="s">
        <v>378</v>
      </c>
      <c r="B255" s="509" t="s">
        <v>99</v>
      </c>
      <c r="C255" s="601" t="s">
        <v>42</v>
      </c>
      <c r="D255" s="583"/>
      <c r="E255" s="509"/>
      <c r="F255" s="525">
        <v>5927.3807692307682</v>
      </c>
      <c r="G255" s="584"/>
      <c r="H255" s="509"/>
      <c r="I255" s="525"/>
      <c r="J255" s="530"/>
      <c r="K255" s="509"/>
      <c r="L255" s="533">
        <v>6342.39</v>
      </c>
      <c r="M255" s="530"/>
      <c r="N255" s="556">
        <v>415.00923076923209</v>
      </c>
      <c r="O255" s="530"/>
      <c r="P255" s="509"/>
      <c r="Q255" s="533">
        <v>3190.36</v>
      </c>
      <c r="R255" s="530"/>
      <c r="S255" s="556">
        <v>3152.03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522" t="s">
        <v>379</v>
      </c>
      <c r="B256" s="509" t="s">
        <v>99</v>
      </c>
      <c r="C256" s="599" t="s">
        <v>43</v>
      </c>
      <c r="D256" s="602"/>
      <c r="E256" s="603"/>
      <c r="F256" s="531">
        <v>21.91346153846154</v>
      </c>
      <c r="G256" s="604"/>
      <c r="H256" s="603"/>
      <c r="I256" s="531"/>
      <c r="J256" s="517"/>
      <c r="K256" s="603"/>
      <c r="L256" s="552">
        <v>0.08</v>
      </c>
      <c r="M256" s="517"/>
      <c r="N256" s="605">
        <v>-21.833461538461542</v>
      </c>
      <c r="O256" s="517"/>
      <c r="P256" s="603"/>
      <c r="Q256" s="552">
        <v>0.08</v>
      </c>
      <c r="R256" s="517"/>
      <c r="S256" s="605">
        <v>0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522" t="s">
        <v>380</v>
      </c>
      <c r="B257" s="509" t="s">
        <v>99</v>
      </c>
      <c r="C257" s="599" t="s">
        <v>44</v>
      </c>
      <c r="D257" s="583"/>
      <c r="E257" s="509"/>
      <c r="F257" s="531">
        <v>0</v>
      </c>
      <c r="G257" s="584"/>
      <c r="H257" s="509"/>
      <c r="I257" s="531"/>
      <c r="J257" s="530"/>
      <c r="K257" s="509"/>
      <c r="L257" s="533">
        <v>0</v>
      </c>
      <c r="M257" s="530"/>
      <c r="N257" s="556">
        <v>0</v>
      </c>
      <c r="O257" s="530"/>
      <c r="P257" s="509"/>
      <c r="Q257" s="533">
        <v>0</v>
      </c>
      <c r="R257" s="530"/>
      <c r="S257" s="556">
        <v>0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522" t="s">
        <v>381</v>
      </c>
      <c r="B258" s="509" t="s">
        <v>99</v>
      </c>
      <c r="C258" s="530" t="s">
        <v>20</v>
      </c>
      <c r="D258" s="583"/>
      <c r="E258" s="509"/>
      <c r="F258" s="531">
        <v>0</v>
      </c>
      <c r="G258" s="584"/>
      <c r="H258" s="509"/>
      <c r="I258" s="531"/>
      <c r="J258" s="530"/>
      <c r="K258" s="509"/>
      <c r="L258" s="533">
        <v>0</v>
      </c>
      <c r="M258" s="530"/>
      <c r="N258" s="556">
        <v>0</v>
      </c>
      <c r="O258" s="530"/>
      <c r="P258" s="509"/>
      <c r="Q258" s="533">
        <v>0</v>
      </c>
      <c r="R258" s="530"/>
      <c r="S258" s="556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522" t="s">
        <v>381</v>
      </c>
      <c r="B259" s="509" t="s">
        <v>99</v>
      </c>
      <c r="C259" s="530" t="s">
        <v>20</v>
      </c>
      <c r="D259" s="583"/>
      <c r="E259" s="509"/>
      <c r="F259" s="531">
        <v>0</v>
      </c>
      <c r="G259" s="584"/>
      <c r="H259" s="509"/>
      <c r="I259" s="531"/>
      <c r="J259" s="530"/>
      <c r="K259" s="509"/>
      <c r="L259" s="533">
        <v>0</v>
      </c>
      <c r="M259" s="530"/>
      <c r="N259" s="556">
        <v>0</v>
      </c>
      <c r="O259" s="530"/>
      <c r="P259" s="509"/>
      <c r="Q259" s="533">
        <v>0</v>
      </c>
      <c r="R259" s="530"/>
      <c r="S259" s="556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522" t="s">
        <v>381</v>
      </c>
      <c r="B260" s="509" t="s">
        <v>99</v>
      </c>
      <c r="C260" s="530" t="s">
        <v>20</v>
      </c>
      <c r="D260" s="583"/>
      <c r="E260" s="509"/>
      <c r="F260" s="531">
        <v>0</v>
      </c>
      <c r="G260" s="584"/>
      <c r="H260" s="509"/>
      <c r="I260" s="531"/>
      <c r="J260" s="530"/>
      <c r="K260" s="509"/>
      <c r="L260" s="533">
        <v>0</v>
      </c>
      <c r="M260" s="530"/>
      <c r="N260" s="556">
        <v>0</v>
      </c>
      <c r="O260" s="530"/>
      <c r="P260" s="509"/>
      <c r="Q260" s="533">
        <v>0</v>
      </c>
      <c r="R260" s="530"/>
      <c r="S260" s="556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522" t="s">
        <v>382</v>
      </c>
      <c r="B261" s="509" t="s">
        <v>99</v>
      </c>
      <c r="C261" s="601" t="s">
        <v>45</v>
      </c>
      <c r="D261" s="583"/>
      <c r="E261" s="509"/>
      <c r="F261" s="525">
        <v>759.74482668269218</v>
      </c>
      <c r="G261" s="584"/>
      <c r="H261" s="509"/>
      <c r="I261" s="525"/>
      <c r="J261" s="530"/>
      <c r="K261" s="509"/>
      <c r="L261" s="533">
        <v>664.46</v>
      </c>
      <c r="M261" s="530"/>
      <c r="N261" s="556">
        <v>-95.284826682692142</v>
      </c>
      <c r="O261" s="530"/>
      <c r="P261" s="509"/>
      <c r="Q261" s="533">
        <v>398.46</v>
      </c>
      <c r="R261" s="530"/>
      <c r="S261" s="556">
        <v>266.00000000000006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522" t="s">
        <v>383</v>
      </c>
      <c r="B262" s="509" t="s">
        <v>99</v>
      </c>
      <c r="C262" s="599" t="s">
        <v>46</v>
      </c>
      <c r="D262" s="602"/>
      <c r="E262" s="603"/>
      <c r="F262" s="531">
        <v>923.7426086538461</v>
      </c>
      <c r="G262" s="604"/>
      <c r="H262" s="603"/>
      <c r="I262" s="531"/>
      <c r="J262" s="517"/>
      <c r="K262" s="603"/>
      <c r="L262" s="552">
        <v>1628.76</v>
      </c>
      <c r="M262" s="517"/>
      <c r="N262" s="605">
        <v>705.01739134615389</v>
      </c>
      <c r="O262" s="517"/>
      <c r="P262" s="603"/>
      <c r="Q262" s="552">
        <v>1174.77</v>
      </c>
      <c r="R262" s="517"/>
      <c r="S262" s="605">
        <v>453.99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522" t="s">
        <v>384</v>
      </c>
      <c r="B263" s="509" t="s">
        <v>99</v>
      </c>
      <c r="C263" s="599" t="s">
        <v>47</v>
      </c>
      <c r="D263" s="583"/>
      <c r="E263" s="509"/>
      <c r="F263" s="531">
        <v>475.92825706730758</v>
      </c>
      <c r="G263" s="584"/>
      <c r="H263" s="509"/>
      <c r="I263" s="531"/>
      <c r="J263" s="530"/>
      <c r="K263" s="509"/>
      <c r="L263" s="533">
        <v>126.81</v>
      </c>
      <c r="M263" s="530"/>
      <c r="N263" s="556">
        <v>-349.11825706730758</v>
      </c>
      <c r="O263" s="530"/>
      <c r="P263" s="509"/>
      <c r="Q263" s="533">
        <v>284.64999999999998</v>
      </c>
      <c r="R263" s="530"/>
      <c r="S263" s="556">
        <v>-157.83999999999997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522" t="s">
        <v>385</v>
      </c>
      <c r="B264" s="509" t="s">
        <v>99</v>
      </c>
      <c r="C264" s="599" t="s">
        <v>48</v>
      </c>
      <c r="D264" s="583"/>
      <c r="E264" s="509"/>
      <c r="F264" s="531">
        <v>207.50739759615382</v>
      </c>
      <c r="G264" s="584"/>
      <c r="H264" s="509"/>
      <c r="I264" s="531"/>
      <c r="J264" s="530"/>
      <c r="K264" s="509"/>
      <c r="L264" s="533">
        <v>371.61</v>
      </c>
      <c r="M264" s="530"/>
      <c r="N264" s="556">
        <v>164.10260240384619</v>
      </c>
      <c r="O264" s="530"/>
      <c r="P264" s="509"/>
      <c r="Q264" s="533">
        <v>104.48</v>
      </c>
      <c r="R264" s="530"/>
      <c r="S264" s="556">
        <v>267.13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522" t="s">
        <v>381</v>
      </c>
      <c r="B265" s="509" t="s">
        <v>99</v>
      </c>
      <c r="C265" s="530" t="s">
        <v>20</v>
      </c>
      <c r="D265" s="586"/>
      <c r="E265" s="606"/>
      <c r="F265" s="531">
        <v>0</v>
      </c>
      <c r="G265" s="587"/>
      <c r="H265" s="606"/>
      <c r="I265" s="531"/>
      <c r="J265" s="523"/>
      <c r="K265" s="606"/>
      <c r="L265" s="533">
        <v>0</v>
      </c>
      <c r="M265" s="523"/>
      <c r="N265" s="581">
        <v>0</v>
      </c>
      <c r="O265" s="523"/>
      <c r="P265" s="606"/>
      <c r="Q265" s="533">
        <v>0</v>
      </c>
      <c r="R265" s="523"/>
      <c r="S265" s="581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522" t="s">
        <v>386</v>
      </c>
      <c r="B266" s="509" t="s">
        <v>99</v>
      </c>
      <c r="C266" s="591" t="s">
        <v>49</v>
      </c>
      <c r="D266" s="592" t="s">
        <v>39</v>
      </c>
      <c r="E266" s="593">
        <v>0.73130248912198892</v>
      </c>
      <c r="F266" s="594">
        <v>8687.8735707692285</v>
      </c>
      <c r="G266" s="595"/>
      <c r="H266" s="593"/>
      <c r="I266" s="594"/>
      <c r="J266" s="595" t="s">
        <v>39</v>
      </c>
      <c r="K266" s="593">
        <v>0.68380379526474289</v>
      </c>
      <c r="L266" s="594">
        <v>10035.99</v>
      </c>
      <c r="M266" s="649"/>
      <c r="N266" s="608">
        <v>1348.1164292307712</v>
      </c>
      <c r="O266" s="595" t="s">
        <v>39</v>
      </c>
      <c r="P266" s="593">
        <v>0</v>
      </c>
      <c r="Q266" s="594">
        <v>6054.6799999999985</v>
      </c>
      <c r="R266" s="649"/>
      <c r="S266" s="608">
        <v>3981.3100000000013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522" t="s">
        <v>387</v>
      </c>
      <c r="B267" s="509" t="s">
        <v>99</v>
      </c>
      <c r="C267" s="705" t="s">
        <v>50</v>
      </c>
      <c r="D267" s="583"/>
      <c r="E267" s="509"/>
      <c r="F267" s="531">
        <v>48.333333333333336</v>
      </c>
      <c r="G267" s="584"/>
      <c r="H267" s="509"/>
      <c r="I267" s="531"/>
      <c r="J267" s="530"/>
      <c r="K267" s="509"/>
      <c r="L267" s="533">
        <v>13.02</v>
      </c>
      <c r="M267" s="530"/>
      <c r="N267" s="556">
        <v>-35.313333333333333</v>
      </c>
      <c r="O267" s="530"/>
      <c r="P267" s="509"/>
      <c r="Q267" s="556">
        <v>43.75</v>
      </c>
      <c r="R267" s="530"/>
      <c r="S267" s="556">
        <v>-30.73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522" t="s">
        <v>388</v>
      </c>
      <c r="B268" s="509" t="s">
        <v>99</v>
      </c>
      <c r="C268" s="599" t="s">
        <v>51</v>
      </c>
      <c r="D268" s="583"/>
      <c r="E268" s="509"/>
      <c r="F268" s="531">
        <v>561.67798128057109</v>
      </c>
      <c r="G268" s="584"/>
      <c r="H268" s="509"/>
      <c r="I268" s="531"/>
      <c r="J268" s="530"/>
      <c r="K268" s="509"/>
      <c r="L268" s="533">
        <v>349.3</v>
      </c>
      <c r="M268" s="530"/>
      <c r="N268" s="556">
        <v>-212.37798128057108</v>
      </c>
      <c r="O268" s="530"/>
      <c r="P268" s="509"/>
      <c r="Q268" s="556">
        <v>2509.87</v>
      </c>
      <c r="R268" s="530"/>
      <c r="S268" s="556">
        <v>-2160.5699999999997</v>
      </c>
      <c r="T268" s="509"/>
      <c r="U268" s="522"/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522" t="s">
        <v>389</v>
      </c>
      <c r="B269" s="509" t="s">
        <v>99</v>
      </c>
      <c r="C269" s="601" t="s">
        <v>52</v>
      </c>
      <c r="D269" s="586"/>
      <c r="E269" s="606"/>
      <c r="F269" s="525">
        <v>124.50360000000001</v>
      </c>
      <c r="G269" s="587"/>
      <c r="H269" s="606"/>
      <c r="I269" s="525"/>
      <c r="J269" s="523"/>
      <c r="K269" s="606"/>
      <c r="L269" s="533">
        <v>177.91</v>
      </c>
      <c r="M269" s="523"/>
      <c r="N269" s="581">
        <v>53.406399999999991</v>
      </c>
      <c r="O269" s="523"/>
      <c r="P269" s="606"/>
      <c r="Q269" s="581">
        <v>157.77000000000001</v>
      </c>
      <c r="R269" s="523"/>
      <c r="S269" s="581">
        <v>20.139999999999986</v>
      </c>
      <c r="T269" s="509"/>
      <c r="U269" s="509" t="s">
        <v>1</v>
      </c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522" t="s">
        <v>390</v>
      </c>
      <c r="B270" s="509" t="s">
        <v>99</v>
      </c>
      <c r="C270" s="599" t="s">
        <v>53</v>
      </c>
      <c r="D270" s="583"/>
      <c r="E270" s="509"/>
      <c r="F270" s="531">
        <v>1450.4268862377776</v>
      </c>
      <c r="G270" s="584"/>
      <c r="H270" s="509"/>
      <c r="I270" s="531"/>
      <c r="J270" s="530"/>
      <c r="K270" s="509"/>
      <c r="L270" s="552">
        <v>1116.99</v>
      </c>
      <c r="M270" s="530"/>
      <c r="N270" s="556">
        <v>-333.43688623777757</v>
      </c>
      <c r="O270" s="530"/>
      <c r="P270" s="509"/>
      <c r="Q270" s="556">
        <v>1640.35</v>
      </c>
      <c r="R270" s="530"/>
      <c r="S270" s="556">
        <v>-523.3599999999999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522" t="s">
        <v>391</v>
      </c>
      <c r="B271" s="509" t="s">
        <v>99</v>
      </c>
      <c r="C271" s="599" t="s">
        <v>54</v>
      </c>
      <c r="D271" s="583"/>
      <c r="E271" s="509"/>
      <c r="F271" s="531">
        <v>214.03823837858201</v>
      </c>
      <c r="G271" s="584"/>
      <c r="H271" s="509"/>
      <c r="I271" s="531"/>
      <c r="J271" s="530"/>
      <c r="K271" s="509"/>
      <c r="L271" s="533">
        <v>482.13</v>
      </c>
      <c r="M271" s="530"/>
      <c r="N271" s="556">
        <v>268.09176162141796</v>
      </c>
      <c r="O271" s="530"/>
      <c r="P271" s="509"/>
      <c r="Q271" s="556">
        <v>290.95999999999998</v>
      </c>
      <c r="R271" s="530"/>
      <c r="S271" s="556">
        <v>191.17000000000002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522" t="s">
        <v>392</v>
      </c>
      <c r="B272" s="509" t="s">
        <v>99</v>
      </c>
      <c r="C272" s="599" t="s">
        <v>55</v>
      </c>
      <c r="D272" s="586"/>
      <c r="E272" s="606"/>
      <c r="F272" s="525">
        <v>687.14674435248071</v>
      </c>
      <c r="G272" s="587"/>
      <c r="H272" s="606"/>
      <c r="I272" s="525"/>
      <c r="J272" s="523"/>
      <c r="K272" s="606"/>
      <c r="L272" s="533">
        <v>890.54</v>
      </c>
      <c r="M272" s="523"/>
      <c r="N272" s="581">
        <v>203.39325564751925</v>
      </c>
      <c r="O272" s="523"/>
      <c r="P272" s="606"/>
      <c r="Q272" s="581">
        <v>964.68</v>
      </c>
      <c r="R272" s="523"/>
      <c r="S272" s="581">
        <v>-74.139999999999986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522" t="s">
        <v>393</v>
      </c>
      <c r="B273" s="509" t="s">
        <v>99</v>
      </c>
      <c r="C273" s="705" t="s">
        <v>98</v>
      </c>
      <c r="D273" s="583"/>
      <c r="E273" s="509"/>
      <c r="F273" s="531"/>
      <c r="G273" s="584"/>
      <c r="H273" s="509"/>
      <c r="I273" s="531"/>
      <c r="J273" s="530"/>
      <c r="K273" s="509"/>
      <c r="L273" s="552">
        <v>0</v>
      </c>
      <c r="M273" s="530"/>
      <c r="N273" s="556">
        <v>0</v>
      </c>
      <c r="O273" s="530"/>
      <c r="P273" s="509"/>
      <c r="Q273" s="556">
        <v>0</v>
      </c>
      <c r="R273" s="530"/>
      <c r="S273" s="556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522" t="s">
        <v>394</v>
      </c>
      <c r="B274" s="509" t="s">
        <v>99</v>
      </c>
      <c r="C274" s="599" t="s">
        <v>56</v>
      </c>
      <c r="D274" s="583"/>
      <c r="E274" s="509"/>
      <c r="F274" s="531">
        <v>45.951533333333337</v>
      </c>
      <c r="G274" s="584"/>
      <c r="H274" s="509"/>
      <c r="I274" s="531"/>
      <c r="J274" s="530"/>
      <c r="K274" s="509"/>
      <c r="L274" s="533">
        <v>0</v>
      </c>
      <c r="M274" s="530"/>
      <c r="N274" s="556">
        <v>-45.951533333333337</v>
      </c>
      <c r="O274" s="530"/>
      <c r="P274" s="509"/>
      <c r="Q274" s="556">
        <v>0</v>
      </c>
      <c r="R274" s="530"/>
      <c r="S274" s="556">
        <v>0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522" t="s">
        <v>395</v>
      </c>
      <c r="B275" s="509" t="s">
        <v>99</v>
      </c>
      <c r="C275" s="599" t="s">
        <v>57</v>
      </c>
      <c r="D275" s="583"/>
      <c r="E275" s="509"/>
      <c r="F275" s="531">
        <v>28.333333333333332</v>
      </c>
      <c r="G275" s="584"/>
      <c r="H275" s="509"/>
      <c r="I275" s="531"/>
      <c r="J275" s="530"/>
      <c r="K275" s="509"/>
      <c r="L275" s="533">
        <v>0</v>
      </c>
      <c r="M275" s="530"/>
      <c r="N275" s="556">
        <v>-28.333333333333332</v>
      </c>
      <c r="O275" s="530"/>
      <c r="P275" s="509"/>
      <c r="Q275" s="556">
        <v>0</v>
      </c>
      <c r="R275" s="530"/>
      <c r="S275" s="556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522" t="s">
        <v>396</v>
      </c>
      <c r="B276" s="509" t="s">
        <v>99</v>
      </c>
      <c r="C276" s="599" t="s">
        <v>58</v>
      </c>
      <c r="D276" s="583"/>
      <c r="E276" s="509"/>
      <c r="F276" s="531">
        <v>146.23689705261995</v>
      </c>
      <c r="G276" s="584"/>
      <c r="H276" s="509"/>
      <c r="I276" s="531"/>
      <c r="J276" s="530"/>
      <c r="K276" s="509"/>
      <c r="L276" s="533">
        <v>12.89</v>
      </c>
      <c r="M276" s="530"/>
      <c r="N276" s="556">
        <v>-133.34689705261997</v>
      </c>
      <c r="O276" s="530"/>
      <c r="P276" s="509"/>
      <c r="Q276" s="556">
        <v>82.59</v>
      </c>
      <c r="R276" s="530"/>
      <c r="S276" s="556">
        <v>-69.7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522" t="s">
        <v>397</v>
      </c>
      <c r="B277" s="509" t="s">
        <v>99</v>
      </c>
      <c r="C277" s="599" t="s">
        <v>59</v>
      </c>
      <c r="D277" s="583"/>
      <c r="E277" s="509"/>
      <c r="F277" s="531">
        <v>32.368975325808613</v>
      </c>
      <c r="G277" s="584"/>
      <c r="H277" s="509"/>
      <c r="I277" s="531"/>
      <c r="J277" s="530"/>
      <c r="K277" s="509"/>
      <c r="L277" s="533">
        <v>27.71</v>
      </c>
      <c r="M277" s="530"/>
      <c r="N277" s="556">
        <v>-4.658975325808612</v>
      </c>
      <c r="O277" s="530"/>
      <c r="P277" s="509"/>
      <c r="Q277" s="556">
        <v>39.97</v>
      </c>
      <c r="R277" s="530"/>
      <c r="S277" s="556">
        <v>-12.259999999999998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522" t="s">
        <v>398</v>
      </c>
      <c r="B278" s="509" t="s">
        <v>99</v>
      </c>
      <c r="C278" s="599" t="s">
        <v>60</v>
      </c>
      <c r="D278" s="583"/>
      <c r="E278" s="509"/>
      <c r="F278" s="531">
        <v>22.492098830591392</v>
      </c>
      <c r="G278" s="584"/>
      <c r="H278" s="509"/>
      <c r="I278" s="531"/>
      <c r="J278" s="530"/>
      <c r="K278" s="509"/>
      <c r="L278" s="533">
        <v>19.09</v>
      </c>
      <c r="M278" s="530"/>
      <c r="N278" s="556">
        <v>-3.4020988305913917</v>
      </c>
      <c r="O278" s="530"/>
      <c r="P278" s="509"/>
      <c r="Q278" s="556">
        <v>7.21</v>
      </c>
      <c r="R278" s="530"/>
      <c r="S278" s="556">
        <v>11.879999999999999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522" t="s">
        <v>399</v>
      </c>
      <c r="B279" s="509" t="s">
        <v>99</v>
      </c>
      <c r="C279" s="599" t="s">
        <v>61</v>
      </c>
      <c r="D279" s="583"/>
      <c r="E279" s="509"/>
      <c r="F279" s="531">
        <v>102.90506750548639</v>
      </c>
      <c r="G279" s="584"/>
      <c r="H279" s="509"/>
      <c r="I279" s="531"/>
      <c r="J279" s="530"/>
      <c r="K279" s="509"/>
      <c r="L279" s="533">
        <v>13.72</v>
      </c>
      <c r="M279" s="530"/>
      <c r="N279" s="556">
        <v>-89.185067505486387</v>
      </c>
      <c r="O279" s="530"/>
      <c r="P279" s="509"/>
      <c r="Q279" s="556">
        <v>51.31</v>
      </c>
      <c r="R279" s="530"/>
      <c r="S279" s="556">
        <v>-37.590000000000003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522" t="s">
        <v>400</v>
      </c>
      <c r="B280" s="509" t="s">
        <v>99</v>
      </c>
      <c r="C280" s="599" t="s">
        <v>62</v>
      </c>
      <c r="D280" s="583"/>
      <c r="E280" s="509"/>
      <c r="F280" s="531">
        <v>175.49870178698256</v>
      </c>
      <c r="G280" s="584"/>
      <c r="H280" s="509"/>
      <c r="I280" s="531"/>
      <c r="J280" s="530"/>
      <c r="K280" s="509"/>
      <c r="L280" s="533">
        <v>133.72</v>
      </c>
      <c r="M280" s="530"/>
      <c r="N280" s="556">
        <v>-41.778701786982566</v>
      </c>
      <c r="O280" s="530"/>
      <c r="P280" s="509"/>
      <c r="Q280" s="556">
        <v>290.72000000000003</v>
      </c>
      <c r="R280" s="530"/>
      <c r="S280" s="556">
        <v>-157.00000000000003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522" t="s">
        <v>401</v>
      </c>
      <c r="B281" s="509" t="s">
        <v>99</v>
      </c>
      <c r="C281" s="599" t="s">
        <v>63</v>
      </c>
      <c r="D281" s="583"/>
      <c r="E281" s="509"/>
      <c r="F281" s="531">
        <v>245.49586925918246</v>
      </c>
      <c r="G281" s="584"/>
      <c r="H281" s="509"/>
      <c r="I281" s="531"/>
      <c r="J281" s="530"/>
      <c r="K281" s="509"/>
      <c r="L281" s="533">
        <v>258.08</v>
      </c>
      <c r="M281" s="530"/>
      <c r="N281" s="556">
        <v>12.584130740817528</v>
      </c>
      <c r="O281" s="530"/>
      <c r="P281" s="509"/>
      <c r="Q281" s="556">
        <v>265.72000000000003</v>
      </c>
      <c r="R281" s="530"/>
      <c r="S281" s="556">
        <v>-7.6400000000000432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522" t="s">
        <v>381</v>
      </c>
      <c r="B282" s="509" t="s">
        <v>99</v>
      </c>
      <c r="C282" s="599" t="s">
        <v>20</v>
      </c>
      <c r="D282" s="583"/>
      <c r="E282" s="509"/>
      <c r="F282" s="531">
        <v>0</v>
      </c>
      <c r="G282" s="584"/>
      <c r="H282" s="509"/>
      <c r="I282" s="531"/>
      <c r="J282" s="530"/>
      <c r="K282" s="509"/>
      <c r="L282" s="533">
        <v>0</v>
      </c>
      <c r="M282" s="530"/>
      <c r="N282" s="556">
        <v>0</v>
      </c>
      <c r="O282" s="530"/>
      <c r="P282" s="509"/>
      <c r="Q282" s="533">
        <v>0</v>
      </c>
      <c r="R282" s="530"/>
      <c r="S282" s="556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522" t="s">
        <v>381</v>
      </c>
      <c r="B283" s="509" t="s">
        <v>99</v>
      </c>
      <c r="C283" s="599" t="s">
        <v>20</v>
      </c>
      <c r="D283" s="583"/>
      <c r="E283" s="509"/>
      <c r="F283" s="531">
        <v>0</v>
      </c>
      <c r="G283" s="584"/>
      <c r="H283" s="509"/>
      <c r="I283" s="531"/>
      <c r="J283" s="530"/>
      <c r="K283" s="509"/>
      <c r="L283" s="533">
        <v>0</v>
      </c>
      <c r="M283" s="530"/>
      <c r="N283" s="556">
        <v>0</v>
      </c>
      <c r="O283" s="530"/>
      <c r="P283" s="509"/>
      <c r="Q283" s="533">
        <v>0</v>
      </c>
      <c r="R283" s="530"/>
      <c r="S283" s="556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522" t="s">
        <v>381</v>
      </c>
      <c r="B284" s="509" t="s">
        <v>99</v>
      </c>
      <c r="C284" s="599" t="s">
        <v>20</v>
      </c>
      <c r="D284" s="583"/>
      <c r="E284" s="509"/>
      <c r="F284" s="531">
        <v>0</v>
      </c>
      <c r="G284" s="584"/>
      <c r="H284" s="509"/>
      <c r="I284" s="531"/>
      <c r="J284" s="530"/>
      <c r="K284" s="509"/>
      <c r="L284" s="533">
        <v>0</v>
      </c>
      <c r="M284" s="530"/>
      <c r="N284" s="556">
        <v>0</v>
      </c>
      <c r="O284" s="530"/>
      <c r="P284" s="509"/>
      <c r="Q284" s="533">
        <v>0</v>
      </c>
      <c r="R284" s="530"/>
      <c r="S284" s="556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91" t="s">
        <v>64</v>
      </c>
      <c r="D285" s="592" t="s">
        <v>39</v>
      </c>
      <c r="E285" s="593" t="e">
        <v>#DIV/0!</v>
      </c>
      <c r="F285" s="594">
        <v>3885.409260010083</v>
      </c>
      <c r="G285" s="595"/>
      <c r="H285" s="593"/>
      <c r="I285" s="594"/>
      <c r="J285" s="595" t="s">
        <v>39</v>
      </c>
      <c r="K285" s="593">
        <v>0.23813920149679332</v>
      </c>
      <c r="L285" s="594">
        <v>3495.0999999999995</v>
      </c>
      <c r="M285" s="598"/>
      <c r="N285" s="594">
        <v>-390.30926001008288</v>
      </c>
      <c r="O285" s="595" t="s">
        <v>39</v>
      </c>
      <c r="P285" s="593">
        <v>0</v>
      </c>
      <c r="Q285" s="594">
        <v>6344.9000000000015</v>
      </c>
      <c r="R285" s="598"/>
      <c r="S285" s="594">
        <v>-2849.800000000002</v>
      </c>
      <c r="T285" s="570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3"/>
      <c r="D286" s="586"/>
      <c r="E286" s="606"/>
      <c r="F286" s="556"/>
      <c r="G286" s="587"/>
      <c r="H286" s="606"/>
      <c r="I286" s="556"/>
      <c r="J286" s="523"/>
      <c r="K286" s="606"/>
      <c r="L286" s="581"/>
      <c r="M286" s="523"/>
      <c r="N286" s="581"/>
      <c r="O286" s="523"/>
      <c r="P286" s="606"/>
      <c r="Q286" s="581"/>
      <c r="R286" s="523"/>
      <c r="S286" s="581"/>
      <c r="T286" s="570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91" t="s">
        <v>65</v>
      </c>
      <c r="D287" s="592" t="s">
        <v>39</v>
      </c>
      <c r="E287" s="593" t="e">
        <v>#DIV/0!</v>
      </c>
      <c r="F287" s="594">
        <v>12573.282830779312</v>
      </c>
      <c r="G287" s="595"/>
      <c r="H287" s="593"/>
      <c r="I287" s="594"/>
      <c r="J287" s="595" t="s">
        <v>39</v>
      </c>
      <c r="K287" s="593">
        <v>0.92194299676153635</v>
      </c>
      <c r="L287" s="594">
        <v>13531.09</v>
      </c>
      <c r="M287" s="598"/>
      <c r="N287" s="608">
        <v>957.80716922068859</v>
      </c>
      <c r="O287" s="595" t="s">
        <v>39</v>
      </c>
      <c r="P287" s="593">
        <v>0</v>
      </c>
      <c r="Q287" s="594">
        <v>12399.58</v>
      </c>
      <c r="R287" s="598"/>
      <c r="S287" s="608">
        <v>1131.5100000000002</v>
      </c>
      <c r="T287" s="570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30"/>
      <c r="D288" s="583"/>
      <c r="E288" s="509"/>
      <c r="F288" s="556"/>
      <c r="G288" s="584"/>
      <c r="H288" s="509"/>
      <c r="I288" s="556"/>
      <c r="J288" s="530"/>
      <c r="K288" s="509"/>
      <c r="L288" s="556"/>
      <c r="M288" s="530"/>
      <c r="N288" s="556">
        <v>0</v>
      </c>
      <c r="O288" s="530"/>
      <c r="P288" s="509"/>
      <c r="Q288" s="556"/>
      <c r="R288" s="530"/>
      <c r="S288" s="556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3" t="s">
        <v>72</v>
      </c>
      <c r="D289" s="654"/>
      <c r="E289" s="624"/>
      <c r="F289" s="626">
        <v>-693.28283077931155</v>
      </c>
      <c r="G289" s="655"/>
      <c r="H289" s="624"/>
      <c r="I289" s="626"/>
      <c r="J289" s="623"/>
      <c r="K289" s="625"/>
      <c r="L289" s="626">
        <v>1145.6199999999917</v>
      </c>
      <c r="M289" s="623"/>
      <c r="N289" s="626">
        <v>1838.9028307793033</v>
      </c>
      <c r="O289" s="623"/>
      <c r="P289" s="628">
        <v>-0.78359270059243546</v>
      </c>
      <c r="Q289" s="626">
        <v>-8569.5500000000102</v>
      </c>
      <c r="R289" s="623"/>
      <c r="S289" s="626">
        <v>9715.1700000000019</v>
      </c>
      <c r="T289" s="570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2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3" t="s">
        <v>478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4" t="s">
        <v>484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220</v>
      </c>
      <c r="N293" s="513"/>
      <c r="O293" s="511" t="s">
        <v>8</v>
      </c>
      <c r="P293" s="512"/>
      <c r="Q293" s="513"/>
      <c r="R293" s="514" t="s">
        <v>221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522" t="s">
        <v>103</v>
      </c>
      <c r="B294" s="509" t="s">
        <v>103</v>
      </c>
      <c r="C294" s="530"/>
      <c r="D294" s="574" t="s">
        <v>84</v>
      </c>
      <c r="E294" s="574" t="s">
        <v>104</v>
      </c>
      <c r="F294" s="657" t="s">
        <v>12</v>
      </c>
      <c r="G294" s="658"/>
      <c r="H294" s="574"/>
      <c r="I294" s="657"/>
      <c r="J294" s="658" t="s">
        <v>84</v>
      </c>
      <c r="K294" s="574" t="s">
        <v>104</v>
      </c>
      <c r="L294" s="657" t="s">
        <v>12</v>
      </c>
      <c r="M294" s="658" t="s">
        <v>40</v>
      </c>
      <c r="N294" s="657" t="s">
        <v>223</v>
      </c>
      <c r="O294" s="574" t="s">
        <v>84</v>
      </c>
      <c r="P294" s="574" t="s">
        <v>104</v>
      </c>
      <c r="Q294" s="657" t="s">
        <v>12</v>
      </c>
      <c r="R294" s="658" t="s">
        <v>85</v>
      </c>
      <c r="S294" s="657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522" t="s">
        <v>402</v>
      </c>
      <c r="B295" s="509" t="s">
        <v>103</v>
      </c>
      <c r="C295" s="530" t="s">
        <v>105</v>
      </c>
      <c r="D295" s="572">
        <v>127441.50232</v>
      </c>
      <c r="E295" s="647">
        <v>0.35699999999999998</v>
      </c>
      <c r="F295" s="556">
        <v>45496.616328240001</v>
      </c>
      <c r="G295" s="572"/>
      <c r="H295" s="647"/>
      <c r="I295" s="556"/>
      <c r="J295" s="572">
        <v>113725.39</v>
      </c>
      <c r="K295" s="647">
        <v>0.33353070936929741</v>
      </c>
      <c r="L295" s="556">
        <v>37930.910000000003</v>
      </c>
      <c r="M295" s="576">
        <v>-0.10762673124771745</v>
      </c>
      <c r="N295" s="556">
        <v>-7565.7063282399977</v>
      </c>
      <c r="O295" s="531">
        <v>112041.65</v>
      </c>
      <c r="P295" s="647">
        <v>0.33378230327739727</v>
      </c>
      <c r="Q295" s="556">
        <v>37397.519999999997</v>
      </c>
      <c r="R295" s="576">
        <v>1.5027804392384487E-2</v>
      </c>
      <c r="S295" s="556">
        <v>533.39000000000669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522" t="s">
        <v>403</v>
      </c>
      <c r="B296" s="509" t="s">
        <v>103</v>
      </c>
      <c r="C296" s="530" t="s">
        <v>106</v>
      </c>
      <c r="D296" s="572">
        <v>32400</v>
      </c>
      <c r="E296" s="647">
        <v>0.248</v>
      </c>
      <c r="F296" s="556">
        <v>8035.2</v>
      </c>
      <c r="G296" s="572"/>
      <c r="H296" s="647"/>
      <c r="I296" s="556"/>
      <c r="J296" s="572">
        <v>65502.26</v>
      </c>
      <c r="K296" s="647">
        <v>0.2348723540225941</v>
      </c>
      <c r="L296" s="556">
        <v>15384.670000000006</v>
      </c>
      <c r="M296" s="576">
        <v>1.0216746913580248</v>
      </c>
      <c r="N296" s="556">
        <v>7349.4700000000057</v>
      </c>
      <c r="O296" s="531">
        <v>4751.8500000000004</v>
      </c>
      <c r="P296" s="647">
        <v>0.23077117333249153</v>
      </c>
      <c r="Q296" s="556">
        <v>1096.5899999999999</v>
      </c>
      <c r="R296" s="576">
        <v>12.784580742237234</v>
      </c>
      <c r="S296" s="556">
        <v>14288.080000000005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522" t="s">
        <v>404</v>
      </c>
      <c r="B297" s="509" t="s">
        <v>103</v>
      </c>
      <c r="C297" s="530" t="s">
        <v>107</v>
      </c>
      <c r="D297" s="572">
        <v>60847.342499999999</v>
      </c>
      <c r="E297" s="647">
        <v>0.23700000000000002</v>
      </c>
      <c r="F297" s="556">
        <v>14420.8201725</v>
      </c>
      <c r="G297" s="572"/>
      <c r="H297" s="647"/>
      <c r="I297" s="556"/>
      <c r="J297" s="572">
        <v>95605.78</v>
      </c>
      <c r="K297" s="647">
        <v>0.23241199433758078</v>
      </c>
      <c r="L297" s="556">
        <v>22219.929999999993</v>
      </c>
      <c r="M297" s="576">
        <v>0.57124002580720756</v>
      </c>
      <c r="N297" s="556">
        <v>7799.1098274999931</v>
      </c>
      <c r="O297" s="531">
        <v>43545.83</v>
      </c>
      <c r="P297" s="647">
        <v>0.22732785205839456</v>
      </c>
      <c r="Q297" s="556">
        <v>9899.18</v>
      </c>
      <c r="R297" s="576">
        <v>1.1955209029199809</v>
      </c>
      <c r="S297" s="556">
        <v>12320.749999999993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522" t="s">
        <v>405</v>
      </c>
      <c r="B298" s="509" t="s">
        <v>103</v>
      </c>
      <c r="C298" s="530" t="s">
        <v>108</v>
      </c>
      <c r="D298" s="572">
        <v>65349.206999999995</v>
      </c>
      <c r="E298" s="647">
        <v>0.29399999999999998</v>
      </c>
      <c r="F298" s="556">
        <v>19212.666857999997</v>
      </c>
      <c r="G298" s="572"/>
      <c r="H298" s="647"/>
      <c r="I298" s="556"/>
      <c r="J298" s="572">
        <v>47768.99</v>
      </c>
      <c r="K298" s="647">
        <v>0.27434157598894171</v>
      </c>
      <c r="L298" s="556">
        <v>13105.019999999997</v>
      </c>
      <c r="M298" s="576">
        <v>-0.26901959192863656</v>
      </c>
      <c r="N298" s="556">
        <v>-6107.6468580000001</v>
      </c>
      <c r="O298" s="531">
        <v>69951.149999999994</v>
      </c>
      <c r="P298" s="647">
        <v>0.2724592805121846</v>
      </c>
      <c r="Q298" s="556">
        <v>19058.839999999898</v>
      </c>
      <c r="R298" s="576">
        <v>-0.31710929698796941</v>
      </c>
      <c r="S298" s="556">
        <v>-5953.8199999999015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522" t="s">
        <v>406</v>
      </c>
      <c r="B299" s="509" t="s">
        <v>103</v>
      </c>
      <c r="C299" s="530" t="s">
        <v>109</v>
      </c>
      <c r="D299" s="572">
        <v>21055.217999999997</v>
      </c>
      <c r="E299" s="647">
        <v>0.27700000000000002</v>
      </c>
      <c r="F299" s="556">
        <v>5832.2953859999998</v>
      </c>
      <c r="G299" s="572"/>
      <c r="H299" s="647"/>
      <c r="I299" s="556"/>
      <c r="J299" s="572">
        <v>21253.360000000001</v>
      </c>
      <c r="K299" s="647">
        <v>0.24759708582548831</v>
      </c>
      <c r="L299" s="556">
        <v>5262.27</v>
      </c>
      <c r="M299" s="576">
        <v>9.4105888621055112E-3</v>
      </c>
      <c r="N299" s="556">
        <v>-570.02538599999934</v>
      </c>
      <c r="O299" s="531">
        <v>19722.91</v>
      </c>
      <c r="P299" s="647">
        <v>0.2671674717371828</v>
      </c>
      <c r="Q299" s="556">
        <v>5269.32</v>
      </c>
      <c r="R299" s="576">
        <v>7.7597575611306882E-2</v>
      </c>
      <c r="S299" s="556">
        <v>-7.0499999999992724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522" t="s">
        <v>407</v>
      </c>
      <c r="B300" s="509" t="s">
        <v>103</v>
      </c>
      <c r="C300" s="530" t="s">
        <v>110</v>
      </c>
      <c r="D300" s="572">
        <v>219776.37</v>
      </c>
      <c r="E300" s="647">
        <v>0.13500000000000001</v>
      </c>
      <c r="F300" s="556">
        <v>29669.809950000003</v>
      </c>
      <c r="G300" s="572"/>
      <c r="H300" s="647"/>
      <c r="I300" s="556"/>
      <c r="J300" s="572">
        <v>228136.25</v>
      </c>
      <c r="K300" s="647">
        <v>0.17792555983540534</v>
      </c>
      <c r="L300" s="556">
        <v>40591.26999999999</v>
      </c>
      <c r="M300" s="576">
        <v>3.8038120294734162E-2</v>
      </c>
      <c r="N300" s="556">
        <v>10921.460049999987</v>
      </c>
      <c r="O300" s="531">
        <v>221066.25</v>
      </c>
      <c r="P300" s="647">
        <v>0.12508951502094914</v>
      </c>
      <c r="Q300" s="556">
        <v>27653.069999999901</v>
      </c>
      <c r="R300" s="576">
        <v>3.1981363052930964E-2</v>
      </c>
      <c r="S300" s="556">
        <v>12938.200000000088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522" t="s">
        <v>408</v>
      </c>
      <c r="B301" s="509" t="s">
        <v>103</v>
      </c>
      <c r="C301" s="530" t="s">
        <v>20</v>
      </c>
      <c r="D301" s="572">
        <v>0</v>
      </c>
      <c r="E301" s="647">
        <v>0</v>
      </c>
      <c r="F301" s="556">
        <v>0</v>
      </c>
      <c r="G301" s="572"/>
      <c r="H301" s="647"/>
      <c r="I301" s="556"/>
      <c r="J301" s="572">
        <v>0</v>
      </c>
      <c r="K301" s="647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7">
        <v>0</v>
      </c>
      <c r="Q301" s="556">
        <v>0</v>
      </c>
      <c r="R301" s="576">
        <v>0</v>
      </c>
      <c r="S301" s="556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522" t="s">
        <v>409</v>
      </c>
      <c r="B302" s="509" t="s">
        <v>103</v>
      </c>
      <c r="C302" s="530" t="s">
        <v>111</v>
      </c>
      <c r="D302" s="572">
        <v>0</v>
      </c>
      <c r="E302" s="647">
        <v>0</v>
      </c>
      <c r="F302" s="556">
        <v>13507.969846561695</v>
      </c>
      <c r="G302" s="572"/>
      <c r="H302" s="647"/>
      <c r="I302" s="556"/>
      <c r="J302" s="572">
        <v>0</v>
      </c>
      <c r="K302" s="647">
        <v>0</v>
      </c>
      <c r="L302" s="556">
        <v>12626.59</v>
      </c>
      <c r="M302" s="576"/>
      <c r="N302" s="556">
        <v>-881.37984656169465</v>
      </c>
      <c r="O302" s="531">
        <v>0</v>
      </c>
      <c r="P302" s="647">
        <v>0</v>
      </c>
      <c r="Q302" s="556">
        <v>9631.32</v>
      </c>
      <c r="R302" s="576">
        <v>0</v>
      </c>
      <c r="S302" s="556">
        <v>2995.2700000000004</v>
      </c>
      <c r="T302" s="509"/>
      <c r="U302" s="509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522" t="s">
        <v>410</v>
      </c>
      <c r="B303" s="509" t="s">
        <v>103</v>
      </c>
      <c r="C303" s="523" t="s">
        <v>112</v>
      </c>
      <c r="D303" s="572">
        <v>0</v>
      </c>
      <c r="E303" s="647">
        <v>0</v>
      </c>
      <c r="F303" s="556">
        <v>0</v>
      </c>
      <c r="G303" s="572"/>
      <c r="H303" s="647"/>
      <c r="I303" s="556"/>
      <c r="J303" s="572">
        <v>0</v>
      </c>
      <c r="K303" s="647">
        <v>0</v>
      </c>
      <c r="L303" s="556">
        <v>0</v>
      </c>
      <c r="M303" s="576"/>
      <c r="N303" s="556">
        <v>0</v>
      </c>
      <c r="O303" s="531">
        <v>0</v>
      </c>
      <c r="P303" s="647">
        <v>0</v>
      </c>
      <c r="Q303" s="556">
        <v>0</v>
      </c>
      <c r="R303" s="576">
        <v>0</v>
      </c>
      <c r="S303" s="556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522" t="s">
        <v>411</v>
      </c>
      <c r="B304" s="509" t="s">
        <v>103</v>
      </c>
      <c r="C304" s="549" t="s">
        <v>113</v>
      </c>
      <c r="D304" s="687">
        <v>526869.63981999992</v>
      </c>
      <c r="E304" s="706">
        <v>0.25846123642239993</v>
      </c>
      <c r="F304" s="689">
        <v>136175.3785413017</v>
      </c>
      <c r="G304" s="687"/>
      <c r="H304" s="706"/>
      <c r="I304" s="689"/>
      <c r="J304" s="687">
        <v>571992.03</v>
      </c>
      <c r="K304" s="706">
        <v>0.25720753486722531</v>
      </c>
      <c r="L304" s="689">
        <v>147120.66</v>
      </c>
      <c r="M304" s="707">
        <v>8.5642418484040472E-2</v>
      </c>
      <c r="N304" s="689">
        <v>10945.2814586983</v>
      </c>
      <c r="O304" s="687">
        <v>471079.64</v>
      </c>
      <c r="P304" s="706">
        <v>0.23351856174467611</v>
      </c>
      <c r="Q304" s="689">
        <v>110005.83999999979</v>
      </c>
      <c r="R304" s="707">
        <v>0.21421513780557361</v>
      </c>
      <c r="S304" s="689">
        <v>37114.820000000211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522" t="s">
        <v>103</v>
      </c>
      <c r="B305" s="509" t="s">
        <v>103</v>
      </c>
      <c r="C305" s="530"/>
      <c r="D305" s="509"/>
      <c r="E305" s="509"/>
      <c r="F305" s="540"/>
      <c r="G305" s="530"/>
      <c r="H305" s="509"/>
      <c r="I305" s="540"/>
      <c r="J305" s="530"/>
      <c r="K305" s="509"/>
      <c r="L305" s="540"/>
      <c r="M305" s="530"/>
      <c r="N305" s="548">
        <v>8.0376361541588226E-2</v>
      </c>
      <c r="O305" s="530"/>
      <c r="P305" s="509"/>
      <c r="Q305" s="540"/>
      <c r="R305" s="530"/>
      <c r="S305" s="548">
        <v>0.33738954222794243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522" t="s">
        <v>103</v>
      </c>
      <c r="B306" s="509" t="s">
        <v>103</v>
      </c>
      <c r="C306" s="523"/>
      <c r="D306" s="606"/>
      <c r="E306" s="606"/>
      <c r="F306" s="708"/>
      <c r="G306" s="523"/>
      <c r="H306" s="606"/>
      <c r="I306" s="708"/>
      <c r="J306" s="523"/>
      <c r="K306" s="606"/>
      <c r="L306" s="708"/>
      <c r="M306" s="523"/>
      <c r="N306" s="667"/>
      <c r="O306" s="523"/>
      <c r="P306" s="606"/>
      <c r="Q306" s="708"/>
      <c r="R306" s="523"/>
      <c r="S306" s="667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522" t="s">
        <v>412</v>
      </c>
      <c r="B307" s="509" t="s">
        <v>103</v>
      </c>
      <c r="C307" s="530" t="s">
        <v>114</v>
      </c>
      <c r="D307" s="572">
        <v>80551.94</v>
      </c>
      <c r="E307" s="647">
        <v>0.17100000000000001</v>
      </c>
      <c r="F307" s="605">
        <v>13774.381740000001</v>
      </c>
      <c r="G307" s="572"/>
      <c r="H307" s="647"/>
      <c r="I307" s="605"/>
      <c r="J307" s="531">
        <v>68380.94</v>
      </c>
      <c r="K307" s="647">
        <v>0.18902898965705939</v>
      </c>
      <c r="L307" s="605">
        <v>12925.98</v>
      </c>
      <c r="M307" s="576">
        <v>-0.15109505742506016</v>
      </c>
      <c r="N307" s="556">
        <v>-848.40174000000115</v>
      </c>
      <c r="O307" s="531">
        <v>70357.13</v>
      </c>
      <c r="P307" s="647">
        <v>0.17202833600517814</v>
      </c>
      <c r="Q307" s="605">
        <v>12103.42</v>
      </c>
      <c r="R307" s="576">
        <v>-2.8087984828261216E-2</v>
      </c>
      <c r="S307" s="556">
        <v>822.55999999999949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522" t="s">
        <v>413</v>
      </c>
      <c r="B308" s="509" t="s">
        <v>103</v>
      </c>
      <c r="C308" s="523" t="s">
        <v>115</v>
      </c>
      <c r="D308" s="572">
        <v>25352.464100761106</v>
      </c>
      <c r="E308" s="647">
        <v>0.25600000000000001</v>
      </c>
      <c r="F308" s="581">
        <v>6490.2308097948435</v>
      </c>
      <c r="G308" s="572"/>
      <c r="H308" s="647"/>
      <c r="I308" s="581"/>
      <c r="J308" s="531">
        <v>28019.52</v>
      </c>
      <c r="K308" s="647">
        <v>0.27804152248147007</v>
      </c>
      <c r="L308" s="581">
        <v>7790.59</v>
      </c>
      <c r="M308" s="576">
        <v>0.10519908000417311</v>
      </c>
      <c r="N308" s="556">
        <v>1300.3591902051567</v>
      </c>
      <c r="O308" s="531">
        <v>30225.95</v>
      </c>
      <c r="P308" s="647">
        <v>0.26090594340293688</v>
      </c>
      <c r="Q308" s="581">
        <v>7886.13</v>
      </c>
      <c r="R308" s="576">
        <v>-7.2997871034657311E-2</v>
      </c>
      <c r="S308" s="556">
        <v>-95.539999999999964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522" t="s">
        <v>414</v>
      </c>
      <c r="B309" s="509" t="s">
        <v>103</v>
      </c>
      <c r="C309" s="549" t="s">
        <v>116</v>
      </c>
      <c r="D309" s="687">
        <v>632774.04392076097</v>
      </c>
      <c r="E309" s="706">
        <v>0.24722883720351643</v>
      </c>
      <c r="F309" s="689">
        <v>156439.99109109657</v>
      </c>
      <c r="G309" s="690"/>
      <c r="H309" s="706"/>
      <c r="I309" s="689"/>
      <c r="J309" s="690">
        <v>668392.49</v>
      </c>
      <c r="K309" s="706">
        <v>0.25110579863038257</v>
      </c>
      <c r="L309" s="689">
        <v>167837.23</v>
      </c>
      <c r="M309" s="707">
        <v>5.6289360193319385E-2</v>
      </c>
      <c r="N309" s="689">
        <v>11397.23890890344</v>
      </c>
      <c r="O309" s="690">
        <v>571662.72</v>
      </c>
      <c r="P309" s="706">
        <v>0.22739875358672995</v>
      </c>
      <c r="Q309" s="689">
        <v>129995.3899999998</v>
      </c>
      <c r="R309" s="707">
        <v>0.16920776292706305</v>
      </c>
      <c r="S309" s="689">
        <v>37841.840000000215</v>
      </c>
      <c r="T309" s="509"/>
      <c r="U309" s="572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522" t="s">
        <v>103</v>
      </c>
      <c r="B310" s="509" t="s">
        <v>103</v>
      </c>
      <c r="C310" s="530"/>
      <c r="D310" s="509"/>
      <c r="E310" s="509"/>
      <c r="F310" s="540"/>
      <c r="G310" s="530"/>
      <c r="H310" s="509"/>
      <c r="I310" s="540"/>
      <c r="J310" s="530"/>
      <c r="K310" s="509"/>
      <c r="L310" s="540"/>
      <c r="M310" s="530"/>
      <c r="N310" s="548">
        <v>7.2853743019371017E-2</v>
      </c>
      <c r="O310" s="530"/>
      <c r="P310" s="509"/>
      <c r="Q310" s="540"/>
      <c r="R310" s="530"/>
      <c r="S310" s="548">
        <v>0.29110139982656519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522" t="s">
        <v>103</v>
      </c>
      <c r="B311" s="509" t="s">
        <v>103</v>
      </c>
      <c r="C311" s="530"/>
      <c r="D311" s="509"/>
      <c r="E311" s="509"/>
      <c r="F311" s="540"/>
      <c r="G311" s="530"/>
      <c r="H311" s="509"/>
      <c r="I311" s="540"/>
      <c r="J311" s="530"/>
      <c r="K311" s="509"/>
      <c r="L311" s="540"/>
      <c r="M311" s="530"/>
      <c r="N311" s="548"/>
      <c r="O311" s="530"/>
      <c r="P311" s="509"/>
      <c r="Q311" s="540"/>
      <c r="R311" s="530"/>
      <c r="S311" s="548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522" t="s">
        <v>415</v>
      </c>
      <c r="B312" s="509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2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09"/>
      <c r="U312" s="572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522" t="s">
        <v>103</v>
      </c>
      <c r="B313" s="509" t="s">
        <v>103</v>
      </c>
      <c r="C313" s="530"/>
      <c r="D313" s="572"/>
      <c r="E313" s="647"/>
      <c r="F313" s="556"/>
      <c r="G313" s="557"/>
      <c r="H313" s="647"/>
      <c r="I313" s="556"/>
      <c r="J313" s="557"/>
      <c r="K313" s="647"/>
      <c r="L313" s="556"/>
      <c r="M313" s="576"/>
      <c r="N313" s="556"/>
      <c r="O313" s="557"/>
      <c r="P313" s="647"/>
      <c r="Q313" s="556"/>
      <c r="R313" s="576"/>
      <c r="S313" s="556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522" t="s">
        <v>416</v>
      </c>
      <c r="B314" s="509" t="s">
        <v>103</v>
      </c>
      <c r="C314" s="558" t="s">
        <v>118</v>
      </c>
      <c r="D314" s="559">
        <v>632774.04392076097</v>
      </c>
      <c r="E314" s="710">
        <v>0.24722883720351643</v>
      </c>
      <c r="F314" s="561">
        <v>156439.99109109657</v>
      </c>
      <c r="G314" s="562"/>
      <c r="H314" s="710"/>
      <c r="I314" s="561"/>
      <c r="J314" s="562">
        <v>668392.49</v>
      </c>
      <c r="K314" s="710">
        <v>0.25110579863038257</v>
      </c>
      <c r="L314" s="561">
        <v>167837.23</v>
      </c>
      <c r="M314" s="711">
        <v>5.6289360193319385E-2</v>
      </c>
      <c r="N314" s="712">
        <v>11397.23890890344</v>
      </c>
      <c r="O314" s="562">
        <v>571662.72</v>
      </c>
      <c r="P314" s="710">
        <v>0.22739875358672995</v>
      </c>
      <c r="Q314" s="561">
        <v>129995.3899999998</v>
      </c>
      <c r="R314" s="711">
        <v>0.16920776292706305</v>
      </c>
      <c r="S314" s="712">
        <v>37841.840000000215</v>
      </c>
      <c r="T314" s="509"/>
      <c r="U314" s="656"/>
      <c r="V314" s="572"/>
      <c r="W314" s="572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522" t="s">
        <v>103</v>
      </c>
      <c r="B315" s="509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1.072853743019371</v>
      </c>
      <c r="M315" s="717"/>
      <c r="N315" s="569">
        <v>7.2853743019371017E-2</v>
      </c>
      <c r="O315" s="715"/>
      <c r="P315" s="714"/>
      <c r="Q315" s="626"/>
      <c r="R315" s="717"/>
      <c r="S315" s="569">
        <v>0.29110139982656519</v>
      </c>
      <c r="T315" s="509"/>
      <c r="U315" s="506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522" t="s">
        <v>103</v>
      </c>
      <c r="B316" s="509" t="s">
        <v>103</v>
      </c>
      <c r="C316" s="549"/>
      <c r="D316" s="607"/>
      <c r="E316" s="669"/>
      <c r="F316" s="671"/>
      <c r="G316" s="670"/>
      <c r="H316" s="669"/>
      <c r="I316" s="671"/>
      <c r="J316" s="670"/>
      <c r="K316" s="669"/>
      <c r="L316" s="671"/>
      <c r="M316" s="530"/>
      <c r="N316" s="548"/>
      <c r="O316" s="670"/>
      <c r="P316" s="669"/>
      <c r="Q316" s="671"/>
      <c r="R316" s="530"/>
      <c r="S316" s="548"/>
      <c r="T316" s="509"/>
      <c r="U316" s="506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522" t="s">
        <v>417</v>
      </c>
      <c r="B317" s="509" t="s">
        <v>103</v>
      </c>
      <c r="C317" s="573" t="s">
        <v>30</v>
      </c>
      <c r="D317" s="509"/>
      <c r="E317" s="509"/>
      <c r="F317" s="556"/>
      <c r="G317" s="530"/>
      <c r="H317" s="509"/>
      <c r="I317" s="556"/>
      <c r="J317" s="530"/>
      <c r="K317" s="509"/>
      <c r="L317" s="540"/>
      <c r="M317" s="530"/>
      <c r="N317" s="540"/>
      <c r="O317" s="530"/>
      <c r="P317" s="509"/>
      <c r="Q317" s="540"/>
      <c r="R317" s="530"/>
      <c r="S317" s="540"/>
      <c r="T317" s="509"/>
      <c r="U317" s="506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522" t="s">
        <v>418</v>
      </c>
      <c r="B318" s="509" t="s">
        <v>103</v>
      </c>
      <c r="C318" s="599" t="s">
        <v>41</v>
      </c>
      <c r="D318" s="509"/>
      <c r="E318" s="509"/>
      <c r="F318" s="531">
        <v>8192.0423076923089</v>
      </c>
      <c r="G318" s="530"/>
      <c r="H318" s="509"/>
      <c r="I318" s="531"/>
      <c r="J318" s="530"/>
      <c r="K318" s="509"/>
      <c r="L318" s="533">
        <v>9901.6</v>
      </c>
      <c r="M318" s="530"/>
      <c r="N318" s="533">
        <v>1709.5576923076915</v>
      </c>
      <c r="O318" s="530"/>
      <c r="P318" s="509"/>
      <c r="Q318" s="533">
        <v>6958.82</v>
      </c>
      <c r="R318" s="530"/>
      <c r="S318" s="533">
        <v>2942.7800000000007</v>
      </c>
      <c r="T318" s="509"/>
      <c r="U318" s="506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522" t="s">
        <v>419</v>
      </c>
      <c r="B319" s="509" t="s">
        <v>103</v>
      </c>
      <c r="C319" s="601" t="s">
        <v>42</v>
      </c>
      <c r="D319" s="583"/>
      <c r="E319" s="509"/>
      <c r="F319" s="525">
        <v>32608.030153846154</v>
      </c>
      <c r="G319" s="584"/>
      <c r="H319" s="509"/>
      <c r="I319" s="525"/>
      <c r="J319" s="530"/>
      <c r="K319" s="509"/>
      <c r="L319" s="533">
        <v>28079.91</v>
      </c>
      <c r="M319" s="530"/>
      <c r="N319" s="533">
        <v>-4528.1201538461537</v>
      </c>
      <c r="O319" s="530"/>
      <c r="P319" s="509"/>
      <c r="Q319" s="533">
        <v>25749.9</v>
      </c>
      <c r="R319" s="530"/>
      <c r="S319" s="556">
        <v>2330.0099999999984</v>
      </c>
      <c r="T319" s="509"/>
      <c r="U319" s="506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522" t="s">
        <v>420</v>
      </c>
      <c r="B320" s="509" t="s">
        <v>103</v>
      </c>
      <c r="C320" s="599" t="s">
        <v>43</v>
      </c>
      <c r="D320" s="602"/>
      <c r="E320" s="603"/>
      <c r="F320" s="531">
        <v>175.30769230769232</v>
      </c>
      <c r="G320" s="604"/>
      <c r="H320" s="603"/>
      <c r="I320" s="531"/>
      <c r="J320" s="517"/>
      <c r="K320" s="603"/>
      <c r="L320" s="552">
        <v>113.92</v>
      </c>
      <c r="M320" s="517"/>
      <c r="N320" s="552">
        <v>-61.387692307692319</v>
      </c>
      <c r="O320" s="517"/>
      <c r="P320" s="603"/>
      <c r="Q320" s="552">
        <v>113.92</v>
      </c>
      <c r="R320" s="517"/>
      <c r="S320" s="605">
        <v>0</v>
      </c>
      <c r="T320" s="509"/>
      <c r="U320" s="718"/>
      <c r="V320" s="719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522" t="s">
        <v>421</v>
      </c>
      <c r="B321" s="509" t="s">
        <v>103</v>
      </c>
      <c r="C321" s="599" t="s">
        <v>44</v>
      </c>
      <c r="D321" s="583"/>
      <c r="E321" s="509"/>
      <c r="F321" s="531">
        <v>0</v>
      </c>
      <c r="G321" s="584"/>
      <c r="H321" s="509"/>
      <c r="I321" s="531"/>
      <c r="J321" s="530"/>
      <c r="K321" s="509"/>
      <c r="L321" s="533">
        <v>0</v>
      </c>
      <c r="M321" s="530"/>
      <c r="N321" s="533">
        <v>0</v>
      </c>
      <c r="O321" s="530"/>
      <c r="P321" s="509"/>
      <c r="Q321" s="533">
        <v>0</v>
      </c>
      <c r="R321" s="530"/>
      <c r="S321" s="556">
        <v>0</v>
      </c>
      <c r="T321" s="509"/>
      <c r="U321" s="506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522" t="s">
        <v>408</v>
      </c>
      <c r="B322" s="509" t="s">
        <v>103</v>
      </c>
      <c r="C322" s="530" t="s">
        <v>20</v>
      </c>
      <c r="D322" s="583"/>
      <c r="E322" s="509"/>
      <c r="F322" s="531">
        <v>0</v>
      </c>
      <c r="G322" s="584"/>
      <c r="H322" s="509"/>
      <c r="I322" s="531"/>
      <c r="J322" s="530"/>
      <c r="K322" s="509"/>
      <c r="L322" s="533">
        <v>0</v>
      </c>
      <c r="M322" s="530"/>
      <c r="N322" s="533">
        <v>0</v>
      </c>
      <c r="O322" s="530"/>
      <c r="P322" s="509"/>
      <c r="Q322" s="533">
        <v>0</v>
      </c>
      <c r="R322" s="530"/>
      <c r="S322" s="556">
        <v>0</v>
      </c>
      <c r="T322" s="509"/>
      <c r="U322" s="506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522" t="s">
        <v>408</v>
      </c>
      <c r="B323" s="509" t="s">
        <v>103</v>
      </c>
      <c r="C323" s="530" t="s">
        <v>20</v>
      </c>
      <c r="D323" s="583"/>
      <c r="E323" s="509"/>
      <c r="F323" s="531">
        <v>0</v>
      </c>
      <c r="G323" s="584"/>
      <c r="H323" s="509"/>
      <c r="I323" s="531"/>
      <c r="J323" s="530"/>
      <c r="K323" s="509"/>
      <c r="L323" s="533">
        <v>0</v>
      </c>
      <c r="M323" s="530"/>
      <c r="N323" s="533">
        <v>0</v>
      </c>
      <c r="O323" s="530"/>
      <c r="P323" s="509"/>
      <c r="Q323" s="533">
        <v>0</v>
      </c>
      <c r="R323" s="530"/>
      <c r="S323" s="556">
        <v>0</v>
      </c>
      <c r="T323" s="509"/>
      <c r="U323" s="506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522" t="s">
        <v>408</v>
      </c>
      <c r="B324" s="509" t="s">
        <v>103</v>
      </c>
      <c r="C324" s="530" t="s">
        <v>20</v>
      </c>
      <c r="D324" s="583"/>
      <c r="E324" s="509"/>
      <c r="F324" s="531">
        <v>0</v>
      </c>
      <c r="G324" s="584"/>
      <c r="H324" s="509"/>
      <c r="I324" s="531"/>
      <c r="J324" s="530"/>
      <c r="K324" s="509"/>
      <c r="L324" s="533">
        <v>0</v>
      </c>
      <c r="M324" s="530"/>
      <c r="N324" s="533">
        <v>0</v>
      </c>
      <c r="O324" s="530"/>
      <c r="P324" s="509"/>
      <c r="Q324" s="533">
        <v>0</v>
      </c>
      <c r="R324" s="530"/>
      <c r="S324" s="556">
        <v>0</v>
      </c>
      <c r="T324" s="509"/>
      <c r="U324" s="506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522" t="s">
        <v>422</v>
      </c>
      <c r="B325" s="509" t="s">
        <v>103</v>
      </c>
      <c r="C325" s="601" t="s">
        <v>45</v>
      </c>
      <c r="D325" s="583"/>
      <c r="E325" s="509"/>
      <c r="F325" s="525">
        <v>5047.9207243846158</v>
      </c>
      <c r="G325" s="584"/>
      <c r="H325" s="509"/>
      <c r="I325" s="525"/>
      <c r="J325" s="530"/>
      <c r="K325" s="509"/>
      <c r="L325" s="533">
        <v>3850.07</v>
      </c>
      <c r="M325" s="530"/>
      <c r="N325" s="533">
        <v>-1197.8507243846157</v>
      </c>
      <c r="O325" s="530"/>
      <c r="P325" s="509"/>
      <c r="Q325" s="533">
        <v>3956.34</v>
      </c>
      <c r="R325" s="530"/>
      <c r="S325" s="556">
        <v>-106.26999999999998</v>
      </c>
      <c r="T325" s="509"/>
      <c r="U325" s="506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522" t="s">
        <v>423</v>
      </c>
      <c r="B326" s="509" t="s">
        <v>103</v>
      </c>
      <c r="C326" s="599" t="s">
        <v>46</v>
      </c>
      <c r="D326" s="602"/>
      <c r="E326" s="603"/>
      <c r="F326" s="531">
        <v>6137.5599996923083</v>
      </c>
      <c r="G326" s="604"/>
      <c r="H326" s="603"/>
      <c r="I326" s="531"/>
      <c r="J326" s="517"/>
      <c r="K326" s="603"/>
      <c r="L326" s="552">
        <v>6057.79</v>
      </c>
      <c r="M326" s="517"/>
      <c r="N326" s="552">
        <v>-79.769999692308375</v>
      </c>
      <c r="O326" s="517"/>
      <c r="P326" s="603"/>
      <c r="Q326" s="552">
        <v>6502.5199999999904</v>
      </c>
      <c r="R326" s="517"/>
      <c r="S326" s="605">
        <v>-444.72999999999047</v>
      </c>
      <c r="T326" s="509"/>
      <c r="U326" s="506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522" t="s">
        <v>424</v>
      </c>
      <c r="B327" s="509" t="s">
        <v>103</v>
      </c>
      <c r="C327" s="599" t="s">
        <v>47</v>
      </c>
      <c r="D327" s="583"/>
      <c r="E327" s="509"/>
      <c r="F327" s="531">
        <v>3162.1776520153844</v>
      </c>
      <c r="G327" s="584"/>
      <c r="H327" s="509"/>
      <c r="I327" s="531"/>
      <c r="J327" s="530"/>
      <c r="K327" s="509"/>
      <c r="L327" s="533">
        <v>1816.9</v>
      </c>
      <c r="M327" s="530"/>
      <c r="N327" s="533">
        <v>-1345.2776520153843</v>
      </c>
      <c r="O327" s="530"/>
      <c r="P327" s="509"/>
      <c r="Q327" s="533">
        <v>1354.21</v>
      </c>
      <c r="R327" s="530"/>
      <c r="S327" s="556">
        <v>462.69000000000005</v>
      </c>
      <c r="T327" s="509"/>
      <c r="U327" s="506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522" t="s">
        <v>425</v>
      </c>
      <c r="B328" s="509" t="s">
        <v>103</v>
      </c>
      <c r="C328" s="599" t="s">
        <v>48</v>
      </c>
      <c r="D328" s="583"/>
      <c r="E328" s="509"/>
      <c r="F328" s="531">
        <v>1378.7272463076922</v>
      </c>
      <c r="G328" s="584"/>
      <c r="H328" s="509"/>
      <c r="I328" s="531"/>
      <c r="J328" s="530"/>
      <c r="K328" s="509"/>
      <c r="L328" s="533">
        <v>1401.04</v>
      </c>
      <c r="M328" s="530"/>
      <c r="N328" s="533">
        <v>22.312753692307751</v>
      </c>
      <c r="O328" s="530"/>
      <c r="P328" s="509"/>
      <c r="Q328" s="533">
        <v>738.69</v>
      </c>
      <c r="R328" s="530"/>
      <c r="S328" s="556">
        <v>662.34999999999991</v>
      </c>
      <c r="T328" s="509"/>
      <c r="U328" s="506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522" t="s">
        <v>408</v>
      </c>
      <c r="B329" s="509" t="s">
        <v>103</v>
      </c>
      <c r="C329" s="530" t="s">
        <v>20</v>
      </c>
      <c r="D329" s="586"/>
      <c r="E329" s="606"/>
      <c r="F329" s="531">
        <v>0</v>
      </c>
      <c r="G329" s="587"/>
      <c r="H329" s="606"/>
      <c r="I329" s="531"/>
      <c r="J329" s="523"/>
      <c r="K329" s="606"/>
      <c r="L329" s="533">
        <v>0</v>
      </c>
      <c r="M329" s="523"/>
      <c r="N329" s="581">
        <v>0</v>
      </c>
      <c r="O329" s="523"/>
      <c r="P329" s="606"/>
      <c r="Q329" s="533">
        <v>0</v>
      </c>
      <c r="R329" s="523"/>
      <c r="S329" s="581">
        <v>0</v>
      </c>
      <c r="T329" s="509"/>
      <c r="U329" s="506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522" t="s">
        <v>426</v>
      </c>
      <c r="B330" s="509" t="s">
        <v>103</v>
      </c>
      <c r="C330" s="591" t="s">
        <v>49</v>
      </c>
      <c r="D330" s="592" t="s">
        <v>39</v>
      </c>
      <c r="E330" s="593">
        <v>0.36245058172643441</v>
      </c>
      <c r="F330" s="594">
        <v>56701.765776246168</v>
      </c>
      <c r="G330" s="595"/>
      <c r="H330" s="593"/>
      <c r="I330" s="594"/>
      <c r="J330" s="595" t="s">
        <v>39</v>
      </c>
      <c r="K330" s="593">
        <v>0.30518395709938728</v>
      </c>
      <c r="L330" s="594">
        <v>51221.23</v>
      </c>
      <c r="M330" s="649"/>
      <c r="N330" s="608">
        <v>-5480.5357762461645</v>
      </c>
      <c r="O330" s="595" t="s">
        <v>39</v>
      </c>
      <c r="P330" s="593">
        <v>0.34904622386993922</v>
      </c>
      <c r="Q330" s="594">
        <v>45374.399999999987</v>
      </c>
      <c r="R330" s="649"/>
      <c r="S330" s="608">
        <v>5846.8300000000163</v>
      </c>
      <c r="T330" s="509"/>
      <c r="U330" s="506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522" t="s">
        <v>427</v>
      </c>
      <c r="B331" s="509" t="s">
        <v>103</v>
      </c>
      <c r="C331" s="705" t="s">
        <v>50</v>
      </c>
      <c r="D331" s="583"/>
      <c r="E331" s="509"/>
      <c r="F331" s="531">
        <v>5497.9379221932159</v>
      </c>
      <c r="G331" s="584"/>
      <c r="H331" s="509"/>
      <c r="I331" s="531"/>
      <c r="J331" s="530"/>
      <c r="K331" s="509"/>
      <c r="L331" s="533">
        <v>3851.62</v>
      </c>
      <c r="M331" s="530"/>
      <c r="N331" s="556">
        <v>-1646.317922193216</v>
      </c>
      <c r="O331" s="530"/>
      <c r="P331" s="509"/>
      <c r="Q331" s="533">
        <v>4321.1400000000003</v>
      </c>
      <c r="R331" s="530"/>
      <c r="S331" s="556">
        <v>-469.52000000000044</v>
      </c>
      <c r="T331" s="509"/>
      <c r="U331" s="506"/>
      <c r="V331" s="509"/>
      <c r="W331" s="572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522" t="s">
        <v>428</v>
      </c>
      <c r="B332" s="509" t="s">
        <v>103</v>
      </c>
      <c r="C332" s="599" t="s">
        <v>51</v>
      </c>
      <c r="D332" s="583"/>
      <c r="E332" s="509"/>
      <c r="F332" s="531">
        <v>561.52577820142733</v>
      </c>
      <c r="G332" s="584"/>
      <c r="H332" s="509"/>
      <c r="I332" s="531"/>
      <c r="J332" s="530"/>
      <c r="K332" s="509"/>
      <c r="L332" s="533">
        <v>25.22</v>
      </c>
      <c r="M332" s="530"/>
      <c r="N332" s="556">
        <v>-536.3057782014273</v>
      </c>
      <c r="O332" s="530"/>
      <c r="P332" s="509"/>
      <c r="Q332" s="533">
        <v>1812.7</v>
      </c>
      <c r="R332" s="530"/>
      <c r="S332" s="556">
        <v>-1787.48</v>
      </c>
      <c r="T332" s="509"/>
      <c r="U332" s="506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522" t="s">
        <v>429</v>
      </c>
      <c r="B333" s="509" t="s">
        <v>103</v>
      </c>
      <c r="C333" s="601" t="s">
        <v>52</v>
      </c>
      <c r="D333" s="586"/>
      <c r="E333" s="606"/>
      <c r="F333" s="525">
        <v>1264.3204888888893</v>
      </c>
      <c r="G333" s="587"/>
      <c r="H333" s="606"/>
      <c r="I333" s="525"/>
      <c r="J333" s="523"/>
      <c r="K333" s="606"/>
      <c r="L333" s="533">
        <v>1325.32</v>
      </c>
      <c r="M333" s="523"/>
      <c r="N333" s="581">
        <v>60.999511111110678</v>
      </c>
      <c r="O333" s="523"/>
      <c r="P333" s="606"/>
      <c r="Q333" s="533">
        <v>1168.49</v>
      </c>
      <c r="R333" s="523"/>
      <c r="S333" s="581">
        <v>156.82999999999993</v>
      </c>
      <c r="T333" s="509"/>
      <c r="U333" s="506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522" t="s">
        <v>430</v>
      </c>
      <c r="B334" s="509" t="s">
        <v>103</v>
      </c>
      <c r="C334" s="599" t="s">
        <v>53</v>
      </c>
      <c r="D334" s="583"/>
      <c r="E334" s="509"/>
      <c r="F334" s="531">
        <v>4449.6567389444454</v>
      </c>
      <c r="G334" s="584"/>
      <c r="H334" s="509"/>
      <c r="I334" s="531"/>
      <c r="J334" s="530"/>
      <c r="K334" s="509"/>
      <c r="L334" s="552">
        <v>5937.37</v>
      </c>
      <c r="M334" s="530"/>
      <c r="N334" s="556">
        <v>1487.7132610555545</v>
      </c>
      <c r="O334" s="530"/>
      <c r="P334" s="509"/>
      <c r="Q334" s="552">
        <v>5168.38</v>
      </c>
      <c r="R334" s="530"/>
      <c r="S334" s="556">
        <v>768.98999999999978</v>
      </c>
      <c r="T334" s="509"/>
      <c r="U334" s="506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522" t="s">
        <v>431</v>
      </c>
      <c r="B335" s="509" t="s">
        <v>103</v>
      </c>
      <c r="C335" s="599" t="s">
        <v>54</v>
      </c>
      <c r="D335" s="583"/>
      <c r="E335" s="509"/>
      <c r="F335" s="531">
        <v>818.27646887680896</v>
      </c>
      <c r="G335" s="584"/>
      <c r="H335" s="509"/>
      <c r="I335" s="531"/>
      <c r="J335" s="530"/>
      <c r="K335" s="509"/>
      <c r="L335" s="533">
        <v>1721.87</v>
      </c>
      <c r="M335" s="530"/>
      <c r="N335" s="556">
        <v>903.59353112319093</v>
      </c>
      <c r="O335" s="530"/>
      <c r="P335" s="509"/>
      <c r="Q335" s="533">
        <v>1039.22</v>
      </c>
      <c r="R335" s="530"/>
      <c r="S335" s="556">
        <v>682.64999999999986</v>
      </c>
      <c r="T335" s="509"/>
      <c r="U335" s="506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522" t="s">
        <v>432</v>
      </c>
      <c r="B336" s="509" t="s">
        <v>103</v>
      </c>
      <c r="C336" s="601" t="s">
        <v>55</v>
      </c>
      <c r="D336" s="586"/>
      <c r="E336" s="606"/>
      <c r="F336" s="525">
        <v>12488.085877265243</v>
      </c>
      <c r="G336" s="587"/>
      <c r="H336" s="606"/>
      <c r="I336" s="525"/>
      <c r="J336" s="523"/>
      <c r="K336" s="606"/>
      <c r="L336" s="525">
        <v>15918.21</v>
      </c>
      <c r="M336" s="523"/>
      <c r="N336" s="581">
        <v>3430.1241227347564</v>
      </c>
      <c r="O336" s="523"/>
      <c r="P336" s="606"/>
      <c r="Q336" s="525">
        <v>12086.68</v>
      </c>
      <c r="R336" s="523"/>
      <c r="S336" s="581">
        <v>3831.5299999999988</v>
      </c>
      <c r="T336" s="509"/>
      <c r="U336" s="506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522" t="s">
        <v>433</v>
      </c>
      <c r="B337" s="509" t="s">
        <v>103</v>
      </c>
      <c r="C337" s="599" t="s">
        <v>98</v>
      </c>
      <c r="D337" s="583"/>
      <c r="E337" s="509"/>
      <c r="F337" s="531"/>
      <c r="G337" s="584"/>
      <c r="H337" s="509"/>
      <c r="I337" s="531"/>
      <c r="J337" s="530"/>
      <c r="K337" s="509"/>
      <c r="L337" s="533">
        <v>0</v>
      </c>
      <c r="M337" s="530"/>
      <c r="N337" s="556">
        <v>0</v>
      </c>
      <c r="O337" s="530"/>
      <c r="P337" s="509"/>
      <c r="Q337" s="533">
        <v>0</v>
      </c>
      <c r="R337" s="530"/>
      <c r="S337" s="556">
        <v>0</v>
      </c>
      <c r="T337" s="509"/>
      <c r="U337" s="506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522" t="s">
        <v>434</v>
      </c>
      <c r="B338" s="509" t="s">
        <v>103</v>
      </c>
      <c r="C338" s="599" t="s">
        <v>56</v>
      </c>
      <c r="D338" s="583"/>
      <c r="E338" s="509"/>
      <c r="F338" s="531">
        <v>255.67533333333333</v>
      </c>
      <c r="G338" s="584"/>
      <c r="H338" s="509"/>
      <c r="I338" s="531"/>
      <c r="J338" s="530"/>
      <c r="K338" s="509"/>
      <c r="L338" s="533">
        <v>0</v>
      </c>
      <c r="M338" s="530"/>
      <c r="N338" s="556">
        <v>-255.67533333333333</v>
      </c>
      <c r="O338" s="530"/>
      <c r="P338" s="509"/>
      <c r="Q338" s="533">
        <v>68.38</v>
      </c>
      <c r="R338" s="530"/>
      <c r="S338" s="556">
        <v>-68.38</v>
      </c>
      <c r="T338" s="509"/>
      <c r="U338" s="506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522" t="s">
        <v>435</v>
      </c>
      <c r="B339" s="509" t="s">
        <v>103</v>
      </c>
      <c r="C339" s="599" t="s">
        <v>57</v>
      </c>
      <c r="D339" s="583"/>
      <c r="E339" s="509"/>
      <c r="F339" s="531">
        <v>28.333333333333332</v>
      </c>
      <c r="G339" s="584"/>
      <c r="H339" s="509"/>
      <c r="I339" s="531"/>
      <c r="J339" s="530"/>
      <c r="K339" s="509"/>
      <c r="L339" s="533">
        <v>0</v>
      </c>
      <c r="M339" s="530"/>
      <c r="N339" s="556">
        <v>-28.333333333333332</v>
      </c>
      <c r="O339" s="530"/>
      <c r="P339" s="509"/>
      <c r="Q339" s="533">
        <v>0</v>
      </c>
      <c r="R339" s="530"/>
      <c r="S339" s="556">
        <v>0</v>
      </c>
      <c r="T339" s="509"/>
      <c r="U339" s="506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522" t="s">
        <v>436</v>
      </c>
      <c r="B340" s="509" t="s">
        <v>103</v>
      </c>
      <c r="C340" s="599" t="s">
        <v>58</v>
      </c>
      <c r="D340" s="583"/>
      <c r="E340" s="509"/>
      <c r="F340" s="531">
        <v>716.40904661649995</v>
      </c>
      <c r="G340" s="584"/>
      <c r="H340" s="509"/>
      <c r="I340" s="531"/>
      <c r="J340" s="530"/>
      <c r="K340" s="509"/>
      <c r="L340" s="533">
        <v>46.04</v>
      </c>
      <c r="M340" s="530"/>
      <c r="N340" s="556">
        <v>-670.36904661649999</v>
      </c>
      <c r="O340" s="530"/>
      <c r="P340" s="509"/>
      <c r="Q340" s="533">
        <v>294.99</v>
      </c>
      <c r="R340" s="530"/>
      <c r="S340" s="556">
        <v>-248.95000000000002</v>
      </c>
      <c r="T340" s="509"/>
      <c r="U340" s="506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522" t="s">
        <v>437</v>
      </c>
      <c r="B341" s="509" t="s">
        <v>103</v>
      </c>
      <c r="C341" s="599" t="s">
        <v>59</v>
      </c>
      <c r="D341" s="583"/>
      <c r="E341" s="509"/>
      <c r="F341" s="531">
        <v>115.54074359217363</v>
      </c>
      <c r="G341" s="584"/>
      <c r="H341" s="509"/>
      <c r="I341" s="531"/>
      <c r="J341" s="530"/>
      <c r="K341" s="509"/>
      <c r="L341" s="533">
        <v>98.98</v>
      </c>
      <c r="M341" s="530"/>
      <c r="N341" s="556">
        <v>-16.560743592173623</v>
      </c>
      <c r="O341" s="530"/>
      <c r="P341" s="509"/>
      <c r="Q341" s="533">
        <v>142.66</v>
      </c>
      <c r="R341" s="530"/>
      <c r="S341" s="556">
        <v>-43.679999999999993</v>
      </c>
      <c r="T341" s="509"/>
      <c r="U341" s="506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522" t="s">
        <v>438</v>
      </c>
      <c r="B342" s="509" t="s">
        <v>103</v>
      </c>
      <c r="C342" s="599" t="s">
        <v>60</v>
      </c>
      <c r="D342" s="583"/>
      <c r="E342" s="509"/>
      <c r="F342" s="531">
        <v>-31.110347462173621</v>
      </c>
      <c r="G342" s="584"/>
      <c r="H342" s="509"/>
      <c r="I342" s="531"/>
      <c r="J342" s="530"/>
      <c r="K342" s="509"/>
      <c r="L342" s="533">
        <v>-1258.1199999999999</v>
      </c>
      <c r="M342" s="530"/>
      <c r="N342" s="556">
        <v>-1227.0096525378262</v>
      </c>
      <c r="O342" s="530"/>
      <c r="P342" s="509"/>
      <c r="Q342" s="533">
        <v>-104.06</v>
      </c>
      <c r="R342" s="530"/>
      <c r="S342" s="556">
        <v>-1154.06</v>
      </c>
      <c r="T342" s="509"/>
      <c r="U342" s="506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522" t="s">
        <v>439</v>
      </c>
      <c r="B343" s="509" t="s">
        <v>103</v>
      </c>
      <c r="C343" s="599" t="s">
        <v>61</v>
      </c>
      <c r="D343" s="583"/>
      <c r="E343" s="509"/>
      <c r="F343" s="531">
        <v>156.51117666245145</v>
      </c>
      <c r="G343" s="584"/>
      <c r="H343" s="509"/>
      <c r="I343" s="531"/>
      <c r="J343" s="530"/>
      <c r="K343" s="509"/>
      <c r="L343" s="533">
        <v>49</v>
      </c>
      <c r="M343" s="530"/>
      <c r="N343" s="556">
        <v>-107.51117666245145</v>
      </c>
      <c r="O343" s="530"/>
      <c r="P343" s="509"/>
      <c r="Q343" s="533">
        <v>183.15</v>
      </c>
      <c r="R343" s="530"/>
      <c r="S343" s="556">
        <v>-134.15</v>
      </c>
      <c r="T343" s="509"/>
      <c r="U343" s="506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522" t="s">
        <v>440</v>
      </c>
      <c r="B344" s="509" t="s">
        <v>103</v>
      </c>
      <c r="C344" s="599" t="s">
        <v>62</v>
      </c>
      <c r="D344" s="583"/>
      <c r="E344" s="509"/>
      <c r="F344" s="531">
        <v>378.95432121431327</v>
      </c>
      <c r="G344" s="584"/>
      <c r="H344" s="509"/>
      <c r="I344" s="531"/>
      <c r="J344" s="530"/>
      <c r="K344" s="509"/>
      <c r="L344" s="533">
        <v>477.55</v>
      </c>
      <c r="M344" s="530"/>
      <c r="N344" s="556">
        <v>98.595678785686744</v>
      </c>
      <c r="O344" s="530"/>
      <c r="P344" s="509"/>
      <c r="Q344" s="533">
        <v>1038.3</v>
      </c>
      <c r="R344" s="530"/>
      <c r="S344" s="556">
        <v>-560.75</v>
      </c>
      <c r="T344" s="509"/>
      <c r="U344" s="720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522" t="s">
        <v>441</v>
      </c>
      <c r="B345" s="509" t="s">
        <v>103</v>
      </c>
      <c r="C345" s="599" t="s">
        <v>63</v>
      </c>
      <c r="D345" s="583"/>
      <c r="E345" s="509"/>
      <c r="F345" s="531">
        <v>1897.4004948242332</v>
      </c>
      <c r="G345" s="584"/>
      <c r="H345" s="509"/>
      <c r="I345" s="531"/>
      <c r="J345" s="530"/>
      <c r="K345" s="509"/>
      <c r="L345" s="533">
        <v>2064.63</v>
      </c>
      <c r="M345" s="530"/>
      <c r="N345" s="556">
        <v>167.22950517576692</v>
      </c>
      <c r="O345" s="530"/>
      <c r="P345" s="509"/>
      <c r="Q345" s="533">
        <v>2142.2399999999998</v>
      </c>
      <c r="R345" s="530"/>
      <c r="S345" s="556">
        <v>-77.609999999999673</v>
      </c>
      <c r="T345" s="509"/>
      <c r="U345" s="720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522" t="s">
        <v>408</v>
      </c>
      <c r="B346" s="509" t="s">
        <v>103</v>
      </c>
      <c r="C346" s="599" t="s">
        <v>20</v>
      </c>
      <c r="D346" s="583"/>
      <c r="E346" s="509"/>
      <c r="F346" s="531">
        <v>0</v>
      </c>
      <c r="G346" s="584"/>
      <c r="H346" s="509"/>
      <c r="I346" s="531"/>
      <c r="J346" s="530"/>
      <c r="K346" s="509"/>
      <c r="L346" s="533">
        <v>0</v>
      </c>
      <c r="M346" s="530"/>
      <c r="N346" s="556">
        <v>0</v>
      </c>
      <c r="O346" s="530"/>
      <c r="P346" s="509"/>
      <c r="Q346" s="533">
        <v>0</v>
      </c>
      <c r="R346" s="530"/>
      <c r="S346" s="556">
        <v>0</v>
      </c>
      <c r="T346" s="509"/>
      <c r="U346" s="720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522" t="s">
        <v>408</v>
      </c>
      <c r="B347" s="509" t="s">
        <v>103</v>
      </c>
      <c r="C347" s="599" t="s">
        <v>20</v>
      </c>
      <c r="D347" s="583"/>
      <c r="E347" s="509"/>
      <c r="F347" s="531">
        <v>0</v>
      </c>
      <c r="G347" s="584"/>
      <c r="H347" s="509"/>
      <c r="I347" s="531"/>
      <c r="J347" s="530"/>
      <c r="K347" s="509"/>
      <c r="L347" s="533">
        <v>0</v>
      </c>
      <c r="M347" s="530"/>
      <c r="N347" s="556">
        <v>0</v>
      </c>
      <c r="O347" s="530"/>
      <c r="P347" s="509"/>
      <c r="Q347" s="533">
        <v>0</v>
      </c>
      <c r="R347" s="530"/>
      <c r="S347" s="556">
        <v>0</v>
      </c>
      <c r="T347" s="509"/>
      <c r="U347" s="720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522" t="s">
        <v>408</v>
      </c>
      <c r="B348" s="509" t="s">
        <v>103</v>
      </c>
      <c r="C348" s="599" t="s">
        <v>20</v>
      </c>
      <c r="D348" s="583"/>
      <c r="E348" s="509"/>
      <c r="F348" s="531">
        <v>0</v>
      </c>
      <c r="G348" s="584"/>
      <c r="H348" s="509"/>
      <c r="I348" s="531"/>
      <c r="J348" s="530"/>
      <c r="K348" s="509"/>
      <c r="L348" s="533">
        <v>0</v>
      </c>
      <c r="M348" s="530"/>
      <c r="N348" s="556">
        <v>0</v>
      </c>
      <c r="O348" s="530"/>
      <c r="P348" s="509"/>
      <c r="Q348" s="533">
        <v>0</v>
      </c>
      <c r="R348" s="530"/>
      <c r="S348" s="556">
        <v>0</v>
      </c>
      <c r="T348" s="509"/>
      <c r="U348" s="720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91" t="s">
        <v>64</v>
      </c>
      <c r="D349" s="592" t="s">
        <v>39</v>
      </c>
      <c r="E349" s="593">
        <v>0.1828018346014324</v>
      </c>
      <c r="F349" s="594">
        <v>28597.517376484193</v>
      </c>
      <c r="G349" s="595"/>
      <c r="H349" s="593"/>
      <c r="I349" s="594"/>
      <c r="J349" s="595" t="s">
        <v>39</v>
      </c>
      <c r="K349" s="593">
        <v>0.18027996529733001</v>
      </c>
      <c r="L349" s="594">
        <v>30257.69</v>
      </c>
      <c r="M349" s="598"/>
      <c r="N349" s="594">
        <v>1660.1726235158048</v>
      </c>
      <c r="O349" s="595" t="s">
        <v>39</v>
      </c>
      <c r="P349" s="593">
        <v>0.22587162513993805</v>
      </c>
      <c r="Q349" s="594">
        <v>29362.270000000004</v>
      </c>
      <c r="R349" s="598"/>
      <c r="S349" s="594">
        <v>895.41999999999871</v>
      </c>
      <c r="T349" s="509"/>
      <c r="U349" s="720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3"/>
      <c r="D350" s="586"/>
      <c r="E350" s="606"/>
      <c r="F350" s="556"/>
      <c r="G350" s="587"/>
      <c r="H350" s="606"/>
      <c r="I350" s="556"/>
      <c r="J350" s="523"/>
      <c r="K350" s="606"/>
      <c r="L350" s="581"/>
      <c r="M350" s="523"/>
      <c r="N350" s="581"/>
      <c r="O350" s="523"/>
      <c r="P350" s="606"/>
      <c r="Q350" s="581"/>
      <c r="R350" s="523"/>
      <c r="S350" s="581"/>
      <c r="T350" s="509"/>
      <c r="U350" s="506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91" t="s">
        <v>65</v>
      </c>
      <c r="D351" s="592" t="s">
        <v>39</v>
      </c>
      <c r="E351" s="593">
        <v>0.54525241632786681</v>
      </c>
      <c r="F351" s="594">
        <v>85299.283152730364</v>
      </c>
      <c r="G351" s="595"/>
      <c r="H351" s="593"/>
      <c r="I351" s="594"/>
      <c r="J351" s="595" t="s">
        <v>39</v>
      </c>
      <c r="K351" s="593">
        <v>0.48546392239671732</v>
      </c>
      <c r="L351" s="594">
        <v>81478.92</v>
      </c>
      <c r="M351" s="598"/>
      <c r="N351" s="608">
        <v>-3820.363152730366</v>
      </c>
      <c r="O351" s="595" t="s">
        <v>39</v>
      </c>
      <c r="P351" s="593">
        <v>0.57491784900987719</v>
      </c>
      <c r="Q351" s="594">
        <v>74736.669999999984</v>
      </c>
      <c r="R351" s="598"/>
      <c r="S351" s="608">
        <v>6742.2500000000146</v>
      </c>
      <c r="T351" s="509"/>
      <c r="U351" s="506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30"/>
      <c r="D352" s="583"/>
      <c r="E352" s="509"/>
      <c r="F352" s="556"/>
      <c r="G352" s="584"/>
      <c r="H352" s="509"/>
      <c r="I352" s="556"/>
      <c r="J352" s="530"/>
      <c r="K352" s="509"/>
      <c r="L352" s="556"/>
      <c r="M352" s="530"/>
      <c r="N352" s="556">
        <v>0</v>
      </c>
      <c r="O352" s="530"/>
      <c r="P352" s="509"/>
      <c r="Q352" s="556"/>
      <c r="R352" s="530"/>
      <c r="S352" s="556"/>
      <c r="T352" s="509"/>
      <c r="U352" s="506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3" t="s">
        <v>72</v>
      </c>
      <c r="D353" s="654"/>
      <c r="E353" s="624"/>
      <c r="F353" s="626">
        <v>71140.707938366206</v>
      </c>
      <c r="G353" s="655"/>
      <c r="H353" s="624"/>
      <c r="I353" s="626"/>
      <c r="J353" s="623"/>
      <c r="K353" s="625"/>
      <c r="L353" s="626">
        <v>86358.310000000012</v>
      </c>
      <c r="M353" s="623"/>
      <c r="N353" s="626">
        <v>15217.602061633806</v>
      </c>
      <c r="O353" s="623"/>
      <c r="P353" s="628">
        <v>9.6663151307120068E-2</v>
      </c>
      <c r="Q353" s="626">
        <v>55258.719999999812</v>
      </c>
      <c r="R353" s="623"/>
      <c r="S353" s="626">
        <v>31099.5900000002</v>
      </c>
      <c r="T353" s="509"/>
      <c r="U353" s="506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70"/>
      <c r="D354" s="583"/>
      <c r="E354" s="509"/>
      <c r="F354" s="607"/>
      <c r="G354" s="583"/>
      <c r="H354" s="509"/>
      <c r="I354" s="607"/>
      <c r="J354" s="570"/>
      <c r="K354" s="570"/>
      <c r="L354" s="607"/>
      <c r="M354" s="570"/>
      <c r="N354" s="607"/>
      <c r="O354" s="570"/>
      <c r="P354" s="570"/>
      <c r="Q354" s="607"/>
      <c r="R354" s="570"/>
      <c r="S354" s="607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70"/>
      <c r="D355" s="583"/>
      <c r="E355" s="509"/>
      <c r="F355" s="607"/>
      <c r="G355" s="583"/>
      <c r="H355" s="509"/>
      <c r="I355" s="607"/>
      <c r="J355" s="570"/>
      <c r="K355" s="570"/>
      <c r="L355" s="607"/>
      <c r="M355" s="570"/>
      <c r="N355" s="607"/>
      <c r="O355" s="570"/>
      <c r="P355" s="570"/>
      <c r="Q355" s="607"/>
      <c r="R355" s="570"/>
      <c r="S355" s="607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3" t="s">
        <v>478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4" t="s">
        <v>484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522" t="s">
        <v>119</v>
      </c>
      <c r="B359" s="509" t="s">
        <v>119</v>
      </c>
      <c r="C359" s="530"/>
      <c r="D359" s="721" t="s">
        <v>84</v>
      </c>
      <c r="E359" s="721" t="s">
        <v>104</v>
      </c>
      <c r="F359" s="722" t="s">
        <v>12</v>
      </c>
      <c r="G359" s="723"/>
      <c r="H359" s="721"/>
      <c r="I359" s="722"/>
      <c r="J359" s="658" t="s">
        <v>84</v>
      </c>
      <c r="K359" s="574" t="s">
        <v>104</v>
      </c>
      <c r="L359" s="657" t="s">
        <v>12</v>
      </c>
      <c r="M359" s="658"/>
      <c r="N359" s="657"/>
      <c r="O359" s="658" t="s">
        <v>84</v>
      </c>
      <c r="P359" s="574" t="s">
        <v>104</v>
      </c>
      <c r="Q359" s="657" t="s">
        <v>12</v>
      </c>
      <c r="R359" s="658" t="s">
        <v>85</v>
      </c>
      <c r="S359" s="657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522" t="s">
        <v>442</v>
      </c>
      <c r="B360" s="509" t="s">
        <v>119</v>
      </c>
      <c r="C360" s="558" t="s">
        <v>119</v>
      </c>
      <c r="D360" s="724">
        <v>0</v>
      </c>
      <c r="E360" s="725">
        <v>0</v>
      </c>
      <c r="F360" s="726">
        <v>0</v>
      </c>
      <c r="G360" s="724"/>
      <c r="H360" s="725"/>
      <c r="I360" s="724"/>
      <c r="J360" s="727">
        <v>0</v>
      </c>
      <c r="K360" s="710">
        <v>0</v>
      </c>
      <c r="L360" s="728">
        <v>0</v>
      </c>
      <c r="M360" s="711"/>
      <c r="N360" s="712"/>
      <c r="O360" s="727">
        <v>0</v>
      </c>
      <c r="P360" s="710">
        <v>0</v>
      </c>
      <c r="Q360" s="728">
        <v>0</v>
      </c>
      <c r="R360" s="711">
        <v>0</v>
      </c>
      <c r="S360" s="712">
        <v>0</v>
      </c>
      <c r="T360" s="506"/>
      <c r="U360" s="506"/>
      <c r="V360" s="729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522" t="s">
        <v>119</v>
      </c>
      <c r="B361" s="509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522" t="s">
        <v>443</v>
      </c>
      <c r="B362" s="509" t="s">
        <v>119</v>
      </c>
      <c r="C362" s="549" t="s">
        <v>120</v>
      </c>
      <c r="D362" s="607">
        <v>0</v>
      </c>
      <c r="E362" s="669">
        <v>0</v>
      </c>
      <c r="F362" s="671">
        <v>0</v>
      </c>
      <c r="G362" s="670"/>
      <c r="H362" s="669"/>
      <c r="I362" s="671"/>
      <c r="J362" s="670">
        <v>0</v>
      </c>
      <c r="K362" s="669">
        <v>0</v>
      </c>
      <c r="L362" s="671">
        <v>0</v>
      </c>
      <c r="M362" s="647"/>
      <c r="N362" s="730"/>
      <c r="O362" s="670">
        <v>0</v>
      </c>
      <c r="P362" s="669">
        <v>0</v>
      </c>
      <c r="Q362" s="671">
        <v>0</v>
      </c>
      <c r="R362" s="530">
        <v>0</v>
      </c>
      <c r="S362" s="548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522" t="s">
        <v>119</v>
      </c>
      <c r="B363" s="509" t="s">
        <v>119</v>
      </c>
      <c r="C363" s="573"/>
      <c r="D363" s="509"/>
      <c r="E363" s="509"/>
      <c r="F363" s="556"/>
      <c r="G363" s="530"/>
      <c r="H363" s="509"/>
      <c r="I363" s="556"/>
      <c r="J363" s="530"/>
      <c r="K363" s="509"/>
      <c r="L363" s="540"/>
      <c r="M363" s="530"/>
      <c r="N363" s="659"/>
      <c r="O363" s="530"/>
      <c r="P363" s="509"/>
      <c r="Q363" s="540"/>
      <c r="R363" s="530"/>
      <c r="S363" s="540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522" t="s">
        <v>444</v>
      </c>
      <c r="B364" s="509" t="s">
        <v>119</v>
      </c>
      <c r="C364" s="573" t="s">
        <v>30</v>
      </c>
      <c r="D364" s="509"/>
      <c r="E364" s="509"/>
      <c r="F364" s="556"/>
      <c r="G364" s="530"/>
      <c r="H364" s="509"/>
      <c r="I364" s="556"/>
      <c r="J364" s="530"/>
      <c r="K364" s="509"/>
      <c r="L364" s="540"/>
      <c r="M364" s="530"/>
      <c r="N364" s="540"/>
      <c r="O364" s="530"/>
      <c r="P364" s="509"/>
      <c r="Q364" s="540"/>
      <c r="R364" s="530"/>
      <c r="S364" s="540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522" t="s">
        <v>445</v>
      </c>
      <c r="B365" s="509" t="s">
        <v>119</v>
      </c>
      <c r="C365" s="599" t="s">
        <v>41</v>
      </c>
      <c r="D365" s="509"/>
      <c r="E365" s="509"/>
      <c r="F365" s="531">
        <v>0</v>
      </c>
      <c r="G365" s="530"/>
      <c r="H365" s="509"/>
      <c r="I365" s="531"/>
      <c r="J365" s="530"/>
      <c r="K365" s="509"/>
      <c r="L365" s="533">
        <v>0</v>
      </c>
      <c r="M365" s="530"/>
      <c r="N365" s="540"/>
      <c r="O365" s="530"/>
      <c r="P365" s="509"/>
      <c r="Q365" s="533">
        <v>0</v>
      </c>
      <c r="R365" s="530"/>
      <c r="S365" s="533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522" t="s">
        <v>446</v>
      </c>
      <c r="B366" s="509" t="s">
        <v>119</v>
      </c>
      <c r="C366" s="601" t="s">
        <v>42</v>
      </c>
      <c r="D366" s="583"/>
      <c r="E366" s="509"/>
      <c r="F366" s="525">
        <v>0</v>
      </c>
      <c r="G366" s="584"/>
      <c r="H366" s="509"/>
      <c r="I366" s="525"/>
      <c r="J366" s="530"/>
      <c r="K366" s="509"/>
      <c r="L366" s="525">
        <v>0</v>
      </c>
      <c r="M366" s="530"/>
      <c r="N366" s="556"/>
      <c r="O366" s="530"/>
      <c r="P366" s="509"/>
      <c r="Q366" s="525">
        <v>0</v>
      </c>
      <c r="R366" s="530"/>
      <c r="S366" s="556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522" t="s">
        <v>447</v>
      </c>
      <c r="B367" s="509" t="s">
        <v>119</v>
      </c>
      <c r="C367" s="599" t="s">
        <v>43</v>
      </c>
      <c r="D367" s="602"/>
      <c r="E367" s="603"/>
      <c r="F367" s="531">
        <v>0</v>
      </c>
      <c r="G367" s="604"/>
      <c r="H367" s="603"/>
      <c r="I367" s="531"/>
      <c r="J367" s="517"/>
      <c r="K367" s="603"/>
      <c r="L367" s="533">
        <v>0</v>
      </c>
      <c r="M367" s="517"/>
      <c r="N367" s="605"/>
      <c r="O367" s="517"/>
      <c r="P367" s="603"/>
      <c r="Q367" s="533">
        <v>0</v>
      </c>
      <c r="R367" s="517"/>
      <c r="S367" s="605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522" t="s">
        <v>448</v>
      </c>
      <c r="B368" s="509" t="s">
        <v>119</v>
      </c>
      <c r="C368" s="599" t="s">
        <v>44</v>
      </c>
      <c r="D368" s="583"/>
      <c r="E368" s="509"/>
      <c r="F368" s="531">
        <v>0</v>
      </c>
      <c r="G368" s="584"/>
      <c r="H368" s="509"/>
      <c r="I368" s="531"/>
      <c r="J368" s="530"/>
      <c r="K368" s="509"/>
      <c r="L368" s="533">
        <v>0</v>
      </c>
      <c r="M368" s="530"/>
      <c r="N368" s="556"/>
      <c r="O368" s="530"/>
      <c r="P368" s="509"/>
      <c r="Q368" s="533">
        <v>0</v>
      </c>
      <c r="R368" s="530"/>
      <c r="S368" s="556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522" t="s">
        <v>449</v>
      </c>
      <c r="B369" s="509" t="s">
        <v>119</v>
      </c>
      <c r="C369" s="530" t="s">
        <v>20</v>
      </c>
      <c r="D369" s="583"/>
      <c r="E369" s="509"/>
      <c r="F369" s="531">
        <v>0</v>
      </c>
      <c r="G369" s="584"/>
      <c r="H369" s="509"/>
      <c r="I369" s="531"/>
      <c r="J369" s="530"/>
      <c r="K369" s="509"/>
      <c r="L369" s="533">
        <v>0</v>
      </c>
      <c r="M369" s="530"/>
      <c r="N369" s="556"/>
      <c r="O369" s="530"/>
      <c r="P369" s="509"/>
      <c r="Q369" s="533">
        <v>0</v>
      </c>
      <c r="R369" s="530"/>
      <c r="S369" s="556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522" t="s">
        <v>449</v>
      </c>
      <c r="B370" s="509" t="s">
        <v>119</v>
      </c>
      <c r="C370" s="530" t="s">
        <v>20</v>
      </c>
      <c r="D370" s="583"/>
      <c r="E370" s="509"/>
      <c r="F370" s="531">
        <v>0</v>
      </c>
      <c r="G370" s="584"/>
      <c r="H370" s="509"/>
      <c r="I370" s="531"/>
      <c r="J370" s="530"/>
      <c r="K370" s="509"/>
      <c r="L370" s="533">
        <v>0</v>
      </c>
      <c r="M370" s="530"/>
      <c r="N370" s="556"/>
      <c r="O370" s="530"/>
      <c r="P370" s="509"/>
      <c r="Q370" s="533">
        <v>0</v>
      </c>
      <c r="R370" s="530"/>
      <c r="S370" s="556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522" t="s">
        <v>449</v>
      </c>
      <c r="B371" s="509" t="s">
        <v>119</v>
      </c>
      <c r="C371" s="530" t="s">
        <v>20</v>
      </c>
      <c r="D371" s="583"/>
      <c r="E371" s="509"/>
      <c r="F371" s="531">
        <v>0</v>
      </c>
      <c r="G371" s="584"/>
      <c r="H371" s="509"/>
      <c r="I371" s="531"/>
      <c r="J371" s="530"/>
      <c r="K371" s="509"/>
      <c r="L371" s="533">
        <v>0</v>
      </c>
      <c r="M371" s="530"/>
      <c r="N371" s="556"/>
      <c r="O371" s="530"/>
      <c r="P371" s="509"/>
      <c r="Q371" s="533">
        <v>0</v>
      </c>
      <c r="R371" s="530"/>
      <c r="S371" s="556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522" t="s">
        <v>450</v>
      </c>
      <c r="B372" s="509" t="s">
        <v>119</v>
      </c>
      <c r="C372" s="601" t="s">
        <v>45</v>
      </c>
      <c r="D372" s="583"/>
      <c r="E372" s="509"/>
      <c r="F372" s="525">
        <v>0</v>
      </c>
      <c r="G372" s="584"/>
      <c r="H372" s="509"/>
      <c r="I372" s="525"/>
      <c r="J372" s="530"/>
      <c r="K372" s="509"/>
      <c r="L372" s="525">
        <v>0</v>
      </c>
      <c r="M372" s="530"/>
      <c r="N372" s="556"/>
      <c r="O372" s="530"/>
      <c r="P372" s="509"/>
      <c r="Q372" s="525">
        <v>0</v>
      </c>
      <c r="R372" s="530"/>
      <c r="S372" s="556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522" t="s">
        <v>451</v>
      </c>
      <c r="B373" s="509" t="s">
        <v>119</v>
      </c>
      <c r="C373" s="599" t="s">
        <v>46</v>
      </c>
      <c r="D373" s="602"/>
      <c r="E373" s="603"/>
      <c r="F373" s="531">
        <v>0</v>
      </c>
      <c r="G373" s="604"/>
      <c r="H373" s="603"/>
      <c r="I373" s="531"/>
      <c r="J373" s="517"/>
      <c r="K373" s="603"/>
      <c r="L373" s="533">
        <v>0</v>
      </c>
      <c r="M373" s="517"/>
      <c r="N373" s="605"/>
      <c r="O373" s="517"/>
      <c r="P373" s="603"/>
      <c r="Q373" s="533">
        <v>0</v>
      </c>
      <c r="R373" s="517"/>
      <c r="S373" s="605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522" t="s">
        <v>452</v>
      </c>
      <c r="B374" s="509" t="s">
        <v>119</v>
      </c>
      <c r="C374" s="599" t="s">
        <v>47</v>
      </c>
      <c r="D374" s="583"/>
      <c r="E374" s="509"/>
      <c r="F374" s="531">
        <v>0</v>
      </c>
      <c r="G374" s="584"/>
      <c r="H374" s="509"/>
      <c r="I374" s="531"/>
      <c r="J374" s="530"/>
      <c r="K374" s="509"/>
      <c r="L374" s="533">
        <v>0</v>
      </c>
      <c r="M374" s="530"/>
      <c r="N374" s="556"/>
      <c r="O374" s="530"/>
      <c r="P374" s="509"/>
      <c r="Q374" s="533">
        <v>0</v>
      </c>
      <c r="R374" s="530"/>
      <c r="S374" s="556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522" t="s">
        <v>453</v>
      </c>
      <c r="B375" s="509" t="s">
        <v>119</v>
      </c>
      <c r="C375" s="599" t="s">
        <v>48</v>
      </c>
      <c r="D375" s="583"/>
      <c r="E375" s="509"/>
      <c r="F375" s="531">
        <v>0</v>
      </c>
      <c r="G375" s="584"/>
      <c r="H375" s="509"/>
      <c r="I375" s="531"/>
      <c r="J375" s="530"/>
      <c r="K375" s="509"/>
      <c r="L375" s="533">
        <v>0</v>
      </c>
      <c r="M375" s="530"/>
      <c r="N375" s="556"/>
      <c r="O375" s="530"/>
      <c r="P375" s="509"/>
      <c r="Q375" s="533">
        <v>0</v>
      </c>
      <c r="R375" s="530"/>
      <c r="S375" s="556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522" t="s">
        <v>449</v>
      </c>
      <c r="B376" s="509" t="s">
        <v>119</v>
      </c>
      <c r="C376" s="530" t="s">
        <v>20</v>
      </c>
      <c r="D376" s="586"/>
      <c r="E376" s="606"/>
      <c r="F376" s="531">
        <v>0</v>
      </c>
      <c r="G376" s="587"/>
      <c r="H376" s="606"/>
      <c r="I376" s="531"/>
      <c r="J376" s="523"/>
      <c r="K376" s="606"/>
      <c r="L376" s="533">
        <v>0</v>
      </c>
      <c r="M376" s="523"/>
      <c r="N376" s="581"/>
      <c r="O376" s="523"/>
      <c r="P376" s="606"/>
      <c r="Q376" s="533">
        <v>0</v>
      </c>
      <c r="R376" s="523"/>
      <c r="S376" s="581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522" t="s">
        <v>454</v>
      </c>
      <c r="B377" s="509" t="s">
        <v>119</v>
      </c>
      <c r="C377" s="591" t="s">
        <v>49</v>
      </c>
      <c r="D377" s="592" t="s">
        <v>39</v>
      </c>
      <c r="E377" s="593">
        <v>0</v>
      </c>
      <c r="F377" s="594">
        <v>0</v>
      </c>
      <c r="G377" s="595"/>
      <c r="H377" s="593"/>
      <c r="I377" s="594"/>
      <c r="J377" s="595" t="s">
        <v>39</v>
      </c>
      <c r="K377" s="593">
        <v>0</v>
      </c>
      <c r="L377" s="594">
        <v>0</v>
      </c>
      <c r="M377" s="649"/>
      <c r="N377" s="608"/>
      <c r="O377" s="595" t="s">
        <v>39</v>
      </c>
      <c r="P377" s="593">
        <v>0</v>
      </c>
      <c r="Q377" s="594">
        <v>0</v>
      </c>
      <c r="R377" s="649"/>
      <c r="S377" s="608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522" t="s">
        <v>455</v>
      </c>
      <c r="B378" s="509" t="s">
        <v>119</v>
      </c>
      <c r="C378" s="705" t="s">
        <v>50</v>
      </c>
      <c r="D378" s="583"/>
      <c r="E378" s="509"/>
      <c r="F378" s="531">
        <v>0</v>
      </c>
      <c r="G378" s="584"/>
      <c r="H378" s="509"/>
      <c r="I378" s="531"/>
      <c r="J378" s="530"/>
      <c r="K378" s="509"/>
      <c r="L378" s="533">
        <v>0</v>
      </c>
      <c r="M378" s="530"/>
      <c r="N378" s="556"/>
      <c r="O378" s="530"/>
      <c r="P378" s="509"/>
      <c r="Q378" s="533">
        <v>0</v>
      </c>
      <c r="R378" s="530"/>
      <c r="S378" s="556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522" t="s">
        <v>456</v>
      </c>
      <c r="B379" s="509" t="s">
        <v>119</v>
      </c>
      <c r="C379" s="599" t="s">
        <v>51</v>
      </c>
      <c r="D379" s="583"/>
      <c r="E379" s="509"/>
      <c r="F379" s="531">
        <v>0</v>
      </c>
      <c r="G379" s="584"/>
      <c r="H379" s="509"/>
      <c r="I379" s="531"/>
      <c r="J379" s="530"/>
      <c r="K379" s="509"/>
      <c r="L379" s="533">
        <v>0</v>
      </c>
      <c r="M379" s="530"/>
      <c r="N379" s="556"/>
      <c r="O379" s="530"/>
      <c r="P379" s="509"/>
      <c r="Q379" s="533">
        <v>0</v>
      </c>
      <c r="R379" s="530"/>
      <c r="S379" s="556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522" t="s">
        <v>457</v>
      </c>
      <c r="B380" s="509" t="s">
        <v>119</v>
      </c>
      <c r="C380" s="601" t="s">
        <v>52</v>
      </c>
      <c r="D380" s="586"/>
      <c r="E380" s="606"/>
      <c r="F380" s="525">
        <v>0</v>
      </c>
      <c r="G380" s="587"/>
      <c r="H380" s="606"/>
      <c r="I380" s="525"/>
      <c r="J380" s="523"/>
      <c r="K380" s="606"/>
      <c r="L380" s="525">
        <v>0</v>
      </c>
      <c r="M380" s="523"/>
      <c r="N380" s="581"/>
      <c r="O380" s="523"/>
      <c r="P380" s="606"/>
      <c r="Q380" s="525">
        <v>0</v>
      </c>
      <c r="R380" s="523"/>
      <c r="S380" s="581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522" t="s">
        <v>458</v>
      </c>
      <c r="B381" s="509" t="s">
        <v>119</v>
      </c>
      <c r="C381" s="599" t="s">
        <v>53</v>
      </c>
      <c r="D381" s="583"/>
      <c r="E381" s="509"/>
      <c r="F381" s="531">
        <v>0</v>
      </c>
      <c r="G381" s="584"/>
      <c r="H381" s="509"/>
      <c r="I381" s="531"/>
      <c r="J381" s="530"/>
      <c r="K381" s="509"/>
      <c r="L381" s="533">
        <v>0</v>
      </c>
      <c r="M381" s="530"/>
      <c r="N381" s="556"/>
      <c r="O381" s="530"/>
      <c r="P381" s="509"/>
      <c r="Q381" s="533">
        <v>0</v>
      </c>
      <c r="R381" s="530"/>
      <c r="S381" s="556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522" t="s">
        <v>459</v>
      </c>
      <c r="B382" s="509" t="s">
        <v>119</v>
      </c>
      <c r="C382" s="599" t="s">
        <v>54</v>
      </c>
      <c r="D382" s="583"/>
      <c r="E382" s="509"/>
      <c r="F382" s="531">
        <v>0</v>
      </c>
      <c r="G382" s="584"/>
      <c r="H382" s="509"/>
      <c r="I382" s="531"/>
      <c r="J382" s="530"/>
      <c r="K382" s="509"/>
      <c r="L382" s="533">
        <v>0</v>
      </c>
      <c r="M382" s="530"/>
      <c r="N382" s="556"/>
      <c r="O382" s="530"/>
      <c r="P382" s="509"/>
      <c r="Q382" s="533">
        <v>0</v>
      </c>
      <c r="R382" s="530"/>
      <c r="S382" s="556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522" t="s">
        <v>460</v>
      </c>
      <c r="B383" s="509" t="s">
        <v>119</v>
      </c>
      <c r="C383" s="599" t="s">
        <v>55</v>
      </c>
      <c r="D383" s="586"/>
      <c r="E383" s="606"/>
      <c r="F383" s="525">
        <v>0</v>
      </c>
      <c r="G383" s="587"/>
      <c r="H383" s="606"/>
      <c r="I383" s="525"/>
      <c r="J383" s="523"/>
      <c r="K383" s="606"/>
      <c r="L383" s="525">
        <v>0</v>
      </c>
      <c r="M383" s="523"/>
      <c r="N383" s="581"/>
      <c r="O383" s="523"/>
      <c r="P383" s="606"/>
      <c r="Q383" s="525">
        <v>0</v>
      </c>
      <c r="R383" s="523"/>
      <c r="S383" s="581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522" t="s">
        <v>461</v>
      </c>
      <c r="B384" s="509" t="s">
        <v>119</v>
      </c>
      <c r="C384" s="705" t="s">
        <v>56</v>
      </c>
      <c r="D384" s="583"/>
      <c r="E384" s="509"/>
      <c r="F384" s="531">
        <v>0</v>
      </c>
      <c r="G384" s="584"/>
      <c r="H384" s="509"/>
      <c r="I384" s="531"/>
      <c r="J384" s="530"/>
      <c r="K384" s="509"/>
      <c r="L384" s="533">
        <v>0</v>
      </c>
      <c r="M384" s="530"/>
      <c r="N384" s="556"/>
      <c r="O384" s="530"/>
      <c r="P384" s="509"/>
      <c r="Q384" s="533">
        <v>0</v>
      </c>
      <c r="R384" s="530"/>
      <c r="S384" s="556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522" t="s">
        <v>462</v>
      </c>
      <c r="B385" s="509" t="s">
        <v>119</v>
      </c>
      <c r="C385" s="599" t="s">
        <v>57</v>
      </c>
      <c r="D385" s="583"/>
      <c r="E385" s="509"/>
      <c r="F385" s="531">
        <v>0</v>
      </c>
      <c r="G385" s="584"/>
      <c r="H385" s="509"/>
      <c r="I385" s="531"/>
      <c r="J385" s="530"/>
      <c r="K385" s="509"/>
      <c r="L385" s="533">
        <v>0</v>
      </c>
      <c r="M385" s="530"/>
      <c r="N385" s="556"/>
      <c r="O385" s="530"/>
      <c r="P385" s="509"/>
      <c r="Q385" s="533">
        <v>0</v>
      </c>
      <c r="R385" s="530"/>
      <c r="S385" s="556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522" t="s">
        <v>463</v>
      </c>
      <c r="B386" s="509" t="s">
        <v>119</v>
      </c>
      <c r="C386" s="599" t="s">
        <v>58</v>
      </c>
      <c r="D386" s="583"/>
      <c r="E386" s="509"/>
      <c r="F386" s="531">
        <v>0</v>
      </c>
      <c r="G386" s="584"/>
      <c r="H386" s="509"/>
      <c r="I386" s="531"/>
      <c r="J386" s="530"/>
      <c r="K386" s="509"/>
      <c r="L386" s="533">
        <v>0</v>
      </c>
      <c r="M386" s="530"/>
      <c r="N386" s="556"/>
      <c r="O386" s="530"/>
      <c r="P386" s="509"/>
      <c r="Q386" s="533">
        <v>0</v>
      </c>
      <c r="R386" s="530"/>
      <c r="S386" s="556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522" t="s">
        <v>464</v>
      </c>
      <c r="B387" s="509" t="s">
        <v>119</v>
      </c>
      <c r="C387" s="599" t="s">
        <v>59</v>
      </c>
      <c r="D387" s="583"/>
      <c r="E387" s="509"/>
      <c r="F387" s="531">
        <v>0</v>
      </c>
      <c r="G387" s="584"/>
      <c r="H387" s="509"/>
      <c r="I387" s="531"/>
      <c r="J387" s="530"/>
      <c r="K387" s="509"/>
      <c r="L387" s="533">
        <v>0</v>
      </c>
      <c r="M387" s="530"/>
      <c r="N387" s="556"/>
      <c r="O387" s="530"/>
      <c r="P387" s="509"/>
      <c r="Q387" s="533">
        <v>0</v>
      </c>
      <c r="R387" s="530"/>
      <c r="S387" s="556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522" t="s">
        <v>465</v>
      </c>
      <c r="B388" s="509" t="s">
        <v>119</v>
      </c>
      <c r="C388" s="599" t="s">
        <v>60</v>
      </c>
      <c r="D388" s="583"/>
      <c r="E388" s="509"/>
      <c r="F388" s="531">
        <v>0</v>
      </c>
      <c r="G388" s="584"/>
      <c r="H388" s="509"/>
      <c r="I388" s="531"/>
      <c r="J388" s="530"/>
      <c r="K388" s="509"/>
      <c r="L388" s="533">
        <v>0</v>
      </c>
      <c r="M388" s="530"/>
      <c r="N388" s="556"/>
      <c r="O388" s="530"/>
      <c r="P388" s="509"/>
      <c r="Q388" s="533">
        <v>0</v>
      </c>
      <c r="R388" s="530"/>
      <c r="S388" s="556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522" t="s">
        <v>466</v>
      </c>
      <c r="B389" s="509" t="s">
        <v>119</v>
      </c>
      <c r="C389" s="599" t="s">
        <v>61</v>
      </c>
      <c r="D389" s="583"/>
      <c r="E389" s="509"/>
      <c r="F389" s="531">
        <v>0</v>
      </c>
      <c r="G389" s="584"/>
      <c r="H389" s="509"/>
      <c r="I389" s="531"/>
      <c r="J389" s="530"/>
      <c r="K389" s="509"/>
      <c r="L389" s="533">
        <v>0</v>
      </c>
      <c r="M389" s="530"/>
      <c r="N389" s="556"/>
      <c r="O389" s="530"/>
      <c r="P389" s="509"/>
      <c r="Q389" s="533">
        <v>0</v>
      </c>
      <c r="R389" s="530"/>
      <c r="S389" s="556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522" t="s">
        <v>467</v>
      </c>
      <c r="B390" s="509" t="s">
        <v>119</v>
      </c>
      <c r="C390" s="599" t="s">
        <v>62</v>
      </c>
      <c r="D390" s="583"/>
      <c r="E390" s="509"/>
      <c r="F390" s="531">
        <v>0</v>
      </c>
      <c r="G390" s="584"/>
      <c r="H390" s="509"/>
      <c r="I390" s="531"/>
      <c r="J390" s="530"/>
      <c r="K390" s="509"/>
      <c r="L390" s="533">
        <v>0</v>
      </c>
      <c r="M390" s="530"/>
      <c r="N390" s="556"/>
      <c r="O390" s="530"/>
      <c r="P390" s="509"/>
      <c r="Q390" s="533">
        <v>0</v>
      </c>
      <c r="R390" s="530"/>
      <c r="S390" s="556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522" t="s">
        <v>468</v>
      </c>
      <c r="B391" s="509" t="s">
        <v>119</v>
      </c>
      <c r="C391" s="599" t="s">
        <v>63</v>
      </c>
      <c r="D391" s="583"/>
      <c r="E391" s="509"/>
      <c r="F391" s="531">
        <v>0</v>
      </c>
      <c r="G391" s="584"/>
      <c r="H391" s="509"/>
      <c r="I391" s="531"/>
      <c r="J391" s="530"/>
      <c r="K391" s="509"/>
      <c r="L391" s="533">
        <v>0</v>
      </c>
      <c r="M391" s="530"/>
      <c r="N391" s="556"/>
      <c r="O391" s="530"/>
      <c r="P391" s="509"/>
      <c r="Q391" s="533">
        <v>0</v>
      </c>
      <c r="R391" s="530"/>
      <c r="S391" s="556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522" t="s">
        <v>449</v>
      </c>
      <c r="B392" s="509" t="s">
        <v>119</v>
      </c>
      <c r="C392" s="599" t="s">
        <v>20</v>
      </c>
      <c r="D392" s="583"/>
      <c r="E392" s="509"/>
      <c r="F392" s="531">
        <v>0</v>
      </c>
      <c r="G392" s="584"/>
      <c r="H392" s="509"/>
      <c r="I392" s="531"/>
      <c r="J392" s="530"/>
      <c r="K392" s="509"/>
      <c r="L392" s="533">
        <v>0</v>
      </c>
      <c r="M392" s="530"/>
      <c r="N392" s="556"/>
      <c r="O392" s="530"/>
      <c r="P392" s="509"/>
      <c r="Q392" s="533">
        <v>0</v>
      </c>
      <c r="R392" s="530"/>
      <c r="S392" s="556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522" t="s">
        <v>449</v>
      </c>
      <c r="B393" s="509" t="s">
        <v>119</v>
      </c>
      <c r="C393" s="599" t="s">
        <v>20</v>
      </c>
      <c r="D393" s="583"/>
      <c r="E393" s="509"/>
      <c r="F393" s="531">
        <v>0</v>
      </c>
      <c r="G393" s="584"/>
      <c r="H393" s="509"/>
      <c r="I393" s="531"/>
      <c r="J393" s="530"/>
      <c r="K393" s="509"/>
      <c r="L393" s="533">
        <v>0</v>
      </c>
      <c r="M393" s="530"/>
      <c r="N393" s="556"/>
      <c r="O393" s="530"/>
      <c r="P393" s="509"/>
      <c r="Q393" s="533">
        <v>0</v>
      </c>
      <c r="R393" s="530"/>
      <c r="S393" s="556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522" t="s">
        <v>449</v>
      </c>
      <c r="B394" s="509" t="s">
        <v>119</v>
      </c>
      <c r="C394" s="599" t="s">
        <v>20</v>
      </c>
      <c r="D394" s="586"/>
      <c r="E394" s="606"/>
      <c r="F394" s="531">
        <v>0</v>
      </c>
      <c r="G394" s="587"/>
      <c r="H394" s="606"/>
      <c r="I394" s="531"/>
      <c r="J394" s="523"/>
      <c r="K394" s="606"/>
      <c r="L394" s="533">
        <v>0</v>
      </c>
      <c r="M394" s="523"/>
      <c r="N394" s="581"/>
      <c r="O394" s="523"/>
      <c r="P394" s="606"/>
      <c r="Q394" s="533">
        <v>0</v>
      </c>
      <c r="R394" s="523"/>
      <c r="S394" s="581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91" t="s">
        <v>64</v>
      </c>
      <c r="D395" s="592" t="s">
        <v>39</v>
      </c>
      <c r="E395" s="593">
        <v>0</v>
      </c>
      <c r="F395" s="594">
        <v>0</v>
      </c>
      <c r="G395" s="595"/>
      <c r="H395" s="593"/>
      <c r="I395" s="594"/>
      <c r="J395" s="595" t="s">
        <v>39</v>
      </c>
      <c r="K395" s="593">
        <v>0</v>
      </c>
      <c r="L395" s="594">
        <v>0</v>
      </c>
      <c r="M395" s="649"/>
      <c r="N395" s="594"/>
      <c r="O395" s="595" t="s">
        <v>39</v>
      </c>
      <c r="P395" s="593">
        <v>0</v>
      </c>
      <c r="Q395" s="594">
        <v>0</v>
      </c>
      <c r="R395" s="649"/>
      <c r="S395" s="608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30"/>
      <c r="D396" s="509"/>
      <c r="E396" s="509"/>
      <c r="F396" s="540"/>
      <c r="G396" s="530"/>
      <c r="H396" s="509"/>
      <c r="I396" s="540"/>
      <c r="J396" s="530"/>
      <c r="K396" s="509"/>
      <c r="L396" s="540"/>
      <c r="M396" s="549"/>
      <c r="N396" s="571"/>
      <c r="O396" s="530"/>
      <c r="P396" s="509"/>
      <c r="Q396" s="540"/>
      <c r="R396" s="530"/>
      <c r="S396" s="571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91" t="s">
        <v>65</v>
      </c>
      <c r="D397" s="592" t="s">
        <v>39</v>
      </c>
      <c r="E397" s="593">
        <v>0</v>
      </c>
      <c r="F397" s="594">
        <v>0</v>
      </c>
      <c r="G397" s="595"/>
      <c r="H397" s="593"/>
      <c r="I397" s="594"/>
      <c r="J397" s="595" t="s">
        <v>39</v>
      </c>
      <c r="K397" s="593">
        <v>0</v>
      </c>
      <c r="L397" s="594">
        <v>0</v>
      </c>
      <c r="M397" s="591"/>
      <c r="N397" s="594"/>
      <c r="O397" s="595" t="s">
        <v>39</v>
      </c>
      <c r="P397" s="593">
        <v>0</v>
      </c>
      <c r="Q397" s="594">
        <v>0</v>
      </c>
      <c r="R397" s="598"/>
      <c r="S397" s="594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30"/>
      <c r="D398" s="509"/>
      <c r="E398" s="509"/>
      <c r="F398" s="556"/>
      <c r="G398" s="530"/>
      <c r="H398" s="509"/>
      <c r="I398" s="556"/>
      <c r="J398" s="530"/>
      <c r="K398" s="509"/>
      <c r="L398" s="556"/>
      <c r="M398" s="549"/>
      <c r="N398" s="571"/>
      <c r="O398" s="530"/>
      <c r="P398" s="509"/>
      <c r="Q398" s="556"/>
      <c r="R398" s="530"/>
      <c r="S398" s="571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31" t="s">
        <v>72</v>
      </c>
      <c r="D399" s="732"/>
      <c r="E399" s="732"/>
      <c r="F399" s="733">
        <v>0</v>
      </c>
      <c r="G399" s="731"/>
      <c r="H399" s="732"/>
      <c r="I399" s="733"/>
      <c r="J399" s="734"/>
      <c r="K399" s="735"/>
      <c r="L399" s="733">
        <v>0</v>
      </c>
      <c r="M399" s="731"/>
      <c r="N399" s="733"/>
      <c r="O399" s="734"/>
      <c r="P399" s="735"/>
      <c r="Q399" s="733">
        <v>0</v>
      </c>
      <c r="R399" s="734"/>
      <c r="S399" s="733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70"/>
      <c r="D400" s="736"/>
      <c r="E400" s="509"/>
      <c r="F400" s="607">
        <v>133061.48614147626</v>
      </c>
      <c r="G400" s="583"/>
      <c r="H400" s="509"/>
      <c r="I400" s="607"/>
      <c r="J400" s="736"/>
      <c r="K400" s="570"/>
      <c r="L400" s="607">
        <v>159325.04000000004</v>
      </c>
      <c r="M400" s="570"/>
      <c r="N400" s="607"/>
      <c r="O400" s="570"/>
      <c r="P400" s="570"/>
      <c r="Q400" s="607"/>
      <c r="R400" s="570"/>
      <c r="S400" s="607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7"/>
      <c r="L401" s="737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25">
      <c r="B402" s="503"/>
      <c r="C402" s="738" t="s">
        <v>227</v>
      </c>
      <c r="F402" s="737"/>
      <c r="L402" s="737"/>
      <c r="V402" s="739" t="s">
        <v>478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477</v>
      </c>
      <c r="AF402" s="495"/>
      <c r="AG402" s="495"/>
      <c r="AH402" s="495"/>
      <c r="AI402" s="495"/>
      <c r="AJ402" s="740"/>
      <c r="AK402" s="497"/>
      <c r="AL402" s="495"/>
      <c r="AM402" s="495"/>
      <c r="AN402" s="495"/>
      <c r="AO402" s="740" t="s">
        <v>484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8" t="s">
        <v>227</v>
      </c>
      <c r="V403" s="741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522" t="s">
        <v>469</v>
      </c>
      <c r="B404" s="503"/>
      <c r="C404" s="738" t="s">
        <v>227</v>
      </c>
      <c r="V404" s="742"/>
      <c r="W404" s="743"/>
      <c r="X404" s="744" t="s">
        <v>122</v>
      </c>
      <c r="Y404" s="745"/>
      <c r="Z404" s="746"/>
      <c r="AA404" s="747"/>
      <c r="AB404" s="745"/>
      <c r="AC404" s="746"/>
      <c r="AD404" s="747" t="s">
        <v>7</v>
      </c>
      <c r="AE404" s="745"/>
      <c r="AF404" s="746"/>
      <c r="AG404" s="747" t="s">
        <v>220</v>
      </c>
      <c r="AH404" s="745"/>
      <c r="AI404" s="746"/>
      <c r="AJ404" s="747" t="s">
        <v>123</v>
      </c>
      <c r="AK404" s="745"/>
      <c r="AL404" s="745"/>
      <c r="AM404" s="747" t="s">
        <v>124</v>
      </c>
      <c r="AN404" s="745"/>
      <c r="AO404" s="748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522" t="s">
        <v>469</v>
      </c>
      <c r="B405" s="503"/>
      <c r="C405" s="738" t="s">
        <v>227</v>
      </c>
      <c r="V405" s="523"/>
      <c r="W405" s="700" t="s">
        <v>125</v>
      </c>
      <c r="X405" s="700" t="s">
        <v>126</v>
      </c>
      <c r="Y405" s="700" t="s">
        <v>127</v>
      </c>
      <c r="Z405" s="749" t="s">
        <v>128</v>
      </c>
      <c r="AA405" s="700"/>
      <c r="AB405" s="700"/>
      <c r="AC405" s="749"/>
      <c r="AD405" s="750" t="s">
        <v>126</v>
      </c>
      <c r="AE405" s="700" t="s">
        <v>127</v>
      </c>
      <c r="AF405" s="700" t="s">
        <v>128</v>
      </c>
      <c r="AG405" s="750" t="s">
        <v>129</v>
      </c>
      <c r="AH405" s="700" t="s">
        <v>130</v>
      </c>
      <c r="AI405" s="700" t="s">
        <v>131</v>
      </c>
      <c r="AJ405" s="750" t="s">
        <v>126</v>
      </c>
      <c r="AK405" s="700" t="s">
        <v>127</v>
      </c>
      <c r="AL405" s="700" t="s">
        <v>128</v>
      </c>
      <c r="AM405" s="751" t="s">
        <v>129</v>
      </c>
      <c r="AN405" s="700" t="s">
        <v>130</v>
      </c>
      <c r="AO405" s="636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522" t="s">
        <v>15</v>
      </c>
      <c r="B406" s="503"/>
      <c r="C406" s="738" t="s">
        <v>227</v>
      </c>
      <c r="V406" s="601" t="s">
        <v>15</v>
      </c>
      <c r="W406" s="752"/>
      <c r="X406" s="752"/>
      <c r="Y406" s="752"/>
      <c r="Z406" s="753">
        <v>7025011.4297198504</v>
      </c>
      <c r="AA406" s="752"/>
      <c r="AB406" s="752"/>
      <c r="AC406" s="753"/>
      <c r="AD406" s="754"/>
      <c r="AE406" s="755"/>
      <c r="AF406" s="755">
        <v>5496543.2299999995</v>
      </c>
      <c r="AG406" s="754"/>
      <c r="AH406" s="755"/>
      <c r="AI406" s="756"/>
      <c r="AJ406" s="754"/>
      <c r="AK406" s="755"/>
      <c r="AL406" s="755">
        <v>4756792.0799999991</v>
      </c>
      <c r="AM406" s="757"/>
      <c r="AN406" s="755"/>
      <c r="AO406" s="758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522" t="s">
        <v>132</v>
      </c>
      <c r="B407" s="503"/>
      <c r="C407" s="738" t="s">
        <v>227</v>
      </c>
      <c r="V407" s="759" t="s">
        <v>132</v>
      </c>
      <c r="W407" s="760"/>
      <c r="X407" s="761">
        <v>0.12130254771955069</v>
      </c>
      <c r="Y407" s="760"/>
      <c r="Z407" s="762">
        <v>852151.78418398125</v>
      </c>
      <c r="AA407" s="760"/>
      <c r="AB407" s="760"/>
      <c r="AC407" s="762"/>
      <c r="AD407" s="761">
        <v>0.1310179288810942</v>
      </c>
      <c r="AE407" s="763"/>
      <c r="AF407" s="762">
        <v>720145.70999999973</v>
      </c>
      <c r="AG407" s="764"/>
      <c r="AH407" s="763">
        <v>-132006.07418398152</v>
      </c>
      <c r="AI407" s="765">
        <v>-0.15490910966100982</v>
      </c>
      <c r="AJ407" s="761">
        <v>0.13939806887670378</v>
      </c>
      <c r="AK407" s="763"/>
      <c r="AL407" s="763">
        <v>663087.62999999896</v>
      </c>
      <c r="AM407" s="766"/>
      <c r="AN407" s="763">
        <v>57058.080000000773</v>
      </c>
      <c r="AO407" s="767">
        <v>8.6049079214463503E-2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522" t="s">
        <v>133</v>
      </c>
      <c r="B408" s="503"/>
      <c r="C408" s="738" t="s">
        <v>227</v>
      </c>
      <c r="V408" s="768" t="s">
        <v>133</v>
      </c>
      <c r="W408" s="769"/>
      <c r="X408" s="769"/>
      <c r="Y408" s="769"/>
      <c r="Z408" s="770"/>
      <c r="AA408" s="769"/>
      <c r="AB408" s="769"/>
      <c r="AC408" s="770"/>
      <c r="AD408" s="771"/>
      <c r="AE408" s="769"/>
      <c r="AF408" s="772"/>
      <c r="AG408" s="771"/>
      <c r="AH408" s="772"/>
      <c r="AI408" s="773"/>
      <c r="AJ408" s="771"/>
      <c r="AK408" s="769"/>
      <c r="AL408" s="772"/>
      <c r="AM408" s="774"/>
      <c r="AN408" s="772"/>
      <c r="AO408" s="775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522" t="s">
        <v>31</v>
      </c>
      <c r="B409" s="503"/>
      <c r="C409" s="738" t="s">
        <v>227</v>
      </c>
      <c r="V409" s="599" t="s">
        <v>31</v>
      </c>
      <c r="W409" s="776" t="s">
        <v>134</v>
      </c>
      <c r="X409" s="769"/>
      <c r="Y409" s="777">
        <v>676.41383021283934</v>
      </c>
      <c r="Z409" s="770">
        <v>75081.935153625163</v>
      </c>
      <c r="AA409" s="769"/>
      <c r="AB409" s="777"/>
      <c r="AC409" s="770"/>
      <c r="AD409" s="778"/>
      <c r="AE409" s="777">
        <v>833.97142857142853</v>
      </c>
      <c r="AF409" s="770">
        <v>52540.2</v>
      </c>
      <c r="AG409" s="771">
        <v>157.55759835858919</v>
      </c>
      <c r="AH409" s="772">
        <v>-22541.735153625166</v>
      </c>
      <c r="AI409" s="773">
        <v>-0.30022847849489387</v>
      </c>
      <c r="AJ409" s="779">
        <v>8.0839104176924678E-2</v>
      </c>
      <c r="AK409" s="772">
        <v>616.13114942528739</v>
      </c>
      <c r="AL409" s="770">
        <v>53603.41</v>
      </c>
      <c r="AM409" s="774">
        <v>157.55759835858919</v>
      </c>
      <c r="AN409" s="772">
        <v>-1063.2100000000064</v>
      </c>
      <c r="AO409" s="780">
        <v>-1.9834745588014013E-2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522" t="s">
        <v>32</v>
      </c>
      <c r="B410" s="503"/>
      <c r="C410" s="738" t="s">
        <v>227</v>
      </c>
      <c r="V410" s="601" t="s">
        <v>32</v>
      </c>
      <c r="W410" s="781" t="s">
        <v>135</v>
      </c>
      <c r="X410" s="752"/>
      <c r="Y410" s="782">
        <v>397.29729729729729</v>
      </c>
      <c r="Z410" s="753">
        <v>44100</v>
      </c>
      <c r="AA410" s="752"/>
      <c r="AB410" s="782"/>
      <c r="AC410" s="753"/>
      <c r="AD410" s="783"/>
      <c r="AE410" s="782">
        <v>367.75492063492061</v>
      </c>
      <c r="AF410" s="753">
        <v>23168.559999999998</v>
      </c>
      <c r="AG410" s="754">
        <v>-29.542376662376682</v>
      </c>
      <c r="AH410" s="755">
        <v>-20931.440000000002</v>
      </c>
      <c r="AI410" s="784">
        <v>-0.47463582766439916</v>
      </c>
      <c r="AJ410" s="785">
        <v>5.5234117397122993E-2</v>
      </c>
      <c r="AK410" s="755">
        <v>420.97770114942529</v>
      </c>
      <c r="AL410" s="753">
        <v>36625.06</v>
      </c>
      <c r="AM410" s="757">
        <v>-29.542376662376682</v>
      </c>
      <c r="AN410" s="755">
        <v>-13456.5</v>
      </c>
      <c r="AO410" s="758">
        <v>-0.36741236737905686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522" t="s">
        <v>33</v>
      </c>
      <c r="B411" s="503"/>
      <c r="C411" s="738" t="s">
        <v>227</v>
      </c>
      <c r="V411" s="599" t="s">
        <v>33</v>
      </c>
      <c r="W411" s="776" t="s">
        <v>136</v>
      </c>
      <c r="X411" s="769"/>
      <c r="Y411" s="777">
        <v>77.621621621621628</v>
      </c>
      <c r="Z411" s="770">
        <v>8616</v>
      </c>
      <c r="AA411" s="769"/>
      <c r="AB411" s="777"/>
      <c r="AC411" s="770"/>
      <c r="AD411" s="778"/>
      <c r="AE411" s="777">
        <v>124.85841269841269</v>
      </c>
      <c r="AF411" s="770">
        <v>7866.08</v>
      </c>
      <c r="AG411" s="771">
        <v>47.236791076791064</v>
      </c>
      <c r="AH411" s="772">
        <v>-749.92000000000007</v>
      </c>
      <c r="AI411" s="773">
        <v>-8.7038068709377914E-2</v>
      </c>
      <c r="AJ411" s="779">
        <v>8.771223797373523E-3</v>
      </c>
      <c r="AK411" s="772">
        <v>66.851609195402304</v>
      </c>
      <c r="AL411" s="770">
        <v>5816.09</v>
      </c>
      <c r="AM411" s="774">
        <v>47.236791076791064</v>
      </c>
      <c r="AN411" s="772">
        <v>2049.9899999999998</v>
      </c>
      <c r="AO411" s="780">
        <v>0.35246875478199269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522" t="s">
        <v>34</v>
      </c>
      <c r="B412" s="503"/>
      <c r="C412" s="738" t="s">
        <v>227</v>
      </c>
      <c r="V412" s="599" t="s">
        <v>34</v>
      </c>
      <c r="W412" s="776" t="s">
        <v>137</v>
      </c>
      <c r="X412" s="769"/>
      <c r="Y412" s="777">
        <v>23.513513513513512</v>
      </c>
      <c r="Z412" s="770">
        <v>2610</v>
      </c>
      <c r="AA412" s="769"/>
      <c r="AB412" s="777"/>
      <c r="AC412" s="770"/>
      <c r="AD412" s="778"/>
      <c r="AE412" s="777">
        <v>36.38507936507937</v>
      </c>
      <c r="AF412" s="770">
        <v>2292.2600000000002</v>
      </c>
      <c r="AG412" s="771">
        <v>12.871565851565858</v>
      </c>
      <c r="AH412" s="772">
        <v>-317.73999999999978</v>
      </c>
      <c r="AI412" s="773">
        <v>-0.12173946360153248</v>
      </c>
      <c r="AJ412" s="779">
        <v>4.8030906563586552E-3</v>
      </c>
      <c r="AK412" s="772">
        <v>36.607701149425289</v>
      </c>
      <c r="AL412" s="770">
        <v>3184.87</v>
      </c>
      <c r="AM412" s="774">
        <v>12.871565851565858</v>
      </c>
      <c r="AN412" s="772">
        <v>-892.60999999999967</v>
      </c>
      <c r="AO412" s="780">
        <v>-0.28026575653009378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522" t="s">
        <v>35</v>
      </c>
      <c r="B413" s="503"/>
      <c r="C413" s="738" t="s">
        <v>227</v>
      </c>
      <c r="V413" s="601" t="s">
        <v>35</v>
      </c>
      <c r="W413" s="781"/>
      <c r="X413" s="752"/>
      <c r="Y413" s="782">
        <v>138.86486486486487</v>
      </c>
      <c r="Z413" s="753">
        <v>15414</v>
      </c>
      <c r="AA413" s="752"/>
      <c r="AB413" s="782"/>
      <c r="AC413" s="753"/>
      <c r="AD413" s="783"/>
      <c r="AE413" s="782">
        <v>178.0746031746032</v>
      </c>
      <c r="AF413" s="753">
        <v>11218.7</v>
      </c>
      <c r="AG413" s="754">
        <v>39.209738309738327</v>
      </c>
      <c r="AH413" s="755">
        <v>-4195.2999999999993</v>
      </c>
      <c r="AI413" s="784">
        <v>-0.27217464642532757</v>
      </c>
      <c r="AJ413" s="785">
        <v>2.0890647590575656E-2</v>
      </c>
      <c r="AK413" s="755">
        <v>159.22218390804596</v>
      </c>
      <c r="AL413" s="753">
        <v>13852.33</v>
      </c>
      <c r="AM413" s="757">
        <v>39.209738309738327</v>
      </c>
      <c r="AN413" s="755">
        <v>-2633.6299999999992</v>
      </c>
      <c r="AO413" s="758">
        <v>-0.19012180622321292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522" t="s">
        <v>36</v>
      </c>
      <c r="B414" s="503"/>
      <c r="C414" s="738" t="s">
        <v>227</v>
      </c>
      <c r="V414" s="599" t="s">
        <v>36</v>
      </c>
      <c r="W414" s="776" t="s">
        <v>138</v>
      </c>
      <c r="X414" s="773"/>
      <c r="Y414" s="777">
        <v>246.34234234234233</v>
      </c>
      <c r="Z414" s="770">
        <v>27344</v>
      </c>
      <c r="AA414" s="773"/>
      <c r="AB414" s="777"/>
      <c r="AC414" s="770"/>
      <c r="AD414" s="778"/>
      <c r="AE414" s="777">
        <v>381.88031746031743</v>
      </c>
      <c r="AF414" s="770">
        <v>24058.46</v>
      </c>
      <c r="AG414" s="771">
        <v>135.53797511797509</v>
      </c>
      <c r="AH414" s="772">
        <v>-3285.5400000000009</v>
      </c>
      <c r="AI414" s="773">
        <v>-0.12015579286132244</v>
      </c>
      <c r="AJ414" s="779">
        <v>3.6587336126297575E-2</v>
      </c>
      <c r="AK414" s="772">
        <v>278.85758620689654</v>
      </c>
      <c r="AL414" s="770">
        <v>24260.61</v>
      </c>
      <c r="AM414" s="774">
        <v>135.53797511797509</v>
      </c>
      <c r="AN414" s="772">
        <v>-202.15000000000146</v>
      </c>
      <c r="AO414" s="780">
        <v>-8.332436818365303E-3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522" t="s">
        <v>37</v>
      </c>
      <c r="B415" s="503"/>
      <c r="C415" s="738" t="s">
        <v>227</v>
      </c>
      <c r="V415" s="599" t="s">
        <v>37</v>
      </c>
      <c r="W415" s="776" t="s">
        <v>139</v>
      </c>
      <c r="X415" s="769"/>
      <c r="Y415" s="777">
        <v>438.2635545648875</v>
      </c>
      <c r="Z415" s="770">
        <v>48647.254556702515</v>
      </c>
      <c r="AA415" s="769"/>
      <c r="AB415" s="777"/>
      <c r="AC415" s="770"/>
      <c r="AD415" s="778"/>
      <c r="AE415" s="777">
        <v>233.44645833333331</v>
      </c>
      <c r="AF415" s="770">
        <v>22410.859999999997</v>
      </c>
      <c r="AG415" s="771">
        <v>-204.81709623155419</v>
      </c>
      <c r="AH415" s="772">
        <v>-26236.394556702518</v>
      </c>
      <c r="AI415" s="773">
        <v>-0.53931912079687394</v>
      </c>
      <c r="AJ415" s="779">
        <v>4.4843620442746077E-2</v>
      </c>
      <c r="AK415" s="772">
        <v>341.7844827586207</v>
      </c>
      <c r="AL415" s="770">
        <v>29735.25</v>
      </c>
      <c r="AM415" s="774">
        <v>-204.81709623155419</v>
      </c>
      <c r="AN415" s="772">
        <v>-7324.3900000000031</v>
      </c>
      <c r="AO415" s="780">
        <v>-0.24632010828898371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522" t="s">
        <v>20</v>
      </c>
      <c r="B416" s="503"/>
      <c r="C416" s="738" t="s">
        <v>227</v>
      </c>
      <c r="V416" s="599" t="s">
        <v>20</v>
      </c>
      <c r="W416" s="776"/>
      <c r="X416" s="773"/>
      <c r="Y416" s="777">
        <v>0</v>
      </c>
      <c r="Z416" s="770">
        <v>0</v>
      </c>
      <c r="AA416" s="769"/>
      <c r="AB416" s="777"/>
      <c r="AC416" s="770"/>
      <c r="AD416" s="778"/>
      <c r="AE416" s="777">
        <v>0</v>
      </c>
      <c r="AF416" s="770">
        <v>0</v>
      </c>
      <c r="AG416" s="771">
        <v>0</v>
      </c>
      <c r="AH416" s="772">
        <v>0</v>
      </c>
      <c r="AI416" s="773">
        <v>0</v>
      </c>
      <c r="AJ416" s="778"/>
      <c r="AK416" s="772">
        <v>0</v>
      </c>
      <c r="AL416" s="770">
        <v>0</v>
      </c>
      <c r="AM416" s="774">
        <v>0</v>
      </c>
      <c r="AN416" s="772">
        <v>0</v>
      </c>
      <c r="AO416" s="780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522" t="s">
        <v>20</v>
      </c>
      <c r="B417" s="503"/>
      <c r="C417" s="738" t="s">
        <v>227</v>
      </c>
      <c r="V417" s="599" t="s">
        <v>20</v>
      </c>
      <c r="W417" s="776"/>
      <c r="X417" s="773"/>
      <c r="Y417" s="777">
        <v>0</v>
      </c>
      <c r="Z417" s="770">
        <v>0</v>
      </c>
      <c r="AA417" s="769"/>
      <c r="AB417" s="777"/>
      <c r="AC417" s="770"/>
      <c r="AD417" s="778"/>
      <c r="AE417" s="777">
        <v>0</v>
      </c>
      <c r="AF417" s="770">
        <v>0</v>
      </c>
      <c r="AG417" s="771">
        <v>0</v>
      </c>
      <c r="AH417" s="772">
        <v>0</v>
      </c>
      <c r="AI417" s="773">
        <v>0</v>
      </c>
      <c r="AJ417" s="778"/>
      <c r="AK417" s="772">
        <v>0</v>
      </c>
      <c r="AL417" s="770">
        <v>0</v>
      </c>
      <c r="AM417" s="774">
        <v>0</v>
      </c>
      <c r="AN417" s="772">
        <v>0</v>
      </c>
      <c r="AO417" s="780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522" t="s">
        <v>20</v>
      </c>
      <c r="B418" s="503"/>
      <c r="C418" s="738" t="s">
        <v>227</v>
      </c>
      <c r="V418" s="599" t="s">
        <v>20</v>
      </c>
      <c r="W418" s="776" t="s">
        <v>139</v>
      </c>
      <c r="X418" s="769"/>
      <c r="Y418" s="777">
        <v>0</v>
      </c>
      <c r="Z418" s="770">
        <v>0</v>
      </c>
      <c r="AA418" s="769"/>
      <c r="AB418" s="777"/>
      <c r="AC418" s="770"/>
      <c r="AD418" s="778"/>
      <c r="AE418" s="777">
        <v>0</v>
      </c>
      <c r="AF418" s="770">
        <v>0</v>
      </c>
      <c r="AG418" s="771">
        <v>0</v>
      </c>
      <c r="AH418" s="772">
        <v>0</v>
      </c>
      <c r="AI418" s="773">
        <v>0</v>
      </c>
      <c r="AJ418" s="778"/>
      <c r="AK418" s="772">
        <v>0</v>
      </c>
      <c r="AL418" s="770">
        <v>0</v>
      </c>
      <c r="AM418" s="774">
        <v>0</v>
      </c>
      <c r="AN418" s="772">
        <v>0</v>
      </c>
      <c r="AO418" s="780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522" t="s">
        <v>38</v>
      </c>
      <c r="B419" s="503"/>
      <c r="C419" s="738" t="s">
        <v>227</v>
      </c>
      <c r="V419" s="786" t="s">
        <v>38</v>
      </c>
      <c r="W419" s="787"/>
      <c r="X419" s="788">
        <v>0.2602977472173405</v>
      </c>
      <c r="Y419" s="787"/>
      <c r="Z419" s="789">
        <v>221813.18971032766</v>
      </c>
      <c r="AA419" s="788"/>
      <c r="AB419" s="787"/>
      <c r="AC419" s="789"/>
      <c r="AD419" s="790">
        <v>0.1993417693205449</v>
      </c>
      <c r="AE419" s="787"/>
      <c r="AF419" s="789">
        <v>143555.11999999997</v>
      </c>
      <c r="AG419" s="791"/>
      <c r="AH419" s="792">
        <v>-78258.069710327691</v>
      </c>
      <c r="AI419" s="788">
        <v>-0.35281071343199744</v>
      </c>
      <c r="AJ419" s="790">
        <v>0.25196914018739913</v>
      </c>
      <c r="AK419" s="787"/>
      <c r="AL419" s="789">
        <v>167077.62</v>
      </c>
      <c r="AM419" s="793"/>
      <c r="AN419" s="792">
        <v>-23522.500000000029</v>
      </c>
      <c r="AO419" s="767">
        <v>-0.14078785656630749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522" t="s">
        <v>140</v>
      </c>
      <c r="B420" s="503"/>
      <c r="C420" s="738" t="s">
        <v>227</v>
      </c>
      <c r="V420" s="599" t="s">
        <v>140</v>
      </c>
      <c r="W420" s="776" t="s">
        <v>141</v>
      </c>
      <c r="X420" s="769"/>
      <c r="Y420" s="769"/>
      <c r="Z420" s="770">
        <v>17433.836538461539</v>
      </c>
      <c r="AA420" s="769"/>
      <c r="AB420" s="769"/>
      <c r="AC420" s="770"/>
      <c r="AD420" s="778"/>
      <c r="AE420" s="777"/>
      <c r="AF420" s="770">
        <v>17332.95</v>
      </c>
      <c r="AG420" s="771"/>
      <c r="AH420" s="772">
        <v>-100.88653846153829</v>
      </c>
      <c r="AI420" s="773">
        <v>-5.7868236999336405E-3</v>
      </c>
      <c r="AJ420" s="778"/>
      <c r="AK420" s="769"/>
      <c r="AL420" s="770">
        <v>15663.77</v>
      </c>
      <c r="AM420" s="774"/>
      <c r="AN420" s="772">
        <v>1669.1800000000003</v>
      </c>
      <c r="AO420" s="780">
        <v>0.10656310709363073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522" t="s">
        <v>41</v>
      </c>
      <c r="B421" s="503"/>
      <c r="C421" s="738" t="s">
        <v>227</v>
      </c>
      <c r="V421" s="599" t="s">
        <v>41</v>
      </c>
      <c r="W421" s="776" t="s">
        <v>142</v>
      </c>
      <c r="X421" s="769"/>
      <c r="Y421" s="769"/>
      <c r="Z421" s="770">
        <v>66080.858974358984</v>
      </c>
      <c r="AA421" s="769"/>
      <c r="AB421" s="769"/>
      <c r="AC421" s="770"/>
      <c r="AD421" s="778"/>
      <c r="AE421" s="777"/>
      <c r="AF421" s="770">
        <v>59308.819999999992</v>
      </c>
      <c r="AG421" s="771"/>
      <c r="AH421" s="772">
        <v>-6772.0389743589913</v>
      </c>
      <c r="AI421" s="773">
        <v>-0.10248109784690769</v>
      </c>
      <c r="AJ421" s="778"/>
      <c r="AK421" s="769"/>
      <c r="AL421" s="770">
        <v>40554.18</v>
      </c>
      <c r="AM421" s="774"/>
      <c r="AN421" s="772">
        <v>18754.639999999992</v>
      </c>
      <c r="AO421" s="780">
        <v>0.46245886367323891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522" t="s">
        <v>42</v>
      </c>
      <c r="B422" s="503"/>
      <c r="C422" s="738" t="s">
        <v>227</v>
      </c>
      <c r="V422" s="601" t="s">
        <v>42</v>
      </c>
      <c r="W422" s="781" t="s">
        <v>143</v>
      </c>
      <c r="X422" s="752"/>
      <c r="Y422" s="752"/>
      <c r="Z422" s="753">
        <v>76615.390769230769</v>
      </c>
      <c r="AA422" s="752"/>
      <c r="AB422" s="752"/>
      <c r="AC422" s="753"/>
      <c r="AD422" s="783"/>
      <c r="AE422" s="782"/>
      <c r="AF422" s="753">
        <v>70924.849999999991</v>
      </c>
      <c r="AG422" s="754"/>
      <c r="AH422" s="755">
        <v>-5690.5407692307781</v>
      </c>
      <c r="AI422" s="784">
        <v>-7.42741205402314E-2</v>
      </c>
      <c r="AJ422" s="783"/>
      <c r="AK422" s="752"/>
      <c r="AL422" s="753">
        <v>46590.48</v>
      </c>
      <c r="AM422" s="757"/>
      <c r="AN422" s="755">
        <v>24334.369999999988</v>
      </c>
      <c r="AO422" s="758">
        <v>0.52230348345842292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522" t="s">
        <v>43</v>
      </c>
      <c r="B423" s="503"/>
      <c r="C423" s="738" t="s">
        <v>227</v>
      </c>
      <c r="V423" s="599" t="s">
        <v>43</v>
      </c>
      <c r="W423" s="776" t="s">
        <v>144</v>
      </c>
      <c r="X423" s="769"/>
      <c r="Y423" s="769"/>
      <c r="Z423" s="770">
        <v>24357.5</v>
      </c>
      <c r="AA423" s="769"/>
      <c r="AB423" s="769"/>
      <c r="AC423" s="770"/>
      <c r="AD423" s="778"/>
      <c r="AE423" s="777"/>
      <c r="AF423" s="770">
        <v>30462.14</v>
      </c>
      <c r="AG423" s="771"/>
      <c r="AH423" s="772">
        <v>6104.6399999999994</v>
      </c>
      <c r="AI423" s="773">
        <v>0.25062670635327927</v>
      </c>
      <c r="AJ423" s="778"/>
      <c r="AK423" s="769"/>
      <c r="AL423" s="770">
        <v>25086.19</v>
      </c>
      <c r="AM423" s="774"/>
      <c r="AN423" s="772">
        <v>5375.9500000000007</v>
      </c>
      <c r="AO423" s="780">
        <v>0.21429918213965538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522" t="s">
        <v>44</v>
      </c>
      <c r="B424" s="503"/>
      <c r="C424" s="738" t="s">
        <v>227</v>
      </c>
      <c r="V424" s="599" t="s">
        <v>44</v>
      </c>
      <c r="W424" s="776" t="s">
        <v>145</v>
      </c>
      <c r="X424" s="769"/>
      <c r="Y424" s="769"/>
      <c r="Z424" s="770">
        <v>37731.290227692305</v>
      </c>
      <c r="AA424" s="769"/>
      <c r="AB424" s="769"/>
      <c r="AC424" s="770"/>
      <c r="AD424" s="778"/>
      <c r="AE424" s="777"/>
      <c r="AF424" s="770">
        <v>30312.31</v>
      </c>
      <c r="AG424" s="771"/>
      <c r="AH424" s="772">
        <v>-7418.9802276923037</v>
      </c>
      <c r="AI424" s="773">
        <v>-0.19662673030585254</v>
      </c>
      <c r="AJ424" s="778"/>
      <c r="AK424" s="769"/>
      <c r="AL424" s="770">
        <v>29317.81</v>
      </c>
      <c r="AM424" s="774"/>
      <c r="AN424" s="772">
        <v>994.5</v>
      </c>
      <c r="AO424" s="780">
        <v>3.3921360429036138E-2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522" t="s">
        <v>20</v>
      </c>
      <c r="B425" s="503"/>
      <c r="C425" s="738" t="s">
        <v>227</v>
      </c>
      <c r="V425" s="599" t="s">
        <v>20</v>
      </c>
      <c r="W425" s="776"/>
      <c r="X425" s="769"/>
      <c r="Y425" s="769"/>
      <c r="Z425" s="770">
        <v>0</v>
      </c>
      <c r="AA425" s="769"/>
      <c r="AB425" s="769"/>
      <c r="AC425" s="770"/>
      <c r="AD425" s="778"/>
      <c r="AE425" s="777"/>
      <c r="AF425" s="770">
        <v>0</v>
      </c>
      <c r="AG425" s="771"/>
      <c r="AH425" s="772">
        <v>0</v>
      </c>
      <c r="AI425" s="773">
        <v>0</v>
      </c>
      <c r="AJ425" s="778"/>
      <c r="AK425" s="769"/>
      <c r="AL425" s="770">
        <v>0</v>
      </c>
      <c r="AM425" s="774"/>
      <c r="AN425" s="772">
        <v>0</v>
      </c>
      <c r="AO425" s="780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522" t="s">
        <v>20</v>
      </c>
      <c r="B426" s="503"/>
      <c r="C426" s="738" t="s">
        <v>227</v>
      </c>
      <c r="V426" s="599" t="s">
        <v>20</v>
      </c>
      <c r="W426" s="776"/>
      <c r="X426" s="769"/>
      <c r="Y426" s="769"/>
      <c r="Z426" s="770">
        <v>0</v>
      </c>
      <c r="AA426" s="769"/>
      <c r="AB426" s="769"/>
      <c r="AC426" s="770"/>
      <c r="AD426" s="778"/>
      <c r="AE426" s="777"/>
      <c r="AF426" s="770">
        <v>0</v>
      </c>
      <c r="AG426" s="771"/>
      <c r="AH426" s="772">
        <v>0</v>
      </c>
      <c r="AI426" s="773">
        <v>0</v>
      </c>
      <c r="AJ426" s="778"/>
      <c r="AK426" s="769"/>
      <c r="AL426" s="770">
        <v>0</v>
      </c>
      <c r="AM426" s="774"/>
      <c r="AN426" s="772">
        <v>0</v>
      </c>
      <c r="AO426" s="780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522" t="s">
        <v>20</v>
      </c>
      <c r="B427" s="503"/>
      <c r="C427" s="738" t="s">
        <v>227</v>
      </c>
      <c r="V427" s="599" t="s">
        <v>20</v>
      </c>
      <c r="W427" s="776"/>
      <c r="X427" s="769"/>
      <c r="Y427" s="769"/>
      <c r="Z427" s="770">
        <v>0</v>
      </c>
      <c r="AA427" s="769"/>
      <c r="AB427" s="769"/>
      <c r="AC427" s="770"/>
      <c r="AD427" s="778"/>
      <c r="AE427" s="777"/>
      <c r="AF427" s="770">
        <v>0</v>
      </c>
      <c r="AG427" s="771"/>
      <c r="AH427" s="772">
        <v>0</v>
      </c>
      <c r="AI427" s="773">
        <v>0</v>
      </c>
      <c r="AJ427" s="778"/>
      <c r="AK427" s="769"/>
      <c r="AL427" s="770">
        <v>0</v>
      </c>
      <c r="AM427" s="774"/>
      <c r="AN427" s="772">
        <v>0</v>
      </c>
      <c r="AO427" s="780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522" t="s">
        <v>45</v>
      </c>
      <c r="B428" s="503"/>
      <c r="C428" s="738" t="s">
        <v>227</v>
      </c>
      <c r="V428" s="601" t="s">
        <v>45</v>
      </c>
      <c r="W428" s="781" t="s">
        <v>146</v>
      </c>
      <c r="X428" s="752"/>
      <c r="Y428" s="794">
        <v>0.1090104904323931</v>
      </c>
      <c r="Z428" s="753">
        <v>49347.747293735192</v>
      </c>
      <c r="AA428" s="752"/>
      <c r="AB428" s="752"/>
      <c r="AC428" s="753"/>
      <c r="AD428" s="783"/>
      <c r="AE428" s="782"/>
      <c r="AF428" s="753">
        <v>45925.399999999994</v>
      </c>
      <c r="AG428" s="754"/>
      <c r="AH428" s="755">
        <v>-3422.347293735198</v>
      </c>
      <c r="AI428" s="784">
        <v>-6.9351641795605795E-2</v>
      </c>
      <c r="AJ428" s="783"/>
      <c r="AK428" s="752"/>
      <c r="AL428" s="753">
        <v>41409.339999999997</v>
      </c>
      <c r="AM428" s="757"/>
      <c r="AN428" s="755">
        <v>4516.0599999999977</v>
      </c>
      <c r="AO428" s="758">
        <v>0.10905897075394097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522" t="s">
        <v>46</v>
      </c>
      <c r="B429" s="503"/>
      <c r="C429" s="738" t="s">
        <v>227</v>
      </c>
      <c r="V429" s="599" t="s">
        <v>46</v>
      </c>
      <c r="W429" s="776" t="s">
        <v>147</v>
      </c>
      <c r="X429" s="769"/>
      <c r="Y429" s="795">
        <v>0.13254138924819603</v>
      </c>
      <c r="Z429" s="770">
        <v>59999.904198550284</v>
      </c>
      <c r="AA429" s="769"/>
      <c r="AB429" s="769"/>
      <c r="AC429" s="770"/>
      <c r="AD429" s="778"/>
      <c r="AE429" s="777"/>
      <c r="AF429" s="770">
        <v>57251.67</v>
      </c>
      <c r="AG429" s="771"/>
      <c r="AH429" s="772">
        <v>-2748.2341985502862</v>
      </c>
      <c r="AI429" s="773">
        <v>-4.5803976443960538E-2</v>
      </c>
      <c r="AJ429" s="778"/>
      <c r="AK429" s="769"/>
      <c r="AL429" s="770">
        <v>54771.729999999989</v>
      </c>
      <c r="AM429" s="774"/>
      <c r="AN429" s="772">
        <v>2479.9400000000096</v>
      </c>
      <c r="AO429" s="780">
        <v>4.5277737256062753E-2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522" t="s">
        <v>47</v>
      </c>
      <c r="B430" s="503"/>
      <c r="C430" s="738" t="s">
        <v>227</v>
      </c>
      <c r="V430" s="599" t="s">
        <v>47</v>
      </c>
      <c r="W430" s="776" t="s">
        <v>148</v>
      </c>
      <c r="X430" s="769"/>
      <c r="Y430" s="795">
        <v>6.8287628808309686E-2</v>
      </c>
      <c r="Z430" s="770">
        <v>30912.994119687857</v>
      </c>
      <c r="AA430" s="769"/>
      <c r="AB430" s="769"/>
      <c r="AC430" s="770"/>
      <c r="AD430" s="778"/>
      <c r="AE430" s="777"/>
      <c r="AF430" s="770">
        <v>27207.960000000003</v>
      </c>
      <c r="AG430" s="771"/>
      <c r="AH430" s="772">
        <v>-3705.0341196878544</v>
      </c>
      <c r="AI430" s="773">
        <v>-0.11985361577538663</v>
      </c>
      <c r="AJ430" s="778"/>
      <c r="AK430" s="769"/>
      <c r="AL430" s="770">
        <v>24579.55</v>
      </c>
      <c r="AM430" s="774"/>
      <c r="AN430" s="772">
        <v>2628.4100000000035</v>
      </c>
      <c r="AO430" s="780">
        <v>0.10693482997044305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522" t="s">
        <v>48</v>
      </c>
      <c r="B431" s="503"/>
      <c r="C431" s="738" t="s">
        <v>227</v>
      </c>
      <c r="V431" s="599" t="s">
        <v>48</v>
      </c>
      <c r="W431" s="776"/>
      <c r="X431" s="769"/>
      <c r="Y431" s="769"/>
      <c r="Z431" s="770">
        <v>13478.239348949697</v>
      </c>
      <c r="AA431" s="769"/>
      <c r="AB431" s="769"/>
      <c r="AC431" s="770"/>
      <c r="AD431" s="778"/>
      <c r="AE431" s="777"/>
      <c r="AF431" s="770">
        <v>11343.440000000002</v>
      </c>
      <c r="AG431" s="771"/>
      <c r="AH431" s="772">
        <v>-2134.7993489496948</v>
      </c>
      <c r="AI431" s="796">
        <v>-0.15838859169065364</v>
      </c>
      <c r="AJ431" s="778"/>
      <c r="AK431" s="769"/>
      <c r="AL431" s="770">
        <v>5884.51</v>
      </c>
      <c r="AM431" s="774"/>
      <c r="AN431" s="772">
        <v>5458.9300000000021</v>
      </c>
      <c r="AO431" s="780">
        <v>0.92767792050655062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522" t="s">
        <v>20</v>
      </c>
      <c r="B432" s="503"/>
      <c r="C432" s="738" t="s">
        <v>227</v>
      </c>
      <c r="V432" s="530" t="s">
        <v>20</v>
      </c>
      <c r="W432" s="776"/>
      <c r="X432" s="769"/>
      <c r="Y432" s="777"/>
      <c r="Z432" s="770">
        <v>0</v>
      </c>
      <c r="AA432" s="769"/>
      <c r="AB432" s="769"/>
      <c r="AC432" s="770"/>
      <c r="AD432" s="778"/>
      <c r="AE432" s="777"/>
      <c r="AF432" s="770">
        <v>0</v>
      </c>
      <c r="AG432" s="771"/>
      <c r="AH432" s="772">
        <v>0</v>
      </c>
      <c r="AI432" s="773">
        <v>0</v>
      </c>
      <c r="AJ432" s="778"/>
      <c r="AK432" s="769"/>
      <c r="AL432" s="770">
        <v>0</v>
      </c>
      <c r="AM432" s="774"/>
      <c r="AN432" s="772"/>
      <c r="AO432" s="758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522" t="s">
        <v>49</v>
      </c>
      <c r="B433" s="503"/>
      <c r="C433" s="738" t="s">
        <v>227</v>
      </c>
      <c r="V433" s="786" t="s">
        <v>49</v>
      </c>
      <c r="W433" s="787"/>
      <c r="X433" s="788">
        <v>0.44118638069939969</v>
      </c>
      <c r="Y433" s="787"/>
      <c r="Z433" s="789">
        <v>375957.76147066662</v>
      </c>
      <c r="AA433" s="788"/>
      <c r="AB433" s="787"/>
      <c r="AC433" s="789"/>
      <c r="AD433" s="790">
        <v>0.4861093180712</v>
      </c>
      <c r="AE433" s="797"/>
      <c r="AF433" s="789">
        <v>350069.54000000004</v>
      </c>
      <c r="AG433" s="791"/>
      <c r="AH433" s="792">
        <v>-25888.221470666584</v>
      </c>
      <c r="AI433" s="788">
        <v>-6.8859388271164765E-2</v>
      </c>
      <c r="AJ433" s="790">
        <v>0.428084535372799</v>
      </c>
      <c r="AK433" s="787"/>
      <c r="AL433" s="789">
        <v>283857.56</v>
      </c>
      <c r="AM433" s="798"/>
      <c r="AN433" s="792">
        <v>66211.98000000004</v>
      </c>
      <c r="AO433" s="767">
        <v>0.23325776491561487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522" t="s">
        <v>50</v>
      </c>
      <c r="B434" s="503"/>
      <c r="C434" s="738" t="s">
        <v>227</v>
      </c>
      <c r="V434" s="705" t="s">
        <v>50</v>
      </c>
      <c r="W434" s="799" t="s">
        <v>138</v>
      </c>
      <c r="X434" s="800"/>
      <c r="Y434" s="800"/>
      <c r="Z434" s="801">
        <v>17961.269888068269</v>
      </c>
      <c r="AA434" s="800"/>
      <c r="AB434" s="800"/>
      <c r="AC434" s="801"/>
      <c r="AD434" s="802"/>
      <c r="AE434" s="803"/>
      <c r="AF434" s="801">
        <v>14192.39</v>
      </c>
      <c r="AG434" s="802"/>
      <c r="AH434" s="804">
        <v>-3768.8798880682698</v>
      </c>
      <c r="AI434" s="805">
        <v>-0.20983370950691793</v>
      </c>
      <c r="AJ434" s="802"/>
      <c r="AK434" s="800"/>
      <c r="AL434" s="801">
        <v>15405.010000000002</v>
      </c>
      <c r="AM434" s="806"/>
      <c r="AN434" s="804">
        <v>-1212.6200000000026</v>
      </c>
      <c r="AO434" s="775">
        <v>-7.8715950200616711E-2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522" t="s">
        <v>51</v>
      </c>
      <c r="B435" s="503"/>
      <c r="C435" s="738" t="s">
        <v>227</v>
      </c>
      <c r="V435" s="599" t="s">
        <v>51</v>
      </c>
      <c r="W435" s="776" t="s">
        <v>149</v>
      </c>
      <c r="X435" s="769"/>
      <c r="Y435" s="769"/>
      <c r="Z435" s="770">
        <v>4545.3811628057083</v>
      </c>
      <c r="AA435" s="769"/>
      <c r="AB435" s="769"/>
      <c r="AC435" s="770"/>
      <c r="AD435" s="778"/>
      <c r="AE435" s="777"/>
      <c r="AF435" s="770">
        <v>3376.3199999999997</v>
      </c>
      <c r="AG435" s="771"/>
      <c r="AH435" s="772">
        <v>-1169.0611628057086</v>
      </c>
      <c r="AI435" s="773">
        <v>-0.2571976080624418</v>
      </c>
      <c r="AJ435" s="778"/>
      <c r="AK435" s="769"/>
      <c r="AL435" s="770">
        <v>12189.380000000001</v>
      </c>
      <c r="AM435" s="774"/>
      <c r="AN435" s="772">
        <v>-8813.0600000000013</v>
      </c>
      <c r="AO435" s="780">
        <v>-0.72301134266057832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522" t="s">
        <v>52</v>
      </c>
      <c r="B436" s="503"/>
      <c r="C436" s="738" t="s">
        <v>227</v>
      </c>
      <c r="U436" s="807"/>
      <c r="V436" s="601" t="s">
        <v>52</v>
      </c>
      <c r="W436" s="781" t="s">
        <v>150</v>
      </c>
      <c r="X436" s="752"/>
      <c r="Y436" s="752"/>
      <c r="Z436" s="753">
        <v>25709.26466666667</v>
      </c>
      <c r="AA436" s="752"/>
      <c r="AB436" s="752"/>
      <c r="AC436" s="753"/>
      <c r="AD436" s="783"/>
      <c r="AE436" s="782"/>
      <c r="AF436" s="753">
        <v>25497.749999999996</v>
      </c>
      <c r="AG436" s="754"/>
      <c r="AH436" s="755">
        <v>-211.51466666667329</v>
      </c>
      <c r="AI436" s="784">
        <v>-8.2271768332959159E-3</v>
      </c>
      <c r="AJ436" s="783"/>
      <c r="AK436" s="752"/>
      <c r="AL436" s="753">
        <v>20642.870000000003</v>
      </c>
      <c r="AM436" s="757"/>
      <c r="AN436" s="755">
        <v>4854.8799999999937</v>
      </c>
      <c r="AO436" s="758">
        <v>0.23518435178829267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522" t="s">
        <v>53</v>
      </c>
      <c r="B437" s="503"/>
      <c r="C437" s="738" t="s">
        <v>227</v>
      </c>
      <c r="U437" s="807"/>
      <c r="V437" s="599" t="s">
        <v>53</v>
      </c>
      <c r="W437" s="776" t="s">
        <v>151</v>
      </c>
      <c r="X437" s="769"/>
      <c r="Y437" s="769"/>
      <c r="Z437" s="770">
        <v>22402.080143777777</v>
      </c>
      <c r="AA437" s="769"/>
      <c r="AB437" s="769"/>
      <c r="AC437" s="770"/>
      <c r="AD437" s="778"/>
      <c r="AE437" s="777"/>
      <c r="AF437" s="770">
        <v>23344.81</v>
      </c>
      <c r="AG437" s="771"/>
      <c r="AH437" s="808">
        <v>942.72985622222404</v>
      </c>
      <c r="AI437" s="773">
        <v>4.2082246388359126E-2</v>
      </c>
      <c r="AJ437" s="778"/>
      <c r="AK437" s="769"/>
      <c r="AL437" s="770">
        <v>22270.73</v>
      </c>
      <c r="AM437" s="774"/>
      <c r="AN437" s="772">
        <v>1074.0800000000017</v>
      </c>
      <c r="AO437" s="780">
        <v>4.8228324801207763E-2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522" t="s">
        <v>54</v>
      </c>
      <c r="B438" s="503"/>
      <c r="C438" s="738" t="s">
        <v>227</v>
      </c>
      <c r="U438" s="807"/>
      <c r="V438" s="599" t="s">
        <v>54</v>
      </c>
      <c r="W438" s="776" t="s">
        <v>152</v>
      </c>
      <c r="X438" s="769"/>
      <c r="Y438" s="769"/>
      <c r="Z438" s="770">
        <v>3905.5576324861113</v>
      </c>
      <c r="AA438" s="769"/>
      <c r="AB438" s="769"/>
      <c r="AC438" s="770"/>
      <c r="AD438" s="778"/>
      <c r="AE438" s="777"/>
      <c r="AF438" s="770">
        <v>7645.26</v>
      </c>
      <c r="AG438" s="771"/>
      <c r="AH438" s="772">
        <v>3739.7023675138889</v>
      </c>
      <c r="AI438" s="773">
        <v>0.95753352515076162</v>
      </c>
      <c r="AJ438" s="778"/>
      <c r="AK438" s="769"/>
      <c r="AL438" s="770">
        <v>5287.25</v>
      </c>
      <c r="AM438" s="774"/>
      <c r="AN438" s="772">
        <v>2358.0100000000002</v>
      </c>
      <c r="AO438" s="780">
        <v>0.44598042460636439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522" t="s">
        <v>55</v>
      </c>
      <c r="B439" s="503"/>
      <c r="C439" s="738" t="s">
        <v>227</v>
      </c>
      <c r="V439" s="599" t="s">
        <v>55</v>
      </c>
      <c r="W439" s="776" t="s">
        <v>153</v>
      </c>
      <c r="X439" s="769"/>
      <c r="Y439" s="769"/>
      <c r="Z439" s="770">
        <v>36918.054597609284</v>
      </c>
      <c r="AA439" s="769"/>
      <c r="AB439" s="769"/>
      <c r="AC439" s="770"/>
      <c r="AD439" s="778"/>
      <c r="AE439" s="777"/>
      <c r="AF439" s="770">
        <v>46876.289999999994</v>
      </c>
      <c r="AG439" s="771"/>
      <c r="AH439" s="772">
        <v>9958.2354023907101</v>
      </c>
      <c r="AI439" s="773">
        <v>0.2697388990544366</v>
      </c>
      <c r="AJ439" s="778"/>
      <c r="AK439" s="769"/>
      <c r="AL439" s="770">
        <v>41642.44</v>
      </c>
      <c r="AM439" s="774"/>
      <c r="AN439" s="772">
        <v>5233.8499999999913</v>
      </c>
      <c r="AO439" s="780">
        <v>0.12568547856465642</v>
      </c>
      <c r="AP439" s="506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8" t="s">
        <v>227</v>
      </c>
      <c r="V440" s="705" t="s">
        <v>98</v>
      </c>
      <c r="W440" s="799"/>
      <c r="X440" s="800"/>
      <c r="Y440" s="800"/>
      <c r="Z440" s="801">
        <v>0</v>
      </c>
      <c r="AA440" s="800"/>
      <c r="AB440" s="800"/>
      <c r="AC440" s="801"/>
      <c r="AD440" s="802"/>
      <c r="AE440" s="803"/>
      <c r="AF440" s="801">
        <v>0</v>
      </c>
      <c r="AG440" s="809"/>
      <c r="AH440" s="804">
        <v>0</v>
      </c>
      <c r="AI440" s="805">
        <v>0</v>
      </c>
      <c r="AJ440" s="802"/>
      <c r="AK440" s="800"/>
      <c r="AL440" s="801">
        <v>0</v>
      </c>
      <c r="AM440" s="806"/>
      <c r="AN440" s="804">
        <v>0</v>
      </c>
      <c r="AO440" s="775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522" t="s">
        <v>56</v>
      </c>
      <c r="B441" s="503"/>
      <c r="C441" s="738" t="s">
        <v>227</v>
      </c>
      <c r="V441" s="599" t="s">
        <v>56</v>
      </c>
      <c r="W441" s="776" t="s">
        <v>154</v>
      </c>
      <c r="X441" s="769"/>
      <c r="Y441" s="777"/>
      <c r="Z441" s="770">
        <v>5252.6901555555569</v>
      </c>
      <c r="AA441" s="769"/>
      <c r="AB441" s="777"/>
      <c r="AC441" s="770"/>
      <c r="AD441" s="778"/>
      <c r="AE441" s="777"/>
      <c r="AF441" s="770">
        <v>4281.8</v>
      </c>
      <c r="AG441" s="771"/>
      <c r="AH441" s="772">
        <v>-970.8901555555567</v>
      </c>
      <c r="AI441" s="773">
        <v>-0.18483674589651661</v>
      </c>
      <c r="AJ441" s="778"/>
      <c r="AK441" s="769"/>
      <c r="AL441" s="770">
        <v>6914.34</v>
      </c>
      <c r="AM441" s="774"/>
      <c r="AN441" s="772">
        <v>-2632.54</v>
      </c>
      <c r="AO441" s="780">
        <v>-0.38073626694666446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522" t="s">
        <v>57</v>
      </c>
      <c r="B442" s="503"/>
      <c r="C442" s="738" t="s">
        <v>227</v>
      </c>
      <c r="U442" s="506"/>
      <c r="V442" s="599" t="s">
        <v>57</v>
      </c>
      <c r="W442" s="776" t="s">
        <v>155</v>
      </c>
      <c r="X442" s="769"/>
      <c r="Y442" s="769"/>
      <c r="Z442" s="770">
        <v>1333.7987401197504</v>
      </c>
      <c r="AA442" s="769"/>
      <c r="AB442" s="769"/>
      <c r="AC442" s="770"/>
      <c r="AD442" s="778"/>
      <c r="AE442" s="777"/>
      <c r="AF442" s="770">
        <v>798.57</v>
      </c>
      <c r="AG442" s="771"/>
      <c r="AH442" s="772">
        <v>-535.22874011975034</v>
      </c>
      <c r="AI442" s="796">
        <v>-0.40128148574476591</v>
      </c>
      <c r="AJ442" s="778"/>
      <c r="AK442" s="769"/>
      <c r="AL442" s="770">
        <v>3130.8199999999997</v>
      </c>
      <c r="AM442" s="774"/>
      <c r="AN442" s="772">
        <v>-2332.2499999999995</v>
      </c>
      <c r="AO442" s="780">
        <v>-0.74493263745600191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522" t="s">
        <v>58</v>
      </c>
      <c r="B443" s="503"/>
      <c r="C443" s="738" t="s">
        <v>227</v>
      </c>
      <c r="T443" s="506"/>
      <c r="U443" s="506"/>
      <c r="V443" s="599" t="s">
        <v>58</v>
      </c>
      <c r="W443" s="776" t="s">
        <v>156</v>
      </c>
      <c r="X443" s="769"/>
      <c r="Y443" s="769"/>
      <c r="Z443" s="770">
        <v>2760.7503854659999</v>
      </c>
      <c r="AA443" s="769"/>
      <c r="AB443" s="769"/>
      <c r="AC443" s="770"/>
      <c r="AD443" s="778"/>
      <c r="AE443" s="777"/>
      <c r="AF443" s="770">
        <v>184.20000000000002</v>
      </c>
      <c r="AG443" s="771"/>
      <c r="AH443" s="772">
        <v>-2576.5503854660001</v>
      </c>
      <c r="AI443" s="773">
        <v>-0.93327900958749377</v>
      </c>
      <c r="AJ443" s="778"/>
      <c r="AK443" s="769"/>
      <c r="AL443" s="770">
        <v>1565.7399999999998</v>
      </c>
      <c r="AM443" s="774"/>
      <c r="AN443" s="772">
        <v>-1381.5399999999997</v>
      </c>
      <c r="AO443" s="780">
        <v>-0.88235594670890438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522" t="s">
        <v>59</v>
      </c>
      <c r="B444" s="503"/>
      <c r="C444" s="738" t="s">
        <v>227</v>
      </c>
      <c r="T444" s="506"/>
      <c r="U444" s="506"/>
      <c r="V444" s="599" t="s">
        <v>59</v>
      </c>
      <c r="W444" s="776" t="s">
        <v>157</v>
      </c>
      <c r="X444" s="769"/>
      <c r="Y444" s="769"/>
      <c r="Z444" s="770">
        <v>734.68076036869445</v>
      </c>
      <c r="AA444" s="769"/>
      <c r="AB444" s="769"/>
      <c r="AC444" s="770"/>
      <c r="AD444" s="778"/>
      <c r="AE444" s="777"/>
      <c r="AF444" s="770">
        <v>856.05000000000007</v>
      </c>
      <c r="AG444" s="771"/>
      <c r="AH444" s="772">
        <v>121.36923963130562</v>
      </c>
      <c r="AI444" s="796">
        <v>0.16519997008006213</v>
      </c>
      <c r="AJ444" s="778"/>
      <c r="AK444" s="769"/>
      <c r="AL444" s="770">
        <v>1132.3600000000001</v>
      </c>
      <c r="AM444" s="774"/>
      <c r="AN444" s="772">
        <v>-276.31000000000006</v>
      </c>
      <c r="AO444" s="780">
        <v>-0.24401250485711259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522" t="s">
        <v>60</v>
      </c>
      <c r="B445" s="503"/>
      <c r="C445" s="738" t="s">
        <v>227</v>
      </c>
      <c r="T445" s="506"/>
      <c r="U445" s="506"/>
      <c r="V445" s="599" t="s">
        <v>60</v>
      </c>
      <c r="W445" s="776" t="s">
        <v>158</v>
      </c>
      <c r="X445" s="769"/>
      <c r="Y445" s="769"/>
      <c r="Z445" s="770">
        <v>235.21156215130546</v>
      </c>
      <c r="AA445" s="769"/>
      <c r="AB445" s="769"/>
      <c r="AC445" s="770"/>
      <c r="AD445" s="778"/>
      <c r="AE445" s="777"/>
      <c r="AF445" s="770">
        <v>-1053.5899999999999</v>
      </c>
      <c r="AG445" s="771"/>
      <c r="AH445" s="772">
        <v>-1288.8015621513055</v>
      </c>
      <c r="AI445" s="773">
        <v>-5.479329121254052</v>
      </c>
      <c r="AJ445" s="778"/>
      <c r="AK445" s="769"/>
      <c r="AL445" s="770">
        <v>73.19</v>
      </c>
      <c r="AM445" s="774"/>
      <c r="AN445" s="772">
        <v>-1126.78</v>
      </c>
      <c r="AO445" s="780">
        <v>-15.395272578221068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522" t="s">
        <v>61</v>
      </c>
      <c r="B446" s="503"/>
      <c r="C446" s="738" t="s">
        <v>227</v>
      </c>
      <c r="T446" s="506"/>
      <c r="U446" s="506"/>
      <c r="V446" s="599" t="s">
        <v>61</v>
      </c>
      <c r="W446" s="776" t="s">
        <v>159</v>
      </c>
      <c r="X446" s="769"/>
      <c r="Y446" s="777"/>
      <c r="Z446" s="770">
        <v>720.38919864980562</v>
      </c>
      <c r="AA446" s="769"/>
      <c r="AB446" s="777"/>
      <c r="AC446" s="770"/>
      <c r="AD446" s="778"/>
      <c r="AE446" s="777"/>
      <c r="AF446" s="770">
        <v>196</v>
      </c>
      <c r="AG446" s="771"/>
      <c r="AH446" s="772">
        <v>-524.38919864980562</v>
      </c>
      <c r="AI446" s="796">
        <v>-0.72792484900196397</v>
      </c>
      <c r="AJ446" s="778"/>
      <c r="AK446" s="769"/>
      <c r="AL446" s="770">
        <v>732.69999999999993</v>
      </c>
      <c r="AM446" s="774"/>
      <c r="AN446" s="772">
        <v>-536.69999999999993</v>
      </c>
      <c r="AO446" s="780">
        <v>-0.73249624675856417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522" t="s">
        <v>62</v>
      </c>
      <c r="B447" s="503"/>
      <c r="C447" s="738" t="s">
        <v>227</v>
      </c>
      <c r="T447" s="506"/>
      <c r="U447" s="506"/>
      <c r="V447" s="599" t="s">
        <v>62</v>
      </c>
      <c r="W447" s="776" t="s">
        <v>160</v>
      </c>
      <c r="X447" s="769"/>
      <c r="Y447" s="777"/>
      <c r="Z447" s="770">
        <v>5774.1370435507661</v>
      </c>
      <c r="AA447" s="769"/>
      <c r="AB447" s="777"/>
      <c r="AC447" s="770"/>
      <c r="AD447" s="778"/>
      <c r="AE447" s="777"/>
      <c r="AF447" s="770">
        <v>1910.22</v>
      </c>
      <c r="AG447" s="771"/>
      <c r="AH447" s="772">
        <v>-3863.9170435507658</v>
      </c>
      <c r="AI447" s="773">
        <v>-0.66917653917938125</v>
      </c>
      <c r="AJ447" s="778"/>
      <c r="AK447" s="769"/>
      <c r="AL447" s="770">
        <v>5551.5400000000009</v>
      </c>
      <c r="AM447" s="774"/>
      <c r="AN447" s="772">
        <v>-3641.3200000000006</v>
      </c>
      <c r="AO447" s="780">
        <v>-0.65591169297167995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522" t="s">
        <v>63</v>
      </c>
      <c r="B448" s="503"/>
      <c r="C448" s="738" t="s">
        <v>227</v>
      </c>
      <c r="T448" s="506"/>
      <c r="U448" s="506"/>
      <c r="V448" s="599" t="s">
        <v>63</v>
      </c>
      <c r="W448" s="776" t="s">
        <v>161</v>
      </c>
      <c r="X448" s="769"/>
      <c r="Y448" s="795">
        <v>1.3740062227567081E-3</v>
      </c>
      <c r="Z448" s="770">
        <v>9652.4094193720739</v>
      </c>
      <c r="AA448" s="769"/>
      <c r="AB448" s="777"/>
      <c r="AC448" s="770"/>
      <c r="AD448" s="778"/>
      <c r="AE448" s="777"/>
      <c r="AF448" s="770">
        <v>10323.16</v>
      </c>
      <c r="AG448" s="771"/>
      <c r="AH448" s="772">
        <v>670.75058062792596</v>
      </c>
      <c r="AI448" s="773">
        <v>6.9490481752851385E-2</v>
      </c>
      <c r="AJ448" s="778"/>
      <c r="AK448" s="769"/>
      <c r="AL448" s="770">
        <v>10659.939999999999</v>
      </c>
      <c r="AM448" s="774"/>
      <c r="AN448" s="772">
        <v>-336.77999999999884</v>
      </c>
      <c r="AO448" s="780">
        <v>-3.1593048366125781E-2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522" t="s">
        <v>20</v>
      </c>
      <c r="B449" s="503"/>
      <c r="C449" s="738" t="s">
        <v>227</v>
      </c>
      <c r="T449" s="506"/>
      <c r="U449" s="506"/>
      <c r="V449" s="599" t="s">
        <v>20</v>
      </c>
      <c r="W449" s="776"/>
      <c r="X449" s="769"/>
      <c r="Y449" s="777"/>
      <c r="Z449" s="770">
        <v>0</v>
      </c>
      <c r="AA449" s="769"/>
      <c r="AB449" s="769"/>
      <c r="AC449" s="770"/>
      <c r="AD449" s="778"/>
      <c r="AE449" s="777"/>
      <c r="AF449" s="770">
        <v>0</v>
      </c>
      <c r="AG449" s="771"/>
      <c r="AH449" s="772">
        <v>0</v>
      </c>
      <c r="AI449" s="773">
        <v>0</v>
      </c>
      <c r="AJ449" s="778"/>
      <c r="AK449" s="769"/>
      <c r="AL449" s="770">
        <v>0</v>
      </c>
      <c r="AM449" s="774"/>
      <c r="AN449" s="772">
        <v>0</v>
      </c>
      <c r="AO449" s="780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522" t="s">
        <v>20</v>
      </c>
      <c r="B450" s="503"/>
      <c r="C450" s="738" t="s">
        <v>227</v>
      </c>
      <c r="T450" s="506"/>
      <c r="U450" s="506"/>
      <c r="V450" s="599" t="s">
        <v>20</v>
      </c>
      <c r="W450" s="776"/>
      <c r="X450" s="769"/>
      <c r="Y450" s="777"/>
      <c r="Z450" s="770">
        <v>0</v>
      </c>
      <c r="AA450" s="769"/>
      <c r="AB450" s="769"/>
      <c r="AC450" s="770"/>
      <c r="AD450" s="778"/>
      <c r="AE450" s="777"/>
      <c r="AF450" s="770">
        <v>0</v>
      </c>
      <c r="AG450" s="771"/>
      <c r="AH450" s="772">
        <v>0</v>
      </c>
      <c r="AI450" s="773">
        <v>0</v>
      </c>
      <c r="AJ450" s="778"/>
      <c r="AK450" s="769"/>
      <c r="AL450" s="770">
        <v>0</v>
      </c>
      <c r="AM450" s="774"/>
      <c r="AN450" s="772">
        <v>0</v>
      </c>
      <c r="AO450" s="780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522" t="s">
        <v>20</v>
      </c>
      <c r="B451" s="503"/>
      <c r="C451" s="738" t="s">
        <v>227</v>
      </c>
      <c r="T451" s="506"/>
      <c r="U451" s="506"/>
      <c r="V451" s="599" t="s">
        <v>20</v>
      </c>
      <c r="W451" s="776"/>
      <c r="X451" s="769"/>
      <c r="Y451" s="777"/>
      <c r="Z451" s="770">
        <v>0</v>
      </c>
      <c r="AA451" s="769"/>
      <c r="AB451" s="769"/>
      <c r="AC451" s="770"/>
      <c r="AD451" s="778"/>
      <c r="AE451" s="777"/>
      <c r="AF451" s="770">
        <v>0</v>
      </c>
      <c r="AG451" s="771"/>
      <c r="AH451" s="772">
        <v>0</v>
      </c>
      <c r="AI451" s="773">
        <v>0</v>
      </c>
      <c r="AJ451" s="778"/>
      <c r="AK451" s="769"/>
      <c r="AL451" s="770">
        <v>0</v>
      </c>
      <c r="AM451" s="774"/>
      <c r="AN451" s="772">
        <v>0</v>
      </c>
      <c r="AO451" s="780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522" t="s">
        <v>64</v>
      </c>
      <c r="B452" s="503"/>
      <c r="C452" s="738" t="s">
        <v>227</v>
      </c>
      <c r="T452" s="506"/>
      <c r="U452" s="506"/>
      <c r="V452" s="786" t="s">
        <v>64</v>
      </c>
      <c r="W452" s="810"/>
      <c r="X452" s="788">
        <v>0.16183229081507583</v>
      </c>
      <c r="Y452" s="787"/>
      <c r="Z452" s="789">
        <v>137905.67535664779</v>
      </c>
      <c r="AA452" s="788"/>
      <c r="AB452" s="787"/>
      <c r="AC452" s="789"/>
      <c r="AD452" s="790">
        <v>0.19222391812901313</v>
      </c>
      <c r="AE452" s="787"/>
      <c r="AF452" s="789">
        <v>138429.22999999998</v>
      </c>
      <c r="AG452" s="811"/>
      <c r="AH452" s="812">
        <v>523.55464335221768</v>
      </c>
      <c r="AI452" s="788">
        <v>3.7964691590698886E-3</v>
      </c>
      <c r="AJ452" s="790">
        <v>0.22198922637118149</v>
      </c>
      <c r="AK452" s="788"/>
      <c r="AL452" s="789">
        <v>147198.31</v>
      </c>
      <c r="AM452" s="798"/>
      <c r="AN452" s="792">
        <v>-8769.0800000000163</v>
      </c>
      <c r="AO452" s="813">
        <v>-5.9573238306880126E-2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522" t="s">
        <v>162</v>
      </c>
      <c r="B453" s="503"/>
      <c r="C453" s="738" t="s">
        <v>227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9" t="s">
        <v>162</v>
      </c>
      <c r="W453" s="776" t="s">
        <v>163</v>
      </c>
      <c r="X453" s="769"/>
      <c r="Y453" s="777"/>
      <c r="Z453" s="770">
        <v>36000</v>
      </c>
      <c r="AA453" s="769"/>
      <c r="AB453" s="777"/>
      <c r="AC453" s="770"/>
      <c r="AD453" s="778"/>
      <c r="AE453" s="777"/>
      <c r="AF453" s="770">
        <v>36000</v>
      </c>
      <c r="AG453" s="771"/>
      <c r="AH453" s="772">
        <v>0</v>
      </c>
      <c r="AI453" s="773">
        <v>0</v>
      </c>
      <c r="AJ453" s="778"/>
      <c r="AK453" s="769"/>
      <c r="AL453" s="770">
        <v>36000</v>
      </c>
      <c r="AM453" s="774"/>
      <c r="AN453" s="772">
        <v>0</v>
      </c>
      <c r="AO453" s="780">
        <v>0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522" t="s">
        <v>164</v>
      </c>
      <c r="B454" s="503"/>
      <c r="C454" s="738" t="s">
        <v>227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9" t="s">
        <v>164</v>
      </c>
      <c r="W454" s="776" t="s">
        <v>165</v>
      </c>
      <c r="X454" s="769"/>
      <c r="Y454" s="777"/>
      <c r="Z454" s="770">
        <v>5423.4400000000005</v>
      </c>
      <c r="AA454" s="769"/>
      <c r="AB454" s="777"/>
      <c r="AC454" s="770"/>
      <c r="AD454" s="778"/>
      <c r="AE454" s="777"/>
      <c r="AF454" s="770">
        <v>5423</v>
      </c>
      <c r="AG454" s="771"/>
      <c r="AH454" s="772">
        <v>-0.44000000000050932</v>
      </c>
      <c r="AI454" s="773">
        <v>-8.1129320136391167E-5</v>
      </c>
      <c r="AJ454" s="778"/>
      <c r="AK454" s="769"/>
      <c r="AL454" s="770">
        <v>5177</v>
      </c>
      <c r="AM454" s="774"/>
      <c r="AN454" s="772">
        <v>246</v>
      </c>
      <c r="AO454" s="780">
        <v>4.7517867490824803E-2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522" t="s">
        <v>166</v>
      </c>
      <c r="B455" s="503"/>
      <c r="C455" s="738" t="s">
        <v>227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601" t="s">
        <v>166</v>
      </c>
      <c r="W455" s="781" t="s">
        <v>167</v>
      </c>
      <c r="X455" s="752"/>
      <c r="Y455" s="782"/>
      <c r="Z455" s="753">
        <v>3608.8800000000006</v>
      </c>
      <c r="AA455" s="752"/>
      <c r="AB455" s="782"/>
      <c r="AC455" s="753"/>
      <c r="AD455" s="783"/>
      <c r="AE455" s="782"/>
      <c r="AF455" s="753">
        <v>3609</v>
      </c>
      <c r="AG455" s="754"/>
      <c r="AH455" s="755">
        <v>0.11999999999943611</v>
      </c>
      <c r="AI455" s="784">
        <v>3.3251313426724106E-5</v>
      </c>
      <c r="AJ455" s="783"/>
      <c r="AK455" s="752"/>
      <c r="AL455" s="753">
        <v>3445</v>
      </c>
      <c r="AM455" s="757"/>
      <c r="AN455" s="755">
        <v>164</v>
      </c>
      <c r="AO455" s="758">
        <v>4.7605224963715533E-2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522" t="s">
        <v>168</v>
      </c>
      <c r="B456" s="503"/>
      <c r="C456" s="738" t="s">
        <v>227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9" t="s">
        <v>168</v>
      </c>
      <c r="W456" s="776"/>
      <c r="X456" s="769"/>
      <c r="Y456" s="777"/>
      <c r="Z456" s="770">
        <v>0</v>
      </c>
      <c r="AA456" s="769"/>
      <c r="AB456" s="777"/>
      <c r="AC456" s="770"/>
      <c r="AD456" s="778"/>
      <c r="AE456" s="777"/>
      <c r="AF456" s="770">
        <v>0</v>
      </c>
      <c r="AG456" s="771"/>
      <c r="AH456" s="772">
        <v>0</v>
      </c>
      <c r="AI456" s="773">
        <v>0</v>
      </c>
      <c r="AJ456" s="778"/>
      <c r="AK456" s="769"/>
      <c r="AL456" s="770">
        <v>0</v>
      </c>
      <c r="AM456" s="774"/>
      <c r="AN456" s="772">
        <v>0</v>
      </c>
      <c r="AO456" s="780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522" t="s">
        <v>169</v>
      </c>
      <c r="B457" s="503"/>
      <c r="C457" s="738" t="s">
        <v>227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601" t="s">
        <v>169</v>
      </c>
      <c r="W457" s="781" t="s">
        <v>170</v>
      </c>
      <c r="X457" s="752"/>
      <c r="Y457" s="782"/>
      <c r="Z457" s="753">
        <v>4344.25</v>
      </c>
      <c r="AA457" s="752"/>
      <c r="AB457" s="782"/>
      <c r="AC457" s="753"/>
      <c r="AD457" s="783"/>
      <c r="AE457" s="782"/>
      <c r="AF457" s="753">
        <v>4344.25</v>
      </c>
      <c r="AG457" s="754"/>
      <c r="AH457" s="755">
        <v>0</v>
      </c>
      <c r="AI457" s="784">
        <v>0</v>
      </c>
      <c r="AJ457" s="783"/>
      <c r="AK457" s="752"/>
      <c r="AL457" s="753">
        <v>3893.08</v>
      </c>
      <c r="AM457" s="757"/>
      <c r="AN457" s="755">
        <v>451.17000000000007</v>
      </c>
      <c r="AO457" s="758">
        <v>0.11589024628314858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522" t="s">
        <v>171</v>
      </c>
      <c r="B458" s="503"/>
      <c r="C458" s="738" t="s">
        <v>227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9" t="s">
        <v>171</v>
      </c>
      <c r="W458" s="776" t="s">
        <v>172</v>
      </c>
      <c r="X458" s="814"/>
      <c r="Y458" s="815"/>
      <c r="Z458" s="770">
        <v>3700</v>
      </c>
      <c r="AA458" s="814"/>
      <c r="AB458" s="815"/>
      <c r="AC458" s="770"/>
      <c r="AD458" s="778"/>
      <c r="AE458" s="777"/>
      <c r="AF458" s="816">
        <v>9576.2099999999991</v>
      </c>
      <c r="AG458" s="771"/>
      <c r="AH458" s="772">
        <v>5876.2099999999991</v>
      </c>
      <c r="AI458" s="773">
        <v>1.5881648648648645</v>
      </c>
      <c r="AJ458" s="778"/>
      <c r="AK458" s="769"/>
      <c r="AL458" s="770">
        <v>2723.54</v>
      </c>
      <c r="AM458" s="774"/>
      <c r="AN458" s="772">
        <v>6852.6699999999992</v>
      </c>
      <c r="AO458" s="780">
        <v>2.5160893542962466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522" t="s">
        <v>173</v>
      </c>
      <c r="B459" s="503"/>
      <c r="C459" s="738" t="s">
        <v>227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9" t="s">
        <v>173</v>
      </c>
      <c r="W459" s="776" t="s">
        <v>174</v>
      </c>
      <c r="X459" s="769"/>
      <c r="Y459" s="777"/>
      <c r="Z459" s="770">
        <v>6784.05</v>
      </c>
      <c r="AA459" s="769"/>
      <c r="AB459" s="777"/>
      <c r="AC459" s="770"/>
      <c r="AD459" s="778"/>
      <c r="AE459" s="777"/>
      <c r="AF459" s="770">
        <v>6423.329999999999</v>
      </c>
      <c r="AG459" s="771"/>
      <c r="AH459" s="772">
        <v>-360.72000000000116</v>
      </c>
      <c r="AI459" s="773">
        <v>-5.3171777920269038E-2</v>
      </c>
      <c r="AJ459" s="778"/>
      <c r="AK459" s="769"/>
      <c r="AL459" s="770">
        <v>6837.21</v>
      </c>
      <c r="AM459" s="774"/>
      <c r="AN459" s="772">
        <v>-413.88000000000102</v>
      </c>
      <c r="AO459" s="780">
        <v>-6.0533463210871247E-2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522" t="s">
        <v>175</v>
      </c>
      <c r="B460" s="503"/>
      <c r="C460" s="738" t="s">
        <v>227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601" t="s">
        <v>175</v>
      </c>
      <c r="W460" s="781" t="s">
        <v>176</v>
      </c>
      <c r="X460" s="752"/>
      <c r="Y460" s="782"/>
      <c r="Z460" s="753">
        <v>1364.5623407645369</v>
      </c>
      <c r="AA460" s="752"/>
      <c r="AB460" s="782"/>
      <c r="AC460" s="753"/>
      <c r="AD460" s="783"/>
      <c r="AE460" s="782"/>
      <c r="AF460" s="753">
        <v>265</v>
      </c>
      <c r="AG460" s="754"/>
      <c r="AH460" s="755">
        <v>-1099.5623407645369</v>
      </c>
      <c r="AI460" s="784">
        <v>-0.80579853914807165</v>
      </c>
      <c r="AJ460" s="783"/>
      <c r="AK460" s="752"/>
      <c r="AL460" s="753">
        <v>282.25</v>
      </c>
      <c r="AM460" s="757"/>
      <c r="AN460" s="755">
        <v>-17.25</v>
      </c>
      <c r="AO460" s="758">
        <v>-6.111603188662533E-2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522" t="s">
        <v>177</v>
      </c>
      <c r="B461" s="503"/>
      <c r="C461" s="738" t="s">
        <v>227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7"/>
      <c r="V461" s="599" t="s">
        <v>177</v>
      </c>
      <c r="W461" s="776" t="s">
        <v>178</v>
      </c>
      <c r="X461" s="769"/>
      <c r="Y461" s="777"/>
      <c r="Z461" s="770">
        <v>1000</v>
      </c>
      <c r="AA461" s="769"/>
      <c r="AB461" s="777"/>
      <c r="AC461" s="770"/>
      <c r="AD461" s="778"/>
      <c r="AE461" s="777"/>
      <c r="AF461" s="770">
        <v>1242.0999999999999</v>
      </c>
      <c r="AG461" s="771"/>
      <c r="AH461" s="772">
        <v>242.09999999999991</v>
      </c>
      <c r="AI461" s="818">
        <v>0.2420999999999999</v>
      </c>
      <c r="AJ461" s="769"/>
      <c r="AK461" s="769"/>
      <c r="AL461" s="770">
        <v>1159.0899999999999</v>
      </c>
      <c r="AM461" s="774"/>
      <c r="AN461" s="772">
        <v>83.009999999999991</v>
      </c>
      <c r="AO461" s="780">
        <v>7.1616526758060198E-2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522" t="s">
        <v>179</v>
      </c>
      <c r="B462" s="503"/>
      <c r="C462" s="738" t="s">
        <v>227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7"/>
      <c r="V462" s="599" t="s">
        <v>179</v>
      </c>
      <c r="W462" s="776" t="s">
        <v>180</v>
      </c>
      <c r="X462" s="769"/>
      <c r="Y462" s="777"/>
      <c r="Z462" s="770">
        <v>0</v>
      </c>
      <c r="AA462" s="769"/>
      <c r="AB462" s="777"/>
      <c r="AC462" s="770"/>
      <c r="AD462" s="778"/>
      <c r="AE462" s="777"/>
      <c r="AF462" s="770">
        <v>0</v>
      </c>
      <c r="AG462" s="771"/>
      <c r="AH462" s="772">
        <v>0</v>
      </c>
      <c r="AI462" s="796">
        <v>0</v>
      </c>
      <c r="AJ462" s="769"/>
      <c r="AK462" s="769"/>
      <c r="AL462" s="770">
        <v>0</v>
      </c>
      <c r="AM462" s="774"/>
      <c r="AN462" s="772">
        <v>0</v>
      </c>
      <c r="AO462" s="780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522" t="s">
        <v>20</v>
      </c>
      <c r="B463" s="503"/>
      <c r="C463" s="738" t="s">
        <v>227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7"/>
      <c r="V463" s="599" t="s">
        <v>20</v>
      </c>
      <c r="W463" s="776"/>
      <c r="X463" s="769"/>
      <c r="Y463" s="777"/>
      <c r="Z463" s="770">
        <v>0</v>
      </c>
      <c r="AA463" s="769"/>
      <c r="AB463" s="769"/>
      <c r="AC463" s="770"/>
      <c r="AD463" s="778"/>
      <c r="AE463" s="777"/>
      <c r="AF463" s="770">
        <v>0</v>
      </c>
      <c r="AG463" s="771"/>
      <c r="AH463" s="772">
        <v>0</v>
      </c>
      <c r="AI463" s="773">
        <v>0</v>
      </c>
      <c r="AJ463" s="778"/>
      <c r="AK463" s="769"/>
      <c r="AL463" s="770">
        <v>0</v>
      </c>
      <c r="AM463" s="774"/>
      <c r="AN463" s="772">
        <v>0</v>
      </c>
      <c r="AO463" s="780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522" t="s">
        <v>20</v>
      </c>
      <c r="B464" s="503"/>
      <c r="C464" s="738" t="s">
        <v>227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7"/>
      <c r="V464" s="599" t="s">
        <v>20</v>
      </c>
      <c r="W464" s="776"/>
      <c r="X464" s="769"/>
      <c r="Y464" s="777"/>
      <c r="Z464" s="770">
        <v>0</v>
      </c>
      <c r="AA464" s="769"/>
      <c r="AB464" s="769"/>
      <c r="AC464" s="770"/>
      <c r="AD464" s="778"/>
      <c r="AE464" s="777"/>
      <c r="AF464" s="770">
        <v>0</v>
      </c>
      <c r="AG464" s="771"/>
      <c r="AH464" s="772">
        <v>0</v>
      </c>
      <c r="AI464" s="773">
        <v>0</v>
      </c>
      <c r="AJ464" s="778"/>
      <c r="AK464" s="769"/>
      <c r="AL464" s="770">
        <v>0</v>
      </c>
      <c r="AM464" s="774"/>
      <c r="AN464" s="772">
        <v>0</v>
      </c>
      <c r="AO464" s="780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522" t="s">
        <v>20</v>
      </c>
      <c r="B465" s="503"/>
      <c r="C465" s="738" t="s">
        <v>227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9" t="s">
        <v>20</v>
      </c>
      <c r="W465" s="776"/>
      <c r="X465" s="769"/>
      <c r="Y465" s="777"/>
      <c r="Z465" s="770">
        <v>0</v>
      </c>
      <c r="AA465" s="769"/>
      <c r="AB465" s="769"/>
      <c r="AC465" s="770"/>
      <c r="AD465" s="778"/>
      <c r="AE465" s="777"/>
      <c r="AF465" s="770">
        <v>0</v>
      </c>
      <c r="AG465" s="771"/>
      <c r="AH465" s="772">
        <v>0</v>
      </c>
      <c r="AI465" s="773">
        <v>0</v>
      </c>
      <c r="AJ465" s="778"/>
      <c r="AK465" s="769"/>
      <c r="AL465" s="770">
        <v>0</v>
      </c>
      <c r="AM465" s="774"/>
      <c r="AN465" s="772">
        <v>0</v>
      </c>
      <c r="AO465" s="780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522" t="s">
        <v>181</v>
      </c>
      <c r="B466" s="503"/>
      <c r="C466" s="738" t="s">
        <v>227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6" t="s">
        <v>181</v>
      </c>
      <c r="W466" s="787"/>
      <c r="X466" s="788">
        <v>7.3021242806351971E-2</v>
      </c>
      <c r="Y466" s="787"/>
      <c r="Z466" s="789">
        <v>62225.182340764542</v>
      </c>
      <c r="AA466" s="788"/>
      <c r="AB466" s="787"/>
      <c r="AC466" s="789"/>
      <c r="AD466" s="790">
        <v>9.287410738029675E-2</v>
      </c>
      <c r="AE466" s="787"/>
      <c r="AF466" s="789">
        <v>66882.890000000014</v>
      </c>
      <c r="AG466" s="811"/>
      <c r="AH466" s="812">
        <v>4657.7076592354588</v>
      </c>
      <c r="AI466" s="788">
        <v>7.485245497117865E-2</v>
      </c>
      <c r="AJ466" s="790">
        <v>8.9757623739716103E-2</v>
      </c>
      <c r="AK466" s="788"/>
      <c r="AL466" s="789">
        <v>59517.17</v>
      </c>
      <c r="AM466" s="798"/>
      <c r="AN466" s="792">
        <v>7365.7199999999984</v>
      </c>
      <c r="AO466" s="813">
        <v>0.12375790045124792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522" t="s">
        <v>469</v>
      </c>
      <c r="B467" s="503"/>
      <c r="C467" s="738" t="s">
        <v>227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9"/>
      <c r="W467" s="769"/>
      <c r="X467" s="769"/>
      <c r="Y467" s="769"/>
      <c r="Z467" s="819"/>
      <c r="AA467" s="769"/>
      <c r="AB467" s="769"/>
      <c r="AC467" s="819"/>
      <c r="AD467" s="778"/>
      <c r="AE467" s="769"/>
      <c r="AF467" s="819"/>
      <c r="AG467" s="778"/>
      <c r="AH467" s="772">
        <v>0</v>
      </c>
      <c r="AI467" s="773"/>
      <c r="AJ467" s="778"/>
      <c r="AK467" s="769"/>
      <c r="AL467" s="819"/>
      <c r="AM467" s="820"/>
      <c r="AN467" s="772">
        <v>0</v>
      </c>
      <c r="AO467" s="821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522" t="s">
        <v>65</v>
      </c>
      <c r="B468" s="503"/>
      <c r="C468" s="738" t="s">
        <v>227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6" t="s">
        <v>65</v>
      </c>
      <c r="W468" s="787"/>
      <c r="X468" s="788">
        <v>0.936337661538168</v>
      </c>
      <c r="Y468" s="787"/>
      <c r="Z468" s="789">
        <v>797901.80887840665</v>
      </c>
      <c r="AA468" s="788"/>
      <c r="AB468" s="787"/>
      <c r="AC468" s="789"/>
      <c r="AD468" s="790">
        <v>0.97054911290105483</v>
      </c>
      <c r="AE468" s="787"/>
      <c r="AF468" s="789">
        <v>698936.78</v>
      </c>
      <c r="AG468" s="811"/>
      <c r="AH468" s="812">
        <v>-98965.028878406622</v>
      </c>
      <c r="AI468" s="788">
        <v>-0.12403158857042776</v>
      </c>
      <c r="AJ468" s="790">
        <v>0.99180052567109578</v>
      </c>
      <c r="AK468" s="788"/>
      <c r="AL468" s="789">
        <v>657650.66</v>
      </c>
      <c r="AM468" s="798"/>
      <c r="AN468" s="792">
        <v>41286.119999999995</v>
      </c>
      <c r="AO468" s="767">
        <v>6.2778192908678893E-2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522" t="s">
        <v>182</v>
      </c>
      <c r="B469" s="503"/>
      <c r="C469" s="738" t="s">
        <v>227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9" t="s">
        <v>182</v>
      </c>
      <c r="W469" s="815"/>
      <c r="X469" s="815"/>
      <c r="Y469" s="769"/>
      <c r="Z469" s="801">
        <v>0</v>
      </c>
      <c r="AA469" s="822"/>
      <c r="AB469" s="823"/>
      <c r="AC469" s="801"/>
      <c r="AD469" s="824"/>
      <c r="AE469" s="823"/>
      <c r="AF469" s="770">
        <v>24843.37</v>
      </c>
      <c r="AG469" s="825"/>
      <c r="AH469" s="772">
        <v>24843.37</v>
      </c>
      <c r="AI469" s="818" t="e">
        <v>#DIV/0!</v>
      </c>
      <c r="AJ469" s="824"/>
      <c r="AK469" s="822"/>
      <c r="AL469" s="826">
        <v>32956.15</v>
      </c>
      <c r="AM469" s="827"/>
      <c r="AN469" s="772">
        <v>-8112.7800000000025</v>
      </c>
      <c r="AO469" s="780">
        <v>-0.24616892446478131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522" t="s">
        <v>69</v>
      </c>
      <c r="B470" s="503"/>
      <c r="C470" s="738" t="s">
        <v>227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9" t="s">
        <v>69</v>
      </c>
      <c r="W470" s="769"/>
      <c r="X470" s="769"/>
      <c r="Y470" s="769"/>
      <c r="Z470" s="770">
        <v>104035.68015786173</v>
      </c>
      <c r="AA470" s="814"/>
      <c r="AB470" s="772"/>
      <c r="AC470" s="770"/>
      <c r="AD470" s="828"/>
      <c r="AE470" s="829"/>
      <c r="AF470" s="770">
        <v>76838</v>
      </c>
      <c r="AG470" s="830"/>
      <c r="AH470" s="772">
        <v>-27197.680157861731</v>
      </c>
      <c r="AI470" s="796">
        <v>-0.26142646557981353</v>
      </c>
      <c r="AJ470" s="831"/>
      <c r="AK470" s="814"/>
      <c r="AL470" s="832">
        <v>66750.850000000006</v>
      </c>
      <c r="AM470" s="828"/>
      <c r="AN470" s="772">
        <v>10087.149999999994</v>
      </c>
      <c r="AO470" s="780">
        <v>0.15111642773088274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522" t="s">
        <v>197</v>
      </c>
      <c r="B471" s="503"/>
      <c r="C471" s="738" t="s">
        <v>227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9" t="s">
        <v>197</v>
      </c>
      <c r="W471" s="769"/>
      <c r="X471" s="769"/>
      <c r="Y471" s="769"/>
      <c r="Z471" s="770">
        <v>0</v>
      </c>
      <c r="AA471" s="814"/>
      <c r="AB471" s="815"/>
      <c r="AC471" s="770"/>
      <c r="AD471" s="831"/>
      <c r="AF471" s="770">
        <v>45250</v>
      </c>
      <c r="AG471" s="830"/>
      <c r="AH471" s="772">
        <v>45250</v>
      </c>
      <c r="AI471" s="796" t="e">
        <v>#DIV/0!</v>
      </c>
      <c r="AJ471" s="831"/>
      <c r="AK471" s="814"/>
      <c r="AL471" s="832">
        <v>0</v>
      </c>
      <c r="AM471" s="828"/>
      <c r="AN471" s="772">
        <v>45250</v>
      </c>
      <c r="AO471" s="780">
        <v>0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522" t="s">
        <v>194</v>
      </c>
      <c r="B472" s="503"/>
      <c r="C472" s="738" t="s">
        <v>227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9" t="s">
        <v>194</v>
      </c>
      <c r="W472" s="769"/>
      <c r="X472" s="769"/>
      <c r="Y472" s="769"/>
      <c r="Z472" s="770">
        <v>0</v>
      </c>
      <c r="AA472" s="814"/>
      <c r="AB472" s="815"/>
      <c r="AC472" s="770"/>
      <c r="AD472" s="831"/>
      <c r="AE472" s="815"/>
      <c r="AF472" s="770">
        <v>0</v>
      </c>
      <c r="AG472" s="830"/>
      <c r="AH472" s="772">
        <v>0</v>
      </c>
      <c r="AI472" s="796">
        <v>0</v>
      </c>
      <c r="AJ472" s="831"/>
      <c r="AK472" s="814"/>
      <c r="AL472" s="832">
        <v>0</v>
      </c>
      <c r="AM472" s="828"/>
      <c r="AN472" s="772">
        <v>0</v>
      </c>
      <c r="AO472" s="780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522" t="s">
        <v>68</v>
      </c>
      <c r="B473" s="503"/>
      <c r="C473" s="738" t="s">
        <v>227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9" t="s">
        <v>68</v>
      </c>
      <c r="W473" s="769"/>
      <c r="X473" s="769"/>
      <c r="Y473" s="769"/>
      <c r="Z473" s="770">
        <v>0</v>
      </c>
      <c r="AA473" s="814"/>
      <c r="AB473" s="815"/>
      <c r="AC473" s="770"/>
      <c r="AD473" s="831"/>
      <c r="AE473" s="815"/>
      <c r="AF473" s="770">
        <v>0</v>
      </c>
      <c r="AG473" s="830"/>
      <c r="AH473" s="772">
        <v>0</v>
      </c>
      <c r="AI473" s="796">
        <v>0</v>
      </c>
      <c r="AJ473" s="831"/>
      <c r="AK473" s="814"/>
      <c r="AL473" s="832">
        <v>0</v>
      </c>
      <c r="AM473" s="828"/>
      <c r="AN473" s="772">
        <v>0</v>
      </c>
      <c r="AO473" s="780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522" t="s">
        <v>225</v>
      </c>
      <c r="B474" s="503"/>
      <c r="C474" s="738" t="s">
        <v>227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9" t="s">
        <v>225</v>
      </c>
      <c r="W474" s="769"/>
      <c r="X474" s="769"/>
      <c r="Y474" s="769"/>
      <c r="Z474" s="770">
        <v>0</v>
      </c>
      <c r="AA474" s="814"/>
      <c r="AB474" s="815"/>
      <c r="AC474" s="770"/>
      <c r="AD474" s="831"/>
      <c r="AE474" s="815"/>
      <c r="AF474" s="770">
        <v>0</v>
      </c>
      <c r="AG474" s="830"/>
      <c r="AH474" s="772">
        <v>0</v>
      </c>
      <c r="AI474" s="796">
        <v>0</v>
      </c>
      <c r="AJ474" s="831"/>
      <c r="AK474" s="814"/>
      <c r="AL474" s="832">
        <v>0</v>
      </c>
      <c r="AM474" s="828"/>
      <c r="AN474" s="772">
        <v>0</v>
      </c>
      <c r="AO474" s="780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522" t="s">
        <v>81</v>
      </c>
      <c r="B475" s="503"/>
      <c r="C475" s="738" t="s">
        <v>227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9" t="s">
        <v>81</v>
      </c>
      <c r="W475" s="769"/>
      <c r="X475" s="769"/>
      <c r="Y475" s="769"/>
      <c r="Z475" s="770">
        <v>0</v>
      </c>
      <c r="AA475" s="814"/>
      <c r="AB475" s="815"/>
      <c r="AC475" s="770"/>
      <c r="AD475" s="831"/>
      <c r="AE475" s="815"/>
      <c r="AF475" s="770">
        <v>0</v>
      </c>
      <c r="AG475" s="830"/>
      <c r="AH475" s="772">
        <v>0</v>
      </c>
      <c r="AI475" s="796">
        <v>0</v>
      </c>
      <c r="AJ475" s="831"/>
      <c r="AK475" s="814"/>
      <c r="AL475" s="832">
        <v>0</v>
      </c>
      <c r="AM475" s="828"/>
      <c r="AN475" s="772">
        <v>0</v>
      </c>
      <c r="AO475" s="780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522" t="s">
        <v>82</v>
      </c>
      <c r="B476" s="503"/>
      <c r="C476" s="738" t="s">
        <v>227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9" t="s">
        <v>82</v>
      </c>
      <c r="W476" s="769"/>
      <c r="X476" s="769"/>
      <c r="Y476" s="769"/>
      <c r="Z476" s="770">
        <v>0</v>
      </c>
      <c r="AA476" s="814"/>
      <c r="AB476" s="815"/>
      <c r="AC476" s="770"/>
      <c r="AD476" s="831"/>
      <c r="AE476" s="815"/>
      <c r="AF476" s="770">
        <v>0</v>
      </c>
      <c r="AG476" s="830"/>
      <c r="AH476" s="772">
        <v>0</v>
      </c>
      <c r="AI476" s="796">
        <v>0</v>
      </c>
      <c r="AJ476" s="831"/>
      <c r="AK476" s="814"/>
      <c r="AL476" s="832">
        <v>0</v>
      </c>
      <c r="AM476" s="828"/>
      <c r="AN476" s="772">
        <v>0</v>
      </c>
      <c r="AO476" s="780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522" t="s">
        <v>20</v>
      </c>
      <c r="B477" s="503"/>
      <c r="C477" s="738" t="s">
        <v>227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9" t="s">
        <v>20</v>
      </c>
      <c r="W477" s="769"/>
      <c r="X477" s="769"/>
      <c r="Y477" s="769"/>
      <c r="Z477" s="770">
        <v>0</v>
      </c>
      <c r="AA477" s="769"/>
      <c r="AB477" s="769"/>
      <c r="AC477" s="770"/>
      <c r="AD477" s="778"/>
      <c r="AE477" s="777"/>
      <c r="AF477" s="770">
        <v>0</v>
      </c>
      <c r="AG477" s="771"/>
      <c r="AH477" s="772">
        <v>0</v>
      </c>
      <c r="AI477" s="773">
        <v>0</v>
      </c>
      <c r="AJ477" s="778"/>
      <c r="AK477" s="769"/>
      <c r="AL477" s="770">
        <v>0</v>
      </c>
      <c r="AM477" s="828"/>
      <c r="AN477" s="772">
        <v>0</v>
      </c>
      <c r="AO477" s="780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522" t="s">
        <v>20</v>
      </c>
      <c r="B478" s="503"/>
      <c r="C478" s="738" t="s">
        <v>227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9" t="s">
        <v>20</v>
      </c>
      <c r="W478" s="769"/>
      <c r="X478" s="769"/>
      <c r="Y478" s="769"/>
      <c r="Z478" s="770">
        <v>0</v>
      </c>
      <c r="AA478" s="769"/>
      <c r="AB478" s="769"/>
      <c r="AC478" s="770"/>
      <c r="AD478" s="778"/>
      <c r="AE478" s="777"/>
      <c r="AF478" s="770">
        <v>0</v>
      </c>
      <c r="AG478" s="771"/>
      <c r="AH478" s="772">
        <v>0</v>
      </c>
      <c r="AI478" s="773">
        <v>0</v>
      </c>
      <c r="AJ478" s="778"/>
      <c r="AK478" s="769"/>
      <c r="AL478" s="770">
        <v>0</v>
      </c>
      <c r="AM478" s="828"/>
      <c r="AN478" s="772">
        <v>0</v>
      </c>
      <c r="AO478" s="780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522" t="s">
        <v>20</v>
      </c>
      <c r="B479" s="503"/>
      <c r="C479" s="738" t="s">
        <v>227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9" t="s">
        <v>20</v>
      </c>
      <c r="W479" s="769"/>
      <c r="X479" s="769"/>
      <c r="Y479" s="769"/>
      <c r="Z479" s="770">
        <v>0</v>
      </c>
      <c r="AA479" s="769"/>
      <c r="AB479" s="769"/>
      <c r="AC479" s="770"/>
      <c r="AD479" s="778"/>
      <c r="AE479" s="777"/>
      <c r="AF479" s="770">
        <v>0</v>
      </c>
      <c r="AG479" s="771"/>
      <c r="AH479" s="772">
        <v>0</v>
      </c>
      <c r="AI479" s="773">
        <v>0</v>
      </c>
      <c r="AJ479" s="778"/>
      <c r="AK479" s="769"/>
      <c r="AL479" s="770">
        <v>0</v>
      </c>
      <c r="AM479" s="828"/>
      <c r="AN479" s="772">
        <v>0</v>
      </c>
      <c r="AO479" s="780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522" t="s">
        <v>70</v>
      </c>
      <c r="B480" s="503"/>
      <c r="C480" s="738" t="s">
        <v>227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601" t="s">
        <v>70</v>
      </c>
      <c r="W480" s="769"/>
      <c r="X480" s="769"/>
      <c r="Y480" s="769"/>
      <c r="Z480" s="770">
        <v>50051.7</v>
      </c>
      <c r="AA480" s="814"/>
      <c r="AB480" s="815"/>
      <c r="AC480" s="770"/>
      <c r="AD480" s="833">
        <v>60.517034068136276</v>
      </c>
      <c r="AE480" s="814">
        <v>1.1467304625199364</v>
      </c>
      <c r="AF480" s="770">
        <v>30198</v>
      </c>
      <c r="AG480" s="830"/>
      <c r="AH480" s="772">
        <v>-19853.699999999997</v>
      </c>
      <c r="AI480" s="796">
        <v>-0.39666384957953471</v>
      </c>
      <c r="AJ480" s="831"/>
      <c r="AK480" s="814"/>
      <c r="AL480" s="832">
        <v>44706</v>
      </c>
      <c r="AM480" s="828"/>
      <c r="AN480" s="772">
        <v>-14508</v>
      </c>
      <c r="AO480" s="780">
        <v>-0.32452019863105624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522" t="s">
        <v>183</v>
      </c>
      <c r="B481" s="503"/>
      <c r="C481" s="738" t="s">
        <v>227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6" t="s">
        <v>183</v>
      </c>
      <c r="W481" s="787"/>
      <c r="X481" s="788">
        <v>0.1808215191445213</v>
      </c>
      <c r="Y481" s="810"/>
      <c r="Z481" s="789">
        <v>154087.38015786174</v>
      </c>
      <c r="AA481" s="788"/>
      <c r="AB481" s="810"/>
      <c r="AC481" s="789"/>
      <c r="AD481" s="788">
        <v>0.24596323707878515</v>
      </c>
      <c r="AE481" s="810"/>
      <c r="AF481" s="789">
        <v>177129.37</v>
      </c>
      <c r="AG481" s="811"/>
      <c r="AH481" s="792">
        <v>23041.989842138253</v>
      </c>
      <c r="AI481" s="788">
        <v>0.14953846199819773</v>
      </c>
      <c r="AJ481" s="834"/>
      <c r="AK481" s="835"/>
      <c r="AL481" s="789">
        <v>144413</v>
      </c>
      <c r="AM481" s="836"/>
      <c r="AN481" s="792">
        <v>32716.369999999995</v>
      </c>
      <c r="AO481" s="813">
        <v>0.22654726375049333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522" t="s">
        <v>469</v>
      </c>
      <c r="B482" s="503"/>
      <c r="C482" s="738" t="s">
        <v>227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7"/>
      <c r="W482" s="838"/>
      <c r="X482" s="838"/>
      <c r="Y482" s="839"/>
      <c r="Z482" s="840"/>
      <c r="AA482" s="838"/>
      <c r="AB482" s="841"/>
      <c r="AC482" s="840"/>
      <c r="AD482" s="838"/>
      <c r="AE482" s="841"/>
      <c r="AF482" s="842"/>
      <c r="AG482" s="843"/>
      <c r="AH482" s="844"/>
      <c r="AI482" s="845"/>
      <c r="AJ482" s="846"/>
      <c r="AK482" s="847"/>
      <c r="AL482" s="842"/>
      <c r="AM482" s="848"/>
      <c r="AN482" s="844">
        <v>0</v>
      </c>
      <c r="AO482" s="849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522" t="s">
        <v>184</v>
      </c>
      <c r="B483" s="503"/>
      <c r="C483" s="738" t="s">
        <v>227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50" t="s">
        <v>184</v>
      </c>
      <c r="W483" s="851"/>
      <c r="X483" s="852" t="s">
        <v>185</v>
      </c>
      <c r="Y483" s="853">
        <v>2.9656514803954506E-2</v>
      </c>
      <c r="Z483" s="854">
        <v>208337.35546343634</v>
      </c>
      <c r="AA483" s="852"/>
      <c r="AB483" s="853"/>
      <c r="AC483" s="854"/>
      <c r="AD483" s="852" t="s">
        <v>185</v>
      </c>
      <c r="AE483" s="853">
        <v>3.6084188134366715E-2</v>
      </c>
      <c r="AF483" s="855">
        <v>198338.2999999997</v>
      </c>
      <c r="AG483" s="856"/>
      <c r="AH483" s="856">
        <v>-9999.0554634366417</v>
      </c>
      <c r="AI483" s="857">
        <v>-4.7994539631139255E-2</v>
      </c>
      <c r="AJ483" s="858" t="s">
        <v>185</v>
      </c>
      <c r="AK483" s="853">
        <v>3.1502316578024353E-2</v>
      </c>
      <c r="AL483" s="855">
        <v>149849.96999999892</v>
      </c>
      <c r="AM483" s="859"/>
      <c r="AN483" s="855">
        <v>48488.330000000773</v>
      </c>
      <c r="AO483" s="860">
        <v>0.32357917722640267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522" t="s">
        <v>469</v>
      </c>
      <c r="B484" s="503"/>
      <c r="C484" s="738" t="s">
        <v>227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2"/>
      <c r="AA484" s="509"/>
      <c r="AB484" s="509"/>
      <c r="AC484" s="572"/>
      <c r="AD484" s="509"/>
      <c r="AE484" s="509"/>
      <c r="AF484" s="861"/>
      <c r="AG484" s="509"/>
      <c r="AH484" s="509"/>
      <c r="AI484" s="509"/>
      <c r="AJ484" s="509"/>
      <c r="AK484" s="509"/>
      <c r="AL484" s="572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522" t="s">
        <v>478</v>
      </c>
      <c r="B485" s="503"/>
      <c r="C485" s="738" t="s">
        <v>227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62" t="s">
        <v>478</v>
      </c>
      <c r="W485" s="862"/>
      <c r="X485" s="862"/>
      <c r="Y485" s="862"/>
      <c r="Z485" s="862"/>
      <c r="AA485" s="862"/>
      <c r="AB485" s="862"/>
      <c r="AC485" s="862"/>
      <c r="AD485" s="862"/>
      <c r="AE485" s="863" t="s">
        <v>186</v>
      </c>
      <c r="AF485" s="862"/>
      <c r="AG485" s="862"/>
      <c r="AH485" s="862"/>
      <c r="AI485" s="862"/>
      <c r="AJ485" s="864"/>
      <c r="AK485" s="865"/>
      <c r="AL485" s="862"/>
      <c r="AM485" s="862"/>
      <c r="AN485" s="862"/>
      <c r="AO485" s="866" t="s">
        <v>484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19.5" customHeight="1">
      <c r="A486" s="522" t="s">
        <v>469</v>
      </c>
      <c r="B486" s="503"/>
      <c r="C486" s="738" t="s">
        <v>227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2"/>
      <c r="AA486" s="509"/>
      <c r="AB486" s="509"/>
      <c r="AC486" s="572"/>
      <c r="AD486" s="509"/>
      <c r="AE486" s="509"/>
      <c r="AF486" s="861"/>
      <c r="AG486" s="509"/>
      <c r="AH486" s="509"/>
      <c r="AI486" s="509"/>
      <c r="AJ486" s="509"/>
      <c r="AK486" s="509"/>
      <c r="AL486" s="572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19.5" customHeight="1" thickBot="1">
      <c r="A487" s="522" t="s">
        <v>469</v>
      </c>
      <c r="B487" s="503"/>
      <c r="C487" s="738" t="s">
        <v>227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2"/>
      <c r="AA487" s="509"/>
      <c r="AB487" s="509"/>
      <c r="AC487" s="572"/>
      <c r="AD487" s="509"/>
      <c r="AE487" s="509"/>
      <c r="AF487" s="861"/>
      <c r="AG487" s="509"/>
      <c r="AH487" s="509"/>
      <c r="AI487" s="509"/>
      <c r="AJ487" s="509"/>
      <c r="AK487" s="509"/>
      <c r="AL487" s="572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19.5" customHeight="1" thickTop="1" thickBot="1">
      <c r="A488" s="522" t="s">
        <v>469</v>
      </c>
      <c r="B488" s="503"/>
      <c r="C488" s="738" t="s">
        <v>227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850" t="s">
        <v>215</v>
      </c>
      <c r="W488" s="851"/>
      <c r="X488" s="852" t="s">
        <v>185</v>
      </c>
      <c r="Y488" s="853">
        <v>3.6581379630636006E-2</v>
      </c>
      <c r="Z488" s="855">
        <v>256984.61002013885</v>
      </c>
      <c r="AA488" s="852"/>
      <c r="AB488" s="853"/>
      <c r="AC488" s="854"/>
      <c r="AD488" s="852" t="s">
        <v>185</v>
      </c>
      <c r="AE488" s="853">
        <v>4.0161452528046378E-2</v>
      </c>
      <c r="AF488" s="855">
        <v>220749.15999999968</v>
      </c>
      <c r="AG488" s="856"/>
      <c r="AH488" s="856">
        <v>-36235.450020139164</v>
      </c>
      <c r="AI488" s="857">
        <v>-0.14100241262424057</v>
      </c>
      <c r="AJ488" s="852" t="s">
        <v>185</v>
      </c>
      <c r="AK488" s="853">
        <v>3.7753430669183033E-2</v>
      </c>
      <c r="AL488" s="855">
        <v>179585.21999999892</v>
      </c>
      <c r="AM488" s="859"/>
      <c r="AN488" s="855">
        <v>41163.940000000759</v>
      </c>
      <c r="AO488" s="867">
        <v>0.22921674734703115</v>
      </c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9.5" thickTop="1" thickBot="1">
      <c r="A489" s="522" t="s">
        <v>184</v>
      </c>
      <c r="B489" s="503"/>
      <c r="C489" s="738" t="s">
        <v>227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50" t="s">
        <v>184</v>
      </c>
      <c r="W489" s="851"/>
      <c r="X489" s="852" t="s">
        <v>185</v>
      </c>
      <c r="Y489" s="853">
        <v>2.9656514803954506E-2</v>
      </c>
      <c r="Z489" s="854">
        <v>208337.35546343634</v>
      </c>
      <c r="AA489" s="852"/>
      <c r="AB489" s="853"/>
      <c r="AC489" s="854"/>
      <c r="AD489" s="852" t="s">
        <v>185</v>
      </c>
      <c r="AE489" s="853">
        <v>3.6084188134366715E-2</v>
      </c>
      <c r="AF489" s="854">
        <v>198338.2999999997</v>
      </c>
      <c r="AG489" s="855"/>
      <c r="AH489" s="856">
        <v>-9999.0554634366417</v>
      </c>
      <c r="AI489" s="857">
        <v>-4.7994539631139255E-2</v>
      </c>
      <c r="AJ489" s="852" t="s">
        <v>185</v>
      </c>
      <c r="AK489" s="853">
        <v>3.1502316578024353E-2</v>
      </c>
      <c r="AL489" s="868">
        <v>149849.96999999892</v>
      </c>
      <c r="AM489" s="869"/>
      <c r="AN489" s="870">
        <v>48488.330000000773</v>
      </c>
      <c r="AO489" s="871">
        <v>0.32357917722640267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522" t="s">
        <v>469</v>
      </c>
      <c r="B490" s="503"/>
      <c r="C490" s="738" t="s">
        <v>227</v>
      </c>
      <c r="D490" s="506"/>
      <c r="E490" s="506"/>
      <c r="F490" s="656"/>
      <c r="G490" s="506"/>
      <c r="H490" s="506"/>
      <c r="I490" s="656"/>
      <c r="J490" s="506"/>
      <c r="K490" s="506"/>
      <c r="L490" s="506"/>
      <c r="M490" s="656"/>
      <c r="N490" s="506"/>
      <c r="O490" s="506"/>
      <c r="P490" s="506"/>
      <c r="Q490" s="656"/>
      <c r="R490" s="656"/>
      <c r="S490" s="656"/>
      <c r="T490" s="817"/>
      <c r="U490" s="817"/>
      <c r="V490" s="872"/>
      <c r="W490" s="506"/>
      <c r="X490" s="506"/>
      <c r="Y490" s="506"/>
      <c r="Z490" s="873"/>
      <c r="AA490" s="506"/>
      <c r="AB490" s="506"/>
      <c r="AC490" s="874"/>
      <c r="AD490" s="506"/>
      <c r="AE490" s="506"/>
      <c r="AF490" s="874"/>
      <c r="AG490" s="506"/>
      <c r="AH490" s="506"/>
      <c r="AI490" s="874"/>
      <c r="AJ490" s="506"/>
      <c r="AK490" s="506"/>
      <c r="AL490" s="875"/>
      <c r="AM490" s="876"/>
      <c r="AN490" s="506"/>
      <c r="AO490" s="877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522" t="s">
        <v>187</v>
      </c>
      <c r="B491" s="503"/>
      <c r="C491" s="738" t="s">
        <v>227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9" t="s">
        <v>187</v>
      </c>
      <c r="W491" s="776"/>
      <c r="X491" s="769"/>
      <c r="Y491" s="777"/>
      <c r="Z491" s="770">
        <v>43648</v>
      </c>
      <c r="AA491" s="769"/>
      <c r="AB491" s="777"/>
      <c r="AC491" s="770"/>
      <c r="AD491" s="769"/>
      <c r="AE491" s="777"/>
      <c r="AF491" s="770">
        <v>42648</v>
      </c>
      <c r="AG491" s="769"/>
      <c r="AH491" s="772">
        <v>-1000</v>
      </c>
      <c r="AI491" s="796">
        <v>-2.2910557184750734E-2</v>
      </c>
      <c r="AJ491" s="769"/>
      <c r="AK491" s="769"/>
      <c r="AL491" s="770">
        <v>34648</v>
      </c>
      <c r="AM491" s="774"/>
      <c r="AN491" s="772">
        <v>8000</v>
      </c>
      <c r="AO491" s="780">
        <v>0.23089355806972986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522" t="s">
        <v>188</v>
      </c>
      <c r="B492" s="503"/>
      <c r="C492" s="738" t="s">
        <v>227</v>
      </c>
      <c r="D492" s="506"/>
      <c r="E492" s="506"/>
      <c r="F492" s="656"/>
      <c r="G492" s="506"/>
      <c r="H492" s="506"/>
      <c r="I492" s="656"/>
      <c r="J492" s="506"/>
      <c r="K492" s="506"/>
      <c r="L492" s="506"/>
      <c r="M492" s="656"/>
      <c r="N492" s="506"/>
      <c r="O492" s="506"/>
      <c r="P492" s="506"/>
      <c r="Q492" s="656"/>
      <c r="R492" s="656"/>
      <c r="S492" s="656"/>
      <c r="T492" s="506"/>
      <c r="U492" s="506"/>
      <c r="V492" s="599" t="s">
        <v>188</v>
      </c>
      <c r="W492" s="506"/>
      <c r="X492" s="506"/>
      <c r="Y492" s="506"/>
      <c r="Z492" s="770">
        <v>0</v>
      </c>
      <c r="AA492" s="506"/>
      <c r="AB492" s="506"/>
      <c r="AC492" s="770"/>
      <c r="AD492" s="506"/>
      <c r="AE492" s="509"/>
      <c r="AF492" s="770">
        <v>0</v>
      </c>
      <c r="AG492" s="506"/>
      <c r="AH492" s="772">
        <v>0</v>
      </c>
      <c r="AI492" s="796">
        <v>0</v>
      </c>
      <c r="AJ492" s="506"/>
      <c r="AK492" s="506"/>
      <c r="AL492" s="770">
        <v>0</v>
      </c>
      <c r="AM492" s="876"/>
      <c r="AN492" s="772">
        <v>0</v>
      </c>
      <c r="AO492" s="780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522" t="s">
        <v>189</v>
      </c>
      <c r="B493" s="503"/>
      <c r="C493" s="738" t="s">
        <v>227</v>
      </c>
      <c r="D493" s="506"/>
      <c r="E493" s="506"/>
      <c r="F493" s="656"/>
      <c r="G493" s="506"/>
      <c r="H493" s="506"/>
      <c r="I493" s="656"/>
      <c r="J493" s="506"/>
      <c r="K493" s="506"/>
      <c r="L493" s="506"/>
      <c r="M493" s="656"/>
      <c r="N493" s="506"/>
      <c r="O493" s="506"/>
      <c r="P493" s="506"/>
      <c r="Q493" s="656"/>
      <c r="R493" s="656"/>
      <c r="S493" s="656"/>
      <c r="T493" s="506"/>
      <c r="U493" s="506"/>
      <c r="V493" s="599" t="s">
        <v>189</v>
      </c>
      <c r="W493" s="509"/>
      <c r="X493" s="509"/>
      <c r="Y493" s="509"/>
      <c r="Z493" s="770">
        <v>0</v>
      </c>
      <c r="AA493" s="506"/>
      <c r="AB493" s="506"/>
      <c r="AC493" s="770"/>
      <c r="AD493" s="506"/>
      <c r="AE493" s="509"/>
      <c r="AF493" s="770">
        <v>0</v>
      </c>
      <c r="AG493" s="506"/>
      <c r="AH493" s="772">
        <v>0</v>
      </c>
      <c r="AI493" s="796">
        <v>0</v>
      </c>
      <c r="AJ493" s="506"/>
      <c r="AK493" s="506"/>
      <c r="AL493" s="770">
        <v>0</v>
      </c>
      <c r="AM493" s="876"/>
      <c r="AN493" s="772">
        <v>0</v>
      </c>
      <c r="AO493" s="780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522" t="s">
        <v>190</v>
      </c>
      <c r="B494" s="503"/>
      <c r="C494" s="738" t="s">
        <v>227</v>
      </c>
      <c r="D494" s="506"/>
      <c r="E494" s="506"/>
      <c r="F494" s="656"/>
      <c r="G494" s="506"/>
      <c r="H494" s="506"/>
      <c r="I494" s="656"/>
      <c r="J494" s="506"/>
      <c r="K494" s="506"/>
      <c r="L494" s="506"/>
      <c r="M494" s="656"/>
      <c r="N494" s="506"/>
      <c r="O494" s="506"/>
      <c r="P494" s="506"/>
      <c r="Q494" s="656"/>
      <c r="R494" s="656"/>
      <c r="S494" s="656"/>
      <c r="T494" s="506"/>
      <c r="U494" s="506"/>
      <c r="V494" s="599" t="s">
        <v>190</v>
      </c>
      <c r="W494" s="509"/>
      <c r="X494" s="509"/>
      <c r="Y494" s="509"/>
      <c r="Z494" s="770">
        <v>0</v>
      </c>
      <c r="AA494" s="506"/>
      <c r="AB494" s="506"/>
      <c r="AC494" s="770"/>
      <c r="AD494" s="506"/>
      <c r="AE494" s="509"/>
      <c r="AF494" s="770">
        <v>0</v>
      </c>
      <c r="AG494" s="506"/>
      <c r="AH494" s="772">
        <v>0</v>
      </c>
      <c r="AI494" s="796">
        <v>0</v>
      </c>
      <c r="AJ494" s="506"/>
      <c r="AK494" s="506"/>
      <c r="AL494" s="770">
        <v>0</v>
      </c>
      <c r="AM494" s="876"/>
      <c r="AN494" s="772">
        <v>0</v>
      </c>
      <c r="AO494" s="780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customHeight="1">
      <c r="A495" s="522" t="s">
        <v>20</v>
      </c>
      <c r="B495" s="503"/>
      <c r="C495" s="738" t="s">
        <v>227</v>
      </c>
      <c r="D495" s="506"/>
      <c r="E495" s="506"/>
      <c r="F495" s="656"/>
      <c r="G495" s="506"/>
      <c r="H495" s="506"/>
      <c r="I495" s="656"/>
      <c r="J495" s="506"/>
      <c r="K495" s="506"/>
      <c r="L495" s="506"/>
      <c r="M495" s="656"/>
      <c r="N495" s="506"/>
      <c r="O495" s="506"/>
      <c r="P495" s="506"/>
      <c r="Q495" s="656"/>
      <c r="R495" s="656"/>
      <c r="S495" s="656"/>
      <c r="T495" s="506"/>
      <c r="U495" s="506"/>
      <c r="V495" s="599" t="s">
        <v>20</v>
      </c>
      <c r="W495" s="509"/>
      <c r="X495" s="509"/>
      <c r="Y495" s="509"/>
      <c r="Z495" s="770">
        <v>0</v>
      </c>
      <c r="AA495" s="769"/>
      <c r="AB495" s="769"/>
      <c r="AC495" s="770"/>
      <c r="AD495" s="778"/>
      <c r="AE495" s="777"/>
      <c r="AF495" s="770">
        <v>0</v>
      </c>
      <c r="AG495" s="771"/>
      <c r="AH495" s="772">
        <v>0</v>
      </c>
      <c r="AI495" s="773">
        <v>0</v>
      </c>
      <c r="AJ495" s="778"/>
      <c r="AK495" s="769"/>
      <c r="AL495" s="878">
        <v>0</v>
      </c>
      <c r="AM495" s="876"/>
      <c r="AN495" s="772">
        <v>0</v>
      </c>
      <c r="AO495" s="780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>
      <c r="A496" s="599" t="s">
        <v>470</v>
      </c>
      <c r="B496" s="503"/>
      <c r="C496" s="738" t="s">
        <v>227</v>
      </c>
      <c r="D496" s="506"/>
      <c r="E496" s="506"/>
      <c r="F496" s="656"/>
      <c r="G496" s="506"/>
      <c r="H496" s="506"/>
      <c r="I496" s="656"/>
      <c r="J496" s="506"/>
      <c r="K496" s="506"/>
      <c r="L496" s="506"/>
      <c r="M496" s="656"/>
      <c r="N496" s="506"/>
      <c r="O496" s="506"/>
      <c r="P496" s="506"/>
      <c r="Q496" s="656"/>
      <c r="R496" s="656"/>
      <c r="S496" s="656"/>
      <c r="T496" s="506"/>
      <c r="U496" s="506"/>
      <c r="V496" s="599" t="s">
        <v>470</v>
      </c>
      <c r="W496" s="509"/>
      <c r="X496" s="509"/>
      <c r="Y496" s="509"/>
      <c r="Z496" s="770">
        <v>-1079.1666666666667</v>
      </c>
      <c r="AA496" s="769"/>
      <c r="AB496" s="769"/>
      <c r="AC496" s="770"/>
      <c r="AD496" s="778"/>
      <c r="AE496" s="777"/>
      <c r="AF496" s="770">
        <v>-1079</v>
      </c>
      <c r="AG496" s="771"/>
      <c r="AH496" s="772">
        <v>0.16666666666674246</v>
      </c>
      <c r="AI496" s="773">
        <v>-1.5444015444022465E-4</v>
      </c>
      <c r="AJ496" s="778"/>
      <c r="AK496" s="769"/>
      <c r="AL496" s="770">
        <v>-1488.59</v>
      </c>
      <c r="AM496" s="876"/>
      <c r="AN496" s="772">
        <v>409.58999999999992</v>
      </c>
      <c r="AO496" s="780">
        <v>-0.2751529971315137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customHeight="1" thickBot="1">
      <c r="A497" s="522" t="s">
        <v>20</v>
      </c>
      <c r="B497" s="503"/>
      <c r="C497" s="738" t="s">
        <v>227</v>
      </c>
      <c r="D497" s="506"/>
      <c r="E497" s="506"/>
      <c r="F497" s="656"/>
      <c r="G497" s="506"/>
      <c r="H497" s="506"/>
      <c r="I497" s="656"/>
      <c r="J497" s="506"/>
      <c r="K497" s="506"/>
      <c r="L497" s="506"/>
      <c r="M497" s="656"/>
      <c r="N497" s="506"/>
      <c r="O497" s="506"/>
      <c r="P497" s="506"/>
      <c r="Q497" s="656"/>
      <c r="R497" s="656"/>
      <c r="S497" s="656"/>
      <c r="T497" s="506"/>
      <c r="U497" s="506"/>
      <c r="V497" s="599" t="s">
        <v>20</v>
      </c>
      <c r="W497" s="509"/>
      <c r="X497" s="506"/>
      <c r="Y497" s="509"/>
      <c r="Z497" s="770">
        <v>0</v>
      </c>
      <c r="AA497" s="769"/>
      <c r="AB497" s="769"/>
      <c r="AC497" s="770"/>
      <c r="AD497" s="778"/>
      <c r="AE497" s="777"/>
      <c r="AF497" s="770">
        <v>0</v>
      </c>
      <c r="AG497" s="771"/>
      <c r="AH497" s="772">
        <v>0</v>
      </c>
      <c r="AI497" s="773">
        <v>0</v>
      </c>
      <c r="AJ497" s="778"/>
      <c r="AK497" s="769"/>
      <c r="AL497" s="770">
        <v>0</v>
      </c>
      <c r="AM497" s="876"/>
      <c r="AN497" s="772">
        <v>0</v>
      </c>
      <c r="AO497" s="780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522" t="s">
        <v>191</v>
      </c>
      <c r="B498" s="503"/>
      <c r="C498" s="738" t="s">
        <v>227</v>
      </c>
      <c r="D498" s="506"/>
      <c r="E498" s="506"/>
      <c r="F498" s="656"/>
      <c r="G498" s="506"/>
      <c r="H498" s="506"/>
      <c r="I498" s="656"/>
      <c r="J498" s="506"/>
      <c r="K498" s="506"/>
      <c r="L498" s="506"/>
      <c r="M498" s="656"/>
      <c r="N498" s="506"/>
      <c r="O498" s="506"/>
      <c r="P498" s="506"/>
      <c r="Q498" s="656"/>
      <c r="R498" s="656"/>
      <c r="S498" s="656"/>
      <c r="T498" s="506"/>
      <c r="U498" s="506"/>
      <c r="V498" s="850" t="s">
        <v>191</v>
      </c>
      <c r="W498" s="851"/>
      <c r="X498" s="852" t="s">
        <v>185</v>
      </c>
      <c r="Y498" s="853">
        <v>2.3596904259658075E-2</v>
      </c>
      <c r="Z498" s="854">
        <v>165768.522130103</v>
      </c>
      <c r="AA498" s="852"/>
      <c r="AB498" s="853"/>
      <c r="AC498" s="854"/>
      <c r="AD498" s="852" t="s">
        <v>185</v>
      </c>
      <c r="AE498" s="853">
        <v>2.8521434916468347E-2</v>
      </c>
      <c r="AF498" s="855">
        <v>156769.2999999997</v>
      </c>
      <c r="AG498" s="856"/>
      <c r="AH498" s="856">
        <v>-8999.2221301032987</v>
      </c>
      <c r="AI498" s="857">
        <v>-5.4287882973585798E-2</v>
      </c>
      <c r="AJ498" s="858" t="s">
        <v>185</v>
      </c>
      <c r="AK498" s="853">
        <v>2.453135601419832E-2</v>
      </c>
      <c r="AL498" s="855">
        <v>116690.55999999892</v>
      </c>
      <c r="AM498" s="859"/>
      <c r="AN498" s="855">
        <v>40078.740000000776</v>
      </c>
      <c r="AO498" s="867">
        <v>0.34346171618339261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522" t="s">
        <v>469</v>
      </c>
      <c r="B499" s="503"/>
      <c r="C499" s="506"/>
      <c r="D499" s="506"/>
      <c r="E499" s="506"/>
      <c r="F499" s="656"/>
      <c r="G499" s="506"/>
      <c r="H499" s="506"/>
      <c r="I499" s="656"/>
      <c r="J499" s="506"/>
      <c r="K499" s="506"/>
      <c r="L499" s="506"/>
      <c r="M499" s="656"/>
      <c r="N499" s="506"/>
      <c r="O499" s="506"/>
      <c r="P499" s="506"/>
      <c r="Q499" s="656"/>
      <c r="R499" s="656"/>
      <c r="S499" s="656"/>
      <c r="T499" s="506"/>
      <c r="U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6"/>
      <c r="AA500" s="506"/>
      <c r="AB500" s="506"/>
      <c r="AC500" s="656"/>
      <c r="AE500" s="879" t="s">
        <v>479</v>
      </c>
      <c r="AF500" s="879">
        <v>90982</v>
      </c>
      <c r="AG500" s="506"/>
      <c r="AH500" s="506"/>
      <c r="AI500" s="506"/>
      <c r="AJ500" s="880"/>
      <c r="AK500" s="881"/>
      <c r="AL500" s="882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6"/>
      <c r="W501" s="506"/>
      <c r="X501" s="506"/>
      <c r="Y501" s="506"/>
      <c r="Z501" s="656"/>
      <c r="AA501" s="506"/>
      <c r="AB501" s="506"/>
      <c r="AC501" s="656"/>
      <c r="AD501" s="506"/>
      <c r="AE501" s="506"/>
      <c r="AF501" s="879"/>
      <c r="AG501" s="506"/>
      <c r="AH501" s="506"/>
      <c r="AI501" s="506"/>
      <c r="AJ501" s="506"/>
      <c r="AL501" s="882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9"/>
      <c r="W502" s="506"/>
      <c r="X502" s="506"/>
      <c r="Y502" s="506"/>
      <c r="AE502" s="506"/>
      <c r="AF502" s="656"/>
      <c r="AG502" s="506"/>
      <c r="AH502" s="506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9"/>
      <c r="W503" s="506"/>
      <c r="X503" s="506"/>
      <c r="Y503" s="506"/>
      <c r="Z503" s="506"/>
      <c r="AA503" s="506"/>
      <c r="AB503" s="506"/>
      <c r="AC503" s="506"/>
      <c r="AD503" s="506"/>
      <c r="AE503" s="506"/>
      <c r="AF503" s="506"/>
      <c r="AG503" s="506"/>
      <c r="AH503" s="506"/>
      <c r="AI503" s="506"/>
      <c r="AJ503" s="883"/>
      <c r="AK503" s="881"/>
      <c r="AL503" s="882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9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506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9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506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9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506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9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506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9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506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9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506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9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506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9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9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9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884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9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4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9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884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9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9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9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9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9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9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9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9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9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9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9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191" priority="4" stopIfTrue="1">
      <formula>"esterreur(reference)"</formula>
    </cfRule>
  </conditionalFormatting>
  <conditionalFormatting sqref="D172:D181">
    <cfRule type="expression" dxfId="190" priority="62" stopIfTrue="1">
      <formula>"esterreur(reference)"</formula>
    </cfRule>
  </conditionalFormatting>
  <conditionalFormatting sqref="D400">
    <cfRule type="expression" dxfId="189" priority="7" stopIfTrue="1">
      <formula>"esterreur(reference)"</formula>
    </cfRule>
  </conditionalFormatting>
  <conditionalFormatting sqref="E186">
    <cfRule type="expression" dxfId="188" priority="63" stopIfTrue="1">
      <formula>"esterreur(reference)"</formula>
    </cfRule>
  </conditionalFormatting>
  <conditionalFormatting sqref="F5">
    <cfRule type="expression" dxfId="187" priority="60" stopIfTrue="1">
      <formula>"esterreur(reference)"</formula>
    </cfRule>
  </conditionalFormatting>
  <conditionalFormatting sqref="F83:F85">
    <cfRule type="expression" dxfId="186" priority="59" stopIfTrue="1">
      <formula>"esterreur(reference)"</formula>
    </cfRule>
  </conditionalFormatting>
  <conditionalFormatting sqref="F101">
    <cfRule type="expression" dxfId="185" priority="64" stopIfTrue="1">
      <formula>"esterreur(reference)"</formula>
    </cfRule>
  </conditionalFormatting>
  <conditionalFormatting sqref="F184">
    <cfRule type="expression" dxfId="184" priority="28" stopIfTrue="1">
      <formula>"esterreur(reference)"</formula>
    </cfRule>
  </conditionalFormatting>
  <conditionalFormatting sqref="G31:G32">
    <cfRule type="expression" dxfId="183" priority="57" stopIfTrue="1">
      <formula>"esterreur(reference)"</formula>
    </cfRule>
  </conditionalFormatting>
  <conditionalFormatting sqref="G112:G113">
    <cfRule type="expression" dxfId="182" priority="54" stopIfTrue="1">
      <formula>"esterreur(reference)"</formula>
    </cfRule>
  </conditionalFormatting>
  <conditionalFormatting sqref="G172:G181">
    <cfRule type="expression" dxfId="181" priority="61" stopIfTrue="1">
      <formula>"esterreur(reference)"</formula>
    </cfRule>
  </conditionalFormatting>
  <conditionalFormatting sqref="H25:H26 H28:H72">
    <cfRule type="expression" dxfId="180" priority="56" stopIfTrue="1">
      <formula>"esterreur(reference)"</formula>
    </cfRule>
  </conditionalFormatting>
  <conditionalFormatting sqref="H360 J360:L360">
    <cfRule type="expression" dxfId="179" priority="16" stopIfTrue="1">
      <formula>"esterreur(reference)"</formula>
    </cfRule>
  </conditionalFormatting>
  <conditionalFormatting sqref="H197:L197">
    <cfRule type="expression" dxfId="178" priority="18" stopIfTrue="1">
      <formula>"esterreur(reference)"</formula>
    </cfRule>
  </conditionalFormatting>
  <conditionalFormatting sqref="H313:L313 H314:J314 L314 H315:L317">
    <cfRule type="expression" dxfId="177" priority="3" stopIfTrue="1">
      <formula>"esterreur(reference)"</formula>
    </cfRule>
  </conditionalFormatting>
  <conditionalFormatting sqref="H396:L399">
    <cfRule type="expression" dxfId="176" priority="14" stopIfTrue="1">
      <formula>"esterreur(reference)"</formula>
    </cfRule>
  </conditionalFormatting>
  <conditionalFormatting sqref="I16:I18 I20 I24:I30">
    <cfRule type="expression" dxfId="175" priority="58" stopIfTrue="1">
      <formula>"esterreur(reference)"</formula>
    </cfRule>
  </conditionalFormatting>
  <conditionalFormatting sqref="I377:L377 J378:L394 H378:H395">
    <cfRule type="expression" dxfId="174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173" priority="8" stopIfTrue="1">
      <formula>"esterreur(reference)"</formula>
    </cfRule>
  </conditionalFormatting>
  <conditionalFormatting sqref="K395">
    <cfRule type="expression" dxfId="172" priority="17" stopIfTrue="1">
      <formula>"esterreur(reference)"</formula>
    </cfRule>
  </conditionalFormatting>
  <conditionalFormatting sqref="K5:L5">
    <cfRule type="expression" dxfId="171" priority="27" stopIfTrue="1">
      <formula>"esterreur(reference)"</formula>
    </cfRule>
  </conditionalFormatting>
  <conditionalFormatting sqref="K244:L244">
    <cfRule type="expression" dxfId="170" priority="24" stopIfTrue="1">
      <formula>"esterreur(reference)"</formula>
    </cfRule>
  </conditionalFormatting>
  <conditionalFormatting sqref="K247:L247">
    <cfRule type="expression" dxfId="169" priority="25" stopIfTrue="1">
      <formula>"esterreur(reference)"</formula>
    </cfRule>
  </conditionalFormatting>
  <conditionalFormatting sqref="L42:L48">
    <cfRule type="expression" dxfId="168" priority="20" stopIfTrue="1">
      <formula>"esterreur(reference)"</formula>
    </cfRule>
  </conditionalFormatting>
  <conditionalFormatting sqref="L75:L82">
    <cfRule type="expression" dxfId="167" priority="2" stopIfTrue="1">
      <formula>"esterreur(reference)"</formula>
    </cfRule>
  </conditionalFormatting>
  <conditionalFormatting sqref="L156:L162">
    <cfRule type="expression" dxfId="166" priority="23" stopIfTrue="1">
      <formula>"esterreur(reference)"</formula>
    </cfRule>
  </conditionalFormatting>
  <conditionalFormatting sqref="L198 L202:L209">
    <cfRule type="expression" dxfId="165" priority="21" stopIfTrue="1">
      <formula>"esterreur(reference)"</formula>
    </cfRule>
  </conditionalFormatting>
  <conditionalFormatting sqref="L211:L228">
    <cfRule type="expression" dxfId="164" priority="22" stopIfTrue="1">
      <formula>"esterreur(reference)"</formula>
    </cfRule>
  </conditionalFormatting>
  <conditionalFormatting sqref="L254:L265">
    <cfRule type="expression" dxfId="163" priority="26" stopIfTrue="1">
      <formula>"esterreur(reference)"</formula>
    </cfRule>
  </conditionalFormatting>
  <conditionalFormatting sqref="L331:L335 L337:L348">
    <cfRule type="expression" dxfId="162" priority="19" stopIfTrue="1">
      <formula>"esterreur(reference)"</formula>
    </cfRule>
  </conditionalFormatting>
  <conditionalFormatting sqref="L356:L357 H357:I357 K357 J357:J358 H359:L359">
    <cfRule type="expression" dxfId="161" priority="13" stopIfTrue="1">
      <formula>"esterreur(reference)"</formula>
    </cfRule>
  </conditionalFormatting>
  <conditionalFormatting sqref="M95:M97">
    <cfRule type="expression" dxfId="160" priority="9" stopIfTrue="1">
      <formula>"esterreur(reference)"</formula>
    </cfRule>
  </conditionalFormatting>
  <conditionalFormatting sqref="N197:N209">
    <cfRule type="expression" dxfId="159" priority="1" stopIfTrue="1">
      <formula>"esterreur(reference)"</formula>
    </cfRule>
  </conditionalFormatting>
  <conditionalFormatting sqref="N318:N328">
    <cfRule type="expression" dxfId="158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157" priority="49" stopIfTrue="1">
      <formula>"esterreur(reference)"</formula>
    </cfRule>
  </conditionalFormatting>
  <conditionalFormatting sqref="O197:Q197">
    <cfRule type="expression" dxfId="156" priority="38" stopIfTrue="1">
      <formula>"esterreur(reference)"</formula>
    </cfRule>
  </conditionalFormatting>
  <conditionalFormatting sqref="O243:Q243 O252:Q253 O254:P284 Q282:Q285 O285 O288:Q288 O289:P289">
    <cfRule type="expression" dxfId="155" priority="44" stopIfTrue="1">
      <formula>"esterreur(reference)"</formula>
    </cfRule>
  </conditionalFormatting>
  <conditionalFormatting sqref="O359:Q394">
    <cfRule type="expression" dxfId="154" priority="51" stopIfTrue="1">
      <formula>"esterreur(reference)"</formula>
    </cfRule>
  </conditionalFormatting>
  <conditionalFormatting sqref="O396:Q399">
    <cfRule type="expression" dxfId="153" priority="52" stopIfTrue="1">
      <formula>"esterreur(reference)"</formula>
    </cfRule>
  </conditionalFormatting>
  <conditionalFormatting sqref="P5">
    <cfRule type="expression" dxfId="152" priority="32" stopIfTrue="1">
      <formula>"esterreur(reference)"</formula>
    </cfRule>
  </conditionalFormatting>
  <conditionalFormatting sqref="P175">
    <cfRule type="expression" dxfId="151" priority="41" stopIfTrue="1">
      <formula>"esterreur(reference)"</formula>
    </cfRule>
  </conditionalFormatting>
  <conditionalFormatting sqref="P178">
    <cfRule type="expression" dxfId="150" priority="42" stopIfTrue="1">
      <formula>"esterreur(reference)"</formula>
    </cfRule>
  </conditionalFormatting>
  <conditionalFormatting sqref="P181">
    <cfRule type="expression" dxfId="149" priority="43" stopIfTrue="1">
      <formula>"esterreur(reference)"</formula>
    </cfRule>
  </conditionalFormatting>
  <conditionalFormatting sqref="P395">
    <cfRule type="expression" dxfId="148" priority="53" stopIfTrue="1">
      <formula>"esterreur(reference)"</formula>
    </cfRule>
  </conditionalFormatting>
  <conditionalFormatting sqref="P93:Q96 O97:Q98 O156:P157 O164:Q164 O165:P165">
    <cfRule type="expression" dxfId="147" priority="35" stopIfTrue="1">
      <formula>"esterreur(reference)"</formula>
    </cfRule>
  </conditionalFormatting>
  <conditionalFormatting sqref="P99:Q100">
    <cfRule type="expression" dxfId="146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5" priority="37" stopIfTrue="1">
      <formula>"esterreur(reference)"</formula>
    </cfRule>
  </conditionalFormatting>
  <conditionalFormatting sqref="P182:Q196">
    <cfRule type="expression" dxfId="144" priority="5" stopIfTrue="1">
      <formula>"esterreur(reference)"</formula>
    </cfRule>
  </conditionalFormatting>
  <conditionalFormatting sqref="P241:Q241">
    <cfRule type="expression" dxfId="143" priority="48" stopIfTrue="1">
      <formula>"esterreur(reference)"</formula>
    </cfRule>
  </conditionalFormatting>
  <conditionalFormatting sqref="P244:Q244">
    <cfRule type="expression" dxfId="142" priority="45" stopIfTrue="1">
      <formula>"esterreur(reference)"</formula>
    </cfRule>
  </conditionalFormatting>
  <conditionalFormatting sqref="P247:Q247">
    <cfRule type="expression" dxfId="141" priority="46" stopIfTrue="1">
      <formula>"esterreur(reference)"</formula>
    </cfRule>
  </conditionalFormatting>
  <conditionalFormatting sqref="Q5:Q14 O13:O14 O16 Q16:Q24 O18:O24 O25:Q26 O27 Q27 O28:Q72 O83:Q85">
    <cfRule type="expression" dxfId="140" priority="31" stopIfTrue="1">
      <formula>"esterreur(reference)"</formula>
    </cfRule>
  </conditionalFormatting>
  <conditionalFormatting sqref="Q75:Q82">
    <cfRule type="expression" dxfId="139" priority="33" stopIfTrue="1">
      <formula>"esterreur(reference)"</formula>
    </cfRule>
  </conditionalFormatting>
  <conditionalFormatting sqref="Q156:Q162">
    <cfRule type="expression" dxfId="138" priority="36" stopIfTrue="1">
      <formula>"esterreur(reference)"</formula>
    </cfRule>
  </conditionalFormatting>
  <conditionalFormatting sqref="Q198:Q209">
    <cfRule type="expression" dxfId="137" priority="39" stopIfTrue="1">
      <formula>"esterreur(reference)"</formula>
    </cfRule>
  </conditionalFormatting>
  <conditionalFormatting sqref="Q211:Q228">
    <cfRule type="expression" dxfId="136" priority="40" stopIfTrue="1">
      <formula>"esterreur(reference)"</formula>
    </cfRule>
  </conditionalFormatting>
  <conditionalFormatting sqref="Q254:Q265">
    <cfRule type="expression" dxfId="135" priority="47" stopIfTrue="1">
      <formula>"esterreur(reference)"</formula>
    </cfRule>
  </conditionalFormatting>
  <conditionalFormatting sqref="Q331:Q348">
    <cfRule type="expression" dxfId="134" priority="50" stopIfTrue="1">
      <formula>"esterreur(reference)"</formula>
    </cfRule>
  </conditionalFormatting>
  <conditionalFormatting sqref="R312">
    <cfRule type="expression" dxfId="133" priority="10" stopIfTrue="1">
      <formula>"esterreur(reference)"</formula>
    </cfRule>
  </conditionalFormatting>
  <conditionalFormatting sqref="S186">
    <cfRule type="expression" dxfId="132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131" priority="11" operator="greaterThan">
      <formula>0</formula>
    </cfRule>
  </conditionalFormatting>
  <conditionalFormatting sqref="AH469:AI476 AH480:AI480">
    <cfRule type="cellIs" dxfId="130" priority="12" operator="lessThan">
      <formula>0</formula>
    </cfRule>
  </conditionalFormatting>
  <conditionalFormatting sqref="AH477:AI479">
    <cfRule type="cellIs" dxfId="129" priority="55" operator="greaterThan">
      <formula>0</formula>
    </cfRule>
  </conditionalFormatting>
  <conditionalFormatting sqref="AO409:AO418">
    <cfRule type="cellIs" dxfId="128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A4E8-D44D-4609-A72F-736422C63102}">
  <sheetPr>
    <tabColor rgb="FFFFC000"/>
  </sheetPr>
  <dimension ref="A1:BJ693"/>
  <sheetViews>
    <sheetView topLeftCell="U462" zoomScale="80" zoomScaleNormal="80" workbookViewId="0">
      <selection activeCell="W503" sqref="A1:XFD1048576"/>
    </sheetView>
  </sheetViews>
  <sheetFormatPr baseColWidth="10" defaultColWidth="12.625" defaultRowHeight="15" customHeight="1"/>
  <cols>
    <col min="1" max="1" width="10.375" style="494" hidden="1" customWidth="1"/>
    <col min="2" max="2" width="21.875" style="494" hidden="1" customWidth="1"/>
    <col min="3" max="3" width="31.25" style="494" customWidth="1"/>
    <col min="4" max="4" width="16.5" style="494" customWidth="1"/>
    <col min="5" max="5" width="14.625" style="494" customWidth="1"/>
    <col min="6" max="6" width="14" style="494" customWidth="1"/>
    <col min="7" max="7" width="17.75" style="494" hidden="1" customWidth="1"/>
    <col min="8" max="8" width="15.125" style="494" hidden="1" customWidth="1"/>
    <col min="9" max="9" width="14" style="494" hidden="1" customWidth="1"/>
    <col min="10" max="10" width="15.625" style="494" customWidth="1"/>
    <col min="11" max="11" width="15.5" style="494" customWidth="1"/>
    <col min="12" max="12" width="14.875" style="494" customWidth="1"/>
    <col min="13" max="14" width="16.25" style="494" customWidth="1"/>
    <col min="15" max="15" width="15.5" style="494" customWidth="1"/>
    <col min="16" max="16" width="14.625" style="494" customWidth="1"/>
    <col min="17" max="17" width="14.875" style="494" bestFit="1" customWidth="1"/>
    <col min="18" max="18" width="14.75" style="494" customWidth="1"/>
    <col min="19" max="19" width="19" style="494" customWidth="1"/>
    <col min="20" max="20" width="4.625" style="494" customWidth="1"/>
    <col min="21" max="21" width="31.75" style="494" customWidth="1"/>
    <col min="22" max="22" width="34" style="494" customWidth="1"/>
    <col min="23" max="23" width="12.25" style="494" customWidth="1"/>
    <col min="24" max="24" width="13.75" style="494" customWidth="1"/>
    <col min="25" max="25" width="15.125" style="494" customWidth="1"/>
    <col min="26" max="26" width="15" style="494" customWidth="1"/>
    <col min="27" max="27" width="11.125" style="494" hidden="1" customWidth="1"/>
    <col min="28" max="28" width="9.375" style="494" hidden="1" customWidth="1"/>
    <col min="29" max="29" width="14.5" style="494" hidden="1" customWidth="1"/>
    <col min="30" max="30" width="13.5" style="494" customWidth="1"/>
    <col min="31" max="31" width="14.25" style="494" customWidth="1"/>
    <col min="32" max="32" width="14.1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75" style="494" customWidth="1"/>
    <col min="37" max="37" width="11.375" style="494" customWidth="1"/>
    <col min="38" max="38" width="12.75" style="494" customWidth="1"/>
    <col min="39" max="39" width="9" style="494" customWidth="1"/>
    <col min="40" max="40" width="11.5" style="494" bestFit="1" customWidth="1"/>
    <col min="41" max="41" width="14.75" style="494" customWidth="1"/>
    <col min="42" max="42" width="11" style="494" customWidth="1"/>
    <col min="43" max="43" width="48.375" style="494" customWidth="1"/>
    <col min="44" max="62" width="11" style="494" customWidth="1"/>
    <col min="63" max="16384" width="12.625" style="494"/>
  </cols>
  <sheetData>
    <row r="1" spans="1:40" ht="36" thickBot="1">
      <c r="B1" s="495"/>
      <c r="C1" s="496" t="s">
        <v>478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483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471</v>
      </c>
      <c r="W2" s="508"/>
    </row>
    <row r="3" spans="1:40" ht="21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220</v>
      </c>
      <c r="N3" s="513"/>
      <c r="O3" s="511" t="s">
        <v>8</v>
      </c>
      <c r="P3" s="512"/>
      <c r="Q3" s="513"/>
      <c r="R3" s="514" t="s">
        <v>221</v>
      </c>
      <c r="S3" s="513"/>
      <c r="T3" s="509"/>
      <c r="U3" s="509"/>
      <c r="V3" s="515" t="s">
        <v>472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25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473</v>
      </c>
      <c r="K4" s="519" t="s">
        <v>13</v>
      </c>
      <c r="L4" s="520" t="s">
        <v>12</v>
      </c>
      <c r="M4" s="521" t="s">
        <v>473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473</v>
      </c>
      <c r="S4" s="520" t="s">
        <v>12</v>
      </c>
      <c r="T4" s="509"/>
      <c r="U4" s="509"/>
      <c r="V4" s="515" t="s">
        <v>474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25">
      <c r="A5" s="522" t="s">
        <v>228</v>
      </c>
      <c r="B5" s="509" t="s">
        <v>0</v>
      </c>
      <c r="C5" s="523" t="s">
        <v>15</v>
      </c>
      <c r="D5" s="524"/>
      <c r="E5" s="524"/>
      <c r="F5" s="525">
        <v>4620342.1981831538</v>
      </c>
      <c r="G5" s="524"/>
      <c r="H5" s="524"/>
      <c r="I5" s="526"/>
      <c r="J5" s="523"/>
      <c r="K5" s="527"/>
      <c r="L5" s="525">
        <v>4142859.5</v>
      </c>
      <c r="M5" s="528"/>
      <c r="N5" s="529"/>
      <c r="O5" s="523"/>
      <c r="P5" s="527"/>
      <c r="Q5" s="525">
        <v>2101403.2899999898</v>
      </c>
      <c r="R5" s="528"/>
      <c r="S5" s="529"/>
      <c r="T5" s="509"/>
      <c r="U5" s="509"/>
      <c r="V5" s="515" t="s">
        <v>222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25">
      <c r="A6" s="522" t="s">
        <v>229</v>
      </c>
      <c r="B6" s="509" t="s">
        <v>0</v>
      </c>
      <c r="C6" s="530" t="s">
        <v>16</v>
      </c>
      <c r="D6" s="531">
        <v>23</v>
      </c>
      <c r="E6" s="531">
        <v>1953.6491683802797</v>
      </c>
      <c r="F6" s="531">
        <v>44933.93087274643</v>
      </c>
      <c r="G6" s="532"/>
      <c r="H6" s="531"/>
      <c r="I6" s="531"/>
      <c r="J6" s="532">
        <v>10</v>
      </c>
      <c r="K6" s="531">
        <v>1542.2959999999991</v>
      </c>
      <c r="L6" s="533">
        <v>15422.959999999992</v>
      </c>
      <c r="M6" s="532">
        <v>-13</v>
      </c>
      <c r="N6" s="533">
        <v>-29510.970872746439</v>
      </c>
      <c r="O6" s="532">
        <v>8</v>
      </c>
      <c r="P6" s="531">
        <v>2031.0612499999875</v>
      </c>
      <c r="Q6" s="533">
        <v>16248.4899999999</v>
      </c>
      <c r="R6" s="532">
        <v>2</v>
      </c>
      <c r="S6" s="533">
        <v>-825.52999999990789</v>
      </c>
      <c r="T6" s="509"/>
      <c r="U6" s="509"/>
      <c r="V6" s="515" t="s">
        <v>475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25">
      <c r="A7" s="522" t="s">
        <v>230</v>
      </c>
      <c r="B7" s="509" t="s">
        <v>0</v>
      </c>
      <c r="C7" s="530" t="s">
        <v>17</v>
      </c>
      <c r="D7" s="531">
        <v>60</v>
      </c>
      <c r="E7" s="531">
        <v>2435.9046775963693</v>
      </c>
      <c r="F7" s="531">
        <v>146154.28065578215</v>
      </c>
      <c r="G7" s="532"/>
      <c r="H7" s="531"/>
      <c r="I7" s="531"/>
      <c r="J7" s="532">
        <v>60</v>
      </c>
      <c r="K7" s="531">
        <v>1856.0264999999965</v>
      </c>
      <c r="L7" s="533">
        <v>111361.58999999979</v>
      </c>
      <c r="M7" s="532">
        <v>0</v>
      </c>
      <c r="N7" s="533">
        <v>-34792.690655782353</v>
      </c>
      <c r="O7" s="532">
        <v>27</v>
      </c>
      <c r="P7" s="531">
        <v>2114.5018518518482</v>
      </c>
      <c r="Q7" s="533">
        <v>57091.549999999901</v>
      </c>
      <c r="R7" s="532">
        <v>33</v>
      </c>
      <c r="S7" s="533">
        <v>54270.039999999892</v>
      </c>
      <c r="T7" s="509"/>
      <c r="U7" s="509"/>
      <c r="V7" s="515" t="s">
        <v>476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522" t="s">
        <v>231</v>
      </c>
      <c r="B8" s="509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09"/>
      <c r="U8" s="509"/>
      <c r="V8" s="534"/>
      <c r="W8" s="535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522" t="s">
        <v>232</v>
      </c>
      <c r="B9" s="509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522" t="s">
        <v>233</v>
      </c>
      <c r="B10" s="509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522" t="s">
        <v>233</v>
      </c>
      <c r="B11" s="509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522" t="s">
        <v>233</v>
      </c>
      <c r="B12" s="509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0.25">
      <c r="A13" s="522" t="s">
        <v>234</v>
      </c>
      <c r="B13" s="509" t="s">
        <v>0</v>
      </c>
      <c r="C13" s="536" t="s">
        <v>21</v>
      </c>
      <c r="D13" s="537">
        <v>83</v>
      </c>
      <c r="E13" s="537">
        <v>2302.2676087774526</v>
      </c>
      <c r="F13" s="538">
        <v>191088.21152852857</v>
      </c>
      <c r="G13" s="539"/>
      <c r="H13" s="537"/>
      <c r="I13" s="538"/>
      <c r="J13" s="539">
        <v>70</v>
      </c>
      <c r="K13" s="537">
        <v>1811.207857142854</v>
      </c>
      <c r="L13" s="538">
        <v>126784.54999999978</v>
      </c>
      <c r="M13" s="539">
        <v>-13</v>
      </c>
      <c r="N13" s="538">
        <v>-64303.661528528792</v>
      </c>
      <c r="O13" s="539">
        <v>35</v>
      </c>
      <c r="P13" s="537">
        <v>2095.4297142857085</v>
      </c>
      <c r="Q13" s="538">
        <v>73340.039999999804</v>
      </c>
      <c r="R13" s="539">
        <v>35</v>
      </c>
      <c r="S13" s="538">
        <v>53444.50999999998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25">
      <c r="A14" s="522" t="s">
        <v>0</v>
      </c>
      <c r="B14" s="509" t="s">
        <v>0</v>
      </c>
      <c r="C14" s="530"/>
      <c r="D14" s="509"/>
      <c r="E14" s="531"/>
      <c r="F14" s="540"/>
      <c r="G14" s="530"/>
      <c r="H14" s="531"/>
      <c r="I14" s="540"/>
      <c r="J14" s="530"/>
      <c r="K14" s="531"/>
      <c r="L14" s="540"/>
      <c r="M14" s="541">
        <v>-0.15662650602409639</v>
      </c>
      <c r="N14" s="542">
        <v>-0.33651296966023758</v>
      </c>
      <c r="O14" s="530"/>
      <c r="P14" s="531"/>
      <c r="Q14" s="540"/>
      <c r="R14" s="541">
        <v>1</v>
      </c>
      <c r="S14" s="542">
        <v>0.72872212777631595</v>
      </c>
      <c r="T14" s="509"/>
      <c r="U14" s="509"/>
      <c r="V14" s="509"/>
      <c r="W14" s="531"/>
      <c r="X14" s="531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0.25">
      <c r="A15" s="522" t="s">
        <v>235</v>
      </c>
      <c r="B15" s="509" t="s">
        <v>0</v>
      </c>
      <c r="C15" s="543" t="s">
        <v>22</v>
      </c>
      <c r="D15" s="527">
        <v>4</v>
      </c>
      <c r="E15" s="527">
        <v>1534.7521433415677</v>
      </c>
      <c r="F15" s="525">
        <v>6139.0085733662709</v>
      </c>
      <c r="G15" s="544"/>
      <c r="H15" s="527"/>
      <c r="I15" s="525"/>
      <c r="J15" s="545">
        <v>2</v>
      </c>
      <c r="K15" s="546">
        <v>2386.7100000000064</v>
      </c>
      <c r="L15" s="546">
        <v>4773.4200000000128</v>
      </c>
      <c r="M15" s="544">
        <v>-2</v>
      </c>
      <c r="N15" s="525">
        <v>-1365.5885733662581</v>
      </c>
      <c r="O15" s="545">
        <v>2</v>
      </c>
      <c r="P15" s="546">
        <v>1396.229999999995</v>
      </c>
      <c r="Q15" s="546">
        <v>2792.45999999999</v>
      </c>
      <c r="R15" s="544">
        <v>0</v>
      </c>
      <c r="S15" s="525">
        <v>1980.9600000000228</v>
      </c>
      <c r="T15" s="509"/>
      <c r="U15" s="522"/>
      <c r="V15" s="531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0.25">
      <c r="A16" s="522" t="s">
        <v>0</v>
      </c>
      <c r="B16" s="509" t="s">
        <v>0</v>
      </c>
      <c r="C16" s="530"/>
      <c r="D16" s="509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0.25">
      <c r="A17" s="522" t="s">
        <v>236</v>
      </c>
      <c r="B17" s="509" t="s">
        <v>0</v>
      </c>
      <c r="C17" s="549" t="s">
        <v>23</v>
      </c>
      <c r="D17" s="531">
        <v>2</v>
      </c>
      <c r="E17" s="531">
        <v>2393.8521192147828</v>
      </c>
      <c r="F17" s="531">
        <v>4787.7042384295655</v>
      </c>
      <c r="G17" s="532"/>
      <c r="H17" s="531"/>
      <c r="I17" s="531"/>
      <c r="J17" s="544">
        <v>2</v>
      </c>
      <c r="K17" s="531">
        <v>3786.0849999999991</v>
      </c>
      <c r="L17" s="533">
        <v>7572.1699999999983</v>
      </c>
      <c r="M17" s="544">
        <v>0</v>
      </c>
      <c r="N17" s="533">
        <v>2784.4657615704327</v>
      </c>
      <c r="O17" s="544">
        <v>3</v>
      </c>
      <c r="P17" s="531">
        <v>1478.87333333333</v>
      </c>
      <c r="Q17" s="533">
        <v>4436.6199999999899</v>
      </c>
      <c r="R17" s="532">
        <v>-1</v>
      </c>
      <c r="S17" s="533">
        <v>3135.5500000000084</v>
      </c>
      <c r="T17" s="509"/>
      <c r="U17" s="506"/>
      <c r="V17" s="550"/>
      <c r="W17" s="509"/>
      <c r="X17" s="509"/>
      <c r="Y17" s="509"/>
      <c r="Z17" s="509"/>
      <c r="AA17" s="531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0.25">
      <c r="A18" s="522" t="s">
        <v>0</v>
      </c>
      <c r="B18" s="509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0.25">
      <c r="A19" s="522" t="s">
        <v>237</v>
      </c>
      <c r="B19" s="509" t="s">
        <v>0</v>
      </c>
      <c r="C19" s="543" t="s">
        <v>24</v>
      </c>
      <c r="D19" s="531">
        <v>0</v>
      </c>
      <c r="E19" s="531">
        <v>0</v>
      </c>
      <c r="F19" s="531">
        <v>9350</v>
      </c>
      <c r="G19" s="532"/>
      <c r="H19" s="531"/>
      <c r="I19" s="531"/>
      <c r="J19" s="544"/>
      <c r="K19" s="531"/>
      <c r="L19" s="533">
        <v>10650.010000000009</v>
      </c>
      <c r="M19" s="532"/>
      <c r="N19" s="533">
        <v>1300.0100000000093</v>
      </c>
      <c r="O19" s="544"/>
      <c r="P19" s="531"/>
      <c r="Q19" s="533">
        <v>7700</v>
      </c>
      <c r="R19" s="532">
        <v>0</v>
      </c>
      <c r="S19" s="533">
        <v>2950.0100000000093</v>
      </c>
      <c r="T19" s="509"/>
      <c r="W19" s="531"/>
      <c r="X19" s="554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0.25">
      <c r="A20" s="522" t="s">
        <v>0</v>
      </c>
      <c r="B20" s="509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09"/>
      <c r="U20" s="509"/>
      <c r="W20" s="531"/>
      <c r="X20" s="554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522" t="s">
        <v>238</v>
      </c>
      <c r="B21" s="509" t="s">
        <v>0</v>
      </c>
      <c r="C21" s="530" t="s">
        <v>25</v>
      </c>
      <c r="D21" s="531">
        <v>0</v>
      </c>
      <c r="E21" s="531">
        <v>0</v>
      </c>
      <c r="F21" s="531">
        <v>4350</v>
      </c>
      <c r="G21" s="532"/>
      <c r="H21" s="531"/>
      <c r="I21" s="531"/>
      <c r="J21" s="532"/>
      <c r="K21" s="531">
        <v>0</v>
      </c>
      <c r="L21" s="533">
        <v>0</v>
      </c>
      <c r="M21" s="532"/>
      <c r="N21" s="533">
        <v>-4350</v>
      </c>
      <c r="O21" s="532"/>
      <c r="P21" s="531"/>
      <c r="Q21" s="533">
        <v>0</v>
      </c>
      <c r="R21" s="532">
        <v>0</v>
      </c>
      <c r="S21" s="533">
        <v>0</v>
      </c>
      <c r="T21" s="509"/>
      <c r="U21" s="509"/>
      <c r="W21" s="509"/>
      <c r="X21" s="554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522" t="s">
        <v>239</v>
      </c>
      <c r="B22" s="509" t="s">
        <v>0</v>
      </c>
      <c r="C22" s="530" t="s">
        <v>26</v>
      </c>
      <c r="D22" s="531">
        <v>0</v>
      </c>
      <c r="E22" s="531">
        <v>0</v>
      </c>
      <c r="F22" s="531">
        <v>80910</v>
      </c>
      <c r="G22" s="532"/>
      <c r="H22" s="531"/>
      <c r="I22" s="531"/>
      <c r="J22" s="532"/>
      <c r="K22" s="531">
        <v>995.15555555555557</v>
      </c>
      <c r="L22" s="533">
        <v>71651.199999999997</v>
      </c>
      <c r="M22" s="532"/>
      <c r="N22" s="533">
        <v>-9258.8000000000029</v>
      </c>
      <c r="O22" s="532"/>
      <c r="P22" s="531"/>
      <c r="Q22" s="533">
        <v>38628.6</v>
      </c>
      <c r="R22" s="532">
        <v>-995.15555555555557</v>
      </c>
      <c r="S22" s="533">
        <v>33022.6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522" t="s">
        <v>240</v>
      </c>
      <c r="B23" s="509" t="s">
        <v>0</v>
      </c>
      <c r="C23" s="530" t="s">
        <v>27</v>
      </c>
      <c r="D23" s="531">
        <v>0</v>
      </c>
      <c r="E23" s="531">
        <v>0</v>
      </c>
      <c r="F23" s="531">
        <v>1740</v>
      </c>
      <c r="G23" s="532"/>
      <c r="H23" s="531"/>
      <c r="I23" s="531"/>
      <c r="J23" s="532"/>
      <c r="K23" s="531">
        <v>13.881805555555555</v>
      </c>
      <c r="L23" s="533">
        <v>999.49</v>
      </c>
      <c r="M23" s="544"/>
      <c r="N23" s="533">
        <v>-740.51</v>
      </c>
      <c r="O23" s="532"/>
      <c r="P23" s="531"/>
      <c r="Q23" s="533">
        <v>645.16</v>
      </c>
      <c r="R23" s="532">
        <v>-13.881805555555555</v>
      </c>
      <c r="S23" s="533">
        <v>354.33000000000004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522" t="s">
        <v>241</v>
      </c>
      <c r="B24" s="509" t="s">
        <v>0</v>
      </c>
      <c r="C24" s="536" t="s">
        <v>28</v>
      </c>
      <c r="D24" s="537">
        <v>87</v>
      </c>
      <c r="E24" s="537">
        <v>1000</v>
      </c>
      <c r="F24" s="538">
        <v>87000</v>
      </c>
      <c r="G24" s="539"/>
      <c r="H24" s="537"/>
      <c r="I24" s="538"/>
      <c r="J24" s="537">
        <v>72</v>
      </c>
      <c r="K24" s="537">
        <v>1009.0373611111112</v>
      </c>
      <c r="L24" s="538">
        <v>72650.69</v>
      </c>
      <c r="M24" s="555">
        <v>-15</v>
      </c>
      <c r="N24" s="538">
        <v>-14349.309999999998</v>
      </c>
      <c r="O24" s="539">
        <v>37</v>
      </c>
      <c r="P24" s="537">
        <v>1061.4529729729729</v>
      </c>
      <c r="Q24" s="538">
        <v>39273.760000000002</v>
      </c>
      <c r="R24" s="553"/>
      <c r="S24" s="538">
        <v>33376.93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522" t="s">
        <v>0</v>
      </c>
      <c r="B25" s="509" t="s">
        <v>0</v>
      </c>
      <c r="C25" s="530"/>
      <c r="D25" s="509"/>
      <c r="E25" s="509"/>
      <c r="F25" s="556"/>
      <c r="G25" s="530"/>
      <c r="H25" s="509"/>
      <c r="I25" s="556"/>
      <c r="J25" s="530"/>
      <c r="K25" s="509"/>
      <c r="L25" s="556"/>
      <c r="M25" s="547"/>
      <c r="N25" s="548">
        <v>-0.1649345977011494</v>
      </c>
      <c r="O25" s="530"/>
      <c r="P25" s="509"/>
      <c r="Q25" s="556"/>
      <c r="R25" s="557"/>
      <c r="S25" s="548">
        <v>0.84985318441626156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522" t="s">
        <v>0</v>
      </c>
      <c r="B26" s="509" t="s">
        <v>0</v>
      </c>
      <c r="C26" s="530"/>
      <c r="D26" s="509"/>
      <c r="E26" s="509"/>
      <c r="F26" s="540"/>
      <c r="G26" s="530"/>
      <c r="H26" s="509"/>
      <c r="I26" s="540"/>
      <c r="J26" s="530"/>
      <c r="K26" s="509"/>
      <c r="L26" s="540"/>
      <c r="M26" s="530"/>
      <c r="N26" s="540"/>
      <c r="O26" s="530"/>
      <c r="P26" s="509"/>
      <c r="Q26" s="540"/>
      <c r="R26" s="530"/>
      <c r="S26" s="540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522" t="s">
        <v>242</v>
      </c>
      <c r="B27" s="509" t="s">
        <v>0</v>
      </c>
      <c r="C27" s="558" t="s">
        <v>29</v>
      </c>
      <c r="D27" s="559">
        <v>89</v>
      </c>
      <c r="E27" s="560">
        <v>3352.4148802283644</v>
      </c>
      <c r="F27" s="561">
        <v>298364.92434032442</v>
      </c>
      <c r="G27" s="562"/>
      <c r="H27" s="560"/>
      <c r="I27" s="561"/>
      <c r="J27" s="562">
        <v>74</v>
      </c>
      <c r="K27" s="560">
        <v>3005.8221621621597</v>
      </c>
      <c r="L27" s="561">
        <v>222430.83999999982</v>
      </c>
      <c r="M27" s="562">
        <v>-15</v>
      </c>
      <c r="N27" s="561">
        <v>-75934.084340324596</v>
      </c>
      <c r="O27" s="562">
        <v>40</v>
      </c>
      <c r="P27" s="560">
        <v>3188.5719999999951</v>
      </c>
      <c r="Q27" s="561">
        <v>127542.8799999998</v>
      </c>
      <c r="R27" s="562">
        <v>34</v>
      </c>
      <c r="S27" s="561">
        <v>94887.960000000021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522" t="s">
        <v>0</v>
      </c>
      <c r="B28" s="509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0.74549929249152691</v>
      </c>
      <c r="M28" s="568">
        <v>-0.16853932584269662</v>
      </c>
      <c r="N28" s="569">
        <v>-0.25450070750847303</v>
      </c>
      <c r="O28" s="563"/>
      <c r="P28" s="564"/>
      <c r="Q28" s="565"/>
      <c r="R28" s="568">
        <v>0.85</v>
      </c>
      <c r="S28" s="569">
        <v>0.74396908710231546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522" t="s">
        <v>0</v>
      </c>
      <c r="B29" s="509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09"/>
      <c r="U29" s="572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522" t="s">
        <v>243</v>
      </c>
      <c r="B30" s="509" t="s">
        <v>0</v>
      </c>
      <c r="C30" s="573" t="s">
        <v>30</v>
      </c>
      <c r="D30" s="509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522" t="s">
        <v>244</v>
      </c>
      <c r="B31" s="509" t="s">
        <v>0</v>
      </c>
      <c r="C31" s="530" t="s">
        <v>31</v>
      </c>
      <c r="D31" s="575">
        <v>0.31738468467625353</v>
      </c>
      <c r="E31" s="572">
        <v>719.50458691510289</v>
      </c>
      <c r="F31" s="531">
        <v>62596.899061613949</v>
      </c>
      <c r="G31" s="576"/>
      <c r="H31" s="572"/>
      <c r="I31" s="531"/>
      <c r="J31" s="576">
        <v>0.26163338871074271</v>
      </c>
      <c r="K31" s="572">
        <v>505.57069444444437</v>
      </c>
      <c r="L31" s="531">
        <v>36401.089999999997</v>
      </c>
      <c r="M31" s="530"/>
      <c r="N31" s="556">
        <v>-26195.809061613953</v>
      </c>
      <c r="O31" s="577">
        <v>0.29663461633936256</v>
      </c>
      <c r="P31" s="572">
        <v>645.93486486486483</v>
      </c>
      <c r="Q31" s="533">
        <v>23899.59</v>
      </c>
      <c r="R31" s="530"/>
      <c r="S31" s="556">
        <v>12501.499999999996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522" t="s">
        <v>245</v>
      </c>
      <c r="B32" s="509" t="s">
        <v>0</v>
      </c>
      <c r="C32" s="523" t="s">
        <v>32</v>
      </c>
      <c r="D32" s="578">
        <v>0.28000000000000003</v>
      </c>
      <c r="E32" s="579">
        <v>280.00000000000006</v>
      </c>
      <c r="F32" s="525">
        <v>24360.000000000004</v>
      </c>
      <c r="G32" s="580"/>
      <c r="H32" s="579"/>
      <c r="I32" s="525"/>
      <c r="J32" s="580">
        <v>0.26999660980508233</v>
      </c>
      <c r="K32" s="579">
        <v>272.43666666666667</v>
      </c>
      <c r="L32" s="525">
        <v>19615.439999999999</v>
      </c>
      <c r="M32" s="523"/>
      <c r="N32" s="581">
        <v>-4744.5600000000049</v>
      </c>
      <c r="O32" s="582">
        <v>0.27998974378821889</v>
      </c>
      <c r="P32" s="579">
        <v>297.19594594594594</v>
      </c>
      <c r="Q32" s="525">
        <v>10996.25</v>
      </c>
      <c r="R32" s="523"/>
      <c r="S32" s="581">
        <v>8619.1899999999987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522" t="s">
        <v>246</v>
      </c>
      <c r="B33" s="509" t="s">
        <v>0</v>
      </c>
      <c r="C33" s="530" t="s">
        <v>33</v>
      </c>
      <c r="D33" s="583"/>
      <c r="E33" s="572">
        <v>115</v>
      </c>
      <c r="F33" s="531">
        <v>10005</v>
      </c>
      <c r="G33" s="584"/>
      <c r="H33" s="572"/>
      <c r="I33" s="531"/>
      <c r="J33" s="530"/>
      <c r="K33" s="572">
        <v>73.221249999999998</v>
      </c>
      <c r="L33" s="531">
        <v>5271.93</v>
      </c>
      <c r="M33" s="530"/>
      <c r="N33" s="556">
        <v>-4733.07</v>
      </c>
      <c r="O33" s="530"/>
      <c r="P33" s="572">
        <v>233.92756756756756</v>
      </c>
      <c r="Q33" s="533">
        <v>8655.32</v>
      </c>
      <c r="R33" s="530"/>
      <c r="S33" s="556">
        <v>-3383.3899999999994</v>
      </c>
      <c r="T33" s="509"/>
      <c r="U33" s="585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522" t="s">
        <v>247</v>
      </c>
      <c r="B34" s="509" t="s">
        <v>0</v>
      </c>
      <c r="C34" s="530" t="s">
        <v>34</v>
      </c>
      <c r="D34" s="583"/>
      <c r="E34" s="572">
        <v>10</v>
      </c>
      <c r="F34" s="531">
        <v>870</v>
      </c>
      <c r="G34" s="584"/>
      <c r="H34" s="572"/>
      <c r="I34" s="531"/>
      <c r="J34" s="530"/>
      <c r="K34" s="572">
        <v>3.7194444444444446</v>
      </c>
      <c r="L34" s="531">
        <v>267.8</v>
      </c>
      <c r="M34" s="530"/>
      <c r="N34" s="556">
        <v>-602.20000000000005</v>
      </c>
      <c r="O34" s="530"/>
      <c r="P34" s="572">
        <v>108.85891891891893</v>
      </c>
      <c r="Q34" s="533">
        <v>4027.78</v>
      </c>
      <c r="R34" s="530"/>
      <c r="S34" s="556">
        <v>-3759.98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522" t="s">
        <v>248</v>
      </c>
      <c r="B35" s="509" t="s">
        <v>0</v>
      </c>
      <c r="C35" s="523" t="s">
        <v>35</v>
      </c>
      <c r="D35" s="586"/>
      <c r="E35" s="579">
        <v>120.75</v>
      </c>
      <c r="F35" s="525">
        <v>10505.25</v>
      </c>
      <c r="G35" s="587"/>
      <c r="H35" s="579"/>
      <c r="I35" s="525"/>
      <c r="J35" s="523"/>
      <c r="K35" s="579">
        <v>109.28874999999999</v>
      </c>
      <c r="L35" s="525">
        <v>7868.79</v>
      </c>
      <c r="M35" s="523"/>
      <c r="N35" s="581">
        <v>-2636.46</v>
      </c>
      <c r="O35" s="523"/>
      <c r="P35" s="579">
        <v>212.08675675675676</v>
      </c>
      <c r="Q35" s="533">
        <v>7847.21</v>
      </c>
      <c r="R35" s="523"/>
      <c r="S35" s="581">
        <v>21.579999999999927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522" t="s">
        <v>249</v>
      </c>
      <c r="B36" s="509" t="s">
        <v>0</v>
      </c>
      <c r="C36" s="530" t="s">
        <v>36</v>
      </c>
      <c r="D36" s="583"/>
      <c r="E36" s="572">
        <v>31.74712643678161</v>
      </c>
      <c r="F36" s="531">
        <v>2762</v>
      </c>
      <c r="G36" s="584"/>
      <c r="H36" s="572"/>
      <c r="I36" s="531"/>
      <c r="J36" s="530"/>
      <c r="K36" s="572">
        <v>53.550416666666656</v>
      </c>
      <c r="L36" s="588">
        <v>3855.6299999999992</v>
      </c>
      <c r="M36" s="509"/>
      <c r="N36" s="556">
        <v>1093.6299999999992</v>
      </c>
      <c r="O36" s="530"/>
      <c r="P36" s="572">
        <v>527.05567567567573</v>
      </c>
      <c r="Q36" s="552">
        <v>19501.060000000001</v>
      </c>
      <c r="R36" s="530"/>
      <c r="S36" s="556">
        <v>-15645.430000000002</v>
      </c>
      <c r="T36" s="509"/>
      <c r="U36" s="522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522" t="s">
        <v>250</v>
      </c>
      <c r="B37" s="509" t="s">
        <v>0</v>
      </c>
      <c r="C37" s="530" t="s">
        <v>37</v>
      </c>
      <c r="D37" s="583"/>
      <c r="E37" s="572">
        <v>402.18681716336067</v>
      </c>
      <c r="F37" s="531">
        <v>34990.253093212377</v>
      </c>
      <c r="G37" s="584"/>
      <c r="H37" s="572"/>
      <c r="I37" s="531"/>
      <c r="J37" s="530"/>
      <c r="K37" s="572">
        <v>337.88694444444445</v>
      </c>
      <c r="L37" s="589">
        <v>24327.86</v>
      </c>
      <c r="M37" s="509"/>
      <c r="N37" s="556">
        <v>-10662.393093212377</v>
      </c>
      <c r="O37" s="530"/>
      <c r="P37" s="572">
        <v>-1003.7751351351351</v>
      </c>
      <c r="Q37" s="533">
        <v>-37139.68</v>
      </c>
      <c r="R37" s="530"/>
      <c r="S37" s="556">
        <v>61467.54</v>
      </c>
      <c r="T37" s="509"/>
      <c r="U37" s="522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522" t="s">
        <v>233</v>
      </c>
      <c r="B38" s="509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9">
        <v>0</v>
      </c>
      <c r="M38" s="509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522" t="s">
        <v>233</v>
      </c>
      <c r="B39" s="509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9">
        <v>0</v>
      </c>
      <c r="M39" s="509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522" t="s">
        <v>233</v>
      </c>
      <c r="B40" s="509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90">
        <v>0</v>
      </c>
      <c r="M40" s="509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522" t="s">
        <v>251</v>
      </c>
      <c r="B41" s="509" t="s">
        <v>0</v>
      </c>
      <c r="C41" s="591" t="s">
        <v>38</v>
      </c>
      <c r="D41" s="592" t="s">
        <v>39</v>
      </c>
      <c r="E41" s="593">
        <v>0.4896332988129401</v>
      </c>
      <c r="F41" s="594">
        <v>146089.40215482633</v>
      </c>
      <c r="G41" s="595"/>
      <c r="H41" s="593"/>
      <c r="I41" s="594"/>
      <c r="J41" s="595" t="s">
        <v>39</v>
      </c>
      <c r="K41" s="593">
        <v>0.43882646848791329</v>
      </c>
      <c r="L41" s="594">
        <v>97608.540000000008</v>
      </c>
      <c r="M41" s="596"/>
      <c r="N41" s="594">
        <v>-48480.862154826318</v>
      </c>
      <c r="O41" s="595" t="s">
        <v>39</v>
      </c>
      <c r="P41" s="593">
        <v>0.29627314358904278</v>
      </c>
      <c r="Q41" s="597">
        <v>37787.529999999992</v>
      </c>
      <c r="R41" s="598"/>
      <c r="S41" s="594">
        <v>59821.010000000017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522" t="s">
        <v>252</v>
      </c>
      <c r="B42" s="509" t="s">
        <v>0</v>
      </c>
      <c r="C42" s="599" t="s">
        <v>41</v>
      </c>
      <c r="D42" s="509"/>
      <c r="E42" s="509"/>
      <c r="F42" s="531">
        <v>24486.465384615389</v>
      </c>
      <c r="G42" s="530"/>
      <c r="H42" s="509"/>
      <c r="I42" s="531"/>
      <c r="J42" s="530"/>
      <c r="K42" s="509"/>
      <c r="L42" s="533">
        <v>16358.33</v>
      </c>
      <c r="M42" s="530"/>
      <c r="N42" s="556">
        <v>-8128.1353846153888</v>
      </c>
      <c r="O42" s="530"/>
      <c r="P42" s="600">
        <v>0.1901608306163389</v>
      </c>
      <c r="Q42" s="533">
        <v>24253.66</v>
      </c>
      <c r="R42" s="530"/>
      <c r="S42" s="556">
        <v>-7895.33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522" t="s">
        <v>253</v>
      </c>
      <c r="B43" s="509" t="s">
        <v>0</v>
      </c>
      <c r="C43" s="601" t="s">
        <v>42</v>
      </c>
      <c r="D43" s="583"/>
      <c r="E43" s="509"/>
      <c r="F43" s="525">
        <v>13904.219076923078</v>
      </c>
      <c r="G43" s="584"/>
      <c r="H43" s="509"/>
      <c r="I43" s="525"/>
      <c r="J43" s="530"/>
      <c r="K43" s="509"/>
      <c r="L43" s="533">
        <v>13068.19</v>
      </c>
      <c r="M43" s="530"/>
      <c r="N43" s="556">
        <v>-836.02907692307781</v>
      </c>
      <c r="O43" s="530"/>
      <c r="P43" s="509"/>
      <c r="Q43" s="533">
        <v>13792.56</v>
      </c>
      <c r="R43" s="530"/>
      <c r="S43" s="556">
        <v>-724.36999999999898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522" t="s">
        <v>254</v>
      </c>
      <c r="B44" s="509" t="s">
        <v>0</v>
      </c>
      <c r="C44" s="599" t="s">
        <v>43</v>
      </c>
      <c r="D44" s="602"/>
      <c r="E44" s="603"/>
      <c r="F44" s="531">
        <v>315.55384615384617</v>
      </c>
      <c r="G44" s="604"/>
      <c r="H44" s="603"/>
      <c r="I44" s="531"/>
      <c r="J44" s="517"/>
      <c r="K44" s="603"/>
      <c r="L44" s="552">
        <v>1451.6</v>
      </c>
      <c r="M44" s="517"/>
      <c r="N44" s="605">
        <v>1136.0461538461536</v>
      </c>
      <c r="O44" s="517"/>
      <c r="P44" s="603"/>
      <c r="Q44" s="552">
        <v>4339.5200000000004</v>
      </c>
      <c r="R44" s="517"/>
      <c r="S44" s="605">
        <v>-2887.9200000000005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522" t="s">
        <v>255</v>
      </c>
      <c r="B45" s="509" t="s">
        <v>0</v>
      </c>
      <c r="C45" s="599" t="s">
        <v>44</v>
      </c>
      <c r="D45" s="583"/>
      <c r="E45" s="509"/>
      <c r="F45" s="531">
        <v>0</v>
      </c>
      <c r="G45" s="584"/>
      <c r="H45" s="509"/>
      <c r="I45" s="531"/>
      <c r="J45" s="530"/>
      <c r="K45" s="509"/>
      <c r="L45" s="533">
        <v>0</v>
      </c>
      <c r="M45" s="530"/>
      <c r="N45" s="556">
        <v>0</v>
      </c>
      <c r="O45" s="530"/>
      <c r="P45" s="509"/>
      <c r="Q45" s="533">
        <v>0</v>
      </c>
      <c r="R45" s="530"/>
      <c r="S45" s="556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522" t="s">
        <v>233</v>
      </c>
      <c r="B46" s="509" t="s">
        <v>0</v>
      </c>
      <c r="C46" s="599" t="s">
        <v>20</v>
      </c>
      <c r="D46" s="583"/>
      <c r="E46" s="509"/>
      <c r="F46" s="531">
        <v>0</v>
      </c>
      <c r="G46" s="584"/>
      <c r="H46" s="509"/>
      <c r="I46" s="531"/>
      <c r="J46" s="530"/>
      <c r="K46" s="509"/>
      <c r="L46" s="533">
        <v>0</v>
      </c>
      <c r="M46" s="530"/>
      <c r="N46" s="556">
        <v>0</v>
      </c>
      <c r="O46" s="530"/>
      <c r="P46" s="509"/>
      <c r="Q46" s="533">
        <v>0</v>
      </c>
      <c r="R46" s="530"/>
      <c r="S46" s="556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522" t="s">
        <v>233</v>
      </c>
      <c r="B47" s="509" t="s">
        <v>0</v>
      </c>
      <c r="C47" s="599" t="s">
        <v>20</v>
      </c>
      <c r="D47" s="583"/>
      <c r="E47" s="509"/>
      <c r="F47" s="531">
        <v>0</v>
      </c>
      <c r="G47" s="584"/>
      <c r="H47" s="509"/>
      <c r="I47" s="531"/>
      <c r="J47" s="530"/>
      <c r="K47" s="509"/>
      <c r="L47" s="533">
        <v>0</v>
      </c>
      <c r="M47" s="530"/>
      <c r="N47" s="556">
        <v>0</v>
      </c>
      <c r="O47" s="530"/>
      <c r="P47" s="509"/>
      <c r="Q47" s="533">
        <v>0</v>
      </c>
      <c r="R47" s="530"/>
      <c r="S47" s="556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522" t="s">
        <v>233</v>
      </c>
      <c r="B48" s="509" t="s">
        <v>0</v>
      </c>
      <c r="C48" s="599" t="s">
        <v>20</v>
      </c>
      <c r="D48" s="583"/>
      <c r="E48" s="509"/>
      <c r="F48" s="531">
        <v>0</v>
      </c>
      <c r="G48" s="584"/>
      <c r="H48" s="509"/>
      <c r="I48" s="531"/>
      <c r="J48" s="530"/>
      <c r="K48" s="509"/>
      <c r="L48" s="533">
        <v>0</v>
      </c>
      <c r="M48" s="530"/>
      <c r="N48" s="556">
        <v>0</v>
      </c>
      <c r="O48" s="530"/>
      <c r="P48" s="509"/>
      <c r="Q48" s="533">
        <v>0</v>
      </c>
      <c r="R48" s="530"/>
      <c r="S48" s="556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522" t="s">
        <v>256</v>
      </c>
      <c r="B49" s="509" t="s">
        <v>0</v>
      </c>
      <c r="C49" s="601" t="s">
        <v>45</v>
      </c>
      <c r="D49" s="583"/>
      <c r="E49" s="509"/>
      <c r="F49" s="525">
        <v>13449.662017587063</v>
      </c>
      <c r="G49" s="584"/>
      <c r="H49" s="509"/>
      <c r="I49" s="525"/>
      <c r="J49" s="530"/>
      <c r="K49" s="509"/>
      <c r="L49" s="525">
        <v>12767.3</v>
      </c>
      <c r="M49" s="530"/>
      <c r="N49" s="556">
        <v>-682.36201758706375</v>
      </c>
      <c r="O49" s="530"/>
      <c r="P49" s="509"/>
      <c r="Q49" s="525">
        <v>11233.56</v>
      </c>
      <c r="R49" s="530"/>
      <c r="S49" s="556">
        <v>1533.7399999999998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522" t="s">
        <v>257</v>
      </c>
      <c r="B50" s="509" t="s">
        <v>0</v>
      </c>
      <c r="C50" s="599" t="s">
        <v>46</v>
      </c>
      <c r="D50" s="602"/>
      <c r="E50" s="603"/>
      <c r="F50" s="531">
        <v>16352.893025788675</v>
      </c>
      <c r="G50" s="604"/>
      <c r="H50" s="603"/>
      <c r="I50" s="531"/>
      <c r="J50" s="517"/>
      <c r="K50" s="603"/>
      <c r="L50" s="533">
        <v>15446.59</v>
      </c>
      <c r="M50" s="517"/>
      <c r="N50" s="605">
        <v>-906.30302578867486</v>
      </c>
      <c r="O50" s="517"/>
      <c r="P50" s="603"/>
      <c r="Q50" s="533">
        <v>12527.06</v>
      </c>
      <c r="R50" s="517"/>
      <c r="S50" s="605">
        <v>2919.5300000000007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522" t="s">
        <v>258</v>
      </c>
      <c r="B51" s="509" t="s">
        <v>0</v>
      </c>
      <c r="C51" s="599" t="s">
        <v>47</v>
      </c>
      <c r="D51" s="583"/>
      <c r="E51" s="509"/>
      <c r="F51" s="531">
        <v>8425.2948850259036</v>
      </c>
      <c r="G51" s="584"/>
      <c r="H51" s="509"/>
      <c r="I51" s="531"/>
      <c r="J51" s="530"/>
      <c r="K51" s="509"/>
      <c r="L51" s="533">
        <v>8320.0400000000009</v>
      </c>
      <c r="M51" s="530"/>
      <c r="N51" s="556">
        <v>-105.25488502590269</v>
      </c>
      <c r="O51" s="530"/>
      <c r="P51" s="509"/>
      <c r="Q51" s="533">
        <v>372.17999999999898</v>
      </c>
      <c r="R51" s="530"/>
      <c r="S51" s="556">
        <v>7947.8600000000015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522" t="s">
        <v>259</v>
      </c>
      <c r="B52" s="509" t="s">
        <v>0</v>
      </c>
      <c r="C52" s="599" t="s">
        <v>48</v>
      </c>
      <c r="D52" s="583"/>
      <c r="E52" s="509"/>
      <c r="F52" s="531">
        <v>3673.4759695612238</v>
      </c>
      <c r="G52" s="584"/>
      <c r="H52" s="509"/>
      <c r="I52" s="531"/>
      <c r="J52" s="530"/>
      <c r="K52" s="509"/>
      <c r="L52" s="533">
        <v>1641.57</v>
      </c>
      <c r="M52" s="530"/>
      <c r="N52" s="556">
        <v>-2031.9059695612239</v>
      </c>
      <c r="O52" s="530"/>
      <c r="P52" s="509"/>
      <c r="Q52" s="533">
        <v>1645.94</v>
      </c>
      <c r="R52" s="530"/>
      <c r="S52" s="556">
        <v>-4.3700000000001182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522" t="s">
        <v>233</v>
      </c>
      <c r="B53" s="509" t="s">
        <v>0</v>
      </c>
      <c r="C53" s="530" t="s">
        <v>20</v>
      </c>
      <c r="D53" s="586" t="e">
        <v>#N/A</v>
      </c>
      <c r="E53" s="606"/>
      <c r="F53" s="531">
        <v>0</v>
      </c>
      <c r="G53" s="587"/>
      <c r="H53" s="606"/>
      <c r="I53" s="531"/>
      <c r="J53" s="523"/>
      <c r="K53" s="606"/>
      <c r="L53" s="533">
        <v>0</v>
      </c>
      <c r="M53" s="523"/>
      <c r="N53" s="581">
        <v>0</v>
      </c>
      <c r="O53" s="523"/>
      <c r="P53" s="606"/>
      <c r="Q53" s="533">
        <v>0</v>
      </c>
      <c r="R53" s="523"/>
      <c r="S53" s="581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522" t="s">
        <v>260</v>
      </c>
      <c r="B54" s="509" t="s">
        <v>0</v>
      </c>
      <c r="C54" s="591" t="s">
        <v>49</v>
      </c>
      <c r="D54" s="592" t="s">
        <v>39</v>
      </c>
      <c r="E54" s="593">
        <v>0.27016434449818788</v>
      </c>
      <c r="F54" s="594">
        <v>80607.564205655173</v>
      </c>
      <c r="G54" s="595"/>
      <c r="H54" s="593"/>
      <c r="I54" s="594"/>
      <c r="J54" s="595" t="s">
        <v>39</v>
      </c>
      <c r="K54" s="593">
        <v>0.31044984589367219</v>
      </c>
      <c r="L54" s="594">
        <v>69053.62</v>
      </c>
      <c r="M54" s="598"/>
      <c r="N54" s="594">
        <v>-11553.944205655178</v>
      </c>
      <c r="O54" s="595" t="s">
        <v>39</v>
      </c>
      <c r="P54" s="593">
        <v>0.53444363182013843</v>
      </c>
      <c r="Q54" s="594">
        <v>68164.479999999996</v>
      </c>
      <c r="R54" s="598"/>
      <c r="S54" s="594">
        <v>889.14000000000283</v>
      </c>
      <c r="T54" s="572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522" t="s">
        <v>261</v>
      </c>
      <c r="B55" s="509" t="s">
        <v>0</v>
      </c>
      <c r="C55" s="530" t="s">
        <v>50</v>
      </c>
      <c r="D55" s="583"/>
      <c r="E55" s="509"/>
      <c r="F55" s="531">
        <v>0</v>
      </c>
      <c r="G55" s="584"/>
      <c r="H55" s="509"/>
      <c r="I55" s="531"/>
      <c r="J55" s="530"/>
      <c r="K55" s="509"/>
      <c r="L55" s="533">
        <v>0</v>
      </c>
      <c r="M55" s="530"/>
      <c r="N55" s="556">
        <v>0</v>
      </c>
      <c r="O55" s="530"/>
      <c r="P55" s="509"/>
      <c r="Q55" s="533">
        <v>0</v>
      </c>
      <c r="R55" s="530"/>
      <c r="S55" s="556">
        <v>0</v>
      </c>
      <c r="T55" s="572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522" t="s">
        <v>262</v>
      </c>
      <c r="B56" s="509" t="s">
        <v>0</v>
      </c>
      <c r="C56" s="530" t="s">
        <v>51</v>
      </c>
      <c r="D56" s="583"/>
      <c r="E56" s="509"/>
      <c r="F56" s="531">
        <v>0</v>
      </c>
      <c r="G56" s="584"/>
      <c r="H56" s="509"/>
      <c r="I56" s="531"/>
      <c r="J56" s="530"/>
      <c r="K56" s="509"/>
      <c r="L56" s="533">
        <v>0</v>
      </c>
      <c r="M56" s="530"/>
      <c r="N56" s="556">
        <v>0</v>
      </c>
      <c r="O56" s="530"/>
      <c r="P56" s="509"/>
      <c r="Q56" s="533">
        <v>0</v>
      </c>
      <c r="R56" s="530"/>
      <c r="S56" s="556">
        <v>0</v>
      </c>
      <c r="T56" s="572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522" t="s">
        <v>263</v>
      </c>
      <c r="B57" s="509" t="s">
        <v>0</v>
      </c>
      <c r="C57" s="523" t="s">
        <v>52</v>
      </c>
      <c r="D57" s="586"/>
      <c r="E57" s="606"/>
      <c r="F57" s="525">
        <v>8952.5479333333333</v>
      </c>
      <c r="G57" s="587"/>
      <c r="H57" s="606"/>
      <c r="I57" s="525"/>
      <c r="J57" s="523"/>
      <c r="K57" s="606"/>
      <c r="L57" s="525">
        <v>9881.7800000000007</v>
      </c>
      <c r="M57" s="523"/>
      <c r="N57" s="581">
        <v>929.23206666666738</v>
      </c>
      <c r="O57" s="523"/>
      <c r="P57" s="606"/>
      <c r="Q57" s="525">
        <v>8283.33</v>
      </c>
      <c r="R57" s="523"/>
      <c r="S57" s="581">
        <v>1598.4500000000007</v>
      </c>
      <c r="T57" s="607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522" t="s">
        <v>264</v>
      </c>
      <c r="B58" s="509" t="s">
        <v>0</v>
      </c>
      <c r="C58" s="530" t="s">
        <v>53</v>
      </c>
      <c r="D58" s="583"/>
      <c r="E58" s="509"/>
      <c r="F58" s="531">
        <v>7960.9947585155569</v>
      </c>
      <c r="G58" s="584"/>
      <c r="H58" s="509"/>
      <c r="I58" s="531"/>
      <c r="J58" s="530"/>
      <c r="K58" s="509"/>
      <c r="L58" s="533">
        <v>6971.19</v>
      </c>
      <c r="M58" s="530"/>
      <c r="N58" s="556">
        <v>-989.8047585155573</v>
      </c>
      <c r="O58" s="530"/>
      <c r="P58" s="509"/>
      <c r="Q58" s="533">
        <v>6688.36</v>
      </c>
      <c r="R58" s="530"/>
      <c r="S58" s="556">
        <v>282.82999999999993</v>
      </c>
      <c r="T58" s="572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522" t="s">
        <v>265</v>
      </c>
      <c r="B59" s="509" t="s">
        <v>0</v>
      </c>
      <c r="C59" s="530" t="s">
        <v>54</v>
      </c>
      <c r="D59" s="583"/>
      <c r="E59" s="509"/>
      <c r="F59" s="531">
        <v>1266.6975008629806</v>
      </c>
      <c r="G59" s="584"/>
      <c r="H59" s="509"/>
      <c r="I59" s="531"/>
      <c r="J59" s="530"/>
      <c r="K59" s="509"/>
      <c r="L59" s="533">
        <v>1668.07</v>
      </c>
      <c r="M59" s="530"/>
      <c r="N59" s="556">
        <v>401.3724991370193</v>
      </c>
      <c r="O59" s="530"/>
      <c r="P59" s="509"/>
      <c r="Q59" s="533">
        <v>2373.63</v>
      </c>
      <c r="R59" s="530"/>
      <c r="S59" s="556">
        <v>-705.56000000000017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522" t="s">
        <v>266</v>
      </c>
      <c r="B60" s="509" t="s">
        <v>0</v>
      </c>
      <c r="C60" s="523" t="s">
        <v>55</v>
      </c>
      <c r="D60" s="586"/>
      <c r="E60" s="606"/>
      <c r="F60" s="525">
        <v>7215.7407235875298</v>
      </c>
      <c r="G60" s="587"/>
      <c r="H60" s="606"/>
      <c r="I60" s="525"/>
      <c r="J60" s="523"/>
      <c r="K60" s="606"/>
      <c r="L60" s="525">
        <v>9175.1200000000008</v>
      </c>
      <c r="M60" s="523"/>
      <c r="N60" s="581">
        <v>1959.379276412471</v>
      </c>
      <c r="O60" s="523"/>
      <c r="P60" s="606"/>
      <c r="Q60" s="525">
        <v>7674.68</v>
      </c>
      <c r="R60" s="523"/>
      <c r="S60" s="581">
        <v>1500.4400000000005</v>
      </c>
      <c r="T60" s="509"/>
      <c r="U60" s="506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522" t="s">
        <v>267</v>
      </c>
      <c r="B61" s="509" t="s">
        <v>0</v>
      </c>
      <c r="C61" s="530" t="s">
        <v>56</v>
      </c>
      <c r="D61" s="583"/>
      <c r="E61" s="509"/>
      <c r="F61" s="531">
        <v>97.257333333333349</v>
      </c>
      <c r="G61" s="584"/>
      <c r="H61" s="509"/>
      <c r="I61" s="531"/>
      <c r="J61" s="530"/>
      <c r="K61" s="509"/>
      <c r="L61" s="533">
        <v>0</v>
      </c>
      <c r="M61" s="530"/>
      <c r="N61" s="556">
        <v>-97.257333333333349</v>
      </c>
      <c r="O61" s="530"/>
      <c r="P61" s="509"/>
      <c r="Q61" s="533">
        <v>0</v>
      </c>
      <c r="R61" s="530"/>
      <c r="S61" s="556">
        <v>0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522" t="s">
        <v>268</v>
      </c>
      <c r="B62" s="509" t="s">
        <v>0</v>
      </c>
      <c r="C62" s="530" t="s">
        <v>57</v>
      </c>
      <c r="D62" s="583"/>
      <c r="E62" s="509"/>
      <c r="F62" s="531">
        <v>28.333333333333332</v>
      </c>
      <c r="G62" s="584"/>
      <c r="H62" s="509"/>
      <c r="I62" s="531"/>
      <c r="J62" s="530"/>
      <c r="K62" s="509"/>
      <c r="L62" s="533">
        <v>0</v>
      </c>
      <c r="M62" s="530"/>
      <c r="N62" s="556">
        <v>-28.333333333333332</v>
      </c>
      <c r="O62" s="530"/>
      <c r="P62" s="509"/>
      <c r="Q62" s="533">
        <v>0</v>
      </c>
      <c r="R62" s="530"/>
      <c r="S62" s="556">
        <v>0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522" t="s">
        <v>269</v>
      </c>
      <c r="B63" s="509" t="s">
        <v>0</v>
      </c>
      <c r="C63" s="530" t="s">
        <v>58</v>
      </c>
      <c r="D63" s="583"/>
      <c r="E63" s="509"/>
      <c r="F63" s="531">
        <v>741.43089466911999</v>
      </c>
      <c r="G63" s="584"/>
      <c r="H63" s="509"/>
      <c r="I63" s="531"/>
      <c r="J63" s="530"/>
      <c r="K63" s="509"/>
      <c r="L63" s="533">
        <v>1466.35</v>
      </c>
      <c r="M63" s="530"/>
      <c r="N63" s="556">
        <v>724.91910533087992</v>
      </c>
      <c r="O63" s="530"/>
      <c r="P63" s="509"/>
      <c r="Q63" s="533">
        <v>1262.3399999999999</v>
      </c>
      <c r="R63" s="530"/>
      <c r="S63" s="556">
        <v>204.01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522" t="s">
        <v>270</v>
      </c>
      <c r="B64" s="509" t="s">
        <v>0</v>
      </c>
      <c r="C64" s="530" t="s">
        <v>59</v>
      </c>
      <c r="D64" s="583"/>
      <c r="E64" s="509"/>
      <c r="F64" s="531">
        <v>344.80198491798222</v>
      </c>
      <c r="G64" s="584"/>
      <c r="H64" s="509"/>
      <c r="I64" s="531"/>
      <c r="J64" s="530"/>
      <c r="K64" s="509"/>
      <c r="L64" s="533">
        <v>398.61</v>
      </c>
      <c r="M64" s="530"/>
      <c r="N64" s="556">
        <v>53.808015082017789</v>
      </c>
      <c r="O64" s="530"/>
      <c r="P64" s="509"/>
      <c r="Q64" s="533">
        <v>351.63</v>
      </c>
      <c r="R64" s="530"/>
      <c r="S64" s="556">
        <v>46.980000000000018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522" t="s">
        <v>271</v>
      </c>
      <c r="B65" s="509" t="s">
        <v>0</v>
      </c>
      <c r="C65" s="530" t="s">
        <v>60</v>
      </c>
      <c r="D65" s="583"/>
      <c r="E65" s="509"/>
      <c r="F65" s="531">
        <v>102.82239536841776</v>
      </c>
      <c r="G65" s="584"/>
      <c r="H65" s="509"/>
      <c r="I65" s="531"/>
      <c r="J65" s="530"/>
      <c r="K65" s="509"/>
      <c r="L65" s="533">
        <v>116.66</v>
      </c>
      <c r="M65" s="530"/>
      <c r="N65" s="556">
        <v>13.837604631582238</v>
      </c>
      <c r="O65" s="530"/>
      <c r="P65" s="509"/>
      <c r="Q65" s="533">
        <v>40.25</v>
      </c>
      <c r="R65" s="530"/>
      <c r="S65" s="556">
        <v>76.41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522" t="s">
        <v>272</v>
      </c>
      <c r="B66" s="509" t="s">
        <v>0</v>
      </c>
      <c r="C66" s="530" t="s">
        <v>61</v>
      </c>
      <c r="D66" s="583"/>
      <c r="E66" s="509"/>
      <c r="F66" s="531">
        <v>201.17038516793778</v>
      </c>
      <c r="G66" s="584"/>
      <c r="H66" s="509"/>
      <c r="I66" s="531"/>
      <c r="J66" s="530"/>
      <c r="K66" s="509"/>
      <c r="L66" s="533">
        <v>410.38</v>
      </c>
      <c r="M66" s="530"/>
      <c r="N66" s="556">
        <v>209.20961483206221</v>
      </c>
      <c r="O66" s="530"/>
      <c r="P66" s="509"/>
      <c r="Q66" s="533">
        <v>446.81</v>
      </c>
      <c r="R66" s="530"/>
      <c r="S66" s="556">
        <v>-36.430000000000007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522" t="s">
        <v>273</v>
      </c>
      <c r="B67" s="509" t="s">
        <v>0</v>
      </c>
      <c r="C67" s="530" t="s">
        <v>62</v>
      </c>
      <c r="D67" s="583"/>
      <c r="E67" s="509"/>
      <c r="F67" s="531">
        <v>1934.7062499999995</v>
      </c>
      <c r="G67" s="584"/>
      <c r="H67" s="509"/>
      <c r="I67" s="531"/>
      <c r="J67" s="530"/>
      <c r="K67" s="509"/>
      <c r="L67" s="533">
        <v>573.76</v>
      </c>
      <c r="M67" s="530"/>
      <c r="N67" s="556">
        <v>-1360.9462499999995</v>
      </c>
      <c r="O67" s="530"/>
      <c r="P67" s="509"/>
      <c r="Q67" s="533">
        <v>1785.45</v>
      </c>
      <c r="R67" s="530"/>
      <c r="S67" s="556">
        <v>-1211.69</v>
      </c>
      <c r="T67" s="509"/>
      <c r="U67" s="522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522" t="s">
        <v>274</v>
      </c>
      <c r="B68" s="509" t="s">
        <v>0</v>
      </c>
      <c r="C68" s="530" t="s">
        <v>63</v>
      </c>
      <c r="D68" s="583"/>
      <c r="E68" s="509"/>
      <c r="F68" s="531">
        <v>5035.3183170192588</v>
      </c>
      <c r="G68" s="584"/>
      <c r="H68" s="509"/>
      <c r="I68" s="531"/>
      <c r="J68" s="530"/>
      <c r="K68" s="509"/>
      <c r="L68" s="533">
        <v>6358.02</v>
      </c>
      <c r="M68" s="530"/>
      <c r="N68" s="556">
        <v>1322.7016829807417</v>
      </c>
      <c r="O68" s="530"/>
      <c r="P68" s="509"/>
      <c r="Q68" s="533">
        <v>6767.49</v>
      </c>
      <c r="R68" s="530"/>
      <c r="S68" s="556">
        <v>-409.46999999999935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522" t="s">
        <v>233</v>
      </c>
      <c r="B69" s="509" t="s">
        <v>0</v>
      </c>
      <c r="C69" s="530" t="s">
        <v>20</v>
      </c>
      <c r="D69" s="583"/>
      <c r="E69" s="509"/>
      <c r="F69" s="531">
        <v>0</v>
      </c>
      <c r="G69" s="584"/>
      <c r="H69" s="509"/>
      <c r="I69" s="531"/>
      <c r="J69" s="530"/>
      <c r="K69" s="509"/>
      <c r="L69" s="533"/>
      <c r="M69" s="530"/>
      <c r="N69" s="556">
        <v>0</v>
      </c>
      <c r="O69" s="530"/>
      <c r="P69" s="509"/>
      <c r="Q69" s="533">
        <v>0</v>
      </c>
      <c r="R69" s="530"/>
      <c r="S69" s="556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522" t="s">
        <v>233</v>
      </c>
      <c r="B70" s="509" t="s">
        <v>0</v>
      </c>
      <c r="C70" s="530" t="s">
        <v>20</v>
      </c>
      <c r="D70" s="583"/>
      <c r="E70" s="509"/>
      <c r="F70" s="531">
        <v>0</v>
      </c>
      <c r="G70" s="584"/>
      <c r="H70" s="509"/>
      <c r="I70" s="531"/>
      <c r="J70" s="530"/>
      <c r="K70" s="509"/>
      <c r="L70" s="533">
        <v>0</v>
      </c>
      <c r="M70" s="530"/>
      <c r="N70" s="556">
        <v>0</v>
      </c>
      <c r="O70" s="530"/>
      <c r="P70" s="509"/>
      <c r="Q70" s="533">
        <v>0</v>
      </c>
      <c r="R70" s="530"/>
      <c r="S70" s="556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522" t="s">
        <v>233</v>
      </c>
      <c r="B71" s="509" t="s">
        <v>0</v>
      </c>
      <c r="C71" s="530" t="s">
        <v>20</v>
      </c>
      <c r="D71" s="583"/>
      <c r="E71" s="509"/>
      <c r="F71" s="531">
        <v>0</v>
      </c>
      <c r="G71" s="584"/>
      <c r="H71" s="509"/>
      <c r="I71" s="531"/>
      <c r="J71" s="530"/>
      <c r="K71" s="509"/>
      <c r="L71" s="533">
        <v>0</v>
      </c>
      <c r="M71" s="530"/>
      <c r="N71" s="556">
        <v>0</v>
      </c>
      <c r="O71" s="530"/>
      <c r="P71" s="509"/>
      <c r="Q71" s="533">
        <v>0</v>
      </c>
      <c r="R71" s="530"/>
      <c r="S71" s="556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522" t="s">
        <v>275</v>
      </c>
      <c r="B72" s="509" t="s">
        <v>0</v>
      </c>
      <c r="C72" s="591" t="s">
        <v>64</v>
      </c>
      <c r="D72" s="592" t="s">
        <v>39</v>
      </c>
      <c r="E72" s="593">
        <v>0.11355832755817541</v>
      </c>
      <c r="F72" s="594">
        <v>33881.821810108784</v>
      </c>
      <c r="G72" s="595"/>
      <c r="H72" s="593"/>
      <c r="I72" s="594"/>
      <c r="J72" s="595" t="s">
        <v>39</v>
      </c>
      <c r="K72" s="593">
        <v>0.16643348557241447</v>
      </c>
      <c r="L72" s="594">
        <v>37019.94</v>
      </c>
      <c r="M72" s="598"/>
      <c r="N72" s="594">
        <v>3138.1181898912173</v>
      </c>
      <c r="O72" s="595" t="s">
        <v>39</v>
      </c>
      <c r="P72" s="593">
        <v>0.27970177559108012</v>
      </c>
      <c r="Q72" s="594">
        <v>35673.97</v>
      </c>
      <c r="R72" s="598"/>
      <c r="S72" s="594">
        <v>1345.9700000000016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522" t="s">
        <v>0</v>
      </c>
      <c r="B73" s="509" t="s">
        <v>0</v>
      </c>
      <c r="C73" s="523"/>
      <c r="D73" s="586"/>
      <c r="E73" s="606"/>
      <c r="F73" s="556"/>
      <c r="G73" s="587"/>
      <c r="H73" s="606"/>
      <c r="I73" s="556"/>
      <c r="J73" s="523"/>
      <c r="K73" s="606"/>
      <c r="L73" s="581"/>
      <c r="M73" s="523"/>
      <c r="N73" s="581"/>
      <c r="O73" s="523"/>
      <c r="P73" s="606"/>
      <c r="Q73" s="581"/>
      <c r="R73" s="523"/>
      <c r="S73" s="581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522" t="s">
        <v>276</v>
      </c>
      <c r="B74" s="509" t="s">
        <v>0</v>
      </c>
      <c r="C74" s="591" t="s">
        <v>65</v>
      </c>
      <c r="D74" s="592" t="s">
        <v>39</v>
      </c>
      <c r="E74" s="593">
        <v>0.87335597086930339</v>
      </c>
      <c r="F74" s="594">
        <v>260578.7881705903</v>
      </c>
      <c r="G74" s="595"/>
      <c r="H74" s="593"/>
      <c r="I74" s="594"/>
      <c r="J74" s="595" t="s">
        <v>39</v>
      </c>
      <c r="K74" s="593">
        <v>0.91570979995399993</v>
      </c>
      <c r="L74" s="594">
        <v>203682.1</v>
      </c>
      <c r="M74" s="598"/>
      <c r="N74" s="608">
        <v>-56896.688170590292</v>
      </c>
      <c r="O74" s="595" t="s">
        <v>39</v>
      </c>
      <c r="P74" s="593">
        <v>1.1104185510002613</v>
      </c>
      <c r="Q74" s="594">
        <v>141625.97999999998</v>
      </c>
      <c r="R74" s="598"/>
      <c r="S74" s="608">
        <v>62056.120000000024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522" t="s">
        <v>277</v>
      </c>
      <c r="B75" s="509" t="s">
        <v>0</v>
      </c>
      <c r="C75" s="530" t="s">
        <v>197</v>
      </c>
      <c r="D75" s="583"/>
      <c r="E75" s="509"/>
      <c r="F75" s="531">
        <v>0</v>
      </c>
      <c r="G75" s="584"/>
      <c r="H75" s="509"/>
      <c r="I75" s="531"/>
      <c r="J75" s="530"/>
      <c r="K75" s="509"/>
      <c r="L75" s="533">
        <v>0</v>
      </c>
      <c r="M75" s="530"/>
      <c r="N75" s="556">
        <v>0</v>
      </c>
      <c r="O75" s="530"/>
      <c r="P75" s="509"/>
      <c r="Q75" s="533">
        <v>12500</v>
      </c>
      <c r="R75" s="530"/>
      <c r="S75" s="556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522" t="s">
        <v>278</v>
      </c>
      <c r="B76" s="509" t="s">
        <v>0</v>
      </c>
      <c r="C76" s="530" t="s">
        <v>194</v>
      </c>
      <c r="D76" s="583"/>
      <c r="E76" s="509"/>
      <c r="F76" s="531">
        <v>0</v>
      </c>
      <c r="G76" s="584"/>
      <c r="H76" s="509"/>
      <c r="I76" s="531"/>
      <c r="J76" s="530"/>
      <c r="K76" s="509"/>
      <c r="L76" s="533">
        <v>0</v>
      </c>
      <c r="M76" s="530"/>
      <c r="N76" s="556">
        <v>0</v>
      </c>
      <c r="O76" s="530"/>
      <c r="P76" s="509"/>
      <c r="Q76" s="533">
        <v>0</v>
      </c>
      <c r="R76" s="530"/>
      <c r="S76" s="556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522" t="s">
        <v>279</v>
      </c>
      <c r="B77" s="509" t="s">
        <v>0</v>
      </c>
      <c r="C77" s="530" t="s">
        <v>68</v>
      </c>
      <c r="D77" s="583"/>
      <c r="E77" s="509"/>
      <c r="F77" s="531">
        <v>0</v>
      </c>
      <c r="G77" s="584"/>
      <c r="H77" s="509"/>
      <c r="I77" s="531"/>
      <c r="J77" s="530"/>
      <c r="K77" s="509"/>
      <c r="L77" s="533">
        <v>0</v>
      </c>
      <c r="M77" s="530"/>
      <c r="N77" s="556">
        <v>0</v>
      </c>
      <c r="O77" s="530"/>
      <c r="P77" s="509"/>
      <c r="Q77" s="533">
        <v>0</v>
      </c>
      <c r="R77" s="530"/>
      <c r="S77" s="556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522" t="s">
        <v>280</v>
      </c>
      <c r="B78" s="509" t="s">
        <v>0</v>
      </c>
      <c r="C78" s="530" t="s">
        <v>69</v>
      </c>
      <c r="D78" s="583"/>
      <c r="E78" s="609">
        <v>1423.0576670347477</v>
      </c>
      <c r="F78" s="531">
        <v>126652.13236609256</v>
      </c>
      <c r="G78" s="584"/>
      <c r="H78" s="509"/>
      <c r="I78" s="531"/>
      <c r="J78" s="610">
        <v>0.9052737542541911</v>
      </c>
      <c r="K78" s="609">
        <v>1288.2567567567567</v>
      </c>
      <c r="L78" s="533">
        <v>95331</v>
      </c>
      <c r="M78" s="530"/>
      <c r="N78" s="556">
        <v>-31321.132366092555</v>
      </c>
      <c r="O78" s="530"/>
      <c r="P78" s="509"/>
      <c r="Q78" s="533">
        <v>55120</v>
      </c>
      <c r="R78" s="530"/>
      <c r="S78" s="556">
        <v>40211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522" t="s">
        <v>233</v>
      </c>
      <c r="B79" s="509" t="s">
        <v>0</v>
      </c>
      <c r="C79" s="530" t="s">
        <v>20</v>
      </c>
      <c r="D79" s="583"/>
      <c r="E79" s="509"/>
      <c r="F79" s="531">
        <v>0</v>
      </c>
      <c r="G79" s="584"/>
      <c r="H79" s="509"/>
      <c r="I79" s="531"/>
      <c r="J79" s="530"/>
      <c r="K79" s="509"/>
      <c r="L79" s="533">
        <v>0</v>
      </c>
      <c r="M79" s="530"/>
      <c r="N79" s="556">
        <v>0</v>
      </c>
      <c r="O79" s="530"/>
      <c r="P79" s="509"/>
      <c r="Q79" s="533">
        <v>0</v>
      </c>
      <c r="R79" s="530"/>
      <c r="S79" s="556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522" t="s">
        <v>233</v>
      </c>
      <c r="B80" s="509" t="s">
        <v>0</v>
      </c>
      <c r="C80" s="530" t="s">
        <v>20</v>
      </c>
      <c r="D80" s="583"/>
      <c r="E80" s="509"/>
      <c r="F80" s="531">
        <v>0</v>
      </c>
      <c r="G80" s="584"/>
      <c r="H80" s="509"/>
      <c r="I80" s="531"/>
      <c r="J80" s="530"/>
      <c r="K80" s="509"/>
      <c r="L80" s="533">
        <v>0</v>
      </c>
      <c r="M80" s="530"/>
      <c r="N80" s="556">
        <v>0</v>
      </c>
      <c r="O80" s="530"/>
      <c r="P80" s="509"/>
      <c r="Q80" s="533">
        <v>0</v>
      </c>
      <c r="R80" s="530"/>
      <c r="S80" s="556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522" t="s">
        <v>233</v>
      </c>
      <c r="B81" s="509" t="s">
        <v>0</v>
      </c>
      <c r="C81" s="530" t="s">
        <v>20</v>
      </c>
      <c r="D81" s="583"/>
      <c r="E81" s="509"/>
      <c r="F81" s="531">
        <v>0</v>
      </c>
      <c r="G81" s="584"/>
      <c r="H81" s="509"/>
      <c r="I81" s="531"/>
      <c r="J81" s="530"/>
      <c r="K81" s="509"/>
      <c r="L81" s="533">
        <v>0</v>
      </c>
      <c r="M81" s="530"/>
      <c r="N81" s="556">
        <v>0</v>
      </c>
      <c r="O81" s="530"/>
      <c r="P81" s="509"/>
      <c r="Q81" s="533">
        <v>0</v>
      </c>
      <c r="R81" s="530"/>
      <c r="S81" s="556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11" t="s">
        <v>281</v>
      </c>
      <c r="B82" s="612" t="s">
        <v>0</v>
      </c>
      <c r="C82" s="530" t="s">
        <v>70</v>
      </c>
      <c r="D82" s="613">
        <v>0.95000000000000007</v>
      </c>
      <c r="E82" s="614">
        <v>474.05</v>
      </c>
      <c r="F82" s="531">
        <v>41242.35</v>
      </c>
      <c r="G82" s="584"/>
      <c r="H82" s="509"/>
      <c r="I82" s="531"/>
      <c r="J82" s="610">
        <v>0.93020393811533053</v>
      </c>
      <c r="K82" s="614">
        <v>440.91666666666669</v>
      </c>
      <c r="L82" s="533">
        <v>31746</v>
      </c>
      <c r="M82" s="530"/>
      <c r="N82" s="556">
        <v>-9496.3499999999985</v>
      </c>
      <c r="O82" s="530"/>
      <c r="P82" s="509"/>
      <c r="Q82" s="533">
        <v>16782</v>
      </c>
      <c r="R82" s="530"/>
      <c r="S82" s="556">
        <v>14964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522" t="s">
        <v>282</v>
      </c>
      <c r="B83" s="509" t="s">
        <v>0</v>
      </c>
      <c r="C83" s="591" t="s">
        <v>71</v>
      </c>
      <c r="D83" s="592"/>
      <c r="E83" s="593"/>
      <c r="F83" s="594">
        <v>167894.48236609256</v>
      </c>
      <c r="G83" s="595"/>
      <c r="H83" s="593"/>
      <c r="I83" s="594"/>
      <c r="J83" s="595"/>
      <c r="K83" s="593"/>
      <c r="L83" s="594">
        <v>127077</v>
      </c>
      <c r="M83" s="598"/>
      <c r="N83" s="594">
        <v>-40817.482366092554</v>
      </c>
      <c r="O83" s="595"/>
      <c r="P83" s="593"/>
      <c r="Q83" s="594">
        <v>84402</v>
      </c>
      <c r="R83" s="598"/>
      <c r="S83" s="594">
        <v>55175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522" t="s">
        <v>0</v>
      </c>
      <c r="B84" s="509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522" t="s">
        <v>283</v>
      </c>
      <c r="B85" s="509" t="s">
        <v>0</v>
      </c>
      <c r="C85" s="623" t="s">
        <v>72</v>
      </c>
      <c r="D85" s="624"/>
      <c r="E85" s="625"/>
      <c r="F85" s="626">
        <v>205680.61853582668</v>
      </c>
      <c r="G85" s="627"/>
      <c r="H85" s="625"/>
      <c r="I85" s="626"/>
      <c r="J85" s="627"/>
      <c r="K85" s="624"/>
      <c r="L85" s="626">
        <v>145825.73999999982</v>
      </c>
      <c r="M85" s="627"/>
      <c r="N85" s="626">
        <v>-59854.878535826872</v>
      </c>
      <c r="O85" s="627"/>
      <c r="P85" s="628">
        <v>3.3462829498092275E-2</v>
      </c>
      <c r="Q85" s="626">
        <v>70318.89999999982</v>
      </c>
      <c r="R85" s="627"/>
      <c r="S85" s="626">
        <v>88006.84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3" t="s">
        <v>478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4" t="s">
        <v>483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220</v>
      </c>
      <c r="N91" s="513"/>
      <c r="O91" s="511" t="s">
        <v>8</v>
      </c>
      <c r="P91" s="512"/>
      <c r="Q91" s="513"/>
      <c r="R91" s="514" t="s">
        <v>221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30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473</v>
      </c>
      <c r="K92" s="519" t="s">
        <v>13</v>
      </c>
      <c r="L92" s="520" t="s">
        <v>12</v>
      </c>
      <c r="M92" s="521" t="s">
        <v>473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473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522" t="s">
        <v>284</v>
      </c>
      <c r="B93" s="509" t="s">
        <v>73</v>
      </c>
      <c r="C93" s="523" t="s">
        <v>15</v>
      </c>
      <c r="D93" s="527"/>
      <c r="E93" s="527"/>
      <c r="F93" s="525">
        <v>1792093.8057711083</v>
      </c>
      <c r="G93" s="544"/>
      <c r="H93" s="527"/>
      <c r="I93" s="525"/>
      <c r="J93" s="523"/>
      <c r="K93" s="527"/>
      <c r="L93" s="525">
        <v>2000604.9000000001</v>
      </c>
      <c r="M93" s="635"/>
      <c r="N93" s="636"/>
      <c r="O93" s="523"/>
      <c r="P93" s="527"/>
      <c r="Q93" s="525">
        <v>1025214.04999999</v>
      </c>
      <c r="R93" s="635"/>
      <c r="S93" s="636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522" t="s">
        <v>285</v>
      </c>
      <c r="B94" s="509" t="s">
        <v>73</v>
      </c>
      <c r="C94" s="530" t="s">
        <v>75</v>
      </c>
      <c r="D94" s="531">
        <v>27</v>
      </c>
      <c r="E94" s="531">
        <v>1400</v>
      </c>
      <c r="F94" s="531">
        <v>37800</v>
      </c>
      <c r="G94" s="532"/>
      <c r="H94" s="531"/>
      <c r="I94" s="531"/>
      <c r="J94" s="532">
        <v>28</v>
      </c>
      <c r="K94" s="531">
        <v>1446.2435714285723</v>
      </c>
      <c r="L94" s="533">
        <v>40494.820000000022</v>
      </c>
      <c r="M94" s="532">
        <v>1</v>
      </c>
      <c r="N94" s="533">
        <v>2694.8200000000215</v>
      </c>
      <c r="O94" s="532">
        <v>30</v>
      </c>
      <c r="P94" s="531">
        <v>1597.6809999999966</v>
      </c>
      <c r="Q94" s="533">
        <v>47930.429999999898</v>
      </c>
      <c r="R94" s="532">
        <v>-2</v>
      </c>
      <c r="S94" s="533">
        <v>-7435.6099999998769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522" t="s">
        <v>286</v>
      </c>
      <c r="B95" s="509" t="s">
        <v>73</v>
      </c>
      <c r="C95" s="530" t="s">
        <v>76</v>
      </c>
      <c r="D95" s="531">
        <v>3</v>
      </c>
      <c r="E95" s="531">
        <v>1800</v>
      </c>
      <c r="F95" s="531">
        <v>5400</v>
      </c>
      <c r="G95" s="532"/>
      <c r="H95" s="531"/>
      <c r="I95" s="531"/>
      <c r="J95" s="532">
        <v>0</v>
      </c>
      <c r="K95" s="531">
        <v>0</v>
      </c>
      <c r="L95" s="533">
        <v>0</v>
      </c>
      <c r="M95" s="532">
        <v>-3</v>
      </c>
      <c r="N95" s="533">
        <v>-5400</v>
      </c>
      <c r="O95" s="532">
        <v>2</v>
      </c>
      <c r="P95" s="531">
        <v>-1112.959999999995</v>
      </c>
      <c r="Q95" s="533">
        <v>-2225.9199999999901</v>
      </c>
      <c r="R95" s="532">
        <v>-2</v>
      </c>
      <c r="S95" s="533">
        <v>2225.9199999999901</v>
      </c>
      <c r="T95" s="509"/>
      <c r="U95" s="509"/>
      <c r="V95" s="637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522" t="s">
        <v>287</v>
      </c>
      <c r="B96" s="509" t="s">
        <v>73</v>
      </c>
      <c r="C96" s="530" t="s">
        <v>224</v>
      </c>
      <c r="D96" s="531">
        <v>5</v>
      </c>
      <c r="E96" s="527">
        <v>1500</v>
      </c>
      <c r="F96" s="531">
        <v>7500</v>
      </c>
      <c r="G96" s="532"/>
      <c r="H96" s="531"/>
      <c r="I96" s="531"/>
      <c r="J96" s="532">
        <v>0</v>
      </c>
      <c r="K96" s="531">
        <v>0</v>
      </c>
      <c r="L96" s="533">
        <v>0</v>
      </c>
      <c r="M96" s="532">
        <v>-5</v>
      </c>
      <c r="N96" s="533">
        <v>-7500</v>
      </c>
      <c r="O96" s="532">
        <v>3</v>
      </c>
      <c r="P96" s="531">
        <v>2132.8666666666636</v>
      </c>
      <c r="Q96" s="533">
        <v>6398.5999999999904</v>
      </c>
      <c r="R96" s="532">
        <v>-3</v>
      </c>
      <c r="S96" s="533">
        <v>-6398.5999999999904</v>
      </c>
      <c r="T96" s="509"/>
      <c r="U96" s="509"/>
      <c r="V96" s="637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522" t="s">
        <v>288</v>
      </c>
      <c r="B97" s="509" t="s">
        <v>73</v>
      </c>
      <c r="C97" s="536" t="s">
        <v>77</v>
      </c>
      <c r="D97" s="537">
        <v>35</v>
      </c>
      <c r="E97" s="531">
        <v>1448.5714285714287</v>
      </c>
      <c r="F97" s="538">
        <v>50700</v>
      </c>
      <c r="G97" s="539"/>
      <c r="H97" s="537"/>
      <c r="I97" s="538"/>
      <c r="J97" s="539">
        <v>28</v>
      </c>
      <c r="K97" s="537">
        <v>1446.2435714285723</v>
      </c>
      <c r="L97" s="538">
        <v>40494.820000000022</v>
      </c>
      <c r="M97" s="539">
        <v>-7</v>
      </c>
      <c r="N97" s="538">
        <v>-10205.179999999978</v>
      </c>
      <c r="O97" s="539">
        <v>35</v>
      </c>
      <c r="P97" s="537">
        <v>1488.6602857142827</v>
      </c>
      <c r="Q97" s="538">
        <v>52103.109999999899</v>
      </c>
      <c r="R97" s="539">
        <v>-4</v>
      </c>
      <c r="S97" s="538">
        <v>-5209.6899999998868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2"/>
      <c r="AD97" s="509"/>
      <c r="AE97" s="509"/>
      <c r="AF97" s="572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522" t="s">
        <v>73</v>
      </c>
      <c r="B98" s="509" t="s">
        <v>73</v>
      </c>
      <c r="C98" s="530"/>
      <c r="D98" s="509"/>
      <c r="E98" s="531">
        <v>0</v>
      </c>
      <c r="F98" s="540"/>
      <c r="G98" s="530"/>
      <c r="H98" s="509"/>
      <c r="I98" s="540"/>
      <c r="J98" s="530"/>
      <c r="K98" s="509"/>
      <c r="L98" s="540"/>
      <c r="M98" s="638">
        <v>-0.2</v>
      </c>
      <c r="N98" s="639">
        <v>-0.20128560157790884</v>
      </c>
      <c r="O98" s="530"/>
      <c r="P98" s="509">
        <v>0</v>
      </c>
      <c r="Q98" s="540"/>
      <c r="R98" s="638">
        <v>-0.11428571428571428</v>
      </c>
      <c r="S98" s="639">
        <v>-9.9988081325661698E-2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522" t="s">
        <v>73</v>
      </c>
      <c r="B99" s="509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09"/>
      <c r="U99" s="509"/>
      <c r="V99" s="509"/>
      <c r="W99" s="531"/>
      <c r="X99" s="531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522" t="s">
        <v>289</v>
      </c>
      <c r="B100" s="509" t="s">
        <v>73</v>
      </c>
      <c r="C100" s="530" t="s">
        <v>78</v>
      </c>
      <c r="D100" s="531">
        <v>39</v>
      </c>
      <c r="E100" s="531">
        <v>400</v>
      </c>
      <c r="F100" s="531">
        <v>15600</v>
      </c>
      <c r="G100" s="532"/>
      <c r="H100" s="531"/>
      <c r="I100" s="531"/>
      <c r="J100" s="532">
        <v>57</v>
      </c>
      <c r="K100" s="531">
        <v>-132.43754385964814</v>
      </c>
      <c r="L100" s="533">
        <v>-7548.9399999999441</v>
      </c>
      <c r="M100" s="532">
        <v>18</v>
      </c>
      <c r="N100" s="533">
        <v>-23148.939999999944</v>
      </c>
      <c r="O100" s="532">
        <v>19</v>
      </c>
      <c r="P100" s="531">
        <v>279.54947368421051</v>
      </c>
      <c r="Q100" s="533">
        <v>5311.44</v>
      </c>
      <c r="R100" s="532">
        <v>38</v>
      </c>
      <c r="S100" s="533">
        <v>-12860.379999999943</v>
      </c>
      <c r="T100" s="509"/>
      <c r="U100" s="531"/>
      <c r="V100" s="509"/>
      <c r="W100" s="509"/>
      <c r="X100" s="509"/>
      <c r="Y100" s="509"/>
      <c r="Z100" s="509"/>
      <c r="AA100" s="509"/>
      <c r="AB100" s="509"/>
      <c r="AC100" s="572"/>
      <c r="AD100" s="509"/>
      <c r="AE100" s="509"/>
      <c r="AF100" s="641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522" t="s">
        <v>73</v>
      </c>
      <c r="B101" s="509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2"/>
      <c r="O101" s="544"/>
      <c r="P101" s="527"/>
      <c r="Q101" s="525"/>
      <c r="R101" s="545"/>
      <c r="S101" s="642"/>
      <c r="T101" s="509"/>
      <c r="U101" s="509"/>
      <c r="V101" s="509"/>
      <c r="W101" s="531"/>
      <c r="X101" s="509"/>
      <c r="Y101" s="509"/>
      <c r="Z101" s="509"/>
      <c r="AA101" s="509"/>
      <c r="AB101" s="509"/>
      <c r="AC101" s="509"/>
      <c r="AD101" s="509"/>
      <c r="AE101" s="509"/>
      <c r="AF101" s="641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522" t="s">
        <v>290</v>
      </c>
      <c r="B102" s="509" t="s">
        <v>73</v>
      </c>
      <c r="C102" s="530" t="s">
        <v>25</v>
      </c>
      <c r="D102" s="531">
        <v>0</v>
      </c>
      <c r="E102" s="531">
        <v>0</v>
      </c>
      <c r="F102" s="533">
        <v>21000</v>
      </c>
      <c r="G102" s="532"/>
      <c r="H102" s="531"/>
      <c r="I102" s="531"/>
      <c r="J102" s="532"/>
      <c r="K102" s="531">
        <v>134.03428571428572</v>
      </c>
      <c r="L102" s="533">
        <v>3752.96</v>
      </c>
      <c r="M102" s="532"/>
      <c r="N102" s="533">
        <v>-17247.04</v>
      </c>
      <c r="O102" s="532"/>
      <c r="P102" s="531"/>
      <c r="Q102" s="533">
        <v>9925.9</v>
      </c>
      <c r="R102" s="532">
        <v>-134.03428571428572</v>
      </c>
      <c r="S102" s="533">
        <v>-6172.94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522" t="s">
        <v>291</v>
      </c>
      <c r="B103" s="509" t="s">
        <v>73</v>
      </c>
      <c r="C103" s="530" t="s">
        <v>26</v>
      </c>
      <c r="D103" s="531">
        <v>0</v>
      </c>
      <c r="E103" s="531">
        <v>0</v>
      </c>
      <c r="F103" s="533">
        <v>43750</v>
      </c>
      <c r="G103" s="532"/>
      <c r="H103" s="531"/>
      <c r="I103" s="531"/>
      <c r="J103" s="532"/>
      <c r="K103" s="531">
        <v>2014.1728571428571</v>
      </c>
      <c r="L103" s="533">
        <v>56396.84</v>
      </c>
      <c r="M103" s="532"/>
      <c r="N103" s="533">
        <v>12646.839999999997</v>
      </c>
      <c r="O103" s="532"/>
      <c r="P103" s="531"/>
      <c r="Q103" s="533">
        <v>43137.02</v>
      </c>
      <c r="R103" s="532">
        <v>-2014.1728571428571</v>
      </c>
      <c r="S103" s="533">
        <v>13259.82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522" t="s">
        <v>292</v>
      </c>
      <c r="B104" s="509" t="s">
        <v>73</v>
      </c>
      <c r="C104" s="530" t="s">
        <v>27</v>
      </c>
      <c r="D104" s="531">
        <v>0</v>
      </c>
      <c r="E104" s="527">
        <v>0</v>
      </c>
      <c r="F104" s="533">
        <v>1750</v>
      </c>
      <c r="G104" s="532"/>
      <c r="H104" s="527"/>
      <c r="I104" s="531"/>
      <c r="J104" s="532"/>
      <c r="K104" s="527">
        <v>0</v>
      </c>
      <c r="L104" s="533">
        <v>0</v>
      </c>
      <c r="M104" s="544"/>
      <c r="N104" s="533">
        <v>-1750</v>
      </c>
      <c r="O104" s="532"/>
      <c r="P104" s="527"/>
      <c r="Q104" s="533">
        <v>560.39</v>
      </c>
      <c r="R104" s="532">
        <v>0</v>
      </c>
      <c r="S104" s="533">
        <v>-560.39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522" t="s">
        <v>293</v>
      </c>
      <c r="B105" s="509" t="s">
        <v>73</v>
      </c>
      <c r="C105" s="536" t="s">
        <v>28</v>
      </c>
      <c r="D105" s="537">
        <v>35</v>
      </c>
      <c r="E105" s="531">
        <v>1900</v>
      </c>
      <c r="F105" s="538">
        <v>66500</v>
      </c>
      <c r="G105" s="539"/>
      <c r="H105" s="537"/>
      <c r="I105" s="538"/>
      <c r="J105" s="539">
        <v>28</v>
      </c>
      <c r="K105" s="537">
        <v>2148.2071428571426</v>
      </c>
      <c r="L105" s="538">
        <v>60149.799999999996</v>
      </c>
      <c r="M105" s="532">
        <v>-7</v>
      </c>
      <c r="N105" s="538">
        <v>-6350.2000000000044</v>
      </c>
      <c r="O105" s="539">
        <v>35</v>
      </c>
      <c r="P105" s="537">
        <v>1532.0945714285713</v>
      </c>
      <c r="Q105" s="538">
        <v>53623.31</v>
      </c>
      <c r="R105" s="553"/>
      <c r="S105" s="538">
        <v>6526.489999999998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522" t="s">
        <v>73</v>
      </c>
      <c r="B106" s="509" t="s">
        <v>73</v>
      </c>
      <c r="C106" s="530"/>
      <c r="D106" s="509"/>
      <c r="E106" s="509"/>
      <c r="F106" s="556"/>
      <c r="G106" s="530"/>
      <c r="H106" s="643"/>
      <c r="I106" s="556"/>
      <c r="J106" s="530"/>
      <c r="K106" s="509"/>
      <c r="L106" s="556"/>
      <c r="M106" s="547"/>
      <c r="N106" s="548">
        <v>-9.5491729323308336E-2</v>
      </c>
      <c r="O106" s="530"/>
      <c r="P106" s="509"/>
      <c r="Q106" s="556"/>
      <c r="R106" s="557"/>
      <c r="S106" s="548">
        <v>0.12170994293339964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522" t="s">
        <v>73</v>
      </c>
      <c r="B107" s="509" t="s">
        <v>73</v>
      </c>
      <c r="C107" s="530"/>
      <c r="D107" s="509"/>
      <c r="E107" s="509"/>
      <c r="F107" s="556"/>
      <c r="G107" s="530"/>
      <c r="H107" s="643"/>
      <c r="I107" s="556"/>
      <c r="J107" s="530"/>
      <c r="K107" s="509"/>
      <c r="L107" s="556"/>
      <c r="M107" s="547"/>
      <c r="N107" s="548"/>
      <c r="O107" s="530"/>
      <c r="P107" s="509"/>
      <c r="Q107" s="556"/>
      <c r="R107" s="557"/>
      <c r="S107" s="548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522" t="s">
        <v>294</v>
      </c>
      <c r="B108" s="509" t="s">
        <v>73</v>
      </c>
      <c r="C108" s="558" t="s">
        <v>79</v>
      </c>
      <c r="D108" s="559">
        <v>74</v>
      </c>
      <c r="E108" s="560">
        <v>1794.5945945945946</v>
      </c>
      <c r="F108" s="561">
        <v>132800</v>
      </c>
      <c r="G108" s="562"/>
      <c r="H108" s="644"/>
      <c r="I108" s="561"/>
      <c r="J108" s="562">
        <v>85</v>
      </c>
      <c r="K108" s="560">
        <v>1095.243294117648</v>
      </c>
      <c r="L108" s="561">
        <v>93095.68000000008</v>
      </c>
      <c r="M108" s="562">
        <v>11</v>
      </c>
      <c r="N108" s="561">
        <v>-39704.31999999992</v>
      </c>
      <c r="O108" s="562">
        <v>54</v>
      </c>
      <c r="P108" s="560">
        <v>2056.2566666666648</v>
      </c>
      <c r="Q108" s="561">
        <v>111037.8599999999</v>
      </c>
      <c r="R108" s="562">
        <v>31</v>
      </c>
      <c r="S108" s="561">
        <v>-17942.179999999818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522" t="s">
        <v>73</v>
      </c>
      <c r="B109" s="509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0.7010216867469885</v>
      </c>
      <c r="M109" s="568">
        <v>0.14864864864864866</v>
      </c>
      <c r="N109" s="569">
        <v>-0.29897831325301144</v>
      </c>
      <c r="O109" s="563"/>
      <c r="P109" s="564"/>
      <c r="Q109" s="565"/>
      <c r="R109" s="645">
        <v>1.7419354838709677</v>
      </c>
      <c r="S109" s="646">
        <v>-0.1615861472834566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522" t="s">
        <v>73</v>
      </c>
      <c r="B110" s="509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522" t="s">
        <v>295</v>
      </c>
      <c r="B111" s="509" t="s">
        <v>73</v>
      </c>
      <c r="C111" s="573" t="s">
        <v>30</v>
      </c>
      <c r="D111" s="509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522" t="s">
        <v>296</v>
      </c>
      <c r="B112" s="509" t="s">
        <v>73</v>
      </c>
      <c r="C112" s="530" t="s">
        <v>31</v>
      </c>
      <c r="D112" s="647">
        <v>0.33608723158795728</v>
      </c>
      <c r="E112" s="572">
        <v>486.84636118598388</v>
      </c>
      <c r="F112" s="531">
        <v>17039.622641509435</v>
      </c>
      <c r="G112" s="576"/>
      <c r="H112" s="572"/>
      <c r="I112" s="531"/>
      <c r="J112" s="576">
        <v>0.26474052730694925</v>
      </c>
      <c r="K112" s="572">
        <v>382.87928571428574</v>
      </c>
      <c r="L112" s="533">
        <v>10720.62</v>
      </c>
      <c r="M112" s="530"/>
      <c r="N112" s="556">
        <v>-6319.0026415094344</v>
      </c>
      <c r="O112" s="577">
        <v>0.49452172816555573</v>
      </c>
      <c r="P112" s="572">
        <v>736.17485714285715</v>
      </c>
      <c r="Q112" s="533">
        <v>25766.12</v>
      </c>
      <c r="R112" s="530"/>
      <c r="S112" s="556">
        <v>-15045.499999999998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522" t="s">
        <v>297</v>
      </c>
      <c r="B113" s="509" t="s">
        <v>73</v>
      </c>
      <c r="C113" s="523" t="s">
        <v>32</v>
      </c>
      <c r="D113" s="648">
        <v>0.3</v>
      </c>
      <c r="E113" s="579">
        <v>570</v>
      </c>
      <c r="F113" s="525">
        <v>19950</v>
      </c>
      <c r="G113" s="580"/>
      <c r="H113" s="579"/>
      <c r="I113" s="525"/>
      <c r="J113" s="580">
        <v>0.31540437374687863</v>
      </c>
      <c r="K113" s="579">
        <v>677.55392857142851</v>
      </c>
      <c r="L113" s="533">
        <v>18971.509999999998</v>
      </c>
      <c r="M113" s="523"/>
      <c r="N113" s="581">
        <v>-978.4900000000016</v>
      </c>
      <c r="O113" s="582">
        <v>0.23609782316055672</v>
      </c>
      <c r="P113" s="579">
        <v>413.66571428571427</v>
      </c>
      <c r="Q113" s="533">
        <v>14478.3</v>
      </c>
      <c r="R113" s="523"/>
      <c r="S113" s="581">
        <v>4493.2099999999991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522" t="s">
        <v>298</v>
      </c>
      <c r="B114" s="509" t="s">
        <v>73</v>
      </c>
      <c r="C114" s="530" t="s">
        <v>33</v>
      </c>
      <c r="D114" s="583"/>
      <c r="E114" s="572">
        <v>8</v>
      </c>
      <c r="F114" s="531">
        <v>280</v>
      </c>
      <c r="G114" s="584"/>
      <c r="H114" s="572"/>
      <c r="I114" s="531"/>
      <c r="J114" s="530"/>
      <c r="K114" s="572">
        <v>-16.188928571428573</v>
      </c>
      <c r="L114" s="552">
        <v>-453.29</v>
      </c>
      <c r="M114" s="530"/>
      <c r="N114" s="556">
        <v>-733.29</v>
      </c>
      <c r="O114" s="530"/>
      <c r="P114" s="572">
        <v>-37.459714285714284</v>
      </c>
      <c r="Q114" s="552">
        <v>-1311.09</v>
      </c>
      <c r="R114" s="530"/>
      <c r="S114" s="556">
        <v>857.8</v>
      </c>
      <c r="T114" s="509"/>
      <c r="U114" s="506"/>
      <c r="V114" s="509"/>
      <c r="W114" s="531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522" t="s">
        <v>299</v>
      </c>
      <c r="B115" s="509" t="s">
        <v>73</v>
      </c>
      <c r="C115" s="530" t="s">
        <v>34</v>
      </c>
      <c r="D115" s="583"/>
      <c r="E115" s="572">
        <v>45</v>
      </c>
      <c r="F115" s="531">
        <v>1575</v>
      </c>
      <c r="G115" s="584"/>
      <c r="H115" s="572"/>
      <c r="I115" s="531"/>
      <c r="J115" s="530"/>
      <c r="K115" s="572">
        <v>70.20214285714286</v>
      </c>
      <c r="L115" s="533">
        <v>1965.66</v>
      </c>
      <c r="M115" s="530"/>
      <c r="N115" s="556">
        <v>390.66000000000008</v>
      </c>
      <c r="O115" s="530"/>
      <c r="P115" s="572">
        <v>83.01828571428571</v>
      </c>
      <c r="Q115" s="533">
        <v>2905.64</v>
      </c>
      <c r="R115" s="530"/>
      <c r="S115" s="556">
        <v>-939.97999999999979</v>
      </c>
      <c r="T115" s="509"/>
      <c r="U115" s="509"/>
      <c r="V115" s="509"/>
      <c r="W115" s="531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522" t="s">
        <v>300</v>
      </c>
      <c r="B116" s="509" t="s">
        <v>73</v>
      </c>
      <c r="C116" s="523" t="s">
        <v>35</v>
      </c>
      <c r="D116" s="586"/>
      <c r="E116" s="579">
        <v>160</v>
      </c>
      <c r="F116" s="525">
        <v>5600</v>
      </c>
      <c r="G116" s="587"/>
      <c r="H116" s="579"/>
      <c r="I116" s="525"/>
      <c r="J116" s="523"/>
      <c r="K116" s="579">
        <v>139.7957142857143</v>
      </c>
      <c r="L116" s="525">
        <v>3914.28</v>
      </c>
      <c r="M116" s="523"/>
      <c r="N116" s="581">
        <v>-1685.7199999999998</v>
      </c>
      <c r="O116" s="523"/>
      <c r="P116" s="579">
        <v>143.69457142857144</v>
      </c>
      <c r="Q116" s="525">
        <v>5029.3100000000004</v>
      </c>
      <c r="R116" s="523"/>
      <c r="S116" s="581">
        <v>-1115.0300000000002</v>
      </c>
      <c r="T116" s="509"/>
      <c r="U116" s="506"/>
      <c r="V116" s="509"/>
      <c r="W116" s="531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522" t="s">
        <v>301</v>
      </c>
      <c r="B117" s="509" t="s">
        <v>73</v>
      </c>
      <c r="C117" s="530" t="s">
        <v>36</v>
      </c>
      <c r="D117" s="583"/>
      <c r="E117" s="572">
        <v>336.62857142857143</v>
      </c>
      <c r="F117" s="531">
        <v>11782</v>
      </c>
      <c r="G117" s="584"/>
      <c r="H117" s="572"/>
      <c r="I117" s="531"/>
      <c r="J117" s="530"/>
      <c r="K117" s="572">
        <v>350.01357142857142</v>
      </c>
      <c r="L117" s="533">
        <v>9800.3799999999992</v>
      </c>
      <c r="M117" s="530"/>
      <c r="N117" s="556">
        <v>-1981.6200000000008</v>
      </c>
      <c r="O117" s="530"/>
      <c r="P117" s="572">
        <v>309.88885714285715</v>
      </c>
      <c r="Q117" s="533">
        <v>10846.11</v>
      </c>
      <c r="R117" s="530"/>
      <c r="S117" s="556">
        <v>-1045.7300000000014</v>
      </c>
      <c r="T117" s="509"/>
      <c r="U117" s="509"/>
      <c r="V117" s="509"/>
      <c r="W117" s="531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522" t="s">
        <v>302</v>
      </c>
      <c r="B118" s="509" t="s">
        <v>73</v>
      </c>
      <c r="C118" s="530" t="s">
        <v>37</v>
      </c>
      <c r="D118" s="583"/>
      <c r="E118" s="572">
        <v>203.24768786127166</v>
      </c>
      <c r="F118" s="531">
        <v>7113.6690751445085</v>
      </c>
      <c r="G118" s="584"/>
      <c r="H118" s="572"/>
      <c r="I118" s="531"/>
      <c r="J118" s="530"/>
      <c r="K118" s="572">
        <v>27.988928571428573</v>
      </c>
      <c r="L118" s="533">
        <v>783.69</v>
      </c>
      <c r="M118" s="530"/>
      <c r="N118" s="556">
        <v>-6329.9790751445089</v>
      </c>
      <c r="O118" s="530"/>
      <c r="P118" s="572">
        <v>65.676571428571421</v>
      </c>
      <c r="Q118" s="533">
        <v>2298.6799999999998</v>
      </c>
      <c r="R118" s="530"/>
      <c r="S118" s="556">
        <v>-1514.9899999999998</v>
      </c>
      <c r="T118" s="509"/>
      <c r="U118" s="509"/>
      <c r="V118" s="509"/>
      <c r="W118" s="531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522" t="s">
        <v>303</v>
      </c>
      <c r="B119" s="509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522" t="s">
        <v>303</v>
      </c>
      <c r="B120" s="509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522" t="s">
        <v>303</v>
      </c>
      <c r="B121" s="509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522" t="s">
        <v>304</v>
      </c>
      <c r="B122" s="509" t="s">
        <v>73</v>
      </c>
      <c r="C122" s="591" t="s">
        <v>38</v>
      </c>
      <c r="D122" s="592" t="s">
        <v>39</v>
      </c>
      <c r="E122" s="593">
        <v>0.47696002798685194</v>
      </c>
      <c r="F122" s="594">
        <v>63340.291716653941</v>
      </c>
      <c r="G122" s="595"/>
      <c r="H122" s="593"/>
      <c r="I122" s="594"/>
      <c r="J122" s="595" t="s">
        <v>39</v>
      </c>
      <c r="K122" s="593">
        <v>0.4909234241588864</v>
      </c>
      <c r="L122" s="594">
        <v>45702.85</v>
      </c>
      <c r="M122" s="598"/>
      <c r="N122" s="594">
        <v>-17637.441716653942</v>
      </c>
      <c r="O122" s="595" t="s">
        <v>39</v>
      </c>
      <c r="P122" s="593">
        <v>0.5404739428515648</v>
      </c>
      <c r="Q122" s="594">
        <v>60013.07</v>
      </c>
      <c r="R122" s="598"/>
      <c r="S122" s="594">
        <v>-14310.220000000001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522" t="s">
        <v>305</v>
      </c>
      <c r="B123" s="509" t="s">
        <v>73</v>
      </c>
      <c r="C123" s="599" t="s">
        <v>41</v>
      </c>
      <c r="D123" s="509"/>
      <c r="E123" s="509"/>
      <c r="F123" s="531">
        <v>9202.1205128205147</v>
      </c>
      <c r="G123" s="530"/>
      <c r="H123" s="509"/>
      <c r="I123" s="531"/>
      <c r="J123" s="530"/>
      <c r="K123" s="509"/>
      <c r="L123" s="533">
        <v>12013.87</v>
      </c>
      <c r="M123" s="530"/>
      <c r="N123" s="556">
        <v>2811.7494871794861</v>
      </c>
      <c r="O123" s="530"/>
      <c r="P123" s="509"/>
      <c r="Q123" s="533">
        <v>12581.58</v>
      </c>
      <c r="R123" s="530"/>
      <c r="S123" s="556">
        <v>-567.70999999999913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522" t="s">
        <v>306</v>
      </c>
      <c r="B124" s="509" t="s">
        <v>73</v>
      </c>
      <c r="C124" s="601" t="s">
        <v>42</v>
      </c>
      <c r="D124" s="583"/>
      <c r="E124" s="509"/>
      <c r="F124" s="525">
        <v>8529.65846153846</v>
      </c>
      <c r="G124" s="584"/>
      <c r="H124" s="509"/>
      <c r="I124" s="525"/>
      <c r="J124" s="530"/>
      <c r="K124" s="509"/>
      <c r="L124" s="525">
        <v>1829.35</v>
      </c>
      <c r="M124" s="530"/>
      <c r="N124" s="556">
        <v>-6700.3084615384596</v>
      </c>
      <c r="O124" s="530"/>
      <c r="P124" s="509"/>
      <c r="Q124" s="525">
        <v>2096.35</v>
      </c>
      <c r="R124" s="530"/>
      <c r="S124" s="556">
        <v>-267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522" t="s">
        <v>307</v>
      </c>
      <c r="B125" s="509" t="s">
        <v>73</v>
      </c>
      <c r="C125" s="599" t="s">
        <v>43</v>
      </c>
      <c r="D125" s="602"/>
      <c r="E125" s="603"/>
      <c r="F125" s="531">
        <v>3344.8923076923074</v>
      </c>
      <c r="G125" s="604"/>
      <c r="H125" s="603"/>
      <c r="I125" s="531"/>
      <c r="J125" s="517"/>
      <c r="K125" s="603"/>
      <c r="L125" s="533">
        <v>4999.6000000000004</v>
      </c>
      <c r="M125" s="517"/>
      <c r="N125" s="605">
        <v>1654.7076923076929</v>
      </c>
      <c r="O125" s="517"/>
      <c r="P125" s="603"/>
      <c r="Q125" s="533">
        <v>7887.5</v>
      </c>
      <c r="R125" s="517"/>
      <c r="S125" s="605">
        <v>-2887.8999999999996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522" t="s">
        <v>308</v>
      </c>
      <c r="B126" s="509" t="s">
        <v>73</v>
      </c>
      <c r="C126" s="599" t="s">
        <v>44</v>
      </c>
      <c r="D126" s="583"/>
      <c r="E126" s="509"/>
      <c r="F126" s="531">
        <v>0</v>
      </c>
      <c r="G126" s="584"/>
      <c r="H126" s="509"/>
      <c r="I126" s="531"/>
      <c r="J126" s="530"/>
      <c r="K126" s="509"/>
      <c r="L126" s="533">
        <v>0</v>
      </c>
      <c r="M126" s="530"/>
      <c r="N126" s="556">
        <v>0</v>
      </c>
      <c r="O126" s="530"/>
      <c r="P126" s="509"/>
      <c r="Q126" s="533">
        <v>0</v>
      </c>
      <c r="R126" s="530"/>
      <c r="S126" s="556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522" t="s">
        <v>303</v>
      </c>
      <c r="B127" s="509" t="s">
        <v>73</v>
      </c>
      <c r="C127" s="599" t="s">
        <v>20</v>
      </c>
      <c r="D127" s="583"/>
      <c r="E127" s="509"/>
      <c r="F127" s="531">
        <v>0</v>
      </c>
      <c r="G127" s="584"/>
      <c r="H127" s="509"/>
      <c r="I127" s="531"/>
      <c r="J127" s="530"/>
      <c r="K127" s="509"/>
      <c r="L127" s="533">
        <v>0</v>
      </c>
      <c r="M127" s="530"/>
      <c r="N127" s="556">
        <v>0</v>
      </c>
      <c r="O127" s="530"/>
      <c r="P127" s="509"/>
      <c r="Q127" s="533">
        <v>0</v>
      </c>
      <c r="R127" s="530"/>
      <c r="S127" s="556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522" t="s">
        <v>303</v>
      </c>
      <c r="B128" s="509" t="s">
        <v>73</v>
      </c>
      <c r="C128" s="599" t="s">
        <v>20</v>
      </c>
      <c r="D128" s="583"/>
      <c r="E128" s="509"/>
      <c r="F128" s="531">
        <v>0</v>
      </c>
      <c r="G128" s="584"/>
      <c r="H128" s="509"/>
      <c r="I128" s="531"/>
      <c r="J128" s="530"/>
      <c r="K128" s="509"/>
      <c r="L128" s="533">
        <v>0</v>
      </c>
      <c r="M128" s="530"/>
      <c r="N128" s="556">
        <v>0</v>
      </c>
      <c r="O128" s="530"/>
      <c r="P128" s="509"/>
      <c r="Q128" s="533">
        <v>0</v>
      </c>
      <c r="R128" s="530"/>
      <c r="S128" s="556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522" t="s">
        <v>303</v>
      </c>
      <c r="B129" s="509" t="s">
        <v>73</v>
      </c>
      <c r="C129" s="599" t="s">
        <v>20</v>
      </c>
      <c r="D129" s="583"/>
      <c r="E129" s="509"/>
      <c r="F129" s="531">
        <v>0</v>
      </c>
      <c r="G129" s="584"/>
      <c r="H129" s="509"/>
      <c r="I129" s="531"/>
      <c r="J129" s="530"/>
      <c r="K129" s="509"/>
      <c r="L129" s="533">
        <v>0</v>
      </c>
      <c r="M129" s="530"/>
      <c r="N129" s="556">
        <v>0</v>
      </c>
      <c r="O129" s="530"/>
      <c r="P129" s="509"/>
      <c r="Q129" s="533">
        <v>0</v>
      </c>
      <c r="R129" s="530"/>
      <c r="S129" s="556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522" t="s">
        <v>309</v>
      </c>
      <c r="B130" s="509" t="s">
        <v>73</v>
      </c>
      <c r="C130" s="601" t="s">
        <v>45</v>
      </c>
      <c r="D130" s="583"/>
      <c r="E130" s="509"/>
      <c r="F130" s="531">
        <v>7925.1089212820507</v>
      </c>
      <c r="G130" s="584"/>
      <c r="H130" s="509"/>
      <c r="I130" s="531"/>
      <c r="J130" s="530"/>
      <c r="K130" s="509"/>
      <c r="L130" s="533">
        <v>7715.34</v>
      </c>
      <c r="M130" s="530"/>
      <c r="N130" s="556">
        <v>-209.76892128205054</v>
      </c>
      <c r="O130" s="530"/>
      <c r="P130" s="509"/>
      <c r="Q130" s="533">
        <v>2561.98</v>
      </c>
      <c r="R130" s="530"/>
      <c r="S130" s="556">
        <v>5153.3600000000006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522" t="s">
        <v>310</v>
      </c>
      <c r="B131" s="509" t="s">
        <v>73</v>
      </c>
      <c r="C131" s="599" t="s">
        <v>46</v>
      </c>
      <c r="D131" s="602"/>
      <c r="E131" s="603"/>
      <c r="F131" s="551">
        <v>9635.8152523076915</v>
      </c>
      <c r="G131" s="604"/>
      <c r="H131" s="603"/>
      <c r="I131" s="551"/>
      <c r="J131" s="517"/>
      <c r="K131" s="603"/>
      <c r="L131" s="552">
        <v>9209.24</v>
      </c>
      <c r="M131" s="517"/>
      <c r="N131" s="605">
        <v>-426.5752523076917</v>
      </c>
      <c r="O131" s="517"/>
      <c r="P131" s="603"/>
      <c r="Q131" s="552">
        <v>7576.78</v>
      </c>
      <c r="R131" s="517"/>
      <c r="S131" s="605">
        <v>1632.46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522" t="s">
        <v>311</v>
      </c>
      <c r="B132" s="509" t="s">
        <v>73</v>
      </c>
      <c r="C132" s="599" t="s">
        <v>47</v>
      </c>
      <c r="D132" s="583"/>
      <c r="E132" s="509"/>
      <c r="F132" s="531">
        <v>4964.5395973846144</v>
      </c>
      <c r="G132" s="584"/>
      <c r="H132" s="509"/>
      <c r="I132" s="531"/>
      <c r="J132" s="530"/>
      <c r="K132" s="509"/>
      <c r="L132" s="533">
        <v>4277.1400000000003</v>
      </c>
      <c r="M132" s="530"/>
      <c r="N132" s="556">
        <v>-687.39959738461403</v>
      </c>
      <c r="O132" s="530"/>
      <c r="P132" s="509"/>
      <c r="Q132" s="533">
        <v>-1684.7</v>
      </c>
      <c r="R132" s="530"/>
      <c r="S132" s="556">
        <v>5961.84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522" t="s">
        <v>312</v>
      </c>
      <c r="B133" s="509" t="s">
        <v>73</v>
      </c>
      <c r="C133" s="599" t="s">
        <v>48</v>
      </c>
      <c r="D133" s="583"/>
      <c r="E133" s="509"/>
      <c r="F133" s="531">
        <v>2164.5671943589741</v>
      </c>
      <c r="G133" s="584"/>
      <c r="H133" s="509"/>
      <c r="I133" s="531"/>
      <c r="J133" s="530"/>
      <c r="K133" s="509"/>
      <c r="L133" s="533">
        <v>458.92</v>
      </c>
      <c r="M133" s="530"/>
      <c r="N133" s="556">
        <v>-1705.647194358974</v>
      </c>
      <c r="O133" s="530"/>
      <c r="P133" s="509"/>
      <c r="Q133" s="533">
        <v>1318.85</v>
      </c>
      <c r="R133" s="530"/>
      <c r="S133" s="556">
        <v>-859.92999999999984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522" t="s">
        <v>303</v>
      </c>
      <c r="B134" s="509" t="s">
        <v>73</v>
      </c>
      <c r="C134" s="530" t="s">
        <v>20</v>
      </c>
      <c r="D134" s="586"/>
      <c r="E134" s="606"/>
      <c r="F134" s="531">
        <v>0</v>
      </c>
      <c r="G134" s="587"/>
      <c r="H134" s="606"/>
      <c r="I134" s="531"/>
      <c r="J134" s="523"/>
      <c r="K134" s="606"/>
      <c r="L134" s="533">
        <v>0</v>
      </c>
      <c r="M134" s="523"/>
      <c r="N134" s="581">
        <v>0</v>
      </c>
      <c r="O134" s="523"/>
      <c r="P134" s="606"/>
      <c r="Q134" s="533">
        <v>0</v>
      </c>
      <c r="R134" s="523"/>
      <c r="S134" s="581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522" t="s">
        <v>313</v>
      </c>
      <c r="B135" s="509" t="s">
        <v>73</v>
      </c>
      <c r="C135" s="591" t="s">
        <v>49</v>
      </c>
      <c r="D135" s="592" t="s">
        <v>39</v>
      </c>
      <c r="E135" s="593">
        <v>0.34462878198331792</v>
      </c>
      <c r="F135" s="594">
        <v>45766.702247384623</v>
      </c>
      <c r="G135" s="595"/>
      <c r="H135" s="593"/>
      <c r="I135" s="594"/>
      <c r="J135" s="595" t="s">
        <v>39</v>
      </c>
      <c r="K135" s="593">
        <v>0.43507346420370918</v>
      </c>
      <c r="L135" s="594">
        <v>40503.46</v>
      </c>
      <c r="M135" s="649"/>
      <c r="N135" s="608">
        <v>-5263.2422473846236</v>
      </c>
      <c r="O135" s="595" t="s">
        <v>39</v>
      </c>
      <c r="P135" s="593">
        <v>0.29123706094479868</v>
      </c>
      <c r="Q135" s="594">
        <v>32338.339999999997</v>
      </c>
      <c r="R135" s="649"/>
      <c r="S135" s="608">
        <v>8165.1200000000026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522" t="s">
        <v>314</v>
      </c>
      <c r="B136" s="509" t="s">
        <v>73</v>
      </c>
      <c r="C136" s="530" t="s">
        <v>50</v>
      </c>
      <c r="D136" s="583"/>
      <c r="E136" s="509"/>
      <c r="F136" s="531">
        <v>0</v>
      </c>
      <c r="G136" s="584"/>
      <c r="H136" s="509"/>
      <c r="I136" s="531"/>
      <c r="J136" s="530"/>
      <c r="K136" s="509"/>
      <c r="L136" s="533">
        <v>0</v>
      </c>
      <c r="M136" s="530"/>
      <c r="N136" s="556">
        <v>0</v>
      </c>
      <c r="O136" s="530"/>
      <c r="P136" s="509"/>
      <c r="Q136" s="533">
        <v>0</v>
      </c>
      <c r="R136" s="530"/>
      <c r="S136" s="556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522" t="s">
        <v>315</v>
      </c>
      <c r="B137" s="509" t="s">
        <v>73</v>
      </c>
      <c r="C137" s="530" t="s">
        <v>51</v>
      </c>
      <c r="D137" s="583"/>
      <c r="E137" s="509"/>
      <c r="F137" s="531">
        <v>0</v>
      </c>
      <c r="G137" s="584"/>
      <c r="H137" s="509"/>
      <c r="I137" s="531"/>
      <c r="J137" s="530"/>
      <c r="K137" s="509"/>
      <c r="L137" s="533">
        <v>0</v>
      </c>
      <c r="M137" s="530"/>
      <c r="N137" s="556">
        <v>0</v>
      </c>
      <c r="O137" s="530"/>
      <c r="P137" s="509"/>
      <c r="Q137" s="533">
        <v>0</v>
      </c>
      <c r="R137" s="530"/>
      <c r="S137" s="556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522" t="s">
        <v>316</v>
      </c>
      <c r="B138" s="509" t="s">
        <v>73</v>
      </c>
      <c r="C138" s="523" t="s">
        <v>52</v>
      </c>
      <c r="D138" s="586"/>
      <c r="E138" s="606"/>
      <c r="F138" s="525">
        <v>1284.1532888888889</v>
      </c>
      <c r="G138" s="587"/>
      <c r="H138" s="606"/>
      <c r="I138" s="525"/>
      <c r="J138" s="523"/>
      <c r="K138" s="606"/>
      <c r="L138" s="525">
        <v>1509.94</v>
      </c>
      <c r="M138" s="523"/>
      <c r="N138" s="581">
        <v>225.78671111111112</v>
      </c>
      <c r="O138" s="523"/>
      <c r="P138" s="606"/>
      <c r="Q138" s="525">
        <v>3842.56</v>
      </c>
      <c r="R138" s="523"/>
      <c r="S138" s="581">
        <v>-2332.62</v>
      </c>
      <c r="T138" s="509"/>
      <c r="U138" s="506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522" t="s">
        <v>317</v>
      </c>
      <c r="B139" s="509" t="s">
        <v>73</v>
      </c>
      <c r="C139" s="530" t="s">
        <v>53</v>
      </c>
      <c r="D139" s="583"/>
      <c r="E139" s="509"/>
      <c r="F139" s="531">
        <v>3757.6856226933323</v>
      </c>
      <c r="G139" s="584"/>
      <c r="H139" s="509"/>
      <c r="I139" s="531"/>
      <c r="J139" s="530"/>
      <c r="K139" s="509"/>
      <c r="L139" s="533">
        <v>3583.11</v>
      </c>
      <c r="M139" s="530"/>
      <c r="N139" s="556">
        <v>-174.57562269333221</v>
      </c>
      <c r="O139" s="530"/>
      <c r="P139" s="509"/>
      <c r="Q139" s="533">
        <v>3362.33</v>
      </c>
      <c r="R139" s="530"/>
      <c r="S139" s="556">
        <v>220.7800000000002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522" t="s">
        <v>318</v>
      </c>
      <c r="B140" s="509" t="s">
        <v>73</v>
      </c>
      <c r="C140" s="530" t="s">
        <v>54</v>
      </c>
      <c r="D140" s="583"/>
      <c r="E140" s="509"/>
      <c r="F140" s="531">
        <v>555.6702437740496</v>
      </c>
      <c r="G140" s="584"/>
      <c r="H140" s="509"/>
      <c r="I140" s="531"/>
      <c r="J140" s="530"/>
      <c r="K140" s="509"/>
      <c r="L140" s="533">
        <v>676.61</v>
      </c>
      <c r="M140" s="530"/>
      <c r="N140" s="556">
        <v>120.93975622595042</v>
      </c>
      <c r="O140" s="530"/>
      <c r="P140" s="509"/>
      <c r="Q140" s="533">
        <v>701.68</v>
      </c>
      <c r="R140" s="530"/>
      <c r="S140" s="556">
        <v>-25.069999999999936</v>
      </c>
      <c r="T140" s="647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522" t="s">
        <v>319</v>
      </c>
      <c r="B141" s="509" t="s">
        <v>73</v>
      </c>
      <c r="C141" s="523" t="s">
        <v>55</v>
      </c>
      <c r="D141" s="586"/>
      <c r="E141" s="606"/>
      <c r="F141" s="525">
        <v>1398.8494640536576</v>
      </c>
      <c r="G141" s="587"/>
      <c r="H141" s="606"/>
      <c r="I141" s="525"/>
      <c r="J141" s="523"/>
      <c r="K141" s="606"/>
      <c r="L141" s="525">
        <v>1969.12</v>
      </c>
      <c r="M141" s="523"/>
      <c r="N141" s="581">
        <v>570.27053594634231</v>
      </c>
      <c r="O141" s="523"/>
      <c r="P141" s="606"/>
      <c r="Q141" s="525">
        <v>2428.6999999999998</v>
      </c>
      <c r="R141" s="523"/>
      <c r="S141" s="581">
        <v>-459.57999999999993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522" t="s">
        <v>320</v>
      </c>
      <c r="B142" s="509" t="s">
        <v>73</v>
      </c>
      <c r="C142" s="530" t="s">
        <v>56</v>
      </c>
      <c r="D142" s="583"/>
      <c r="E142" s="509"/>
      <c r="F142" s="531">
        <v>83.885533333333328</v>
      </c>
      <c r="G142" s="584"/>
      <c r="H142" s="509"/>
      <c r="I142" s="531"/>
      <c r="J142" s="530"/>
      <c r="K142" s="509"/>
      <c r="L142" s="533">
        <v>0</v>
      </c>
      <c r="M142" s="530"/>
      <c r="N142" s="556">
        <v>-83.885533333333328</v>
      </c>
      <c r="O142" s="530"/>
      <c r="P142" s="509"/>
      <c r="Q142" s="533">
        <v>0</v>
      </c>
      <c r="R142" s="530"/>
      <c r="S142" s="556">
        <v>0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522" t="s">
        <v>321</v>
      </c>
      <c r="B143" s="509" t="s">
        <v>73</v>
      </c>
      <c r="C143" s="530" t="s">
        <v>57</v>
      </c>
      <c r="D143" s="583"/>
      <c r="E143" s="509"/>
      <c r="F143" s="531">
        <v>28.333333333333332</v>
      </c>
      <c r="G143" s="584"/>
      <c r="H143" s="509"/>
      <c r="I143" s="531"/>
      <c r="J143" s="530"/>
      <c r="K143" s="509"/>
      <c r="L143" s="533">
        <v>0</v>
      </c>
      <c r="M143" s="530"/>
      <c r="N143" s="556">
        <v>-28.333333333333332</v>
      </c>
      <c r="O143" s="530"/>
      <c r="P143" s="509"/>
      <c r="Q143" s="533">
        <v>0</v>
      </c>
      <c r="R143" s="530"/>
      <c r="S143" s="556">
        <v>0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522" t="s">
        <v>322</v>
      </c>
      <c r="B144" s="509" t="s">
        <v>73</v>
      </c>
      <c r="C144" s="530" t="s">
        <v>58</v>
      </c>
      <c r="D144" s="583"/>
      <c r="E144" s="509"/>
      <c r="F144" s="531">
        <v>323.61939737591996</v>
      </c>
      <c r="G144" s="584"/>
      <c r="H144" s="509"/>
      <c r="I144" s="531"/>
      <c r="J144" s="530"/>
      <c r="K144" s="509"/>
      <c r="L144" s="533">
        <v>739.62</v>
      </c>
      <c r="M144" s="530"/>
      <c r="N144" s="556">
        <v>416.00060262408005</v>
      </c>
      <c r="O144" s="530"/>
      <c r="P144" s="509"/>
      <c r="Q144" s="533">
        <v>473.37</v>
      </c>
      <c r="R144" s="530"/>
      <c r="S144" s="556">
        <v>266.25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522" t="s">
        <v>323</v>
      </c>
      <c r="B145" s="509" t="s">
        <v>73</v>
      </c>
      <c r="C145" s="530" t="s">
        <v>59</v>
      </c>
      <c r="D145" s="583"/>
      <c r="E145" s="509"/>
      <c r="F145" s="531">
        <v>62.764554844243328</v>
      </c>
      <c r="G145" s="584"/>
      <c r="H145" s="509"/>
      <c r="I145" s="531"/>
      <c r="J145" s="530"/>
      <c r="K145" s="509"/>
      <c r="L145" s="533">
        <v>93.5</v>
      </c>
      <c r="M145" s="530"/>
      <c r="N145" s="556">
        <v>30.735445155756672</v>
      </c>
      <c r="O145" s="530"/>
      <c r="P145" s="509"/>
      <c r="Q145" s="533">
        <v>92.04</v>
      </c>
      <c r="R145" s="530"/>
      <c r="S145" s="556">
        <v>1.4599999999999937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522" t="s">
        <v>324</v>
      </c>
      <c r="B146" s="509" t="s">
        <v>73</v>
      </c>
      <c r="C146" s="530" t="s">
        <v>60</v>
      </c>
      <c r="D146" s="583"/>
      <c r="E146" s="509"/>
      <c r="F146" s="531">
        <v>48.216844138156659</v>
      </c>
      <c r="G146" s="584"/>
      <c r="H146" s="509"/>
      <c r="I146" s="531"/>
      <c r="J146" s="530"/>
      <c r="K146" s="509"/>
      <c r="L146" s="533">
        <v>43.76</v>
      </c>
      <c r="M146" s="530"/>
      <c r="N146" s="556">
        <v>-4.4568441381566615</v>
      </c>
      <c r="O146" s="530"/>
      <c r="P146" s="509"/>
      <c r="Q146" s="533">
        <v>15.09</v>
      </c>
      <c r="R146" s="530"/>
      <c r="S146" s="556">
        <v>28.669999999999998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522" t="s">
        <v>325</v>
      </c>
      <c r="B147" s="509" t="s">
        <v>73</v>
      </c>
      <c r="C147" s="530" t="s">
        <v>61</v>
      </c>
      <c r="D147" s="583"/>
      <c r="E147" s="509"/>
      <c r="F147" s="531">
        <v>107.35161743797669</v>
      </c>
      <c r="G147" s="584"/>
      <c r="H147" s="509"/>
      <c r="I147" s="531"/>
      <c r="J147" s="530"/>
      <c r="K147" s="509"/>
      <c r="L147" s="533">
        <v>153.88999999999999</v>
      </c>
      <c r="M147" s="530"/>
      <c r="N147" s="556">
        <v>46.538382562023301</v>
      </c>
      <c r="O147" s="530"/>
      <c r="P147" s="509"/>
      <c r="Q147" s="533">
        <v>167.55</v>
      </c>
      <c r="R147" s="530"/>
      <c r="S147" s="556">
        <v>-13.660000000000025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522" t="s">
        <v>326</v>
      </c>
      <c r="B148" s="509" t="s">
        <v>73</v>
      </c>
      <c r="C148" s="530" t="s">
        <v>62</v>
      </c>
      <c r="D148" s="583"/>
      <c r="E148" s="509"/>
      <c r="F148" s="531">
        <v>218.46437169698484</v>
      </c>
      <c r="G148" s="584"/>
      <c r="H148" s="509"/>
      <c r="I148" s="531"/>
      <c r="J148" s="530"/>
      <c r="K148" s="509"/>
      <c r="L148" s="533">
        <v>215.16</v>
      </c>
      <c r="M148" s="530"/>
      <c r="N148" s="556">
        <v>-3.3043716969848447</v>
      </c>
      <c r="O148" s="530"/>
      <c r="P148" s="509"/>
      <c r="Q148" s="533">
        <v>267.42</v>
      </c>
      <c r="R148" s="530"/>
      <c r="S148" s="556">
        <v>-52.260000000000019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522" t="s">
        <v>327</v>
      </c>
      <c r="B149" s="509" t="s">
        <v>73</v>
      </c>
      <c r="C149" s="530" t="s">
        <v>63</v>
      </c>
      <c r="D149" s="583"/>
      <c r="E149" s="509"/>
      <c r="F149" s="531">
        <v>1146.3671308542077</v>
      </c>
      <c r="G149" s="584"/>
      <c r="H149" s="509"/>
      <c r="I149" s="531"/>
      <c r="J149" s="530"/>
      <c r="K149" s="509"/>
      <c r="L149" s="533">
        <v>1412.89</v>
      </c>
      <c r="M149" s="530"/>
      <c r="N149" s="556">
        <v>266.52286914579236</v>
      </c>
      <c r="O149" s="530"/>
      <c r="P149" s="509"/>
      <c r="Q149" s="533">
        <v>1548.29</v>
      </c>
      <c r="R149" s="530"/>
      <c r="S149" s="556">
        <v>-135.39999999999986</v>
      </c>
      <c r="T149" s="572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522" t="s">
        <v>303</v>
      </c>
      <c r="B150" s="509" t="s">
        <v>73</v>
      </c>
      <c r="C150" s="530" t="s">
        <v>20</v>
      </c>
      <c r="D150" s="583"/>
      <c r="E150" s="509"/>
      <c r="F150" s="531">
        <v>0</v>
      </c>
      <c r="G150" s="584"/>
      <c r="H150" s="509"/>
      <c r="I150" s="531"/>
      <c r="J150" s="530"/>
      <c r="K150" s="509"/>
      <c r="L150" s="533">
        <v>0</v>
      </c>
      <c r="M150" s="530"/>
      <c r="N150" s="556">
        <v>0</v>
      </c>
      <c r="O150" s="530"/>
      <c r="P150" s="509"/>
      <c r="Q150" s="533">
        <v>0</v>
      </c>
      <c r="R150" s="530"/>
      <c r="S150" s="556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522" t="s">
        <v>303</v>
      </c>
      <c r="B151" s="509" t="s">
        <v>73</v>
      </c>
      <c r="C151" s="530" t="s">
        <v>20</v>
      </c>
      <c r="D151" s="583"/>
      <c r="E151" s="509"/>
      <c r="F151" s="531">
        <v>0</v>
      </c>
      <c r="G151" s="584"/>
      <c r="H151" s="509"/>
      <c r="I151" s="531"/>
      <c r="J151" s="530"/>
      <c r="K151" s="509"/>
      <c r="L151" s="533">
        <v>0</v>
      </c>
      <c r="M151" s="530"/>
      <c r="N151" s="556">
        <v>0</v>
      </c>
      <c r="O151" s="530"/>
      <c r="P151" s="509"/>
      <c r="Q151" s="533">
        <v>0</v>
      </c>
      <c r="R151" s="530"/>
      <c r="S151" s="556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522" t="s">
        <v>303</v>
      </c>
      <c r="B152" s="509" t="s">
        <v>73</v>
      </c>
      <c r="C152" s="530" t="s">
        <v>20</v>
      </c>
      <c r="D152" s="583"/>
      <c r="E152" s="509"/>
      <c r="F152" s="531">
        <v>0</v>
      </c>
      <c r="G152" s="584"/>
      <c r="H152" s="509"/>
      <c r="I152" s="531"/>
      <c r="J152" s="530"/>
      <c r="K152" s="509"/>
      <c r="L152" s="533">
        <v>0</v>
      </c>
      <c r="M152" s="530"/>
      <c r="N152" s="556">
        <v>0</v>
      </c>
      <c r="O152" s="530"/>
      <c r="P152" s="509"/>
      <c r="Q152" s="533">
        <v>0</v>
      </c>
      <c r="R152" s="530"/>
      <c r="S152" s="556">
        <v>0</v>
      </c>
      <c r="T152" s="572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522" t="s">
        <v>328</v>
      </c>
      <c r="B153" s="509" t="s">
        <v>73</v>
      </c>
      <c r="C153" s="591" t="s">
        <v>64</v>
      </c>
      <c r="D153" s="592" t="s">
        <v>39</v>
      </c>
      <c r="E153" s="593">
        <v>6.7886757548374116E-2</v>
      </c>
      <c r="F153" s="594">
        <v>9015.3614024240833</v>
      </c>
      <c r="G153" s="595"/>
      <c r="H153" s="593"/>
      <c r="I153" s="594"/>
      <c r="J153" s="595" t="s">
        <v>39</v>
      </c>
      <c r="K153" s="593">
        <v>0.11168724477870498</v>
      </c>
      <c r="L153" s="594">
        <v>10397.599999999999</v>
      </c>
      <c r="M153" s="598"/>
      <c r="N153" s="594">
        <v>1382.2385975759153</v>
      </c>
      <c r="O153" s="595" t="s">
        <v>39</v>
      </c>
      <c r="P153" s="593">
        <v>0.11616785481996875</v>
      </c>
      <c r="Q153" s="594">
        <v>12899.030000000002</v>
      </c>
      <c r="R153" s="598"/>
      <c r="S153" s="594">
        <v>-2501.4300000000039</v>
      </c>
      <c r="T153" s="607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522" t="s">
        <v>73</v>
      </c>
      <c r="B154" s="509" t="s">
        <v>73</v>
      </c>
      <c r="C154" s="523"/>
      <c r="D154" s="586"/>
      <c r="E154" s="606"/>
      <c r="F154" s="556"/>
      <c r="G154" s="587"/>
      <c r="H154" s="606"/>
      <c r="I154" s="556"/>
      <c r="J154" s="523"/>
      <c r="K154" s="606"/>
      <c r="L154" s="581"/>
      <c r="M154" s="523"/>
      <c r="N154" s="581"/>
      <c r="O154" s="523"/>
      <c r="P154" s="606"/>
      <c r="Q154" s="581"/>
      <c r="R154" s="523"/>
      <c r="S154" s="581"/>
      <c r="T154" s="607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522" t="s">
        <v>329</v>
      </c>
      <c r="B155" s="509" t="s">
        <v>73</v>
      </c>
      <c r="C155" s="591" t="s">
        <v>65</v>
      </c>
      <c r="D155" s="592" t="s">
        <v>39</v>
      </c>
      <c r="E155" s="593">
        <v>0.88947556751854395</v>
      </c>
      <c r="F155" s="594">
        <v>118122.35536646264</v>
      </c>
      <c r="G155" s="595"/>
      <c r="H155" s="593"/>
      <c r="I155" s="594"/>
      <c r="J155" s="595" t="s">
        <v>39</v>
      </c>
      <c r="K155" s="593">
        <v>1.0376841331413007</v>
      </c>
      <c r="L155" s="594">
        <v>96603.91</v>
      </c>
      <c r="M155" s="598"/>
      <c r="N155" s="608">
        <v>-21518.445366462634</v>
      </c>
      <c r="O155" s="595" t="s">
        <v>39</v>
      </c>
      <c r="P155" s="593">
        <v>0.94787885861633225</v>
      </c>
      <c r="Q155" s="594">
        <v>105250.44</v>
      </c>
      <c r="R155" s="598"/>
      <c r="S155" s="608">
        <v>-8646.5299999999988</v>
      </c>
      <c r="T155" s="607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522" t="s">
        <v>330</v>
      </c>
      <c r="B156" s="509" t="s">
        <v>73</v>
      </c>
      <c r="C156" s="530" t="s">
        <v>225</v>
      </c>
      <c r="D156" s="650"/>
      <c r="E156" s="651"/>
      <c r="F156" s="531">
        <v>0</v>
      </c>
      <c r="G156" s="652"/>
      <c r="H156" s="651"/>
      <c r="I156" s="531"/>
      <c r="J156" s="652"/>
      <c r="K156" s="651"/>
      <c r="L156" s="533">
        <v>0</v>
      </c>
      <c r="M156" s="530"/>
      <c r="N156" s="556">
        <v>0</v>
      </c>
      <c r="O156" s="652"/>
      <c r="P156" s="651"/>
      <c r="Q156" s="533">
        <v>0</v>
      </c>
      <c r="R156" s="530"/>
      <c r="S156" s="556">
        <v>0</v>
      </c>
      <c r="T156" s="607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522" t="s">
        <v>331</v>
      </c>
      <c r="B157" s="509" t="s">
        <v>73</v>
      </c>
      <c r="C157" s="530" t="s">
        <v>81</v>
      </c>
      <c r="D157" s="650"/>
      <c r="E157" s="651"/>
      <c r="F157" s="531">
        <v>0</v>
      </c>
      <c r="G157" s="652"/>
      <c r="H157" s="651"/>
      <c r="I157" s="531"/>
      <c r="J157" s="652"/>
      <c r="K157" s="651"/>
      <c r="L157" s="533">
        <v>0</v>
      </c>
      <c r="M157" s="530"/>
      <c r="N157" s="556">
        <v>0</v>
      </c>
      <c r="O157" s="652"/>
      <c r="P157" s="651"/>
      <c r="Q157" s="533">
        <v>0</v>
      </c>
      <c r="R157" s="530"/>
      <c r="S157" s="556">
        <v>0</v>
      </c>
      <c r="T157" s="607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522" t="s">
        <v>332</v>
      </c>
      <c r="B158" s="509" t="s">
        <v>73</v>
      </c>
      <c r="C158" s="530" t="s">
        <v>82</v>
      </c>
      <c r="D158" s="583"/>
      <c r="E158" s="509"/>
      <c r="F158" s="531">
        <v>0</v>
      </c>
      <c r="G158" s="584"/>
      <c r="H158" s="509"/>
      <c r="I158" s="531"/>
      <c r="J158" s="530"/>
      <c r="K158" s="509"/>
      <c r="L158" s="533">
        <v>0</v>
      </c>
      <c r="M158" s="530"/>
      <c r="N158" s="556">
        <v>0</v>
      </c>
      <c r="O158" s="530"/>
      <c r="P158" s="509"/>
      <c r="Q158" s="533">
        <v>0</v>
      </c>
      <c r="R158" s="530"/>
      <c r="S158" s="556">
        <v>0</v>
      </c>
      <c r="T158" s="607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522" t="s">
        <v>333</v>
      </c>
      <c r="B159" s="509" t="s">
        <v>73</v>
      </c>
      <c r="C159" s="530" t="s">
        <v>70</v>
      </c>
      <c r="D159" s="653">
        <v>0.79968354430379751</v>
      </c>
      <c r="E159" s="614">
        <v>379.05</v>
      </c>
      <c r="F159" s="531">
        <v>13266.75</v>
      </c>
      <c r="G159" s="584"/>
      <c r="H159" s="509"/>
      <c r="I159" s="531"/>
      <c r="J159" s="610">
        <v>0.97897830018083176</v>
      </c>
      <c r="K159" s="614">
        <v>464.03571428571428</v>
      </c>
      <c r="L159" s="533">
        <v>12993</v>
      </c>
      <c r="M159" s="530"/>
      <c r="N159" s="556">
        <v>-273.75</v>
      </c>
      <c r="O159" s="530"/>
      <c r="P159" s="509"/>
      <c r="Q159" s="533">
        <v>15069</v>
      </c>
      <c r="R159" s="530"/>
      <c r="S159" s="556">
        <v>-2076</v>
      </c>
      <c r="T159" s="607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522" t="s">
        <v>303</v>
      </c>
      <c r="B160" s="509" t="s">
        <v>73</v>
      </c>
      <c r="C160" s="530" t="s">
        <v>20</v>
      </c>
      <c r="D160" s="583"/>
      <c r="E160" s="509"/>
      <c r="F160" s="531">
        <v>0</v>
      </c>
      <c r="G160" s="584"/>
      <c r="H160" s="509"/>
      <c r="I160" s="531"/>
      <c r="J160" s="530"/>
      <c r="K160" s="509"/>
      <c r="L160" s="533">
        <v>0</v>
      </c>
      <c r="M160" s="530"/>
      <c r="N160" s="556">
        <v>0</v>
      </c>
      <c r="O160" s="530"/>
      <c r="P160" s="509"/>
      <c r="Q160" s="533">
        <v>0</v>
      </c>
      <c r="R160" s="530"/>
      <c r="S160" s="556">
        <v>0</v>
      </c>
      <c r="T160" s="607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522" t="s">
        <v>303</v>
      </c>
      <c r="B161" s="509" t="s">
        <v>73</v>
      </c>
      <c r="C161" s="530" t="s">
        <v>20</v>
      </c>
      <c r="D161" s="583"/>
      <c r="E161" s="509"/>
      <c r="F161" s="531">
        <v>0</v>
      </c>
      <c r="G161" s="584"/>
      <c r="H161" s="509"/>
      <c r="I161" s="531"/>
      <c r="J161" s="530"/>
      <c r="K161" s="509"/>
      <c r="L161" s="533">
        <v>0</v>
      </c>
      <c r="M161" s="530"/>
      <c r="N161" s="556">
        <v>0</v>
      </c>
      <c r="O161" s="530"/>
      <c r="P161" s="509"/>
      <c r="Q161" s="533">
        <v>0</v>
      </c>
      <c r="R161" s="530"/>
      <c r="S161" s="556">
        <v>0</v>
      </c>
      <c r="T161" s="607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522" t="s">
        <v>303</v>
      </c>
      <c r="B162" s="509" t="s">
        <v>73</v>
      </c>
      <c r="C162" s="523" t="s">
        <v>20</v>
      </c>
      <c r="D162" s="586"/>
      <c r="E162" s="606"/>
      <c r="F162" s="531">
        <v>0</v>
      </c>
      <c r="G162" s="584"/>
      <c r="H162" s="509"/>
      <c r="I162" s="531"/>
      <c r="J162" s="530"/>
      <c r="K162" s="509"/>
      <c r="L162" s="533">
        <v>0</v>
      </c>
      <c r="M162" s="530"/>
      <c r="N162" s="556">
        <v>0</v>
      </c>
      <c r="O162" s="530"/>
      <c r="P162" s="509"/>
      <c r="Q162" s="533">
        <v>0</v>
      </c>
      <c r="R162" s="530"/>
      <c r="S162" s="556">
        <v>0</v>
      </c>
      <c r="T162" s="607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91" t="s">
        <v>71</v>
      </c>
      <c r="D163" s="592"/>
      <c r="E163" s="593"/>
      <c r="F163" s="594">
        <v>13266.75</v>
      </c>
      <c r="G163" s="595"/>
      <c r="H163" s="593"/>
      <c r="I163" s="594"/>
      <c r="J163" s="595"/>
      <c r="K163" s="593"/>
      <c r="L163" s="594">
        <v>12993</v>
      </c>
      <c r="M163" s="598"/>
      <c r="N163" s="594">
        <v>-273.75</v>
      </c>
      <c r="O163" s="595"/>
      <c r="P163" s="593"/>
      <c r="Q163" s="594">
        <v>15069</v>
      </c>
      <c r="R163" s="598"/>
      <c r="S163" s="594">
        <v>-2076</v>
      </c>
      <c r="T163" s="607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30"/>
      <c r="D164" s="583"/>
      <c r="E164" s="509"/>
      <c r="F164" s="556"/>
      <c r="G164" s="584"/>
      <c r="H164" s="509"/>
      <c r="I164" s="556"/>
      <c r="J164" s="530"/>
      <c r="K164" s="509"/>
      <c r="L164" s="556"/>
      <c r="M164" s="530"/>
      <c r="N164" s="556"/>
      <c r="O164" s="530"/>
      <c r="P164" s="509"/>
      <c r="Q164" s="556"/>
      <c r="R164" s="530"/>
      <c r="S164" s="556"/>
      <c r="T164" s="651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3" t="s">
        <v>72</v>
      </c>
      <c r="D165" s="654"/>
      <c r="E165" s="624"/>
      <c r="F165" s="626">
        <v>27944.394633537362</v>
      </c>
      <c r="G165" s="655"/>
      <c r="H165" s="624"/>
      <c r="I165" s="626"/>
      <c r="J165" s="623"/>
      <c r="K165" s="625"/>
      <c r="L165" s="626">
        <v>9484.7700000000768</v>
      </c>
      <c r="M165" s="623"/>
      <c r="N165" s="626">
        <v>-18459.624633537285</v>
      </c>
      <c r="O165" s="623"/>
      <c r="P165" s="628">
        <v>2.0343478515535463E-2</v>
      </c>
      <c r="Q165" s="626">
        <v>20856.419999999896</v>
      </c>
      <c r="R165" s="623"/>
      <c r="S165" s="626">
        <v>-11371.64999999982</v>
      </c>
      <c r="T165" s="572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6"/>
      <c r="G166" s="506"/>
      <c r="H166" s="506"/>
      <c r="I166" s="506"/>
      <c r="J166" s="506"/>
      <c r="K166" s="506"/>
      <c r="L166" s="656"/>
      <c r="M166" s="506"/>
      <c r="N166" s="506"/>
      <c r="O166" s="506"/>
      <c r="P166" s="506"/>
      <c r="Q166" s="506"/>
      <c r="R166" s="506"/>
      <c r="S166" s="506"/>
      <c r="T166" s="656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6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3" t="s">
        <v>478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4" t="s">
        <v>483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220</v>
      </c>
      <c r="N170" s="513"/>
      <c r="O170" s="511" t="s">
        <v>8</v>
      </c>
      <c r="P170" s="512"/>
      <c r="Q170" s="513"/>
      <c r="R170" s="514" t="s">
        <v>221</v>
      </c>
      <c r="S170" s="513"/>
      <c r="T170" s="650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522" t="s">
        <v>83</v>
      </c>
      <c r="B171" s="509" t="s">
        <v>83</v>
      </c>
      <c r="C171" s="530"/>
      <c r="D171" s="574" t="s">
        <v>40</v>
      </c>
      <c r="E171" s="574" t="s">
        <v>84</v>
      </c>
      <c r="F171" s="657" t="s">
        <v>12</v>
      </c>
      <c r="G171" s="658"/>
      <c r="H171" s="574"/>
      <c r="I171" s="657"/>
      <c r="J171" s="658" t="s">
        <v>40</v>
      </c>
      <c r="K171" s="574" t="s">
        <v>84</v>
      </c>
      <c r="L171" s="657" t="s">
        <v>12</v>
      </c>
      <c r="M171" s="658" t="s">
        <v>226</v>
      </c>
      <c r="N171" s="657" t="s">
        <v>223</v>
      </c>
      <c r="O171" s="574" t="s">
        <v>40</v>
      </c>
      <c r="P171" s="574" t="s">
        <v>84</v>
      </c>
      <c r="Q171" s="657" t="s">
        <v>12</v>
      </c>
      <c r="R171" s="658" t="s">
        <v>85</v>
      </c>
      <c r="S171" s="657" t="s">
        <v>12</v>
      </c>
      <c r="T171" s="574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522" t="s">
        <v>334</v>
      </c>
      <c r="B172" s="509" t="s">
        <v>83</v>
      </c>
      <c r="C172" s="530" t="s">
        <v>86</v>
      </c>
      <c r="D172" s="572">
        <v>959.36</v>
      </c>
      <c r="E172" s="572">
        <v>326182.40000000002</v>
      </c>
      <c r="F172" s="572">
        <v>254422.27200000003</v>
      </c>
      <c r="G172" s="557"/>
      <c r="H172" s="572"/>
      <c r="I172" s="572"/>
      <c r="J172" s="557">
        <v>1017</v>
      </c>
      <c r="K172" s="572">
        <v>293278.63</v>
      </c>
      <c r="L172" s="533">
        <v>230431.12</v>
      </c>
      <c r="M172" s="576">
        <v>-0.10087536911862816</v>
      </c>
      <c r="N172" s="556">
        <v>-23991.152000000031</v>
      </c>
      <c r="O172" s="557">
        <v>965</v>
      </c>
      <c r="P172" s="531">
        <v>297786.23</v>
      </c>
      <c r="Q172" s="533">
        <v>242253.66999999899</v>
      </c>
      <c r="R172" s="576">
        <v>1.0538860103626944</v>
      </c>
      <c r="S172" s="556">
        <v>-11822.549999998999</v>
      </c>
      <c r="T172" s="572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522" t="s">
        <v>335</v>
      </c>
      <c r="B173" s="509" t="s">
        <v>83</v>
      </c>
      <c r="C173" s="530" t="s">
        <v>87</v>
      </c>
      <c r="D173" s="572"/>
      <c r="E173" s="643"/>
      <c r="F173" s="659">
        <v>0.78</v>
      </c>
      <c r="G173" s="557"/>
      <c r="H173" s="643"/>
      <c r="I173" s="659"/>
      <c r="J173" s="557"/>
      <c r="K173" s="509"/>
      <c r="L173" s="659">
        <v>0.78570716182082545</v>
      </c>
      <c r="M173" s="576"/>
      <c r="N173" s="556"/>
      <c r="O173" s="557"/>
      <c r="P173" s="509"/>
      <c r="Q173" s="659">
        <v>0.81351535294294508</v>
      </c>
      <c r="R173" s="557"/>
      <c r="S173" s="556"/>
      <c r="T173" s="572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522" t="s">
        <v>83</v>
      </c>
      <c r="B174" s="509" t="s">
        <v>83</v>
      </c>
      <c r="C174" s="523"/>
      <c r="D174" s="579"/>
      <c r="E174" s="660">
        <v>340</v>
      </c>
      <c r="F174" s="661"/>
      <c r="G174" s="662"/>
      <c r="H174" s="660"/>
      <c r="I174" s="661"/>
      <c r="J174" s="662"/>
      <c r="K174" s="660">
        <v>288.37623402163223</v>
      </c>
      <c r="L174" s="661"/>
      <c r="M174" s="580"/>
      <c r="N174" s="581"/>
      <c r="O174" s="662"/>
      <c r="P174" s="660">
        <v>308.58676683937824</v>
      </c>
      <c r="Q174" s="661"/>
      <c r="R174" s="662"/>
      <c r="S174" s="581"/>
      <c r="T174" s="572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522" t="s">
        <v>336</v>
      </c>
      <c r="B175" s="509" t="s">
        <v>83</v>
      </c>
      <c r="C175" s="517" t="s">
        <v>88</v>
      </c>
      <c r="D175" s="663">
        <v>113.71000000000001</v>
      </c>
      <c r="E175" s="572">
        <v>30701.7</v>
      </c>
      <c r="F175" s="572">
        <v>19649.088</v>
      </c>
      <c r="G175" s="664"/>
      <c r="H175" s="572"/>
      <c r="I175" s="572"/>
      <c r="J175" s="664">
        <v>85</v>
      </c>
      <c r="K175" s="551">
        <v>13968.22</v>
      </c>
      <c r="L175" s="533">
        <v>7831.7699999999995</v>
      </c>
      <c r="M175" s="576">
        <v>-0.54503431406078495</v>
      </c>
      <c r="N175" s="605">
        <v>-11817.317999999999</v>
      </c>
      <c r="O175" s="664">
        <v>155</v>
      </c>
      <c r="P175" s="551">
        <v>33909.660000000003</v>
      </c>
      <c r="Q175" s="533">
        <v>21381.65</v>
      </c>
      <c r="R175" s="576">
        <v>0.54838709677419351</v>
      </c>
      <c r="S175" s="556">
        <v>-13549.880000000001</v>
      </c>
      <c r="T175" s="572"/>
      <c r="U175" s="509"/>
      <c r="V175" s="531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522" t="s">
        <v>335</v>
      </c>
      <c r="B176" s="509" t="s">
        <v>83</v>
      </c>
      <c r="C176" s="530" t="s">
        <v>87</v>
      </c>
      <c r="D176" s="509"/>
      <c r="E176" s="509"/>
      <c r="F176" s="659">
        <v>0.64</v>
      </c>
      <c r="G176" s="530"/>
      <c r="H176" s="509"/>
      <c r="I176" s="659"/>
      <c r="J176" s="530"/>
      <c r="K176" s="509"/>
      <c r="L176" s="659">
        <v>0.56068489757463724</v>
      </c>
      <c r="M176" s="547"/>
      <c r="N176" s="548"/>
      <c r="O176" s="530"/>
      <c r="P176" s="509"/>
      <c r="Q176" s="659">
        <v>0.63054746051715049</v>
      </c>
      <c r="R176" s="547"/>
      <c r="S176" s="548"/>
      <c r="T176" s="509"/>
      <c r="U176" s="509"/>
      <c r="V176" s="531"/>
      <c r="W176" s="665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522" t="s">
        <v>83</v>
      </c>
      <c r="B177" s="509" t="s">
        <v>83</v>
      </c>
      <c r="C177" s="523"/>
      <c r="D177" s="606"/>
      <c r="E177" s="660">
        <v>270</v>
      </c>
      <c r="F177" s="661"/>
      <c r="G177" s="662"/>
      <c r="H177" s="660"/>
      <c r="I177" s="661"/>
      <c r="J177" s="662"/>
      <c r="K177" s="660">
        <v>164.33199999999999</v>
      </c>
      <c r="L177" s="661"/>
      <c r="M177" s="580"/>
      <c r="N177" s="581"/>
      <c r="O177" s="662"/>
      <c r="P177" s="660">
        <v>218.77200000000002</v>
      </c>
      <c r="Q177" s="661"/>
      <c r="R177" s="666"/>
      <c r="S177" s="667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522" t="s">
        <v>337</v>
      </c>
      <c r="B178" s="509" t="s">
        <v>83</v>
      </c>
      <c r="C178" s="530" t="s">
        <v>89</v>
      </c>
      <c r="D178" s="572">
        <v>332.53000000000003</v>
      </c>
      <c r="E178" s="572">
        <v>102093.3606</v>
      </c>
      <c r="F178" s="572">
        <v>75549.086844000005</v>
      </c>
      <c r="G178" s="557"/>
      <c r="H178" s="572"/>
      <c r="I178" s="572"/>
      <c r="J178" s="557">
        <v>244</v>
      </c>
      <c r="K178" s="551">
        <v>77153.63</v>
      </c>
      <c r="L178" s="533">
        <v>59809.090000000011</v>
      </c>
      <c r="M178" s="576">
        <v>-0.24428356999348297</v>
      </c>
      <c r="N178" s="556">
        <v>-15739.996843999994</v>
      </c>
      <c r="O178" s="557">
        <v>285</v>
      </c>
      <c r="P178" s="551">
        <v>85492.57</v>
      </c>
      <c r="Q178" s="533">
        <v>65968.960000000006</v>
      </c>
      <c r="R178" s="576">
        <v>0.85614035087719298</v>
      </c>
      <c r="S178" s="556">
        <v>-6159.8699999999953</v>
      </c>
      <c r="T178" s="572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522" t="s">
        <v>335</v>
      </c>
      <c r="B179" s="509" t="s">
        <v>83</v>
      </c>
      <c r="C179" s="530" t="s">
        <v>87</v>
      </c>
      <c r="D179" s="572"/>
      <c r="E179" s="643"/>
      <c r="F179" s="659">
        <v>0.7400000000000001</v>
      </c>
      <c r="G179" s="557"/>
      <c r="H179" s="643"/>
      <c r="I179" s="659"/>
      <c r="J179" s="557"/>
      <c r="K179" s="643"/>
      <c r="L179" s="659">
        <v>0.7751947640052711</v>
      </c>
      <c r="M179" s="576"/>
      <c r="N179" s="556">
        <v>3.5194764005270995E-2</v>
      </c>
      <c r="O179" s="557"/>
      <c r="P179" s="643"/>
      <c r="Q179" s="659">
        <v>0.77163383905759297</v>
      </c>
      <c r="R179" s="557">
        <v>0</v>
      </c>
      <c r="S179" s="556"/>
      <c r="T179" s="572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522" t="s">
        <v>83</v>
      </c>
      <c r="B180" s="509" t="s">
        <v>83</v>
      </c>
      <c r="C180" s="530"/>
      <c r="D180" s="572"/>
      <c r="E180" s="660">
        <v>307.02</v>
      </c>
      <c r="F180" s="661"/>
      <c r="G180" s="662"/>
      <c r="H180" s="660"/>
      <c r="I180" s="661"/>
      <c r="J180" s="662"/>
      <c r="K180" s="660">
        <v>316.20340163934429</v>
      </c>
      <c r="L180" s="661"/>
      <c r="M180" s="580"/>
      <c r="N180" s="581"/>
      <c r="O180" s="662"/>
      <c r="P180" s="660">
        <v>299.97392982456142</v>
      </c>
      <c r="Q180" s="659"/>
      <c r="R180" s="662"/>
      <c r="S180" s="556"/>
      <c r="T180" s="572"/>
      <c r="U180" s="550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522" t="s">
        <v>338</v>
      </c>
      <c r="B181" s="509" t="s">
        <v>83</v>
      </c>
      <c r="C181" s="517" t="s">
        <v>90</v>
      </c>
      <c r="D181" s="663">
        <v>86.036000000000001</v>
      </c>
      <c r="E181" s="572">
        <v>23229.72</v>
      </c>
      <c r="F181" s="572">
        <v>17422.29</v>
      </c>
      <c r="G181" s="664"/>
      <c r="H181" s="572"/>
      <c r="I181" s="572"/>
      <c r="J181" s="664">
        <v>0</v>
      </c>
      <c r="K181" s="551">
        <v>19444.009999999998</v>
      </c>
      <c r="L181" s="552">
        <v>15555.939999999999</v>
      </c>
      <c r="M181" s="668">
        <v>-0.16296838704900457</v>
      </c>
      <c r="N181" s="605">
        <v>-1866.3500000000022</v>
      </c>
      <c r="O181" s="664">
        <v>0</v>
      </c>
      <c r="P181" s="551">
        <v>21385.759999999998</v>
      </c>
      <c r="Q181" s="552">
        <v>15606.1699999999</v>
      </c>
      <c r="R181" s="576">
        <v>0</v>
      </c>
      <c r="S181" s="605">
        <v>-50.229999999901338</v>
      </c>
      <c r="T181" s="572"/>
      <c r="U181" s="550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522" t="s">
        <v>335</v>
      </c>
      <c r="B182" s="509" t="s">
        <v>83</v>
      </c>
      <c r="C182" s="530" t="s">
        <v>87</v>
      </c>
      <c r="D182" s="570"/>
      <c r="E182" s="669"/>
      <c r="F182" s="659">
        <v>0.75</v>
      </c>
      <c r="G182" s="549"/>
      <c r="H182" s="669"/>
      <c r="I182" s="659"/>
      <c r="J182" s="670"/>
      <c r="K182" s="669">
        <v>0</v>
      </c>
      <c r="L182" s="659">
        <v>0.80003764655541731</v>
      </c>
      <c r="M182" s="557">
        <v>0</v>
      </c>
      <c r="N182" s="671"/>
      <c r="O182" s="670"/>
      <c r="P182" s="669"/>
      <c r="Q182" s="659">
        <v>0.72974586827870047</v>
      </c>
      <c r="R182" s="530"/>
      <c r="S182" s="671"/>
      <c r="T182" s="607"/>
      <c r="U182" s="550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522" t="s">
        <v>83</v>
      </c>
      <c r="B183" s="509" t="s">
        <v>83</v>
      </c>
      <c r="C183" s="523"/>
      <c r="D183" s="672"/>
      <c r="E183" s="673"/>
      <c r="F183" s="661"/>
      <c r="G183" s="543"/>
      <c r="H183" s="673"/>
      <c r="I183" s="661"/>
      <c r="J183" s="674"/>
      <c r="K183" s="527"/>
      <c r="L183" s="661"/>
      <c r="M183" s="662"/>
      <c r="N183" s="675"/>
      <c r="O183" s="674"/>
      <c r="P183" s="527">
        <v>0</v>
      </c>
      <c r="Q183" s="661"/>
      <c r="R183" s="523"/>
      <c r="S183" s="675"/>
      <c r="T183" s="607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522" t="s">
        <v>339</v>
      </c>
      <c r="B184" s="509" t="s">
        <v>83</v>
      </c>
      <c r="C184" s="530" t="s">
        <v>91</v>
      </c>
      <c r="D184" s="509"/>
      <c r="E184" s="509"/>
      <c r="F184" s="556">
        <v>-5470.5901466453215</v>
      </c>
      <c r="G184" s="530"/>
      <c r="H184" s="572"/>
      <c r="I184" s="572"/>
      <c r="J184" s="557"/>
      <c r="K184" s="572"/>
      <c r="L184" s="572">
        <v>-5690.11</v>
      </c>
      <c r="M184" s="670"/>
      <c r="N184" s="556">
        <v>-219.51985335467816</v>
      </c>
      <c r="O184" s="557"/>
      <c r="P184" s="572"/>
      <c r="Q184" s="533">
        <v>-1452.11</v>
      </c>
      <c r="R184" s="676"/>
      <c r="S184" s="556">
        <v>-4238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522" t="s">
        <v>340</v>
      </c>
      <c r="B185" s="509" t="s">
        <v>83</v>
      </c>
      <c r="C185" s="677" t="s">
        <v>92</v>
      </c>
      <c r="D185" s="678">
        <v>1491.636</v>
      </c>
      <c r="E185" s="678">
        <v>482207.18060000008</v>
      </c>
      <c r="F185" s="679">
        <v>361572.14669735468</v>
      </c>
      <c r="G185" s="680"/>
      <c r="H185" s="678"/>
      <c r="I185" s="679"/>
      <c r="J185" s="680">
        <v>1346</v>
      </c>
      <c r="K185" s="678">
        <v>403844.49</v>
      </c>
      <c r="L185" s="679">
        <v>307937.81</v>
      </c>
      <c r="M185" s="681">
        <v>-0.16250834444749468</v>
      </c>
      <c r="N185" s="679">
        <v>-53634.33669735468</v>
      </c>
      <c r="O185" s="680">
        <v>1405</v>
      </c>
      <c r="P185" s="678">
        <v>438574.22000000003</v>
      </c>
      <c r="Q185" s="679">
        <v>343758.33999999898</v>
      </c>
      <c r="R185" s="547">
        <v>0.95800711743772238</v>
      </c>
      <c r="S185" s="679">
        <v>-35820.52999999898</v>
      </c>
      <c r="T185" s="607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522" t="s">
        <v>341</v>
      </c>
      <c r="B186" s="509" t="s">
        <v>83</v>
      </c>
      <c r="C186" s="682" t="s">
        <v>93</v>
      </c>
      <c r="D186" s="683"/>
      <c r="E186" s="684"/>
      <c r="F186" s="685">
        <v>0.74982737969073421</v>
      </c>
      <c r="G186" s="686"/>
      <c r="H186" s="684"/>
      <c r="I186" s="548"/>
      <c r="J186" s="686"/>
      <c r="K186" s="684">
        <v>300.03305349182762</v>
      </c>
      <c r="L186" s="548">
        <v>0.7625158139461059</v>
      </c>
      <c r="M186" s="686"/>
      <c r="N186" s="685">
        <v>-0.14833647222900723</v>
      </c>
      <c r="O186" s="686"/>
      <c r="P186" s="684">
        <v>312.15246975088968</v>
      </c>
      <c r="Q186" s="548">
        <v>0.78380881575756767</v>
      </c>
      <c r="R186" s="686"/>
      <c r="S186" s="548">
        <v>-0.10420265003606628</v>
      </c>
      <c r="T186" s="607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522" t="s">
        <v>83</v>
      </c>
      <c r="B187" s="509" t="s">
        <v>83</v>
      </c>
      <c r="C187" s="536"/>
      <c r="D187" s="687"/>
      <c r="E187" s="688"/>
      <c r="F187" s="689"/>
      <c r="G187" s="690"/>
      <c r="H187" s="688"/>
      <c r="I187" s="689"/>
      <c r="J187" s="690"/>
      <c r="K187" s="688"/>
      <c r="L187" s="689"/>
      <c r="M187" s="690"/>
      <c r="N187" s="689"/>
      <c r="O187" s="690"/>
      <c r="P187" s="688"/>
      <c r="Q187" s="689"/>
      <c r="R187" s="690"/>
      <c r="S187" s="689"/>
      <c r="T187" s="607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522" t="s">
        <v>342</v>
      </c>
      <c r="B188" s="509" t="s">
        <v>83</v>
      </c>
      <c r="C188" s="530" t="s">
        <v>94</v>
      </c>
      <c r="D188" s="572"/>
      <c r="E188" s="572">
        <v>23336.28</v>
      </c>
      <c r="F188" s="572">
        <v>4107.1852799999997</v>
      </c>
      <c r="G188" s="557"/>
      <c r="H188" s="572"/>
      <c r="I188" s="572"/>
      <c r="J188" s="557"/>
      <c r="K188" s="531">
        <v>15758.84</v>
      </c>
      <c r="L188" s="533">
        <v>3314.1100000000006</v>
      </c>
      <c r="M188" s="576">
        <v>-0.3247064227888935</v>
      </c>
      <c r="N188" s="556">
        <v>-793.07527999999911</v>
      </c>
      <c r="O188" s="557"/>
      <c r="P188" s="531">
        <v>13819.95</v>
      </c>
      <c r="Q188" s="533">
        <v>2749.25</v>
      </c>
      <c r="R188" s="576">
        <v>0</v>
      </c>
      <c r="S188" s="556">
        <v>564.86000000000058</v>
      </c>
      <c r="T188" s="607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522" t="s">
        <v>335</v>
      </c>
      <c r="B189" s="509" t="s">
        <v>83</v>
      </c>
      <c r="C189" s="530" t="s">
        <v>87</v>
      </c>
      <c r="D189" s="509"/>
      <c r="E189" s="643"/>
      <c r="F189" s="659">
        <v>0.17599999999999999</v>
      </c>
      <c r="G189" s="530"/>
      <c r="H189" s="643"/>
      <c r="I189" s="659"/>
      <c r="J189" s="670"/>
      <c r="K189" s="669"/>
      <c r="L189" s="659">
        <v>0.21030164656789463</v>
      </c>
      <c r="M189" s="670"/>
      <c r="N189" s="671"/>
      <c r="O189" s="670"/>
      <c r="P189" s="669"/>
      <c r="Q189" s="659">
        <v>0.1989334259530606</v>
      </c>
      <c r="R189" s="670"/>
      <c r="S189" s="671"/>
      <c r="T189" s="607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522" t="s">
        <v>83</v>
      </c>
      <c r="B190" s="509" t="s">
        <v>83</v>
      </c>
      <c r="C190" s="530"/>
      <c r="D190" s="509"/>
      <c r="E190" s="643"/>
      <c r="F190" s="659"/>
      <c r="G190" s="530"/>
      <c r="H190" s="643"/>
      <c r="I190" s="659"/>
      <c r="J190" s="670"/>
      <c r="K190" s="669"/>
      <c r="L190" s="659"/>
      <c r="M190" s="670"/>
      <c r="N190" s="671"/>
      <c r="O190" s="670"/>
      <c r="P190" s="669"/>
      <c r="Q190" s="659"/>
      <c r="R190" s="670"/>
      <c r="S190" s="671"/>
      <c r="T190" s="607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522" t="s">
        <v>343</v>
      </c>
      <c r="B191" s="509" t="s">
        <v>83</v>
      </c>
      <c r="C191" s="530" t="s">
        <v>95</v>
      </c>
      <c r="D191" s="509"/>
      <c r="E191" s="572">
        <v>17810</v>
      </c>
      <c r="F191" s="572">
        <v>12467</v>
      </c>
      <c r="G191" s="530"/>
      <c r="H191" s="572"/>
      <c r="I191" s="572"/>
      <c r="J191" s="557">
        <v>36</v>
      </c>
      <c r="K191" s="531">
        <v>7849.8</v>
      </c>
      <c r="L191" s="533">
        <v>6357.09</v>
      </c>
      <c r="M191" s="576">
        <v>-0.55924761370016851</v>
      </c>
      <c r="N191" s="556">
        <v>-6109.91</v>
      </c>
      <c r="O191" s="670"/>
      <c r="P191" s="531">
        <v>8099.9</v>
      </c>
      <c r="Q191" s="533">
        <v>5810.28999999999</v>
      </c>
      <c r="R191" s="670"/>
      <c r="S191" s="671"/>
      <c r="T191" s="607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522" t="s">
        <v>335</v>
      </c>
      <c r="B192" s="509" t="s">
        <v>83</v>
      </c>
      <c r="C192" s="530" t="s">
        <v>87</v>
      </c>
      <c r="D192" s="509"/>
      <c r="E192" s="643"/>
      <c r="F192" s="659">
        <v>0.7</v>
      </c>
      <c r="G192" s="530"/>
      <c r="H192" s="643"/>
      <c r="I192" s="659"/>
      <c r="J192" s="670"/>
      <c r="K192" s="669"/>
      <c r="L192" s="659">
        <v>0.80984101505770845</v>
      </c>
      <c r="M192" s="670"/>
      <c r="N192" s="671"/>
      <c r="O192" s="670"/>
      <c r="P192" s="669"/>
      <c r="Q192" s="659">
        <v>0.71732860899517159</v>
      </c>
      <c r="R192" s="670"/>
      <c r="S192" s="671"/>
      <c r="T192" s="607"/>
      <c r="U192" s="531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522" t="s">
        <v>83</v>
      </c>
      <c r="B193" s="509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7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522" t="s">
        <v>344</v>
      </c>
      <c r="B194" s="509" t="s">
        <v>83</v>
      </c>
      <c r="C194" s="558" t="s">
        <v>96</v>
      </c>
      <c r="D194" s="559"/>
      <c r="E194" s="559">
        <v>523353.46060000011</v>
      </c>
      <c r="F194" s="561">
        <v>378146.33197735465</v>
      </c>
      <c r="G194" s="562"/>
      <c r="H194" s="559"/>
      <c r="I194" s="561"/>
      <c r="J194" s="562"/>
      <c r="K194" s="559">
        <v>427453.13</v>
      </c>
      <c r="L194" s="561">
        <v>317609.01</v>
      </c>
      <c r="M194" s="696">
        <v>2.048169616269091E-2</v>
      </c>
      <c r="N194" s="561">
        <v>-60537.321977354644</v>
      </c>
      <c r="O194" s="562"/>
      <c r="P194" s="559">
        <v>460494.07000000007</v>
      </c>
      <c r="Q194" s="561">
        <v>352317.87999999896</v>
      </c>
      <c r="R194" s="696"/>
      <c r="S194" s="561">
        <v>-34708.869999998948</v>
      </c>
      <c r="T194" s="607"/>
      <c r="U194" s="653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522" t="s">
        <v>83</v>
      </c>
      <c r="B195" s="509" t="s">
        <v>83</v>
      </c>
      <c r="C195" s="563"/>
      <c r="D195" s="564"/>
      <c r="E195" s="564"/>
      <c r="F195" s="569">
        <v>0.72254481998423725</v>
      </c>
      <c r="G195" s="563"/>
      <c r="H195" s="564"/>
      <c r="I195" s="569"/>
      <c r="J195" s="563"/>
      <c r="K195" s="564"/>
      <c r="L195" s="569">
        <v>0.74302651614692816</v>
      </c>
      <c r="M195" s="568"/>
      <c r="N195" s="569">
        <v>-0.16008967126773541</v>
      </c>
      <c r="O195" s="563"/>
      <c r="P195" s="564"/>
      <c r="Q195" s="569">
        <v>0.76508668178940697</v>
      </c>
      <c r="R195" s="568"/>
      <c r="S195" s="569">
        <v>-9.1506583187528037</v>
      </c>
      <c r="T195" s="570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522" t="s">
        <v>83</v>
      </c>
      <c r="B196" s="509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7"/>
      <c r="L196" s="548"/>
      <c r="M196" s="547"/>
      <c r="N196" s="548"/>
      <c r="O196" s="549"/>
      <c r="P196" s="570"/>
      <c r="Q196" s="548"/>
      <c r="R196" s="547"/>
      <c r="S196" s="548"/>
      <c r="T196" s="570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522" t="s">
        <v>345</v>
      </c>
      <c r="B197" s="509" t="s">
        <v>83</v>
      </c>
      <c r="C197" s="573" t="s">
        <v>30</v>
      </c>
      <c r="D197" s="509"/>
      <c r="E197" s="509"/>
      <c r="F197" s="556"/>
      <c r="G197" s="530"/>
      <c r="H197" s="509"/>
      <c r="I197" s="556"/>
      <c r="J197" s="530"/>
      <c r="K197" s="509"/>
      <c r="L197" s="540"/>
      <c r="M197" s="530"/>
      <c r="N197" s="540"/>
      <c r="O197" s="530"/>
      <c r="P197" s="509"/>
      <c r="Q197" s="540"/>
      <c r="R197" s="530"/>
      <c r="S197" s="540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522" t="s">
        <v>346</v>
      </c>
      <c r="B198" s="509" t="s">
        <v>83</v>
      </c>
      <c r="C198" s="599" t="s">
        <v>41</v>
      </c>
      <c r="D198" s="509"/>
      <c r="E198" s="509"/>
      <c r="F198" s="531">
        <v>15681.80576923077</v>
      </c>
      <c r="G198" s="530"/>
      <c r="H198" s="509"/>
      <c r="I198" s="531"/>
      <c r="J198" s="530"/>
      <c r="K198" s="509"/>
      <c r="L198" s="533">
        <v>13027.88</v>
      </c>
      <c r="M198" s="530"/>
      <c r="N198" s="533">
        <v>-2653.925769230771</v>
      </c>
      <c r="O198" s="530"/>
      <c r="P198" s="509"/>
      <c r="Q198" s="533">
        <v>15943.06</v>
      </c>
      <c r="R198" s="530"/>
      <c r="S198" s="533">
        <v>-2915.1800000000003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522" t="s">
        <v>347</v>
      </c>
      <c r="B199" s="509" t="s">
        <v>83</v>
      </c>
      <c r="C199" s="601" t="s">
        <v>42</v>
      </c>
      <c r="D199" s="583"/>
      <c r="E199" s="509"/>
      <c r="F199" s="525">
        <v>8357.6063384615391</v>
      </c>
      <c r="G199" s="584"/>
      <c r="H199" s="509"/>
      <c r="I199" s="525"/>
      <c r="J199" s="530"/>
      <c r="K199" s="509"/>
      <c r="L199" s="525">
        <v>8512.83</v>
      </c>
      <c r="M199" s="530"/>
      <c r="N199" s="533">
        <v>155.22366153846087</v>
      </c>
      <c r="O199" s="530"/>
      <c r="P199" s="509"/>
      <c r="Q199" s="533">
        <v>9929.2199999999993</v>
      </c>
      <c r="R199" s="530"/>
      <c r="S199" s="556">
        <v>-1416.3899999999994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25">
      <c r="A200" s="522" t="s">
        <v>348</v>
      </c>
      <c r="B200" s="509" t="s">
        <v>83</v>
      </c>
      <c r="C200" s="599" t="s">
        <v>43</v>
      </c>
      <c r="D200" s="602"/>
      <c r="E200" s="603"/>
      <c r="F200" s="531">
        <v>15667.776923076923</v>
      </c>
      <c r="G200" s="604"/>
      <c r="H200" s="603"/>
      <c r="I200" s="531"/>
      <c r="J200" s="517"/>
      <c r="K200" s="603"/>
      <c r="L200" s="531">
        <v>30609.24</v>
      </c>
      <c r="M200" s="517"/>
      <c r="N200" s="552">
        <v>14941.463076923079</v>
      </c>
      <c r="O200" s="517"/>
      <c r="P200" s="603"/>
      <c r="Q200" s="552">
        <v>39324.92</v>
      </c>
      <c r="R200" s="517"/>
      <c r="S200" s="605">
        <v>-8715.6799999999967</v>
      </c>
      <c r="T200" s="509"/>
      <c r="U200" s="509" t="s">
        <v>481</v>
      </c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0.25">
      <c r="A201" s="522" t="s">
        <v>349</v>
      </c>
      <c r="B201" s="509" t="s">
        <v>83</v>
      </c>
      <c r="C201" s="599" t="s">
        <v>44</v>
      </c>
      <c r="D201" s="583"/>
      <c r="E201" s="600">
        <v>0.13545330884239568</v>
      </c>
      <c r="F201" s="531">
        <v>44182.485366153844</v>
      </c>
      <c r="G201" s="584"/>
      <c r="H201" s="509"/>
      <c r="I201" s="531"/>
      <c r="J201" s="530"/>
      <c r="K201" s="697">
        <v>0.11093447210933848</v>
      </c>
      <c r="L201" s="531">
        <v>32534.71</v>
      </c>
      <c r="M201" s="530"/>
      <c r="N201" s="533">
        <v>-11647.775366153845</v>
      </c>
      <c r="O201" s="530"/>
      <c r="P201" s="509"/>
      <c r="Q201" s="533">
        <v>39319.25</v>
      </c>
      <c r="R201" s="530"/>
      <c r="S201" s="556">
        <v>-6784.5400000000009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522" t="s">
        <v>350</v>
      </c>
      <c r="B202" s="509" t="s">
        <v>83</v>
      </c>
      <c r="C202" s="530" t="s">
        <v>20</v>
      </c>
      <c r="D202" s="583"/>
      <c r="E202" s="509"/>
      <c r="F202" s="531">
        <v>0</v>
      </c>
      <c r="G202" s="584"/>
      <c r="H202" s="509"/>
      <c r="I202" s="531"/>
      <c r="J202" s="530"/>
      <c r="K202" s="509"/>
      <c r="L202" s="533">
        <v>0</v>
      </c>
      <c r="M202" s="530"/>
      <c r="N202" s="533">
        <v>0</v>
      </c>
      <c r="O202" s="530"/>
      <c r="P202" s="509"/>
      <c r="Q202" s="533">
        <v>0</v>
      </c>
      <c r="R202" s="530"/>
      <c r="S202" s="556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522" t="s">
        <v>350</v>
      </c>
      <c r="B203" s="509" t="s">
        <v>83</v>
      </c>
      <c r="C203" s="530" t="s">
        <v>20</v>
      </c>
      <c r="D203" s="583"/>
      <c r="E203" s="509"/>
      <c r="F203" s="531">
        <v>0</v>
      </c>
      <c r="G203" s="584"/>
      <c r="H203" s="509"/>
      <c r="I203" s="531"/>
      <c r="J203" s="530"/>
      <c r="K203" s="509"/>
      <c r="L203" s="533">
        <v>0</v>
      </c>
      <c r="M203" s="530"/>
      <c r="N203" s="533">
        <v>0</v>
      </c>
      <c r="O203" s="530"/>
      <c r="P203" s="509"/>
      <c r="Q203" s="533">
        <v>0</v>
      </c>
      <c r="R203" s="530"/>
      <c r="S203" s="556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522" t="s">
        <v>350</v>
      </c>
      <c r="B204" s="509" t="s">
        <v>83</v>
      </c>
      <c r="C204" s="530" t="s">
        <v>20</v>
      </c>
      <c r="D204" s="583"/>
      <c r="E204" s="509"/>
      <c r="F204" s="531">
        <v>0</v>
      </c>
      <c r="G204" s="584"/>
      <c r="H204" s="509"/>
      <c r="I204" s="531"/>
      <c r="J204" s="530"/>
      <c r="K204" s="509"/>
      <c r="L204" s="533">
        <v>0</v>
      </c>
      <c r="M204" s="530"/>
      <c r="N204" s="533">
        <v>0</v>
      </c>
      <c r="O204" s="530"/>
      <c r="P204" s="509"/>
      <c r="Q204" s="533">
        <v>0</v>
      </c>
      <c r="R204" s="530"/>
      <c r="S204" s="556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25">
      <c r="A205" s="522" t="s">
        <v>351</v>
      </c>
      <c r="B205" s="509" t="s">
        <v>83</v>
      </c>
      <c r="C205" s="601" t="s">
        <v>45</v>
      </c>
      <c r="D205" s="583"/>
      <c r="E205" s="509"/>
      <c r="F205" s="531">
        <v>23584.250848731794</v>
      </c>
      <c r="G205" s="584"/>
      <c r="H205" s="509"/>
      <c r="I205" s="531"/>
      <c r="J205" s="530"/>
      <c r="K205" s="509"/>
      <c r="L205" s="533">
        <v>20321.88</v>
      </c>
      <c r="M205" s="530"/>
      <c r="N205" s="533">
        <v>-3262.3708487317926</v>
      </c>
      <c r="O205" s="530"/>
      <c r="P205" s="509"/>
      <c r="Q205" s="533">
        <v>13701.18</v>
      </c>
      <c r="R205" s="530"/>
      <c r="S205" s="556">
        <v>6620.7000000000007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522" t="s">
        <v>352</v>
      </c>
      <c r="B206" s="509" t="s">
        <v>83</v>
      </c>
      <c r="C206" s="599" t="s">
        <v>46</v>
      </c>
      <c r="D206" s="602"/>
      <c r="E206" s="603"/>
      <c r="F206" s="552">
        <v>28675.12437995584</v>
      </c>
      <c r="G206" s="604"/>
      <c r="H206" s="603"/>
      <c r="I206" s="552"/>
      <c r="J206" s="517"/>
      <c r="K206" s="603"/>
      <c r="L206" s="552">
        <v>28350.55</v>
      </c>
      <c r="M206" s="517"/>
      <c r="N206" s="552">
        <v>-324.57437995584041</v>
      </c>
      <c r="O206" s="517"/>
      <c r="P206" s="603"/>
      <c r="Q206" s="552">
        <v>23066.27</v>
      </c>
      <c r="R206" s="517"/>
      <c r="S206" s="605">
        <v>5284.2799999999988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522" t="s">
        <v>353</v>
      </c>
      <c r="B207" s="509" t="s">
        <v>83</v>
      </c>
      <c r="C207" s="599" t="s">
        <v>47</v>
      </c>
      <c r="D207" s="583"/>
      <c r="E207" s="509"/>
      <c r="F207" s="531">
        <v>14773.922778368549</v>
      </c>
      <c r="G207" s="584"/>
      <c r="H207" s="509"/>
      <c r="I207" s="531"/>
      <c r="J207" s="530"/>
      <c r="K207" s="509"/>
      <c r="L207" s="533">
        <v>14431.68</v>
      </c>
      <c r="M207" s="530"/>
      <c r="N207" s="533">
        <v>-342.2427783685489</v>
      </c>
      <c r="O207" s="530"/>
      <c r="P207" s="509"/>
      <c r="Q207" s="533">
        <v>7838.14</v>
      </c>
      <c r="R207" s="530"/>
      <c r="S207" s="556">
        <v>6593.54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522" t="s">
        <v>354</v>
      </c>
      <c r="B208" s="509" t="s">
        <v>83</v>
      </c>
      <c r="C208" s="599" t="s">
        <v>48</v>
      </c>
      <c r="D208" s="583"/>
      <c r="E208" s="509"/>
      <c r="F208" s="531">
        <v>6441.5134476712383</v>
      </c>
      <c r="G208" s="584"/>
      <c r="H208" s="509"/>
      <c r="I208" s="531"/>
      <c r="J208" s="530"/>
      <c r="K208" s="509"/>
      <c r="L208" s="533">
        <v>3594.32</v>
      </c>
      <c r="M208" s="530"/>
      <c r="N208" s="533">
        <v>-2847.1934476712381</v>
      </c>
      <c r="O208" s="530"/>
      <c r="P208" s="509"/>
      <c r="Q208" s="533">
        <v>4479.8999999999996</v>
      </c>
      <c r="R208" s="530"/>
      <c r="S208" s="556">
        <v>-885.57999999999947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522" t="s">
        <v>350</v>
      </c>
      <c r="B209" s="509" t="s">
        <v>83</v>
      </c>
      <c r="C209" s="530" t="s">
        <v>20</v>
      </c>
      <c r="D209" s="586"/>
      <c r="E209" s="606"/>
      <c r="F209" s="531">
        <v>0</v>
      </c>
      <c r="G209" s="587"/>
      <c r="H209" s="606"/>
      <c r="I209" s="531"/>
      <c r="J209" s="523"/>
      <c r="K209" s="606"/>
      <c r="L209" s="533">
        <v>0</v>
      </c>
      <c r="M209" s="523"/>
      <c r="N209" s="533">
        <v>0</v>
      </c>
      <c r="O209" s="523"/>
      <c r="P209" s="606"/>
      <c r="Q209" s="533">
        <v>0</v>
      </c>
      <c r="R209" s="523"/>
      <c r="S209" s="581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522" t="s">
        <v>355</v>
      </c>
      <c r="B210" s="509" t="s">
        <v>83</v>
      </c>
      <c r="C210" s="591" t="s">
        <v>49</v>
      </c>
      <c r="D210" s="592" t="s">
        <v>97</v>
      </c>
      <c r="E210" s="593">
        <v>0.41614706409759455</v>
      </c>
      <c r="F210" s="594">
        <v>157364.48585165048</v>
      </c>
      <c r="G210" s="595"/>
      <c r="H210" s="593"/>
      <c r="I210" s="594"/>
      <c r="J210" s="595" t="s">
        <v>97</v>
      </c>
      <c r="K210" s="593">
        <v>0.47663348719231863</v>
      </c>
      <c r="L210" s="594">
        <v>151383.09</v>
      </c>
      <c r="M210" s="649"/>
      <c r="N210" s="594">
        <v>-5981.395851650479</v>
      </c>
      <c r="O210" s="595" t="s">
        <v>97</v>
      </c>
      <c r="P210" s="593">
        <v>0.43597543218641205</v>
      </c>
      <c r="Q210" s="594">
        <v>153601.94</v>
      </c>
      <c r="R210" s="649"/>
      <c r="S210" s="608">
        <v>-2218.8500000000058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522" t="s">
        <v>356</v>
      </c>
      <c r="B211" s="509" t="s">
        <v>83</v>
      </c>
      <c r="C211" s="530" t="s">
        <v>50</v>
      </c>
      <c r="D211" s="583"/>
      <c r="E211" s="509"/>
      <c r="F211" s="531">
        <v>16629.592755232628</v>
      </c>
      <c r="G211" s="584"/>
      <c r="H211" s="509"/>
      <c r="I211" s="531"/>
      <c r="J211" s="530"/>
      <c r="K211" s="509"/>
      <c r="L211" s="533">
        <v>15120.44</v>
      </c>
      <c r="M211" s="530"/>
      <c r="N211" s="556">
        <v>-1509.1527552326279</v>
      </c>
      <c r="O211" s="530"/>
      <c r="P211" s="509"/>
      <c r="Q211" s="533">
        <v>11959.51</v>
      </c>
      <c r="R211" s="530"/>
      <c r="S211" s="556">
        <v>3160.9300000000003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522" t="s">
        <v>357</v>
      </c>
      <c r="B212" s="509" t="s">
        <v>83</v>
      </c>
      <c r="C212" s="530" t="s">
        <v>51</v>
      </c>
      <c r="D212" s="583"/>
      <c r="E212" s="509"/>
      <c r="F212" s="531">
        <v>3422.1774033237093</v>
      </c>
      <c r="G212" s="584"/>
      <c r="H212" s="509"/>
      <c r="I212" s="531"/>
      <c r="J212" s="530"/>
      <c r="K212" s="509"/>
      <c r="L212" s="533">
        <v>3537.33</v>
      </c>
      <c r="M212" s="530"/>
      <c r="N212" s="556">
        <v>115.15259667629061</v>
      </c>
      <c r="O212" s="530"/>
      <c r="P212" s="509"/>
      <c r="Q212" s="533">
        <v>5712.0099999999902</v>
      </c>
      <c r="R212" s="530"/>
      <c r="S212" s="556">
        <v>-2174.6799999999903</v>
      </c>
      <c r="T212" s="509"/>
      <c r="U212" s="522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522" t="s">
        <v>358</v>
      </c>
      <c r="B213" s="509" t="s">
        <v>83</v>
      </c>
      <c r="C213" s="523" t="s">
        <v>52</v>
      </c>
      <c r="D213" s="586"/>
      <c r="E213" s="606"/>
      <c r="F213" s="525">
        <v>19083.739355555554</v>
      </c>
      <c r="G213" s="587"/>
      <c r="H213" s="606"/>
      <c r="I213" s="525"/>
      <c r="J213" s="523"/>
      <c r="K213" s="606"/>
      <c r="L213" s="533">
        <v>17276.77</v>
      </c>
      <c r="M213" s="523"/>
      <c r="N213" s="581">
        <v>-1806.9693555555532</v>
      </c>
      <c r="O213" s="523"/>
      <c r="P213" s="606"/>
      <c r="Q213" s="533">
        <v>17367.310000000001</v>
      </c>
      <c r="R213" s="523"/>
      <c r="S213" s="581">
        <v>-90.540000000000873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522" t="s">
        <v>359</v>
      </c>
      <c r="B214" s="509" t="s">
        <v>83</v>
      </c>
      <c r="C214" s="530" t="s">
        <v>53</v>
      </c>
      <c r="D214" s="583"/>
      <c r="E214" s="509"/>
      <c r="F214" s="531">
        <v>4783.316137386666</v>
      </c>
      <c r="G214" s="584"/>
      <c r="H214" s="509"/>
      <c r="I214" s="531"/>
      <c r="J214" s="530"/>
      <c r="K214" s="509"/>
      <c r="L214" s="552">
        <v>4199.25</v>
      </c>
      <c r="M214" s="530"/>
      <c r="N214" s="556">
        <v>-584.06613738666601</v>
      </c>
      <c r="O214" s="530"/>
      <c r="P214" s="509"/>
      <c r="Q214" s="552">
        <v>4203.6499999999996</v>
      </c>
      <c r="R214" s="530"/>
      <c r="S214" s="556">
        <v>-4.3999999999996362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522" t="s">
        <v>360</v>
      </c>
      <c r="B215" s="509" t="s">
        <v>83</v>
      </c>
      <c r="C215" s="530" t="s">
        <v>54</v>
      </c>
      <c r="D215" s="583"/>
      <c r="E215" s="509"/>
      <c r="F215" s="531">
        <v>1050.8751805936904</v>
      </c>
      <c r="G215" s="584"/>
      <c r="H215" s="509"/>
      <c r="I215" s="531"/>
      <c r="J215" s="530"/>
      <c r="K215" s="509"/>
      <c r="L215" s="533">
        <v>1303.33</v>
      </c>
      <c r="M215" s="530"/>
      <c r="N215" s="556">
        <v>252.45481940630953</v>
      </c>
      <c r="O215" s="530"/>
      <c r="P215" s="509"/>
      <c r="Q215" s="533">
        <v>2288.3200000000002</v>
      </c>
      <c r="R215" s="530"/>
      <c r="S215" s="556">
        <v>-984.99000000000024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522" t="s">
        <v>361</v>
      </c>
      <c r="B216" s="509" t="s">
        <v>83</v>
      </c>
      <c r="C216" s="523" t="s">
        <v>55</v>
      </c>
      <c r="D216" s="586"/>
      <c r="E216" s="606"/>
      <c r="F216" s="525">
        <v>15128.231788350371</v>
      </c>
      <c r="G216" s="587"/>
      <c r="H216" s="606"/>
      <c r="I216" s="525"/>
      <c r="J216" s="523"/>
      <c r="K216" s="606"/>
      <c r="L216" s="533">
        <v>18392.89</v>
      </c>
      <c r="M216" s="523"/>
      <c r="N216" s="581">
        <v>3264.6582116496284</v>
      </c>
      <c r="O216" s="523"/>
      <c r="P216" s="606"/>
      <c r="Q216" s="533">
        <v>14870.17</v>
      </c>
      <c r="R216" s="523"/>
      <c r="S216" s="581">
        <v>3522.7199999999993</v>
      </c>
      <c r="T216" s="509"/>
      <c r="U216" s="506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522" t="s">
        <v>362</v>
      </c>
      <c r="B217" s="509" t="s">
        <v>83</v>
      </c>
      <c r="C217" s="530" t="s">
        <v>98</v>
      </c>
      <c r="D217" s="583"/>
      <c r="E217" s="509"/>
      <c r="F217" s="531"/>
      <c r="G217" s="584"/>
      <c r="H217" s="509"/>
      <c r="I217" s="531"/>
      <c r="J217" s="530"/>
      <c r="K217" s="509"/>
      <c r="L217" s="552">
        <v>0</v>
      </c>
      <c r="M217" s="530"/>
      <c r="N217" s="556">
        <v>0</v>
      </c>
      <c r="O217" s="530"/>
      <c r="P217" s="509"/>
      <c r="Q217" s="552">
        <v>0</v>
      </c>
      <c r="R217" s="530"/>
      <c r="S217" s="556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522" t="s">
        <v>363</v>
      </c>
      <c r="B218" s="509" t="s">
        <v>83</v>
      </c>
      <c r="C218" s="530" t="s">
        <v>56</v>
      </c>
      <c r="D218" s="583"/>
      <c r="E218" s="509"/>
      <c r="F218" s="531">
        <v>4769.9204222222234</v>
      </c>
      <c r="G218" s="584"/>
      <c r="H218" s="509"/>
      <c r="I218" s="531"/>
      <c r="J218" s="530"/>
      <c r="K218" s="509"/>
      <c r="L218" s="533">
        <v>2198</v>
      </c>
      <c r="M218" s="530"/>
      <c r="N218" s="556">
        <v>-2571.9204222222234</v>
      </c>
      <c r="O218" s="530"/>
      <c r="P218" s="509"/>
      <c r="Q218" s="533">
        <v>4375.9799999999996</v>
      </c>
      <c r="R218" s="530"/>
      <c r="S218" s="556">
        <v>-2177.9799999999996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522" t="s">
        <v>364</v>
      </c>
      <c r="B219" s="509" t="s">
        <v>83</v>
      </c>
      <c r="C219" s="530" t="s">
        <v>57</v>
      </c>
      <c r="D219" s="583"/>
      <c r="E219" s="509"/>
      <c r="F219" s="531">
        <v>1220.4654067864171</v>
      </c>
      <c r="G219" s="584"/>
      <c r="H219" s="509"/>
      <c r="I219" s="531"/>
      <c r="J219" s="530"/>
      <c r="K219" s="509"/>
      <c r="L219" s="533">
        <v>373.79</v>
      </c>
      <c r="M219" s="530"/>
      <c r="N219" s="556">
        <v>-846.67540678641717</v>
      </c>
      <c r="O219" s="530"/>
      <c r="P219" s="509"/>
      <c r="Q219" s="533">
        <v>960.28</v>
      </c>
      <c r="R219" s="530"/>
      <c r="S219" s="556">
        <v>-586.49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522" t="s">
        <v>365</v>
      </c>
      <c r="B220" s="509" t="s">
        <v>83</v>
      </c>
      <c r="C220" s="530" t="s">
        <v>58</v>
      </c>
      <c r="D220" s="583"/>
      <c r="E220" s="509"/>
      <c r="F220" s="531">
        <v>833.0541497518401</v>
      </c>
      <c r="G220" s="584"/>
      <c r="H220" s="509"/>
      <c r="I220" s="531"/>
      <c r="J220" s="530"/>
      <c r="K220" s="509"/>
      <c r="L220" s="533">
        <v>1099.77</v>
      </c>
      <c r="M220" s="530"/>
      <c r="N220" s="556">
        <v>266.71585024815988</v>
      </c>
      <c r="O220" s="530"/>
      <c r="P220" s="509"/>
      <c r="Q220" s="533">
        <v>1316.02</v>
      </c>
      <c r="R220" s="530"/>
      <c r="S220" s="556">
        <v>-216.25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522" t="s">
        <v>366</v>
      </c>
      <c r="B221" s="509" t="s">
        <v>83</v>
      </c>
      <c r="C221" s="530" t="s">
        <v>59</v>
      </c>
      <c r="D221" s="583"/>
      <c r="E221" s="509"/>
      <c r="F221" s="531">
        <v>179.20450168848672</v>
      </c>
      <c r="G221" s="584"/>
      <c r="H221" s="509"/>
      <c r="I221" s="531"/>
      <c r="J221" s="530"/>
      <c r="K221" s="509"/>
      <c r="L221" s="533">
        <v>223.89</v>
      </c>
      <c r="M221" s="530"/>
      <c r="N221" s="556">
        <v>44.685498311513271</v>
      </c>
      <c r="O221" s="530"/>
      <c r="P221" s="509"/>
      <c r="Q221" s="533">
        <v>184.09</v>
      </c>
      <c r="R221" s="530"/>
      <c r="S221" s="556">
        <v>39.799999999999983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522" t="s">
        <v>367</v>
      </c>
      <c r="B222" s="509" t="s">
        <v>83</v>
      </c>
      <c r="C222" s="530" t="s">
        <v>60</v>
      </c>
      <c r="D222" s="583"/>
      <c r="E222" s="509"/>
      <c r="F222" s="531">
        <v>92.790571276313315</v>
      </c>
      <c r="G222" s="584"/>
      <c r="H222" s="509"/>
      <c r="I222" s="531"/>
      <c r="J222" s="530"/>
      <c r="K222" s="509"/>
      <c r="L222" s="533">
        <v>-62.5</v>
      </c>
      <c r="M222" s="530"/>
      <c r="N222" s="556">
        <v>-155.2905712763133</v>
      </c>
      <c r="O222" s="530"/>
      <c r="P222" s="509"/>
      <c r="Q222" s="533">
        <v>30.18</v>
      </c>
      <c r="R222" s="530"/>
      <c r="S222" s="556">
        <v>-92.68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522" t="s">
        <v>368</v>
      </c>
      <c r="B223" s="509" t="s">
        <v>83</v>
      </c>
      <c r="C223" s="530" t="s">
        <v>61</v>
      </c>
      <c r="D223" s="583"/>
      <c r="E223" s="509"/>
      <c r="F223" s="531">
        <v>152.45095187595334</v>
      </c>
      <c r="G223" s="584"/>
      <c r="H223" s="509"/>
      <c r="I223" s="531"/>
      <c r="J223" s="530"/>
      <c r="K223" s="509"/>
      <c r="L223" s="533">
        <v>307.79000000000002</v>
      </c>
      <c r="M223" s="530"/>
      <c r="N223" s="556">
        <v>155.33904812404668</v>
      </c>
      <c r="O223" s="530"/>
      <c r="P223" s="509"/>
      <c r="Q223" s="533">
        <v>335.11</v>
      </c>
      <c r="R223" s="530"/>
      <c r="S223" s="556">
        <v>-27.319999999999993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522" t="s">
        <v>369</v>
      </c>
      <c r="B224" s="509" t="s">
        <v>83</v>
      </c>
      <c r="C224" s="530" t="s">
        <v>62</v>
      </c>
      <c r="D224" s="583"/>
      <c r="E224" s="509"/>
      <c r="F224" s="531">
        <v>3066.5133988524863</v>
      </c>
      <c r="G224" s="584"/>
      <c r="H224" s="509"/>
      <c r="I224" s="531"/>
      <c r="J224" s="530"/>
      <c r="K224" s="509"/>
      <c r="L224" s="533">
        <v>2059.42</v>
      </c>
      <c r="M224" s="530"/>
      <c r="N224" s="556">
        <v>-1007.0933988524862</v>
      </c>
      <c r="O224" s="530"/>
      <c r="P224" s="509"/>
      <c r="Q224" s="533">
        <v>342.09</v>
      </c>
      <c r="R224" s="530"/>
      <c r="S224" s="556">
        <v>1717.3300000000002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522" t="s">
        <v>370</v>
      </c>
      <c r="B225" s="509" t="s">
        <v>83</v>
      </c>
      <c r="C225" s="530" t="s">
        <v>63</v>
      </c>
      <c r="D225" s="583"/>
      <c r="E225" s="509"/>
      <c r="F225" s="531">
        <v>2646.6733264660766</v>
      </c>
      <c r="G225" s="584"/>
      <c r="H225" s="509"/>
      <c r="I225" s="531"/>
      <c r="J225" s="530"/>
      <c r="K225" s="509"/>
      <c r="L225" s="533">
        <v>3179.01</v>
      </c>
      <c r="M225" s="530"/>
      <c r="N225" s="556">
        <v>532.33667353392366</v>
      </c>
      <c r="O225" s="530"/>
      <c r="P225" s="509"/>
      <c r="Q225" s="533">
        <v>3383.76</v>
      </c>
      <c r="R225" s="530"/>
      <c r="S225" s="556">
        <v>-204.75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522" t="s">
        <v>350</v>
      </c>
      <c r="B226" s="509" t="s">
        <v>83</v>
      </c>
      <c r="C226" s="530" t="s">
        <v>20</v>
      </c>
      <c r="D226" s="583"/>
      <c r="E226" s="509"/>
      <c r="F226" s="531">
        <v>0</v>
      </c>
      <c r="G226" s="584"/>
      <c r="H226" s="509"/>
      <c r="I226" s="531"/>
      <c r="J226" s="530"/>
      <c r="K226" s="509"/>
      <c r="L226" s="533">
        <v>0</v>
      </c>
      <c r="M226" s="530"/>
      <c r="N226" s="556">
        <v>0</v>
      </c>
      <c r="O226" s="530"/>
      <c r="P226" s="509"/>
      <c r="Q226" s="533">
        <v>0</v>
      </c>
      <c r="R226" s="530"/>
      <c r="S226" s="556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522" t="s">
        <v>350</v>
      </c>
      <c r="B227" s="509" t="s">
        <v>83</v>
      </c>
      <c r="C227" s="530" t="s">
        <v>20</v>
      </c>
      <c r="D227" s="583"/>
      <c r="E227" s="509"/>
      <c r="F227" s="531">
        <v>0</v>
      </c>
      <c r="G227" s="584"/>
      <c r="H227" s="509"/>
      <c r="I227" s="531"/>
      <c r="J227" s="530"/>
      <c r="K227" s="509"/>
      <c r="L227" s="533">
        <v>0</v>
      </c>
      <c r="M227" s="530"/>
      <c r="N227" s="556">
        <v>0</v>
      </c>
      <c r="O227" s="530"/>
      <c r="P227" s="509"/>
      <c r="Q227" s="533">
        <v>0</v>
      </c>
      <c r="R227" s="530"/>
      <c r="S227" s="556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522" t="s">
        <v>350</v>
      </c>
      <c r="B228" s="509" t="s">
        <v>83</v>
      </c>
      <c r="C228" s="530" t="s">
        <v>20</v>
      </c>
      <c r="D228" s="583"/>
      <c r="E228" s="509"/>
      <c r="F228" s="531">
        <v>0</v>
      </c>
      <c r="G228" s="584"/>
      <c r="H228" s="509"/>
      <c r="I228" s="531"/>
      <c r="J228" s="530"/>
      <c r="K228" s="509"/>
      <c r="L228" s="533">
        <v>0</v>
      </c>
      <c r="M228" s="530"/>
      <c r="N228" s="556">
        <v>0</v>
      </c>
      <c r="O228" s="530"/>
      <c r="P228" s="509"/>
      <c r="Q228" s="533">
        <v>0</v>
      </c>
      <c r="R228" s="530"/>
      <c r="S228" s="556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91" t="s">
        <v>64</v>
      </c>
      <c r="D229" s="592" t="s">
        <v>97</v>
      </c>
      <c r="E229" s="593">
        <v>0.19320299886906633</v>
      </c>
      <c r="F229" s="594">
        <v>73059.005349362429</v>
      </c>
      <c r="G229" s="595"/>
      <c r="H229" s="593"/>
      <c r="I229" s="594"/>
      <c r="J229" s="595" t="s">
        <v>97</v>
      </c>
      <c r="K229" s="593">
        <v>0.21790685346111557</v>
      </c>
      <c r="L229" s="594">
        <v>69209.179999999993</v>
      </c>
      <c r="M229" s="598"/>
      <c r="N229" s="594">
        <v>-3849.8253493624361</v>
      </c>
      <c r="O229" s="595" t="s">
        <v>97</v>
      </c>
      <c r="P229" s="593">
        <v>0.19110151321301141</v>
      </c>
      <c r="Q229" s="594">
        <v>67328.479999999967</v>
      </c>
      <c r="R229" s="598"/>
      <c r="S229" s="594">
        <v>1880.7000000000262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3"/>
      <c r="D230" s="586"/>
      <c r="E230" s="606"/>
      <c r="F230" s="556"/>
      <c r="G230" s="587"/>
      <c r="H230" s="606"/>
      <c r="I230" s="556"/>
      <c r="J230" s="523"/>
      <c r="K230" s="606"/>
      <c r="L230" s="581"/>
      <c r="M230" s="523"/>
      <c r="N230" s="581"/>
      <c r="O230" s="523"/>
      <c r="P230" s="606"/>
      <c r="Q230" s="581"/>
      <c r="R230" s="523"/>
      <c r="S230" s="581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91" t="s">
        <v>65</v>
      </c>
      <c r="D231" s="592" t="s">
        <v>39</v>
      </c>
      <c r="E231" s="593">
        <v>0.60935006296666094</v>
      </c>
      <c r="F231" s="594">
        <v>230423.49120101292</v>
      </c>
      <c r="G231" s="595"/>
      <c r="H231" s="593"/>
      <c r="I231" s="594"/>
      <c r="J231" s="595" t="s">
        <v>39</v>
      </c>
      <c r="K231" s="593">
        <v>0.69454034065343417</v>
      </c>
      <c r="L231" s="594">
        <v>220592.27</v>
      </c>
      <c r="M231" s="598"/>
      <c r="N231" s="608">
        <v>-9831.2212010129297</v>
      </c>
      <c r="O231" s="595" t="s">
        <v>39</v>
      </c>
      <c r="P231" s="593">
        <v>0.62707694539942349</v>
      </c>
      <c r="Q231" s="594">
        <v>220930.41999999998</v>
      </c>
      <c r="R231" s="598"/>
      <c r="S231" s="608">
        <v>-338.14999999999418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30"/>
      <c r="D232" s="583"/>
      <c r="E232" s="509"/>
      <c r="F232" s="556"/>
      <c r="G232" s="584"/>
      <c r="H232" s="509"/>
      <c r="I232" s="556"/>
      <c r="J232" s="530"/>
      <c r="K232" s="509"/>
      <c r="L232" s="556"/>
      <c r="M232" s="530"/>
      <c r="N232" s="556">
        <v>0</v>
      </c>
      <c r="O232" s="530"/>
      <c r="P232" s="509"/>
      <c r="Q232" s="556"/>
      <c r="R232" s="530"/>
      <c r="S232" s="556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3" t="s">
        <v>72</v>
      </c>
      <c r="D233" s="654"/>
      <c r="E233" s="624"/>
      <c r="F233" s="626">
        <v>147722.84077634173</v>
      </c>
      <c r="G233" s="655"/>
      <c r="H233" s="624"/>
      <c r="I233" s="626"/>
      <c r="J233" s="623"/>
      <c r="K233" s="625"/>
      <c r="L233" s="626">
        <v>97016.74000000002</v>
      </c>
      <c r="M233" s="623"/>
      <c r="N233" s="626">
        <v>-50706.100776341715</v>
      </c>
      <c r="O233" s="623"/>
      <c r="P233" s="628">
        <v>0.28531846240712494</v>
      </c>
      <c r="Q233" s="626">
        <v>131387.45999999897</v>
      </c>
      <c r="R233" s="623"/>
      <c r="S233" s="626">
        <v>-34370.719999998953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2"/>
      <c r="M234" s="572"/>
      <c r="N234" s="509"/>
      <c r="O234" s="572"/>
      <c r="P234" s="509"/>
      <c r="Q234" s="572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6"/>
      <c r="M235" s="656"/>
      <c r="N235" s="506"/>
      <c r="O235" s="656"/>
      <c r="P235" s="506"/>
      <c r="Q235" s="656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3" t="s">
        <v>478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4" t="s">
        <v>483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220</v>
      </c>
      <c r="N238" s="513"/>
      <c r="O238" s="511" t="s">
        <v>8</v>
      </c>
      <c r="P238" s="512"/>
      <c r="Q238" s="513"/>
      <c r="R238" s="514" t="s">
        <v>221</v>
      </c>
      <c r="S238" s="513"/>
      <c r="T238" s="650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522" t="s">
        <v>99</v>
      </c>
      <c r="B239" s="509" t="s">
        <v>99</v>
      </c>
      <c r="C239" s="530"/>
      <c r="D239" s="574" t="s">
        <v>40</v>
      </c>
      <c r="E239" s="574" t="s">
        <v>84</v>
      </c>
      <c r="F239" s="657" t="s">
        <v>12</v>
      </c>
      <c r="G239" s="658"/>
      <c r="H239" s="574"/>
      <c r="I239" s="657"/>
      <c r="J239" s="658" t="s">
        <v>40</v>
      </c>
      <c r="K239" s="574" t="s">
        <v>84</v>
      </c>
      <c r="L239" s="657" t="s">
        <v>12</v>
      </c>
      <c r="M239" s="658" t="s">
        <v>40</v>
      </c>
      <c r="N239" s="657" t="s">
        <v>223</v>
      </c>
      <c r="O239" s="574" t="s">
        <v>40</v>
      </c>
      <c r="P239" s="574" t="s">
        <v>84</v>
      </c>
      <c r="Q239" s="657" t="s">
        <v>12</v>
      </c>
      <c r="R239" s="658" t="s">
        <v>85</v>
      </c>
      <c r="S239" s="657" t="s">
        <v>12</v>
      </c>
      <c r="T239" s="574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522" t="s">
        <v>99</v>
      </c>
      <c r="B240" s="509" t="s">
        <v>99</v>
      </c>
      <c r="C240" s="530"/>
      <c r="D240" s="574"/>
      <c r="E240" s="574"/>
      <c r="F240" s="657"/>
      <c r="G240" s="658"/>
      <c r="H240" s="574"/>
      <c r="I240" s="657"/>
      <c r="J240" s="658"/>
      <c r="K240" s="531"/>
      <c r="L240" s="533"/>
      <c r="M240" s="658"/>
      <c r="N240" s="657"/>
      <c r="O240" s="574"/>
      <c r="P240" s="574"/>
      <c r="Q240" s="657"/>
      <c r="R240" s="658"/>
      <c r="S240" s="657"/>
      <c r="T240" s="574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522" t="s">
        <v>371</v>
      </c>
      <c r="B241" s="509" t="s">
        <v>99</v>
      </c>
      <c r="C241" s="530" t="s">
        <v>100</v>
      </c>
      <c r="D241" s="698">
        <v>0</v>
      </c>
      <c r="E241" s="572">
        <v>48000</v>
      </c>
      <c r="F241" s="572">
        <v>10560</v>
      </c>
      <c r="G241" s="699"/>
      <c r="H241" s="572"/>
      <c r="I241" s="572"/>
      <c r="J241" s="557">
        <v>33</v>
      </c>
      <c r="K241" s="572">
        <v>116450.23999999999</v>
      </c>
      <c r="L241" s="572">
        <v>21438.22</v>
      </c>
      <c r="M241" s="576">
        <v>1.4260466666666665</v>
      </c>
      <c r="N241" s="556">
        <v>10878.220000000001</v>
      </c>
      <c r="O241" s="557">
        <v>3</v>
      </c>
      <c r="P241" s="531">
        <v>8391.06</v>
      </c>
      <c r="Q241" s="533">
        <v>2134.2399999999998</v>
      </c>
      <c r="R241" s="576">
        <v>11</v>
      </c>
      <c r="S241" s="556">
        <v>19303.980000000003</v>
      </c>
      <c r="T241" s="574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522" t="s">
        <v>372</v>
      </c>
      <c r="B242" s="509" t="s">
        <v>99</v>
      </c>
      <c r="C242" s="530" t="s">
        <v>87</v>
      </c>
      <c r="D242" s="574"/>
      <c r="E242" s="643"/>
      <c r="F242" s="659">
        <v>0.22</v>
      </c>
      <c r="G242" s="530"/>
      <c r="H242" s="643"/>
      <c r="I242" s="659"/>
      <c r="J242" s="557"/>
      <c r="K242" s="509"/>
      <c r="L242" s="659">
        <v>0.18409768842039315</v>
      </c>
      <c r="M242" s="576"/>
      <c r="N242" s="556">
        <v>7628.2356351124572</v>
      </c>
      <c r="O242" s="557"/>
      <c r="P242" s="509"/>
      <c r="Q242" s="659">
        <v>0.25434688823581286</v>
      </c>
      <c r="R242" s="557"/>
      <c r="S242" s="556">
        <v>1754.907272727273</v>
      </c>
      <c r="T242" s="574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522" t="s">
        <v>99</v>
      </c>
      <c r="B243" s="509" t="s">
        <v>99</v>
      </c>
      <c r="C243" s="530"/>
      <c r="D243" s="574"/>
      <c r="E243" s="700"/>
      <c r="F243" s="636"/>
      <c r="G243" s="658"/>
      <c r="H243" s="700"/>
      <c r="I243" s="636"/>
      <c r="J243" s="658"/>
      <c r="K243" s="574"/>
      <c r="L243" s="657"/>
      <c r="M243" s="658"/>
      <c r="N243" s="657"/>
      <c r="O243" s="658"/>
      <c r="P243" s="574"/>
      <c r="Q243" s="657"/>
      <c r="R243" s="635"/>
      <c r="S243" s="657"/>
      <c r="T243" s="574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522" t="s">
        <v>373</v>
      </c>
      <c r="B244" s="509" t="s">
        <v>99</v>
      </c>
      <c r="C244" s="517" t="s">
        <v>101</v>
      </c>
      <c r="D244" s="663">
        <v>0</v>
      </c>
      <c r="E244" s="572">
        <v>0</v>
      </c>
      <c r="F244" s="572">
        <v>0</v>
      </c>
      <c r="G244" s="701"/>
      <c r="H244" s="572"/>
      <c r="I244" s="572"/>
      <c r="J244" s="664">
        <v>0</v>
      </c>
      <c r="K244" s="551">
        <v>0</v>
      </c>
      <c r="L244" s="552">
        <v>0</v>
      </c>
      <c r="M244" s="668">
        <v>0</v>
      </c>
      <c r="N244" s="605">
        <v>0</v>
      </c>
      <c r="O244" s="664">
        <v>0</v>
      </c>
      <c r="P244" s="551">
        <v>0</v>
      </c>
      <c r="Q244" s="552">
        <v>0</v>
      </c>
      <c r="R244" s="576">
        <v>0</v>
      </c>
      <c r="S244" s="605">
        <v>0</v>
      </c>
      <c r="T244" s="647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522" t="s">
        <v>372</v>
      </c>
      <c r="B245" s="509" t="s">
        <v>99</v>
      </c>
      <c r="C245" s="530" t="s">
        <v>87</v>
      </c>
      <c r="D245" s="509"/>
      <c r="E245" s="643"/>
      <c r="F245" s="659" t="e">
        <v>#DIV/0!</v>
      </c>
      <c r="G245" s="530"/>
      <c r="H245" s="643"/>
      <c r="I245" s="659"/>
      <c r="J245" s="557"/>
      <c r="K245" s="509"/>
      <c r="L245" s="659">
        <v>0</v>
      </c>
      <c r="M245" s="576"/>
      <c r="N245" s="556">
        <v>0</v>
      </c>
      <c r="O245" s="557"/>
      <c r="P245" s="509"/>
      <c r="Q245" s="659">
        <v>0</v>
      </c>
      <c r="R245" s="557"/>
      <c r="S245" s="556">
        <v>0</v>
      </c>
      <c r="T245" s="647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522" t="s">
        <v>99</v>
      </c>
      <c r="B246" s="509" t="s">
        <v>99</v>
      </c>
      <c r="C246" s="523"/>
      <c r="D246" s="606"/>
      <c r="E246" s="702"/>
      <c r="F246" s="661"/>
      <c r="G246" s="523"/>
      <c r="H246" s="702"/>
      <c r="I246" s="661"/>
      <c r="J246" s="662"/>
      <c r="K246" s="703"/>
      <c r="L246" s="661"/>
      <c r="M246" s="580"/>
      <c r="N246" s="581"/>
      <c r="O246" s="662"/>
      <c r="P246" s="703"/>
      <c r="Q246" s="661"/>
      <c r="R246" s="662"/>
      <c r="S246" s="581"/>
      <c r="T246" s="647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522" t="s">
        <v>374</v>
      </c>
      <c r="B247" s="509" t="s">
        <v>99</v>
      </c>
      <c r="C247" s="517" t="s">
        <v>102</v>
      </c>
      <c r="D247" s="663">
        <v>0</v>
      </c>
      <c r="E247" s="572">
        <v>0</v>
      </c>
      <c r="F247" s="572">
        <v>0</v>
      </c>
      <c r="G247" s="664"/>
      <c r="H247" s="572"/>
      <c r="I247" s="572"/>
      <c r="J247" s="664">
        <v>0</v>
      </c>
      <c r="K247" s="531">
        <v>0</v>
      </c>
      <c r="L247" s="533">
        <v>0</v>
      </c>
      <c r="M247" s="576">
        <v>0</v>
      </c>
      <c r="N247" s="605">
        <v>0</v>
      </c>
      <c r="O247" s="664">
        <v>0</v>
      </c>
      <c r="P247" s="531">
        <v>0</v>
      </c>
      <c r="Q247" s="533">
        <v>0</v>
      </c>
      <c r="R247" s="576">
        <v>0</v>
      </c>
      <c r="S247" s="556">
        <v>0</v>
      </c>
      <c r="T247" s="647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522" t="s">
        <v>372</v>
      </c>
      <c r="B248" s="509" t="s">
        <v>99</v>
      </c>
      <c r="C248" s="530" t="s">
        <v>87</v>
      </c>
      <c r="D248" s="509"/>
      <c r="E248" s="509"/>
      <c r="F248" s="659" t="e">
        <v>#DIV/0!</v>
      </c>
      <c r="G248" s="530"/>
      <c r="H248" s="509"/>
      <c r="I248" s="659"/>
      <c r="J248" s="530"/>
      <c r="K248" s="509"/>
      <c r="L248" s="659">
        <v>0</v>
      </c>
      <c r="M248" s="547"/>
      <c r="N248" s="548">
        <v>0</v>
      </c>
      <c r="O248" s="530"/>
      <c r="P248" s="509"/>
      <c r="Q248" s="659">
        <v>0</v>
      </c>
      <c r="R248" s="547"/>
      <c r="S248" s="548">
        <v>0</v>
      </c>
      <c r="T248" s="647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522" t="s">
        <v>99</v>
      </c>
      <c r="B249" s="509" t="s">
        <v>99</v>
      </c>
      <c r="C249" s="530"/>
      <c r="D249" s="509"/>
      <c r="E249" s="509"/>
      <c r="F249" s="659"/>
      <c r="G249" s="530"/>
      <c r="H249" s="509"/>
      <c r="I249" s="659"/>
      <c r="J249" s="530"/>
      <c r="K249" s="509"/>
      <c r="L249" s="659"/>
      <c r="M249" s="547"/>
      <c r="N249" s="548"/>
      <c r="O249" s="530"/>
      <c r="P249" s="509"/>
      <c r="Q249" s="659"/>
      <c r="R249" s="547"/>
      <c r="S249" s="548"/>
      <c r="T249" s="647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522" t="s">
        <v>375</v>
      </c>
      <c r="B250" s="509" t="s">
        <v>99</v>
      </c>
      <c r="C250" s="558" t="s">
        <v>96</v>
      </c>
      <c r="D250" s="559"/>
      <c r="E250" s="559">
        <v>48000</v>
      </c>
      <c r="F250" s="561">
        <v>10560</v>
      </c>
      <c r="G250" s="562"/>
      <c r="H250" s="559"/>
      <c r="I250" s="561"/>
      <c r="J250" s="562"/>
      <c r="K250" s="559">
        <v>116450.23999999999</v>
      </c>
      <c r="L250" s="561">
        <v>21438.22</v>
      </c>
      <c r="M250" s="696">
        <v>-3.5902311579606855E-2</v>
      </c>
      <c r="N250" s="561">
        <v>10878.220000000001</v>
      </c>
      <c r="O250" s="562"/>
      <c r="P250" s="559">
        <v>8391.06</v>
      </c>
      <c r="Q250" s="561">
        <v>2134.2399999999998</v>
      </c>
      <c r="R250" s="704">
        <v>-7.0249199815419716E-2</v>
      </c>
      <c r="S250" s="561">
        <v>19303.980000000003</v>
      </c>
      <c r="T250" s="647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522" t="s">
        <v>99</v>
      </c>
      <c r="B251" s="509" t="s">
        <v>99</v>
      </c>
      <c r="C251" s="563"/>
      <c r="D251" s="564"/>
      <c r="E251" s="564"/>
      <c r="F251" s="569">
        <v>0.22</v>
      </c>
      <c r="G251" s="563"/>
      <c r="H251" s="564"/>
      <c r="I251" s="569"/>
      <c r="J251" s="563"/>
      <c r="K251" s="564"/>
      <c r="L251" s="569">
        <v>0.18409768842039315</v>
      </c>
      <c r="M251" s="568"/>
      <c r="N251" s="569">
        <v>1.0301344696969699</v>
      </c>
      <c r="O251" s="563"/>
      <c r="P251" s="564"/>
      <c r="Q251" s="569">
        <v>0.25434688823581286</v>
      </c>
      <c r="R251" s="568"/>
      <c r="S251" s="569">
        <v>9.0448965439688163</v>
      </c>
      <c r="T251" s="647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522" t="s">
        <v>99</v>
      </c>
      <c r="B252" s="509" t="s">
        <v>99</v>
      </c>
      <c r="C252" s="530"/>
      <c r="D252" s="509"/>
      <c r="E252" s="509"/>
      <c r="F252" s="556"/>
      <c r="G252" s="530"/>
      <c r="H252" s="509"/>
      <c r="I252" s="556"/>
      <c r="J252" s="530"/>
      <c r="K252" s="509"/>
      <c r="L252" s="540"/>
      <c r="M252" s="530"/>
      <c r="N252" s="540"/>
      <c r="O252" s="530"/>
      <c r="P252" s="509"/>
      <c r="Q252" s="540"/>
      <c r="R252" s="530"/>
      <c r="S252" s="540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522" t="s">
        <v>376</v>
      </c>
      <c r="B253" s="509" t="s">
        <v>99</v>
      </c>
      <c r="C253" s="573" t="s">
        <v>30</v>
      </c>
      <c r="D253" s="509"/>
      <c r="E253" s="509"/>
      <c r="F253" s="556"/>
      <c r="G253" s="530"/>
      <c r="H253" s="509"/>
      <c r="I253" s="556"/>
      <c r="J253" s="530"/>
      <c r="K253" s="509"/>
      <c r="L253" s="540"/>
      <c r="M253" s="530"/>
      <c r="N253" s="540"/>
      <c r="O253" s="530"/>
      <c r="P253" s="509"/>
      <c r="Q253" s="540"/>
      <c r="R253" s="530"/>
      <c r="S253" s="540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522" t="s">
        <v>377</v>
      </c>
      <c r="B254" s="509" t="s">
        <v>99</v>
      </c>
      <c r="C254" s="599" t="s">
        <v>41</v>
      </c>
      <c r="D254" s="509"/>
      <c r="E254" s="509"/>
      <c r="F254" s="531">
        <v>297.32500000000005</v>
      </c>
      <c r="G254" s="530"/>
      <c r="H254" s="509"/>
      <c r="I254" s="531"/>
      <c r="J254" s="530"/>
      <c r="K254" s="509"/>
      <c r="L254" s="533">
        <v>901.88</v>
      </c>
      <c r="M254" s="530"/>
      <c r="N254" s="556">
        <v>604.55499999999995</v>
      </c>
      <c r="O254" s="530"/>
      <c r="P254" s="509"/>
      <c r="Q254" s="533">
        <v>901.88</v>
      </c>
      <c r="R254" s="530"/>
      <c r="S254" s="533">
        <v>0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522" t="s">
        <v>378</v>
      </c>
      <c r="B255" s="509" t="s">
        <v>99</v>
      </c>
      <c r="C255" s="601" t="s">
        <v>42</v>
      </c>
      <c r="D255" s="583"/>
      <c r="E255" s="509"/>
      <c r="F255" s="525">
        <v>4847.8046153846153</v>
      </c>
      <c r="G255" s="584"/>
      <c r="H255" s="509"/>
      <c r="I255" s="525"/>
      <c r="J255" s="530"/>
      <c r="K255" s="509"/>
      <c r="L255" s="533">
        <v>5917.34</v>
      </c>
      <c r="M255" s="530"/>
      <c r="N255" s="556">
        <v>1069.5353846153848</v>
      </c>
      <c r="O255" s="530"/>
      <c r="P255" s="509"/>
      <c r="Q255" s="533">
        <v>5141.84</v>
      </c>
      <c r="R255" s="530"/>
      <c r="S255" s="556">
        <v>775.5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522" t="s">
        <v>379</v>
      </c>
      <c r="B256" s="509" t="s">
        <v>99</v>
      </c>
      <c r="C256" s="599" t="s">
        <v>43</v>
      </c>
      <c r="D256" s="602"/>
      <c r="E256" s="603"/>
      <c r="F256" s="531">
        <v>17.530769230769231</v>
      </c>
      <c r="G256" s="604"/>
      <c r="H256" s="603"/>
      <c r="I256" s="531"/>
      <c r="J256" s="517"/>
      <c r="K256" s="603"/>
      <c r="L256" s="552">
        <v>0.08</v>
      </c>
      <c r="M256" s="517"/>
      <c r="N256" s="605">
        <v>-17.450769230769232</v>
      </c>
      <c r="O256" s="517"/>
      <c r="P256" s="603"/>
      <c r="Q256" s="552">
        <v>0.08</v>
      </c>
      <c r="R256" s="517"/>
      <c r="S256" s="605">
        <v>0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522" t="s">
        <v>380</v>
      </c>
      <c r="B257" s="509" t="s">
        <v>99</v>
      </c>
      <c r="C257" s="599" t="s">
        <v>44</v>
      </c>
      <c r="D257" s="583"/>
      <c r="E257" s="509"/>
      <c r="F257" s="531">
        <v>0</v>
      </c>
      <c r="G257" s="584"/>
      <c r="H257" s="509"/>
      <c r="I257" s="531"/>
      <c r="J257" s="530"/>
      <c r="K257" s="509"/>
      <c r="L257" s="533">
        <v>0</v>
      </c>
      <c r="M257" s="530"/>
      <c r="N257" s="556">
        <v>0</v>
      </c>
      <c r="O257" s="530"/>
      <c r="P257" s="509"/>
      <c r="Q257" s="533">
        <v>0</v>
      </c>
      <c r="R257" s="530"/>
      <c r="S257" s="556">
        <v>0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522" t="s">
        <v>381</v>
      </c>
      <c r="B258" s="509" t="s">
        <v>99</v>
      </c>
      <c r="C258" s="530" t="s">
        <v>20</v>
      </c>
      <c r="D258" s="583"/>
      <c r="E258" s="509"/>
      <c r="F258" s="531">
        <v>0</v>
      </c>
      <c r="G258" s="584"/>
      <c r="H258" s="509"/>
      <c r="I258" s="531"/>
      <c r="J258" s="530"/>
      <c r="K258" s="509"/>
      <c r="L258" s="533">
        <v>0</v>
      </c>
      <c r="M258" s="530"/>
      <c r="N258" s="556">
        <v>0</v>
      </c>
      <c r="O258" s="530"/>
      <c r="P258" s="509"/>
      <c r="Q258" s="533">
        <v>0</v>
      </c>
      <c r="R258" s="530"/>
      <c r="S258" s="556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522" t="s">
        <v>381</v>
      </c>
      <c r="B259" s="509" t="s">
        <v>99</v>
      </c>
      <c r="C259" s="530" t="s">
        <v>20</v>
      </c>
      <c r="D259" s="583"/>
      <c r="E259" s="509"/>
      <c r="F259" s="531">
        <v>0</v>
      </c>
      <c r="G259" s="584"/>
      <c r="H259" s="509"/>
      <c r="I259" s="531"/>
      <c r="J259" s="530"/>
      <c r="K259" s="509"/>
      <c r="L259" s="533">
        <v>0</v>
      </c>
      <c r="M259" s="530"/>
      <c r="N259" s="556">
        <v>0</v>
      </c>
      <c r="O259" s="530"/>
      <c r="P259" s="509"/>
      <c r="Q259" s="533">
        <v>0</v>
      </c>
      <c r="R259" s="530"/>
      <c r="S259" s="556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522" t="s">
        <v>381</v>
      </c>
      <c r="B260" s="509" t="s">
        <v>99</v>
      </c>
      <c r="C260" s="530" t="s">
        <v>20</v>
      </c>
      <c r="D260" s="583"/>
      <c r="E260" s="509"/>
      <c r="F260" s="531">
        <v>0</v>
      </c>
      <c r="G260" s="584"/>
      <c r="H260" s="509"/>
      <c r="I260" s="531"/>
      <c r="J260" s="530"/>
      <c r="K260" s="509"/>
      <c r="L260" s="533">
        <v>0</v>
      </c>
      <c r="M260" s="530"/>
      <c r="N260" s="556">
        <v>0</v>
      </c>
      <c r="O260" s="530"/>
      <c r="P260" s="509"/>
      <c r="Q260" s="533">
        <v>0</v>
      </c>
      <c r="R260" s="530"/>
      <c r="S260" s="556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522" t="s">
        <v>382</v>
      </c>
      <c r="B261" s="509" t="s">
        <v>99</v>
      </c>
      <c r="C261" s="601" t="s">
        <v>45</v>
      </c>
      <c r="D261" s="583"/>
      <c r="E261" s="509"/>
      <c r="F261" s="525">
        <v>619.8155113461537</v>
      </c>
      <c r="G261" s="584"/>
      <c r="H261" s="509"/>
      <c r="I261" s="525"/>
      <c r="J261" s="530"/>
      <c r="K261" s="509"/>
      <c r="L261" s="533">
        <v>303.14</v>
      </c>
      <c r="M261" s="530"/>
      <c r="N261" s="556">
        <v>-316.67551134615371</v>
      </c>
      <c r="O261" s="530"/>
      <c r="P261" s="509"/>
      <c r="Q261" s="533">
        <v>406.6</v>
      </c>
      <c r="R261" s="530"/>
      <c r="S261" s="556">
        <v>-103.46000000000004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522" t="s">
        <v>383</v>
      </c>
      <c r="B262" s="509" t="s">
        <v>99</v>
      </c>
      <c r="C262" s="599" t="s">
        <v>46</v>
      </c>
      <c r="D262" s="602"/>
      <c r="E262" s="603"/>
      <c r="F262" s="531">
        <v>753.60828692307689</v>
      </c>
      <c r="G262" s="604"/>
      <c r="H262" s="603"/>
      <c r="I262" s="531"/>
      <c r="J262" s="517"/>
      <c r="K262" s="603"/>
      <c r="L262" s="552">
        <v>1353.77</v>
      </c>
      <c r="M262" s="517"/>
      <c r="N262" s="605">
        <v>600.16171307692309</v>
      </c>
      <c r="O262" s="517"/>
      <c r="P262" s="603"/>
      <c r="Q262" s="552">
        <v>1444.92</v>
      </c>
      <c r="R262" s="517"/>
      <c r="S262" s="605">
        <v>-91.150000000000091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522" t="s">
        <v>384</v>
      </c>
      <c r="B263" s="509" t="s">
        <v>99</v>
      </c>
      <c r="C263" s="599" t="s">
        <v>47</v>
      </c>
      <c r="D263" s="583"/>
      <c r="E263" s="509"/>
      <c r="F263" s="531">
        <v>388.27209565384607</v>
      </c>
      <c r="G263" s="584"/>
      <c r="H263" s="509"/>
      <c r="I263" s="531"/>
      <c r="J263" s="530"/>
      <c r="K263" s="509"/>
      <c r="L263" s="533">
        <v>236.68</v>
      </c>
      <c r="M263" s="530"/>
      <c r="N263" s="556">
        <v>-151.59209565384606</v>
      </c>
      <c r="O263" s="530"/>
      <c r="P263" s="509"/>
      <c r="Q263" s="533">
        <v>-1117.54</v>
      </c>
      <c r="R263" s="530"/>
      <c r="S263" s="556">
        <v>1354.22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522" t="s">
        <v>385</v>
      </c>
      <c r="B264" s="509" t="s">
        <v>99</v>
      </c>
      <c r="C264" s="599" t="s">
        <v>48</v>
      </c>
      <c r="D264" s="583"/>
      <c r="E264" s="509"/>
      <c r="F264" s="531">
        <v>169.28881807692304</v>
      </c>
      <c r="G264" s="584"/>
      <c r="H264" s="509"/>
      <c r="I264" s="531"/>
      <c r="J264" s="530"/>
      <c r="K264" s="509"/>
      <c r="L264" s="533">
        <v>139.32</v>
      </c>
      <c r="M264" s="530"/>
      <c r="N264" s="556">
        <v>-29.968818076923043</v>
      </c>
      <c r="O264" s="530"/>
      <c r="P264" s="509"/>
      <c r="Q264" s="533">
        <v>151.38999999999999</v>
      </c>
      <c r="R264" s="530"/>
      <c r="S264" s="556">
        <v>-12.069999999999993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522" t="s">
        <v>381</v>
      </c>
      <c r="B265" s="509" t="s">
        <v>99</v>
      </c>
      <c r="C265" s="530" t="s">
        <v>20</v>
      </c>
      <c r="D265" s="586"/>
      <c r="E265" s="606"/>
      <c r="F265" s="531">
        <v>0</v>
      </c>
      <c r="G265" s="587"/>
      <c r="H265" s="606"/>
      <c r="I265" s="531"/>
      <c r="J265" s="523"/>
      <c r="K265" s="606"/>
      <c r="L265" s="533">
        <v>0</v>
      </c>
      <c r="M265" s="523"/>
      <c r="N265" s="581">
        <v>0</v>
      </c>
      <c r="O265" s="523"/>
      <c r="P265" s="606"/>
      <c r="Q265" s="533">
        <v>0</v>
      </c>
      <c r="R265" s="523"/>
      <c r="S265" s="581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522" t="s">
        <v>386</v>
      </c>
      <c r="B266" s="509" t="s">
        <v>99</v>
      </c>
      <c r="C266" s="591" t="s">
        <v>49</v>
      </c>
      <c r="D266" s="592" t="s">
        <v>39</v>
      </c>
      <c r="E266" s="593">
        <v>0.67174669475524462</v>
      </c>
      <c r="F266" s="594">
        <v>7093.6450966153834</v>
      </c>
      <c r="G266" s="595"/>
      <c r="H266" s="593"/>
      <c r="I266" s="594"/>
      <c r="J266" s="595" t="s">
        <v>39</v>
      </c>
      <c r="K266" s="593">
        <v>0.41291721047736241</v>
      </c>
      <c r="L266" s="594">
        <v>8852.2100000000009</v>
      </c>
      <c r="M266" s="649"/>
      <c r="N266" s="608">
        <v>1758.5649033846175</v>
      </c>
      <c r="O266" s="595" t="s">
        <v>39</v>
      </c>
      <c r="P266" s="593">
        <v>0</v>
      </c>
      <c r="Q266" s="594">
        <v>6929.170000000001</v>
      </c>
      <c r="R266" s="649"/>
      <c r="S266" s="608">
        <v>1923.04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522" t="s">
        <v>387</v>
      </c>
      <c r="B267" s="509" t="s">
        <v>99</v>
      </c>
      <c r="C267" s="705" t="s">
        <v>50</v>
      </c>
      <c r="D267" s="583"/>
      <c r="E267" s="509"/>
      <c r="F267" s="531">
        <v>48.333333333333336</v>
      </c>
      <c r="G267" s="584"/>
      <c r="H267" s="509"/>
      <c r="I267" s="531"/>
      <c r="J267" s="530"/>
      <c r="K267" s="509"/>
      <c r="L267" s="533">
        <v>0.01</v>
      </c>
      <c r="M267" s="530"/>
      <c r="N267" s="556">
        <v>-48.323333333333338</v>
      </c>
      <c r="O267" s="530"/>
      <c r="P267" s="509"/>
      <c r="Q267" s="556">
        <v>142.51</v>
      </c>
      <c r="R267" s="530"/>
      <c r="S267" s="556">
        <v>-142.5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522" t="s">
        <v>388</v>
      </c>
      <c r="B268" s="509" t="s">
        <v>99</v>
      </c>
      <c r="C268" s="599" t="s">
        <v>51</v>
      </c>
      <c r="D268" s="583"/>
      <c r="E268" s="509"/>
      <c r="F268" s="531">
        <v>561.67798128057109</v>
      </c>
      <c r="G268" s="584"/>
      <c r="H268" s="509"/>
      <c r="I268" s="531"/>
      <c r="J268" s="530"/>
      <c r="K268" s="509"/>
      <c r="L268" s="533">
        <v>48.11</v>
      </c>
      <c r="M268" s="530"/>
      <c r="N268" s="556">
        <v>-513.56798128057108</v>
      </c>
      <c r="O268" s="530"/>
      <c r="P268" s="509"/>
      <c r="Q268" s="556">
        <v>2866.52</v>
      </c>
      <c r="R268" s="530"/>
      <c r="S268" s="556">
        <v>-2818.41</v>
      </c>
      <c r="T268" s="509"/>
      <c r="U268" s="522"/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522" t="s">
        <v>389</v>
      </c>
      <c r="B269" s="509" t="s">
        <v>99</v>
      </c>
      <c r="C269" s="601" t="s">
        <v>52</v>
      </c>
      <c r="D269" s="586"/>
      <c r="E269" s="606"/>
      <c r="F269" s="525">
        <v>124.50360000000001</v>
      </c>
      <c r="G269" s="587"/>
      <c r="H269" s="606"/>
      <c r="I269" s="525"/>
      <c r="J269" s="523"/>
      <c r="K269" s="606"/>
      <c r="L269" s="533">
        <v>157.77000000000001</v>
      </c>
      <c r="M269" s="523"/>
      <c r="N269" s="581">
        <v>33.266400000000004</v>
      </c>
      <c r="O269" s="523"/>
      <c r="P269" s="606"/>
      <c r="Q269" s="581">
        <v>327.31</v>
      </c>
      <c r="R269" s="523"/>
      <c r="S269" s="581">
        <v>-169.54</v>
      </c>
      <c r="T269" s="509"/>
      <c r="U269" s="509" t="s">
        <v>1</v>
      </c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522" t="s">
        <v>390</v>
      </c>
      <c r="B270" s="509" t="s">
        <v>99</v>
      </c>
      <c r="C270" s="599" t="s">
        <v>53</v>
      </c>
      <c r="D270" s="583"/>
      <c r="E270" s="509"/>
      <c r="F270" s="531">
        <v>1450.4268862377776</v>
      </c>
      <c r="G270" s="584"/>
      <c r="H270" s="509"/>
      <c r="I270" s="531"/>
      <c r="J270" s="530"/>
      <c r="K270" s="509"/>
      <c r="L270" s="552">
        <v>2002.96</v>
      </c>
      <c r="M270" s="530"/>
      <c r="N270" s="556">
        <v>552.53311376222246</v>
      </c>
      <c r="O270" s="530"/>
      <c r="P270" s="509"/>
      <c r="Q270" s="556">
        <v>1468.27</v>
      </c>
      <c r="R270" s="530"/>
      <c r="S270" s="556">
        <v>534.69000000000005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522" t="s">
        <v>391</v>
      </c>
      <c r="B271" s="509" t="s">
        <v>99</v>
      </c>
      <c r="C271" s="599" t="s">
        <v>54</v>
      </c>
      <c r="D271" s="583"/>
      <c r="E271" s="509"/>
      <c r="F271" s="531">
        <v>214.03823837858201</v>
      </c>
      <c r="G271" s="584"/>
      <c r="H271" s="509"/>
      <c r="I271" s="531"/>
      <c r="J271" s="530"/>
      <c r="K271" s="509"/>
      <c r="L271" s="533">
        <v>364.88</v>
      </c>
      <c r="M271" s="530"/>
      <c r="N271" s="556">
        <v>150.84176162141799</v>
      </c>
      <c r="O271" s="530"/>
      <c r="P271" s="509"/>
      <c r="Q271" s="556">
        <v>409.31</v>
      </c>
      <c r="R271" s="530"/>
      <c r="S271" s="556">
        <v>-44.430000000000007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522" t="s">
        <v>392</v>
      </c>
      <c r="B272" s="509" t="s">
        <v>99</v>
      </c>
      <c r="C272" s="599" t="s">
        <v>55</v>
      </c>
      <c r="D272" s="586"/>
      <c r="E272" s="606"/>
      <c r="F272" s="525">
        <v>687.14674435248071</v>
      </c>
      <c r="G272" s="587"/>
      <c r="H272" s="606"/>
      <c r="I272" s="525"/>
      <c r="J272" s="523"/>
      <c r="K272" s="606"/>
      <c r="L272" s="533">
        <v>1148.67</v>
      </c>
      <c r="M272" s="523"/>
      <c r="N272" s="581">
        <v>461.52325564751936</v>
      </c>
      <c r="O272" s="523"/>
      <c r="P272" s="606"/>
      <c r="Q272" s="581">
        <v>820.44</v>
      </c>
      <c r="R272" s="523"/>
      <c r="S272" s="581">
        <v>328.23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522" t="s">
        <v>393</v>
      </c>
      <c r="B273" s="509" t="s">
        <v>99</v>
      </c>
      <c r="C273" s="705" t="s">
        <v>98</v>
      </c>
      <c r="D273" s="583"/>
      <c r="E273" s="509"/>
      <c r="F273" s="531"/>
      <c r="G273" s="584"/>
      <c r="H273" s="509"/>
      <c r="I273" s="531"/>
      <c r="J273" s="530"/>
      <c r="K273" s="509"/>
      <c r="L273" s="552">
        <v>0</v>
      </c>
      <c r="M273" s="530"/>
      <c r="N273" s="556">
        <v>0</v>
      </c>
      <c r="O273" s="530"/>
      <c r="P273" s="509"/>
      <c r="Q273" s="556">
        <v>0</v>
      </c>
      <c r="R273" s="530"/>
      <c r="S273" s="556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522" t="s">
        <v>394</v>
      </c>
      <c r="B274" s="509" t="s">
        <v>99</v>
      </c>
      <c r="C274" s="599" t="s">
        <v>56</v>
      </c>
      <c r="D274" s="583"/>
      <c r="E274" s="509"/>
      <c r="F274" s="531">
        <v>45.951533333333337</v>
      </c>
      <c r="G274" s="584"/>
      <c r="H274" s="509"/>
      <c r="I274" s="531"/>
      <c r="J274" s="530"/>
      <c r="K274" s="509"/>
      <c r="L274" s="533">
        <v>0</v>
      </c>
      <c r="M274" s="530"/>
      <c r="N274" s="556">
        <v>-45.951533333333337</v>
      </c>
      <c r="O274" s="530"/>
      <c r="P274" s="509"/>
      <c r="Q274" s="556">
        <v>0</v>
      </c>
      <c r="R274" s="530"/>
      <c r="S274" s="556">
        <v>0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522" t="s">
        <v>395</v>
      </c>
      <c r="B275" s="509" t="s">
        <v>99</v>
      </c>
      <c r="C275" s="599" t="s">
        <v>57</v>
      </c>
      <c r="D275" s="583"/>
      <c r="E275" s="509"/>
      <c r="F275" s="531">
        <v>28.333333333333332</v>
      </c>
      <c r="G275" s="584"/>
      <c r="H275" s="509"/>
      <c r="I275" s="531"/>
      <c r="J275" s="530"/>
      <c r="K275" s="509"/>
      <c r="L275" s="533">
        <v>0</v>
      </c>
      <c r="M275" s="530"/>
      <c r="N275" s="556">
        <v>-28.333333333333332</v>
      </c>
      <c r="O275" s="530"/>
      <c r="P275" s="509"/>
      <c r="Q275" s="556">
        <v>0</v>
      </c>
      <c r="R275" s="530"/>
      <c r="S275" s="556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522" t="s">
        <v>396</v>
      </c>
      <c r="B276" s="509" t="s">
        <v>99</v>
      </c>
      <c r="C276" s="599" t="s">
        <v>58</v>
      </c>
      <c r="D276" s="583"/>
      <c r="E276" s="509"/>
      <c r="F276" s="531">
        <v>146.23689705261995</v>
      </c>
      <c r="G276" s="584"/>
      <c r="H276" s="509"/>
      <c r="I276" s="531"/>
      <c r="J276" s="530"/>
      <c r="K276" s="509"/>
      <c r="L276" s="533">
        <v>320.76</v>
      </c>
      <c r="M276" s="530"/>
      <c r="N276" s="556">
        <v>174.52310294738004</v>
      </c>
      <c r="O276" s="530"/>
      <c r="P276" s="509"/>
      <c r="Q276" s="556">
        <v>276.14</v>
      </c>
      <c r="R276" s="530"/>
      <c r="S276" s="556">
        <v>44.620000000000005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522" t="s">
        <v>397</v>
      </c>
      <c r="B277" s="509" t="s">
        <v>99</v>
      </c>
      <c r="C277" s="599" t="s">
        <v>59</v>
      </c>
      <c r="D277" s="583"/>
      <c r="E277" s="509"/>
      <c r="F277" s="531">
        <v>32.368975325808613</v>
      </c>
      <c r="G277" s="584"/>
      <c r="H277" s="509"/>
      <c r="I277" s="531"/>
      <c r="J277" s="530"/>
      <c r="K277" s="509"/>
      <c r="L277" s="533">
        <v>32.99</v>
      </c>
      <c r="M277" s="530"/>
      <c r="N277" s="556">
        <v>0.62102467419138918</v>
      </c>
      <c r="O277" s="530"/>
      <c r="P277" s="509"/>
      <c r="Q277" s="556">
        <v>26.78</v>
      </c>
      <c r="R277" s="530"/>
      <c r="S277" s="556">
        <v>6.2100000000000009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522" t="s">
        <v>398</v>
      </c>
      <c r="B278" s="509" t="s">
        <v>99</v>
      </c>
      <c r="C278" s="599" t="s">
        <v>60</v>
      </c>
      <c r="D278" s="583"/>
      <c r="E278" s="509"/>
      <c r="F278" s="531">
        <v>22.492098830591392</v>
      </c>
      <c r="G278" s="584"/>
      <c r="H278" s="509"/>
      <c r="I278" s="531"/>
      <c r="J278" s="530"/>
      <c r="K278" s="509"/>
      <c r="L278" s="533">
        <v>25.53</v>
      </c>
      <c r="M278" s="530"/>
      <c r="N278" s="556">
        <v>3.0379011694086095</v>
      </c>
      <c r="O278" s="530"/>
      <c r="P278" s="509"/>
      <c r="Q278" s="556">
        <v>8.8000000000000007</v>
      </c>
      <c r="R278" s="530"/>
      <c r="S278" s="556">
        <v>16.73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522" t="s">
        <v>399</v>
      </c>
      <c r="B279" s="509" t="s">
        <v>99</v>
      </c>
      <c r="C279" s="599" t="s">
        <v>61</v>
      </c>
      <c r="D279" s="583"/>
      <c r="E279" s="509"/>
      <c r="F279" s="531">
        <v>102.90506750548639</v>
      </c>
      <c r="G279" s="584"/>
      <c r="H279" s="509"/>
      <c r="I279" s="531"/>
      <c r="J279" s="530"/>
      <c r="K279" s="509"/>
      <c r="L279" s="533">
        <v>89.76</v>
      </c>
      <c r="M279" s="530"/>
      <c r="N279" s="556">
        <v>-13.145067505486381</v>
      </c>
      <c r="O279" s="530"/>
      <c r="P279" s="509"/>
      <c r="Q279" s="556">
        <v>97.74</v>
      </c>
      <c r="R279" s="530"/>
      <c r="S279" s="556">
        <v>-7.9799999999999898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522" t="s">
        <v>400</v>
      </c>
      <c r="B280" s="509" t="s">
        <v>99</v>
      </c>
      <c r="C280" s="599" t="s">
        <v>62</v>
      </c>
      <c r="D280" s="583"/>
      <c r="E280" s="509"/>
      <c r="F280" s="531">
        <v>175.49870178698256</v>
      </c>
      <c r="G280" s="584"/>
      <c r="H280" s="509"/>
      <c r="I280" s="531"/>
      <c r="J280" s="530"/>
      <c r="K280" s="509"/>
      <c r="L280" s="533">
        <v>125.51</v>
      </c>
      <c r="M280" s="530"/>
      <c r="N280" s="556">
        <v>-49.98870178698256</v>
      </c>
      <c r="O280" s="530"/>
      <c r="P280" s="509"/>
      <c r="Q280" s="556">
        <v>155.99</v>
      </c>
      <c r="R280" s="530"/>
      <c r="S280" s="556">
        <v>-30.480000000000004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522" t="s">
        <v>401</v>
      </c>
      <c r="B281" s="509" t="s">
        <v>99</v>
      </c>
      <c r="C281" s="599" t="s">
        <v>63</v>
      </c>
      <c r="D281" s="583"/>
      <c r="E281" s="509"/>
      <c r="F281" s="531">
        <v>288.61067228747322</v>
      </c>
      <c r="G281" s="584"/>
      <c r="H281" s="509"/>
      <c r="I281" s="531"/>
      <c r="J281" s="530"/>
      <c r="K281" s="509"/>
      <c r="L281" s="533">
        <v>353.23</v>
      </c>
      <c r="M281" s="530"/>
      <c r="N281" s="556">
        <v>64.619327712526797</v>
      </c>
      <c r="O281" s="530"/>
      <c r="P281" s="509"/>
      <c r="Q281" s="556">
        <v>375.98</v>
      </c>
      <c r="R281" s="530"/>
      <c r="S281" s="556">
        <v>-22.75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522" t="s">
        <v>381</v>
      </c>
      <c r="B282" s="509" t="s">
        <v>99</v>
      </c>
      <c r="C282" s="599" t="s">
        <v>20</v>
      </c>
      <c r="D282" s="583"/>
      <c r="E282" s="509"/>
      <c r="F282" s="531">
        <v>0</v>
      </c>
      <c r="G282" s="584"/>
      <c r="H282" s="509"/>
      <c r="I282" s="531"/>
      <c r="J282" s="530"/>
      <c r="K282" s="509"/>
      <c r="L282" s="533">
        <v>0</v>
      </c>
      <c r="M282" s="530"/>
      <c r="N282" s="556">
        <v>0</v>
      </c>
      <c r="O282" s="530"/>
      <c r="P282" s="509"/>
      <c r="Q282" s="533">
        <v>0</v>
      </c>
      <c r="R282" s="530"/>
      <c r="S282" s="556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522" t="s">
        <v>381</v>
      </c>
      <c r="B283" s="509" t="s">
        <v>99</v>
      </c>
      <c r="C283" s="599" t="s">
        <v>20</v>
      </c>
      <c r="D283" s="583"/>
      <c r="E283" s="509"/>
      <c r="F283" s="531">
        <v>0</v>
      </c>
      <c r="G283" s="584"/>
      <c r="H283" s="509"/>
      <c r="I283" s="531"/>
      <c r="J283" s="530"/>
      <c r="K283" s="509"/>
      <c r="L283" s="533">
        <v>0</v>
      </c>
      <c r="M283" s="530"/>
      <c r="N283" s="556">
        <v>0</v>
      </c>
      <c r="O283" s="530"/>
      <c r="P283" s="509"/>
      <c r="Q283" s="533">
        <v>0</v>
      </c>
      <c r="R283" s="530"/>
      <c r="S283" s="556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522" t="s">
        <v>381</v>
      </c>
      <c r="B284" s="509" t="s">
        <v>99</v>
      </c>
      <c r="C284" s="599" t="s">
        <v>20</v>
      </c>
      <c r="D284" s="583"/>
      <c r="E284" s="509"/>
      <c r="F284" s="531">
        <v>0</v>
      </c>
      <c r="G284" s="584"/>
      <c r="H284" s="509"/>
      <c r="I284" s="531"/>
      <c r="J284" s="530"/>
      <c r="K284" s="509"/>
      <c r="L284" s="533">
        <v>0</v>
      </c>
      <c r="M284" s="530"/>
      <c r="N284" s="556">
        <v>0</v>
      </c>
      <c r="O284" s="530"/>
      <c r="P284" s="509"/>
      <c r="Q284" s="533">
        <v>0</v>
      </c>
      <c r="R284" s="530"/>
      <c r="S284" s="556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91" t="s">
        <v>64</v>
      </c>
      <c r="D285" s="592" t="s">
        <v>39</v>
      </c>
      <c r="E285" s="593" t="e">
        <v>#DIV/0!</v>
      </c>
      <c r="F285" s="594">
        <v>3928.5240630383737</v>
      </c>
      <c r="G285" s="595"/>
      <c r="H285" s="593"/>
      <c r="I285" s="594"/>
      <c r="J285" s="595" t="s">
        <v>39</v>
      </c>
      <c r="K285" s="593">
        <v>0.21784364560117397</v>
      </c>
      <c r="L285" s="594">
        <v>4670.18</v>
      </c>
      <c r="M285" s="598"/>
      <c r="N285" s="594">
        <v>741.65593696162648</v>
      </c>
      <c r="O285" s="595" t="s">
        <v>39</v>
      </c>
      <c r="P285" s="593">
        <v>0</v>
      </c>
      <c r="Q285" s="594">
        <v>6975.7900000000009</v>
      </c>
      <c r="R285" s="598"/>
      <c r="S285" s="594">
        <v>-2305.6100000000006</v>
      </c>
      <c r="T285" s="570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3"/>
      <c r="D286" s="586"/>
      <c r="E286" s="606"/>
      <c r="F286" s="556"/>
      <c r="G286" s="587"/>
      <c r="H286" s="606"/>
      <c r="I286" s="556"/>
      <c r="J286" s="523"/>
      <c r="K286" s="606"/>
      <c r="L286" s="581"/>
      <c r="M286" s="523"/>
      <c r="N286" s="581"/>
      <c r="O286" s="523"/>
      <c r="P286" s="606"/>
      <c r="Q286" s="581"/>
      <c r="R286" s="523"/>
      <c r="S286" s="581"/>
      <c r="T286" s="570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91" t="s">
        <v>65</v>
      </c>
      <c r="D287" s="592" t="s">
        <v>39</v>
      </c>
      <c r="E287" s="593" t="e">
        <v>#DIV/0!</v>
      </c>
      <c r="F287" s="594">
        <v>11022.169159653757</v>
      </c>
      <c r="G287" s="595"/>
      <c r="H287" s="593"/>
      <c r="I287" s="594"/>
      <c r="J287" s="595" t="s">
        <v>39</v>
      </c>
      <c r="K287" s="593">
        <v>0.63076085607853638</v>
      </c>
      <c r="L287" s="594">
        <v>13522.390000000001</v>
      </c>
      <c r="M287" s="598"/>
      <c r="N287" s="608">
        <v>2500.2208403462446</v>
      </c>
      <c r="O287" s="595" t="s">
        <v>39</v>
      </c>
      <c r="P287" s="593">
        <v>0</v>
      </c>
      <c r="Q287" s="594">
        <v>13904.960000000003</v>
      </c>
      <c r="R287" s="598"/>
      <c r="S287" s="608">
        <v>-382.57000000000153</v>
      </c>
      <c r="T287" s="570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30"/>
      <c r="D288" s="583"/>
      <c r="E288" s="509"/>
      <c r="F288" s="556"/>
      <c r="G288" s="584"/>
      <c r="H288" s="509"/>
      <c r="I288" s="556"/>
      <c r="J288" s="530"/>
      <c r="K288" s="509"/>
      <c r="L288" s="556"/>
      <c r="M288" s="530"/>
      <c r="N288" s="556">
        <v>0</v>
      </c>
      <c r="O288" s="530"/>
      <c r="P288" s="509"/>
      <c r="Q288" s="556"/>
      <c r="R288" s="530"/>
      <c r="S288" s="556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3" t="s">
        <v>72</v>
      </c>
      <c r="D289" s="654"/>
      <c r="E289" s="624"/>
      <c r="F289" s="626">
        <v>-462.16915965375665</v>
      </c>
      <c r="G289" s="655"/>
      <c r="H289" s="624"/>
      <c r="I289" s="626"/>
      <c r="J289" s="623"/>
      <c r="K289" s="625"/>
      <c r="L289" s="626">
        <v>7915.83</v>
      </c>
      <c r="M289" s="623"/>
      <c r="N289" s="626">
        <v>8377.9991596537566</v>
      </c>
      <c r="O289" s="623"/>
      <c r="P289" s="628">
        <v>-1.4027691376298113</v>
      </c>
      <c r="Q289" s="626">
        <v>-11770.720000000003</v>
      </c>
      <c r="R289" s="623"/>
      <c r="S289" s="626">
        <v>19686.550000000003</v>
      </c>
      <c r="T289" s="570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2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3" t="s">
        <v>478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4" t="s">
        <v>483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220</v>
      </c>
      <c r="N293" s="513"/>
      <c r="O293" s="511" t="s">
        <v>8</v>
      </c>
      <c r="P293" s="512"/>
      <c r="Q293" s="513"/>
      <c r="R293" s="514" t="s">
        <v>221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522" t="s">
        <v>103</v>
      </c>
      <c r="B294" s="509" t="s">
        <v>103</v>
      </c>
      <c r="C294" s="530"/>
      <c r="D294" s="574" t="s">
        <v>84</v>
      </c>
      <c r="E294" s="574" t="s">
        <v>104</v>
      </c>
      <c r="F294" s="657" t="s">
        <v>12</v>
      </c>
      <c r="G294" s="658"/>
      <c r="H294" s="574"/>
      <c r="I294" s="657"/>
      <c r="J294" s="658" t="s">
        <v>84</v>
      </c>
      <c r="K294" s="574" t="s">
        <v>104</v>
      </c>
      <c r="L294" s="657" t="s">
        <v>12</v>
      </c>
      <c r="M294" s="658" t="s">
        <v>40</v>
      </c>
      <c r="N294" s="657" t="s">
        <v>223</v>
      </c>
      <c r="O294" s="574" t="s">
        <v>84</v>
      </c>
      <c r="P294" s="574" t="s">
        <v>104</v>
      </c>
      <c r="Q294" s="657" t="s">
        <v>12</v>
      </c>
      <c r="R294" s="658" t="s">
        <v>85</v>
      </c>
      <c r="S294" s="657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522" t="s">
        <v>402</v>
      </c>
      <c r="B295" s="509" t="s">
        <v>103</v>
      </c>
      <c r="C295" s="530" t="s">
        <v>105</v>
      </c>
      <c r="D295" s="572">
        <v>185369.45791999999</v>
      </c>
      <c r="E295" s="647">
        <v>0.35699999999999998</v>
      </c>
      <c r="F295" s="556">
        <v>66176.896477439994</v>
      </c>
      <c r="G295" s="572"/>
      <c r="H295" s="647"/>
      <c r="I295" s="556"/>
      <c r="J295" s="572">
        <v>130393.98</v>
      </c>
      <c r="K295" s="647">
        <v>0.37232447387525103</v>
      </c>
      <c r="L295" s="556">
        <v>48548.87</v>
      </c>
      <c r="M295" s="576">
        <v>-0.29657246957978262</v>
      </c>
      <c r="N295" s="556">
        <v>-17628.026477439991</v>
      </c>
      <c r="O295" s="531">
        <v>160638.01</v>
      </c>
      <c r="P295" s="647">
        <v>0.28651469225745513</v>
      </c>
      <c r="Q295" s="556">
        <v>46025.15</v>
      </c>
      <c r="R295" s="576">
        <v>-0.18827443143749112</v>
      </c>
      <c r="S295" s="556">
        <v>2523.7200000000012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522" t="s">
        <v>403</v>
      </c>
      <c r="B296" s="509" t="s">
        <v>103</v>
      </c>
      <c r="C296" s="530" t="s">
        <v>106</v>
      </c>
      <c r="D296" s="572">
        <v>28800</v>
      </c>
      <c r="E296" s="647">
        <v>0.248</v>
      </c>
      <c r="F296" s="556">
        <v>7142.4</v>
      </c>
      <c r="G296" s="572"/>
      <c r="H296" s="647"/>
      <c r="I296" s="556"/>
      <c r="J296" s="572">
        <v>79245.39</v>
      </c>
      <c r="K296" s="647">
        <v>0.23140828759881174</v>
      </c>
      <c r="L296" s="556">
        <v>18338.04</v>
      </c>
      <c r="M296" s="576">
        <v>1.7515760416666666</v>
      </c>
      <c r="N296" s="556">
        <v>11195.640000000001</v>
      </c>
      <c r="O296" s="531">
        <v>5618.74</v>
      </c>
      <c r="P296" s="647">
        <v>0.27197200795907805</v>
      </c>
      <c r="Q296" s="556">
        <v>1528.1399999999901</v>
      </c>
      <c r="R296" s="576">
        <v>13.103765256979322</v>
      </c>
      <c r="S296" s="556">
        <v>16809.900000000012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522" t="s">
        <v>404</v>
      </c>
      <c r="B297" s="509" t="s">
        <v>103</v>
      </c>
      <c r="C297" s="530" t="s">
        <v>107</v>
      </c>
      <c r="D297" s="572">
        <v>46333.297500000001</v>
      </c>
      <c r="E297" s="647">
        <v>0.23699999999999999</v>
      </c>
      <c r="F297" s="556">
        <v>10980.991507499999</v>
      </c>
      <c r="G297" s="572"/>
      <c r="H297" s="647"/>
      <c r="I297" s="556"/>
      <c r="J297" s="572">
        <v>17813.3</v>
      </c>
      <c r="K297" s="647">
        <v>0.23083426428567419</v>
      </c>
      <c r="L297" s="556">
        <v>4111.92</v>
      </c>
      <c r="M297" s="576">
        <v>-0.61553999043560415</v>
      </c>
      <c r="N297" s="556">
        <v>-6869.0715074999989</v>
      </c>
      <c r="O297" s="531">
        <v>45564.35</v>
      </c>
      <c r="P297" s="647">
        <v>0.23116120387978759</v>
      </c>
      <c r="Q297" s="556">
        <v>10532.71</v>
      </c>
      <c r="R297" s="576">
        <v>-0.60905181353404581</v>
      </c>
      <c r="S297" s="556">
        <v>-6420.7899999999991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522" t="s">
        <v>405</v>
      </c>
      <c r="B298" s="509" t="s">
        <v>103</v>
      </c>
      <c r="C298" s="530" t="s">
        <v>108</v>
      </c>
      <c r="D298" s="572">
        <v>79871.252999999997</v>
      </c>
      <c r="E298" s="647">
        <v>0.29399999999999998</v>
      </c>
      <c r="F298" s="556">
        <v>23482.148381999999</v>
      </c>
      <c r="G298" s="572"/>
      <c r="H298" s="647"/>
      <c r="I298" s="556"/>
      <c r="J298" s="572">
        <v>71056.259999999995</v>
      </c>
      <c r="K298" s="647">
        <v>0.24788048231077731</v>
      </c>
      <c r="L298" s="556">
        <v>17613.459999999992</v>
      </c>
      <c r="M298" s="576">
        <v>-0.11036502707676318</v>
      </c>
      <c r="N298" s="556">
        <v>-5868.6883820000076</v>
      </c>
      <c r="O298" s="531">
        <v>70580.36</v>
      </c>
      <c r="P298" s="647">
        <v>0.28399415928170385</v>
      </c>
      <c r="Q298" s="556">
        <v>20044.41</v>
      </c>
      <c r="R298" s="576">
        <v>6.7426689237628451E-3</v>
      </c>
      <c r="S298" s="556">
        <v>-2430.950000000008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522" t="s">
        <v>406</v>
      </c>
      <c r="B299" s="509" t="s">
        <v>103</v>
      </c>
      <c r="C299" s="530" t="s">
        <v>109</v>
      </c>
      <c r="D299" s="572">
        <v>34123.973999999995</v>
      </c>
      <c r="E299" s="647">
        <v>0.27700000000000002</v>
      </c>
      <c r="F299" s="556">
        <v>9452.3407979999993</v>
      </c>
      <c r="G299" s="572"/>
      <c r="H299" s="647"/>
      <c r="I299" s="556"/>
      <c r="J299" s="572">
        <v>28107.19</v>
      </c>
      <c r="K299" s="647">
        <v>0.26250756479036141</v>
      </c>
      <c r="L299" s="556">
        <v>7378.3499999999985</v>
      </c>
      <c r="M299" s="576">
        <v>-0.17632131591707334</v>
      </c>
      <c r="N299" s="556">
        <v>-2073.9907980000007</v>
      </c>
      <c r="O299" s="531">
        <v>32301.17</v>
      </c>
      <c r="P299" s="647">
        <v>0.21911373488947894</v>
      </c>
      <c r="Q299" s="556">
        <v>7077.6299999999901</v>
      </c>
      <c r="R299" s="576">
        <v>-0.12983987886506898</v>
      </c>
      <c r="S299" s="556">
        <v>300.72000000000844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522" t="s">
        <v>407</v>
      </c>
      <c r="B300" s="509" t="s">
        <v>103</v>
      </c>
      <c r="C300" s="530" t="s">
        <v>110</v>
      </c>
      <c r="D300" s="572">
        <v>165831.261</v>
      </c>
      <c r="E300" s="647">
        <v>0.13500000000000001</v>
      </c>
      <c r="F300" s="556">
        <v>22387.220235000001</v>
      </c>
      <c r="G300" s="572"/>
      <c r="H300" s="647"/>
      <c r="I300" s="556"/>
      <c r="J300" s="572">
        <v>193330.53</v>
      </c>
      <c r="K300" s="647">
        <v>0.11165168791499196</v>
      </c>
      <c r="L300" s="556">
        <v>21585.679999999989</v>
      </c>
      <c r="M300" s="576">
        <v>0.16582680994025609</v>
      </c>
      <c r="N300" s="556">
        <v>-801.54023500001131</v>
      </c>
      <c r="O300" s="531">
        <v>140151.78</v>
      </c>
      <c r="P300" s="647">
        <v>0.13822022096330064</v>
      </c>
      <c r="Q300" s="556">
        <v>19371.809999999899</v>
      </c>
      <c r="R300" s="576">
        <v>0.37943685053447057</v>
      </c>
      <c r="S300" s="556">
        <v>2213.8700000000899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522" t="s">
        <v>408</v>
      </c>
      <c r="B301" s="509" t="s">
        <v>103</v>
      </c>
      <c r="C301" s="530" t="s">
        <v>20</v>
      </c>
      <c r="D301" s="572">
        <v>0</v>
      </c>
      <c r="E301" s="647">
        <v>0</v>
      </c>
      <c r="F301" s="556">
        <v>0</v>
      </c>
      <c r="G301" s="572"/>
      <c r="H301" s="647"/>
      <c r="I301" s="556"/>
      <c r="J301" s="572">
        <v>0</v>
      </c>
      <c r="K301" s="647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7">
        <v>0</v>
      </c>
      <c r="Q301" s="556">
        <v>0</v>
      </c>
      <c r="R301" s="576">
        <v>0</v>
      </c>
      <c r="S301" s="556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522" t="s">
        <v>409</v>
      </c>
      <c r="B302" s="509" t="s">
        <v>103</v>
      </c>
      <c r="C302" s="530" t="s">
        <v>111</v>
      </c>
      <c r="D302" s="572">
        <v>0</v>
      </c>
      <c r="E302" s="647">
        <v>0</v>
      </c>
      <c r="F302" s="556">
        <v>13853.049361178608</v>
      </c>
      <c r="G302" s="572"/>
      <c r="H302" s="647"/>
      <c r="I302" s="556"/>
      <c r="J302" s="572">
        <v>0</v>
      </c>
      <c r="K302" s="647">
        <v>0</v>
      </c>
      <c r="L302" s="556">
        <v>34531.65</v>
      </c>
      <c r="M302" s="576"/>
      <c r="N302" s="556">
        <v>20678.600638821394</v>
      </c>
      <c r="O302" s="531">
        <v>0</v>
      </c>
      <c r="P302" s="647">
        <v>0</v>
      </c>
      <c r="Q302" s="556">
        <v>14951.3</v>
      </c>
      <c r="R302" s="576">
        <v>0</v>
      </c>
      <c r="S302" s="556">
        <v>19580.350000000002</v>
      </c>
      <c r="T302" s="509"/>
      <c r="U302" s="572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522" t="s">
        <v>410</v>
      </c>
      <c r="B303" s="509" t="s">
        <v>103</v>
      </c>
      <c r="C303" s="523" t="s">
        <v>112</v>
      </c>
      <c r="D303" s="572">
        <v>0</v>
      </c>
      <c r="E303" s="647">
        <v>0</v>
      </c>
      <c r="F303" s="556">
        <v>0</v>
      </c>
      <c r="G303" s="572"/>
      <c r="H303" s="647"/>
      <c r="I303" s="556"/>
      <c r="J303" s="572">
        <v>0</v>
      </c>
      <c r="K303" s="647">
        <v>0</v>
      </c>
      <c r="L303" s="556">
        <v>0</v>
      </c>
      <c r="M303" s="576"/>
      <c r="N303" s="556">
        <v>0</v>
      </c>
      <c r="O303" s="531">
        <v>0</v>
      </c>
      <c r="P303" s="647">
        <v>0</v>
      </c>
      <c r="Q303" s="556">
        <v>0</v>
      </c>
      <c r="R303" s="576">
        <v>0</v>
      </c>
      <c r="S303" s="556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522" t="s">
        <v>411</v>
      </c>
      <c r="B304" s="509" t="s">
        <v>103</v>
      </c>
      <c r="C304" s="549" t="s">
        <v>113</v>
      </c>
      <c r="D304" s="687">
        <v>540329.24341999996</v>
      </c>
      <c r="E304" s="706">
        <v>0.28403986759943295</v>
      </c>
      <c r="F304" s="689">
        <v>153475.04676111857</v>
      </c>
      <c r="G304" s="687"/>
      <c r="H304" s="706"/>
      <c r="I304" s="689"/>
      <c r="J304" s="687">
        <v>519946.65</v>
      </c>
      <c r="K304" s="706">
        <v>0.29254534094988394</v>
      </c>
      <c r="L304" s="689">
        <v>152107.96999999997</v>
      </c>
      <c r="M304" s="707">
        <v>-3.7722543556941011E-2</v>
      </c>
      <c r="N304" s="689">
        <v>-1367.076761118602</v>
      </c>
      <c r="O304" s="687">
        <v>454854.41000000003</v>
      </c>
      <c r="P304" s="706">
        <v>0.2627899111717964</v>
      </c>
      <c r="Q304" s="689">
        <v>119531.14999999988</v>
      </c>
      <c r="R304" s="707">
        <v>0.14310565879750398</v>
      </c>
      <c r="S304" s="689">
        <v>32576.820000000094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522" t="s">
        <v>103</v>
      </c>
      <c r="B305" s="509" t="s">
        <v>103</v>
      </c>
      <c r="C305" s="530"/>
      <c r="D305" s="509"/>
      <c r="E305" s="509"/>
      <c r="F305" s="540"/>
      <c r="G305" s="530"/>
      <c r="H305" s="509"/>
      <c r="I305" s="540"/>
      <c r="J305" s="530"/>
      <c r="K305" s="509"/>
      <c r="L305" s="540"/>
      <c r="M305" s="530"/>
      <c r="N305" s="548">
        <v>-8.9074855487513548E-3</v>
      </c>
      <c r="O305" s="530"/>
      <c r="P305" s="509"/>
      <c r="Q305" s="540"/>
      <c r="R305" s="530"/>
      <c r="S305" s="548">
        <v>0.27253832996670851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522" t="s">
        <v>103</v>
      </c>
      <c r="B306" s="509" t="s">
        <v>103</v>
      </c>
      <c r="C306" s="523"/>
      <c r="D306" s="606"/>
      <c r="E306" s="606"/>
      <c r="F306" s="708"/>
      <c r="G306" s="523"/>
      <c r="H306" s="606"/>
      <c r="I306" s="708"/>
      <c r="J306" s="523"/>
      <c r="K306" s="606"/>
      <c r="L306" s="708"/>
      <c r="M306" s="523"/>
      <c r="N306" s="667"/>
      <c r="O306" s="523"/>
      <c r="P306" s="606"/>
      <c r="Q306" s="708"/>
      <c r="R306" s="523"/>
      <c r="S306" s="667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522" t="s">
        <v>412</v>
      </c>
      <c r="B307" s="509" t="s">
        <v>103</v>
      </c>
      <c r="C307" s="530" t="s">
        <v>114</v>
      </c>
      <c r="D307" s="572">
        <v>138089.04</v>
      </c>
      <c r="E307" s="647">
        <v>0.17100000000000001</v>
      </c>
      <c r="F307" s="605">
        <v>23613.225840000003</v>
      </c>
      <c r="G307" s="572"/>
      <c r="H307" s="647"/>
      <c r="I307" s="605"/>
      <c r="J307" s="531">
        <v>144545.14000000001</v>
      </c>
      <c r="K307" s="647">
        <v>0.18635908478140473</v>
      </c>
      <c r="L307" s="605">
        <v>26937.300000000017</v>
      </c>
      <c r="M307" s="576">
        <v>4.6753167376643402E-2</v>
      </c>
      <c r="N307" s="556">
        <v>3324.0741600000147</v>
      </c>
      <c r="O307" s="531">
        <v>125231.29</v>
      </c>
      <c r="P307" s="647">
        <v>0.1686120138185912</v>
      </c>
      <c r="Q307" s="605">
        <v>21115.5</v>
      </c>
      <c r="R307" s="576">
        <v>0.15422543359570937</v>
      </c>
      <c r="S307" s="556">
        <v>5821.8000000000175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522" t="s">
        <v>413</v>
      </c>
      <c r="B308" s="509" t="s">
        <v>103</v>
      </c>
      <c r="C308" s="523" t="s">
        <v>115</v>
      </c>
      <c r="D308" s="572">
        <v>18945.283703949553</v>
      </c>
      <c r="E308" s="647">
        <v>0.25600000000000001</v>
      </c>
      <c r="F308" s="581">
        <v>4849.9926282110855</v>
      </c>
      <c r="G308" s="572"/>
      <c r="H308" s="647"/>
      <c r="I308" s="581"/>
      <c r="J308" s="531">
        <v>37460.559999999998</v>
      </c>
      <c r="K308" s="647">
        <v>0.28788437759606367</v>
      </c>
      <c r="L308" s="581">
        <v>10784.309999999998</v>
      </c>
      <c r="M308" s="576">
        <v>0.97730266726966641</v>
      </c>
      <c r="N308" s="556">
        <v>5934.3173717889122</v>
      </c>
      <c r="O308" s="531">
        <v>42571.25</v>
      </c>
      <c r="P308" s="647">
        <v>0.26211375047713892</v>
      </c>
      <c r="Q308" s="581">
        <v>11158.5099999999</v>
      </c>
      <c r="R308" s="576">
        <v>-0.12005026866723439</v>
      </c>
      <c r="S308" s="556">
        <v>-374.1999999999025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522" t="s">
        <v>414</v>
      </c>
      <c r="B309" s="509" t="s">
        <v>103</v>
      </c>
      <c r="C309" s="549" t="s">
        <v>116</v>
      </c>
      <c r="D309" s="687">
        <v>697363.56712394953</v>
      </c>
      <c r="E309" s="706">
        <v>0.26089442266058605</v>
      </c>
      <c r="F309" s="689">
        <v>181938.26522932967</v>
      </c>
      <c r="G309" s="690"/>
      <c r="H309" s="706"/>
      <c r="I309" s="689"/>
      <c r="J309" s="690">
        <v>701952.35000000009</v>
      </c>
      <c r="K309" s="706">
        <v>0.27043086329150401</v>
      </c>
      <c r="L309" s="689">
        <v>189829.58</v>
      </c>
      <c r="M309" s="707">
        <v>6.5801872830488061E-3</v>
      </c>
      <c r="N309" s="689">
        <v>7891.3147706703166</v>
      </c>
      <c r="O309" s="690">
        <v>622656.95000000007</v>
      </c>
      <c r="P309" s="706">
        <v>0.24380224134653883</v>
      </c>
      <c r="Q309" s="689">
        <v>151805.15999999977</v>
      </c>
      <c r="R309" s="707">
        <v>0.12735006009328254</v>
      </c>
      <c r="S309" s="689">
        <v>38024.420000000217</v>
      </c>
      <c r="T309" s="509"/>
      <c r="U309" s="572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522" t="s">
        <v>103</v>
      </c>
      <c r="B310" s="509" t="s">
        <v>103</v>
      </c>
      <c r="C310" s="530"/>
      <c r="D310" s="509"/>
      <c r="E310" s="509"/>
      <c r="F310" s="540"/>
      <c r="G310" s="530"/>
      <c r="H310" s="509"/>
      <c r="I310" s="540"/>
      <c r="J310" s="530"/>
      <c r="K310" s="509"/>
      <c r="L310" s="540"/>
      <c r="M310" s="530"/>
      <c r="N310" s="548">
        <v>4.337358477461279E-2</v>
      </c>
      <c r="O310" s="530"/>
      <c r="P310" s="509"/>
      <c r="Q310" s="540"/>
      <c r="R310" s="530"/>
      <c r="S310" s="548">
        <v>0.2504817359304537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522" t="s">
        <v>103</v>
      </c>
      <c r="B311" s="509" t="s">
        <v>103</v>
      </c>
      <c r="C311" s="530"/>
      <c r="D311" s="509"/>
      <c r="E311" s="509"/>
      <c r="F311" s="540"/>
      <c r="G311" s="530"/>
      <c r="H311" s="509"/>
      <c r="I311" s="540"/>
      <c r="J311" s="530"/>
      <c r="K311" s="509"/>
      <c r="L311" s="540"/>
      <c r="M311" s="530"/>
      <c r="N311" s="548"/>
      <c r="O311" s="530"/>
      <c r="P311" s="509"/>
      <c r="Q311" s="540"/>
      <c r="R311" s="530"/>
      <c r="S311" s="548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522" t="s">
        <v>415</v>
      </c>
      <c r="B312" s="509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2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09"/>
      <c r="U312" s="572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522" t="s">
        <v>103</v>
      </c>
      <c r="B313" s="509" t="s">
        <v>103</v>
      </c>
      <c r="C313" s="530"/>
      <c r="D313" s="572"/>
      <c r="E313" s="647"/>
      <c r="F313" s="556"/>
      <c r="G313" s="557"/>
      <c r="H313" s="647"/>
      <c r="I313" s="556"/>
      <c r="J313" s="557"/>
      <c r="K313" s="647"/>
      <c r="L313" s="556"/>
      <c r="M313" s="576"/>
      <c r="N313" s="556"/>
      <c r="O313" s="557"/>
      <c r="P313" s="647"/>
      <c r="Q313" s="556"/>
      <c r="R313" s="576"/>
      <c r="S313" s="556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522" t="s">
        <v>416</v>
      </c>
      <c r="B314" s="509" t="s">
        <v>103</v>
      </c>
      <c r="C314" s="558" t="s">
        <v>118</v>
      </c>
      <c r="D314" s="559">
        <v>697363.56712394953</v>
      </c>
      <c r="E314" s="710">
        <v>0.26089442266058605</v>
      </c>
      <c r="F314" s="561">
        <v>181938.26522932967</v>
      </c>
      <c r="G314" s="562"/>
      <c r="H314" s="710"/>
      <c r="I314" s="561"/>
      <c r="J314" s="562">
        <v>701952.35000000009</v>
      </c>
      <c r="K314" s="710">
        <v>0.27043086329150401</v>
      </c>
      <c r="L314" s="561">
        <v>189829.58</v>
      </c>
      <c r="M314" s="711">
        <v>6.5801872830488061E-3</v>
      </c>
      <c r="N314" s="712">
        <v>7891.3147706703166</v>
      </c>
      <c r="O314" s="562">
        <v>622656.95000000007</v>
      </c>
      <c r="P314" s="710">
        <v>0.24380224134653883</v>
      </c>
      <c r="Q314" s="561">
        <v>151805.15999999977</v>
      </c>
      <c r="R314" s="711">
        <v>0.12735006009328254</v>
      </c>
      <c r="S314" s="712">
        <v>38024.420000000217</v>
      </c>
      <c r="T314" s="509"/>
      <c r="U314" s="656"/>
      <c r="V314" s="572"/>
      <c r="W314" s="572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522" t="s">
        <v>103</v>
      </c>
      <c r="B315" s="509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1.0433735847746128</v>
      </c>
      <c r="M315" s="717"/>
      <c r="N315" s="569">
        <v>4.337358477461279E-2</v>
      </c>
      <c r="O315" s="715"/>
      <c r="P315" s="714"/>
      <c r="Q315" s="626"/>
      <c r="R315" s="717"/>
      <c r="S315" s="569">
        <v>0.2504817359304537</v>
      </c>
      <c r="T315" s="509"/>
      <c r="U315" s="506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522" t="s">
        <v>103</v>
      </c>
      <c r="B316" s="509" t="s">
        <v>103</v>
      </c>
      <c r="C316" s="549"/>
      <c r="D316" s="607"/>
      <c r="E316" s="669"/>
      <c r="F316" s="671"/>
      <c r="G316" s="670"/>
      <c r="H316" s="669"/>
      <c r="I316" s="671"/>
      <c r="J316" s="670"/>
      <c r="K316" s="669"/>
      <c r="L316" s="671"/>
      <c r="M316" s="530"/>
      <c r="N316" s="548"/>
      <c r="O316" s="670"/>
      <c r="P316" s="669"/>
      <c r="Q316" s="671"/>
      <c r="R316" s="530"/>
      <c r="S316" s="548"/>
      <c r="T316" s="509"/>
      <c r="U316" s="506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522" t="s">
        <v>417</v>
      </c>
      <c r="B317" s="509" t="s">
        <v>103</v>
      </c>
      <c r="C317" s="573" t="s">
        <v>30</v>
      </c>
      <c r="D317" s="509"/>
      <c r="E317" s="509"/>
      <c r="F317" s="556"/>
      <c r="G317" s="530"/>
      <c r="H317" s="509"/>
      <c r="I317" s="556"/>
      <c r="J317" s="530"/>
      <c r="K317" s="509"/>
      <c r="L317" s="540"/>
      <c r="M317" s="530"/>
      <c r="N317" s="540"/>
      <c r="O317" s="530"/>
      <c r="P317" s="509"/>
      <c r="Q317" s="540"/>
      <c r="R317" s="530"/>
      <c r="S317" s="540"/>
      <c r="T317" s="509"/>
      <c r="U317" s="506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522" t="s">
        <v>418</v>
      </c>
      <c r="B318" s="509" t="s">
        <v>103</v>
      </c>
      <c r="C318" s="599" t="s">
        <v>41</v>
      </c>
      <c r="D318" s="509"/>
      <c r="E318" s="509"/>
      <c r="F318" s="531">
        <v>6935.8538461538465</v>
      </c>
      <c r="G318" s="530"/>
      <c r="H318" s="509"/>
      <c r="I318" s="531"/>
      <c r="J318" s="530"/>
      <c r="K318" s="509"/>
      <c r="L318" s="533">
        <v>7300.68</v>
      </c>
      <c r="M318" s="530"/>
      <c r="N318" s="533">
        <v>364.82615384615383</v>
      </c>
      <c r="O318" s="530"/>
      <c r="P318" s="509"/>
      <c r="Q318" s="533">
        <v>8668.85</v>
      </c>
      <c r="R318" s="530"/>
      <c r="S318" s="533">
        <v>-1368.17</v>
      </c>
      <c r="T318" s="509"/>
      <c r="U318" s="506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522" t="s">
        <v>419</v>
      </c>
      <c r="B319" s="509" t="s">
        <v>103</v>
      </c>
      <c r="C319" s="601" t="s">
        <v>42</v>
      </c>
      <c r="D319" s="583"/>
      <c r="E319" s="509"/>
      <c r="F319" s="525">
        <v>26364.924123076926</v>
      </c>
      <c r="G319" s="584"/>
      <c r="H319" s="509"/>
      <c r="I319" s="525"/>
      <c r="J319" s="530"/>
      <c r="K319" s="509"/>
      <c r="L319" s="533">
        <v>22449.58</v>
      </c>
      <c r="M319" s="530"/>
      <c r="N319" s="533">
        <v>-3915.344123076924</v>
      </c>
      <c r="O319" s="530"/>
      <c r="P319" s="509"/>
      <c r="Q319" s="533">
        <v>33164.269999999997</v>
      </c>
      <c r="R319" s="530"/>
      <c r="S319" s="556">
        <v>-10714.689999999995</v>
      </c>
      <c r="T319" s="509"/>
      <c r="U319" s="506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522" t="s">
        <v>420</v>
      </c>
      <c r="B320" s="509" t="s">
        <v>103</v>
      </c>
      <c r="C320" s="599" t="s">
        <v>43</v>
      </c>
      <c r="D320" s="602"/>
      <c r="E320" s="603"/>
      <c r="F320" s="531">
        <v>140.24615384615385</v>
      </c>
      <c r="G320" s="604"/>
      <c r="H320" s="603"/>
      <c r="I320" s="531"/>
      <c r="J320" s="517"/>
      <c r="K320" s="603"/>
      <c r="L320" s="552">
        <v>113.92</v>
      </c>
      <c r="M320" s="517"/>
      <c r="N320" s="552">
        <v>-26.326153846153844</v>
      </c>
      <c r="O320" s="517"/>
      <c r="P320" s="603"/>
      <c r="Q320" s="552">
        <v>113.92</v>
      </c>
      <c r="R320" s="517"/>
      <c r="S320" s="605">
        <v>0</v>
      </c>
      <c r="T320" s="509"/>
      <c r="U320" s="718"/>
      <c r="V320" s="719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522" t="s">
        <v>421</v>
      </c>
      <c r="B321" s="509" t="s">
        <v>103</v>
      </c>
      <c r="C321" s="599" t="s">
        <v>44</v>
      </c>
      <c r="D321" s="583"/>
      <c r="E321" s="509"/>
      <c r="F321" s="531">
        <v>0</v>
      </c>
      <c r="G321" s="584"/>
      <c r="H321" s="509"/>
      <c r="I321" s="531"/>
      <c r="J321" s="530"/>
      <c r="K321" s="509"/>
      <c r="L321" s="533">
        <v>0</v>
      </c>
      <c r="M321" s="530"/>
      <c r="N321" s="533">
        <v>0</v>
      </c>
      <c r="O321" s="530"/>
      <c r="P321" s="509"/>
      <c r="Q321" s="533">
        <v>0</v>
      </c>
      <c r="R321" s="530"/>
      <c r="S321" s="556">
        <v>0</v>
      </c>
      <c r="T321" s="509"/>
      <c r="U321" s="506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522" t="s">
        <v>408</v>
      </c>
      <c r="B322" s="509" t="s">
        <v>103</v>
      </c>
      <c r="C322" s="530" t="s">
        <v>20</v>
      </c>
      <c r="D322" s="583"/>
      <c r="E322" s="509"/>
      <c r="F322" s="531">
        <v>0</v>
      </c>
      <c r="G322" s="584"/>
      <c r="H322" s="509"/>
      <c r="I322" s="531"/>
      <c r="J322" s="530"/>
      <c r="K322" s="509"/>
      <c r="L322" s="533">
        <v>0</v>
      </c>
      <c r="M322" s="530"/>
      <c r="N322" s="533">
        <v>0</v>
      </c>
      <c r="O322" s="530"/>
      <c r="P322" s="509"/>
      <c r="Q322" s="533">
        <v>0</v>
      </c>
      <c r="R322" s="530"/>
      <c r="S322" s="556">
        <v>0</v>
      </c>
      <c r="T322" s="509"/>
      <c r="U322" s="506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522" t="s">
        <v>408</v>
      </c>
      <c r="B323" s="509" t="s">
        <v>103</v>
      </c>
      <c r="C323" s="530" t="s">
        <v>20</v>
      </c>
      <c r="D323" s="583"/>
      <c r="E323" s="509"/>
      <c r="F323" s="531">
        <v>0</v>
      </c>
      <c r="G323" s="584"/>
      <c r="H323" s="509"/>
      <c r="I323" s="531"/>
      <c r="J323" s="530"/>
      <c r="K323" s="509"/>
      <c r="L323" s="533">
        <v>0</v>
      </c>
      <c r="M323" s="530"/>
      <c r="N323" s="533">
        <v>0</v>
      </c>
      <c r="O323" s="530"/>
      <c r="P323" s="509"/>
      <c r="Q323" s="533">
        <v>0</v>
      </c>
      <c r="R323" s="530"/>
      <c r="S323" s="556">
        <v>0</v>
      </c>
      <c r="T323" s="509"/>
      <c r="U323" s="506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522" t="s">
        <v>408</v>
      </c>
      <c r="B324" s="509" t="s">
        <v>103</v>
      </c>
      <c r="C324" s="530" t="s">
        <v>20</v>
      </c>
      <c r="D324" s="583"/>
      <c r="E324" s="509"/>
      <c r="F324" s="531">
        <v>0</v>
      </c>
      <c r="G324" s="584"/>
      <c r="H324" s="509"/>
      <c r="I324" s="531"/>
      <c r="J324" s="530"/>
      <c r="K324" s="509"/>
      <c r="L324" s="533">
        <v>0</v>
      </c>
      <c r="M324" s="530"/>
      <c r="N324" s="533">
        <v>0</v>
      </c>
      <c r="O324" s="530"/>
      <c r="P324" s="509"/>
      <c r="Q324" s="533">
        <v>0</v>
      </c>
      <c r="R324" s="530"/>
      <c r="S324" s="556">
        <v>0</v>
      </c>
      <c r="T324" s="509"/>
      <c r="U324" s="506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522" t="s">
        <v>422</v>
      </c>
      <c r="B325" s="509" t="s">
        <v>103</v>
      </c>
      <c r="C325" s="601" t="s">
        <v>45</v>
      </c>
      <c r="D325" s="583"/>
      <c r="E325" s="509"/>
      <c r="F325" s="525">
        <v>4125.0641995076921</v>
      </c>
      <c r="G325" s="584"/>
      <c r="H325" s="509"/>
      <c r="I325" s="525"/>
      <c r="J325" s="530"/>
      <c r="K325" s="509"/>
      <c r="L325" s="533">
        <v>3229.19</v>
      </c>
      <c r="M325" s="530"/>
      <c r="N325" s="533">
        <v>-895.87419950769208</v>
      </c>
      <c r="O325" s="530"/>
      <c r="P325" s="509"/>
      <c r="Q325" s="533">
        <v>2955.12</v>
      </c>
      <c r="R325" s="530"/>
      <c r="S325" s="556">
        <v>274.07000000000016</v>
      </c>
      <c r="T325" s="509"/>
      <c r="U325" s="506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522" t="s">
        <v>423</v>
      </c>
      <c r="B326" s="509" t="s">
        <v>103</v>
      </c>
      <c r="C326" s="599" t="s">
        <v>46</v>
      </c>
      <c r="D326" s="602"/>
      <c r="E326" s="603"/>
      <c r="F326" s="531">
        <v>5015.4965597538467</v>
      </c>
      <c r="G326" s="604"/>
      <c r="H326" s="603"/>
      <c r="I326" s="531"/>
      <c r="J326" s="517"/>
      <c r="K326" s="603"/>
      <c r="L326" s="552">
        <v>5788.36</v>
      </c>
      <c r="M326" s="517"/>
      <c r="N326" s="552">
        <v>772.863440246153</v>
      </c>
      <c r="O326" s="517"/>
      <c r="P326" s="603"/>
      <c r="Q326" s="552">
        <v>6903.0199999999904</v>
      </c>
      <c r="R326" s="517"/>
      <c r="S326" s="605">
        <v>-1114.6599999999908</v>
      </c>
      <c r="T326" s="509"/>
      <c r="U326" s="506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522" t="s">
        <v>424</v>
      </c>
      <c r="B327" s="509" t="s">
        <v>103</v>
      </c>
      <c r="C327" s="599" t="s">
        <v>47</v>
      </c>
      <c r="D327" s="583"/>
      <c r="E327" s="509"/>
      <c r="F327" s="531">
        <v>2584.0710536123074</v>
      </c>
      <c r="G327" s="584"/>
      <c r="H327" s="509"/>
      <c r="I327" s="531"/>
      <c r="J327" s="530"/>
      <c r="K327" s="509"/>
      <c r="L327" s="533">
        <v>1424.57</v>
      </c>
      <c r="M327" s="530"/>
      <c r="N327" s="533">
        <v>-1159.5010536123075</v>
      </c>
      <c r="O327" s="530"/>
      <c r="P327" s="509"/>
      <c r="Q327" s="533">
        <v>-3783.47</v>
      </c>
      <c r="R327" s="530"/>
      <c r="S327" s="556">
        <v>5208.04</v>
      </c>
      <c r="T327" s="509"/>
      <c r="U327" s="506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522" t="s">
        <v>425</v>
      </c>
      <c r="B328" s="509" t="s">
        <v>103</v>
      </c>
      <c r="C328" s="599" t="s">
        <v>48</v>
      </c>
      <c r="D328" s="583"/>
      <c r="E328" s="509"/>
      <c r="F328" s="531">
        <v>1126.6695170461537</v>
      </c>
      <c r="G328" s="584"/>
      <c r="H328" s="509"/>
      <c r="I328" s="531"/>
      <c r="J328" s="530"/>
      <c r="K328" s="509"/>
      <c r="L328" s="533">
        <v>620.52</v>
      </c>
      <c r="M328" s="530"/>
      <c r="N328" s="533">
        <v>-506.14951704615373</v>
      </c>
      <c r="O328" s="530"/>
      <c r="P328" s="509"/>
      <c r="Q328" s="533">
        <v>891.5</v>
      </c>
      <c r="R328" s="530"/>
      <c r="S328" s="556">
        <v>-270.98</v>
      </c>
      <c r="T328" s="509"/>
      <c r="U328" s="506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522" t="s">
        <v>408</v>
      </c>
      <c r="B329" s="509" t="s">
        <v>103</v>
      </c>
      <c r="C329" s="530" t="s">
        <v>20</v>
      </c>
      <c r="D329" s="586"/>
      <c r="E329" s="606"/>
      <c r="F329" s="531">
        <v>0</v>
      </c>
      <c r="G329" s="587"/>
      <c r="H329" s="606"/>
      <c r="I329" s="531"/>
      <c r="J329" s="523"/>
      <c r="K329" s="606"/>
      <c r="L329" s="533">
        <v>0</v>
      </c>
      <c r="M329" s="523"/>
      <c r="N329" s="581">
        <v>0</v>
      </c>
      <c r="O329" s="523"/>
      <c r="P329" s="606"/>
      <c r="Q329" s="533">
        <v>0</v>
      </c>
      <c r="R329" s="523"/>
      <c r="S329" s="581">
        <v>0</v>
      </c>
      <c r="T329" s="509"/>
      <c r="U329" s="506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522" t="s">
        <v>426</v>
      </c>
      <c r="B330" s="509" t="s">
        <v>103</v>
      </c>
      <c r="C330" s="591" t="s">
        <v>49</v>
      </c>
      <c r="D330" s="592" t="s">
        <v>39</v>
      </c>
      <c r="E330" s="593">
        <v>0.25443974303397004</v>
      </c>
      <c r="F330" s="594">
        <v>46292.325452996927</v>
      </c>
      <c r="G330" s="595"/>
      <c r="H330" s="593"/>
      <c r="I330" s="594"/>
      <c r="J330" s="595" t="s">
        <v>39</v>
      </c>
      <c r="K330" s="593">
        <v>0.21559769557515748</v>
      </c>
      <c r="L330" s="594">
        <v>40926.82</v>
      </c>
      <c r="M330" s="649"/>
      <c r="N330" s="608">
        <v>-5365.5054529969275</v>
      </c>
      <c r="O330" s="595" t="s">
        <v>39</v>
      </c>
      <c r="P330" s="593">
        <v>0.32221045714124646</v>
      </c>
      <c r="Q330" s="594">
        <v>48913.209999999985</v>
      </c>
      <c r="R330" s="649"/>
      <c r="S330" s="608">
        <v>-7986.3899999999849</v>
      </c>
      <c r="T330" s="509"/>
      <c r="U330" s="506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522" t="s">
        <v>427</v>
      </c>
      <c r="B331" s="509" t="s">
        <v>103</v>
      </c>
      <c r="C331" s="705" t="s">
        <v>50</v>
      </c>
      <c r="D331" s="583"/>
      <c r="E331" s="509"/>
      <c r="F331" s="531">
        <v>9787.2583975729049</v>
      </c>
      <c r="G331" s="584"/>
      <c r="H331" s="509"/>
      <c r="I331" s="531"/>
      <c r="J331" s="530"/>
      <c r="K331" s="509"/>
      <c r="L331" s="533">
        <v>8642.44</v>
      </c>
      <c r="M331" s="530"/>
      <c r="N331" s="556">
        <v>-1144.8183975729044</v>
      </c>
      <c r="O331" s="530"/>
      <c r="P331" s="509"/>
      <c r="Q331" s="533">
        <v>3939.83</v>
      </c>
      <c r="R331" s="530"/>
      <c r="S331" s="556">
        <v>4702.6100000000006</v>
      </c>
      <c r="T331" s="509"/>
      <c r="U331" s="506"/>
      <c r="V331" s="509"/>
      <c r="W331" s="572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522" t="s">
        <v>428</v>
      </c>
      <c r="B332" s="509" t="s">
        <v>103</v>
      </c>
      <c r="C332" s="599" t="s">
        <v>51</v>
      </c>
      <c r="D332" s="583"/>
      <c r="E332" s="509"/>
      <c r="F332" s="531">
        <v>561.52577820142733</v>
      </c>
      <c r="G332" s="584"/>
      <c r="H332" s="509"/>
      <c r="I332" s="531"/>
      <c r="J332" s="530"/>
      <c r="K332" s="509"/>
      <c r="L332" s="533">
        <v>571.02</v>
      </c>
      <c r="M332" s="530"/>
      <c r="N332" s="556">
        <v>9.4942217985726529</v>
      </c>
      <c r="O332" s="530"/>
      <c r="P332" s="509"/>
      <c r="Q332" s="533">
        <v>666.15</v>
      </c>
      <c r="R332" s="530"/>
      <c r="S332" s="556">
        <v>-95.13</v>
      </c>
      <c r="T332" s="509"/>
      <c r="U332" s="506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522" t="s">
        <v>429</v>
      </c>
      <c r="B333" s="509" t="s">
        <v>103</v>
      </c>
      <c r="C333" s="601" t="s">
        <v>52</v>
      </c>
      <c r="D333" s="586"/>
      <c r="E333" s="606"/>
      <c r="F333" s="525">
        <v>1264.3204888888893</v>
      </c>
      <c r="G333" s="587"/>
      <c r="H333" s="606"/>
      <c r="I333" s="525"/>
      <c r="J333" s="523"/>
      <c r="K333" s="606"/>
      <c r="L333" s="533">
        <v>1142.53</v>
      </c>
      <c r="M333" s="523"/>
      <c r="N333" s="581">
        <v>-121.79048888888929</v>
      </c>
      <c r="O333" s="523"/>
      <c r="P333" s="606"/>
      <c r="Q333" s="533">
        <v>1351.28</v>
      </c>
      <c r="R333" s="523"/>
      <c r="S333" s="581">
        <v>-208.75</v>
      </c>
      <c r="T333" s="509"/>
      <c r="U333" s="506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522" t="s">
        <v>430</v>
      </c>
      <c r="B334" s="509" t="s">
        <v>103</v>
      </c>
      <c r="C334" s="599" t="s">
        <v>53</v>
      </c>
      <c r="D334" s="583"/>
      <c r="E334" s="509"/>
      <c r="F334" s="531">
        <v>4449.6567389444454</v>
      </c>
      <c r="G334" s="584"/>
      <c r="H334" s="509"/>
      <c r="I334" s="531"/>
      <c r="J334" s="530"/>
      <c r="K334" s="509"/>
      <c r="L334" s="552">
        <v>5547.26</v>
      </c>
      <c r="M334" s="530"/>
      <c r="N334" s="556">
        <v>1097.6032610555549</v>
      </c>
      <c r="O334" s="530"/>
      <c r="P334" s="509"/>
      <c r="Q334" s="552">
        <v>4553.7700000000004</v>
      </c>
      <c r="R334" s="530"/>
      <c r="S334" s="556">
        <v>993.48999999999978</v>
      </c>
      <c r="T334" s="509"/>
      <c r="U334" s="506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522" t="s">
        <v>431</v>
      </c>
      <c r="B335" s="509" t="s">
        <v>103</v>
      </c>
      <c r="C335" s="599" t="s">
        <v>54</v>
      </c>
      <c r="D335" s="583"/>
      <c r="E335" s="509"/>
      <c r="F335" s="531">
        <v>818.27646887680896</v>
      </c>
      <c r="G335" s="584"/>
      <c r="H335" s="509"/>
      <c r="I335" s="531"/>
      <c r="J335" s="530"/>
      <c r="K335" s="509"/>
      <c r="L335" s="533">
        <v>1303.1600000000001</v>
      </c>
      <c r="M335" s="530"/>
      <c r="N335" s="556">
        <v>484.88353112319112</v>
      </c>
      <c r="O335" s="530"/>
      <c r="P335" s="509"/>
      <c r="Q335" s="533">
        <v>1461.86</v>
      </c>
      <c r="R335" s="530"/>
      <c r="S335" s="556">
        <v>-158.69999999999982</v>
      </c>
      <c r="T335" s="509"/>
      <c r="U335" s="506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522" t="s">
        <v>432</v>
      </c>
      <c r="B336" s="509" t="s">
        <v>103</v>
      </c>
      <c r="C336" s="601" t="s">
        <v>55</v>
      </c>
      <c r="D336" s="586"/>
      <c r="E336" s="606"/>
      <c r="F336" s="525">
        <v>12488.085877265243</v>
      </c>
      <c r="G336" s="587"/>
      <c r="H336" s="606"/>
      <c r="I336" s="525"/>
      <c r="J336" s="523"/>
      <c r="K336" s="606"/>
      <c r="L336" s="525">
        <v>15196.04</v>
      </c>
      <c r="M336" s="523"/>
      <c r="N336" s="581">
        <v>2707.9541227347581</v>
      </c>
      <c r="O336" s="523"/>
      <c r="P336" s="606"/>
      <c r="Q336" s="525">
        <v>11143.02</v>
      </c>
      <c r="R336" s="523"/>
      <c r="S336" s="581">
        <v>4053.0200000000004</v>
      </c>
      <c r="T336" s="509"/>
      <c r="U336" s="506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522" t="s">
        <v>433</v>
      </c>
      <c r="B337" s="509" t="s">
        <v>103</v>
      </c>
      <c r="C337" s="599" t="s">
        <v>98</v>
      </c>
      <c r="D337" s="583"/>
      <c r="E337" s="509"/>
      <c r="F337" s="531"/>
      <c r="G337" s="584"/>
      <c r="H337" s="509"/>
      <c r="I337" s="531"/>
      <c r="J337" s="530"/>
      <c r="K337" s="509"/>
      <c r="L337" s="533">
        <v>0</v>
      </c>
      <c r="M337" s="530"/>
      <c r="N337" s="556">
        <v>0</v>
      </c>
      <c r="O337" s="530"/>
      <c r="P337" s="509"/>
      <c r="Q337" s="533">
        <v>0</v>
      </c>
      <c r="R337" s="530"/>
      <c r="S337" s="556">
        <v>0</v>
      </c>
      <c r="T337" s="509"/>
      <c r="U337" s="506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522" t="s">
        <v>434</v>
      </c>
      <c r="B338" s="509" t="s">
        <v>103</v>
      </c>
      <c r="C338" s="599" t="s">
        <v>56</v>
      </c>
      <c r="D338" s="583"/>
      <c r="E338" s="509"/>
      <c r="F338" s="531">
        <v>255.67533333333333</v>
      </c>
      <c r="G338" s="584"/>
      <c r="H338" s="509"/>
      <c r="I338" s="531"/>
      <c r="J338" s="530"/>
      <c r="K338" s="509"/>
      <c r="L338" s="533">
        <v>364.74</v>
      </c>
      <c r="M338" s="530"/>
      <c r="N338" s="556">
        <v>109.06466666666668</v>
      </c>
      <c r="O338" s="530"/>
      <c r="P338" s="509"/>
      <c r="Q338" s="533">
        <v>129.94999999999999</v>
      </c>
      <c r="R338" s="530"/>
      <c r="S338" s="556">
        <v>234.79000000000002</v>
      </c>
      <c r="T338" s="509"/>
      <c r="U338" s="506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522" t="s">
        <v>435</v>
      </c>
      <c r="B339" s="509" t="s">
        <v>103</v>
      </c>
      <c r="C339" s="599" t="s">
        <v>57</v>
      </c>
      <c r="D339" s="583"/>
      <c r="E339" s="509"/>
      <c r="F339" s="531">
        <v>28.333333333333332</v>
      </c>
      <c r="G339" s="584"/>
      <c r="H339" s="509"/>
      <c r="I339" s="531"/>
      <c r="J339" s="530"/>
      <c r="K339" s="509"/>
      <c r="L339" s="533">
        <v>0</v>
      </c>
      <c r="M339" s="530"/>
      <c r="N339" s="556">
        <v>-28.333333333333332</v>
      </c>
      <c r="O339" s="530"/>
      <c r="P339" s="509"/>
      <c r="Q339" s="533">
        <v>240</v>
      </c>
      <c r="R339" s="530"/>
      <c r="S339" s="556">
        <v>-240</v>
      </c>
      <c r="T339" s="509"/>
      <c r="U339" s="506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522" t="s">
        <v>436</v>
      </c>
      <c r="B340" s="509" t="s">
        <v>103</v>
      </c>
      <c r="C340" s="599" t="s">
        <v>58</v>
      </c>
      <c r="D340" s="583"/>
      <c r="E340" s="509"/>
      <c r="F340" s="531">
        <v>716.40904661649995</v>
      </c>
      <c r="G340" s="584"/>
      <c r="H340" s="509"/>
      <c r="I340" s="531"/>
      <c r="J340" s="530"/>
      <c r="K340" s="509"/>
      <c r="L340" s="533">
        <v>1481.6</v>
      </c>
      <c r="M340" s="530"/>
      <c r="N340" s="556">
        <v>765.19095338349996</v>
      </c>
      <c r="O340" s="530"/>
      <c r="P340" s="509"/>
      <c r="Q340" s="533">
        <v>986.2</v>
      </c>
      <c r="R340" s="530"/>
      <c r="S340" s="556">
        <v>495.39999999999986</v>
      </c>
      <c r="T340" s="509"/>
      <c r="U340" s="506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522" t="s">
        <v>437</v>
      </c>
      <c r="B341" s="509" t="s">
        <v>103</v>
      </c>
      <c r="C341" s="599" t="s">
        <v>59</v>
      </c>
      <c r="D341" s="583"/>
      <c r="E341" s="509"/>
      <c r="F341" s="531">
        <v>115.54074359217363</v>
      </c>
      <c r="G341" s="584"/>
      <c r="H341" s="509"/>
      <c r="I341" s="531"/>
      <c r="J341" s="530"/>
      <c r="K341" s="509"/>
      <c r="L341" s="533">
        <v>117.83</v>
      </c>
      <c r="M341" s="530"/>
      <c r="N341" s="556">
        <v>2.2892564078263717</v>
      </c>
      <c r="O341" s="530"/>
      <c r="P341" s="509"/>
      <c r="Q341" s="533">
        <v>95.55</v>
      </c>
      <c r="R341" s="530"/>
      <c r="S341" s="556">
        <v>22.28</v>
      </c>
      <c r="T341" s="509"/>
      <c r="U341" s="506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522" t="s">
        <v>438</v>
      </c>
      <c r="B342" s="509" t="s">
        <v>103</v>
      </c>
      <c r="C342" s="599" t="s">
        <v>60</v>
      </c>
      <c r="D342" s="583"/>
      <c r="E342" s="509"/>
      <c r="F342" s="531">
        <v>-31.110347462173621</v>
      </c>
      <c r="G342" s="584"/>
      <c r="H342" s="509"/>
      <c r="I342" s="531"/>
      <c r="J342" s="530"/>
      <c r="K342" s="509"/>
      <c r="L342" s="533">
        <v>-564.29999999999995</v>
      </c>
      <c r="M342" s="530"/>
      <c r="N342" s="556">
        <v>-533.1896525378263</v>
      </c>
      <c r="O342" s="530"/>
      <c r="P342" s="509"/>
      <c r="Q342" s="533">
        <v>-148.9</v>
      </c>
      <c r="R342" s="530"/>
      <c r="S342" s="556">
        <v>-415.4</v>
      </c>
      <c r="T342" s="509"/>
      <c r="U342" s="506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522" t="s">
        <v>439</v>
      </c>
      <c r="B343" s="509" t="s">
        <v>103</v>
      </c>
      <c r="C343" s="599" t="s">
        <v>61</v>
      </c>
      <c r="D343" s="583"/>
      <c r="E343" s="509"/>
      <c r="F343" s="531">
        <v>156.51117666245145</v>
      </c>
      <c r="G343" s="584"/>
      <c r="H343" s="509"/>
      <c r="I343" s="531"/>
      <c r="J343" s="530"/>
      <c r="K343" s="509"/>
      <c r="L343" s="533">
        <v>320.62</v>
      </c>
      <c r="M343" s="530"/>
      <c r="N343" s="556">
        <v>164.10882333754856</v>
      </c>
      <c r="O343" s="530"/>
      <c r="P343" s="509"/>
      <c r="Q343" s="533">
        <v>349.07</v>
      </c>
      <c r="R343" s="530"/>
      <c r="S343" s="556">
        <v>-28.449999999999989</v>
      </c>
      <c r="T343" s="509"/>
      <c r="U343" s="506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522" t="s">
        <v>440</v>
      </c>
      <c r="B344" s="509" t="s">
        <v>103</v>
      </c>
      <c r="C344" s="599" t="s">
        <v>62</v>
      </c>
      <c r="D344" s="583"/>
      <c r="E344" s="509"/>
      <c r="F344" s="531">
        <v>378.95432121431327</v>
      </c>
      <c r="G344" s="584"/>
      <c r="H344" s="509"/>
      <c r="I344" s="531"/>
      <c r="J344" s="530"/>
      <c r="K344" s="509"/>
      <c r="L344" s="533">
        <v>448.25</v>
      </c>
      <c r="M344" s="530"/>
      <c r="N344" s="556">
        <v>69.295678785686732</v>
      </c>
      <c r="O344" s="530"/>
      <c r="P344" s="509"/>
      <c r="Q344" s="533">
        <v>557.11</v>
      </c>
      <c r="R344" s="530"/>
      <c r="S344" s="556">
        <v>-108.86000000000001</v>
      </c>
      <c r="T344" s="509"/>
      <c r="U344" s="720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522" t="s">
        <v>441</v>
      </c>
      <c r="B345" s="509" t="s">
        <v>103</v>
      </c>
      <c r="C345" s="599" t="s">
        <v>63</v>
      </c>
      <c r="D345" s="583"/>
      <c r="E345" s="509"/>
      <c r="F345" s="531">
        <v>2230.6282955484949</v>
      </c>
      <c r="G345" s="584"/>
      <c r="H345" s="509"/>
      <c r="I345" s="531"/>
      <c r="J345" s="530"/>
      <c r="K345" s="509"/>
      <c r="L345" s="533">
        <v>2836.47</v>
      </c>
      <c r="M345" s="530"/>
      <c r="N345" s="556">
        <v>605.84170445150494</v>
      </c>
      <c r="O345" s="530"/>
      <c r="P345" s="509"/>
      <c r="Q345" s="533">
        <v>3033.34</v>
      </c>
      <c r="R345" s="530"/>
      <c r="S345" s="556">
        <v>-196.87000000000035</v>
      </c>
      <c r="T345" s="509"/>
      <c r="U345" s="720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522" t="s">
        <v>408</v>
      </c>
      <c r="B346" s="509" t="s">
        <v>103</v>
      </c>
      <c r="C346" s="599" t="s">
        <v>20</v>
      </c>
      <c r="D346" s="583"/>
      <c r="E346" s="509"/>
      <c r="F346" s="531">
        <v>0</v>
      </c>
      <c r="G346" s="584"/>
      <c r="H346" s="509"/>
      <c r="I346" s="531"/>
      <c r="J346" s="530"/>
      <c r="K346" s="509"/>
      <c r="L346" s="533">
        <v>0</v>
      </c>
      <c r="M346" s="530"/>
      <c r="N346" s="556">
        <v>0</v>
      </c>
      <c r="O346" s="530"/>
      <c r="P346" s="509"/>
      <c r="Q346" s="533">
        <v>0</v>
      </c>
      <c r="R346" s="530"/>
      <c r="S346" s="556">
        <v>0</v>
      </c>
      <c r="T346" s="509"/>
      <c r="U346" s="720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522" t="s">
        <v>408</v>
      </c>
      <c r="B347" s="509" t="s">
        <v>103</v>
      </c>
      <c r="C347" s="599" t="s">
        <v>20</v>
      </c>
      <c r="D347" s="583"/>
      <c r="E347" s="509"/>
      <c r="F347" s="531">
        <v>0</v>
      </c>
      <c r="G347" s="584"/>
      <c r="H347" s="509"/>
      <c r="I347" s="531"/>
      <c r="J347" s="530"/>
      <c r="K347" s="509"/>
      <c r="L347" s="533">
        <v>0</v>
      </c>
      <c r="M347" s="530"/>
      <c r="N347" s="556">
        <v>0</v>
      </c>
      <c r="O347" s="530"/>
      <c r="P347" s="509"/>
      <c r="Q347" s="533">
        <v>0</v>
      </c>
      <c r="R347" s="530"/>
      <c r="S347" s="556">
        <v>0</v>
      </c>
      <c r="T347" s="509"/>
      <c r="U347" s="720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522" t="s">
        <v>408</v>
      </c>
      <c r="B348" s="509" t="s">
        <v>103</v>
      </c>
      <c r="C348" s="599" t="s">
        <v>20</v>
      </c>
      <c r="D348" s="583"/>
      <c r="E348" s="509"/>
      <c r="F348" s="531">
        <v>0</v>
      </c>
      <c r="G348" s="584"/>
      <c r="H348" s="509"/>
      <c r="I348" s="531"/>
      <c r="J348" s="530"/>
      <c r="K348" s="509"/>
      <c r="L348" s="533">
        <v>0</v>
      </c>
      <c r="M348" s="530"/>
      <c r="N348" s="556">
        <v>0</v>
      </c>
      <c r="O348" s="530"/>
      <c r="P348" s="509"/>
      <c r="Q348" s="533">
        <v>0</v>
      </c>
      <c r="R348" s="530"/>
      <c r="S348" s="556">
        <v>0</v>
      </c>
      <c r="T348" s="509"/>
      <c r="U348" s="720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91" t="s">
        <v>64</v>
      </c>
      <c r="D349" s="592" t="s">
        <v>39</v>
      </c>
      <c r="E349" s="593">
        <v>0.18258976807718205</v>
      </c>
      <c r="F349" s="594">
        <v>33220.065652588142</v>
      </c>
      <c r="G349" s="595"/>
      <c r="H349" s="593"/>
      <c r="I349" s="594"/>
      <c r="J349" s="595" t="s">
        <v>39</v>
      </c>
      <c r="K349" s="593">
        <v>0.19705917275906112</v>
      </c>
      <c r="L349" s="594">
        <v>37407.660000000011</v>
      </c>
      <c r="M349" s="598"/>
      <c r="N349" s="594">
        <v>4187.5943474118558</v>
      </c>
      <c r="O349" s="595" t="s">
        <v>39</v>
      </c>
      <c r="P349" s="593">
        <v>0.1868067594013276</v>
      </c>
      <c r="Q349" s="594">
        <v>28358.23</v>
      </c>
      <c r="R349" s="598"/>
      <c r="S349" s="594">
        <v>9049.43</v>
      </c>
      <c r="T349" s="509"/>
      <c r="U349" s="720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3"/>
      <c r="D350" s="586"/>
      <c r="E350" s="606"/>
      <c r="F350" s="556"/>
      <c r="G350" s="587"/>
      <c r="H350" s="606"/>
      <c r="I350" s="556"/>
      <c r="J350" s="523"/>
      <c r="K350" s="606"/>
      <c r="L350" s="581"/>
      <c r="M350" s="523"/>
      <c r="N350" s="581"/>
      <c r="O350" s="523"/>
      <c r="P350" s="606"/>
      <c r="Q350" s="581"/>
      <c r="R350" s="523"/>
      <c r="S350" s="581"/>
      <c r="T350" s="509"/>
      <c r="U350" s="506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91" t="s">
        <v>65</v>
      </c>
      <c r="D351" s="592" t="s">
        <v>39</v>
      </c>
      <c r="E351" s="593">
        <v>0.43702951111115207</v>
      </c>
      <c r="F351" s="594">
        <v>79512.391105585062</v>
      </c>
      <c r="G351" s="595"/>
      <c r="H351" s="593"/>
      <c r="I351" s="594"/>
      <c r="J351" s="595" t="s">
        <v>39</v>
      </c>
      <c r="K351" s="593">
        <v>0.41265686833421861</v>
      </c>
      <c r="L351" s="594">
        <v>78334.48000000001</v>
      </c>
      <c r="M351" s="598"/>
      <c r="N351" s="608">
        <v>-1177.9111055850517</v>
      </c>
      <c r="O351" s="595" t="s">
        <v>39</v>
      </c>
      <c r="P351" s="593">
        <v>0.50901721654257404</v>
      </c>
      <c r="Q351" s="594">
        <v>77271.439999999988</v>
      </c>
      <c r="R351" s="598"/>
      <c r="S351" s="608">
        <v>1063.0400000000227</v>
      </c>
      <c r="T351" s="509"/>
      <c r="U351" s="506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30"/>
      <c r="D352" s="583"/>
      <c r="E352" s="509"/>
      <c r="F352" s="556"/>
      <c r="G352" s="584"/>
      <c r="H352" s="509"/>
      <c r="I352" s="556"/>
      <c r="J352" s="530"/>
      <c r="K352" s="509"/>
      <c r="L352" s="556"/>
      <c r="M352" s="530"/>
      <c r="N352" s="556">
        <v>0</v>
      </c>
      <c r="O352" s="530"/>
      <c r="P352" s="509"/>
      <c r="Q352" s="556"/>
      <c r="R352" s="530"/>
      <c r="S352" s="556"/>
      <c r="T352" s="509"/>
      <c r="U352" s="506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3" t="s">
        <v>72</v>
      </c>
      <c r="D353" s="654"/>
      <c r="E353" s="624"/>
      <c r="F353" s="626">
        <v>102425.87412374461</v>
      </c>
      <c r="G353" s="655"/>
      <c r="H353" s="624"/>
      <c r="I353" s="626"/>
      <c r="J353" s="623"/>
      <c r="K353" s="625"/>
      <c r="L353" s="626">
        <v>111495.09999999998</v>
      </c>
      <c r="M353" s="623"/>
      <c r="N353" s="626">
        <v>9069.2258762553683</v>
      </c>
      <c r="O353" s="623"/>
      <c r="P353" s="628">
        <v>0.11970270306948276</v>
      </c>
      <c r="Q353" s="626">
        <v>74533.719999999783</v>
      </c>
      <c r="R353" s="623"/>
      <c r="S353" s="626">
        <v>36961.380000000194</v>
      </c>
      <c r="T353" s="509"/>
      <c r="U353" s="506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70"/>
      <c r="D354" s="583"/>
      <c r="E354" s="509"/>
      <c r="F354" s="607"/>
      <c r="G354" s="583"/>
      <c r="H354" s="509"/>
      <c r="I354" s="607"/>
      <c r="J354" s="570"/>
      <c r="K354" s="570"/>
      <c r="L354" s="607"/>
      <c r="M354" s="570"/>
      <c r="N354" s="607"/>
      <c r="O354" s="570"/>
      <c r="P354" s="570"/>
      <c r="Q354" s="607"/>
      <c r="R354" s="570"/>
      <c r="S354" s="607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70"/>
      <c r="D355" s="583"/>
      <c r="E355" s="509"/>
      <c r="F355" s="607"/>
      <c r="G355" s="583"/>
      <c r="H355" s="509"/>
      <c r="I355" s="607"/>
      <c r="J355" s="570"/>
      <c r="K355" s="570"/>
      <c r="L355" s="607"/>
      <c r="M355" s="570"/>
      <c r="N355" s="607"/>
      <c r="O355" s="570"/>
      <c r="P355" s="570"/>
      <c r="Q355" s="607"/>
      <c r="R355" s="570"/>
      <c r="S355" s="607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3" t="s">
        <v>478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4" t="s">
        <v>483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522" t="s">
        <v>119</v>
      </c>
      <c r="B359" s="509" t="s">
        <v>119</v>
      </c>
      <c r="C359" s="530"/>
      <c r="D359" s="721" t="s">
        <v>84</v>
      </c>
      <c r="E359" s="721" t="s">
        <v>104</v>
      </c>
      <c r="F359" s="722" t="s">
        <v>12</v>
      </c>
      <c r="G359" s="723"/>
      <c r="H359" s="721"/>
      <c r="I359" s="722"/>
      <c r="J359" s="658" t="s">
        <v>84</v>
      </c>
      <c r="K359" s="574" t="s">
        <v>104</v>
      </c>
      <c r="L359" s="657" t="s">
        <v>12</v>
      </c>
      <c r="M359" s="658"/>
      <c r="N359" s="657"/>
      <c r="O359" s="658" t="s">
        <v>84</v>
      </c>
      <c r="P359" s="574" t="s">
        <v>104</v>
      </c>
      <c r="Q359" s="657" t="s">
        <v>12</v>
      </c>
      <c r="R359" s="658" t="s">
        <v>85</v>
      </c>
      <c r="S359" s="657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522" t="s">
        <v>442</v>
      </c>
      <c r="B360" s="509" t="s">
        <v>119</v>
      </c>
      <c r="C360" s="558" t="s">
        <v>119</v>
      </c>
      <c r="D360" s="724">
        <v>0</v>
      </c>
      <c r="E360" s="725">
        <v>0</v>
      </c>
      <c r="F360" s="726">
        <v>0</v>
      </c>
      <c r="G360" s="724"/>
      <c r="H360" s="725"/>
      <c r="I360" s="724"/>
      <c r="J360" s="727">
        <v>0</v>
      </c>
      <c r="K360" s="710">
        <v>0</v>
      </c>
      <c r="L360" s="728">
        <v>0</v>
      </c>
      <c r="M360" s="711"/>
      <c r="N360" s="712"/>
      <c r="O360" s="727">
        <v>0</v>
      </c>
      <c r="P360" s="710">
        <v>0</v>
      </c>
      <c r="Q360" s="728">
        <v>0</v>
      </c>
      <c r="R360" s="711">
        <v>0</v>
      </c>
      <c r="S360" s="712">
        <v>0</v>
      </c>
      <c r="T360" s="506"/>
      <c r="U360" s="506"/>
      <c r="V360" s="729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522" t="s">
        <v>119</v>
      </c>
      <c r="B361" s="509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522" t="s">
        <v>443</v>
      </c>
      <c r="B362" s="509" t="s">
        <v>119</v>
      </c>
      <c r="C362" s="549" t="s">
        <v>120</v>
      </c>
      <c r="D362" s="607">
        <v>0</v>
      </c>
      <c r="E362" s="669">
        <v>0</v>
      </c>
      <c r="F362" s="671">
        <v>0</v>
      </c>
      <c r="G362" s="670"/>
      <c r="H362" s="669"/>
      <c r="I362" s="671"/>
      <c r="J362" s="670">
        <v>0</v>
      </c>
      <c r="K362" s="669">
        <v>0</v>
      </c>
      <c r="L362" s="671">
        <v>0</v>
      </c>
      <c r="M362" s="647"/>
      <c r="N362" s="730"/>
      <c r="O362" s="670">
        <v>0</v>
      </c>
      <c r="P362" s="669">
        <v>0</v>
      </c>
      <c r="Q362" s="671">
        <v>0</v>
      </c>
      <c r="R362" s="530">
        <v>0</v>
      </c>
      <c r="S362" s="548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522" t="s">
        <v>119</v>
      </c>
      <c r="B363" s="509" t="s">
        <v>119</v>
      </c>
      <c r="C363" s="573"/>
      <c r="D363" s="509"/>
      <c r="E363" s="509"/>
      <c r="F363" s="556"/>
      <c r="G363" s="530"/>
      <c r="H363" s="509"/>
      <c r="I363" s="556"/>
      <c r="J363" s="530"/>
      <c r="K363" s="509"/>
      <c r="L363" s="540"/>
      <c r="M363" s="530"/>
      <c r="N363" s="659"/>
      <c r="O363" s="530"/>
      <c r="P363" s="509"/>
      <c r="Q363" s="540"/>
      <c r="R363" s="530"/>
      <c r="S363" s="540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522" t="s">
        <v>444</v>
      </c>
      <c r="B364" s="509" t="s">
        <v>119</v>
      </c>
      <c r="C364" s="573" t="s">
        <v>30</v>
      </c>
      <c r="D364" s="509"/>
      <c r="E364" s="509"/>
      <c r="F364" s="556"/>
      <c r="G364" s="530"/>
      <c r="H364" s="509"/>
      <c r="I364" s="556"/>
      <c r="J364" s="530"/>
      <c r="K364" s="509"/>
      <c r="L364" s="540"/>
      <c r="M364" s="530"/>
      <c r="N364" s="540"/>
      <c r="O364" s="530"/>
      <c r="P364" s="509"/>
      <c r="Q364" s="540"/>
      <c r="R364" s="530"/>
      <c r="S364" s="540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522" t="s">
        <v>445</v>
      </c>
      <c r="B365" s="509" t="s">
        <v>119</v>
      </c>
      <c r="C365" s="599" t="s">
        <v>41</v>
      </c>
      <c r="D365" s="509"/>
      <c r="E365" s="509"/>
      <c r="F365" s="531">
        <v>0</v>
      </c>
      <c r="G365" s="530"/>
      <c r="H365" s="509"/>
      <c r="I365" s="531"/>
      <c r="J365" s="530"/>
      <c r="K365" s="509"/>
      <c r="L365" s="533">
        <v>0</v>
      </c>
      <c r="M365" s="530"/>
      <c r="N365" s="540"/>
      <c r="O365" s="530"/>
      <c r="P365" s="509"/>
      <c r="Q365" s="533">
        <v>0</v>
      </c>
      <c r="R365" s="530"/>
      <c r="S365" s="533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522" t="s">
        <v>446</v>
      </c>
      <c r="B366" s="509" t="s">
        <v>119</v>
      </c>
      <c r="C366" s="601" t="s">
        <v>42</v>
      </c>
      <c r="D366" s="583"/>
      <c r="E366" s="509"/>
      <c r="F366" s="525">
        <v>0</v>
      </c>
      <c r="G366" s="584"/>
      <c r="H366" s="509"/>
      <c r="I366" s="525"/>
      <c r="J366" s="530"/>
      <c r="K366" s="509"/>
      <c r="L366" s="525">
        <v>0</v>
      </c>
      <c r="M366" s="530"/>
      <c r="N366" s="556"/>
      <c r="O366" s="530"/>
      <c r="P366" s="509"/>
      <c r="Q366" s="525">
        <v>0</v>
      </c>
      <c r="R366" s="530"/>
      <c r="S366" s="556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522" t="s">
        <v>447</v>
      </c>
      <c r="B367" s="509" t="s">
        <v>119</v>
      </c>
      <c r="C367" s="599" t="s">
        <v>43</v>
      </c>
      <c r="D367" s="602"/>
      <c r="E367" s="603"/>
      <c r="F367" s="531">
        <v>0</v>
      </c>
      <c r="G367" s="604"/>
      <c r="H367" s="603"/>
      <c r="I367" s="531"/>
      <c r="J367" s="517"/>
      <c r="K367" s="603"/>
      <c r="L367" s="533">
        <v>0</v>
      </c>
      <c r="M367" s="517"/>
      <c r="N367" s="605"/>
      <c r="O367" s="517"/>
      <c r="P367" s="603"/>
      <c r="Q367" s="533">
        <v>0</v>
      </c>
      <c r="R367" s="517"/>
      <c r="S367" s="605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522" t="s">
        <v>448</v>
      </c>
      <c r="B368" s="509" t="s">
        <v>119</v>
      </c>
      <c r="C368" s="599" t="s">
        <v>44</v>
      </c>
      <c r="D368" s="583"/>
      <c r="E368" s="509"/>
      <c r="F368" s="531">
        <v>0</v>
      </c>
      <c r="G368" s="584"/>
      <c r="H368" s="509"/>
      <c r="I368" s="531"/>
      <c r="J368" s="530"/>
      <c r="K368" s="509"/>
      <c r="L368" s="533">
        <v>0</v>
      </c>
      <c r="M368" s="530"/>
      <c r="N368" s="556"/>
      <c r="O368" s="530"/>
      <c r="P368" s="509"/>
      <c r="Q368" s="533">
        <v>0</v>
      </c>
      <c r="R368" s="530"/>
      <c r="S368" s="556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522" t="s">
        <v>449</v>
      </c>
      <c r="B369" s="509" t="s">
        <v>119</v>
      </c>
      <c r="C369" s="530" t="s">
        <v>20</v>
      </c>
      <c r="D369" s="583"/>
      <c r="E369" s="509"/>
      <c r="F369" s="531">
        <v>0</v>
      </c>
      <c r="G369" s="584"/>
      <c r="H369" s="509"/>
      <c r="I369" s="531"/>
      <c r="J369" s="530"/>
      <c r="K369" s="509"/>
      <c r="L369" s="533">
        <v>0</v>
      </c>
      <c r="M369" s="530"/>
      <c r="N369" s="556"/>
      <c r="O369" s="530"/>
      <c r="P369" s="509"/>
      <c r="Q369" s="533">
        <v>0</v>
      </c>
      <c r="R369" s="530"/>
      <c r="S369" s="556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522" t="s">
        <v>449</v>
      </c>
      <c r="B370" s="509" t="s">
        <v>119</v>
      </c>
      <c r="C370" s="530" t="s">
        <v>20</v>
      </c>
      <c r="D370" s="583"/>
      <c r="E370" s="509"/>
      <c r="F370" s="531">
        <v>0</v>
      </c>
      <c r="G370" s="584"/>
      <c r="H370" s="509"/>
      <c r="I370" s="531"/>
      <c r="J370" s="530"/>
      <c r="K370" s="509"/>
      <c r="L370" s="533">
        <v>0</v>
      </c>
      <c r="M370" s="530"/>
      <c r="N370" s="556"/>
      <c r="O370" s="530"/>
      <c r="P370" s="509"/>
      <c r="Q370" s="533">
        <v>0</v>
      </c>
      <c r="R370" s="530"/>
      <c r="S370" s="556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522" t="s">
        <v>449</v>
      </c>
      <c r="B371" s="509" t="s">
        <v>119</v>
      </c>
      <c r="C371" s="530" t="s">
        <v>20</v>
      </c>
      <c r="D371" s="583"/>
      <c r="E371" s="509"/>
      <c r="F371" s="531">
        <v>0</v>
      </c>
      <c r="G371" s="584"/>
      <c r="H371" s="509"/>
      <c r="I371" s="531"/>
      <c r="J371" s="530"/>
      <c r="K371" s="509"/>
      <c r="L371" s="533">
        <v>0</v>
      </c>
      <c r="M371" s="530"/>
      <c r="N371" s="556"/>
      <c r="O371" s="530"/>
      <c r="P371" s="509"/>
      <c r="Q371" s="533">
        <v>0</v>
      </c>
      <c r="R371" s="530"/>
      <c r="S371" s="556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522" t="s">
        <v>450</v>
      </c>
      <c r="B372" s="509" t="s">
        <v>119</v>
      </c>
      <c r="C372" s="601" t="s">
        <v>45</v>
      </c>
      <c r="D372" s="583"/>
      <c r="E372" s="509"/>
      <c r="F372" s="525">
        <v>0</v>
      </c>
      <c r="G372" s="584"/>
      <c r="H372" s="509"/>
      <c r="I372" s="525"/>
      <c r="J372" s="530"/>
      <c r="K372" s="509"/>
      <c r="L372" s="525">
        <v>0</v>
      </c>
      <c r="M372" s="530"/>
      <c r="N372" s="556"/>
      <c r="O372" s="530"/>
      <c r="P372" s="509"/>
      <c r="Q372" s="525">
        <v>0</v>
      </c>
      <c r="R372" s="530"/>
      <c r="S372" s="556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522" t="s">
        <v>451</v>
      </c>
      <c r="B373" s="509" t="s">
        <v>119</v>
      </c>
      <c r="C373" s="599" t="s">
        <v>46</v>
      </c>
      <c r="D373" s="602"/>
      <c r="E373" s="603"/>
      <c r="F373" s="531">
        <v>0</v>
      </c>
      <c r="G373" s="604"/>
      <c r="H373" s="603"/>
      <c r="I373" s="531"/>
      <c r="J373" s="517"/>
      <c r="K373" s="603"/>
      <c r="L373" s="533">
        <v>0</v>
      </c>
      <c r="M373" s="517"/>
      <c r="N373" s="605"/>
      <c r="O373" s="517"/>
      <c r="P373" s="603"/>
      <c r="Q373" s="533">
        <v>0</v>
      </c>
      <c r="R373" s="517"/>
      <c r="S373" s="605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522" t="s">
        <v>452</v>
      </c>
      <c r="B374" s="509" t="s">
        <v>119</v>
      </c>
      <c r="C374" s="599" t="s">
        <v>47</v>
      </c>
      <c r="D374" s="583"/>
      <c r="E374" s="509"/>
      <c r="F374" s="531">
        <v>0</v>
      </c>
      <c r="G374" s="584"/>
      <c r="H374" s="509"/>
      <c r="I374" s="531"/>
      <c r="J374" s="530"/>
      <c r="K374" s="509"/>
      <c r="L374" s="533">
        <v>0</v>
      </c>
      <c r="M374" s="530"/>
      <c r="N374" s="556"/>
      <c r="O374" s="530"/>
      <c r="P374" s="509"/>
      <c r="Q374" s="533">
        <v>0</v>
      </c>
      <c r="R374" s="530"/>
      <c r="S374" s="556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522" t="s">
        <v>453</v>
      </c>
      <c r="B375" s="509" t="s">
        <v>119</v>
      </c>
      <c r="C375" s="599" t="s">
        <v>48</v>
      </c>
      <c r="D375" s="583"/>
      <c r="E375" s="509"/>
      <c r="F375" s="531">
        <v>0</v>
      </c>
      <c r="G375" s="584"/>
      <c r="H375" s="509"/>
      <c r="I375" s="531"/>
      <c r="J375" s="530"/>
      <c r="K375" s="509"/>
      <c r="L375" s="533">
        <v>0</v>
      </c>
      <c r="M375" s="530"/>
      <c r="N375" s="556"/>
      <c r="O375" s="530"/>
      <c r="P375" s="509"/>
      <c r="Q375" s="533">
        <v>0</v>
      </c>
      <c r="R375" s="530"/>
      <c r="S375" s="556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522" t="s">
        <v>449</v>
      </c>
      <c r="B376" s="509" t="s">
        <v>119</v>
      </c>
      <c r="C376" s="530" t="s">
        <v>20</v>
      </c>
      <c r="D376" s="586"/>
      <c r="E376" s="606"/>
      <c r="F376" s="531">
        <v>0</v>
      </c>
      <c r="G376" s="587"/>
      <c r="H376" s="606"/>
      <c r="I376" s="531"/>
      <c r="J376" s="523"/>
      <c r="K376" s="606"/>
      <c r="L376" s="533">
        <v>0</v>
      </c>
      <c r="M376" s="523"/>
      <c r="N376" s="581"/>
      <c r="O376" s="523"/>
      <c r="P376" s="606"/>
      <c r="Q376" s="533">
        <v>0</v>
      </c>
      <c r="R376" s="523"/>
      <c r="S376" s="581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522" t="s">
        <v>454</v>
      </c>
      <c r="B377" s="509" t="s">
        <v>119</v>
      </c>
      <c r="C377" s="591" t="s">
        <v>49</v>
      </c>
      <c r="D377" s="592" t="s">
        <v>39</v>
      </c>
      <c r="E377" s="593">
        <v>0</v>
      </c>
      <c r="F377" s="594">
        <v>0</v>
      </c>
      <c r="G377" s="595"/>
      <c r="H377" s="593"/>
      <c r="I377" s="594"/>
      <c r="J377" s="595" t="s">
        <v>39</v>
      </c>
      <c r="K377" s="593">
        <v>0</v>
      </c>
      <c r="L377" s="594">
        <v>0</v>
      </c>
      <c r="M377" s="649"/>
      <c r="N377" s="608"/>
      <c r="O377" s="595" t="s">
        <v>39</v>
      </c>
      <c r="P377" s="593">
        <v>0</v>
      </c>
      <c r="Q377" s="594">
        <v>0</v>
      </c>
      <c r="R377" s="649"/>
      <c r="S377" s="608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522" t="s">
        <v>455</v>
      </c>
      <c r="B378" s="509" t="s">
        <v>119</v>
      </c>
      <c r="C378" s="705" t="s">
        <v>50</v>
      </c>
      <c r="D378" s="583"/>
      <c r="E378" s="509"/>
      <c r="F378" s="531">
        <v>0</v>
      </c>
      <c r="G378" s="584"/>
      <c r="H378" s="509"/>
      <c r="I378" s="531"/>
      <c r="J378" s="530"/>
      <c r="K378" s="509"/>
      <c r="L378" s="533">
        <v>0</v>
      </c>
      <c r="M378" s="530"/>
      <c r="N378" s="556"/>
      <c r="O378" s="530"/>
      <c r="P378" s="509"/>
      <c r="Q378" s="533">
        <v>0</v>
      </c>
      <c r="R378" s="530"/>
      <c r="S378" s="556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522" t="s">
        <v>456</v>
      </c>
      <c r="B379" s="509" t="s">
        <v>119</v>
      </c>
      <c r="C379" s="599" t="s">
        <v>51</v>
      </c>
      <c r="D379" s="583"/>
      <c r="E379" s="509"/>
      <c r="F379" s="531">
        <v>0</v>
      </c>
      <c r="G379" s="584"/>
      <c r="H379" s="509"/>
      <c r="I379" s="531"/>
      <c r="J379" s="530"/>
      <c r="K379" s="509"/>
      <c r="L379" s="533">
        <v>0</v>
      </c>
      <c r="M379" s="530"/>
      <c r="N379" s="556"/>
      <c r="O379" s="530"/>
      <c r="P379" s="509"/>
      <c r="Q379" s="533">
        <v>0</v>
      </c>
      <c r="R379" s="530"/>
      <c r="S379" s="556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522" t="s">
        <v>457</v>
      </c>
      <c r="B380" s="509" t="s">
        <v>119</v>
      </c>
      <c r="C380" s="601" t="s">
        <v>52</v>
      </c>
      <c r="D380" s="586"/>
      <c r="E380" s="606"/>
      <c r="F380" s="525">
        <v>0</v>
      </c>
      <c r="G380" s="587"/>
      <c r="H380" s="606"/>
      <c r="I380" s="525"/>
      <c r="J380" s="523"/>
      <c r="K380" s="606"/>
      <c r="L380" s="525">
        <v>0</v>
      </c>
      <c r="M380" s="523"/>
      <c r="N380" s="581"/>
      <c r="O380" s="523"/>
      <c r="P380" s="606"/>
      <c r="Q380" s="525">
        <v>0</v>
      </c>
      <c r="R380" s="523"/>
      <c r="S380" s="581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522" t="s">
        <v>458</v>
      </c>
      <c r="B381" s="509" t="s">
        <v>119</v>
      </c>
      <c r="C381" s="599" t="s">
        <v>53</v>
      </c>
      <c r="D381" s="583"/>
      <c r="E381" s="509"/>
      <c r="F381" s="531">
        <v>0</v>
      </c>
      <c r="G381" s="584"/>
      <c r="H381" s="509"/>
      <c r="I381" s="531"/>
      <c r="J381" s="530"/>
      <c r="K381" s="509"/>
      <c r="L381" s="533">
        <v>0</v>
      </c>
      <c r="M381" s="530"/>
      <c r="N381" s="556"/>
      <c r="O381" s="530"/>
      <c r="P381" s="509"/>
      <c r="Q381" s="533">
        <v>0</v>
      </c>
      <c r="R381" s="530"/>
      <c r="S381" s="556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522" t="s">
        <v>459</v>
      </c>
      <c r="B382" s="509" t="s">
        <v>119</v>
      </c>
      <c r="C382" s="599" t="s">
        <v>54</v>
      </c>
      <c r="D382" s="583"/>
      <c r="E382" s="509"/>
      <c r="F382" s="531">
        <v>0</v>
      </c>
      <c r="G382" s="584"/>
      <c r="H382" s="509"/>
      <c r="I382" s="531"/>
      <c r="J382" s="530"/>
      <c r="K382" s="509"/>
      <c r="L382" s="533">
        <v>0</v>
      </c>
      <c r="M382" s="530"/>
      <c r="N382" s="556"/>
      <c r="O382" s="530"/>
      <c r="P382" s="509"/>
      <c r="Q382" s="533">
        <v>0</v>
      </c>
      <c r="R382" s="530"/>
      <c r="S382" s="556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522" t="s">
        <v>460</v>
      </c>
      <c r="B383" s="509" t="s">
        <v>119</v>
      </c>
      <c r="C383" s="599" t="s">
        <v>55</v>
      </c>
      <c r="D383" s="586"/>
      <c r="E383" s="606"/>
      <c r="F383" s="525">
        <v>0</v>
      </c>
      <c r="G383" s="587"/>
      <c r="H383" s="606"/>
      <c r="I383" s="525"/>
      <c r="J383" s="523"/>
      <c r="K383" s="606"/>
      <c r="L383" s="525">
        <v>0</v>
      </c>
      <c r="M383" s="523"/>
      <c r="N383" s="581"/>
      <c r="O383" s="523"/>
      <c r="P383" s="606"/>
      <c r="Q383" s="525">
        <v>0</v>
      </c>
      <c r="R383" s="523"/>
      <c r="S383" s="581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522" t="s">
        <v>461</v>
      </c>
      <c r="B384" s="509" t="s">
        <v>119</v>
      </c>
      <c r="C384" s="705" t="s">
        <v>56</v>
      </c>
      <c r="D384" s="583"/>
      <c r="E384" s="509"/>
      <c r="F384" s="531">
        <v>0</v>
      </c>
      <c r="G384" s="584"/>
      <c r="H384" s="509"/>
      <c r="I384" s="531"/>
      <c r="J384" s="530"/>
      <c r="K384" s="509"/>
      <c r="L384" s="533">
        <v>0</v>
      </c>
      <c r="M384" s="530"/>
      <c r="N384" s="556"/>
      <c r="O384" s="530"/>
      <c r="P384" s="509"/>
      <c r="Q384" s="533">
        <v>0</v>
      </c>
      <c r="R384" s="530"/>
      <c r="S384" s="556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522" t="s">
        <v>462</v>
      </c>
      <c r="B385" s="509" t="s">
        <v>119</v>
      </c>
      <c r="C385" s="599" t="s">
        <v>57</v>
      </c>
      <c r="D385" s="583"/>
      <c r="E385" s="509"/>
      <c r="F385" s="531">
        <v>0</v>
      </c>
      <c r="G385" s="584"/>
      <c r="H385" s="509"/>
      <c r="I385" s="531"/>
      <c r="J385" s="530"/>
      <c r="K385" s="509"/>
      <c r="L385" s="533">
        <v>0</v>
      </c>
      <c r="M385" s="530"/>
      <c r="N385" s="556"/>
      <c r="O385" s="530"/>
      <c r="P385" s="509"/>
      <c r="Q385" s="533">
        <v>0</v>
      </c>
      <c r="R385" s="530"/>
      <c r="S385" s="556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522" t="s">
        <v>463</v>
      </c>
      <c r="B386" s="509" t="s">
        <v>119</v>
      </c>
      <c r="C386" s="599" t="s">
        <v>58</v>
      </c>
      <c r="D386" s="583"/>
      <c r="E386" s="509"/>
      <c r="F386" s="531">
        <v>0</v>
      </c>
      <c r="G386" s="584"/>
      <c r="H386" s="509"/>
      <c r="I386" s="531"/>
      <c r="J386" s="530"/>
      <c r="K386" s="509"/>
      <c r="L386" s="533">
        <v>0</v>
      </c>
      <c r="M386" s="530"/>
      <c r="N386" s="556"/>
      <c r="O386" s="530"/>
      <c r="P386" s="509"/>
      <c r="Q386" s="533">
        <v>0</v>
      </c>
      <c r="R386" s="530"/>
      <c r="S386" s="556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522" t="s">
        <v>464</v>
      </c>
      <c r="B387" s="509" t="s">
        <v>119</v>
      </c>
      <c r="C387" s="599" t="s">
        <v>59</v>
      </c>
      <c r="D387" s="583"/>
      <c r="E387" s="509"/>
      <c r="F387" s="531">
        <v>0</v>
      </c>
      <c r="G387" s="584"/>
      <c r="H387" s="509"/>
      <c r="I387" s="531"/>
      <c r="J387" s="530"/>
      <c r="K387" s="509"/>
      <c r="L387" s="533">
        <v>0</v>
      </c>
      <c r="M387" s="530"/>
      <c r="N387" s="556"/>
      <c r="O387" s="530"/>
      <c r="P387" s="509"/>
      <c r="Q387" s="533">
        <v>0</v>
      </c>
      <c r="R387" s="530"/>
      <c r="S387" s="556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522" t="s">
        <v>465</v>
      </c>
      <c r="B388" s="509" t="s">
        <v>119</v>
      </c>
      <c r="C388" s="599" t="s">
        <v>60</v>
      </c>
      <c r="D388" s="583"/>
      <c r="E388" s="509"/>
      <c r="F388" s="531">
        <v>0</v>
      </c>
      <c r="G388" s="584"/>
      <c r="H388" s="509"/>
      <c r="I388" s="531"/>
      <c r="J388" s="530"/>
      <c r="K388" s="509"/>
      <c r="L388" s="533">
        <v>0</v>
      </c>
      <c r="M388" s="530"/>
      <c r="N388" s="556"/>
      <c r="O388" s="530"/>
      <c r="P388" s="509"/>
      <c r="Q388" s="533">
        <v>0</v>
      </c>
      <c r="R388" s="530"/>
      <c r="S388" s="556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522" t="s">
        <v>466</v>
      </c>
      <c r="B389" s="509" t="s">
        <v>119</v>
      </c>
      <c r="C389" s="599" t="s">
        <v>61</v>
      </c>
      <c r="D389" s="583"/>
      <c r="E389" s="509"/>
      <c r="F389" s="531">
        <v>0</v>
      </c>
      <c r="G389" s="584"/>
      <c r="H389" s="509"/>
      <c r="I389" s="531"/>
      <c r="J389" s="530"/>
      <c r="K389" s="509"/>
      <c r="L389" s="533">
        <v>0</v>
      </c>
      <c r="M389" s="530"/>
      <c r="N389" s="556"/>
      <c r="O389" s="530"/>
      <c r="P389" s="509"/>
      <c r="Q389" s="533">
        <v>0</v>
      </c>
      <c r="R389" s="530"/>
      <c r="S389" s="556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522" t="s">
        <v>467</v>
      </c>
      <c r="B390" s="509" t="s">
        <v>119</v>
      </c>
      <c r="C390" s="599" t="s">
        <v>62</v>
      </c>
      <c r="D390" s="583"/>
      <c r="E390" s="509"/>
      <c r="F390" s="531">
        <v>0</v>
      </c>
      <c r="G390" s="584"/>
      <c r="H390" s="509"/>
      <c r="I390" s="531"/>
      <c r="J390" s="530"/>
      <c r="K390" s="509"/>
      <c r="L390" s="533">
        <v>0</v>
      </c>
      <c r="M390" s="530"/>
      <c r="N390" s="556"/>
      <c r="O390" s="530"/>
      <c r="P390" s="509"/>
      <c r="Q390" s="533">
        <v>0</v>
      </c>
      <c r="R390" s="530"/>
      <c r="S390" s="556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522" t="s">
        <v>468</v>
      </c>
      <c r="B391" s="509" t="s">
        <v>119</v>
      </c>
      <c r="C391" s="599" t="s">
        <v>63</v>
      </c>
      <c r="D391" s="583"/>
      <c r="E391" s="509"/>
      <c r="F391" s="531">
        <v>0</v>
      </c>
      <c r="G391" s="584"/>
      <c r="H391" s="509"/>
      <c r="I391" s="531"/>
      <c r="J391" s="530"/>
      <c r="K391" s="509"/>
      <c r="L391" s="533">
        <v>0</v>
      </c>
      <c r="M391" s="530"/>
      <c r="N391" s="556"/>
      <c r="O391" s="530"/>
      <c r="P391" s="509"/>
      <c r="Q391" s="533">
        <v>0</v>
      </c>
      <c r="R391" s="530"/>
      <c r="S391" s="556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522" t="s">
        <v>449</v>
      </c>
      <c r="B392" s="509" t="s">
        <v>119</v>
      </c>
      <c r="C392" s="599" t="s">
        <v>20</v>
      </c>
      <c r="D392" s="583"/>
      <c r="E392" s="509"/>
      <c r="F392" s="531">
        <v>0</v>
      </c>
      <c r="G392" s="584"/>
      <c r="H392" s="509"/>
      <c r="I392" s="531"/>
      <c r="J392" s="530"/>
      <c r="K392" s="509"/>
      <c r="L392" s="533">
        <v>0</v>
      </c>
      <c r="M392" s="530"/>
      <c r="N392" s="556"/>
      <c r="O392" s="530"/>
      <c r="P392" s="509"/>
      <c r="Q392" s="533">
        <v>0</v>
      </c>
      <c r="R392" s="530"/>
      <c r="S392" s="556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522" t="s">
        <v>449</v>
      </c>
      <c r="B393" s="509" t="s">
        <v>119</v>
      </c>
      <c r="C393" s="599" t="s">
        <v>20</v>
      </c>
      <c r="D393" s="583"/>
      <c r="E393" s="509"/>
      <c r="F393" s="531">
        <v>0</v>
      </c>
      <c r="G393" s="584"/>
      <c r="H393" s="509"/>
      <c r="I393" s="531"/>
      <c r="J393" s="530"/>
      <c r="K393" s="509"/>
      <c r="L393" s="533">
        <v>0</v>
      </c>
      <c r="M393" s="530"/>
      <c r="N393" s="556"/>
      <c r="O393" s="530"/>
      <c r="P393" s="509"/>
      <c r="Q393" s="533">
        <v>0</v>
      </c>
      <c r="R393" s="530"/>
      <c r="S393" s="556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522" t="s">
        <v>449</v>
      </c>
      <c r="B394" s="509" t="s">
        <v>119</v>
      </c>
      <c r="C394" s="599" t="s">
        <v>20</v>
      </c>
      <c r="D394" s="586"/>
      <c r="E394" s="606"/>
      <c r="F394" s="531">
        <v>0</v>
      </c>
      <c r="G394" s="587"/>
      <c r="H394" s="606"/>
      <c r="I394" s="531"/>
      <c r="J394" s="523"/>
      <c r="K394" s="606"/>
      <c r="L394" s="533">
        <v>0</v>
      </c>
      <c r="M394" s="523"/>
      <c r="N394" s="581"/>
      <c r="O394" s="523"/>
      <c r="P394" s="606"/>
      <c r="Q394" s="533">
        <v>0</v>
      </c>
      <c r="R394" s="523"/>
      <c r="S394" s="581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91" t="s">
        <v>64</v>
      </c>
      <c r="D395" s="592" t="s">
        <v>39</v>
      </c>
      <c r="E395" s="593">
        <v>0</v>
      </c>
      <c r="F395" s="594">
        <v>0</v>
      </c>
      <c r="G395" s="595"/>
      <c r="H395" s="593"/>
      <c r="I395" s="594"/>
      <c r="J395" s="595" t="s">
        <v>39</v>
      </c>
      <c r="K395" s="593">
        <v>0</v>
      </c>
      <c r="L395" s="594">
        <v>0</v>
      </c>
      <c r="M395" s="649"/>
      <c r="N395" s="594"/>
      <c r="O395" s="595" t="s">
        <v>39</v>
      </c>
      <c r="P395" s="593">
        <v>0</v>
      </c>
      <c r="Q395" s="594">
        <v>0</v>
      </c>
      <c r="R395" s="649"/>
      <c r="S395" s="608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30"/>
      <c r="D396" s="509"/>
      <c r="E396" s="509"/>
      <c r="F396" s="540"/>
      <c r="G396" s="530"/>
      <c r="H396" s="509"/>
      <c r="I396" s="540"/>
      <c r="J396" s="530"/>
      <c r="K396" s="509"/>
      <c r="L396" s="540"/>
      <c r="M396" s="549"/>
      <c r="N396" s="571"/>
      <c r="O396" s="530"/>
      <c r="P396" s="509"/>
      <c r="Q396" s="540"/>
      <c r="R396" s="530"/>
      <c r="S396" s="571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91" t="s">
        <v>65</v>
      </c>
      <c r="D397" s="592" t="s">
        <v>39</v>
      </c>
      <c r="E397" s="593">
        <v>0</v>
      </c>
      <c r="F397" s="594">
        <v>0</v>
      </c>
      <c r="G397" s="595"/>
      <c r="H397" s="593"/>
      <c r="I397" s="594"/>
      <c r="J397" s="595" t="s">
        <v>39</v>
      </c>
      <c r="K397" s="593">
        <v>0</v>
      </c>
      <c r="L397" s="594">
        <v>0</v>
      </c>
      <c r="M397" s="591"/>
      <c r="N397" s="594"/>
      <c r="O397" s="595" t="s">
        <v>39</v>
      </c>
      <c r="P397" s="593">
        <v>0</v>
      </c>
      <c r="Q397" s="594">
        <v>0</v>
      </c>
      <c r="R397" s="598"/>
      <c r="S397" s="594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30"/>
      <c r="D398" s="509"/>
      <c r="E398" s="509"/>
      <c r="F398" s="556"/>
      <c r="G398" s="530"/>
      <c r="H398" s="509"/>
      <c r="I398" s="556"/>
      <c r="J398" s="530"/>
      <c r="K398" s="509"/>
      <c r="L398" s="556"/>
      <c r="M398" s="549"/>
      <c r="N398" s="571"/>
      <c r="O398" s="530"/>
      <c r="P398" s="509"/>
      <c r="Q398" s="556"/>
      <c r="R398" s="530"/>
      <c r="S398" s="571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31" t="s">
        <v>72</v>
      </c>
      <c r="D399" s="732"/>
      <c r="E399" s="732"/>
      <c r="F399" s="733">
        <v>0</v>
      </c>
      <c r="G399" s="731"/>
      <c r="H399" s="732"/>
      <c r="I399" s="733"/>
      <c r="J399" s="734"/>
      <c r="K399" s="735"/>
      <c r="L399" s="733">
        <v>0</v>
      </c>
      <c r="M399" s="731"/>
      <c r="N399" s="733"/>
      <c r="O399" s="734"/>
      <c r="P399" s="735"/>
      <c r="Q399" s="733">
        <v>0</v>
      </c>
      <c r="R399" s="734"/>
      <c r="S399" s="733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70"/>
      <c r="D400" s="736"/>
      <c r="E400" s="509"/>
      <c r="F400" s="607">
        <v>249686.54574043257</v>
      </c>
      <c r="G400" s="583"/>
      <c r="H400" s="509"/>
      <c r="I400" s="607"/>
      <c r="J400" s="736"/>
      <c r="K400" s="570"/>
      <c r="L400" s="607">
        <v>216427.66999999998</v>
      </c>
      <c r="M400" s="570"/>
      <c r="N400" s="607"/>
      <c r="O400" s="570"/>
      <c r="P400" s="570"/>
      <c r="Q400" s="607"/>
      <c r="R400" s="570"/>
      <c r="S400" s="607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7"/>
      <c r="L401" s="737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25">
      <c r="B402" s="503"/>
      <c r="C402" s="738" t="s">
        <v>227</v>
      </c>
      <c r="F402" s="737"/>
      <c r="L402" s="737"/>
      <c r="V402" s="739" t="s">
        <v>478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477</v>
      </c>
      <c r="AF402" s="495"/>
      <c r="AG402" s="495"/>
      <c r="AH402" s="495"/>
      <c r="AI402" s="495"/>
      <c r="AJ402" s="740"/>
      <c r="AK402" s="497"/>
      <c r="AL402" s="495"/>
      <c r="AM402" s="495"/>
      <c r="AN402" s="495"/>
      <c r="AO402" s="740" t="s">
        <v>483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8" t="s">
        <v>227</v>
      </c>
      <c r="V403" s="741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522" t="s">
        <v>469</v>
      </c>
      <c r="B404" s="503"/>
      <c r="C404" s="738" t="s">
        <v>227</v>
      </c>
      <c r="V404" s="742"/>
      <c r="W404" s="743"/>
      <c r="X404" s="744" t="s">
        <v>122</v>
      </c>
      <c r="Y404" s="745"/>
      <c r="Z404" s="746"/>
      <c r="AA404" s="747"/>
      <c r="AB404" s="745"/>
      <c r="AC404" s="746"/>
      <c r="AD404" s="747" t="s">
        <v>7</v>
      </c>
      <c r="AE404" s="745"/>
      <c r="AF404" s="746"/>
      <c r="AG404" s="747" t="s">
        <v>220</v>
      </c>
      <c r="AH404" s="745"/>
      <c r="AI404" s="746"/>
      <c r="AJ404" s="747" t="s">
        <v>123</v>
      </c>
      <c r="AK404" s="745"/>
      <c r="AL404" s="745"/>
      <c r="AM404" s="747" t="s">
        <v>124</v>
      </c>
      <c r="AN404" s="745"/>
      <c r="AO404" s="748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522" t="s">
        <v>469</v>
      </c>
      <c r="B405" s="503"/>
      <c r="C405" s="738" t="s">
        <v>227</v>
      </c>
      <c r="V405" s="523"/>
      <c r="W405" s="700" t="s">
        <v>125</v>
      </c>
      <c r="X405" s="700" t="s">
        <v>126</v>
      </c>
      <c r="Y405" s="700" t="s">
        <v>127</v>
      </c>
      <c r="Z405" s="749" t="s">
        <v>128</v>
      </c>
      <c r="AA405" s="700"/>
      <c r="AB405" s="700"/>
      <c r="AC405" s="749"/>
      <c r="AD405" s="750" t="s">
        <v>126</v>
      </c>
      <c r="AE405" s="700" t="s">
        <v>127</v>
      </c>
      <c r="AF405" s="700" t="s">
        <v>128</v>
      </c>
      <c r="AG405" s="750" t="s">
        <v>129</v>
      </c>
      <c r="AH405" s="700" t="s">
        <v>130</v>
      </c>
      <c r="AI405" s="700" t="s">
        <v>131</v>
      </c>
      <c r="AJ405" s="750" t="s">
        <v>126</v>
      </c>
      <c r="AK405" s="700" t="s">
        <v>127</v>
      </c>
      <c r="AL405" s="700" t="s">
        <v>128</v>
      </c>
      <c r="AM405" s="751" t="s">
        <v>129</v>
      </c>
      <c r="AN405" s="700" t="s">
        <v>130</v>
      </c>
      <c r="AO405" s="636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522" t="s">
        <v>15</v>
      </c>
      <c r="B406" s="503"/>
      <c r="C406" s="738" t="s">
        <v>227</v>
      </c>
      <c r="V406" s="601" t="s">
        <v>15</v>
      </c>
      <c r="W406" s="752"/>
      <c r="X406" s="752"/>
      <c r="Y406" s="752"/>
      <c r="Z406" s="753">
        <v>7681153.0316782109</v>
      </c>
      <c r="AA406" s="752"/>
      <c r="AB406" s="752"/>
      <c r="AC406" s="753"/>
      <c r="AD406" s="754"/>
      <c r="AE406" s="755"/>
      <c r="AF406" s="755">
        <v>7389320.120000001</v>
      </c>
      <c r="AG406" s="754"/>
      <c r="AH406" s="755"/>
      <c r="AI406" s="756"/>
      <c r="AJ406" s="754"/>
      <c r="AK406" s="755"/>
      <c r="AL406" s="755">
        <v>4218159.4199999794</v>
      </c>
      <c r="AM406" s="757"/>
      <c r="AN406" s="755"/>
      <c r="AO406" s="758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522" t="s">
        <v>132</v>
      </c>
      <c r="B407" s="503"/>
      <c r="C407" s="738" t="s">
        <v>227</v>
      </c>
      <c r="V407" s="759" t="s">
        <v>132</v>
      </c>
      <c r="W407" s="760"/>
      <c r="X407" s="761">
        <v>0.13042436694274911</v>
      </c>
      <c r="Y407" s="760"/>
      <c r="Z407" s="762">
        <v>1001809.5215470088</v>
      </c>
      <c r="AA407" s="760"/>
      <c r="AB407" s="760"/>
      <c r="AC407" s="762"/>
      <c r="AD407" s="761">
        <v>0.11427348068390353</v>
      </c>
      <c r="AE407" s="763"/>
      <c r="AF407" s="762">
        <v>844403.32999999984</v>
      </c>
      <c r="AG407" s="764"/>
      <c r="AH407" s="763">
        <v>-157406.19154700893</v>
      </c>
      <c r="AI407" s="765">
        <v>-0.15712187612665132</v>
      </c>
      <c r="AJ407" s="761">
        <v>0.17657891649813515</v>
      </c>
      <c r="AK407" s="763"/>
      <c r="AL407" s="763">
        <v>744838.01999999851</v>
      </c>
      <c r="AM407" s="766"/>
      <c r="AN407" s="763">
        <v>99565.310000001336</v>
      </c>
      <c r="AO407" s="767">
        <v>0.13367377513838719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522" t="s">
        <v>133</v>
      </c>
      <c r="B408" s="503"/>
      <c r="C408" s="738" t="s">
        <v>227</v>
      </c>
      <c r="V408" s="768" t="s">
        <v>133</v>
      </c>
      <c r="W408" s="769"/>
      <c r="X408" s="769"/>
      <c r="Y408" s="769"/>
      <c r="Z408" s="770"/>
      <c r="AA408" s="769"/>
      <c r="AB408" s="769"/>
      <c r="AC408" s="770"/>
      <c r="AD408" s="771"/>
      <c r="AE408" s="769"/>
      <c r="AF408" s="772"/>
      <c r="AG408" s="771"/>
      <c r="AH408" s="772"/>
      <c r="AI408" s="773"/>
      <c r="AJ408" s="771"/>
      <c r="AK408" s="769"/>
      <c r="AL408" s="772"/>
      <c r="AM408" s="774"/>
      <c r="AN408" s="772"/>
      <c r="AO408" s="775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522" t="s">
        <v>31</v>
      </c>
      <c r="B409" s="503"/>
      <c r="C409" s="738" t="s">
        <v>227</v>
      </c>
      <c r="V409" s="599" t="s">
        <v>31</v>
      </c>
      <c r="W409" s="776" t="s">
        <v>134</v>
      </c>
      <c r="X409" s="769"/>
      <c r="Y409" s="777">
        <v>674.88577714511337</v>
      </c>
      <c r="Z409" s="770">
        <v>79636.521703123377</v>
      </c>
      <c r="AA409" s="769"/>
      <c r="AB409" s="777"/>
      <c r="AC409" s="770"/>
      <c r="AD409" s="778"/>
      <c r="AE409" s="777">
        <v>480.83377551020408</v>
      </c>
      <c r="AF409" s="770">
        <v>47121.71</v>
      </c>
      <c r="AG409" s="771">
        <v>-194.05200163490929</v>
      </c>
      <c r="AH409" s="772">
        <v>-32514.811703123378</v>
      </c>
      <c r="AI409" s="773">
        <v>-0.40829020413944239</v>
      </c>
      <c r="AJ409" s="779">
        <v>6.6679880277862424E-2</v>
      </c>
      <c r="AK409" s="772">
        <v>709.5101428571428</v>
      </c>
      <c r="AL409" s="770">
        <v>49665.71</v>
      </c>
      <c r="AM409" s="774">
        <v>-194.05200163490929</v>
      </c>
      <c r="AN409" s="772">
        <v>-2544</v>
      </c>
      <c r="AO409" s="780">
        <v>-5.1222463144088751E-2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522" t="s">
        <v>32</v>
      </c>
      <c r="B410" s="503"/>
      <c r="C410" s="738" t="s">
        <v>227</v>
      </c>
      <c r="V410" s="601" t="s">
        <v>32</v>
      </c>
      <c r="W410" s="781" t="s">
        <v>135</v>
      </c>
      <c r="X410" s="752"/>
      <c r="Y410" s="782">
        <v>375.50847457627117</v>
      </c>
      <c r="Z410" s="753">
        <v>44310</v>
      </c>
      <c r="AA410" s="752"/>
      <c r="AB410" s="782"/>
      <c r="AC410" s="753"/>
      <c r="AD410" s="783"/>
      <c r="AE410" s="782">
        <v>393.74438775510203</v>
      </c>
      <c r="AF410" s="753">
        <v>38586.949999999997</v>
      </c>
      <c r="AG410" s="754">
        <v>18.235913178830856</v>
      </c>
      <c r="AH410" s="755">
        <v>-5723.0500000000029</v>
      </c>
      <c r="AI410" s="784">
        <v>-0.12915933197923726</v>
      </c>
      <c r="AJ410" s="785">
        <v>3.4201463024135167E-2</v>
      </c>
      <c r="AK410" s="755">
        <v>363.92214285714283</v>
      </c>
      <c r="AL410" s="753">
        <v>25474.55</v>
      </c>
      <c r="AM410" s="757">
        <v>18.235913178830856</v>
      </c>
      <c r="AN410" s="755">
        <v>13112.399999999998</v>
      </c>
      <c r="AO410" s="758">
        <v>0.51472548092115455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522" t="s">
        <v>33</v>
      </c>
      <c r="B411" s="503"/>
      <c r="C411" s="738" t="s">
        <v>227</v>
      </c>
      <c r="V411" s="599" t="s">
        <v>33</v>
      </c>
      <c r="W411" s="776" t="s">
        <v>136</v>
      </c>
      <c r="X411" s="769"/>
      <c r="Y411" s="777">
        <v>87.16101694915254</v>
      </c>
      <c r="Z411" s="770">
        <v>10285</v>
      </c>
      <c r="AA411" s="769"/>
      <c r="AB411" s="777"/>
      <c r="AC411" s="770"/>
      <c r="AD411" s="778"/>
      <c r="AE411" s="777">
        <v>49.169795918367349</v>
      </c>
      <c r="AF411" s="770">
        <v>4818.6400000000003</v>
      </c>
      <c r="AG411" s="771">
        <v>-37.991221030785191</v>
      </c>
      <c r="AH411" s="772">
        <v>-5466.36</v>
      </c>
      <c r="AI411" s="773">
        <v>-0.53148857559552742</v>
      </c>
      <c r="AJ411" s="779">
        <v>9.8601706717388223E-3</v>
      </c>
      <c r="AK411" s="772">
        <v>104.91757142857142</v>
      </c>
      <c r="AL411" s="770">
        <v>7344.23</v>
      </c>
      <c r="AM411" s="774">
        <v>-37.991221030785191</v>
      </c>
      <c r="AN411" s="772">
        <v>-2525.5899999999992</v>
      </c>
      <c r="AO411" s="780">
        <v>-0.34388765057739196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522" t="s">
        <v>34</v>
      </c>
      <c r="B412" s="503"/>
      <c r="C412" s="738" t="s">
        <v>227</v>
      </c>
      <c r="V412" s="599" t="s">
        <v>34</v>
      </c>
      <c r="W412" s="776" t="s">
        <v>137</v>
      </c>
      <c r="X412" s="769"/>
      <c r="Y412" s="777">
        <v>20.720338983050848</v>
      </c>
      <c r="Z412" s="770">
        <v>2445</v>
      </c>
      <c r="AA412" s="769"/>
      <c r="AB412" s="777"/>
      <c r="AC412" s="770"/>
      <c r="AD412" s="778"/>
      <c r="AE412" s="777">
        <v>22.790408163265308</v>
      </c>
      <c r="AF412" s="770">
        <v>2233.46</v>
      </c>
      <c r="AG412" s="771">
        <v>2.0700691802144604</v>
      </c>
      <c r="AH412" s="772">
        <v>-211.53999999999996</v>
      </c>
      <c r="AI412" s="773">
        <v>-8.6519427402862975E-2</v>
      </c>
      <c r="AJ412" s="779">
        <v>9.3086279349703632E-3</v>
      </c>
      <c r="AK412" s="772">
        <v>99.048857142857145</v>
      </c>
      <c r="AL412" s="770">
        <v>6933.42</v>
      </c>
      <c r="AM412" s="774">
        <v>2.0700691802144604</v>
      </c>
      <c r="AN412" s="772">
        <v>-4699.96</v>
      </c>
      <c r="AO412" s="780">
        <v>-0.67787037277418649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522" t="s">
        <v>35</v>
      </c>
      <c r="B413" s="503"/>
      <c r="C413" s="738" t="s">
        <v>227</v>
      </c>
      <c r="V413" s="601" t="s">
        <v>35</v>
      </c>
      <c r="W413" s="781"/>
      <c r="X413" s="752"/>
      <c r="Y413" s="782">
        <v>136.48516949152543</v>
      </c>
      <c r="Z413" s="753">
        <v>16105.25</v>
      </c>
      <c r="AA413" s="752"/>
      <c r="AB413" s="782"/>
      <c r="AC413" s="753"/>
      <c r="AD413" s="783"/>
      <c r="AE413" s="782">
        <v>120.2354081632653</v>
      </c>
      <c r="AF413" s="753">
        <v>11783.07</v>
      </c>
      <c r="AG413" s="754">
        <v>-16.249761328260121</v>
      </c>
      <c r="AH413" s="755">
        <v>-4322.18</v>
      </c>
      <c r="AI413" s="784">
        <v>-0.26837087285202033</v>
      </c>
      <c r="AJ413" s="785">
        <v>1.7287678198811638E-2</v>
      </c>
      <c r="AK413" s="755">
        <v>183.95028571428571</v>
      </c>
      <c r="AL413" s="753">
        <v>12876.52</v>
      </c>
      <c r="AM413" s="757">
        <v>-16.249761328260121</v>
      </c>
      <c r="AN413" s="755">
        <v>-1093.4500000000007</v>
      </c>
      <c r="AO413" s="758">
        <v>-8.4918130053772342E-2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522" t="s">
        <v>36</v>
      </c>
      <c r="B414" s="503"/>
      <c r="C414" s="738" t="s">
        <v>227</v>
      </c>
      <c r="V414" s="599" t="s">
        <v>36</v>
      </c>
      <c r="W414" s="776" t="s">
        <v>138</v>
      </c>
      <c r="X414" s="773"/>
      <c r="Y414" s="777">
        <v>123.2542372881356</v>
      </c>
      <c r="Z414" s="770">
        <v>14544</v>
      </c>
      <c r="AA414" s="773"/>
      <c r="AB414" s="777"/>
      <c r="AC414" s="770"/>
      <c r="AD414" s="778"/>
      <c r="AE414" s="777">
        <v>139.34704081632651</v>
      </c>
      <c r="AF414" s="770">
        <v>13656.009999999998</v>
      </c>
      <c r="AG414" s="771">
        <v>16.092803528190913</v>
      </c>
      <c r="AH414" s="772">
        <v>-887.9900000000016</v>
      </c>
      <c r="AI414" s="773">
        <v>-6.1055418041804289E-2</v>
      </c>
      <c r="AJ414" s="779">
        <v>4.0743314902211974E-2</v>
      </c>
      <c r="AK414" s="772">
        <v>433.53100000000001</v>
      </c>
      <c r="AL414" s="770">
        <v>30347.170000000002</v>
      </c>
      <c r="AM414" s="774">
        <v>16.092803528190913</v>
      </c>
      <c r="AN414" s="772">
        <v>-16691.160000000003</v>
      </c>
      <c r="AO414" s="780">
        <v>-0.55000713410838642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522" t="s">
        <v>37</v>
      </c>
      <c r="B415" s="503"/>
      <c r="C415" s="738" t="s">
        <v>227</v>
      </c>
      <c r="V415" s="599" t="s">
        <v>37</v>
      </c>
      <c r="W415" s="776" t="s">
        <v>139</v>
      </c>
      <c r="X415" s="769"/>
      <c r="Y415" s="777">
        <v>356.812899731838</v>
      </c>
      <c r="Z415" s="770">
        <v>42103.922168356883</v>
      </c>
      <c r="AA415" s="769"/>
      <c r="AB415" s="777"/>
      <c r="AC415" s="770"/>
      <c r="AD415" s="778"/>
      <c r="AE415" s="777">
        <v>179.36821428571429</v>
      </c>
      <c r="AF415" s="770">
        <v>25111.55</v>
      </c>
      <c r="AG415" s="771">
        <v>-177.44468544612371</v>
      </c>
      <c r="AH415" s="772">
        <v>-16992.372168356884</v>
      </c>
      <c r="AI415" s="773">
        <v>-0.4035816924706237</v>
      </c>
      <c r="AJ415" s="779">
        <v>-4.6776613256127919E-2</v>
      </c>
      <c r="AK415" s="772">
        <v>-497.72857142857146</v>
      </c>
      <c r="AL415" s="770">
        <v>-34841</v>
      </c>
      <c r="AM415" s="774">
        <v>-177.44468544612371</v>
      </c>
      <c r="AN415" s="772">
        <v>59952.55</v>
      </c>
      <c r="AO415" s="780">
        <v>-1.720747108291955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522" t="s">
        <v>20</v>
      </c>
      <c r="B416" s="503"/>
      <c r="C416" s="738" t="s">
        <v>227</v>
      </c>
      <c r="V416" s="599" t="s">
        <v>20</v>
      </c>
      <c r="W416" s="776"/>
      <c r="X416" s="773"/>
      <c r="Y416" s="777">
        <v>0</v>
      </c>
      <c r="Z416" s="770">
        <v>0</v>
      </c>
      <c r="AA416" s="769"/>
      <c r="AB416" s="777"/>
      <c r="AC416" s="770"/>
      <c r="AD416" s="778"/>
      <c r="AE416" s="777">
        <v>0</v>
      </c>
      <c r="AF416" s="770">
        <v>0</v>
      </c>
      <c r="AG416" s="771">
        <v>0</v>
      </c>
      <c r="AH416" s="772">
        <v>0</v>
      </c>
      <c r="AI416" s="773">
        <v>0</v>
      </c>
      <c r="AJ416" s="778"/>
      <c r="AK416" s="772">
        <v>0</v>
      </c>
      <c r="AL416" s="770">
        <v>0</v>
      </c>
      <c r="AM416" s="774">
        <v>0</v>
      </c>
      <c r="AN416" s="772">
        <v>0</v>
      </c>
      <c r="AO416" s="780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522" t="s">
        <v>20</v>
      </c>
      <c r="B417" s="503"/>
      <c r="C417" s="738" t="s">
        <v>227</v>
      </c>
      <c r="V417" s="599" t="s">
        <v>20</v>
      </c>
      <c r="W417" s="776"/>
      <c r="X417" s="773"/>
      <c r="Y417" s="777">
        <v>0</v>
      </c>
      <c r="Z417" s="770">
        <v>0</v>
      </c>
      <c r="AA417" s="769"/>
      <c r="AB417" s="777"/>
      <c r="AC417" s="770"/>
      <c r="AD417" s="778"/>
      <c r="AE417" s="777">
        <v>0</v>
      </c>
      <c r="AF417" s="770">
        <v>0</v>
      </c>
      <c r="AG417" s="771">
        <v>0</v>
      </c>
      <c r="AH417" s="772">
        <v>0</v>
      </c>
      <c r="AI417" s="773">
        <v>0</v>
      </c>
      <c r="AJ417" s="778"/>
      <c r="AK417" s="772">
        <v>0</v>
      </c>
      <c r="AL417" s="770">
        <v>0</v>
      </c>
      <c r="AM417" s="774">
        <v>0</v>
      </c>
      <c r="AN417" s="772">
        <v>0</v>
      </c>
      <c r="AO417" s="780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522" t="s">
        <v>20</v>
      </c>
      <c r="B418" s="503"/>
      <c r="C418" s="738" t="s">
        <v>227</v>
      </c>
      <c r="V418" s="599" t="s">
        <v>20</v>
      </c>
      <c r="W418" s="776" t="s">
        <v>139</v>
      </c>
      <c r="X418" s="769"/>
      <c r="Y418" s="777">
        <v>0</v>
      </c>
      <c r="Z418" s="770">
        <v>0</v>
      </c>
      <c r="AA418" s="769"/>
      <c r="AB418" s="777"/>
      <c r="AC418" s="770"/>
      <c r="AD418" s="778"/>
      <c r="AE418" s="777">
        <v>0</v>
      </c>
      <c r="AF418" s="770">
        <v>0</v>
      </c>
      <c r="AG418" s="771">
        <v>0</v>
      </c>
      <c r="AH418" s="772">
        <v>0</v>
      </c>
      <c r="AI418" s="773">
        <v>0</v>
      </c>
      <c r="AJ418" s="778"/>
      <c r="AK418" s="772">
        <v>0</v>
      </c>
      <c r="AL418" s="770">
        <v>0</v>
      </c>
      <c r="AM418" s="774">
        <v>0</v>
      </c>
      <c r="AN418" s="772">
        <v>0</v>
      </c>
      <c r="AO418" s="780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522" t="s">
        <v>38</v>
      </c>
      <c r="B419" s="503"/>
      <c r="C419" s="738" t="s">
        <v>227</v>
      </c>
      <c r="V419" s="786" t="s">
        <v>38</v>
      </c>
      <c r="W419" s="787"/>
      <c r="X419" s="788">
        <v>0.20905141083913428</v>
      </c>
      <c r="Y419" s="787"/>
      <c r="Z419" s="789">
        <v>209429.69387148027</v>
      </c>
      <c r="AA419" s="788"/>
      <c r="AB419" s="787"/>
      <c r="AC419" s="789"/>
      <c r="AD419" s="790">
        <v>0.1697191198902544</v>
      </c>
      <c r="AE419" s="787"/>
      <c r="AF419" s="789">
        <v>143311.39000000001</v>
      </c>
      <c r="AG419" s="791"/>
      <c r="AH419" s="792">
        <v>-66118.303871480253</v>
      </c>
      <c r="AI419" s="788">
        <v>-0.31570644376749535</v>
      </c>
      <c r="AJ419" s="790">
        <v>0.13130452175360249</v>
      </c>
      <c r="AK419" s="787"/>
      <c r="AL419" s="789">
        <v>97800.6</v>
      </c>
      <c r="AM419" s="793"/>
      <c r="AN419" s="792">
        <v>45510.790000000008</v>
      </c>
      <c r="AO419" s="767">
        <v>0.46534264615963505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522" t="s">
        <v>140</v>
      </c>
      <c r="B420" s="503"/>
      <c r="C420" s="738" t="s">
        <v>227</v>
      </c>
      <c r="V420" s="599" t="s">
        <v>140</v>
      </c>
      <c r="W420" s="776" t="s">
        <v>141</v>
      </c>
      <c r="X420" s="769"/>
      <c r="Y420" s="769"/>
      <c r="Z420" s="770">
        <v>14451.14423076923</v>
      </c>
      <c r="AA420" s="769"/>
      <c r="AB420" s="769"/>
      <c r="AC420" s="770"/>
      <c r="AD420" s="778"/>
      <c r="AE420" s="777"/>
      <c r="AF420" s="770">
        <v>15260.759999999998</v>
      </c>
      <c r="AG420" s="771"/>
      <c r="AH420" s="772">
        <v>809.61576923076791</v>
      </c>
      <c r="AI420" s="773">
        <v>5.6024336640896726E-2</v>
      </c>
      <c r="AJ420" s="778"/>
      <c r="AK420" s="769"/>
      <c r="AL420" s="770">
        <v>18548.379999999899</v>
      </c>
      <c r="AM420" s="774"/>
      <c r="AN420" s="772">
        <v>-3287.6199999999008</v>
      </c>
      <c r="AO420" s="780">
        <v>-0.1772456678157294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522" t="s">
        <v>41</v>
      </c>
      <c r="B421" s="503"/>
      <c r="C421" s="738" t="s">
        <v>227</v>
      </c>
      <c r="V421" s="599" t="s">
        <v>41</v>
      </c>
      <c r="W421" s="776" t="s">
        <v>142</v>
      </c>
      <c r="X421" s="769"/>
      <c r="Y421" s="769"/>
      <c r="Z421" s="770">
        <v>56603.570512820515</v>
      </c>
      <c r="AA421" s="769"/>
      <c r="AB421" s="769"/>
      <c r="AC421" s="770"/>
      <c r="AD421" s="778"/>
      <c r="AE421" s="777"/>
      <c r="AF421" s="770">
        <v>49602.64</v>
      </c>
      <c r="AG421" s="771"/>
      <c r="AH421" s="772">
        <v>-7000.930512820516</v>
      </c>
      <c r="AI421" s="773">
        <v>-0.1236835494544435</v>
      </c>
      <c r="AJ421" s="778"/>
      <c r="AK421" s="769"/>
      <c r="AL421" s="770">
        <v>62349.029999999992</v>
      </c>
      <c r="AM421" s="774"/>
      <c r="AN421" s="772">
        <v>-12746.389999999992</v>
      </c>
      <c r="AO421" s="780">
        <v>-0.20443605939017806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522" t="s">
        <v>42</v>
      </c>
      <c r="B422" s="503"/>
      <c r="C422" s="738" t="s">
        <v>227</v>
      </c>
      <c r="V422" s="601" t="s">
        <v>42</v>
      </c>
      <c r="W422" s="781" t="s">
        <v>143</v>
      </c>
      <c r="X422" s="752"/>
      <c r="Y422" s="752"/>
      <c r="Z422" s="753">
        <v>62004.212615384618</v>
      </c>
      <c r="AA422" s="752"/>
      <c r="AB422" s="752"/>
      <c r="AC422" s="753"/>
      <c r="AD422" s="783"/>
      <c r="AE422" s="782"/>
      <c r="AF422" s="753">
        <v>51777.290000000008</v>
      </c>
      <c r="AG422" s="754"/>
      <c r="AH422" s="755">
        <v>-10226.92261538461</v>
      </c>
      <c r="AI422" s="784">
        <v>-0.16493915790565308</v>
      </c>
      <c r="AJ422" s="783"/>
      <c r="AK422" s="752"/>
      <c r="AL422" s="753">
        <v>64124.239999999991</v>
      </c>
      <c r="AM422" s="757"/>
      <c r="AN422" s="755">
        <v>-12346.949999999983</v>
      </c>
      <c r="AO422" s="758">
        <v>-0.19254731128197364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522" t="s">
        <v>43</v>
      </c>
      <c r="B423" s="503"/>
      <c r="C423" s="738" t="s">
        <v>227</v>
      </c>
      <c r="V423" s="599" t="s">
        <v>43</v>
      </c>
      <c r="W423" s="776" t="s">
        <v>144</v>
      </c>
      <c r="X423" s="769"/>
      <c r="Y423" s="769"/>
      <c r="Z423" s="770">
        <v>19486</v>
      </c>
      <c r="AA423" s="769"/>
      <c r="AB423" s="769"/>
      <c r="AC423" s="770"/>
      <c r="AD423" s="778"/>
      <c r="AE423" s="777"/>
      <c r="AF423" s="770">
        <v>37174.44</v>
      </c>
      <c r="AG423" s="771"/>
      <c r="AH423" s="772">
        <v>17688.440000000002</v>
      </c>
      <c r="AI423" s="773">
        <v>0.90775120599404713</v>
      </c>
      <c r="AJ423" s="778"/>
      <c r="AK423" s="769"/>
      <c r="AL423" s="770">
        <v>51665.94</v>
      </c>
      <c r="AM423" s="774"/>
      <c r="AN423" s="772">
        <v>-14491.5</v>
      </c>
      <c r="AO423" s="780">
        <v>-0.28048459004133092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522" t="s">
        <v>44</v>
      </c>
      <c r="B424" s="503"/>
      <c r="C424" s="738" t="s">
        <v>227</v>
      </c>
      <c r="V424" s="599" t="s">
        <v>44</v>
      </c>
      <c r="W424" s="776" t="s">
        <v>145</v>
      </c>
      <c r="X424" s="769"/>
      <c r="Y424" s="769"/>
      <c r="Z424" s="770">
        <v>44182.485366153844</v>
      </c>
      <c r="AA424" s="769"/>
      <c r="AB424" s="769"/>
      <c r="AC424" s="770"/>
      <c r="AD424" s="778"/>
      <c r="AE424" s="777"/>
      <c r="AF424" s="770">
        <v>32534.71</v>
      </c>
      <c r="AG424" s="771"/>
      <c r="AH424" s="772">
        <v>-11647.775366153845</v>
      </c>
      <c r="AI424" s="773">
        <v>-0.2636287947503439</v>
      </c>
      <c r="AJ424" s="778"/>
      <c r="AK424" s="769"/>
      <c r="AL424" s="770">
        <v>39319.25</v>
      </c>
      <c r="AM424" s="774"/>
      <c r="AN424" s="772">
        <v>-6784.5400000000009</v>
      </c>
      <c r="AO424" s="780">
        <v>-0.17255008678954967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522" t="s">
        <v>20</v>
      </c>
      <c r="B425" s="503"/>
      <c r="C425" s="738" t="s">
        <v>227</v>
      </c>
      <c r="V425" s="599" t="s">
        <v>20</v>
      </c>
      <c r="W425" s="776"/>
      <c r="X425" s="769"/>
      <c r="Y425" s="769"/>
      <c r="Z425" s="770">
        <v>0</v>
      </c>
      <c r="AA425" s="769"/>
      <c r="AB425" s="769"/>
      <c r="AC425" s="770"/>
      <c r="AD425" s="778"/>
      <c r="AE425" s="777"/>
      <c r="AF425" s="770">
        <v>0</v>
      </c>
      <c r="AG425" s="771"/>
      <c r="AH425" s="772">
        <v>0</v>
      </c>
      <c r="AI425" s="773">
        <v>0</v>
      </c>
      <c r="AJ425" s="778"/>
      <c r="AK425" s="769"/>
      <c r="AL425" s="770">
        <v>0</v>
      </c>
      <c r="AM425" s="774"/>
      <c r="AN425" s="772">
        <v>0</v>
      </c>
      <c r="AO425" s="780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522" t="s">
        <v>20</v>
      </c>
      <c r="B426" s="503"/>
      <c r="C426" s="738" t="s">
        <v>227</v>
      </c>
      <c r="V426" s="599" t="s">
        <v>20</v>
      </c>
      <c r="W426" s="776"/>
      <c r="X426" s="769"/>
      <c r="Y426" s="769"/>
      <c r="Z426" s="770">
        <v>0</v>
      </c>
      <c r="AA426" s="769"/>
      <c r="AB426" s="769"/>
      <c r="AC426" s="770"/>
      <c r="AD426" s="778"/>
      <c r="AE426" s="777"/>
      <c r="AF426" s="770">
        <v>0</v>
      </c>
      <c r="AG426" s="771"/>
      <c r="AH426" s="772">
        <v>0</v>
      </c>
      <c r="AI426" s="773">
        <v>0</v>
      </c>
      <c r="AJ426" s="778"/>
      <c r="AK426" s="769"/>
      <c r="AL426" s="770">
        <v>0</v>
      </c>
      <c r="AM426" s="774"/>
      <c r="AN426" s="772">
        <v>0</v>
      </c>
      <c r="AO426" s="780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522" t="s">
        <v>20</v>
      </c>
      <c r="B427" s="503"/>
      <c r="C427" s="738" t="s">
        <v>227</v>
      </c>
      <c r="V427" s="599" t="s">
        <v>20</v>
      </c>
      <c r="W427" s="776"/>
      <c r="X427" s="769"/>
      <c r="Y427" s="769"/>
      <c r="Z427" s="770">
        <v>0</v>
      </c>
      <c r="AA427" s="769"/>
      <c r="AB427" s="769"/>
      <c r="AC427" s="770"/>
      <c r="AD427" s="778"/>
      <c r="AE427" s="777"/>
      <c r="AF427" s="770">
        <v>0</v>
      </c>
      <c r="AG427" s="771"/>
      <c r="AH427" s="772">
        <v>0</v>
      </c>
      <c r="AI427" s="773">
        <v>0</v>
      </c>
      <c r="AJ427" s="778"/>
      <c r="AK427" s="769"/>
      <c r="AL427" s="770">
        <v>0</v>
      </c>
      <c r="AM427" s="774"/>
      <c r="AN427" s="772">
        <v>0</v>
      </c>
      <c r="AO427" s="780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522" t="s">
        <v>45</v>
      </c>
      <c r="B428" s="503"/>
      <c r="C428" s="738" t="s">
        <v>227</v>
      </c>
      <c r="V428" s="601" t="s">
        <v>45</v>
      </c>
      <c r="W428" s="781" t="s">
        <v>146</v>
      </c>
      <c r="X428" s="752"/>
      <c r="Y428" s="794">
        <v>0.10668796274517098</v>
      </c>
      <c r="Z428" s="753">
        <v>49703.901498454761</v>
      </c>
      <c r="AA428" s="752"/>
      <c r="AB428" s="752"/>
      <c r="AC428" s="753"/>
      <c r="AD428" s="783"/>
      <c r="AE428" s="782"/>
      <c r="AF428" s="753">
        <v>44336.850000000006</v>
      </c>
      <c r="AG428" s="754"/>
      <c r="AH428" s="755">
        <v>-5367.0514984547553</v>
      </c>
      <c r="AI428" s="784">
        <v>-0.10798048717808623</v>
      </c>
      <c r="AJ428" s="783"/>
      <c r="AK428" s="752"/>
      <c r="AL428" s="753">
        <v>30858.44</v>
      </c>
      <c r="AM428" s="757"/>
      <c r="AN428" s="755">
        <v>13478.410000000007</v>
      </c>
      <c r="AO428" s="758">
        <v>0.43678196305451628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522" t="s">
        <v>46</v>
      </c>
      <c r="B429" s="503"/>
      <c r="C429" s="738" t="s">
        <v>227</v>
      </c>
      <c r="V429" s="599" t="s">
        <v>46</v>
      </c>
      <c r="W429" s="776" t="s">
        <v>147</v>
      </c>
      <c r="X429" s="769"/>
      <c r="Y429" s="795">
        <v>0.129717522985318</v>
      </c>
      <c r="Z429" s="770">
        <v>60432.937504729132</v>
      </c>
      <c r="AA429" s="769"/>
      <c r="AB429" s="769"/>
      <c r="AC429" s="770"/>
      <c r="AD429" s="778"/>
      <c r="AE429" s="777"/>
      <c r="AF429" s="770">
        <v>60148.51</v>
      </c>
      <c r="AG429" s="771"/>
      <c r="AH429" s="772">
        <v>-284.42750472913031</v>
      </c>
      <c r="AI429" s="773">
        <v>-4.7064980865256243E-3</v>
      </c>
      <c r="AJ429" s="778"/>
      <c r="AK429" s="769"/>
      <c r="AL429" s="770">
        <v>51518.049999999988</v>
      </c>
      <c r="AM429" s="774"/>
      <c r="AN429" s="772">
        <v>8630.4600000000137</v>
      </c>
      <c r="AO429" s="780">
        <v>0.16752303318933881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522" t="s">
        <v>47</v>
      </c>
      <c r="B430" s="503"/>
      <c r="C430" s="738" t="s">
        <v>227</v>
      </c>
      <c r="V430" s="599" t="s">
        <v>47</v>
      </c>
      <c r="W430" s="776" t="s">
        <v>148</v>
      </c>
      <c r="X430" s="769"/>
      <c r="Y430" s="795">
        <v>6.6832723798957314E-2</v>
      </c>
      <c r="Z430" s="770">
        <v>31136.100410045223</v>
      </c>
      <c r="AA430" s="769"/>
      <c r="AB430" s="769"/>
      <c r="AC430" s="770"/>
      <c r="AD430" s="778"/>
      <c r="AE430" s="777"/>
      <c r="AF430" s="770">
        <v>28690.11</v>
      </c>
      <c r="AG430" s="771"/>
      <c r="AH430" s="772">
        <v>-2445.9904100452222</v>
      </c>
      <c r="AI430" s="773">
        <v>-7.8558020363272252E-2</v>
      </c>
      <c r="AJ430" s="778"/>
      <c r="AK430" s="769"/>
      <c r="AL430" s="770">
        <v>1624.6099999999992</v>
      </c>
      <c r="AM430" s="774"/>
      <c r="AN430" s="772">
        <v>27065.5</v>
      </c>
      <c r="AO430" s="780">
        <v>16.659690633444342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522" t="s">
        <v>48</v>
      </c>
      <c r="B431" s="503"/>
      <c r="C431" s="738" t="s">
        <v>227</v>
      </c>
      <c r="V431" s="599" t="s">
        <v>48</v>
      </c>
      <c r="W431" s="776"/>
      <c r="X431" s="769"/>
      <c r="Y431" s="769"/>
      <c r="Z431" s="770">
        <v>13575.514946714513</v>
      </c>
      <c r="AA431" s="769"/>
      <c r="AB431" s="769"/>
      <c r="AC431" s="770"/>
      <c r="AD431" s="778"/>
      <c r="AE431" s="777"/>
      <c r="AF431" s="770">
        <v>6454.65</v>
      </c>
      <c r="AG431" s="771"/>
      <c r="AH431" s="772">
        <v>-7120.8649467145133</v>
      </c>
      <c r="AI431" s="796">
        <v>-0.52453737295894431</v>
      </c>
      <c r="AJ431" s="778"/>
      <c r="AK431" s="769"/>
      <c r="AL431" s="770">
        <v>8487.58</v>
      </c>
      <c r="AM431" s="774"/>
      <c r="AN431" s="772">
        <v>-2032.9300000000003</v>
      </c>
      <c r="AO431" s="780">
        <v>-0.23951821367221285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522" t="s">
        <v>20</v>
      </c>
      <c r="B432" s="503"/>
      <c r="C432" s="738" t="s">
        <v>227</v>
      </c>
      <c r="V432" s="530" t="s">
        <v>20</v>
      </c>
      <c r="W432" s="776"/>
      <c r="X432" s="769"/>
      <c r="Y432" s="777"/>
      <c r="Z432" s="770">
        <v>0</v>
      </c>
      <c r="AA432" s="769"/>
      <c r="AB432" s="769"/>
      <c r="AC432" s="770"/>
      <c r="AD432" s="778"/>
      <c r="AE432" s="777"/>
      <c r="AF432" s="770">
        <v>0</v>
      </c>
      <c r="AG432" s="771"/>
      <c r="AH432" s="772">
        <v>0</v>
      </c>
      <c r="AI432" s="773">
        <v>0</v>
      </c>
      <c r="AJ432" s="778"/>
      <c r="AK432" s="769"/>
      <c r="AL432" s="770">
        <v>0</v>
      </c>
      <c r="AM432" s="774"/>
      <c r="AN432" s="772"/>
      <c r="AO432" s="758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522" t="s">
        <v>49</v>
      </c>
      <c r="B433" s="503"/>
      <c r="C433" s="738" t="s">
        <v>227</v>
      </c>
      <c r="V433" s="786" t="s">
        <v>49</v>
      </c>
      <c r="W433" s="787"/>
      <c r="X433" s="788">
        <v>0.35094083208768401</v>
      </c>
      <c r="Y433" s="787"/>
      <c r="Z433" s="789">
        <v>351575.86708507186</v>
      </c>
      <c r="AA433" s="788"/>
      <c r="AB433" s="787"/>
      <c r="AC433" s="789"/>
      <c r="AD433" s="790">
        <v>0.38604769595117544</v>
      </c>
      <c r="AE433" s="797"/>
      <c r="AF433" s="789">
        <v>325979.96000000002</v>
      </c>
      <c r="AG433" s="791"/>
      <c r="AH433" s="792">
        <v>-25595.907085071842</v>
      </c>
      <c r="AI433" s="788">
        <v>-7.2803367584039339E-2</v>
      </c>
      <c r="AJ433" s="790">
        <v>0.44102947376397422</v>
      </c>
      <c r="AK433" s="787"/>
      <c r="AL433" s="789">
        <v>328495.51999999984</v>
      </c>
      <c r="AM433" s="798"/>
      <c r="AN433" s="792">
        <v>-2515.559999999823</v>
      </c>
      <c r="AO433" s="767">
        <v>-7.6578213304090851E-3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522" t="s">
        <v>50</v>
      </c>
      <c r="B434" s="503"/>
      <c r="C434" s="738" t="s">
        <v>227</v>
      </c>
      <c r="V434" s="705" t="s">
        <v>50</v>
      </c>
      <c r="W434" s="799" t="s">
        <v>138</v>
      </c>
      <c r="X434" s="800"/>
      <c r="Y434" s="800"/>
      <c r="Z434" s="801">
        <v>26465.184486138867</v>
      </c>
      <c r="AA434" s="800"/>
      <c r="AB434" s="800"/>
      <c r="AC434" s="801"/>
      <c r="AD434" s="802"/>
      <c r="AE434" s="803"/>
      <c r="AF434" s="801">
        <v>23762.89</v>
      </c>
      <c r="AG434" s="802"/>
      <c r="AH434" s="804">
        <v>-2702.2944861388678</v>
      </c>
      <c r="AI434" s="805">
        <v>-0.10210752498453936</v>
      </c>
      <c r="AJ434" s="802"/>
      <c r="AK434" s="800"/>
      <c r="AL434" s="801">
        <v>16041.85</v>
      </c>
      <c r="AM434" s="806"/>
      <c r="AN434" s="804">
        <v>7721.0399999999991</v>
      </c>
      <c r="AO434" s="775">
        <v>0.48130608377462691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522" t="s">
        <v>51</v>
      </c>
      <c r="B435" s="503"/>
      <c r="C435" s="738" t="s">
        <v>227</v>
      </c>
      <c r="V435" s="599" t="s">
        <v>51</v>
      </c>
      <c r="W435" s="776" t="s">
        <v>149</v>
      </c>
      <c r="X435" s="769"/>
      <c r="Y435" s="769"/>
      <c r="Z435" s="770">
        <v>4545.3811628057083</v>
      </c>
      <c r="AA435" s="769"/>
      <c r="AB435" s="769"/>
      <c r="AC435" s="770"/>
      <c r="AD435" s="778"/>
      <c r="AE435" s="777"/>
      <c r="AF435" s="770">
        <v>4156.46</v>
      </c>
      <c r="AG435" s="771"/>
      <c r="AH435" s="772">
        <v>-388.92116280570826</v>
      </c>
      <c r="AI435" s="773">
        <v>-8.5564037178708363E-2</v>
      </c>
      <c r="AJ435" s="778"/>
      <c r="AK435" s="769"/>
      <c r="AL435" s="770">
        <v>9244.6799999999894</v>
      </c>
      <c r="AM435" s="774"/>
      <c r="AN435" s="772">
        <v>-5088.2199999999893</v>
      </c>
      <c r="AO435" s="780">
        <v>-0.55039438898912618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522" t="s">
        <v>52</v>
      </c>
      <c r="B436" s="503"/>
      <c r="C436" s="738" t="s">
        <v>227</v>
      </c>
      <c r="U436" s="807"/>
      <c r="V436" s="601" t="s">
        <v>52</v>
      </c>
      <c r="W436" s="781" t="s">
        <v>150</v>
      </c>
      <c r="X436" s="752"/>
      <c r="Y436" s="752"/>
      <c r="Z436" s="753">
        <v>30709.264666666666</v>
      </c>
      <c r="AA436" s="752"/>
      <c r="AB436" s="752"/>
      <c r="AC436" s="753"/>
      <c r="AD436" s="783"/>
      <c r="AE436" s="782"/>
      <c r="AF436" s="753">
        <v>29968.79</v>
      </c>
      <c r="AG436" s="754"/>
      <c r="AH436" s="755">
        <v>-740.47466666666514</v>
      </c>
      <c r="AI436" s="784">
        <v>-2.4112419320492962E-2</v>
      </c>
      <c r="AJ436" s="783"/>
      <c r="AK436" s="752"/>
      <c r="AL436" s="753">
        <v>31171.79</v>
      </c>
      <c r="AM436" s="757"/>
      <c r="AN436" s="755">
        <v>-1203</v>
      </c>
      <c r="AO436" s="758">
        <v>-3.8592586437929934E-2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522" t="s">
        <v>53</v>
      </c>
      <c r="B437" s="503"/>
      <c r="C437" s="738" t="s">
        <v>227</v>
      </c>
      <c r="U437" s="807"/>
      <c r="V437" s="599" t="s">
        <v>53</v>
      </c>
      <c r="W437" s="776" t="s">
        <v>151</v>
      </c>
      <c r="X437" s="769"/>
      <c r="Y437" s="769"/>
      <c r="Z437" s="770">
        <v>22402.080143777777</v>
      </c>
      <c r="AA437" s="769"/>
      <c r="AB437" s="769"/>
      <c r="AC437" s="770"/>
      <c r="AD437" s="778"/>
      <c r="AE437" s="777"/>
      <c r="AF437" s="770">
        <v>22303.769999999997</v>
      </c>
      <c r="AG437" s="771"/>
      <c r="AH437" s="808">
        <v>-98.310143777780468</v>
      </c>
      <c r="AI437" s="773">
        <v>-4.3884381783664992E-3</v>
      </c>
      <c r="AJ437" s="778"/>
      <c r="AK437" s="769"/>
      <c r="AL437" s="770">
        <v>20276.379999999997</v>
      </c>
      <c r="AM437" s="774"/>
      <c r="AN437" s="772">
        <v>2027.3899999999994</v>
      </c>
      <c r="AO437" s="780">
        <v>9.9987769019913797E-2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522" t="s">
        <v>54</v>
      </c>
      <c r="B438" s="503"/>
      <c r="C438" s="738" t="s">
        <v>227</v>
      </c>
      <c r="U438" s="807"/>
      <c r="V438" s="599" t="s">
        <v>54</v>
      </c>
      <c r="W438" s="776" t="s">
        <v>152</v>
      </c>
      <c r="X438" s="769"/>
      <c r="Y438" s="769"/>
      <c r="Z438" s="770">
        <v>3905.5576324861113</v>
      </c>
      <c r="AA438" s="769"/>
      <c r="AB438" s="769"/>
      <c r="AC438" s="770"/>
      <c r="AD438" s="778"/>
      <c r="AE438" s="777"/>
      <c r="AF438" s="770">
        <v>5316.05</v>
      </c>
      <c r="AG438" s="771"/>
      <c r="AH438" s="772">
        <v>1410.4923675138889</v>
      </c>
      <c r="AI438" s="773">
        <v>0.36115005851700355</v>
      </c>
      <c r="AJ438" s="778"/>
      <c r="AK438" s="769"/>
      <c r="AL438" s="770">
        <v>7234.8</v>
      </c>
      <c r="AM438" s="774"/>
      <c r="AN438" s="772">
        <v>-1918.75</v>
      </c>
      <c r="AO438" s="780">
        <v>-0.26521120141538118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522" t="s">
        <v>55</v>
      </c>
      <c r="B439" s="503"/>
      <c r="C439" s="738" t="s">
        <v>227</v>
      </c>
      <c r="V439" s="599" t="s">
        <v>55</v>
      </c>
      <c r="W439" s="776" t="s">
        <v>153</v>
      </c>
      <c r="X439" s="769"/>
      <c r="Y439" s="769"/>
      <c r="Z439" s="770">
        <v>36918.054597609284</v>
      </c>
      <c r="AA439" s="769"/>
      <c r="AB439" s="769"/>
      <c r="AC439" s="770"/>
      <c r="AD439" s="778"/>
      <c r="AE439" s="777"/>
      <c r="AF439" s="770">
        <v>45881.840000000004</v>
      </c>
      <c r="AG439" s="771"/>
      <c r="AH439" s="772">
        <v>8963.7854023907203</v>
      </c>
      <c r="AI439" s="773">
        <v>0.24280221425782256</v>
      </c>
      <c r="AJ439" s="778"/>
      <c r="AK439" s="769"/>
      <c r="AL439" s="770">
        <v>36937.01</v>
      </c>
      <c r="AM439" s="774"/>
      <c r="AN439" s="772">
        <v>8944.8300000000017</v>
      </c>
      <c r="AO439" s="780">
        <v>0.2421644307430407</v>
      </c>
      <c r="AP439" s="506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8" t="s">
        <v>227</v>
      </c>
      <c r="V440" s="705" t="s">
        <v>98</v>
      </c>
      <c r="W440" s="799"/>
      <c r="X440" s="800"/>
      <c r="Y440" s="800"/>
      <c r="Z440" s="801">
        <v>0</v>
      </c>
      <c r="AA440" s="800"/>
      <c r="AB440" s="800"/>
      <c r="AC440" s="801"/>
      <c r="AD440" s="802"/>
      <c r="AE440" s="803"/>
      <c r="AF440" s="801">
        <v>0</v>
      </c>
      <c r="AG440" s="809"/>
      <c r="AH440" s="804">
        <v>0</v>
      </c>
      <c r="AI440" s="805">
        <v>0</v>
      </c>
      <c r="AJ440" s="802"/>
      <c r="AK440" s="800"/>
      <c r="AL440" s="801">
        <v>0</v>
      </c>
      <c r="AM440" s="806"/>
      <c r="AN440" s="804">
        <v>0</v>
      </c>
      <c r="AO440" s="775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522" t="s">
        <v>56</v>
      </c>
      <c r="B441" s="503"/>
      <c r="C441" s="738" t="s">
        <v>227</v>
      </c>
      <c r="V441" s="599" t="s">
        <v>56</v>
      </c>
      <c r="W441" s="776" t="s">
        <v>154</v>
      </c>
      <c r="X441" s="769"/>
      <c r="Y441" s="777"/>
      <c r="Z441" s="770">
        <v>5252.6901555555569</v>
      </c>
      <c r="AA441" s="769"/>
      <c r="AB441" s="777"/>
      <c r="AC441" s="770"/>
      <c r="AD441" s="778"/>
      <c r="AE441" s="777"/>
      <c r="AF441" s="770">
        <v>2562.7399999999998</v>
      </c>
      <c r="AG441" s="771"/>
      <c r="AH441" s="772">
        <v>-2689.9501555555571</v>
      </c>
      <c r="AI441" s="773">
        <v>-0.51210904810566571</v>
      </c>
      <c r="AJ441" s="778"/>
      <c r="AK441" s="769"/>
      <c r="AL441" s="770">
        <v>4505.9299999999994</v>
      </c>
      <c r="AM441" s="774"/>
      <c r="AN441" s="772">
        <v>-1943.1899999999996</v>
      </c>
      <c r="AO441" s="780">
        <v>-0.43125170608509228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522" t="s">
        <v>57</v>
      </c>
      <c r="B442" s="503"/>
      <c r="C442" s="738" t="s">
        <v>227</v>
      </c>
      <c r="U442" s="506"/>
      <c r="V442" s="599" t="s">
        <v>57</v>
      </c>
      <c r="W442" s="776" t="s">
        <v>155</v>
      </c>
      <c r="X442" s="769"/>
      <c r="Y442" s="769"/>
      <c r="Z442" s="770">
        <v>1333.7987401197504</v>
      </c>
      <c r="AA442" s="769"/>
      <c r="AB442" s="769"/>
      <c r="AC442" s="770"/>
      <c r="AD442" s="778"/>
      <c r="AE442" s="777"/>
      <c r="AF442" s="770">
        <v>373.79</v>
      </c>
      <c r="AG442" s="771"/>
      <c r="AH442" s="772">
        <v>-960.00874011975043</v>
      </c>
      <c r="AI442" s="796">
        <v>-0.71975532083165672</v>
      </c>
      <c r="AJ442" s="778"/>
      <c r="AK442" s="769"/>
      <c r="AL442" s="770">
        <v>1200.28</v>
      </c>
      <c r="AM442" s="774"/>
      <c r="AN442" s="772">
        <v>-826.49</v>
      </c>
      <c r="AO442" s="780">
        <v>-0.68858099776718773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522" t="s">
        <v>58</v>
      </c>
      <c r="B443" s="503"/>
      <c r="C443" s="738" t="s">
        <v>227</v>
      </c>
      <c r="T443" s="506"/>
      <c r="U443" s="506"/>
      <c r="V443" s="599" t="s">
        <v>58</v>
      </c>
      <c r="W443" s="776" t="s">
        <v>156</v>
      </c>
      <c r="X443" s="769"/>
      <c r="Y443" s="769"/>
      <c r="Z443" s="770">
        <v>2760.7503854659999</v>
      </c>
      <c r="AA443" s="769"/>
      <c r="AB443" s="769"/>
      <c r="AC443" s="770"/>
      <c r="AD443" s="778"/>
      <c r="AE443" s="777"/>
      <c r="AF443" s="770">
        <v>5108.1000000000004</v>
      </c>
      <c r="AG443" s="771"/>
      <c r="AH443" s="772">
        <v>2347.3496145340005</v>
      </c>
      <c r="AI443" s="773">
        <v>0.85025782370316705</v>
      </c>
      <c r="AJ443" s="778"/>
      <c r="AK443" s="769"/>
      <c r="AL443" s="770">
        <v>4314.07</v>
      </c>
      <c r="AM443" s="774"/>
      <c r="AN443" s="772">
        <v>794.03000000000065</v>
      </c>
      <c r="AO443" s="780">
        <v>0.18405589153629884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522" t="s">
        <v>59</v>
      </c>
      <c r="B444" s="503"/>
      <c r="C444" s="738" t="s">
        <v>227</v>
      </c>
      <c r="T444" s="506"/>
      <c r="U444" s="506"/>
      <c r="V444" s="599" t="s">
        <v>59</v>
      </c>
      <c r="W444" s="776" t="s">
        <v>157</v>
      </c>
      <c r="X444" s="769"/>
      <c r="Y444" s="769"/>
      <c r="Z444" s="770">
        <v>734.68076036869445</v>
      </c>
      <c r="AA444" s="769"/>
      <c r="AB444" s="769"/>
      <c r="AC444" s="770"/>
      <c r="AD444" s="778"/>
      <c r="AE444" s="777"/>
      <c r="AF444" s="770">
        <v>866.82</v>
      </c>
      <c r="AG444" s="771"/>
      <c r="AH444" s="772">
        <v>132.1392396313056</v>
      </c>
      <c r="AI444" s="796">
        <v>0.17985939847532204</v>
      </c>
      <c r="AJ444" s="778"/>
      <c r="AK444" s="769"/>
      <c r="AL444" s="770">
        <v>750.08999999999992</v>
      </c>
      <c r="AM444" s="774"/>
      <c r="AN444" s="772">
        <v>116.73000000000013</v>
      </c>
      <c r="AO444" s="780">
        <v>0.15562132544094728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522" t="s">
        <v>60</v>
      </c>
      <c r="B445" s="503"/>
      <c r="C445" s="738" t="s">
        <v>227</v>
      </c>
      <c r="T445" s="506"/>
      <c r="U445" s="506"/>
      <c r="V445" s="599" t="s">
        <v>60</v>
      </c>
      <c r="W445" s="776" t="s">
        <v>158</v>
      </c>
      <c r="X445" s="769"/>
      <c r="Y445" s="769"/>
      <c r="Z445" s="770">
        <v>235.21156215130546</v>
      </c>
      <c r="AA445" s="769"/>
      <c r="AB445" s="769"/>
      <c r="AC445" s="770"/>
      <c r="AD445" s="778"/>
      <c r="AE445" s="777"/>
      <c r="AF445" s="770">
        <v>-440.84999999999997</v>
      </c>
      <c r="AG445" s="771"/>
      <c r="AH445" s="772">
        <v>-676.06156215130545</v>
      </c>
      <c r="AI445" s="773">
        <v>-2.8742701080162578</v>
      </c>
      <c r="AJ445" s="778"/>
      <c r="AK445" s="769"/>
      <c r="AL445" s="770">
        <v>-54.58</v>
      </c>
      <c r="AM445" s="774"/>
      <c r="AN445" s="772">
        <v>-386.27</v>
      </c>
      <c r="AO445" s="780">
        <v>7.0771344814950528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522" t="s">
        <v>61</v>
      </c>
      <c r="B446" s="503"/>
      <c r="C446" s="738" t="s">
        <v>227</v>
      </c>
      <c r="T446" s="506"/>
      <c r="U446" s="506"/>
      <c r="V446" s="599" t="s">
        <v>61</v>
      </c>
      <c r="W446" s="776" t="s">
        <v>159</v>
      </c>
      <c r="X446" s="769"/>
      <c r="Y446" s="777"/>
      <c r="Z446" s="770">
        <v>720.38919864980562</v>
      </c>
      <c r="AA446" s="769"/>
      <c r="AB446" s="777"/>
      <c r="AC446" s="770"/>
      <c r="AD446" s="778"/>
      <c r="AE446" s="777"/>
      <c r="AF446" s="770">
        <v>1282.44</v>
      </c>
      <c r="AG446" s="771"/>
      <c r="AH446" s="772">
        <v>562.05080135019443</v>
      </c>
      <c r="AI446" s="796">
        <v>0.78020437064245551</v>
      </c>
      <c r="AJ446" s="778"/>
      <c r="AK446" s="769"/>
      <c r="AL446" s="770">
        <v>1396.28</v>
      </c>
      <c r="AM446" s="774"/>
      <c r="AN446" s="772">
        <v>-113.83999999999992</v>
      </c>
      <c r="AO446" s="780">
        <v>-8.1530925029363682E-2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522" t="s">
        <v>62</v>
      </c>
      <c r="B447" s="503"/>
      <c r="C447" s="738" t="s">
        <v>227</v>
      </c>
      <c r="T447" s="506"/>
      <c r="U447" s="506"/>
      <c r="V447" s="599" t="s">
        <v>62</v>
      </c>
      <c r="W447" s="776" t="s">
        <v>160</v>
      </c>
      <c r="X447" s="769"/>
      <c r="Y447" s="777"/>
      <c r="Z447" s="770">
        <v>5774.1370435507661</v>
      </c>
      <c r="AA447" s="769"/>
      <c r="AB447" s="777"/>
      <c r="AC447" s="770"/>
      <c r="AD447" s="778"/>
      <c r="AE447" s="777"/>
      <c r="AF447" s="770">
        <v>3422.1000000000004</v>
      </c>
      <c r="AG447" s="771"/>
      <c r="AH447" s="772">
        <v>-2352.0370435507657</v>
      </c>
      <c r="AI447" s="773">
        <v>-0.40734001043113388</v>
      </c>
      <c r="AJ447" s="778"/>
      <c r="AK447" s="769"/>
      <c r="AL447" s="770">
        <v>3108.06</v>
      </c>
      <c r="AM447" s="774"/>
      <c r="AN447" s="772">
        <v>314.04000000000042</v>
      </c>
      <c r="AO447" s="780">
        <v>0.10104052045327323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522" t="s">
        <v>63</v>
      </c>
      <c r="B448" s="503"/>
      <c r="C448" s="738" t="s">
        <v>227</v>
      </c>
      <c r="T448" s="506"/>
      <c r="U448" s="506"/>
      <c r="V448" s="599" t="s">
        <v>63</v>
      </c>
      <c r="W448" s="776" t="s">
        <v>161</v>
      </c>
      <c r="X448" s="769"/>
      <c r="Y448" s="795">
        <v>1.477329991392743E-3</v>
      </c>
      <c r="Z448" s="770">
        <v>11347.597742175512</v>
      </c>
      <c r="AA448" s="769"/>
      <c r="AB448" s="777"/>
      <c r="AC448" s="770"/>
      <c r="AD448" s="778"/>
      <c r="AE448" s="777"/>
      <c r="AF448" s="770">
        <v>14139.62</v>
      </c>
      <c r="AG448" s="771"/>
      <c r="AH448" s="772">
        <v>2792.0222578244884</v>
      </c>
      <c r="AI448" s="773">
        <v>0.24604522659870159</v>
      </c>
      <c r="AJ448" s="778"/>
      <c r="AK448" s="769"/>
      <c r="AL448" s="770">
        <v>15108.859999999999</v>
      </c>
      <c r="AM448" s="774"/>
      <c r="AN448" s="772">
        <v>-969.23999999999796</v>
      </c>
      <c r="AO448" s="780">
        <v>-6.415043888155679E-2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522" t="s">
        <v>20</v>
      </c>
      <c r="B449" s="503"/>
      <c r="C449" s="738" t="s">
        <v>227</v>
      </c>
      <c r="T449" s="506"/>
      <c r="U449" s="506"/>
      <c r="V449" s="599" t="s">
        <v>20</v>
      </c>
      <c r="W449" s="776"/>
      <c r="X449" s="769"/>
      <c r="Y449" s="777"/>
      <c r="Z449" s="770">
        <v>0</v>
      </c>
      <c r="AA449" s="769"/>
      <c r="AB449" s="769"/>
      <c r="AC449" s="770"/>
      <c r="AD449" s="778"/>
      <c r="AE449" s="777"/>
      <c r="AF449" s="770">
        <v>0</v>
      </c>
      <c r="AG449" s="771"/>
      <c r="AH449" s="772">
        <v>0</v>
      </c>
      <c r="AI449" s="773">
        <v>0</v>
      </c>
      <c r="AJ449" s="778"/>
      <c r="AK449" s="769"/>
      <c r="AL449" s="770">
        <v>0</v>
      </c>
      <c r="AM449" s="774"/>
      <c r="AN449" s="772">
        <v>0</v>
      </c>
      <c r="AO449" s="780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522" t="s">
        <v>20</v>
      </c>
      <c r="B450" s="503"/>
      <c r="C450" s="738" t="s">
        <v>227</v>
      </c>
      <c r="T450" s="506"/>
      <c r="U450" s="506"/>
      <c r="V450" s="599" t="s">
        <v>20</v>
      </c>
      <c r="W450" s="776"/>
      <c r="X450" s="769"/>
      <c r="Y450" s="777"/>
      <c r="Z450" s="770">
        <v>0</v>
      </c>
      <c r="AA450" s="769"/>
      <c r="AB450" s="769"/>
      <c r="AC450" s="770"/>
      <c r="AD450" s="778"/>
      <c r="AE450" s="777"/>
      <c r="AF450" s="770">
        <v>0</v>
      </c>
      <c r="AG450" s="771"/>
      <c r="AH450" s="772">
        <v>0</v>
      </c>
      <c r="AI450" s="773">
        <v>0</v>
      </c>
      <c r="AJ450" s="778"/>
      <c r="AK450" s="769"/>
      <c r="AL450" s="770">
        <v>0</v>
      </c>
      <c r="AM450" s="774"/>
      <c r="AN450" s="772">
        <v>0</v>
      </c>
      <c r="AO450" s="780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522" t="s">
        <v>20</v>
      </c>
      <c r="B451" s="503"/>
      <c r="C451" s="738" t="s">
        <v>227</v>
      </c>
      <c r="T451" s="506"/>
      <c r="U451" s="506"/>
      <c r="V451" s="599" t="s">
        <v>20</v>
      </c>
      <c r="W451" s="776"/>
      <c r="X451" s="769"/>
      <c r="Y451" s="777"/>
      <c r="Z451" s="770">
        <v>0</v>
      </c>
      <c r="AA451" s="769"/>
      <c r="AB451" s="769"/>
      <c r="AC451" s="770"/>
      <c r="AD451" s="778"/>
      <c r="AE451" s="777"/>
      <c r="AF451" s="770">
        <v>0</v>
      </c>
      <c r="AG451" s="771"/>
      <c r="AH451" s="772">
        <v>0</v>
      </c>
      <c r="AI451" s="773">
        <v>0</v>
      </c>
      <c r="AJ451" s="778"/>
      <c r="AK451" s="769"/>
      <c r="AL451" s="770">
        <v>0</v>
      </c>
      <c r="AM451" s="774"/>
      <c r="AN451" s="772">
        <v>0</v>
      </c>
      <c r="AO451" s="780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522" t="s">
        <v>64</v>
      </c>
      <c r="B452" s="503"/>
      <c r="C452" s="738" t="s">
        <v>227</v>
      </c>
      <c r="T452" s="506"/>
      <c r="U452" s="506"/>
      <c r="V452" s="786" t="s">
        <v>64</v>
      </c>
      <c r="W452" s="810"/>
      <c r="X452" s="788">
        <v>0.15282823229818698</v>
      </c>
      <c r="Y452" s="787"/>
      <c r="Z452" s="789">
        <v>153104.77827752181</v>
      </c>
      <c r="AA452" s="788"/>
      <c r="AB452" s="787"/>
      <c r="AC452" s="789"/>
      <c r="AD452" s="790">
        <v>0.18794876140528727</v>
      </c>
      <c r="AE452" s="787"/>
      <c r="AF452" s="789">
        <v>158704.56000000003</v>
      </c>
      <c r="AG452" s="811"/>
      <c r="AH452" s="812">
        <v>5599.7817224781984</v>
      </c>
      <c r="AI452" s="788">
        <v>3.6574833166394614E-2</v>
      </c>
      <c r="AJ452" s="790">
        <v>0.2030448177175492</v>
      </c>
      <c r="AK452" s="788"/>
      <c r="AL452" s="789">
        <v>151235.49999999997</v>
      </c>
      <c r="AM452" s="798"/>
      <c r="AN452" s="792">
        <v>7469.0600000000159</v>
      </c>
      <c r="AO452" s="813">
        <v>4.9386949492678751E-2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522" t="s">
        <v>162</v>
      </c>
      <c r="B453" s="503"/>
      <c r="C453" s="738" t="s">
        <v>227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9" t="s">
        <v>162</v>
      </c>
      <c r="W453" s="776" t="s">
        <v>163</v>
      </c>
      <c r="X453" s="769"/>
      <c r="Y453" s="777"/>
      <c r="Z453" s="770">
        <v>36000</v>
      </c>
      <c r="AA453" s="769"/>
      <c r="AB453" s="777"/>
      <c r="AC453" s="770"/>
      <c r="AD453" s="778"/>
      <c r="AE453" s="777"/>
      <c r="AF453" s="770">
        <v>36000</v>
      </c>
      <c r="AG453" s="771"/>
      <c r="AH453" s="772">
        <v>0</v>
      </c>
      <c r="AI453" s="773">
        <v>0</v>
      </c>
      <c r="AJ453" s="778"/>
      <c r="AK453" s="769"/>
      <c r="AL453" s="770">
        <v>36000</v>
      </c>
      <c r="AM453" s="774"/>
      <c r="AN453" s="772">
        <v>0</v>
      </c>
      <c r="AO453" s="780">
        <v>0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522" t="s">
        <v>164</v>
      </c>
      <c r="B454" s="503"/>
      <c r="C454" s="738" t="s">
        <v>227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9" t="s">
        <v>164</v>
      </c>
      <c r="W454" s="776" t="s">
        <v>165</v>
      </c>
      <c r="X454" s="769"/>
      <c r="Y454" s="777"/>
      <c r="Z454" s="770">
        <v>5423.4400000000005</v>
      </c>
      <c r="AA454" s="769"/>
      <c r="AB454" s="777"/>
      <c r="AC454" s="770"/>
      <c r="AD454" s="778"/>
      <c r="AE454" s="777"/>
      <c r="AF454" s="770">
        <v>5423</v>
      </c>
      <c r="AG454" s="771"/>
      <c r="AH454" s="772">
        <v>-0.44000000000050932</v>
      </c>
      <c r="AI454" s="773">
        <v>-8.1129320136391167E-5</v>
      </c>
      <c r="AJ454" s="778"/>
      <c r="AK454" s="769"/>
      <c r="AL454" s="770">
        <v>5177</v>
      </c>
      <c r="AM454" s="774"/>
      <c r="AN454" s="772">
        <v>246</v>
      </c>
      <c r="AO454" s="780">
        <v>4.7517867490824803E-2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522" t="s">
        <v>166</v>
      </c>
      <c r="B455" s="503"/>
      <c r="C455" s="738" t="s">
        <v>227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601" t="s">
        <v>166</v>
      </c>
      <c r="W455" s="781" t="s">
        <v>167</v>
      </c>
      <c r="X455" s="752"/>
      <c r="Y455" s="782"/>
      <c r="Z455" s="753">
        <v>3608.8800000000006</v>
      </c>
      <c r="AA455" s="752"/>
      <c r="AB455" s="782"/>
      <c r="AC455" s="753"/>
      <c r="AD455" s="783"/>
      <c r="AE455" s="782"/>
      <c r="AF455" s="753">
        <v>3609</v>
      </c>
      <c r="AG455" s="754"/>
      <c r="AH455" s="755">
        <v>0.11999999999943611</v>
      </c>
      <c r="AI455" s="784">
        <v>3.3251313426724106E-5</v>
      </c>
      <c r="AJ455" s="783"/>
      <c r="AK455" s="752"/>
      <c r="AL455" s="753">
        <v>3445</v>
      </c>
      <c r="AM455" s="757"/>
      <c r="AN455" s="755">
        <v>164</v>
      </c>
      <c r="AO455" s="758">
        <v>4.7605224963715533E-2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522" t="s">
        <v>168</v>
      </c>
      <c r="B456" s="503"/>
      <c r="C456" s="738" t="s">
        <v>227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9" t="s">
        <v>168</v>
      </c>
      <c r="W456" s="776"/>
      <c r="X456" s="769"/>
      <c r="Y456" s="777"/>
      <c r="Z456" s="770">
        <v>0</v>
      </c>
      <c r="AA456" s="769"/>
      <c r="AB456" s="777"/>
      <c r="AC456" s="770"/>
      <c r="AD456" s="778"/>
      <c r="AE456" s="777"/>
      <c r="AF456" s="770">
        <v>0</v>
      </c>
      <c r="AG456" s="771"/>
      <c r="AH456" s="772">
        <v>0</v>
      </c>
      <c r="AI456" s="773">
        <v>0</v>
      </c>
      <c r="AJ456" s="778"/>
      <c r="AK456" s="769"/>
      <c r="AL456" s="770">
        <v>0</v>
      </c>
      <c r="AM456" s="774"/>
      <c r="AN456" s="772">
        <v>0</v>
      </c>
      <c r="AO456" s="780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522" t="s">
        <v>169</v>
      </c>
      <c r="B457" s="503"/>
      <c r="C457" s="738" t="s">
        <v>227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601" t="s">
        <v>169</v>
      </c>
      <c r="W457" s="781" t="s">
        <v>170</v>
      </c>
      <c r="X457" s="752"/>
      <c r="Y457" s="782"/>
      <c r="Z457" s="753">
        <v>4344.25</v>
      </c>
      <c r="AA457" s="752"/>
      <c r="AB457" s="782"/>
      <c r="AC457" s="753"/>
      <c r="AD457" s="783"/>
      <c r="AE457" s="782"/>
      <c r="AF457" s="753">
        <v>4344.25</v>
      </c>
      <c r="AG457" s="754"/>
      <c r="AH457" s="755">
        <v>0</v>
      </c>
      <c r="AI457" s="784">
        <v>0</v>
      </c>
      <c r="AJ457" s="783"/>
      <c r="AK457" s="752"/>
      <c r="AL457" s="753">
        <v>3893.08</v>
      </c>
      <c r="AM457" s="757"/>
      <c r="AN457" s="755">
        <v>451.17000000000007</v>
      </c>
      <c r="AO457" s="758">
        <v>0.11589024628314858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522" t="s">
        <v>171</v>
      </c>
      <c r="B458" s="503"/>
      <c r="C458" s="738" t="s">
        <v>227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9" t="s">
        <v>171</v>
      </c>
      <c r="W458" s="776" t="s">
        <v>172</v>
      </c>
      <c r="X458" s="814"/>
      <c r="Y458" s="815"/>
      <c r="Z458" s="770">
        <v>3700</v>
      </c>
      <c r="AA458" s="814"/>
      <c r="AB458" s="815"/>
      <c r="AC458" s="770"/>
      <c r="AD458" s="778"/>
      <c r="AE458" s="777"/>
      <c r="AF458" s="885">
        <v>6260.7400000000007</v>
      </c>
      <c r="AG458" s="771"/>
      <c r="AH458" s="772">
        <v>2560.7400000000007</v>
      </c>
      <c r="AI458" s="773">
        <v>0.69209189189189213</v>
      </c>
      <c r="AJ458" s="778"/>
      <c r="AK458" s="769"/>
      <c r="AL458" s="770">
        <v>4271.4799999999996</v>
      </c>
      <c r="AM458" s="774"/>
      <c r="AN458" s="772">
        <v>1989.2600000000011</v>
      </c>
      <c r="AO458" s="780">
        <v>0.46570743629842615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522" t="s">
        <v>173</v>
      </c>
      <c r="B459" s="503"/>
      <c r="C459" s="738" t="s">
        <v>227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9" t="s">
        <v>173</v>
      </c>
      <c r="W459" s="776" t="s">
        <v>174</v>
      </c>
      <c r="X459" s="769"/>
      <c r="Y459" s="777"/>
      <c r="Z459" s="770">
        <v>6784.05</v>
      </c>
      <c r="AA459" s="769"/>
      <c r="AB459" s="777"/>
      <c r="AC459" s="770"/>
      <c r="AD459" s="778"/>
      <c r="AE459" s="777"/>
      <c r="AF459" s="770">
        <v>9236.3100000000013</v>
      </c>
      <c r="AG459" s="771"/>
      <c r="AH459" s="772">
        <v>2452.2600000000011</v>
      </c>
      <c r="AI459" s="773">
        <v>0.36147434054878741</v>
      </c>
      <c r="AJ459" s="778"/>
      <c r="AK459" s="769"/>
      <c r="AL459" s="770">
        <v>7342.27</v>
      </c>
      <c r="AM459" s="774"/>
      <c r="AN459" s="772">
        <v>1894.0400000000009</v>
      </c>
      <c r="AO459" s="780">
        <v>0.25796381772939442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522" t="s">
        <v>175</v>
      </c>
      <c r="B460" s="503"/>
      <c r="C460" s="738" t="s">
        <v>227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601" t="s">
        <v>175</v>
      </c>
      <c r="W460" s="781" t="s">
        <v>176</v>
      </c>
      <c r="X460" s="752"/>
      <c r="Y460" s="782"/>
      <c r="Z460" s="753">
        <v>1364.5623407645369</v>
      </c>
      <c r="AA460" s="752"/>
      <c r="AB460" s="782"/>
      <c r="AC460" s="753"/>
      <c r="AD460" s="783"/>
      <c r="AE460" s="782"/>
      <c r="AF460" s="753">
        <v>502.05</v>
      </c>
      <c r="AG460" s="754"/>
      <c r="AH460" s="755">
        <v>-862.51234076453693</v>
      </c>
      <c r="AI460" s="784">
        <v>-0.63207983614826169</v>
      </c>
      <c r="AJ460" s="783"/>
      <c r="AK460" s="752"/>
      <c r="AL460" s="753">
        <v>1304.73</v>
      </c>
      <c r="AM460" s="757"/>
      <c r="AN460" s="755">
        <v>-802.68000000000006</v>
      </c>
      <c r="AO460" s="758">
        <v>-0.61520774413096968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522" t="s">
        <v>177</v>
      </c>
      <c r="B461" s="503"/>
      <c r="C461" s="738" t="s">
        <v>227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7"/>
      <c r="V461" s="599" t="s">
        <v>177</v>
      </c>
      <c r="W461" s="776" t="s">
        <v>178</v>
      </c>
      <c r="X461" s="769"/>
      <c r="Y461" s="777"/>
      <c r="Z461" s="770">
        <v>1000</v>
      </c>
      <c r="AA461" s="769"/>
      <c r="AB461" s="777"/>
      <c r="AC461" s="770"/>
      <c r="AD461" s="778"/>
      <c r="AE461" s="777"/>
      <c r="AF461" s="770">
        <v>977.96</v>
      </c>
      <c r="AG461" s="771"/>
      <c r="AH461" s="772">
        <v>-22.039999999999964</v>
      </c>
      <c r="AI461" s="818">
        <v>-2.2039999999999962E-2</v>
      </c>
      <c r="AJ461" s="769"/>
      <c r="AK461" s="769"/>
      <c r="AL461" s="770">
        <v>1128.5999999999999</v>
      </c>
      <c r="AM461" s="774"/>
      <c r="AN461" s="772">
        <v>-150.63999999999987</v>
      </c>
      <c r="AO461" s="780">
        <v>-0.13347510189615441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522" t="s">
        <v>179</v>
      </c>
      <c r="B462" s="503"/>
      <c r="C462" s="738" t="s">
        <v>227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7"/>
      <c r="V462" s="599" t="s">
        <v>179</v>
      </c>
      <c r="W462" s="776" t="s">
        <v>180</v>
      </c>
      <c r="X462" s="769"/>
      <c r="Y462" s="777"/>
      <c r="Z462" s="770">
        <v>0</v>
      </c>
      <c r="AA462" s="769"/>
      <c r="AB462" s="777"/>
      <c r="AC462" s="770"/>
      <c r="AD462" s="778"/>
      <c r="AE462" s="777"/>
      <c r="AF462" s="770">
        <v>0</v>
      </c>
      <c r="AG462" s="771"/>
      <c r="AH462" s="772">
        <v>0</v>
      </c>
      <c r="AI462" s="796">
        <v>0</v>
      </c>
      <c r="AJ462" s="769"/>
      <c r="AK462" s="769"/>
      <c r="AL462" s="770">
        <v>0</v>
      </c>
      <c r="AM462" s="774"/>
      <c r="AN462" s="772">
        <v>0</v>
      </c>
      <c r="AO462" s="780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522" t="s">
        <v>20</v>
      </c>
      <c r="B463" s="503"/>
      <c r="C463" s="738" t="s">
        <v>227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7"/>
      <c r="V463" s="599" t="s">
        <v>20</v>
      </c>
      <c r="W463" s="776"/>
      <c r="X463" s="769"/>
      <c r="Y463" s="777"/>
      <c r="Z463" s="770">
        <v>0</v>
      </c>
      <c r="AA463" s="769"/>
      <c r="AB463" s="769"/>
      <c r="AC463" s="770"/>
      <c r="AD463" s="778"/>
      <c r="AE463" s="777"/>
      <c r="AF463" s="770">
        <v>0</v>
      </c>
      <c r="AG463" s="771"/>
      <c r="AH463" s="772">
        <v>0</v>
      </c>
      <c r="AI463" s="773">
        <v>0</v>
      </c>
      <c r="AJ463" s="778"/>
      <c r="AK463" s="769"/>
      <c r="AL463" s="770">
        <v>0</v>
      </c>
      <c r="AM463" s="774"/>
      <c r="AN463" s="772">
        <v>0</v>
      </c>
      <c r="AO463" s="780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522" t="s">
        <v>20</v>
      </c>
      <c r="B464" s="503"/>
      <c r="C464" s="738" t="s">
        <v>227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7"/>
      <c r="V464" s="599" t="s">
        <v>20</v>
      </c>
      <c r="W464" s="776"/>
      <c r="X464" s="769"/>
      <c r="Y464" s="777"/>
      <c r="Z464" s="770">
        <v>0</v>
      </c>
      <c r="AA464" s="769"/>
      <c r="AB464" s="769"/>
      <c r="AC464" s="770"/>
      <c r="AD464" s="778"/>
      <c r="AE464" s="777"/>
      <c r="AF464" s="770">
        <v>0</v>
      </c>
      <c r="AG464" s="771"/>
      <c r="AH464" s="772">
        <v>0</v>
      </c>
      <c r="AI464" s="773">
        <v>0</v>
      </c>
      <c r="AJ464" s="778"/>
      <c r="AK464" s="769"/>
      <c r="AL464" s="770">
        <v>0</v>
      </c>
      <c r="AM464" s="774"/>
      <c r="AN464" s="772">
        <v>0</v>
      </c>
      <c r="AO464" s="780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522" t="s">
        <v>20</v>
      </c>
      <c r="B465" s="503"/>
      <c r="C465" s="738" t="s">
        <v>227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9" t="s">
        <v>20</v>
      </c>
      <c r="W465" s="776"/>
      <c r="X465" s="769"/>
      <c r="Y465" s="777"/>
      <c r="Z465" s="770">
        <v>0</v>
      </c>
      <c r="AA465" s="769"/>
      <c r="AB465" s="769"/>
      <c r="AC465" s="770"/>
      <c r="AD465" s="778"/>
      <c r="AE465" s="777"/>
      <c r="AF465" s="770">
        <v>0</v>
      </c>
      <c r="AG465" s="771"/>
      <c r="AH465" s="772">
        <v>0</v>
      </c>
      <c r="AI465" s="773">
        <v>0</v>
      </c>
      <c r="AJ465" s="778"/>
      <c r="AK465" s="769"/>
      <c r="AL465" s="770">
        <v>0</v>
      </c>
      <c r="AM465" s="774"/>
      <c r="AN465" s="772">
        <v>0</v>
      </c>
      <c r="AO465" s="780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522" t="s">
        <v>181</v>
      </c>
      <c r="B466" s="503"/>
      <c r="C466" s="738" t="s">
        <v>227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6" t="s">
        <v>181</v>
      </c>
      <c r="W466" s="787"/>
      <c r="X466" s="788">
        <v>6.2112787912691737E-2</v>
      </c>
      <c r="Y466" s="787"/>
      <c r="Z466" s="789">
        <v>62225.182340764542</v>
      </c>
      <c r="AA466" s="788"/>
      <c r="AB466" s="787"/>
      <c r="AC466" s="789"/>
      <c r="AD466" s="790">
        <v>7.8580114078896424E-2</v>
      </c>
      <c r="AE466" s="787"/>
      <c r="AF466" s="789">
        <v>66353.310000000012</v>
      </c>
      <c r="AG466" s="811"/>
      <c r="AH466" s="812">
        <v>4128.1276592354634</v>
      </c>
      <c r="AI466" s="788">
        <v>6.6341752710800367E-2</v>
      </c>
      <c r="AJ466" s="790">
        <v>8.3994315972216516E-2</v>
      </c>
      <c r="AK466" s="788"/>
      <c r="AL466" s="789">
        <v>62562.16</v>
      </c>
      <c r="AM466" s="798"/>
      <c r="AN466" s="792">
        <v>3791.1500000000019</v>
      </c>
      <c r="AO466" s="813">
        <v>6.0598131522313192E-2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522" t="s">
        <v>469</v>
      </c>
      <c r="B467" s="503"/>
      <c r="C467" s="738" t="s">
        <v>227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9"/>
      <c r="W467" s="769"/>
      <c r="X467" s="769"/>
      <c r="Y467" s="769"/>
      <c r="Z467" s="819"/>
      <c r="AA467" s="769"/>
      <c r="AB467" s="769"/>
      <c r="AC467" s="819"/>
      <c r="AD467" s="778"/>
      <c r="AE467" s="769"/>
      <c r="AF467" s="819"/>
      <c r="AG467" s="778"/>
      <c r="AH467" s="772">
        <v>0</v>
      </c>
      <c r="AI467" s="773"/>
      <c r="AJ467" s="778"/>
      <c r="AK467" s="769"/>
      <c r="AL467" s="819"/>
      <c r="AM467" s="820"/>
      <c r="AN467" s="772">
        <v>0</v>
      </c>
      <c r="AO467" s="821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522" t="s">
        <v>65</v>
      </c>
      <c r="B468" s="503"/>
      <c r="C468" s="738" t="s">
        <v>227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6" t="s">
        <v>65</v>
      </c>
      <c r="W468" s="787"/>
      <c r="X468" s="788">
        <v>0.77493326313769706</v>
      </c>
      <c r="Y468" s="787"/>
      <c r="Z468" s="789">
        <v>776335.52157483855</v>
      </c>
      <c r="AA468" s="788"/>
      <c r="AB468" s="787"/>
      <c r="AC468" s="789"/>
      <c r="AD468" s="790">
        <v>0.82229569132561353</v>
      </c>
      <c r="AE468" s="787"/>
      <c r="AF468" s="789">
        <v>694349.22000000009</v>
      </c>
      <c r="AG468" s="811"/>
      <c r="AH468" s="812">
        <v>-81986.301574838464</v>
      </c>
      <c r="AI468" s="788">
        <v>-0.10560678894162259</v>
      </c>
      <c r="AJ468" s="790">
        <v>0.85937312920734255</v>
      </c>
      <c r="AK468" s="788"/>
      <c r="AL468" s="789">
        <v>640093.77999999991</v>
      </c>
      <c r="AM468" s="798"/>
      <c r="AN468" s="792">
        <v>54255.440000000177</v>
      </c>
      <c r="AO468" s="767">
        <v>8.4761704761449466E-2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522" t="s">
        <v>182</v>
      </c>
      <c r="B469" s="503"/>
      <c r="C469" s="738" t="s">
        <v>227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9" t="s">
        <v>182</v>
      </c>
      <c r="W469" s="815"/>
      <c r="X469" s="815"/>
      <c r="Y469" s="769"/>
      <c r="Z469" s="801">
        <v>0</v>
      </c>
      <c r="AA469" s="822"/>
      <c r="AB469" s="823"/>
      <c r="AC469" s="801"/>
      <c r="AD469" s="824"/>
      <c r="AE469" s="823"/>
      <c r="AF469" s="770">
        <v>10017.57</v>
      </c>
      <c r="AG469" s="825"/>
      <c r="AH469" s="772">
        <v>10017.57</v>
      </c>
      <c r="AI469" s="818" t="e">
        <v>#DIV/0!</v>
      </c>
      <c r="AJ469" s="824"/>
      <c r="AK469" s="822"/>
      <c r="AL469" s="826">
        <v>52.79</v>
      </c>
      <c r="AM469" s="827"/>
      <c r="AN469" s="772">
        <v>9964.7799999999988</v>
      </c>
      <c r="AO469" s="780">
        <v>188.76264444023488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522" t="s">
        <v>69</v>
      </c>
      <c r="B470" s="503"/>
      <c r="C470" s="738" t="s">
        <v>227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9" t="s">
        <v>69</v>
      </c>
      <c r="W470" s="769"/>
      <c r="X470" s="769"/>
      <c r="Y470" s="769"/>
      <c r="Z470" s="770">
        <v>126652.13236609256</v>
      </c>
      <c r="AA470" s="814"/>
      <c r="AB470" s="772"/>
      <c r="AC470" s="770"/>
      <c r="AD470" s="828"/>
      <c r="AE470" s="829"/>
      <c r="AF470" s="770">
        <v>95331</v>
      </c>
      <c r="AG470" s="830"/>
      <c r="AH470" s="772">
        <v>-31321.132366092555</v>
      </c>
      <c r="AI470" s="796">
        <v>-0.2473004739908973</v>
      </c>
      <c r="AJ470" s="831"/>
      <c r="AK470" s="814"/>
      <c r="AL470" s="832">
        <v>55120</v>
      </c>
      <c r="AM470" s="828"/>
      <c r="AN470" s="772">
        <v>40211</v>
      </c>
      <c r="AO470" s="780">
        <v>0.72951741654571844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522" t="s">
        <v>197</v>
      </c>
      <c r="B471" s="503"/>
      <c r="C471" s="738" t="s">
        <v>227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9" t="s">
        <v>197</v>
      </c>
      <c r="W471" s="769"/>
      <c r="X471" s="769"/>
      <c r="Y471" s="769"/>
      <c r="Z471" s="770">
        <v>0</v>
      </c>
      <c r="AA471" s="814"/>
      <c r="AB471" s="815"/>
      <c r="AC471" s="770"/>
      <c r="AD471" s="831"/>
      <c r="AF471" s="770">
        <v>0</v>
      </c>
      <c r="AG471" s="830"/>
      <c r="AH471" s="772">
        <v>0</v>
      </c>
      <c r="AI471" s="796">
        <v>0</v>
      </c>
      <c r="AJ471" s="831"/>
      <c r="AK471" s="814"/>
      <c r="AL471" s="832">
        <v>12500</v>
      </c>
      <c r="AM471" s="828"/>
      <c r="AN471" s="772">
        <v>-12500</v>
      </c>
      <c r="AO471" s="780">
        <v>-1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522" t="s">
        <v>194</v>
      </c>
      <c r="B472" s="503"/>
      <c r="C472" s="738" t="s">
        <v>227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9" t="s">
        <v>194</v>
      </c>
      <c r="W472" s="769"/>
      <c r="X472" s="769"/>
      <c r="Y472" s="769"/>
      <c r="Z472" s="770">
        <v>0</v>
      </c>
      <c r="AA472" s="814"/>
      <c r="AB472" s="815"/>
      <c r="AC472" s="770"/>
      <c r="AD472" s="831"/>
      <c r="AE472" s="815"/>
      <c r="AF472" s="770">
        <v>0</v>
      </c>
      <c r="AG472" s="830"/>
      <c r="AH472" s="772">
        <v>0</v>
      </c>
      <c r="AI472" s="796">
        <v>0</v>
      </c>
      <c r="AJ472" s="831"/>
      <c r="AK472" s="814"/>
      <c r="AL472" s="832">
        <v>0</v>
      </c>
      <c r="AM472" s="828"/>
      <c r="AN472" s="772">
        <v>0</v>
      </c>
      <c r="AO472" s="780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522" t="s">
        <v>68</v>
      </c>
      <c r="B473" s="503"/>
      <c r="C473" s="738" t="s">
        <v>227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9" t="s">
        <v>68</v>
      </c>
      <c r="W473" s="769"/>
      <c r="X473" s="769"/>
      <c r="Y473" s="769"/>
      <c r="Z473" s="770">
        <v>0</v>
      </c>
      <c r="AA473" s="814"/>
      <c r="AB473" s="815"/>
      <c r="AC473" s="770"/>
      <c r="AD473" s="831"/>
      <c r="AE473" s="815"/>
      <c r="AF473" s="770">
        <v>0</v>
      </c>
      <c r="AG473" s="830"/>
      <c r="AH473" s="772">
        <v>0</v>
      </c>
      <c r="AI473" s="796">
        <v>0</v>
      </c>
      <c r="AJ473" s="831"/>
      <c r="AK473" s="814"/>
      <c r="AL473" s="832">
        <v>0</v>
      </c>
      <c r="AM473" s="828"/>
      <c r="AN473" s="772">
        <v>0</v>
      </c>
      <c r="AO473" s="780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522" t="s">
        <v>225</v>
      </c>
      <c r="B474" s="503"/>
      <c r="C474" s="738" t="s">
        <v>227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9" t="s">
        <v>225</v>
      </c>
      <c r="W474" s="769"/>
      <c r="X474" s="769"/>
      <c r="Y474" s="769"/>
      <c r="Z474" s="770">
        <v>0</v>
      </c>
      <c r="AA474" s="814"/>
      <c r="AB474" s="815"/>
      <c r="AC474" s="770"/>
      <c r="AD474" s="831"/>
      <c r="AE474" s="815"/>
      <c r="AF474" s="770">
        <v>0</v>
      </c>
      <c r="AG474" s="830"/>
      <c r="AH474" s="772">
        <v>0</v>
      </c>
      <c r="AI474" s="796">
        <v>0</v>
      </c>
      <c r="AJ474" s="831"/>
      <c r="AK474" s="814"/>
      <c r="AL474" s="832">
        <v>0</v>
      </c>
      <c r="AM474" s="828"/>
      <c r="AN474" s="772">
        <v>0</v>
      </c>
      <c r="AO474" s="780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522" t="s">
        <v>81</v>
      </c>
      <c r="B475" s="503"/>
      <c r="C475" s="738" t="s">
        <v>227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9" t="s">
        <v>81</v>
      </c>
      <c r="W475" s="769"/>
      <c r="X475" s="769"/>
      <c r="Y475" s="769"/>
      <c r="Z475" s="770">
        <v>0</v>
      </c>
      <c r="AA475" s="814"/>
      <c r="AB475" s="815"/>
      <c r="AC475" s="770"/>
      <c r="AD475" s="831"/>
      <c r="AE475" s="815"/>
      <c r="AF475" s="770">
        <v>0</v>
      </c>
      <c r="AG475" s="830"/>
      <c r="AH475" s="772">
        <v>0</v>
      </c>
      <c r="AI475" s="796">
        <v>0</v>
      </c>
      <c r="AJ475" s="831"/>
      <c r="AK475" s="814"/>
      <c r="AL475" s="832">
        <v>0</v>
      </c>
      <c r="AM475" s="828"/>
      <c r="AN475" s="772">
        <v>0</v>
      </c>
      <c r="AO475" s="780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522" t="s">
        <v>82</v>
      </c>
      <c r="B476" s="503"/>
      <c r="C476" s="738" t="s">
        <v>227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9" t="s">
        <v>82</v>
      </c>
      <c r="W476" s="769"/>
      <c r="X476" s="769"/>
      <c r="Y476" s="769"/>
      <c r="Z476" s="770">
        <v>0</v>
      </c>
      <c r="AA476" s="814"/>
      <c r="AB476" s="815"/>
      <c r="AC476" s="770"/>
      <c r="AD476" s="831"/>
      <c r="AE476" s="815"/>
      <c r="AF476" s="770">
        <v>0</v>
      </c>
      <c r="AG476" s="830"/>
      <c r="AH476" s="772">
        <v>0</v>
      </c>
      <c r="AI476" s="796">
        <v>0</v>
      </c>
      <c r="AJ476" s="831"/>
      <c r="AK476" s="814"/>
      <c r="AL476" s="832">
        <v>0</v>
      </c>
      <c r="AM476" s="828"/>
      <c r="AN476" s="772">
        <v>0</v>
      </c>
      <c r="AO476" s="780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522" t="s">
        <v>20</v>
      </c>
      <c r="B477" s="503"/>
      <c r="C477" s="738" t="s">
        <v>227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9" t="s">
        <v>20</v>
      </c>
      <c r="W477" s="769"/>
      <c r="X477" s="769"/>
      <c r="Y477" s="769"/>
      <c r="Z477" s="770">
        <v>0</v>
      </c>
      <c r="AA477" s="769"/>
      <c r="AB477" s="769"/>
      <c r="AC477" s="770"/>
      <c r="AD477" s="778"/>
      <c r="AE477" s="777"/>
      <c r="AF477" s="770">
        <v>0</v>
      </c>
      <c r="AG477" s="771"/>
      <c r="AH477" s="772">
        <v>0</v>
      </c>
      <c r="AI477" s="773">
        <v>0</v>
      </c>
      <c r="AJ477" s="778"/>
      <c r="AK477" s="769"/>
      <c r="AL477" s="770">
        <v>0</v>
      </c>
      <c r="AM477" s="828"/>
      <c r="AN477" s="772">
        <v>0</v>
      </c>
      <c r="AO477" s="780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522" t="s">
        <v>20</v>
      </c>
      <c r="B478" s="503"/>
      <c r="C478" s="738" t="s">
        <v>227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9" t="s">
        <v>20</v>
      </c>
      <c r="W478" s="769"/>
      <c r="X478" s="769"/>
      <c r="Y478" s="769"/>
      <c r="Z478" s="770">
        <v>0</v>
      </c>
      <c r="AA478" s="769"/>
      <c r="AB478" s="769"/>
      <c r="AC478" s="770"/>
      <c r="AD478" s="778"/>
      <c r="AE478" s="777"/>
      <c r="AF478" s="770">
        <v>0</v>
      </c>
      <c r="AG478" s="771"/>
      <c r="AH478" s="772">
        <v>0</v>
      </c>
      <c r="AI478" s="773">
        <v>0</v>
      </c>
      <c r="AJ478" s="778"/>
      <c r="AK478" s="769"/>
      <c r="AL478" s="770">
        <v>0</v>
      </c>
      <c r="AM478" s="828"/>
      <c r="AN478" s="772">
        <v>0</v>
      </c>
      <c r="AO478" s="780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522" t="s">
        <v>20</v>
      </c>
      <c r="B479" s="503"/>
      <c r="C479" s="738" t="s">
        <v>227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9" t="s">
        <v>20</v>
      </c>
      <c r="W479" s="769"/>
      <c r="X479" s="769"/>
      <c r="Y479" s="769"/>
      <c r="Z479" s="770">
        <v>0</v>
      </c>
      <c r="AA479" s="769"/>
      <c r="AB479" s="769"/>
      <c r="AC479" s="770"/>
      <c r="AD479" s="778"/>
      <c r="AE479" s="777"/>
      <c r="AF479" s="770">
        <v>0</v>
      </c>
      <c r="AG479" s="771"/>
      <c r="AH479" s="772">
        <v>0</v>
      </c>
      <c r="AI479" s="773">
        <v>0</v>
      </c>
      <c r="AJ479" s="778"/>
      <c r="AK479" s="769"/>
      <c r="AL479" s="770">
        <v>0</v>
      </c>
      <c r="AM479" s="828"/>
      <c r="AN479" s="772">
        <v>0</v>
      </c>
      <c r="AO479" s="780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522" t="s">
        <v>70</v>
      </c>
      <c r="B480" s="503"/>
      <c r="C480" s="738" t="s">
        <v>227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601" t="s">
        <v>70</v>
      </c>
      <c r="W480" s="769"/>
      <c r="X480" s="769"/>
      <c r="Y480" s="769"/>
      <c r="Z480" s="770">
        <v>54509.1</v>
      </c>
      <c r="AA480" s="814"/>
      <c r="AB480" s="815"/>
      <c r="AC480" s="770"/>
      <c r="AD480" s="833">
        <v>89.657314629258522</v>
      </c>
      <c r="AE480" s="814">
        <v>1.1212781954887219</v>
      </c>
      <c r="AF480" s="770">
        <v>44739</v>
      </c>
      <c r="AG480" s="830"/>
      <c r="AH480" s="772">
        <v>-9770.0999999999985</v>
      </c>
      <c r="AI480" s="796">
        <v>-0.17923796210174078</v>
      </c>
      <c r="AJ480" s="831"/>
      <c r="AK480" s="814"/>
      <c r="AL480" s="832">
        <v>31851</v>
      </c>
      <c r="AM480" s="828"/>
      <c r="AN480" s="772">
        <v>12888</v>
      </c>
      <c r="AO480" s="780">
        <v>0.40463407742300084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522" t="s">
        <v>183</v>
      </c>
      <c r="B481" s="503"/>
      <c r="C481" s="738" t="s">
        <v>227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6" t="s">
        <v>183</v>
      </c>
      <c r="W481" s="787"/>
      <c r="X481" s="788">
        <v>0.18083400932977833</v>
      </c>
      <c r="Y481" s="810"/>
      <c r="Z481" s="789">
        <v>181161.23236609256</v>
      </c>
      <c r="AA481" s="788"/>
      <c r="AB481" s="810"/>
      <c r="AC481" s="789"/>
      <c r="AD481" s="788">
        <v>0.17774393428789537</v>
      </c>
      <c r="AE481" s="810"/>
      <c r="AF481" s="789">
        <v>150087.57</v>
      </c>
      <c r="AG481" s="811"/>
      <c r="AH481" s="792">
        <v>-31073.662366092554</v>
      </c>
      <c r="AI481" s="788">
        <v>-0.17152490055542657</v>
      </c>
      <c r="AJ481" s="834"/>
      <c r="AK481" s="835"/>
      <c r="AL481" s="789">
        <v>99523.790000000008</v>
      </c>
      <c r="AM481" s="836"/>
      <c r="AN481" s="792">
        <v>50563.78</v>
      </c>
      <c r="AO481" s="813">
        <v>0.50805721928395209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522" t="s">
        <v>469</v>
      </c>
      <c r="B482" s="503"/>
      <c r="C482" s="738" t="s">
        <v>227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7"/>
      <c r="W482" s="838"/>
      <c r="X482" s="838"/>
      <c r="Y482" s="839"/>
      <c r="Z482" s="840"/>
      <c r="AA482" s="838"/>
      <c r="AB482" s="841"/>
      <c r="AC482" s="840"/>
      <c r="AD482" s="838"/>
      <c r="AE482" s="841"/>
      <c r="AF482" s="842"/>
      <c r="AG482" s="843"/>
      <c r="AH482" s="844"/>
      <c r="AI482" s="845"/>
      <c r="AJ482" s="846"/>
      <c r="AK482" s="847"/>
      <c r="AL482" s="842"/>
      <c r="AM482" s="848"/>
      <c r="AN482" s="844">
        <v>0</v>
      </c>
      <c r="AO482" s="849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522" t="s">
        <v>184</v>
      </c>
      <c r="B483" s="503"/>
      <c r="C483" s="738" t="s">
        <v>227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50" t="s">
        <v>184</v>
      </c>
      <c r="W483" s="851"/>
      <c r="X483" s="852" t="s">
        <v>185</v>
      </c>
      <c r="Y483" s="853">
        <v>5.2939347863691678E-2</v>
      </c>
      <c r="Z483" s="854">
        <v>406635.23233826278</v>
      </c>
      <c r="AA483" s="852"/>
      <c r="AB483" s="853"/>
      <c r="AC483" s="854"/>
      <c r="AD483" s="852" t="s">
        <v>185</v>
      </c>
      <c r="AE483" s="853">
        <v>4.0618307926277755E-2</v>
      </c>
      <c r="AF483" s="855">
        <v>300141.67999999976</v>
      </c>
      <c r="AG483" s="856"/>
      <c r="AH483" s="856">
        <v>-106493.55233826302</v>
      </c>
      <c r="AI483" s="857">
        <v>-0.26188963441730378</v>
      </c>
      <c r="AJ483" s="858" t="s">
        <v>185</v>
      </c>
      <c r="AK483" s="853">
        <v>4.8425867697527561E-2</v>
      </c>
      <c r="AL483" s="855">
        <v>204268.0299999986</v>
      </c>
      <c r="AM483" s="859"/>
      <c r="AN483" s="855">
        <v>95873.650000001158</v>
      </c>
      <c r="AO483" s="860">
        <v>0.46935220357293217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522" t="s">
        <v>469</v>
      </c>
      <c r="B484" s="503"/>
      <c r="C484" s="738" t="s">
        <v>227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2"/>
      <c r="AA484" s="509"/>
      <c r="AB484" s="509"/>
      <c r="AC484" s="572"/>
      <c r="AD484" s="509"/>
      <c r="AE484" s="509"/>
      <c r="AF484" s="861"/>
      <c r="AG484" s="509"/>
      <c r="AH484" s="509"/>
      <c r="AI484" s="509"/>
      <c r="AJ484" s="509"/>
      <c r="AK484" s="509"/>
      <c r="AL484" s="572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522" t="s">
        <v>478</v>
      </c>
      <c r="B485" s="503"/>
      <c r="C485" s="738" t="s">
        <v>227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62" t="s">
        <v>478</v>
      </c>
      <c r="W485" s="862"/>
      <c r="X485" s="862"/>
      <c r="Y485" s="862"/>
      <c r="Z485" s="862"/>
      <c r="AA485" s="862"/>
      <c r="AB485" s="862"/>
      <c r="AC485" s="862"/>
      <c r="AD485" s="862"/>
      <c r="AE485" s="863" t="s">
        <v>186</v>
      </c>
      <c r="AF485" s="862"/>
      <c r="AG485" s="862"/>
      <c r="AH485" s="862"/>
      <c r="AI485" s="862"/>
      <c r="AJ485" s="864"/>
      <c r="AK485" s="865"/>
      <c r="AL485" s="862"/>
      <c r="AM485" s="862"/>
      <c r="AN485" s="862"/>
      <c r="AO485" s="866" t="s">
        <v>483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19.5" customHeight="1">
      <c r="A486" s="522" t="s">
        <v>469</v>
      </c>
      <c r="B486" s="503"/>
      <c r="C486" s="738" t="s">
        <v>227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2"/>
      <c r="AA486" s="509"/>
      <c r="AB486" s="509"/>
      <c r="AC486" s="572"/>
      <c r="AD486" s="509"/>
      <c r="AE486" s="509"/>
      <c r="AF486" s="861"/>
      <c r="AG486" s="509"/>
      <c r="AH486" s="509"/>
      <c r="AI486" s="509"/>
      <c r="AJ486" s="509"/>
      <c r="AK486" s="509"/>
      <c r="AL486" s="572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19.5" customHeight="1" thickBot="1">
      <c r="A487" s="522" t="s">
        <v>469</v>
      </c>
      <c r="B487" s="503"/>
      <c r="C487" s="738" t="s">
        <v>227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2"/>
      <c r="AA487" s="509"/>
      <c r="AB487" s="509"/>
      <c r="AC487" s="572"/>
      <c r="AD487" s="509"/>
      <c r="AE487" s="509"/>
      <c r="AF487" s="861"/>
      <c r="AG487" s="509"/>
      <c r="AH487" s="509"/>
      <c r="AI487" s="509"/>
      <c r="AJ487" s="509"/>
      <c r="AK487" s="509"/>
      <c r="AL487" s="572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19.5" customHeight="1" thickTop="1" thickBot="1">
      <c r="A488" s="522" t="s">
        <v>469</v>
      </c>
      <c r="B488" s="503"/>
      <c r="C488" s="738" t="s">
        <v>227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850" t="s">
        <v>215</v>
      </c>
      <c r="W488" s="851"/>
      <c r="X488" s="852" t="s">
        <v>185</v>
      </c>
      <c r="Y488" s="853">
        <v>5.8420806440901911E-2</v>
      </c>
      <c r="Z488" s="855">
        <v>448739.15450661967</v>
      </c>
      <c r="AA488" s="852"/>
      <c r="AB488" s="853"/>
      <c r="AC488" s="854"/>
      <c r="AD488" s="852" t="s">
        <v>185</v>
      </c>
      <c r="AE488" s="853">
        <v>4.4016665230088813E-2</v>
      </c>
      <c r="AF488" s="855">
        <v>325253.22999999975</v>
      </c>
      <c r="AG488" s="856"/>
      <c r="AH488" s="856">
        <v>-123485.92450661992</v>
      </c>
      <c r="AI488" s="857">
        <v>-0.27518419836216518</v>
      </c>
      <c r="AJ488" s="852" t="s">
        <v>185</v>
      </c>
      <c r="AK488" s="853">
        <v>4.0166104011308192E-2</v>
      </c>
      <c r="AL488" s="855">
        <v>169427.0299999986</v>
      </c>
      <c r="AM488" s="859"/>
      <c r="AN488" s="855">
        <v>155826.20000000115</v>
      </c>
      <c r="AO488" s="867">
        <v>0.91972455634736927</v>
      </c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9.5" thickTop="1" thickBot="1">
      <c r="A489" s="522" t="s">
        <v>184</v>
      </c>
      <c r="B489" s="503"/>
      <c r="C489" s="738" t="s">
        <v>227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50" t="s">
        <v>184</v>
      </c>
      <c r="W489" s="851"/>
      <c r="X489" s="852" t="s">
        <v>185</v>
      </c>
      <c r="Y489" s="853">
        <v>5.2939347863691678E-2</v>
      </c>
      <c r="Z489" s="854">
        <v>406635.23233826278</v>
      </c>
      <c r="AA489" s="852"/>
      <c r="AB489" s="853"/>
      <c r="AC489" s="854"/>
      <c r="AD489" s="852" t="s">
        <v>185</v>
      </c>
      <c r="AE489" s="853">
        <v>4.0618307926277755E-2</v>
      </c>
      <c r="AF489" s="854">
        <v>300141.67999999976</v>
      </c>
      <c r="AG489" s="855"/>
      <c r="AH489" s="856">
        <v>-106493.55233826302</v>
      </c>
      <c r="AI489" s="857">
        <v>-0.26188963441730378</v>
      </c>
      <c r="AJ489" s="852" t="s">
        <v>185</v>
      </c>
      <c r="AK489" s="853">
        <v>4.8425867697527561E-2</v>
      </c>
      <c r="AL489" s="868">
        <v>204268.0299999986</v>
      </c>
      <c r="AM489" s="869"/>
      <c r="AN489" s="870">
        <v>95873.650000001158</v>
      </c>
      <c r="AO489" s="871">
        <v>0.46935220357293217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522" t="s">
        <v>469</v>
      </c>
      <c r="B490" s="503"/>
      <c r="C490" s="738" t="s">
        <v>227</v>
      </c>
      <c r="D490" s="506"/>
      <c r="E490" s="506"/>
      <c r="F490" s="656"/>
      <c r="G490" s="506"/>
      <c r="H490" s="506"/>
      <c r="I490" s="656"/>
      <c r="J490" s="506"/>
      <c r="K490" s="506"/>
      <c r="L490" s="506"/>
      <c r="M490" s="656"/>
      <c r="N490" s="506"/>
      <c r="O490" s="506"/>
      <c r="P490" s="506"/>
      <c r="Q490" s="656"/>
      <c r="R490" s="656"/>
      <c r="S490" s="656"/>
      <c r="T490" s="817"/>
      <c r="U490" s="817"/>
      <c r="V490" s="872"/>
      <c r="W490" s="506"/>
      <c r="X490" s="506"/>
      <c r="Y490" s="506"/>
      <c r="Z490" s="873"/>
      <c r="AA490" s="506"/>
      <c r="AB490" s="506"/>
      <c r="AC490" s="874"/>
      <c r="AD490" s="506"/>
      <c r="AE490" s="506"/>
      <c r="AF490" s="874"/>
      <c r="AG490" s="506"/>
      <c r="AH490" s="506"/>
      <c r="AI490" s="874"/>
      <c r="AJ490" s="506"/>
      <c r="AK490" s="506"/>
      <c r="AL490" s="875"/>
      <c r="AM490" s="876"/>
      <c r="AN490" s="506"/>
      <c r="AO490" s="877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522" t="s">
        <v>187</v>
      </c>
      <c r="B491" s="503"/>
      <c r="C491" s="738" t="s">
        <v>227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9" t="s">
        <v>187</v>
      </c>
      <c r="W491" s="776"/>
      <c r="X491" s="769"/>
      <c r="Y491" s="777"/>
      <c r="Z491" s="770">
        <v>43648</v>
      </c>
      <c r="AA491" s="769"/>
      <c r="AB491" s="777"/>
      <c r="AC491" s="770"/>
      <c r="AD491" s="769"/>
      <c r="AE491" s="777"/>
      <c r="AF491" s="770">
        <v>42648</v>
      </c>
      <c r="AG491" s="769"/>
      <c r="AH491" s="772">
        <v>-1000</v>
      </c>
      <c r="AI491" s="796">
        <v>-2.2910557184750734E-2</v>
      </c>
      <c r="AJ491" s="769"/>
      <c r="AK491" s="769"/>
      <c r="AL491" s="770">
        <v>34648</v>
      </c>
      <c r="AM491" s="774"/>
      <c r="AN491" s="772">
        <v>8000</v>
      </c>
      <c r="AO491" s="780">
        <v>0.23089355806972986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522" t="s">
        <v>188</v>
      </c>
      <c r="B492" s="503"/>
      <c r="C492" s="738" t="s">
        <v>227</v>
      </c>
      <c r="D492" s="506"/>
      <c r="E492" s="506"/>
      <c r="F492" s="656"/>
      <c r="G492" s="506"/>
      <c r="H492" s="506"/>
      <c r="I492" s="656"/>
      <c r="J492" s="506"/>
      <c r="K492" s="506"/>
      <c r="L492" s="506"/>
      <c r="M492" s="656"/>
      <c r="N492" s="506"/>
      <c r="O492" s="506"/>
      <c r="P492" s="506"/>
      <c r="Q492" s="656"/>
      <c r="R492" s="656"/>
      <c r="S492" s="656"/>
      <c r="T492" s="506"/>
      <c r="U492" s="506"/>
      <c r="V492" s="599" t="s">
        <v>188</v>
      </c>
      <c r="W492" s="506"/>
      <c r="X492" s="506"/>
      <c r="Y492" s="506"/>
      <c r="Z492" s="770">
        <v>0</v>
      </c>
      <c r="AA492" s="506"/>
      <c r="AB492" s="506"/>
      <c r="AC492" s="770"/>
      <c r="AD492" s="506"/>
      <c r="AE492" s="509"/>
      <c r="AF492" s="770">
        <v>0</v>
      </c>
      <c r="AG492" s="506"/>
      <c r="AH492" s="772">
        <v>0</v>
      </c>
      <c r="AI492" s="796">
        <v>0</v>
      </c>
      <c r="AJ492" s="506"/>
      <c r="AK492" s="506"/>
      <c r="AL492" s="770">
        <v>0</v>
      </c>
      <c r="AM492" s="876"/>
      <c r="AN492" s="772">
        <v>0</v>
      </c>
      <c r="AO492" s="780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522" t="s">
        <v>189</v>
      </c>
      <c r="B493" s="503"/>
      <c r="C493" s="738" t="s">
        <v>227</v>
      </c>
      <c r="D493" s="506"/>
      <c r="E493" s="506"/>
      <c r="F493" s="656"/>
      <c r="G493" s="506"/>
      <c r="H493" s="506"/>
      <c r="I493" s="656"/>
      <c r="J493" s="506"/>
      <c r="K493" s="506"/>
      <c r="L493" s="506"/>
      <c r="M493" s="656"/>
      <c r="N493" s="506"/>
      <c r="O493" s="506"/>
      <c r="P493" s="506"/>
      <c r="Q493" s="656"/>
      <c r="R493" s="656"/>
      <c r="S493" s="656"/>
      <c r="T493" s="506"/>
      <c r="U493" s="506"/>
      <c r="V493" s="599" t="s">
        <v>189</v>
      </c>
      <c r="W493" s="509"/>
      <c r="X493" s="509"/>
      <c r="Y493" s="509"/>
      <c r="Z493" s="770">
        <v>0</v>
      </c>
      <c r="AA493" s="506"/>
      <c r="AB493" s="506"/>
      <c r="AC493" s="770"/>
      <c r="AD493" s="506"/>
      <c r="AE493" s="509"/>
      <c r="AF493" s="770">
        <v>0</v>
      </c>
      <c r="AG493" s="506"/>
      <c r="AH493" s="772">
        <v>0</v>
      </c>
      <c r="AI493" s="796">
        <v>0</v>
      </c>
      <c r="AJ493" s="506"/>
      <c r="AK493" s="506"/>
      <c r="AL493" s="770">
        <v>0</v>
      </c>
      <c r="AM493" s="876"/>
      <c r="AN493" s="772">
        <v>0</v>
      </c>
      <c r="AO493" s="780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522" t="s">
        <v>190</v>
      </c>
      <c r="B494" s="503"/>
      <c r="C494" s="738" t="s">
        <v>227</v>
      </c>
      <c r="D494" s="506"/>
      <c r="E494" s="506"/>
      <c r="F494" s="656"/>
      <c r="G494" s="506"/>
      <c r="H494" s="506"/>
      <c r="I494" s="656"/>
      <c r="J494" s="506"/>
      <c r="K494" s="506"/>
      <c r="L494" s="506"/>
      <c r="M494" s="656"/>
      <c r="N494" s="506"/>
      <c r="O494" s="506"/>
      <c r="P494" s="506"/>
      <c r="Q494" s="656"/>
      <c r="R494" s="656"/>
      <c r="S494" s="656"/>
      <c r="T494" s="506"/>
      <c r="U494" s="506"/>
      <c r="V494" s="599" t="s">
        <v>190</v>
      </c>
      <c r="W494" s="509"/>
      <c r="X494" s="509"/>
      <c r="Y494" s="509"/>
      <c r="Z494" s="770">
        <v>0</v>
      </c>
      <c r="AA494" s="506"/>
      <c r="AB494" s="506"/>
      <c r="AC494" s="770"/>
      <c r="AD494" s="506"/>
      <c r="AE494" s="509"/>
      <c r="AF494" s="770">
        <v>0</v>
      </c>
      <c r="AG494" s="506"/>
      <c r="AH494" s="772">
        <v>0</v>
      </c>
      <c r="AI494" s="796">
        <v>0</v>
      </c>
      <c r="AJ494" s="506"/>
      <c r="AK494" s="506"/>
      <c r="AL494" s="770">
        <v>0</v>
      </c>
      <c r="AM494" s="876"/>
      <c r="AN494" s="772">
        <v>0</v>
      </c>
      <c r="AO494" s="780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customHeight="1">
      <c r="A495" s="522" t="s">
        <v>20</v>
      </c>
      <c r="B495" s="503"/>
      <c r="C495" s="738" t="s">
        <v>227</v>
      </c>
      <c r="D495" s="506"/>
      <c r="E495" s="506"/>
      <c r="F495" s="656"/>
      <c r="G495" s="506"/>
      <c r="H495" s="506"/>
      <c r="I495" s="656"/>
      <c r="J495" s="506"/>
      <c r="K495" s="506"/>
      <c r="L495" s="506"/>
      <c r="M495" s="656"/>
      <c r="N495" s="506"/>
      <c r="O495" s="506"/>
      <c r="P495" s="506"/>
      <c r="Q495" s="656"/>
      <c r="R495" s="656"/>
      <c r="S495" s="656"/>
      <c r="T495" s="506"/>
      <c r="U495" s="506"/>
      <c r="V495" s="599" t="s">
        <v>20</v>
      </c>
      <c r="W495" s="509"/>
      <c r="X495" s="509"/>
      <c r="Y495" s="509"/>
      <c r="Z495" s="770">
        <v>0</v>
      </c>
      <c r="AA495" s="769"/>
      <c r="AB495" s="769"/>
      <c r="AC495" s="770"/>
      <c r="AD495" s="778"/>
      <c r="AE495" s="777"/>
      <c r="AF495" s="770">
        <v>0</v>
      </c>
      <c r="AG495" s="771"/>
      <c r="AH495" s="772">
        <v>0</v>
      </c>
      <c r="AI495" s="773">
        <v>0</v>
      </c>
      <c r="AJ495" s="778"/>
      <c r="AK495" s="769"/>
      <c r="AL495" s="878">
        <v>0</v>
      </c>
      <c r="AM495" s="876"/>
      <c r="AN495" s="772">
        <v>0</v>
      </c>
      <c r="AO495" s="780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>
      <c r="A496" s="599" t="s">
        <v>470</v>
      </c>
      <c r="B496" s="503"/>
      <c r="C496" s="738" t="s">
        <v>227</v>
      </c>
      <c r="D496" s="506"/>
      <c r="E496" s="506"/>
      <c r="F496" s="656"/>
      <c r="G496" s="506"/>
      <c r="H496" s="506"/>
      <c r="I496" s="656"/>
      <c r="J496" s="506"/>
      <c r="K496" s="506"/>
      <c r="L496" s="506"/>
      <c r="M496" s="656"/>
      <c r="N496" s="506"/>
      <c r="O496" s="506"/>
      <c r="P496" s="506"/>
      <c r="Q496" s="656"/>
      <c r="R496" s="656"/>
      <c r="S496" s="656"/>
      <c r="T496" s="506"/>
      <c r="U496" s="506"/>
      <c r="V496" s="599" t="s">
        <v>470</v>
      </c>
      <c r="W496" s="509"/>
      <c r="X496" s="509"/>
      <c r="Y496" s="509"/>
      <c r="Z496" s="770">
        <v>-1079.1666666666667</v>
      </c>
      <c r="AA496" s="769"/>
      <c r="AB496" s="769"/>
      <c r="AC496" s="770"/>
      <c r="AD496" s="778"/>
      <c r="AE496" s="777"/>
      <c r="AF496" s="770">
        <v>0</v>
      </c>
      <c r="AG496" s="771"/>
      <c r="AH496" s="772">
        <v>1079.1666666666667</v>
      </c>
      <c r="AI496" s="773">
        <v>-1</v>
      </c>
      <c r="AJ496" s="778"/>
      <c r="AK496" s="769"/>
      <c r="AL496" s="770">
        <v>-1488.59</v>
      </c>
      <c r="AM496" s="876"/>
      <c r="AN496" s="772">
        <v>1488.59</v>
      </c>
      <c r="AO496" s="780">
        <v>-1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customHeight="1" thickBot="1">
      <c r="A497" s="522" t="s">
        <v>20</v>
      </c>
      <c r="B497" s="503"/>
      <c r="C497" s="738" t="s">
        <v>227</v>
      </c>
      <c r="D497" s="506"/>
      <c r="E497" s="506"/>
      <c r="F497" s="656"/>
      <c r="G497" s="506"/>
      <c r="H497" s="506"/>
      <c r="I497" s="656"/>
      <c r="J497" s="506"/>
      <c r="K497" s="506"/>
      <c r="L497" s="506"/>
      <c r="M497" s="656"/>
      <c r="N497" s="506"/>
      <c r="O497" s="506"/>
      <c r="P497" s="506"/>
      <c r="Q497" s="656"/>
      <c r="R497" s="656"/>
      <c r="S497" s="656"/>
      <c r="T497" s="506"/>
      <c r="U497" s="506"/>
      <c r="V497" s="599" t="s">
        <v>20</v>
      </c>
      <c r="W497" s="509"/>
      <c r="X497" s="506"/>
      <c r="Y497" s="509"/>
      <c r="Z497" s="770">
        <v>0</v>
      </c>
      <c r="AA497" s="769"/>
      <c r="AB497" s="769"/>
      <c r="AC497" s="770"/>
      <c r="AD497" s="778"/>
      <c r="AE497" s="777"/>
      <c r="AF497" s="770">
        <v>0</v>
      </c>
      <c r="AG497" s="771"/>
      <c r="AH497" s="772">
        <v>0</v>
      </c>
      <c r="AI497" s="773">
        <v>0</v>
      </c>
      <c r="AJ497" s="778"/>
      <c r="AK497" s="769"/>
      <c r="AL497" s="770">
        <v>0</v>
      </c>
      <c r="AM497" s="876"/>
      <c r="AN497" s="772">
        <v>0</v>
      </c>
      <c r="AO497" s="780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522" t="s">
        <v>191</v>
      </c>
      <c r="B498" s="503"/>
      <c r="C498" s="738" t="s">
        <v>227</v>
      </c>
      <c r="D498" s="506"/>
      <c r="E498" s="506"/>
      <c r="F498" s="656"/>
      <c r="G498" s="506"/>
      <c r="H498" s="506"/>
      <c r="I498" s="656"/>
      <c r="J498" s="506"/>
      <c r="K498" s="506"/>
      <c r="L498" s="506"/>
      <c r="M498" s="656"/>
      <c r="N498" s="506"/>
      <c r="O498" s="506"/>
      <c r="P498" s="506"/>
      <c r="Q498" s="656"/>
      <c r="R498" s="656"/>
      <c r="S498" s="656"/>
      <c r="T498" s="506"/>
      <c r="U498" s="506"/>
      <c r="V498" s="850" t="s">
        <v>191</v>
      </c>
      <c r="W498" s="851"/>
      <c r="X498" s="852" t="s">
        <v>185</v>
      </c>
      <c r="Y498" s="853">
        <v>4.7397363065605616E-2</v>
      </c>
      <c r="Z498" s="854">
        <v>364066.39900492947</v>
      </c>
      <c r="AA498" s="852"/>
      <c r="AB498" s="853"/>
      <c r="AC498" s="854"/>
      <c r="AD498" s="852" t="s">
        <v>185</v>
      </c>
      <c r="AE498" s="853">
        <v>3.4846734992988737E-2</v>
      </c>
      <c r="AF498" s="855">
        <v>257493.67999999976</v>
      </c>
      <c r="AG498" s="856"/>
      <c r="AH498" s="856">
        <v>-106572.71900492971</v>
      </c>
      <c r="AI498" s="857">
        <v>-0.29272879698927312</v>
      </c>
      <c r="AJ498" s="858" t="s">
        <v>185</v>
      </c>
      <c r="AK498" s="853">
        <v>4.0564758929855581E-2</v>
      </c>
      <c r="AL498" s="855">
        <v>171108.6199999986</v>
      </c>
      <c r="AM498" s="859"/>
      <c r="AN498" s="855">
        <v>86385.060000001162</v>
      </c>
      <c r="AO498" s="867">
        <v>0.50485510315027882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522" t="s">
        <v>469</v>
      </c>
      <c r="B499" s="503"/>
      <c r="C499" s="506"/>
      <c r="D499" s="506"/>
      <c r="E499" s="506"/>
      <c r="F499" s="656"/>
      <c r="G499" s="506"/>
      <c r="H499" s="506"/>
      <c r="I499" s="656"/>
      <c r="J499" s="506"/>
      <c r="K499" s="506"/>
      <c r="L499" s="506"/>
      <c r="M499" s="656"/>
      <c r="N499" s="506"/>
      <c r="O499" s="506"/>
      <c r="P499" s="506"/>
      <c r="Q499" s="656"/>
      <c r="R499" s="656"/>
      <c r="S499" s="656"/>
      <c r="T499" s="506"/>
      <c r="U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6"/>
      <c r="AA500" s="506"/>
      <c r="AB500" s="506"/>
      <c r="AC500" s="656"/>
      <c r="AE500" s="879" t="s">
        <v>479</v>
      </c>
      <c r="AF500" s="879">
        <v>242770</v>
      </c>
      <c r="AG500" s="506"/>
      <c r="AH500" s="506"/>
      <c r="AI500" s="506"/>
      <c r="AJ500" s="880"/>
      <c r="AK500" s="881"/>
      <c r="AL500" s="882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6"/>
      <c r="W501" s="506"/>
      <c r="X501" s="506"/>
      <c r="Y501" s="506"/>
      <c r="Z501" s="656"/>
      <c r="AA501" s="506"/>
      <c r="AB501" s="506"/>
      <c r="AC501" s="656"/>
      <c r="AD501" s="506"/>
      <c r="AE501" s="506"/>
      <c r="AF501" s="879"/>
      <c r="AG501" s="506"/>
      <c r="AH501" s="506"/>
      <c r="AI501" s="506"/>
      <c r="AJ501" s="506"/>
      <c r="AL501" s="882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9"/>
      <c r="W502" s="506"/>
      <c r="X502" s="506"/>
      <c r="Y502" s="506"/>
      <c r="AE502" s="506"/>
      <c r="AF502" s="656"/>
      <c r="AG502" s="506"/>
      <c r="AH502" s="506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9"/>
      <c r="W503" s="506"/>
      <c r="X503" s="506"/>
      <c r="Y503" s="506"/>
      <c r="Z503" s="506"/>
      <c r="AA503" s="506"/>
      <c r="AB503" s="506"/>
      <c r="AC503" s="506"/>
      <c r="AD503" s="506"/>
      <c r="AE503" s="506"/>
      <c r="AF503" s="506"/>
      <c r="AG503" s="506"/>
      <c r="AH503" s="506"/>
      <c r="AI503" s="506"/>
      <c r="AJ503" s="883"/>
      <c r="AK503" s="881"/>
      <c r="AL503" s="882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9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506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9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506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9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506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9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506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9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506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9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506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9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506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9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9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9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884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9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4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9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884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9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9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9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9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9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9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9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9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9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9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9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127" priority="4" stopIfTrue="1">
      <formula>"esterreur(reference)"</formula>
    </cfRule>
  </conditionalFormatting>
  <conditionalFormatting sqref="D172:D181">
    <cfRule type="expression" dxfId="126" priority="62" stopIfTrue="1">
      <formula>"esterreur(reference)"</formula>
    </cfRule>
  </conditionalFormatting>
  <conditionalFormatting sqref="D400">
    <cfRule type="expression" dxfId="125" priority="7" stopIfTrue="1">
      <formula>"esterreur(reference)"</formula>
    </cfRule>
  </conditionalFormatting>
  <conditionalFormatting sqref="E186">
    <cfRule type="expression" dxfId="124" priority="63" stopIfTrue="1">
      <formula>"esterreur(reference)"</formula>
    </cfRule>
  </conditionalFormatting>
  <conditionalFormatting sqref="F5">
    <cfRule type="expression" dxfId="123" priority="60" stopIfTrue="1">
      <formula>"esterreur(reference)"</formula>
    </cfRule>
  </conditionalFormatting>
  <conditionalFormatting sqref="F83:F85">
    <cfRule type="expression" dxfId="122" priority="59" stopIfTrue="1">
      <formula>"esterreur(reference)"</formula>
    </cfRule>
  </conditionalFormatting>
  <conditionalFormatting sqref="F101">
    <cfRule type="expression" dxfId="121" priority="64" stopIfTrue="1">
      <formula>"esterreur(reference)"</formula>
    </cfRule>
  </conditionalFormatting>
  <conditionalFormatting sqref="F184">
    <cfRule type="expression" dxfId="120" priority="28" stopIfTrue="1">
      <formula>"esterreur(reference)"</formula>
    </cfRule>
  </conditionalFormatting>
  <conditionalFormatting sqref="G31:G32">
    <cfRule type="expression" dxfId="119" priority="57" stopIfTrue="1">
      <formula>"esterreur(reference)"</formula>
    </cfRule>
  </conditionalFormatting>
  <conditionalFormatting sqref="G112:G113">
    <cfRule type="expression" dxfId="118" priority="54" stopIfTrue="1">
      <formula>"esterreur(reference)"</formula>
    </cfRule>
  </conditionalFormatting>
  <conditionalFormatting sqref="G172:G181">
    <cfRule type="expression" dxfId="117" priority="61" stopIfTrue="1">
      <formula>"esterreur(reference)"</formula>
    </cfRule>
  </conditionalFormatting>
  <conditionalFormatting sqref="H25:H26 H28:H72">
    <cfRule type="expression" dxfId="116" priority="56" stopIfTrue="1">
      <formula>"esterreur(reference)"</formula>
    </cfRule>
  </conditionalFormatting>
  <conditionalFormatting sqref="H360 J360:L360">
    <cfRule type="expression" dxfId="115" priority="16" stopIfTrue="1">
      <formula>"esterreur(reference)"</formula>
    </cfRule>
  </conditionalFormatting>
  <conditionalFormatting sqref="H197:L197">
    <cfRule type="expression" dxfId="114" priority="18" stopIfTrue="1">
      <formula>"esterreur(reference)"</formula>
    </cfRule>
  </conditionalFormatting>
  <conditionalFormatting sqref="H313:L313 H314:J314 L314 H315:L317">
    <cfRule type="expression" dxfId="113" priority="3" stopIfTrue="1">
      <formula>"esterreur(reference)"</formula>
    </cfRule>
  </conditionalFormatting>
  <conditionalFormatting sqref="H396:L399">
    <cfRule type="expression" dxfId="112" priority="14" stopIfTrue="1">
      <formula>"esterreur(reference)"</formula>
    </cfRule>
  </conditionalFormatting>
  <conditionalFormatting sqref="I16:I18 I20 I24:I30">
    <cfRule type="expression" dxfId="111" priority="58" stopIfTrue="1">
      <formula>"esterreur(reference)"</formula>
    </cfRule>
  </conditionalFormatting>
  <conditionalFormatting sqref="I377:L377 J378:L394 H378:H395">
    <cfRule type="expression" dxfId="110" priority="15" stopIfTrue="1">
      <formula>"esterreur(reference)"</formula>
    </cfRule>
  </conditionalFormatting>
  <conditionalFormatting sqref="J3 L6:L14 I13:J14 J16 L16:L23 J18:J23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109" priority="8" stopIfTrue="1">
      <formula>"esterreur(reference)"</formula>
    </cfRule>
  </conditionalFormatting>
  <conditionalFormatting sqref="K395">
    <cfRule type="expression" dxfId="108" priority="17" stopIfTrue="1">
      <formula>"esterreur(reference)"</formula>
    </cfRule>
  </conditionalFormatting>
  <conditionalFormatting sqref="K5:L5">
    <cfRule type="expression" dxfId="107" priority="27" stopIfTrue="1">
      <formula>"esterreur(reference)"</formula>
    </cfRule>
  </conditionalFormatting>
  <conditionalFormatting sqref="K244:L244">
    <cfRule type="expression" dxfId="106" priority="24" stopIfTrue="1">
      <formula>"esterreur(reference)"</formula>
    </cfRule>
  </conditionalFormatting>
  <conditionalFormatting sqref="K247:L247">
    <cfRule type="expression" dxfId="105" priority="25" stopIfTrue="1">
      <formula>"esterreur(reference)"</formula>
    </cfRule>
  </conditionalFormatting>
  <conditionalFormatting sqref="L42:L48">
    <cfRule type="expression" dxfId="104" priority="20" stopIfTrue="1">
      <formula>"esterreur(reference)"</formula>
    </cfRule>
  </conditionalFormatting>
  <conditionalFormatting sqref="L75:L82">
    <cfRule type="expression" dxfId="103" priority="2" stopIfTrue="1">
      <formula>"esterreur(reference)"</formula>
    </cfRule>
  </conditionalFormatting>
  <conditionalFormatting sqref="L156:L162">
    <cfRule type="expression" dxfId="102" priority="23" stopIfTrue="1">
      <formula>"esterreur(reference)"</formula>
    </cfRule>
  </conditionalFormatting>
  <conditionalFormatting sqref="L198 L202:L209">
    <cfRule type="expression" dxfId="101" priority="21" stopIfTrue="1">
      <formula>"esterreur(reference)"</formula>
    </cfRule>
  </conditionalFormatting>
  <conditionalFormatting sqref="L211:L228">
    <cfRule type="expression" dxfId="100" priority="22" stopIfTrue="1">
      <formula>"esterreur(reference)"</formula>
    </cfRule>
  </conditionalFormatting>
  <conditionalFormatting sqref="L254:L265">
    <cfRule type="expression" dxfId="99" priority="26" stopIfTrue="1">
      <formula>"esterreur(reference)"</formula>
    </cfRule>
  </conditionalFormatting>
  <conditionalFormatting sqref="L331:L335 L337:L348">
    <cfRule type="expression" dxfId="98" priority="19" stopIfTrue="1">
      <formula>"esterreur(reference)"</formula>
    </cfRule>
  </conditionalFormatting>
  <conditionalFormatting sqref="L356:L357 H357:I357 K357 J357:J358 H359:L359">
    <cfRule type="expression" dxfId="97" priority="13" stopIfTrue="1">
      <formula>"esterreur(reference)"</formula>
    </cfRule>
  </conditionalFormatting>
  <conditionalFormatting sqref="M95:M97">
    <cfRule type="expression" dxfId="96" priority="9" stopIfTrue="1">
      <formula>"esterreur(reference)"</formula>
    </cfRule>
  </conditionalFormatting>
  <conditionalFormatting sqref="N197:N209">
    <cfRule type="expression" dxfId="95" priority="1" stopIfTrue="1">
      <formula>"esterreur(reference)"</formula>
    </cfRule>
  </conditionalFormatting>
  <conditionalFormatting sqref="N318:N328">
    <cfRule type="expression" dxfId="94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93" priority="49" stopIfTrue="1">
      <formula>"esterreur(reference)"</formula>
    </cfRule>
  </conditionalFormatting>
  <conditionalFormatting sqref="O197:Q197">
    <cfRule type="expression" dxfId="92" priority="38" stopIfTrue="1">
      <formula>"esterreur(reference)"</formula>
    </cfRule>
  </conditionalFormatting>
  <conditionalFormatting sqref="O243:Q243 O252:Q253 O254:P284 Q282:Q285 O285 O288:Q288 O289:P289">
    <cfRule type="expression" dxfId="91" priority="44" stopIfTrue="1">
      <formula>"esterreur(reference)"</formula>
    </cfRule>
  </conditionalFormatting>
  <conditionalFormatting sqref="O359:Q394">
    <cfRule type="expression" dxfId="90" priority="51" stopIfTrue="1">
      <formula>"esterreur(reference)"</formula>
    </cfRule>
  </conditionalFormatting>
  <conditionalFormatting sqref="O396:Q399">
    <cfRule type="expression" dxfId="89" priority="52" stopIfTrue="1">
      <formula>"esterreur(reference)"</formula>
    </cfRule>
  </conditionalFormatting>
  <conditionalFormatting sqref="P5">
    <cfRule type="expression" dxfId="88" priority="32" stopIfTrue="1">
      <formula>"esterreur(reference)"</formula>
    </cfRule>
  </conditionalFormatting>
  <conditionalFormatting sqref="P175">
    <cfRule type="expression" dxfId="87" priority="41" stopIfTrue="1">
      <formula>"esterreur(reference)"</formula>
    </cfRule>
  </conditionalFormatting>
  <conditionalFormatting sqref="P178">
    <cfRule type="expression" dxfId="86" priority="42" stopIfTrue="1">
      <formula>"esterreur(reference)"</formula>
    </cfRule>
  </conditionalFormatting>
  <conditionalFormatting sqref="P181">
    <cfRule type="expression" dxfId="85" priority="43" stopIfTrue="1">
      <formula>"esterreur(reference)"</formula>
    </cfRule>
  </conditionalFormatting>
  <conditionalFormatting sqref="P395">
    <cfRule type="expression" dxfId="84" priority="53" stopIfTrue="1">
      <formula>"esterreur(reference)"</formula>
    </cfRule>
  </conditionalFormatting>
  <conditionalFormatting sqref="P93:Q96 O97:Q98 O156:P157 O164:Q164 O165:P165">
    <cfRule type="expression" dxfId="83" priority="35" stopIfTrue="1">
      <formula>"esterreur(reference)"</formula>
    </cfRule>
  </conditionalFormatting>
  <conditionalFormatting sqref="P99:Q100">
    <cfRule type="expression" dxfId="82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81" priority="37" stopIfTrue="1">
      <formula>"esterreur(reference)"</formula>
    </cfRule>
  </conditionalFormatting>
  <conditionalFormatting sqref="P182:Q196">
    <cfRule type="expression" dxfId="80" priority="5" stopIfTrue="1">
      <formula>"esterreur(reference)"</formula>
    </cfRule>
  </conditionalFormatting>
  <conditionalFormatting sqref="P241:Q241">
    <cfRule type="expression" dxfId="79" priority="48" stopIfTrue="1">
      <formula>"esterreur(reference)"</formula>
    </cfRule>
  </conditionalFormatting>
  <conditionalFormatting sqref="P244:Q244">
    <cfRule type="expression" dxfId="78" priority="45" stopIfTrue="1">
      <formula>"esterreur(reference)"</formula>
    </cfRule>
  </conditionalFormatting>
  <conditionalFormatting sqref="P247:Q247">
    <cfRule type="expression" dxfId="77" priority="46" stopIfTrue="1">
      <formula>"esterreur(reference)"</formula>
    </cfRule>
  </conditionalFormatting>
  <conditionalFormatting sqref="Q5:Q14 O13:O14 O16 Q16:Q24 O18:O24 O25:Q26 O27 Q27 O28:Q72 O83:Q85">
    <cfRule type="expression" dxfId="76" priority="31" stopIfTrue="1">
      <formula>"esterreur(reference)"</formula>
    </cfRule>
  </conditionalFormatting>
  <conditionalFormatting sqref="Q75:Q82">
    <cfRule type="expression" dxfId="75" priority="33" stopIfTrue="1">
      <formula>"esterreur(reference)"</formula>
    </cfRule>
  </conditionalFormatting>
  <conditionalFormatting sqref="Q156:Q162">
    <cfRule type="expression" dxfId="74" priority="36" stopIfTrue="1">
      <formula>"esterreur(reference)"</formula>
    </cfRule>
  </conditionalFormatting>
  <conditionalFormatting sqref="Q198:Q209">
    <cfRule type="expression" dxfId="73" priority="39" stopIfTrue="1">
      <formula>"esterreur(reference)"</formula>
    </cfRule>
  </conditionalFormatting>
  <conditionalFormatting sqref="Q211:Q228">
    <cfRule type="expression" dxfId="72" priority="40" stopIfTrue="1">
      <formula>"esterreur(reference)"</formula>
    </cfRule>
  </conditionalFormatting>
  <conditionalFormatting sqref="Q254:Q265">
    <cfRule type="expression" dxfId="71" priority="47" stopIfTrue="1">
      <formula>"esterreur(reference)"</formula>
    </cfRule>
  </conditionalFormatting>
  <conditionalFormatting sqref="Q331:Q348">
    <cfRule type="expression" dxfId="70" priority="50" stopIfTrue="1">
      <formula>"esterreur(reference)"</formula>
    </cfRule>
  </conditionalFormatting>
  <conditionalFormatting sqref="R312">
    <cfRule type="expression" dxfId="69" priority="10" stopIfTrue="1">
      <formula>"esterreur(reference)"</formula>
    </cfRule>
  </conditionalFormatting>
  <conditionalFormatting sqref="S186">
    <cfRule type="expression" dxfId="68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67" priority="11" operator="greaterThan">
      <formula>0</formula>
    </cfRule>
  </conditionalFormatting>
  <conditionalFormatting sqref="AH469:AI476 AH480:AI480">
    <cfRule type="cellIs" dxfId="66" priority="12" operator="lessThan">
      <formula>0</formula>
    </cfRule>
  </conditionalFormatting>
  <conditionalFormatting sqref="AH477:AI479">
    <cfRule type="cellIs" dxfId="65" priority="55" operator="greaterThan">
      <formula>0</formula>
    </cfRule>
  </conditionalFormatting>
  <conditionalFormatting sqref="AO409:AO418">
    <cfRule type="cellIs" dxfId="64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DC35-F81A-45E5-B6C8-1C2E4D14977D}">
  <sheetPr>
    <tabColor rgb="FFFFC000"/>
  </sheetPr>
  <dimension ref="A1:BJ693"/>
  <sheetViews>
    <sheetView topLeftCell="C273" zoomScale="70" zoomScaleNormal="70" workbookViewId="0">
      <selection activeCell="J318" sqref="A1:XFD1048576"/>
    </sheetView>
  </sheetViews>
  <sheetFormatPr baseColWidth="10" defaultColWidth="12.625" defaultRowHeight="15" customHeight="1"/>
  <cols>
    <col min="1" max="1" width="10.375" style="494" hidden="1" customWidth="1"/>
    <col min="2" max="2" width="21.875" style="494" hidden="1" customWidth="1"/>
    <col min="3" max="3" width="31.25" style="494" customWidth="1"/>
    <col min="4" max="4" width="16.5" style="494" customWidth="1"/>
    <col min="5" max="5" width="14.625" style="494" customWidth="1"/>
    <col min="6" max="6" width="14" style="494" customWidth="1"/>
    <col min="7" max="7" width="17.75" style="494" hidden="1" customWidth="1"/>
    <col min="8" max="8" width="15.125" style="494" hidden="1" customWidth="1"/>
    <col min="9" max="9" width="14" style="494" hidden="1" customWidth="1"/>
    <col min="10" max="10" width="15.625" style="494" customWidth="1"/>
    <col min="11" max="11" width="15.5" style="494" customWidth="1"/>
    <col min="12" max="12" width="14.875" style="494" customWidth="1"/>
    <col min="13" max="14" width="16.25" style="494" customWidth="1"/>
    <col min="15" max="15" width="15.5" style="494" customWidth="1"/>
    <col min="16" max="16" width="14.625" style="494" customWidth="1"/>
    <col min="17" max="17" width="14.875" style="494" bestFit="1" customWidth="1"/>
    <col min="18" max="18" width="14.75" style="494" customWidth="1"/>
    <col min="19" max="19" width="19" style="494" customWidth="1"/>
    <col min="20" max="20" width="4.625" style="494" customWidth="1"/>
    <col min="21" max="21" width="31.75" style="494" customWidth="1"/>
    <col min="22" max="22" width="34" style="494" customWidth="1"/>
    <col min="23" max="23" width="12.25" style="494" customWidth="1"/>
    <col min="24" max="24" width="13.75" style="494" customWidth="1"/>
    <col min="25" max="25" width="15.125" style="494" customWidth="1"/>
    <col min="26" max="26" width="15" style="494" customWidth="1"/>
    <col min="27" max="27" width="11.125" style="494" hidden="1" customWidth="1"/>
    <col min="28" max="28" width="9.375" style="494" hidden="1" customWidth="1"/>
    <col min="29" max="29" width="14.5" style="494" hidden="1" customWidth="1"/>
    <col min="30" max="30" width="13.5" style="494" customWidth="1"/>
    <col min="31" max="31" width="14.25" style="494" customWidth="1"/>
    <col min="32" max="32" width="14.1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75" style="494" customWidth="1"/>
    <col min="37" max="37" width="11.375" style="494" customWidth="1"/>
    <col min="38" max="38" width="12.75" style="494" customWidth="1"/>
    <col min="39" max="39" width="9" style="494" customWidth="1"/>
    <col min="40" max="40" width="11.5" style="494" bestFit="1" customWidth="1"/>
    <col min="41" max="41" width="14.75" style="494" customWidth="1"/>
    <col min="42" max="42" width="11" style="494" customWidth="1"/>
    <col min="43" max="43" width="48.375" style="494" customWidth="1"/>
    <col min="44" max="62" width="11" style="494" customWidth="1"/>
    <col min="63" max="16384" width="12.625" style="494"/>
  </cols>
  <sheetData>
    <row r="1" spans="1:40" ht="36" thickBot="1">
      <c r="B1" s="495"/>
      <c r="C1" s="496" t="s">
        <v>478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482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471</v>
      </c>
      <c r="W2" s="508"/>
    </row>
    <row r="3" spans="1:40" ht="21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220</v>
      </c>
      <c r="N3" s="513"/>
      <c r="O3" s="511" t="s">
        <v>8</v>
      </c>
      <c r="P3" s="512"/>
      <c r="Q3" s="513"/>
      <c r="R3" s="514" t="s">
        <v>221</v>
      </c>
      <c r="S3" s="513"/>
      <c r="T3" s="509"/>
      <c r="U3" s="509"/>
      <c r="V3" s="515" t="s">
        <v>472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25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473</v>
      </c>
      <c r="K4" s="519" t="s">
        <v>13</v>
      </c>
      <c r="L4" s="520" t="s">
        <v>12</v>
      </c>
      <c r="M4" s="521" t="s">
        <v>473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473</v>
      </c>
      <c r="S4" s="520" t="s">
        <v>12</v>
      </c>
      <c r="T4" s="509"/>
      <c r="U4" s="509"/>
      <c r="V4" s="515" t="s">
        <v>474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25">
      <c r="A5" s="522" t="s">
        <v>228</v>
      </c>
      <c r="B5" s="509" t="s">
        <v>0</v>
      </c>
      <c r="C5" s="523" t="s">
        <v>15</v>
      </c>
      <c r="D5" s="524"/>
      <c r="E5" s="524"/>
      <c r="F5" s="525">
        <v>2940854.1261165529</v>
      </c>
      <c r="G5" s="524"/>
      <c r="H5" s="524"/>
      <c r="I5" s="526"/>
      <c r="J5" s="523"/>
      <c r="K5" s="527"/>
      <c r="L5" s="525">
        <v>2445339.59</v>
      </c>
      <c r="M5" s="528"/>
      <c r="N5" s="529"/>
      <c r="O5" s="523"/>
      <c r="P5" s="527"/>
      <c r="Q5" s="525">
        <v>2168000.09</v>
      </c>
      <c r="R5" s="528"/>
      <c r="S5" s="529"/>
      <c r="T5" s="509"/>
      <c r="U5" s="509"/>
      <c r="V5" s="515" t="s">
        <v>222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25">
      <c r="A6" s="522" t="s">
        <v>229</v>
      </c>
      <c r="B6" s="509" t="s">
        <v>0</v>
      </c>
      <c r="C6" s="530" t="s">
        <v>16</v>
      </c>
      <c r="D6" s="531">
        <v>14</v>
      </c>
      <c r="E6" s="531">
        <v>1953.6491683802797</v>
      </c>
      <c r="F6" s="531">
        <v>27351.088357323915</v>
      </c>
      <c r="G6" s="532"/>
      <c r="H6" s="531"/>
      <c r="I6" s="531"/>
      <c r="J6" s="532">
        <v>2</v>
      </c>
      <c r="K6" s="531">
        <v>3513.8349999999955</v>
      </c>
      <c r="L6" s="533">
        <v>7027.669999999991</v>
      </c>
      <c r="M6" s="532">
        <v>-12</v>
      </c>
      <c r="N6" s="533">
        <v>-20323.418357323924</v>
      </c>
      <c r="O6" s="532">
        <v>6</v>
      </c>
      <c r="P6" s="531">
        <v>1532.1433333333316</v>
      </c>
      <c r="Q6" s="533">
        <v>9192.8599999999897</v>
      </c>
      <c r="R6" s="532">
        <v>-4</v>
      </c>
      <c r="S6" s="533">
        <v>-2165.1899999999987</v>
      </c>
      <c r="T6" s="509"/>
      <c r="U6" s="509"/>
      <c r="V6" s="515" t="s">
        <v>475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25">
      <c r="A7" s="522" t="s">
        <v>230</v>
      </c>
      <c r="B7" s="509" t="s">
        <v>0</v>
      </c>
      <c r="C7" s="530" t="s">
        <v>17</v>
      </c>
      <c r="D7" s="531">
        <v>39</v>
      </c>
      <c r="E7" s="531">
        <v>2435.9046775963693</v>
      </c>
      <c r="F7" s="531">
        <v>95000.282426258404</v>
      </c>
      <c r="G7" s="532"/>
      <c r="H7" s="531"/>
      <c r="I7" s="531"/>
      <c r="J7" s="532">
        <v>37</v>
      </c>
      <c r="K7" s="531">
        <v>1654.8499999999988</v>
      </c>
      <c r="L7" s="533">
        <v>61229.449999999953</v>
      </c>
      <c r="M7" s="532">
        <v>-2</v>
      </c>
      <c r="N7" s="533">
        <v>-33770.83242625845</v>
      </c>
      <c r="O7" s="532">
        <v>24</v>
      </c>
      <c r="P7" s="531">
        <v>1904.4016666666666</v>
      </c>
      <c r="Q7" s="533">
        <v>45705.64</v>
      </c>
      <c r="R7" s="532">
        <v>13</v>
      </c>
      <c r="S7" s="533">
        <v>15523.809999999954</v>
      </c>
      <c r="T7" s="509"/>
      <c r="U7" s="509"/>
      <c r="V7" s="515" t="s">
        <v>476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522" t="s">
        <v>231</v>
      </c>
      <c r="B8" s="509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09"/>
      <c r="U8" s="509"/>
      <c r="V8" s="534"/>
      <c r="W8" s="535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522" t="s">
        <v>232</v>
      </c>
      <c r="B9" s="509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522" t="s">
        <v>233</v>
      </c>
      <c r="B10" s="509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522" t="s">
        <v>233</v>
      </c>
      <c r="B11" s="509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522" t="s">
        <v>233</v>
      </c>
      <c r="B12" s="509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0.25">
      <c r="A13" s="522" t="s">
        <v>234</v>
      </c>
      <c r="B13" s="509" t="s">
        <v>0</v>
      </c>
      <c r="C13" s="536" t="s">
        <v>21</v>
      </c>
      <c r="D13" s="537">
        <v>53</v>
      </c>
      <c r="E13" s="537">
        <v>2308.5164298789118</v>
      </c>
      <c r="F13" s="538">
        <v>122351.37078358232</v>
      </c>
      <c r="G13" s="539"/>
      <c r="H13" s="537"/>
      <c r="I13" s="538"/>
      <c r="J13" s="539">
        <v>39</v>
      </c>
      <c r="K13" s="537">
        <v>1750.1825641025625</v>
      </c>
      <c r="L13" s="538">
        <v>68257.119999999937</v>
      </c>
      <c r="M13" s="539">
        <v>-14</v>
      </c>
      <c r="N13" s="538">
        <v>-54094.250783582378</v>
      </c>
      <c r="O13" s="539">
        <v>30</v>
      </c>
      <c r="P13" s="537">
        <v>1829.9499999999996</v>
      </c>
      <c r="Q13" s="538">
        <v>54898.499999999985</v>
      </c>
      <c r="R13" s="539">
        <v>9</v>
      </c>
      <c r="S13" s="538">
        <v>13358.619999999955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25">
      <c r="A14" s="522" t="s">
        <v>0</v>
      </c>
      <c r="B14" s="509" t="s">
        <v>0</v>
      </c>
      <c r="C14" s="530"/>
      <c r="D14" s="509"/>
      <c r="E14" s="531"/>
      <c r="F14" s="540"/>
      <c r="G14" s="530"/>
      <c r="H14" s="531"/>
      <c r="I14" s="540"/>
      <c r="J14" s="530"/>
      <c r="K14" s="531"/>
      <c r="L14" s="540"/>
      <c r="M14" s="541">
        <v>-0.26415094339622641</v>
      </c>
      <c r="N14" s="542">
        <v>-0.44212214736249611</v>
      </c>
      <c r="O14" s="530"/>
      <c r="P14" s="531"/>
      <c r="Q14" s="540"/>
      <c r="R14" s="541">
        <v>0.3</v>
      </c>
      <c r="S14" s="542">
        <v>0.24333306010182354</v>
      </c>
      <c r="T14" s="509"/>
      <c r="U14" s="509"/>
      <c r="V14" s="509"/>
      <c r="W14" s="531"/>
      <c r="X14" s="531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0.25">
      <c r="A15" s="522" t="s">
        <v>235</v>
      </c>
      <c r="B15" s="509" t="s">
        <v>0</v>
      </c>
      <c r="C15" s="543" t="s">
        <v>22</v>
      </c>
      <c r="D15" s="527">
        <v>3</v>
      </c>
      <c r="E15" s="527">
        <v>1534.7521433415677</v>
      </c>
      <c r="F15" s="525">
        <v>4604.2564300247031</v>
      </c>
      <c r="G15" s="544"/>
      <c r="H15" s="527"/>
      <c r="I15" s="525"/>
      <c r="J15" s="545">
        <v>3</v>
      </c>
      <c r="K15" s="546">
        <v>-676.00333333333162</v>
      </c>
      <c r="L15" s="546">
        <v>-2028.0099999999948</v>
      </c>
      <c r="M15" s="544">
        <v>0</v>
      </c>
      <c r="N15" s="525">
        <v>-6632.2664300246979</v>
      </c>
      <c r="O15" s="545">
        <v>4</v>
      </c>
      <c r="P15" s="546">
        <v>2295.8824999999974</v>
      </c>
      <c r="Q15" s="546">
        <v>9183.5299999999897</v>
      </c>
      <c r="R15" s="544">
        <v>-1</v>
      </c>
      <c r="S15" s="525">
        <v>-11211.539999999985</v>
      </c>
      <c r="T15" s="509"/>
      <c r="U15" s="522"/>
      <c r="V15" s="531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0.25">
      <c r="A16" s="522" t="s">
        <v>0</v>
      </c>
      <c r="B16" s="509" t="s">
        <v>0</v>
      </c>
      <c r="C16" s="530"/>
      <c r="D16" s="509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0.25">
      <c r="A17" s="522" t="s">
        <v>236</v>
      </c>
      <c r="B17" s="509" t="s">
        <v>0</v>
      </c>
      <c r="C17" s="549" t="s">
        <v>23</v>
      </c>
      <c r="D17" s="531">
        <v>1</v>
      </c>
      <c r="E17" s="531">
        <v>2393.8521192147828</v>
      </c>
      <c r="F17" s="531">
        <v>2393.8521192147828</v>
      </c>
      <c r="G17" s="532"/>
      <c r="H17" s="531"/>
      <c r="I17" s="531"/>
      <c r="J17" s="544">
        <v>0</v>
      </c>
      <c r="K17" s="531">
        <v>0</v>
      </c>
      <c r="L17" s="533">
        <v>0</v>
      </c>
      <c r="M17" s="544">
        <v>-1</v>
      </c>
      <c r="N17" s="533">
        <v>-2393.8521192147828</v>
      </c>
      <c r="O17" s="544">
        <v>6</v>
      </c>
      <c r="P17" s="531">
        <v>1073.9649999999999</v>
      </c>
      <c r="Q17" s="533">
        <v>6443.79</v>
      </c>
      <c r="R17" s="532">
        <v>-6</v>
      </c>
      <c r="S17" s="533">
        <v>-6443.79</v>
      </c>
      <c r="T17" s="509"/>
      <c r="U17" s="506"/>
      <c r="V17" s="550"/>
      <c r="W17" s="509"/>
      <c r="X17" s="509"/>
      <c r="Y17" s="509"/>
      <c r="Z17" s="509"/>
      <c r="AA17" s="531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0.25">
      <c r="A18" s="522" t="s">
        <v>0</v>
      </c>
      <c r="B18" s="509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0.25">
      <c r="A19" s="522" t="s">
        <v>237</v>
      </c>
      <c r="B19" s="509" t="s">
        <v>0</v>
      </c>
      <c r="C19" s="543" t="s">
        <v>24</v>
      </c>
      <c r="D19" s="531">
        <v>0</v>
      </c>
      <c r="E19" s="531">
        <v>0</v>
      </c>
      <c r="F19" s="531">
        <v>5950.0000000000009</v>
      </c>
      <c r="G19" s="532"/>
      <c r="H19" s="531"/>
      <c r="I19" s="531"/>
      <c r="J19" s="544"/>
      <c r="K19" s="531"/>
      <c r="L19" s="533">
        <v>7399.8400000000256</v>
      </c>
      <c r="M19" s="532"/>
      <c r="N19" s="533">
        <v>1449.8400000000247</v>
      </c>
      <c r="O19" s="544"/>
      <c r="P19" s="531"/>
      <c r="Q19" s="533">
        <v>5949</v>
      </c>
      <c r="R19" s="532">
        <v>0</v>
      </c>
      <c r="S19" s="533">
        <v>1450.8400000000256</v>
      </c>
      <c r="T19" s="509"/>
      <c r="W19" s="531"/>
      <c r="X19" s="554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0.25">
      <c r="A20" s="522" t="s">
        <v>0</v>
      </c>
      <c r="B20" s="509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09"/>
      <c r="U20" s="509"/>
      <c r="W20" s="531"/>
      <c r="X20" s="554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522" t="s">
        <v>238</v>
      </c>
      <c r="B21" s="509" t="s">
        <v>0</v>
      </c>
      <c r="C21" s="530" t="s">
        <v>25</v>
      </c>
      <c r="D21" s="531">
        <v>0</v>
      </c>
      <c r="E21" s="531">
        <v>0</v>
      </c>
      <c r="F21" s="531">
        <v>2800</v>
      </c>
      <c r="G21" s="532"/>
      <c r="H21" s="531"/>
      <c r="I21" s="531"/>
      <c r="J21" s="532"/>
      <c r="K21" s="531">
        <v>90.449047619047619</v>
      </c>
      <c r="L21" s="533">
        <v>3798.86</v>
      </c>
      <c r="M21" s="532"/>
      <c r="N21" s="533">
        <v>998.86000000000013</v>
      </c>
      <c r="O21" s="532"/>
      <c r="P21" s="531"/>
      <c r="Q21" s="533">
        <v>1288.8399999999999</v>
      </c>
      <c r="R21" s="532">
        <v>-90.449047619047619</v>
      </c>
      <c r="S21" s="533">
        <v>2510.0200000000004</v>
      </c>
      <c r="T21" s="509"/>
      <c r="U21" s="509"/>
      <c r="W21" s="509"/>
      <c r="X21" s="554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522" t="s">
        <v>239</v>
      </c>
      <c r="B22" s="509" t="s">
        <v>0</v>
      </c>
      <c r="C22" s="530" t="s">
        <v>26</v>
      </c>
      <c r="D22" s="531">
        <v>0</v>
      </c>
      <c r="E22" s="531">
        <v>0</v>
      </c>
      <c r="F22" s="531">
        <v>52080</v>
      </c>
      <c r="G22" s="532"/>
      <c r="H22" s="531"/>
      <c r="I22" s="531"/>
      <c r="J22" s="532"/>
      <c r="K22" s="531">
        <v>805.02238095238101</v>
      </c>
      <c r="L22" s="533">
        <v>33810.94</v>
      </c>
      <c r="M22" s="532"/>
      <c r="N22" s="533">
        <v>-18269.059999999998</v>
      </c>
      <c r="O22" s="532"/>
      <c r="P22" s="531"/>
      <c r="Q22" s="533">
        <v>44538.34</v>
      </c>
      <c r="R22" s="532">
        <v>-805.02238095238101</v>
      </c>
      <c r="S22" s="533">
        <v>-10727.399999999994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522" t="s">
        <v>240</v>
      </c>
      <c r="B23" s="509" t="s">
        <v>0</v>
      </c>
      <c r="C23" s="530" t="s">
        <v>27</v>
      </c>
      <c r="D23" s="531">
        <v>0</v>
      </c>
      <c r="E23" s="531">
        <v>0</v>
      </c>
      <c r="F23" s="531">
        <v>1120</v>
      </c>
      <c r="G23" s="532"/>
      <c r="H23" s="531"/>
      <c r="I23" s="531"/>
      <c r="J23" s="532"/>
      <c r="K23" s="531">
        <v>23.329285714285714</v>
      </c>
      <c r="L23" s="533">
        <v>979.83</v>
      </c>
      <c r="M23" s="544"/>
      <c r="N23" s="533">
        <v>-140.16999999999996</v>
      </c>
      <c r="O23" s="532"/>
      <c r="P23" s="531"/>
      <c r="Q23" s="533">
        <v>0</v>
      </c>
      <c r="R23" s="532">
        <v>-23.329285714285714</v>
      </c>
      <c r="S23" s="533">
        <v>979.83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522" t="s">
        <v>241</v>
      </c>
      <c r="B24" s="509" t="s">
        <v>0</v>
      </c>
      <c r="C24" s="536" t="s">
        <v>28</v>
      </c>
      <c r="D24" s="537">
        <v>56</v>
      </c>
      <c r="E24" s="537">
        <v>1000</v>
      </c>
      <c r="F24" s="538">
        <v>56000</v>
      </c>
      <c r="G24" s="539"/>
      <c r="H24" s="537"/>
      <c r="I24" s="538"/>
      <c r="J24" s="537">
        <v>42</v>
      </c>
      <c r="K24" s="537">
        <v>918.80071428571443</v>
      </c>
      <c r="L24" s="538">
        <v>38589.630000000005</v>
      </c>
      <c r="M24" s="555">
        <v>-14</v>
      </c>
      <c r="N24" s="538">
        <v>-17410.369999999995</v>
      </c>
      <c r="O24" s="539">
        <v>34</v>
      </c>
      <c r="P24" s="537">
        <v>1347.8582352941175</v>
      </c>
      <c r="Q24" s="538">
        <v>45827.179999999993</v>
      </c>
      <c r="R24" s="553"/>
      <c r="S24" s="538">
        <v>-7237.5499999999884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522" t="s">
        <v>0</v>
      </c>
      <c r="B25" s="509" t="s">
        <v>0</v>
      </c>
      <c r="C25" s="530"/>
      <c r="D25" s="509"/>
      <c r="E25" s="509"/>
      <c r="F25" s="556"/>
      <c r="G25" s="530"/>
      <c r="H25" s="509"/>
      <c r="I25" s="556"/>
      <c r="J25" s="530"/>
      <c r="K25" s="509"/>
      <c r="L25" s="556"/>
      <c r="M25" s="547"/>
      <c r="N25" s="548">
        <v>-0.31089946428571419</v>
      </c>
      <c r="O25" s="530"/>
      <c r="P25" s="509"/>
      <c r="Q25" s="556"/>
      <c r="R25" s="557"/>
      <c r="S25" s="548">
        <v>-0.1579313848244642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522" t="s">
        <v>0</v>
      </c>
      <c r="B26" s="509" t="s">
        <v>0</v>
      </c>
      <c r="C26" s="530"/>
      <c r="D26" s="509"/>
      <c r="E26" s="509"/>
      <c r="F26" s="540"/>
      <c r="G26" s="530"/>
      <c r="H26" s="509"/>
      <c r="I26" s="540"/>
      <c r="J26" s="530"/>
      <c r="K26" s="509"/>
      <c r="L26" s="540"/>
      <c r="M26" s="530"/>
      <c r="N26" s="540"/>
      <c r="O26" s="530"/>
      <c r="P26" s="509"/>
      <c r="Q26" s="540"/>
      <c r="R26" s="530"/>
      <c r="S26" s="540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522" t="s">
        <v>242</v>
      </c>
      <c r="B27" s="509" t="s">
        <v>0</v>
      </c>
      <c r="C27" s="558" t="s">
        <v>29</v>
      </c>
      <c r="D27" s="559">
        <v>57</v>
      </c>
      <c r="E27" s="560">
        <v>3356.1312163652947</v>
      </c>
      <c r="F27" s="561">
        <v>191299.47933282179</v>
      </c>
      <c r="G27" s="562"/>
      <c r="H27" s="560"/>
      <c r="I27" s="561"/>
      <c r="J27" s="562">
        <v>42</v>
      </c>
      <c r="K27" s="560">
        <v>2671.8709523809516</v>
      </c>
      <c r="L27" s="561">
        <v>112218.57999999997</v>
      </c>
      <c r="M27" s="562">
        <v>-15</v>
      </c>
      <c r="N27" s="561">
        <v>-79080.89933282182</v>
      </c>
      <c r="O27" s="562">
        <v>40</v>
      </c>
      <c r="P27" s="560">
        <v>3057.5499999999988</v>
      </c>
      <c r="Q27" s="561">
        <v>122301.99999999996</v>
      </c>
      <c r="R27" s="562">
        <v>2</v>
      </c>
      <c r="S27" s="561">
        <v>-10083.419999999984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522" t="s">
        <v>0</v>
      </c>
      <c r="B28" s="509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0.58661205138338457</v>
      </c>
      <c r="M28" s="568">
        <v>-0.26315789473684209</v>
      </c>
      <c r="N28" s="569">
        <v>-0.41338794861661543</v>
      </c>
      <c r="O28" s="563"/>
      <c r="P28" s="564"/>
      <c r="Q28" s="565"/>
      <c r="R28" s="568">
        <v>0.05</v>
      </c>
      <c r="S28" s="569">
        <v>-8.2446893754803574E-2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522" t="s">
        <v>0</v>
      </c>
      <c r="B29" s="509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09"/>
      <c r="U29" s="572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522" t="s">
        <v>243</v>
      </c>
      <c r="B30" s="509" t="s">
        <v>0</v>
      </c>
      <c r="C30" s="573" t="s">
        <v>30</v>
      </c>
      <c r="D30" s="509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522" t="s">
        <v>244</v>
      </c>
      <c r="B31" s="509" t="s">
        <v>0</v>
      </c>
      <c r="C31" s="530" t="s">
        <v>31</v>
      </c>
      <c r="D31" s="575">
        <v>0.33220695310085518</v>
      </c>
      <c r="E31" s="572">
        <v>753.13468027929287</v>
      </c>
      <c r="F31" s="531">
        <v>42175.542095640398</v>
      </c>
      <c r="G31" s="576"/>
      <c r="H31" s="572"/>
      <c r="I31" s="531"/>
      <c r="J31" s="576">
        <v>0.42075848520386311</v>
      </c>
      <c r="K31" s="572">
        <v>663.48714285714289</v>
      </c>
      <c r="L31" s="531">
        <v>27866.46</v>
      </c>
      <c r="M31" s="530"/>
      <c r="N31" s="556">
        <v>-14309.082095640399</v>
      </c>
      <c r="O31" s="577">
        <v>0.33063295116597025</v>
      </c>
      <c r="P31" s="572">
        <v>685.82823529411769</v>
      </c>
      <c r="Q31" s="533">
        <v>23318.16</v>
      </c>
      <c r="R31" s="530"/>
      <c r="S31" s="556">
        <v>4548.2999999999993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522" t="s">
        <v>245</v>
      </c>
      <c r="B32" s="509" t="s">
        <v>0</v>
      </c>
      <c r="C32" s="523" t="s">
        <v>32</v>
      </c>
      <c r="D32" s="578">
        <v>0.28000000000000003</v>
      </c>
      <c r="E32" s="579">
        <v>280.00000000000006</v>
      </c>
      <c r="F32" s="525">
        <v>15680.000000000002</v>
      </c>
      <c r="G32" s="580"/>
      <c r="H32" s="579"/>
      <c r="I32" s="525"/>
      <c r="J32" s="580">
        <v>0.27000336618931042</v>
      </c>
      <c r="K32" s="579">
        <v>248.0792857142857</v>
      </c>
      <c r="L32" s="525">
        <v>10419.33</v>
      </c>
      <c r="M32" s="523"/>
      <c r="N32" s="581">
        <v>-5260.6700000000019</v>
      </c>
      <c r="O32" s="582">
        <v>0.30000885937122906</v>
      </c>
      <c r="P32" s="579">
        <v>404.36941176470589</v>
      </c>
      <c r="Q32" s="525">
        <v>13748.56</v>
      </c>
      <c r="R32" s="523"/>
      <c r="S32" s="581">
        <v>-3329.2299999999996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522" t="s">
        <v>246</v>
      </c>
      <c r="B33" s="509" t="s">
        <v>0</v>
      </c>
      <c r="C33" s="530" t="s">
        <v>33</v>
      </c>
      <c r="D33" s="583"/>
      <c r="E33" s="572">
        <v>115</v>
      </c>
      <c r="F33" s="531">
        <v>6440</v>
      </c>
      <c r="G33" s="584"/>
      <c r="H33" s="572"/>
      <c r="I33" s="531"/>
      <c r="J33" s="530"/>
      <c r="K33" s="572">
        <v>106.25428571428571</v>
      </c>
      <c r="L33" s="531">
        <v>4462.68</v>
      </c>
      <c r="M33" s="530"/>
      <c r="N33" s="556">
        <v>-1977.3199999999997</v>
      </c>
      <c r="O33" s="530"/>
      <c r="P33" s="572">
        <v>76.159117647058821</v>
      </c>
      <c r="Q33" s="533">
        <v>2589.41</v>
      </c>
      <c r="R33" s="530"/>
      <c r="S33" s="556">
        <v>1873.2700000000004</v>
      </c>
      <c r="T33" s="509"/>
      <c r="U33" s="585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522" t="s">
        <v>247</v>
      </c>
      <c r="B34" s="509" t="s">
        <v>0</v>
      </c>
      <c r="C34" s="530" t="s">
        <v>34</v>
      </c>
      <c r="D34" s="583"/>
      <c r="E34" s="572">
        <v>10</v>
      </c>
      <c r="F34" s="531">
        <v>560</v>
      </c>
      <c r="G34" s="584"/>
      <c r="H34" s="572"/>
      <c r="I34" s="531"/>
      <c r="J34" s="530"/>
      <c r="K34" s="572">
        <v>1.8809523809523809</v>
      </c>
      <c r="L34" s="531">
        <v>79</v>
      </c>
      <c r="M34" s="530"/>
      <c r="N34" s="556">
        <v>-481</v>
      </c>
      <c r="O34" s="530"/>
      <c r="P34" s="572">
        <v>26.280588235294118</v>
      </c>
      <c r="Q34" s="533">
        <v>893.54</v>
      </c>
      <c r="R34" s="530"/>
      <c r="S34" s="556">
        <v>-814.54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522" t="s">
        <v>248</v>
      </c>
      <c r="B35" s="509" t="s">
        <v>0</v>
      </c>
      <c r="C35" s="523" t="s">
        <v>35</v>
      </c>
      <c r="D35" s="586"/>
      <c r="E35" s="579">
        <v>120.75</v>
      </c>
      <c r="F35" s="525">
        <v>6762</v>
      </c>
      <c r="G35" s="587"/>
      <c r="H35" s="579"/>
      <c r="I35" s="525"/>
      <c r="J35" s="523"/>
      <c r="K35" s="579">
        <v>168.06285714285715</v>
      </c>
      <c r="L35" s="525">
        <v>7058.64</v>
      </c>
      <c r="M35" s="523"/>
      <c r="N35" s="581">
        <v>296.64000000000033</v>
      </c>
      <c r="O35" s="523"/>
      <c r="P35" s="579">
        <v>99.538529411764699</v>
      </c>
      <c r="Q35" s="533">
        <v>3384.31</v>
      </c>
      <c r="R35" s="523"/>
      <c r="S35" s="581">
        <v>3674.3300000000004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522" t="s">
        <v>249</v>
      </c>
      <c r="B36" s="509" t="s">
        <v>0</v>
      </c>
      <c r="C36" s="530" t="s">
        <v>36</v>
      </c>
      <c r="D36" s="583"/>
      <c r="E36" s="572">
        <v>104.67857142857143</v>
      </c>
      <c r="F36" s="531">
        <v>5862</v>
      </c>
      <c r="G36" s="584"/>
      <c r="H36" s="572"/>
      <c r="I36" s="531"/>
      <c r="J36" s="530"/>
      <c r="K36" s="572">
        <v>277.25952380952384</v>
      </c>
      <c r="L36" s="588">
        <v>11644.900000000001</v>
      </c>
      <c r="M36" s="509"/>
      <c r="N36" s="556">
        <v>5782.9000000000015</v>
      </c>
      <c r="O36" s="530"/>
      <c r="P36" s="572">
        <v>316.01029411764415</v>
      </c>
      <c r="Q36" s="552">
        <v>10744.3499999999</v>
      </c>
      <c r="R36" s="530"/>
      <c r="S36" s="556">
        <v>900.55000000010114</v>
      </c>
      <c r="T36" s="509"/>
      <c r="U36" s="522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522" t="s">
        <v>250</v>
      </c>
      <c r="B37" s="509" t="s">
        <v>0</v>
      </c>
      <c r="C37" s="530" t="s">
        <v>37</v>
      </c>
      <c r="D37" s="583"/>
      <c r="E37" s="572">
        <v>624.61342226039346</v>
      </c>
      <c r="F37" s="531">
        <v>34978.351646582036</v>
      </c>
      <c r="G37" s="584"/>
      <c r="H37" s="572"/>
      <c r="I37" s="531"/>
      <c r="J37" s="530"/>
      <c r="K37" s="572">
        <v>450.03214285714284</v>
      </c>
      <c r="L37" s="589">
        <v>18901.349999999999</v>
      </c>
      <c r="M37" s="509"/>
      <c r="N37" s="556">
        <v>-16077.001646582037</v>
      </c>
      <c r="O37" s="530"/>
      <c r="P37" s="572">
        <v>-106.62588235294118</v>
      </c>
      <c r="Q37" s="533">
        <v>-3625.28</v>
      </c>
      <c r="R37" s="530"/>
      <c r="S37" s="556">
        <v>22526.629999999997</v>
      </c>
      <c r="T37" s="509"/>
      <c r="U37" s="522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522" t="s">
        <v>233</v>
      </c>
      <c r="B38" s="509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9">
        <v>0</v>
      </c>
      <c r="M38" s="509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522" t="s">
        <v>233</v>
      </c>
      <c r="B39" s="509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9">
        <v>0</v>
      </c>
      <c r="M39" s="509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522" t="s">
        <v>233</v>
      </c>
      <c r="B40" s="509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90">
        <v>0</v>
      </c>
      <c r="M40" s="509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522" t="s">
        <v>251</v>
      </c>
      <c r="B41" s="509" t="s">
        <v>0</v>
      </c>
      <c r="C41" s="591" t="s">
        <v>38</v>
      </c>
      <c r="D41" s="592" t="s">
        <v>39</v>
      </c>
      <c r="E41" s="593">
        <v>0.58786304141773849</v>
      </c>
      <c r="F41" s="594">
        <v>112457.89374222243</v>
      </c>
      <c r="G41" s="595"/>
      <c r="H41" s="593"/>
      <c r="I41" s="594"/>
      <c r="J41" s="595" t="s">
        <v>39</v>
      </c>
      <c r="K41" s="593">
        <v>0.71674726235174269</v>
      </c>
      <c r="L41" s="594">
        <v>80432.36</v>
      </c>
      <c r="M41" s="596"/>
      <c r="N41" s="594">
        <v>-32025.533742222426</v>
      </c>
      <c r="O41" s="595" t="s">
        <v>39</v>
      </c>
      <c r="P41" s="593">
        <v>0.41743430197380188</v>
      </c>
      <c r="Q41" s="597">
        <v>51053.049999999901</v>
      </c>
      <c r="R41" s="598"/>
      <c r="S41" s="594">
        <v>29379.3100000001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522" t="s">
        <v>252</v>
      </c>
      <c r="B42" s="509" t="s">
        <v>0</v>
      </c>
      <c r="C42" s="599" t="s">
        <v>41</v>
      </c>
      <c r="D42" s="509"/>
      <c r="E42" s="509"/>
      <c r="F42" s="531">
        <v>24486.465384615389</v>
      </c>
      <c r="G42" s="530"/>
      <c r="H42" s="509"/>
      <c r="I42" s="531"/>
      <c r="J42" s="530"/>
      <c r="K42" s="509"/>
      <c r="L42" s="533">
        <v>14576.98</v>
      </c>
      <c r="M42" s="530"/>
      <c r="N42" s="556">
        <v>-9909.4853846153892</v>
      </c>
      <c r="O42" s="530"/>
      <c r="P42" s="600">
        <v>0.13021021733086952</v>
      </c>
      <c r="Q42" s="533">
        <v>15924.97</v>
      </c>
      <c r="R42" s="530"/>
      <c r="S42" s="556">
        <v>-1347.9899999999998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522" t="s">
        <v>253</v>
      </c>
      <c r="B43" s="509" t="s">
        <v>0</v>
      </c>
      <c r="C43" s="601" t="s">
        <v>42</v>
      </c>
      <c r="D43" s="583"/>
      <c r="E43" s="509"/>
      <c r="F43" s="525">
        <v>13904.219076923078</v>
      </c>
      <c r="G43" s="584"/>
      <c r="H43" s="509"/>
      <c r="I43" s="525"/>
      <c r="J43" s="530"/>
      <c r="K43" s="509"/>
      <c r="L43" s="533">
        <v>15203.89</v>
      </c>
      <c r="M43" s="530"/>
      <c r="N43" s="556">
        <v>1299.6709230769211</v>
      </c>
      <c r="O43" s="530"/>
      <c r="P43" s="509"/>
      <c r="Q43" s="533">
        <v>8412.6</v>
      </c>
      <c r="R43" s="530"/>
      <c r="S43" s="556">
        <v>6791.2899999999991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522" t="s">
        <v>254</v>
      </c>
      <c r="B44" s="509" t="s">
        <v>0</v>
      </c>
      <c r="C44" s="599" t="s">
        <v>43</v>
      </c>
      <c r="D44" s="602"/>
      <c r="E44" s="603"/>
      <c r="F44" s="531">
        <v>315.55384615384617</v>
      </c>
      <c r="G44" s="604"/>
      <c r="H44" s="603"/>
      <c r="I44" s="531"/>
      <c r="J44" s="517"/>
      <c r="K44" s="603"/>
      <c r="L44" s="552">
        <v>1152.1500000000001</v>
      </c>
      <c r="M44" s="517"/>
      <c r="N44" s="605">
        <v>836.59615384615392</v>
      </c>
      <c r="O44" s="517"/>
      <c r="P44" s="603"/>
      <c r="Q44" s="552">
        <v>2835.6</v>
      </c>
      <c r="R44" s="517"/>
      <c r="S44" s="605">
        <v>-1683.4499999999998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522" t="s">
        <v>255</v>
      </c>
      <c r="B45" s="509" t="s">
        <v>0</v>
      </c>
      <c r="C45" s="599" t="s">
        <v>44</v>
      </c>
      <c r="D45" s="583"/>
      <c r="E45" s="509"/>
      <c r="F45" s="531">
        <v>0</v>
      </c>
      <c r="G45" s="584"/>
      <c r="H45" s="509"/>
      <c r="I45" s="531"/>
      <c r="J45" s="530"/>
      <c r="K45" s="509"/>
      <c r="L45" s="533">
        <v>0</v>
      </c>
      <c r="M45" s="530"/>
      <c r="N45" s="556">
        <v>0</v>
      </c>
      <c r="O45" s="530"/>
      <c r="P45" s="509"/>
      <c r="Q45" s="533">
        <v>0</v>
      </c>
      <c r="R45" s="530"/>
      <c r="S45" s="556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522" t="s">
        <v>233</v>
      </c>
      <c r="B46" s="509" t="s">
        <v>0</v>
      </c>
      <c r="C46" s="599" t="s">
        <v>20</v>
      </c>
      <c r="D46" s="583"/>
      <c r="E46" s="509"/>
      <c r="F46" s="531">
        <v>0</v>
      </c>
      <c r="G46" s="584"/>
      <c r="H46" s="509"/>
      <c r="I46" s="531"/>
      <c r="J46" s="530"/>
      <c r="K46" s="509"/>
      <c r="L46" s="533">
        <v>0</v>
      </c>
      <c r="M46" s="530"/>
      <c r="N46" s="556">
        <v>0</v>
      </c>
      <c r="O46" s="530"/>
      <c r="P46" s="509"/>
      <c r="Q46" s="533">
        <v>0</v>
      </c>
      <c r="R46" s="530"/>
      <c r="S46" s="556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522" t="s">
        <v>233</v>
      </c>
      <c r="B47" s="509" t="s">
        <v>0</v>
      </c>
      <c r="C47" s="599" t="s">
        <v>20</v>
      </c>
      <c r="D47" s="583"/>
      <c r="E47" s="509"/>
      <c r="F47" s="531">
        <v>0</v>
      </c>
      <c r="G47" s="584"/>
      <c r="H47" s="509"/>
      <c r="I47" s="531"/>
      <c r="J47" s="530"/>
      <c r="K47" s="509"/>
      <c r="L47" s="533">
        <v>0</v>
      </c>
      <c r="M47" s="530"/>
      <c r="N47" s="556">
        <v>0</v>
      </c>
      <c r="O47" s="530"/>
      <c r="P47" s="509"/>
      <c r="Q47" s="533">
        <v>0</v>
      </c>
      <c r="R47" s="530"/>
      <c r="S47" s="556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522" t="s">
        <v>233</v>
      </c>
      <c r="B48" s="509" t="s">
        <v>0</v>
      </c>
      <c r="C48" s="599" t="s">
        <v>20</v>
      </c>
      <c r="D48" s="583"/>
      <c r="E48" s="509"/>
      <c r="F48" s="531">
        <v>0</v>
      </c>
      <c r="G48" s="584"/>
      <c r="H48" s="509"/>
      <c r="I48" s="531"/>
      <c r="J48" s="530"/>
      <c r="K48" s="509"/>
      <c r="L48" s="533">
        <v>0</v>
      </c>
      <c r="M48" s="530"/>
      <c r="N48" s="556">
        <v>0</v>
      </c>
      <c r="O48" s="530"/>
      <c r="P48" s="509"/>
      <c r="Q48" s="533">
        <v>0</v>
      </c>
      <c r="R48" s="530"/>
      <c r="S48" s="556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522" t="s">
        <v>256</v>
      </c>
      <c r="B49" s="509" t="s">
        <v>0</v>
      </c>
      <c r="C49" s="601" t="s">
        <v>45</v>
      </c>
      <c r="D49" s="583"/>
      <c r="E49" s="509"/>
      <c r="F49" s="525">
        <v>9688.7245303719174</v>
      </c>
      <c r="G49" s="584"/>
      <c r="H49" s="509"/>
      <c r="I49" s="525"/>
      <c r="J49" s="530"/>
      <c r="K49" s="509"/>
      <c r="L49" s="525">
        <v>8703.02</v>
      </c>
      <c r="M49" s="530"/>
      <c r="N49" s="556">
        <v>-985.70453037191692</v>
      </c>
      <c r="O49" s="530"/>
      <c r="P49" s="509"/>
      <c r="Q49" s="525">
        <v>9362.32</v>
      </c>
      <c r="R49" s="530"/>
      <c r="S49" s="556">
        <v>-659.29999999999927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522" t="s">
        <v>257</v>
      </c>
      <c r="B50" s="509" t="s">
        <v>0</v>
      </c>
      <c r="C50" s="599" t="s">
        <v>46</v>
      </c>
      <c r="D50" s="602"/>
      <c r="E50" s="603"/>
      <c r="F50" s="531">
        <v>11780.123217544711</v>
      </c>
      <c r="G50" s="604"/>
      <c r="H50" s="603"/>
      <c r="I50" s="531"/>
      <c r="J50" s="517"/>
      <c r="K50" s="603"/>
      <c r="L50" s="533">
        <v>10913.17</v>
      </c>
      <c r="M50" s="517"/>
      <c r="N50" s="605">
        <v>-866.95321754471115</v>
      </c>
      <c r="O50" s="517"/>
      <c r="P50" s="603"/>
      <c r="Q50" s="533">
        <v>11260.94</v>
      </c>
      <c r="R50" s="517"/>
      <c r="S50" s="605">
        <v>-347.77000000000044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522" t="s">
        <v>258</v>
      </c>
      <c r="B51" s="509" t="s">
        <v>0</v>
      </c>
      <c r="C51" s="599" t="s">
        <v>47</v>
      </c>
      <c r="D51" s="583"/>
      <c r="E51" s="509"/>
      <c r="F51" s="531">
        <v>6069.3243533871655</v>
      </c>
      <c r="G51" s="584"/>
      <c r="H51" s="509"/>
      <c r="I51" s="531"/>
      <c r="J51" s="530"/>
      <c r="K51" s="509"/>
      <c r="L51" s="533">
        <v>6319.58</v>
      </c>
      <c r="M51" s="530"/>
      <c r="N51" s="556">
        <v>250.25564661283443</v>
      </c>
      <c r="O51" s="530"/>
      <c r="P51" s="509"/>
      <c r="Q51" s="533">
        <v>4182.3999999999996</v>
      </c>
      <c r="R51" s="530"/>
      <c r="S51" s="556">
        <v>2137.1800000000003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522" t="s">
        <v>259</v>
      </c>
      <c r="B52" s="509" t="s">
        <v>0</v>
      </c>
      <c r="C52" s="599" t="s">
        <v>48</v>
      </c>
      <c r="D52" s="583"/>
      <c r="E52" s="509"/>
      <c r="F52" s="531">
        <v>2646.2595633614928</v>
      </c>
      <c r="G52" s="584"/>
      <c r="H52" s="509"/>
      <c r="I52" s="531"/>
      <c r="J52" s="530"/>
      <c r="K52" s="509"/>
      <c r="L52" s="533">
        <v>1952.27</v>
      </c>
      <c r="M52" s="530"/>
      <c r="N52" s="556">
        <v>-693.98956336149286</v>
      </c>
      <c r="O52" s="530"/>
      <c r="P52" s="509"/>
      <c r="Q52" s="533">
        <v>2840.64</v>
      </c>
      <c r="R52" s="530"/>
      <c r="S52" s="556">
        <v>-888.36999999999989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522" t="s">
        <v>233</v>
      </c>
      <c r="B53" s="509" t="s">
        <v>0</v>
      </c>
      <c r="C53" s="530" t="s">
        <v>20</v>
      </c>
      <c r="D53" s="586" t="e">
        <v>#N/A</v>
      </c>
      <c r="E53" s="606"/>
      <c r="F53" s="531">
        <v>0</v>
      </c>
      <c r="G53" s="587"/>
      <c r="H53" s="606"/>
      <c r="I53" s="531"/>
      <c r="J53" s="523"/>
      <c r="K53" s="606"/>
      <c r="L53" s="533">
        <v>0</v>
      </c>
      <c r="M53" s="523"/>
      <c r="N53" s="581">
        <v>0</v>
      </c>
      <c r="O53" s="523"/>
      <c r="P53" s="606"/>
      <c r="Q53" s="533">
        <v>0</v>
      </c>
      <c r="R53" s="523"/>
      <c r="S53" s="581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522" t="s">
        <v>260</v>
      </c>
      <c r="B54" s="509" t="s">
        <v>0</v>
      </c>
      <c r="C54" s="591" t="s">
        <v>49</v>
      </c>
      <c r="D54" s="592" t="s">
        <v>39</v>
      </c>
      <c r="E54" s="593">
        <v>0.36011948496996171</v>
      </c>
      <c r="F54" s="594">
        <v>68890.669972357617</v>
      </c>
      <c r="G54" s="595"/>
      <c r="H54" s="593"/>
      <c r="I54" s="594"/>
      <c r="J54" s="595" t="s">
        <v>39</v>
      </c>
      <c r="K54" s="593">
        <v>0.52416507141687241</v>
      </c>
      <c r="L54" s="594">
        <v>58821.06</v>
      </c>
      <c r="M54" s="598"/>
      <c r="N54" s="594">
        <v>-10069.609972357599</v>
      </c>
      <c r="O54" s="595" t="s">
        <v>39</v>
      </c>
      <c r="P54" s="593">
        <v>0.44823036418047146</v>
      </c>
      <c r="Q54" s="594">
        <v>54819.47</v>
      </c>
      <c r="R54" s="598"/>
      <c r="S54" s="594">
        <v>4001.59</v>
      </c>
      <c r="T54" s="572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522" t="s">
        <v>261</v>
      </c>
      <c r="B55" s="509" t="s">
        <v>0</v>
      </c>
      <c r="C55" s="530" t="s">
        <v>50</v>
      </c>
      <c r="D55" s="583"/>
      <c r="E55" s="509"/>
      <c r="F55" s="531">
        <v>0</v>
      </c>
      <c r="G55" s="584"/>
      <c r="H55" s="509"/>
      <c r="I55" s="531"/>
      <c r="J55" s="530"/>
      <c r="K55" s="509"/>
      <c r="L55" s="533">
        <v>0</v>
      </c>
      <c r="M55" s="530"/>
      <c r="N55" s="556">
        <v>0</v>
      </c>
      <c r="O55" s="530"/>
      <c r="P55" s="509"/>
      <c r="Q55" s="533">
        <v>0</v>
      </c>
      <c r="R55" s="530"/>
      <c r="S55" s="556">
        <v>0</v>
      </c>
      <c r="T55" s="572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522" t="s">
        <v>262</v>
      </c>
      <c r="B56" s="509" t="s">
        <v>0</v>
      </c>
      <c r="C56" s="530" t="s">
        <v>51</v>
      </c>
      <c r="D56" s="583"/>
      <c r="E56" s="509"/>
      <c r="F56" s="531">
        <v>0</v>
      </c>
      <c r="G56" s="584"/>
      <c r="H56" s="509"/>
      <c r="I56" s="531"/>
      <c r="J56" s="530"/>
      <c r="K56" s="509"/>
      <c r="L56" s="533">
        <v>0</v>
      </c>
      <c r="M56" s="530"/>
      <c r="N56" s="556">
        <v>0</v>
      </c>
      <c r="O56" s="530"/>
      <c r="P56" s="509"/>
      <c r="Q56" s="533">
        <v>0</v>
      </c>
      <c r="R56" s="530"/>
      <c r="S56" s="556">
        <v>0</v>
      </c>
      <c r="T56" s="572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522" t="s">
        <v>263</v>
      </c>
      <c r="B57" s="509" t="s">
        <v>0</v>
      </c>
      <c r="C57" s="523" t="s">
        <v>52</v>
      </c>
      <c r="D57" s="586"/>
      <c r="E57" s="606"/>
      <c r="F57" s="525">
        <v>8952.5479333333333</v>
      </c>
      <c r="G57" s="587"/>
      <c r="H57" s="606"/>
      <c r="I57" s="525"/>
      <c r="J57" s="523"/>
      <c r="K57" s="606"/>
      <c r="L57" s="525">
        <v>10373.77</v>
      </c>
      <c r="M57" s="523"/>
      <c r="N57" s="581">
        <v>1421.2220666666672</v>
      </c>
      <c r="O57" s="523"/>
      <c r="P57" s="606"/>
      <c r="Q57" s="525">
        <v>12087.7</v>
      </c>
      <c r="R57" s="523"/>
      <c r="S57" s="581">
        <v>-1713.9300000000003</v>
      </c>
      <c r="T57" s="607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522" t="s">
        <v>264</v>
      </c>
      <c r="B58" s="509" t="s">
        <v>0</v>
      </c>
      <c r="C58" s="530" t="s">
        <v>53</v>
      </c>
      <c r="D58" s="583"/>
      <c r="E58" s="509"/>
      <c r="F58" s="531">
        <v>7960.9947585155569</v>
      </c>
      <c r="G58" s="584"/>
      <c r="H58" s="509"/>
      <c r="I58" s="531"/>
      <c r="J58" s="530"/>
      <c r="K58" s="509"/>
      <c r="L58" s="533">
        <v>9937.75</v>
      </c>
      <c r="M58" s="530"/>
      <c r="N58" s="556">
        <v>1976.7552414844431</v>
      </c>
      <c r="O58" s="530"/>
      <c r="P58" s="509"/>
      <c r="Q58" s="533">
        <v>8179.98</v>
      </c>
      <c r="R58" s="530"/>
      <c r="S58" s="556">
        <v>1757.7700000000004</v>
      </c>
      <c r="T58" s="572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522" t="s">
        <v>265</v>
      </c>
      <c r="B59" s="509" t="s">
        <v>0</v>
      </c>
      <c r="C59" s="530" t="s">
        <v>54</v>
      </c>
      <c r="D59" s="583"/>
      <c r="E59" s="509"/>
      <c r="F59" s="531">
        <v>1266.6975008629806</v>
      </c>
      <c r="G59" s="584"/>
      <c r="H59" s="509"/>
      <c r="I59" s="531"/>
      <c r="J59" s="530"/>
      <c r="K59" s="509"/>
      <c r="L59" s="533">
        <v>1697.26</v>
      </c>
      <c r="M59" s="530"/>
      <c r="N59" s="556">
        <v>430.56249913701936</v>
      </c>
      <c r="O59" s="530"/>
      <c r="P59" s="509"/>
      <c r="Q59" s="533">
        <v>1118.44</v>
      </c>
      <c r="R59" s="530"/>
      <c r="S59" s="556">
        <v>578.81999999999994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522" t="s">
        <v>266</v>
      </c>
      <c r="B60" s="509" t="s">
        <v>0</v>
      </c>
      <c r="C60" s="523" t="s">
        <v>55</v>
      </c>
      <c r="D60" s="586"/>
      <c r="E60" s="606"/>
      <c r="F60" s="525">
        <v>7215.7407235875298</v>
      </c>
      <c r="G60" s="587"/>
      <c r="H60" s="606"/>
      <c r="I60" s="525"/>
      <c r="J60" s="523"/>
      <c r="K60" s="606"/>
      <c r="L60" s="525">
        <v>10407.27</v>
      </c>
      <c r="M60" s="523"/>
      <c r="N60" s="581">
        <v>3191.5292764124706</v>
      </c>
      <c r="O60" s="523"/>
      <c r="P60" s="606"/>
      <c r="Q60" s="525">
        <v>6975.91</v>
      </c>
      <c r="R60" s="523"/>
      <c r="S60" s="581">
        <v>3431.3600000000006</v>
      </c>
      <c r="T60" s="509"/>
      <c r="U60" s="506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522" t="s">
        <v>267</v>
      </c>
      <c r="B61" s="509" t="s">
        <v>0</v>
      </c>
      <c r="C61" s="530" t="s">
        <v>56</v>
      </c>
      <c r="D61" s="583"/>
      <c r="E61" s="509"/>
      <c r="F61" s="531">
        <v>97.257333333333349</v>
      </c>
      <c r="G61" s="584"/>
      <c r="H61" s="509"/>
      <c r="I61" s="531"/>
      <c r="J61" s="530"/>
      <c r="K61" s="509"/>
      <c r="L61" s="533">
        <v>0</v>
      </c>
      <c r="M61" s="530"/>
      <c r="N61" s="556">
        <v>-97.257333333333349</v>
      </c>
      <c r="O61" s="530"/>
      <c r="P61" s="509"/>
      <c r="Q61" s="533">
        <v>176.44</v>
      </c>
      <c r="R61" s="530"/>
      <c r="S61" s="556">
        <v>-176.44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522" t="s">
        <v>268</v>
      </c>
      <c r="B62" s="509" t="s">
        <v>0</v>
      </c>
      <c r="C62" s="530" t="s">
        <v>57</v>
      </c>
      <c r="D62" s="583"/>
      <c r="E62" s="509"/>
      <c r="F62" s="531">
        <v>28.333333333333332</v>
      </c>
      <c r="G62" s="584"/>
      <c r="H62" s="509"/>
      <c r="I62" s="531"/>
      <c r="J62" s="530"/>
      <c r="K62" s="509"/>
      <c r="L62" s="533">
        <v>0</v>
      </c>
      <c r="M62" s="530"/>
      <c r="N62" s="556">
        <v>-28.333333333333332</v>
      </c>
      <c r="O62" s="530"/>
      <c r="P62" s="509"/>
      <c r="Q62" s="533">
        <v>0</v>
      </c>
      <c r="R62" s="530"/>
      <c r="S62" s="556">
        <v>0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522" t="s">
        <v>269</v>
      </c>
      <c r="B63" s="509" t="s">
        <v>0</v>
      </c>
      <c r="C63" s="530" t="s">
        <v>58</v>
      </c>
      <c r="D63" s="583"/>
      <c r="E63" s="509"/>
      <c r="F63" s="531">
        <v>741.43089466911999</v>
      </c>
      <c r="G63" s="584"/>
      <c r="H63" s="509"/>
      <c r="I63" s="531"/>
      <c r="J63" s="530"/>
      <c r="K63" s="509"/>
      <c r="L63" s="533">
        <v>264.08999999999997</v>
      </c>
      <c r="M63" s="530"/>
      <c r="N63" s="556">
        <v>-477.34089466912002</v>
      </c>
      <c r="O63" s="530"/>
      <c r="P63" s="509"/>
      <c r="Q63" s="533">
        <v>1062.18</v>
      </c>
      <c r="R63" s="530"/>
      <c r="S63" s="556">
        <v>-798.09000000000015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522" t="s">
        <v>270</v>
      </c>
      <c r="B64" s="509" t="s">
        <v>0</v>
      </c>
      <c r="C64" s="530" t="s">
        <v>59</v>
      </c>
      <c r="D64" s="583"/>
      <c r="E64" s="509"/>
      <c r="F64" s="531">
        <v>344.80198491798222</v>
      </c>
      <c r="G64" s="584"/>
      <c r="H64" s="509"/>
      <c r="I64" s="531"/>
      <c r="J64" s="530"/>
      <c r="K64" s="509"/>
      <c r="L64" s="533">
        <v>367.93</v>
      </c>
      <c r="M64" s="530"/>
      <c r="N64" s="556">
        <v>23.128015082017782</v>
      </c>
      <c r="O64" s="530"/>
      <c r="P64" s="509"/>
      <c r="Q64" s="533">
        <v>328.45</v>
      </c>
      <c r="R64" s="530"/>
      <c r="S64" s="556">
        <v>39.480000000000018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522" t="s">
        <v>271</v>
      </c>
      <c r="B65" s="509" t="s">
        <v>0</v>
      </c>
      <c r="C65" s="530" t="s">
        <v>60</v>
      </c>
      <c r="D65" s="583"/>
      <c r="E65" s="509"/>
      <c r="F65" s="531">
        <v>102.82239536841776</v>
      </c>
      <c r="G65" s="584"/>
      <c r="H65" s="509"/>
      <c r="I65" s="531"/>
      <c r="J65" s="530"/>
      <c r="K65" s="509"/>
      <c r="L65" s="533">
        <v>135.09</v>
      </c>
      <c r="M65" s="530"/>
      <c r="N65" s="556">
        <v>32.267604631582245</v>
      </c>
      <c r="O65" s="530"/>
      <c r="P65" s="509"/>
      <c r="Q65" s="533">
        <v>32.96</v>
      </c>
      <c r="R65" s="530"/>
      <c r="S65" s="556">
        <v>102.13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522" t="s">
        <v>272</v>
      </c>
      <c r="B66" s="509" t="s">
        <v>0</v>
      </c>
      <c r="C66" s="530" t="s">
        <v>61</v>
      </c>
      <c r="D66" s="583"/>
      <c r="E66" s="509"/>
      <c r="F66" s="531">
        <v>201.17038516793778</v>
      </c>
      <c r="G66" s="584"/>
      <c r="H66" s="509"/>
      <c r="I66" s="531"/>
      <c r="J66" s="530"/>
      <c r="K66" s="509"/>
      <c r="L66" s="533">
        <v>735.59</v>
      </c>
      <c r="M66" s="530"/>
      <c r="N66" s="556">
        <v>534.41961483206228</v>
      </c>
      <c r="O66" s="530"/>
      <c r="P66" s="509"/>
      <c r="Q66" s="533">
        <v>95.63</v>
      </c>
      <c r="R66" s="530"/>
      <c r="S66" s="556">
        <v>639.96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522" t="s">
        <v>273</v>
      </c>
      <c r="B67" s="509" t="s">
        <v>0</v>
      </c>
      <c r="C67" s="530" t="s">
        <v>62</v>
      </c>
      <c r="D67" s="583"/>
      <c r="E67" s="509"/>
      <c r="F67" s="531">
        <v>1934.7062499999995</v>
      </c>
      <c r="G67" s="584"/>
      <c r="H67" s="509"/>
      <c r="I67" s="531"/>
      <c r="J67" s="530"/>
      <c r="K67" s="509"/>
      <c r="L67" s="533">
        <v>102.08</v>
      </c>
      <c r="M67" s="530"/>
      <c r="N67" s="556">
        <v>-1832.6262499999996</v>
      </c>
      <c r="O67" s="530"/>
      <c r="P67" s="509"/>
      <c r="Q67" s="533">
        <v>102.08</v>
      </c>
      <c r="R67" s="530"/>
      <c r="S67" s="556">
        <v>0</v>
      </c>
      <c r="T67" s="509"/>
      <c r="U67" s="522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522" t="s">
        <v>274</v>
      </c>
      <c r="B68" s="509" t="s">
        <v>0</v>
      </c>
      <c r="C68" s="530" t="s">
        <v>63</v>
      </c>
      <c r="D68" s="583"/>
      <c r="E68" s="509"/>
      <c r="F68" s="531">
        <v>3024.0504981081649</v>
      </c>
      <c r="G68" s="584"/>
      <c r="H68" s="509"/>
      <c r="I68" s="531"/>
      <c r="J68" s="530"/>
      <c r="K68" s="509"/>
      <c r="L68" s="533">
        <v>3986.37</v>
      </c>
      <c r="M68" s="530"/>
      <c r="N68" s="556">
        <v>962.31950189183499</v>
      </c>
      <c r="O68" s="530"/>
      <c r="P68" s="509"/>
      <c r="Q68" s="533">
        <v>4138.41</v>
      </c>
      <c r="R68" s="530"/>
      <c r="S68" s="556">
        <v>-152.03999999999996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522" t="s">
        <v>233</v>
      </c>
      <c r="B69" s="509" t="s">
        <v>0</v>
      </c>
      <c r="C69" s="530" t="s">
        <v>20</v>
      </c>
      <c r="D69" s="583"/>
      <c r="E69" s="509"/>
      <c r="F69" s="531">
        <v>0</v>
      </c>
      <c r="G69" s="584"/>
      <c r="H69" s="509"/>
      <c r="I69" s="531"/>
      <c r="J69" s="530"/>
      <c r="K69" s="509"/>
      <c r="L69" s="533"/>
      <c r="M69" s="530"/>
      <c r="N69" s="556">
        <v>0</v>
      </c>
      <c r="O69" s="530"/>
      <c r="P69" s="509"/>
      <c r="Q69" s="533">
        <v>0</v>
      </c>
      <c r="R69" s="530"/>
      <c r="S69" s="556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522" t="s">
        <v>233</v>
      </c>
      <c r="B70" s="509" t="s">
        <v>0</v>
      </c>
      <c r="C70" s="530" t="s">
        <v>20</v>
      </c>
      <c r="D70" s="583"/>
      <c r="E70" s="509"/>
      <c r="F70" s="531">
        <v>0</v>
      </c>
      <c r="G70" s="584"/>
      <c r="H70" s="509"/>
      <c r="I70" s="531"/>
      <c r="J70" s="530"/>
      <c r="K70" s="509"/>
      <c r="L70" s="533">
        <v>0</v>
      </c>
      <c r="M70" s="530"/>
      <c r="N70" s="556">
        <v>0</v>
      </c>
      <c r="O70" s="530"/>
      <c r="P70" s="509"/>
      <c r="Q70" s="533">
        <v>0</v>
      </c>
      <c r="R70" s="530"/>
      <c r="S70" s="556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522" t="s">
        <v>233</v>
      </c>
      <c r="B71" s="509" t="s">
        <v>0</v>
      </c>
      <c r="C71" s="530" t="s">
        <v>20</v>
      </c>
      <c r="D71" s="583"/>
      <c r="E71" s="509"/>
      <c r="F71" s="531">
        <v>0</v>
      </c>
      <c r="G71" s="584"/>
      <c r="H71" s="509"/>
      <c r="I71" s="531"/>
      <c r="J71" s="530"/>
      <c r="K71" s="509"/>
      <c r="L71" s="533">
        <v>0</v>
      </c>
      <c r="M71" s="530"/>
      <c r="N71" s="556">
        <v>0</v>
      </c>
      <c r="O71" s="530"/>
      <c r="P71" s="509"/>
      <c r="Q71" s="533">
        <v>0</v>
      </c>
      <c r="R71" s="530"/>
      <c r="S71" s="556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522" t="s">
        <v>275</v>
      </c>
      <c r="B72" s="509" t="s">
        <v>0</v>
      </c>
      <c r="C72" s="591" t="s">
        <v>64</v>
      </c>
      <c r="D72" s="592" t="s">
        <v>39</v>
      </c>
      <c r="E72" s="593">
        <v>0.16660031748308876</v>
      </c>
      <c r="F72" s="594">
        <v>31870.553991197688</v>
      </c>
      <c r="G72" s="595"/>
      <c r="H72" s="593"/>
      <c r="I72" s="594"/>
      <c r="J72" s="595" t="s">
        <v>39</v>
      </c>
      <c r="K72" s="593">
        <v>0.33868901210476915</v>
      </c>
      <c r="L72" s="594">
        <v>38007.199999999997</v>
      </c>
      <c r="M72" s="598"/>
      <c r="N72" s="594">
        <v>6136.6460088023123</v>
      </c>
      <c r="O72" s="595" t="s">
        <v>39</v>
      </c>
      <c r="P72" s="593">
        <v>0.28043842292031212</v>
      </c>
      <c r="Q72" s="594">
        <v>34298.18</v>
      </c>
      <c r="R72" s="598"/>
      <c r="S72" s="594">
        <v>3709.0200000000004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522" t="s">
        <v>0</v>
      </c>
      <c r="B73" s="509" t="s">
        <v>0</v>
      </c>
      <c r="C73" s="523"/>
      <c r="D73" s="586"/>
      <c r="E73" s="606"/>
      <c r="F73" s="556"/>
      <c r="G73" s="587"/>
      <c r="H73" s="606"/>
      <c r="I73" s="556"/>
      <c r="J73" s="523"/>
      <c r="K73" s="606"/>
      <c r="L73" s="581"/>
      <c r="M73" s="523"/>
      <c r="N73" s="581"/>
      <c r="O73" s="523"/>
      <c r="P73" s="606"/>
      <c r="Q73" s="581"/>
      <c r="R73" s="523"/>
      <c r="S73" s="581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522" t="s">
        <v>276</v>
      </c>
      <c r="B74" s="509" t="s">
        <v>0</v>
      </c>
      <c r="C74" s="591" t="s">
        <v>65</v>
      </c>
      <c r="D74" s="592" t="s">
        <v>39</v>
      </c>
      <c r="E74" s="593">
        <v>1.114582843870789</v>
      </c>
      <c r="F74" s="594">
        <v>213219.11770577772</v>
      </c>
      <c r="G74" s="595"/>
      <c r="H74" s="593"/>
      <c r="I74" s="594"/>
      <c r="J74" s="595" t="s">
        <v>39</v>
      </c>
      <c r="K74" s="593">
        <v>1.5796013458733842</v>
      </c>
      <c r="L74" s="594">
        <v>177260.62</v>
      </c>
      <c r="M74" s="598"/>
      <c r="N74" s="608">
        <v>-35958.497705777729</v>
      </c>
      <c r="O74" s="595" t="s">
        <v>39</v>
      </c>
      <c r="P74" s="593">
        <v>1.1461030890745854</v>
      </c>
      <c r="Q74" s="594">
        <v>140170.6999999999</v>
      </c>
      <c r="R74" s="598"/>
      <c r="S74" s="608">
        <v>37089.9200000001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522" t="s">
        <v>277</v>
      </c>
      <c r="B75" s="509" t="s">
        <v>0</v>
      </c>
      <c r="C75" s="530" t="s">
        <v>197</v>
      </c>
      <c r="D75" s="583"/>
      <c r="E75" s="509"/>
      <c r="F75" s="531">
        <v>25000</v>
      </c>
      <c r="G75" s="584"/>
      <c r="H75" s="509"/>
      <c r="I75" s="531"/>
      <c r="J75" s="530"/>
      <c r="K75" s="509"/>
      <c r="L75" s="533">
        <v>11400</v>
      </c>
      <c r="M75" s="530"/>
      <c r="N75" s="556">
        <v>-13600</v>
      </c>
      <c r="O75" s="530"/>
      <c r="P75" s="509"/>
      <c r="Q75" s="533">
        <v>20000</v>
      </c>
      <c r="R75" s="530"/>
      <c r="S75" s="556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522" t="s">
        <v>278</v>
      </c>
      <c r="B76" s="509" t="s">
        <v>0</v>
      </c>
      <c r="C76" s="530" t="s">
        <v>194</v>
      </c>
      <c r="D76" s="583"/>
      <c r="E76" s="509"/>
      <c r="F76" s="531">
        <v>0</v>
      </c>
      <c r="G76" s="584"/>
      <c r="H76" s="509"/>
      <c r="I76" s="531"/>
      <c r="J76" s="530"/>
      <c r="K76" s="509"/>
      <c r="L76" s="533">
        <v>0</v>
      </c>
      <c r="M76" s="530"/>
      <c r="N76" s="556">
        <v>0</v>
      </c>
      <c r="O76" s="530"/>
      <c r="P76" s="509"/>
      <c r="Q76" s="533">
        <v>0</v>
      </c>
      <c r="R76" s="530"/>
      <c r="S76" s="556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522" t="s">
        <v>279</v>
      </c>
      <c r="B77" s="509" t="s">
        <v>0</v>
      </c>
      <c r="C77" s="530" t="s">
        <v>68</v>
      </c>
      <c r="D77" s="583"/>
      <c r="E77" s="509"/>
      <c r="F77" s="531">
        <v>0</v>
      </c>
      <c r="G77" s="584"/>
      <c r="H77" s="509"/>
      <c r="I77" s="531"/>
      <c r="J77" s="530"/>
      <c r="K77" s="509"/>
      <c r="L77" s="533">
        <v>0</v>
      </c>
      <c r="M77" s="530"/>
      <c r="N77" s="556">
        <v>0</v>
      </c>
      <c r="O77" s="530"/>
      <c r="P77" s="509"/>
      <c r="Q77" s="533">
        <v>0</v>
      </c>
      <c r="R77" s="530"/>
      <c r="S77" s="556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522" t="s">
        <v>280</v>
      </c>
      <c r="B78" s="509" t="s">
        <v>0</v>
      </c>
      <c r="C78" s="530" t="s">
        <v>69</v>
      </c>
      <c r="D78" s="583"/>
      <c r="E78" s="609">
        <v>1375.5035261146222</v>
      </c>
      <c r="F78" s="531">
        <v>78403.70098853347</v>
      </c>
      <c r="G78" s="584"/>
      <c r="H78" s="509"/>
      <c r="I78" s="531"/>
      <c r="J78" s="610">
        <v>0.99316011348516153</v>
      </c>
      <c r="K78" s="609">
        <v>1366.0952380952381</v>
      </c>
      <c r="L78" s="533">
        <v>57376</v>
      </c>
      <c r="M78" s="530"/>
      <c r="N78" s="556">
        <v>-21027.70098853347</v>
      </c>
      <c r="O78" s="530"/>
      <c r="P78" s="509"/>
      <c r="Q78" s="533">
        <v>54053</v>
      </c>
      <c r="R78" s="530"/>
      <c r="S78" s="556">
        <v>3323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522" t="s">
        <v>233</v>
      </c>
      <c r="B79" s="509" t="s">
        <v>0</v>
      </c>
      <c r="C79" s="530" t="s">
        <v>20</v>
      </c>
      <c r="D79" s="583"/>
      <c r="E79" s="509"/>
      <c r="F79" s="531">
        <v>0</v>
      </c>
      <c r="G79" s="584"/>
      <c r="H79" s="509"/>
      <c r="I79" s="531"/>
      <c r="J79" s="530"/>
      <c r="K79" s="509"/>
      <c r="L79" s="533">
        <v>0</v>
      </c>
      <c r="M79" s="530"/>
      <c r="N79" s="556">
        <v>0</v>
      </c>
      <c r="O79" s="530"/>
      <c r="P79" s="509"/>
      <c r="Q79" s="533">
        <v>0</v>
      </c>
      <c r="R79" s="530"/>
      <c r="S79" s="556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522" t="s">
        <v>233</v>
      </c>
      <c r="B80" s="509" t="s">
        <v>0</v>
      </c>
      <c r="C80" s="530" t="s">
        <v>20</v>
      </c>
      <c r="D80" s="583"/>
      <c r="E80" s="509"/>
      <c r="F80" s="531">
        <v>0</v>
      </c>
      <c r="G80" s="584"/>
      <c r="H80" s="509"/>
      <c r="I80" s="531"/>
      <c r="J80" s="530"/>
      <c r="K80" s="509"/>
      <c r="L80" s="533">
        <v>0</v>
      </c>
      <c r="M80" s="530"/>
      <c r="N80" s="556">
        <v>0</v>
      </c>
      <c r="O80" s="530"/>
      <c r="P80" s="509"/>
      <c r="Q80" s="533">
        <v>0</v>
      </c>
      <c r="R80" s="530"/>
      <c r="S80" s="556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522" t="s">
        <v>233</v>
      </c>
      <c r="B81" s="509" t="s">
        <v>0</v>
      </c>
      <c r="C81" s="530" t="s">
        <v>20</v>
      </c>
      <c r="D81" s="583"/>
      <c r="E81" s="509"/>
      <c r="F81" s="531">
        <v>0</v>
      </c>
      <c r="G81" s="584"/>
      <c r="H81" s="509"/>
      <c r="I81" s="531"/>
      <c r="J81" s="530"/>
      <c r="K81" s="509"/>
      <c r="L81" s="533">
        <v>0</v>
      </c>
      <c r="M81" s="530"/>
      <c r="N81" s="556">
        <v>0</v>
      </c>
      <c r="O81" s="530"/>
      <c r="P81" s="509"/>
      <c r="Q81" s="533">
        <v>0</v>
      </c>
      <c r="R81" s="530"/>
      <c r="S81" s="556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11" t="s">
        <v>281</v>
      </c>
      <c r="B82" s="612" t="s">
        <v>0</v>
      </c>
      <c r="C82" s="530" t="s">
        <v>70</v>
      </c>
      <c r="D82" s="613">
        <v>0.94999999999999984</v>
      </c>
      <c r="E82" s="614">
        <v>474.0499999999999</v>
      </c>
      <c r="F82" s="531">
        <v>26546.799999999996</v>
      </c>
      <c r="G82" s="584"/>
      <c r="H82" s="509"/>
      <c r="I82" s="531"/>
      <c r="J82" s="610">
        <v>1.0548523206751055</v>
      </c>
      <c r="K82" s="614">
        <v>500</v>
      </c>
      <c r="L82" s="533">
        <v>21000</v>
      </c>
      <c r="M82" s="530"/>
      <c r="N82" s="556">
        <v>-5546.7999999999956</v>
      </c>
      <c r="O82" s="530"/>
      <c r="P82" s="509"/>
      <c r="Q82" s="533">
        <v>16497</v>
      </c>
      <c r="R82" s="530"/>
      <c r="S82" s="556">
        <v>4503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522" t="s">
        <v>282</v>
      </c>
      <c r="B83" s="509" t="s">
        <v>0</v>
      </c>
      <c r="C83" s="591" t="s">
        <v>71</v>
      </c>
      <c r="D83" s="592"/>
      <c r="E83" s="593"/>
      <c r="F83" s="594">
        <v>129950.50098853346</v>
      </c>
      <c r="G83" s="595"/>
      <c r="H83" s="593"/>
      <c r="I83" s="594"/>
      <c r="J83" s="595"/>
      <c r="K83" s="593"/>
      <c r="L83" s="594">
        <v>89776</v>
      </c>
      <c r="M83" s="598"/>
      <c r="N83" s="594">
        <v>-40174.500988533466</v>
      </c>
      <c r="O83" s="595"/>
      <c r="P83" s="593"/>
      <c r="Q83" s="594">
        <v>90550</v>
      </c>
      <c r="R83" s="598"/>
      <c r="S83" s="594">
        <v>7826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522" t="s">
        <v>0</v>
      </c>
      <c r="B84" s="509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522" t="s">
        <v>283</v>
      </c>
      <c r="B85" s="509" t="s">
        <v>0</v>
      </c>
      <c r="C85" s="623" t="s">
        <v>72</v>
      </c>
      <c r="D85" s="624"/>
      <c r="E85" s="625"/>
      <c r="F85" s="626">
        <v>108030.86261557753</v>
      </c>
      <c r="G85" s="627"/>
      <c r="H85" s="625"/>
      <c r="I85" s="626"/>
      <c r="J85" s="627"/>
      <c r="K85" s="624"/>
      <c r="L85" s="626">
        <v>24733.959999999977</v>
      </c>
      <c r="M85" s="627"/>
      <c r="N85" s="626">
        <v>-83296.902615577565</v>
      </c>
      <c r="O85" s="627"/>
      <c r="P85" s="628">
        <v>3.3524583479145553E-2</v>
      </c>
      <c r="Q85" s="626">
        <v>72681.300000000061</v>
      </c>
      <c r="R85" s="627"/>
      <c r="S85" s="626">
        <v>-39347.340000000084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3" t="s">
        <v>478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4" t="s">
        <v>482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220</v>
      </c>
      <c r="N91" s="513"/>
      <c r="O91" s="511" t="s">
        <v>8</v>
      </c>
      <c r="P91" s="512"/>
      <c r="Q91" s="513"/>
      <c r="R91" s="514" t="s">
        <v>221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30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473</v>
      </c>
      <c r="K92" s="519" t="s">
        <v>13</v>
      </c>
      <c r="L92" s="520" t="s">
        <v>12</v>
      </c>
      <c r="M92" s="521" t="s">
        <v>473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473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522" t="s">
        <v>284</v>
      </c>
      <c r="B93" s="509" t="s">
        <v>73</v>
      </c>
      <c r="C93" s="523" t="s">
        <v>15</v>
      </c>
      <c r="D93" s="527"/>
      <c r="E93" s="527"/>
      <c r="F93" s="525">
        <v>1593352.3525320443</v>
      </c>
      <c r="G93" s="544"/>
      <c r="H93" s="527"/>
      <c r="I93" s="525"/>
      <c r="J93" s="523"/>
      <c r="K93" s="527"/>
      <c r="L93" s="525">
        <v>1128983.9300000002</v>
      </c>
      <c r="M93" s="635"/>
      <c r="N93" s="636"/>
      <c r="O93" s="523"/>
      <c r="P93" s="527"/>
      <c r="Q93" s="525">
        <v>803576.36</v>
      </c>
      <c r="R93" s="635"/>
      <c r="S93" s="636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522" t="s">
        <v>285</v>
      </c>
      <c r="B94" s="509" t="s">
        <v>73</v>
      </c>
      <c r="C94" s="530" t="s">
        <v>75</v>
      </c>
      <c r="D94" s="531">
        <v>20</v>
      </c>
      <c r="E94" s="531">
        <v>1400</v>
      </c>
      <c r="F94" s="531">
        <v>28000</v>
      </c>
      <c r="G94" s="532"/>
      <c r="H94" s="531"/>
      <c r="I94" s="531"/>
      <c r="J94" s="532">
        <v>21</v>
      </c>
      <c r="K94" s="531">
        <v>619.89380952381009</v>
      </c>
      <c r="L94" s="533">
        <v>13017.770000000011</v>
      </c>
      <c r="M94" s="532">
        <v>1</v>
      </c>
      <c r="N94" s="533">
        <v>-14982.229999999989</v>
      </c>
      <c r="O94" s="532">
        <v>17</v>
      </c>
      <c r="P94" s="531">
        <v>1130.9829411764647</v>
      </c>
      <c r="Q94" s="533">
        <v>19226.709999999901</v>
      </c>
      <c r="R94" s="532">
        <v>4</v>
      </c>
      <c r="S94" s="533">
        <v>-6208.9399999998896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522" t="s">
        <v>286</v>
      </c>
      <c r="B95" s="509" t="s">
        <v>73</v>
      </c>
      <c r="C95" s="530" t="s">
        <v>76</v>
      </c>
      <c r="D95" s="531">
        <v>3</v>
      </c>
      <c r="E95" s="531">
        <v>1800</v>
      </c>
      <c r="F95" s="531">
        <v>5400</v>
      </c>
      <c r="G95" s="532"/>
      <c r="H95" s="531"/>
      <c r="I95" s="531"/>
      <c r="J95" s="532">
        <v>0</v>
      </c>
      <c r="K95" s="531">
        <v>0</v>
      </c>
      <c r="L95" s="533">
        <v>-556.42999999999995</v>
      </c>
      <c r="M95" s="532">
        <v>-3</v>
      </c>
      <c r="N95" s="533">
        <v>-5956.43</v>
      </c>
      <c r="O95" s="532">
        <v>0</v>
      </c>
      <c r="P95" s="531">
        <v>0</v>
      </c>
      <c r="Q95" s="533">
        <v>-471.43</v>
      </c>
      <c r="R95" s="532">
        <v>0</v>
      </c>
      <c r="S95" s="533">
        <v>-84.999999999999943</v>
      </c>
      <c r="T95" s="509"/>
      <c r="U95" s="509"/>
      <c r="V95" s="637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522" t="s">
        <v>287</v>
      </c>
      <c r="B96" s="509" t="s">
        <v>73</v>
      </c>
      <c r="C96" s="530" t="s">
        <v>224</v>
      </c>
      <c r="D96" s="531">
        <v>3</v>
      </c>
      <c r="E96" s="527">
        <v>1500</v>
      </c>
      <c r="F96" s="531">
        <v>4500</v>
      </c>
      <c r="G96" s="532"/>
      <c r="H96" s="531"/>
      <c r="I96" s="531"/>
      <c r="J96" s="532">
        <v>1</v>
      </c>
      <c r="K96" s="531">
        <v>4147.3000000000029</v>
      </c>
      <c r="L96" s="533">
        <v>4147.3000000000029</v>
      </c>
      <c r="M96" s="532">
        <v>-2</v>
      </c>
      <c r="N96" s="533">
        <v>-352.69999999999709</v>
      </c>
      <c r="O96" s="532">
        <v>1</v>
      </c>
      <c r="P96" s="531">
        <v>2147.6</v>
      </c>
      <c r="Q96" s="533">
        <v>2147.6</v>
      </c>
      <c r="R96" s="532">
        <v>0</v>
      </c>
      <c r="S96" s="533">
        <v>1999.700000000003</v>
      </c>
      <c r="T96" s="509"/>
      <c r="U96" s="509"/>
      <c r="V96" s="637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522" t="s">
        <v>288</v>
      </c>
      <c r="B97" s="509" t="s">
        <v>73</v>
      </c>
      <c r="C97" s="536" t="s">
        <v>77</v>
      </c>
      <c r="D97" s="537">
        <v>26</v>
      </c>
      <c r="E97" s="531">
        <v>1457.6923076923076</v>
      </c>
      <c r="F97" s="538">
        <v>37900</v>
      </c>
      <c r="G97" s="539"/>
      <c r="H97" s="537"/>
      <c r="I97" s="538"/>
      <c r="J97" s="539">
        <v>22</v>
      </c>
      <c r="K97" s="537">
        <v>754.93818181818244</v>
      </c>
      <c r="L97" s="538">
        <v>16608.640000000014</v>
      </c>
      <c r="M97" s="539">
        <v>-4</v>
      </c>
      <c r="N97" s="538">
        <v>-21291.359999999986</v>
      </c>
      <c r="O97" s="539">
        <v>18</v>
      </c>
      <c r="P97" s="537">
        <v>1161.2711111111055</v>
      </c>
      <c r="Q97" s="538">
        <v>20902.879999999899</v>
      </c>
      <c r="R97" s="539">
        <v>4</v>
      </c>
      <c r="S97" s="538">
        <v>-6293.9399999998896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2"/>
      <c r="AD97" s="509"/>
      <c r="AE97" s="509"/>
      <c r="AF97" s="572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522" t="s">
        <v>73</v>
      </c>
      <c r="B98" s="509" t="s">
        <v>73</v>
      </c>
      <c r="C98" s="530"/>
      <c r="D98" s="509"/>
      <c r="E98" s="531">
        <v>0</v>
      </c>
      <c r="F98" s="540"/>
      <c r="G98" s="530"/>
      <c r="H98" s="509"/>
      <c r="I98" s="540"/>
      <c r="J98" s="530"/>
      <c r="K98" s="509"/>
      <c r="L98" s="540"/>
      <c r="M98" s="638">
        <v>-0.15384615384615385</v>
      </c>
      <c r="N98" s="639">
        <v>-0.56177730870712361</v>
      </c>
      <c r="O98" s="530"/>
      <c r="P98" s="509">
        <v>0</v>
      </c>
      <c r="Q98" s="540"/>
      <c r="R98" s="638">
        <v>0.22222222222222221</v>
      </c>
      <c r="S98" s="639">
        <v>-0.30110396270752737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522" t="s">
        <v>73</v>
      </c>
      <c r="B99" s="509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09"/>
      <c r="U99" s="509"/>
      <c r="V99" s="509"/>
      <c r="W99" s="531"/>
      <c r="X99" s="531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522" t="s">
        <v>289</v>
      </c>
      <c r="B100" s="509" t="s">
        <v>73</v>
      </c>
      <c r="C100" s="530" t="s">
        <v>78</v>
      </c>
      <c r="D100" s="531">
        <v>35</v>
      </c>
      <c r="E100" s="531">
        <v>400</v>
      </c>
      <c r="F100" s="531">
        <v>14000</v>
      </c>
      <c r="G100" s="532"/>
      <c r="H100" s="531"/>
      <c r="I100" s="531"/>
      <c r="J100" s="532">
        <v>28</v>
      </c>
      <c r="K100" s="531">
        <v>-462.74821428571471</v>
      </c>
      <c r="L100" s="533">
        <v>-12956.950000000012</v>
      </c>
      <c r="M100" s="532">
        <v>-7</v>
      </c>
      <c r="N100" s="533">
        <v>-26956.950000000012</v>
      </c>
      <c r="O100" s="532">
        <v>22</v>
      </c>
      <c r="P100" s="531">
        <v>-477.45</v>
      </c>
      <c r="Q100" s="533">
        <v>-10503.9</v>
      </c>
      <c r="R100" s="532">
        <v>6</v>
      </c>
      <c r="S100" s="533">
        <v>-2453.050000000012</v>
      </c>
      <c r="T100" s="509"/>
      <c r="U100" s="531"/>
      <c r="V100" s="509"/>
      <c r="W100" s="509"/>
      <c r="X100" s="509"/>
      <c r="Y100" s="509"/>
      <c r="Z100" s="509"/>
      <c r="AA100" s="509"/>
      <c r="AB100" s="509"/>
      <c r="AC100" s="572"/>
      <c r="AD100" s="509"/>
      <c r="AE100" s="509"/>
      <c r="AF100" s="641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522" t="s">
        <v>73</v>
      </c>
      <c r="B101" s="509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2"/>
      <c r="O101" s="544"/>
      <c r="P101" s="527"/>
      <c r="Q101" s="525"/>
      <c r="R101" s="545"/>
      <c r="S101" s="642"/>
      <c r="T101" s="509"/>
      <c r="U101" s="509"/>
      <c r="V101" s="509"/>
      <c r="W101" s="531"/>
      <c r="X101" s="509"/>
      <c r="Y101" s="509"/>
      <c r="Z101" s="509"/>
      <c r="AA101" s="509"/>
      <c r="AB101" s="509"/>
      <c r="AC101" s="509"/>
      <c r="AD101" s="509"/>
      <c r="AE101" s="509"/>
      <c r="AF101" s="641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522" t="s">
        <v>290</v>
      </c>
      <c r="B102" s="509" t="s">
        <v>73</v>
      </c>
      <c r="C102" s="530" t="s">
        <v>25</v>
      </c>
      <c r="D102" s="531">
        <v>0</v>
      </c>
      <c r="E102" s="531">
        <v>0</v>
      </c>
      <c r="F102" s="533">
        <v>15600</v>
      </c>
      <c r="G102" s="532"/>
      <c r="H102" s="531"/>
      <c r="I102" s="531"/>
      <c r="J102" s="532"/>
      <c r="K102" s="531">
        <v>150.59454545454545</v>
      </c>
      <c r="L102" s="533">
        <v>3313.08</v>
      </c>
      <c r="M102" s="532"/>
      <c r="N102" s="533">
        <v>-12286.92</v>
      </c>
      <c r="O102" s="532"/>
      <c r="P102" s="531"/>
      <c r="Q102" s="533">
        <v>3906.17</v>
      </c>
      <c r="R102" s="532">
        <v>-150.59454545454545</v>
      </c>
      <c r="S102" s="533">
        <v>-593.09000000000015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522" t="s">
        <v>291</v>
      </c>
      <c r="B103" s="509" t="s">
        <v>73</v>
      </c>
      <c r="C103" s="530" t="s">
        <v>26</v>
      </c>
      <c r="D103" s="531">
        <v>0</v>
      </c>
      <c r="E103" s="531">
        <v>0</v>
      </c>
      <c r="F103" s="533">
        <v>32500</v>
      </c>
      <c r="G103" s="532"/>
      <c r="H103" s="531"/>
      <c r="I103" s="531"/>
      <c r="J103" s="532"/>
      <c r="K103" s="531">
        <v>1798.9981818181818</v>
      </c>
      <c r="L103" s="533">
        <v>39577.96</v>
      </c>
      <c r="M103" s="532"/>
      <c r="N103" s="533">
        <v>7077.9599999999991</v>
      </c>
      <c r="O103" s="532"/>
      <c r="P103" s="531"/>
      <c r="Q103" s="533">
        <v>28363.39</v>
      </c>
      <c r="R103" s="532">
        <v>-1798.9981818181818</v>
      </c>
      <c r="S103" s="533">
        <v>11214.57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522" t="s">
        <v>292</v>
      </c>
      <c r="B104" s="509" t="s">
        <v>73</v>
      </c>
      <c r="C104" s="530" t="s">
        <v>27</v>
      </c>
      <c r="D104" s="531">
        <v>0</v>
      </c>
      <c r="E104" s="527">
        <v>0</v>
      </c>
      <c r="F104" s="533">
        <v>1300</v>
      </c>
      <c r="G104" s="532"/>
      <c r="H104" s="527"/>
      <c r="I104" s="531"/>
      <c r="J104" s="532"/>
      <c r="K104" s="527">
        <v>77.349545454545463</v>
      </c>
      <c r="L104" s="533">
        <v>1701.69</v>
      </c>
      <c r="M104" s="544"/>
      <c r="N104" s="533">
        <v>401.69000000000005</v>
      </c>
      <c r="O104" s="532"/>
      <c r="P104" s="527"/>
      <c r="Q104" s="533">
        <v>0</v>
      </c>
      <c r="R104" s="532">
        <v>-77.349545454545463</v>
      </c>
      <c r="S104" s="533">
        <v>1701.69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522" t="s">
        <v>293</v>
      </c>
      <c r="B105" s="509" t="s">
        <v>73</v>
      </c>
      <c r="C105" s="536" t="s">
        <v>28</v>
      </c>
      <c r="D105" s="537">
        <v>26</v>
      </c>
      <c r="E105" s="531">
        <v>1900</v>
      </c>
      <c r="F105" s="538">
        <v>49400</v>
      </c>
      <c r="G105" s="539"/>
      <c r="H105" s="537"/>
      <c r="I105" s="538"/>
      <c r="J105" s="539">
        <v>22</v>
      </c>
      <c r="K105" s="537">
        <v>2026.9422727272729</v>
      </c>
      <c r="L105" s="538">
        <v>44592.73</v>
      </c>
      <c r="M105" s="532">
        <v>-4</v>
      </c>
      <c r="N105" s="538">
        <v>-4807.2699999999968</v>
      </c>
      <c r="O105" s="539">
        <v>18</v>
      </c>
      <c r="P105" s="537">
        <v>1792.7533333333331</v>
      </c>
      <c r="Q105" s="538">
        <v>32269.559999999998</v>
      </c>
      <c r="R105" s="553"/>
      <c r="S105" s="538">
        <v>12323.170000000006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522" t="s">
        <v>73</v>
      </c>
      <c r="B106" s="509" t="s">
        <v>73</v>
      </c>
      <c r="C106" s="530"/>
      <c r="D106" s="509"/>
      <c r="E106" s="509"/>
      <c r="F106" s="556"/>
      <c r="G106" s="530"/>
      <c r="H106" s="643"/>
      <c r="I106" s="556"/>
      <c r="J106" s="530"/>
      <c r="K106" s="509"/>
      <c r="L106" s="556"/>
      <c r="M106" s="547"/>
      <c r="N106" s="548">
        <v>-9.7313157894736782E-2</v>
      </c>
      <c r="O106" s="530"/>
      <c r="P106" s="509"/>
      <c r="Q106" s="556"/>
      <c r="R106" s="557"/>
      <c r="S106" s="548">
        <v>0.3818821824654568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522" t="s">
        <v>73</v>
      </c>
      <c r="B107" s="509" t="s">
        <v>73</v>
      </c>
      <c r="C107" s="530"/>
      <c r="D107" s="509"/>
      <c r="E107" s="509"/>
      <c r="F107" s="556"/>
      <c r="G107" s="530"/>
      <c r="H107" s="643"/>
      <c r="I107" s="556"/>
      <c r="J107" s="530"/>
      <c r="K107" s="509"/>
      <c r="L107" s="556"/>
      <c r="M107" s="547"/>
      <c r="N107" s="548"/>
      <c r="O107" s="530"/>
      <c r="P107" s="509"/>
      <c r="Q107" s="556"/>
      <c r="R107" s="557"/>
      <c r="S107" s="548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522" t="s">
        <v>294</v>
      </c>
      <c r="B108" s="509" t="s">
        <v>73</v>
      </c>
      <c r="C108" s="558" t="s">
        <v>79</v>
      </c>
      <c r="D108" s="559">
        <v>61</v>
      </c>
      <c r="E108" s="560">
        <v>1660.655737704918</v>
      </c>
      <c r="F108" s="561">
        <v>101300</v>
      </c>
      <c r="G108" s="562"/>
      <c r="H108" s="644"/>
      <c r="I108" s="561"/>
      <c r="J108" s="562">
        <v>50</v>
      </c>
      <c r="K108" s="560">
        <v>964.88840000000016</v>
      </c>
      <c r="L108" s="561">
        <v>48244.420000000006</v>
      </c>
      <c r="M108" s="562">
        <v>-11</v>
      </c>
      <c r="N108" s="561">
        <v>-53055.579999999994</v>
      </c>
      <c r="O108" s="562">
        <v>40</v>
      </c>
      <c r="P108" s="560">
        <v>1066.7134999999976</v>
      </c>
      <c r="Q108" s="561">
        <v>42668.539999999899</v>
      </c>
      <c r="R108" s="562">
        <v>10</v>
      </c>
      <c r="S108" s="561">
        <v>5575.8800000001065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522" t="s">
        <v>73</v>
      </c>
      <c r="B109" s="509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0.4762529121421521</v>
      </c>
      <c r="M109" s="568">
        <v>-0.18032786885245902</v>
      </c>
      <c r="N109" s="569">
        <v>-0.52374708785784796</v>
      </c>
      <c r="O109" s="563"/>
      <c r="P109" s="564"/>
      <c r="Q109" s="565"/>
      <c r="R109" s="645">
        <v>4</v>
      </c>
      <c r="S109" s="646">
        <v>0.13067894987735976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522" t="s">
        <v>73</v>
      </c>
      <c r="B110" s="509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522" t="s">
        <v>295</v>
      </c>
      <c r="B111" s="509" t="s">
        <v>73</v>
      </c>
      <c r="C111" s="573" t="s">
        <v>30</v>
      </c>
      <c r="D111" s="509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522" t="s">
        <v>296</v>
      </c>
      <c r="B112" s="509" t="s">
        <v>73</v>
      </c>
      <c r="C112" s="530" t="s">
        <v>31</v>
      </c>
      <c r="D112" s="647">
        <v>0.35569558136392404</v>
      </c>
      <c r="E112" s="572">
        <v>518.49471283433547</v>
      </c>
      <c r="F112" s="531">
        <v>13480.862533692722</v>
      </c>
      <c r="G112" s="576"/>
      <c r="H112" s="572"/>
      <c r="I112" s="531"/>
      <c r="J112" s="576">
        <v>0.53747326692612962</v>
      </c>
      <c r="K112" s="572">
        <v>405.75909090909096</v>
      </c>
      <c r="L112" s="533">
        <v>8926.7000000000007</v>
      </c>
      <c r="M112" s="530"/>
      <c r="N112" s="556">
        <v>-4554.1625336927209</v>
      </c>
      <c r="O112" s="577">
        <v>0.65847289942821596</v>
      </c>
      <c r="P112" s="572">
        <v>764.66555555555556</v>
      </c>
      <c r="Q112" s="533">
        <v>13763.98</v>
      </c>
      <c r="R112" s="530"/>
      <c r="S112" s="556">
        <v>-4837.2799999999988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522" t="s">
        <v>297</v>
      </c>
      <c r="B113" s="509" t="s">
        <v>73</v>
      </c>
      <c r="C113" s="523" t="s">
        <v>32</v>
      </c>
      <c r="D113" s="648">
        <v>0.3</v>
      </c>
      <c r="E113" s="579">
        <v>570</v>
      </c>
      <c r="F113" s="525">
        <v>14820</v>
      </c>
      <c r="G113" s="580"/>
      <c r="H113" s="579"/>
      <c r="I113" s="525"/>
      <c r="J113" s="580">
        <v>0.33318727066048653</v>
      </c>
      <c r="K113" s="579">
        <v>675.35136363636366</v>
      </c>
      <c r="L113" s="533">
        <v>14857.73</v>
      </c>
      <c r="M113" s="523"/>
      <c r="N113" s="581">
        <v>37.729999999999563</v>
      </c>
      <c r="O113" s="582">
        <v>0.25329996734570848</v>
      </c>
      <c r="P113" s="579">
        <v>537.82000000000005</v>
      </c>
      <c r="Q113" s="533">
        <v>9680.76</v>
      </c>
      <c r="R113" s="523"/>
      <c r="S113" s="581">
        <v>5176.9699999999993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522" t="s">
        <v>298</v>
      </c>
      <c r="B114" s="509" t="s">
        <v>73</v>
      </c>
      <c r="C114" s="530" t="s">
        <v>33</v>
      </c>
      <c r="D114" s="583"/>
      <c r="E114" s="572">
        <v>8</v>
      </c>
      <c r="F114" s="531">
        <v>208</v>
      </c>
      <c r="G114" s="584"/>
      <c r="H114" s="572"/>
      <c r="I114" s="531"/>
      <c r="J114" s="530"/>
      <c r="K114" s="572">
        <v>2.7854545454545456</v>
      </c>
      <c r="L114" s="552">
        <v>61.28</v>
      </c>
      <c r="M114" s="530"/>
      <c r="N114" s="556">
        <v>-146.72</v>
      </c>
      <c r="O114" s="530"/>
      <c r="P114" s="572">
        <v>81.843333333333334</v>
      </c>
      <c r="Q114" s="552">
        <v>1473.18</v>
      </c>
      <c r="R114" s="530"/>
      <c r="S114" s="556">
        <v>-1411.9</v>
      </c>
      <c r="T114" s="509"/>
      <c r="U114" s="506"/>
      <c r="V114" s="509"/>
      <c r="W114" s="531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522" t="s">
        <v>299</v>
      </c>
      <c r="B115" s="509" t="s">
        <v>73</v>
      </c>
      <c r="C115" s="530" t="s">
        <v>34</v>
      </c>
      <c r="D115" s="583"/>
      <c r="E115" s="572">
        <v>45</v>
      </c>
      <c r="F115" s="531">
        <v>1170</v>
      </c>
      <c r="G115" s="584"/>
      <c r="H115" s="572"/>
      <c r="I115" s="531"/>
      <c r="J115" s="530"/>
      <c r="K115" s="572">
        <v>-116.23045454545455</v>
      </c>
      <c r="L115" s="533">
        <v>-2557.0700000000002</v>
      </c>
      <c r="M115" s="530"/>
      <c r="N115" s="556">
        <v>-3727.07</v>
      </c>
      <c r="O115" s="530"/>
      <c r="P115" s="572">
        <v>-93.088888888888889</v>
      </c>
      <c r="Q115" s="533">
        <v>-1675.6</v>
      </c>
      <c r="R115" s="530"/>
      <c r="S115" s="556">
        <v>-881.47000000000025</v>
      </c>
      <c r="T115" s="509"/>
      <c r="U115" s="509"/>
      <c r="V115" s="509"/>
      <c r="W115" s="531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522" t="s">
        <v>300</v>
      </c>
      <c r="B116" s="509" t="s">
        <v>73</v>
      </c>
      <c r="C116" s="523" t="s">
        <v>35</v>
      </c>
      <c r="D116" s="586"/>
      <c r="E116" s="579">
        <v>160</v>
      </c>
      <c r="F116" s="525">
        <v>4160</v>
      </c>
      <c r="G116" s="587"/>
      <c r="H116" s="579"/>
      <c r="I116" s="525"/>
      <c r="J116" s="523"/>
      <c r="K116" s="579">
        <v>165.20909090909092</v>
      </c>
      <c r="L116" s="525">
        <v>3634.6</v>
      </c>
      <c r="M116" s="523"/>
      <c r="N116" s="581">
        <v>-525.40000000000009</v>
      </c>
      <c r="O116" s="523"/>
      <c r="P116" s="579">
        <v>210.19611111111112</v>
      </c>
      <c r="Q116" s="525">
        <v>3783.53</v>
      </c>
      <c r="R116" s="523"/>
      <c r="S116" s="581">
        <v>-148.93000000000029</v>
      </c>
      <c r="T116" s="509"/>
      <c r="U116" s="506"/>
      <c r="V116" s="509"/>
      <c r="W116" s="531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522" t="s">
        <v>301</v>
      </c>
      <c r="B117" s="509" t="s">
        <v>73</v>
      </c>
      <c r="C117" s="530" t="s">
        <v>36</v>
      </c>
      <c r="D117" s="583"/>
      <c r="E117" s="572">
        <v>487.76923076923077</v>
      </c>
      <c r="F117" s="531">
        <v>12682</v>
      </c>
      <c r="G117" s="584"/>
      <c r="H117" s="572"/>
      <c r="I117" s="531"/>
      <c r="J117" s="530"/>
      <c r="K117" s="572">
        <v>786.11636363636364</v>
      </c>
      <c r="L117" s="533">
        <v>17294.560000000001</v>
      </c>
      <c r="M117" s="530"/>
      <c r="N117" s="556">
        <v>4612.5600000000013</v>
      </c>
      <c r="O117" s="530"/>
      <c r="P117" s="572">
        <v>779.38055555555559</v>
      </c>
      <c r="Q117" s="533">
        <v>14028.85</v>
      </c>
      <c r="R117" s="530"/>
      <c r="S117" s="556">
        <v>3265.7100000000009</v>
      </c>
      <c r="T117" s="509"/>
      <c r="U117" s="509"/>
      <c r="V117" s="509"/>
      <c r="W117" s="531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522" t="s">
        <v>302</v>
      </c>
      <c r="B118" s="509" t="s">
        <v>73</v>
      </c>
      <c r="C118" s="530" t="s">
        <v>37</v>
      </c>
      <c r="D118" s="583"/>
      <c r="E118" s="572">
        <v>229.36749666518455</v>
      </c>
      <c r="F118" s="531">
        <v>5963.5549132947981</v>
      </c>
      <c r="G118" s="584"/>
      <c r="H118" s="572"/>
      <c r="I118" s="531"/>
      <c r="J118" s="530"/>
      <c r="K118" s="572">
        <v>32.410909090909087</v>
      </c>
      <c r="L118" s="533">
        <v>713.04</v>
      </c>
      <c r="M118" s="530"/>
      <c r="N118" s="556">
        <v>-5250.5149132947981</v>
      </c>
      <c r="O118" s="530"/>
      <c r="P118" s="572">
        <v>139.49944444444444</v>
      </c>
      <c r="Q118" s="533">
        <v>2510.9899999999998</v>
      </c>
      <c r="R118" s="530"/>
      <c r="S118" s="556">
        <v>-1797.9499999999998</v>
      </c>
      <c r="T118" s="509"/>
      <c r="U118" s="509"/>
      <c r="V118" s="509"/>
      <c r="W118" s="531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522" t="s">
        <v>303</v>
      </c>
      <c r="B119" s="509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522" t="s">
        <v>303</v>
      </c>
      <c r="B120" s="509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522" t="s">
        <v>303</v>
      </c>
      <c r="B121" s="509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522" t="s">
        <v>304</v>
      </c>
      <c r="B122" s="509" t="s">
        <v>73</v>
      </c>
      <c r="C122" s="591" t="s">
        <v>38</v>
      </c>
      <c r="D122" s="592" t="s">
        <v>39</v>
      </c>
      <c r="E122" s="593">
        <v>0.51810876058230526</v>
      </c>
      <c r="F122" s="594">
        <v>52484.417446987522</v>
      </c>
      <c r="G122" s="595"/>
      <c r="H122" s="593"/>
      <c r="I122" s="594"/>
      <c r="J122" s="595" t="s">
        <v>39</v>
      </c>
      <c r="K122" s="593">
        <v>0.88986125234793989</v>
      </c>
      <c r="L122" s="594">
        <v>42930.840000000004</v>
      </c>
      <c r="M122" s="598"/>
      <c r="N122" s="594">
        <v>-9553.5774469875178</v>
      </c>
      <c r="O122" s="595" t="s">
        <v>39</v>
      </c>
      <c r="P122" s="593">
        <v>1.0210260299508749</v>
      </c>
      <c r="Q122" s="594">
        <v>43565.689999999995</v>
      </c>
      <c r="R122" s="598"/>
      <c r="S122" s="594">
        <v>-634.84999999999127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522" t="s">
        <v>305</v>
      </c>
      <c r="B123" s="509" t="s">
        <v>73</v>
      </c>
      <c r="C123" s="599" t="s">
        <v>41</v>
      </c>
      <c r="D123" s="509"/>
      <c r="E123" s="509"/>
      <c r="F123" s="531">
        <v>9202.1205128205147</v>
      </c>
      <c r="G123" s="530"/>
      <c r="H123" s="509"/>
      <c r="I123" s="531"/>
      <c r="J123" s="530"/>
      <c r="K123" s="509"/>
      <c r="L123" s="533">
        <v>8714.4599999999991</v>
      </c>
      <c r="M123" s="530"/>
      <c r="N123" s="556">
        <v>-487.66051282051558</v>
      </c>
      <c r="O123" s="530"/>
      <c r="P123" s="509"/>
      <c r="Q123" s="533">
        <v>11107.96</v>
      </c>
      <c r="R123" s="530"/>
      <c r="S123" s="556">
        <v>-2393.5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522" t="s">
        <v>306</v>
      </c>
      <c r="B124" s="509" t="s">
        <v>73</v>
      </c>
      <c r="C124" s="601" t="s">
        <v>42</v>
      </c>
      <c r="D124" s="583"/>
      <c r="E124" s="509"/>
      <c r="F124" s="525">
        <v>8529.65846153846</v>
      </c>
      <c r="G124" s="584"/>
      <c r="H124" s="509"/>
      <c r="I124" s="525"/>
      <c r="J124" s="530"/>
      <c r="K124" s="509"/>
      <c r="L124" s="525">
        <v>2525.4899999999998</v>
      </c>
      <c r="M124" s="530"/>
      <c r="N124" s="556">
        <v>-6004.1684615384602</v>
      </c>
      <c r="O124" s="530"/>
      <c r="P124" s="509"/>
      <c r="Q124" s="525">
        <v>1842.07</v>
      </c>
      <c r="R124" s="530"/>
      <c r="S124" s="556">
        <v>683.41999999999985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522" t="s">
        <v>307</v>
      </c>
      <c r="B125" s="509" t="s">
        <v>73</v>
      </c>
      <c r="C125" s="599" t="s">
        <v>43</v>
      </c>
      <c r="D125" s="602"/>
      <c r="E125" s="603"/>
      <c r="F125" s="531">
        <v>3344.8923076923074</v>
      </c>
      <c r="G125" s="604"/>
      <c r="H125" s="603"/>
      <c r="I125" s="531"/>
      <c r="J125" s="517"/>
      <c r="K125" s="603"/>
      <c r="L125" s="533">
        <v>4700.1499999999996</v>
      </c>
      <c r="M125" s="517"/>
      <c r="N125" s="605">
        <v>1355.2576923076922</v>
      </c>
      <c r="O125" s="517"/>
      <c r="P125" s="603"/>
      <c r="Q125" s="533">
        <v>6383.58</v>
      </c>
      <c r="R125" s="517"/>
      <c r="S125" s="605">
        <v>-1683.4300000000003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522" t="s">
        <v>308</v>
      </c>
      <c r="B126" s="509" t="s">
        <v>73</v>
      </c>
      <c r="C126" s="599" t="s">
        <v>44</v>
      </c>
      <c r="D126" s="583"/>
      <c r="E126" s="509"/>
      <c r="F126" s="531">
        <v>0</v>
      </c>
      <c r="G126" s="584"/>
      <c r="H126" s="509"/>
      <c r="I126" s="531"/>
      <c r="J126" s="530"/>
      <c r="K126" s="509"/>
      <c r="L126" s="533">
        <v>0</v>
      </c>
      <c r="M126" s="530"/>
      <c r="N126" s="556">
        <v>0</v>
      </c>
      <c r="O126" s="530"/>
      <c r="P126" s="509"/>
      <c r="Q126" s="533">
        <v>0</v>
      </c>
      <c r="R126" s="530"/>
      <c r="S126" s="556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522" t="s">
        <v>303</v>
      </c>
      <c r="B127" s="509" t="s">
        <v>73</v>
      </c>
      <c r="C127" s="599" t="s">
        <v>20</v>
      </c>
      <c r="D127" s="583"/>
      <c r="E127" s="509"/>
      <c r="F127" s="531">
        <v>0</v>
      </c>
      <c r="G127" s="584"/>
      <c r="H127" s="509"/>
      <c r="I127" s="531"/>
      <c r="J127" s="530"/>
      <c r="K127" s="509"/>
      <c r="L127" s="533">
        <v>0</v>
      </c>
      <c r="M127" s="530"/>
      <c r="N127" s="556">
        <v>0</v>
      </c>
      <c r="O127" s="530"/>
      <c r="P127" s="509"/>
      <c r="Q127" s="533">
        <v>0</v>
      </c>
      <c r="R127" s="530"/>
      <c r="S127" s="556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522" t="s">
        <v>303</v>
      </c>
      <c r="B128" s="509" t="s">
        <v>73</v>
      </c>
      <c r="C128" s="599" t="s">
        <v>20</v>
      </c>
      <c r="D128" s="583"/>
      <c r="E128" s="509"/>
      <c r="F128" s="531">
        <v>0</v>
      </c>
      <c r="G128" s="584"/>
      <c r="H128" s="509"/>
      <c r="I128" s="531"/>
      <c r="J128" s="530"/>
      <c r="K128" s="509"/>
      <c r="L128" s="533">
        <v>0</v>
      </c>
      <c r="M128" s="530"/>
      <c r="N128" s="556">
        <v>0</v>
      </c>
      <c r="O128" s="530"/>
      <c r="P128" s="509"/>
      <c r="Q128" s="533">
        <v>0</v>
      </c>
      <c r="R128" s="530"/>
      <c r="S128" s="556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522" t="s">
        <v>303</v>
      </c>
      <c r="B129" s="509" t="s">
        <v>73</v>
      </c>
      <c r="C129" s="599" t="s">
        <v>20</v>
      </c>
      <c r="D129" s="583"/>
      <c r="E129" s="509"/>
      <c r="F129" s="531">
        <v>0</v>
      </c>
      <c r="G129" s="584"/>
      <c r="H129" s="509"/>
      <c r="I129" s="531"/>
      <c r="J129" s="530"/>
      <c r="K129" s="509"/>
      <c r="L129" s="533">
        <v>0</v>
      </c>
      <c r="M129" s="530"/>
      <c r="N129" s="556">
        <v>0</v>
      </c>
      <c r="O129" s="530"/>
      <c r="P129" s="509"/>
      <c r="Q129" s="533">
        <v>0</v>
      </c>
      <c r="R129" s="530"/>
      <c r="S129" s="556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522" t="s">
        <v>309</v>
      </c>
      <c r="B130" s="509" t="s">
        <v>73</v>
      </c>
      <c r="C130" s="601" t="s">
        <v>45</v>
      </c>
      <c r="D130" s="583"/>
      <c r="E130" s="509"/>
      <c r="F130" s="531">
        <v>6540.5791712820519</v>
      </c>
      <c r="G130" s="584"/>
      <c r="H130" s="509"/>
      <c r="I130" s="531"/>
      <c r="J130" s="530"/>
      <c r="K130" s="509"/>
      <c r="L130" s="533">
        <v>6438.03</v>
      </c>
      <c r="M130" s="530"/>
      <c r="N130" s="556">
        <v>-102.54917128205216</v>
      </c>
      <c r="O130" s="530"/>
      <c r="P130" s="509"/>
      <c r="Q130" s="533">
        <v>6479.74</v>
      </c>
      <c r="R130" s="530"/>
      <c r="S130" s="556">
        <v>-41.710000000000036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522" t="s">
        <v>310</v>
      </c>
      <c r="B131" s="509" t="s">
        <v>73</v>
      </c>
      <c r="C131" s="599" t="s">
        <v>46</v>
      </c>
      <c r="D131" s="602"/>
      <c r="E131" s="603"/>
      <c r="F131" s="551">
        <v>7952.4222523076933</v>
      </c>
      <c r="G131" s="604"/>
      <c r="H131" s="603"/>
      <c r="I131" s="551"/>
      <c r="J131" s="517"/>
      <c r="K131" s="603"/>
      <c r="L131" s="552">
        <v>7451.6</v>
      </c>
      <c r="M131" s="517"/>
      <c r="N131" s="605">
        <v>-500.82225230769291</v>
      </c>
      <c r="O131" s="517"/>
      <c r="P131" s="603"/>
      <c r="Q131" s="552">
        <v>5314.54</v>
      </c>
      <c r="R131" s="517"/>
      <c r="S131" s="605">
        <v>2137.0600000000004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522" t="s">
        <v>311</v>
      </c>
      <c r="B132" s="509" t="s">
        <v>73</v>
      </c>
      <c r="C132" s="599" t="s">
        <v>47</v>
      </c>
      <c r="D132" s="583"/>
      <c r="E132" s="509"/>
      <c r="F132" s="531">
        <v>4097.2262473846149</v>
      </c>
      <c r="G132" s="584"/>
      <c r="H132" s="509"/>
      <c r="I132" s="531"/>
      <c r="J132" s="530"/>
      <c r="K132" s="509"/>
      <c r="L132" s="533">
        <v>2913.4700000000003</v>
      </c>
      <c r="M132" s="530"/>
      <c r="N132" s="556">
        <v>-1183.7562473846147</v>
      </c>
      <c r="O132" s="530"/>
      <c r="P132" s="509"/>
      <c r="Q132" s="533">
        <v>717.73</v>
      </c>
      <c r="R132" s="530"/>
      <c r="S132" s="556">
        <v>2195.7400000000002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522" t="s">
        <v>312</v>
      </c>
      <c r="B133" s="509" t="s">
        <v>73</v>
      </c>
      <c r="C133" s="599" t="s">
        <v>48</v>
      </c>
      <c r="D133" s="583"/>
      <c r="E133" s="509"/>
      <c r="F133" s="531">
        <v>1786.4136943589745</v>
      </c>
      <c r="G133" s="584"/>
      <c r="H133" s="509"/>
      <c r="I133" s="531"/>
      <c r="J133" s="530"/>
      <c r="K133" s="509"/>
      <c r="L133" s="533">
        <v>2572.54</v>
      </c>
      <c r="M133" s="530"/>
      <c r="N133" s="556">
        <v>786.12630564102551</v>
      </c>
      <c r="O133" s="530"/>
      <c r="P133" s="509"/>
      <c r="Q133" s="533">
        <v>1440.25</v>
      </c>
      <c r="R133" s="530"/>
      <c r="S133" s="556">
        <v>1132.29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522" t="s">
        <v>303</v>
      </c>
      <c r="B134" s="509" t="s">
        <v>73</v>
      </c>
      <c r="C134" s="530" t="s">
        <v>20</v>
      </c>
      <c r="D134" s="586"/>
      <c r="E134" s="606"/>
      <c r="F134" s="531">
        <v>0</v>
      </c>
      <c r="G134" s="587"/>
      <c r="H134" s="606"/>
      <c r="I134" s="531"/>
      <c r="J134" s="523"/>
      <c r="K134" s="606"/>
      <c r="L134" s="533">
        <v>0</v>
      </c>
      <c r="M134" s="523"/>
      <c r="N134" s="581">
        <v>0</v>
      </c>
      <c r="O134" s="523"/>
      <c r="P134" s="606"/>
      <c r="Q134" s="533">
        <v>0</v>
      </c>
      <c r="R134" s="523"/>
      <c r="S134" s="581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522" t="s">
        <v>313</v>
      </c>
      <c r="B135" s="509" t="s">
        <v>73</v>
      </c>
      <c r="C135" s="591" t="s">
        <v>49</v>
      </c>
      <c r="D135" s="592" t="s">
        <v>39</v>
      </c>
      <c r="E135" s="593">
        <v>0.40921335288632399</v>
      </c>
      <c r="F135" s="594">
        <v>41453.312647384621</v>
      </c>
      <c r="G135" s="595"/>
      <c r="H135" s="593"/>
      <c r="I135" s="594"/>
      <c r="J135" s="595" t="s">
        <v>39</v>
      </c>
      <c r="K135" s="593">
        <v>0.73201709130299408</v>
      </c>
      <c r="L135" s="594">
        <v>35315.74</v>
      </c>
      <c r="M135" s="649"/>
      <c r="N135" s="608">
        <v>-6137.5726473846225</v>
      </c>
      <c r="O135" s="595" t="s">
        <v>39</v>
      </c>
      <c r="P135" s="593">
        <v>0.78010332671331328</v>
      </c>
      <c r="Q135" s="594">
        <v>33285.869999999995</v>
      </c>
      <c r="R135" s="649"/>
      <c r="S135" s="608">
        <v>2029.8700000000026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522" t="s">
        <v>314</v>
      </c>
      <c r="B136" s="509" t="s">
        <v>73</v>
      </c>
      <c r="C136" s="530" t="s">
        <v>50</v>
      </c>
      <c r="D136" s="583"/>
      <c r="E136" s="509"/>
      <c r="F136" s="531">
        <v>0</v>
      </c>
      <c r="G136" s="584"/>
      <c r="H136" s="509"/>
      <c r="I136" s="531"/>
      <c r="J136" s="530"/>
      <c r="K136" s="509"/>
      <c r="L136" s="533">
        <v>0</v>
      </c>
      <c r="M136" s="530"/>
      <c r="N136" s="556">
        <v>0</v>
      </c>
      <c r="O136" s="530"/>
      <c r="P136" s="509"/>
      <c r="Q136" s="533">
        <v>0</v>
      </c>
      <c r="R136" s="530"/>
      <c r="S136" s="556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522" t="s">
        <v>315</v>
      </c>
      <c r="B137" s="509" t="s">
        <v>73</v>
      </c>
      <c r="C137" s="530" t="s">
        <v>51</v>
      </c>
      <c r="D137" s="583"/>
      <c r="E137" s="509"/>
      <c r="F137" s="531">
        <v>0</v>
      </c>
      <c r="G137" s="584"/>
      <c r="H137" s="509"/>
      <c r="I137" s="531"/>
      <c r="J137" s="530"/>
      <c r="K137" s="509"/>
      <c r="L137" s="533">
        <v>0</v>
      </c>
      <c r="M137" s="530"/>
      <c r="N137" s="556">
        <v>0</v>
      </c>
      <c r="O137" s="530"/>
      <c r="P137" s="509"/>
      <c r="Q137" s="533">
        <v>0</v>
      </c>
      <c r="R137" s="530"/>
      <c r="S137" s="556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522" t="s">
        <v>316</v>
      </c>
      <c r="B138" s="509" t="s">
        <v>73</v>
      </c>
      <c r="C138" s="523" t="s">
        <v>52</v>
      </c>
      <c r="D138" s="586"/>
      <c r="E138" s="606"/>
      <c r="F138" s="525">
        <v>1284.1532888888889</v>
      </c>
      <c r="G138" s="587"/>
      <c r="H138" s="606"/>
      <c r="I138" s="525"/>
      <c r="J138" s="523"/>
      <c r="K138" s="606"/>
      <c r="L138" s="525">
        <v>1673.7</v>
      </c>
      <c r="M138" s="523"/>
      <c r="N138" s="581">
        <v>389.54671111111111</v>
      </c>
      <c r="O138" s="523"/>
      <c r="P138" s="606"/>
      <c r="Q138" s="525">
        <v>2741.68</v>
      </c>
      <c r="R138" s="523"/>
      <c r="S138" s="581">
        <v>-1067.9799999999998</v>
      </c>
      <c r="T138" s="509"/>
      <c r="U138" s="506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522" t="s">
        <v>317</v>
      </c>
      <c r="B139" s="509" t="s">
        <v>73</v>
      </c>
      <c r="C139" s="530" t="s">
        <v>53</v>
      </c>
      <c r="D139" s="583"/>
      <c r="E139" s="509"/>
      <c r="F139" s="531">
        <v>3757.6856226933323</v>
      </c>
      <c r="G139" s="584"/>
      <c r="H139" s="509"/>
      <c r="I139" s="531"/>
      <c r="J139" s="530"/>
      <c r="K139" s="509"/>
      <c r="L139" s="533">
        <v>5779.97</v>
      </c>
      <c r="M139" s="530"/>
      <c r="N139" s="556">
        <v>2022.2843773066679</v>
      </c>
      <c r="O139" s="530"/>
      <c r="P139" s="509"/>
      <c r="Q139" s="533">
        <v>3915.83</v>
      </c>
      <c r="R139" s="530"/>
      <c r="S139" s="556">
        <v>1864.1400000000003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522" t="s">
        <v>318</v>
      </c>
      <c r="B140" s="509" t="s">
        <v>73</v>
      </c>
      <c r="C140" s="530" t="s">
        <v>54</v>
      </c>
      <c r="D140" s="583"/>
      <c r="E140" s="509"/>
      <c r="F140" s="531">
        <v>555.6702437740496</v>
      </c>
      <c r="G140" s="584"/>
      <c r="H140" s="509"/>
      <c r="I140" s="531"/>
      <c r="J140" s="530"/>
      <c r="K140" s="509"/>
      <c r="L140" s="533">
        <v>564.58000000000004</v>
      </c>
      <c r="M140" s="530"/>
      <c r="N140" s="556">
        <v>8.9097562259504457</v>
      </c>
      <c r="O140" s="530"/>
      <c r="P140" s="509"/>
      <c r="Q140" s="533">
        <v>419.41</v>
      </c>
      <c r="R140" s="530"/>
      <c r="S140" s="556">
        <v>145.17000000000002</v>
      </c>
      <c r="T140" s="647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522" t="s">
        <v>319</v>
      </c>
      <c r="B141" s="509" t="s">
        <v>73</v>
      </c>
      <c r="C141" s="523" t="s">
        <v>55</v>
      </c>
      <c r="D141" s="586"/>
      <c r="E141" s="606"/>
      <c r="F141" s="525">
        <v>1398.8494640536576</v>
      </c>
      <c r="G141" s="587"/>
      <c r="H141" s="606"/>
      <c r="I141" s="525"/>
      <c r="J141" s="523"/>
      <c r="K141" s="606"/>
      <c r="L141" s="525">
        <v>2431.1799999999998</v>
      </c>
      <c r="M141" s="523"/>
      <c r="N141" s="581">
        <v>1032.3305359463423</v>
      </c>
      <c r="O141" s="523"/>
      <c r="P141" s="606"/>
      <c r="Q141" s="525">
        <v>2602.9</v>
      </c>
      <c r="R141" s="523"/>
      <c r="S141" s="581">
        <v>-171.72000000000025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522" t="s">
        <v>320</v>
      </c>
      <c r="B142" s="509" t="s">
        <v>73</v>
      </c>
      <c r="C142" s="530" t="s">
        <v>56</v>
      </c>
      <c r="D142" s="583"/>
      <c r="E142" s="509"/>
      <c r="F142" s="531">
        <v>83.885533333333328</v>
      </c>
      <c r="G142" s="584"/>
      <c r="H142" s="509"/>
      <c r="I142" s="531"/>
      <c r="J142" s="530"/>
      <c r="K142" s="509"/>
      <c r="L142" s="533">
        <v>0</v>
      </c>
      <c r="M142" s="530"/>
      <c r="N142" s="556">
        <v>-83.885533333333328</v>
      </c>
      <c r="O142" s="530"/>
      <c r="P142" s="509"/>
      <c r="Q142" s="533">
        <v>21.93</v>
      </c>
      <c r="R142" s="530"/>
      <c r="S142" s="556">
        <v>-21.93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522" t="s">
        <v>321</v>
      </c>
      <c r="B143" s="509" t="s">
        <v>73</v>
      </c>
      <c r="C143" s="530" t="s">
        <v>57</v>
      </c>
      <c r="D143" s="583"/>
      <c r="E143" s="509"/>
      <c r="F143" s="531">
        <v>28.333333333333332</v>
      </c>
      <c r="G143" s="584"/>
      <c r="H143" s="509"/>
      <c r="I143" s="531"/>
      <c r="J143" s="530"/>
      <c r="K143" s="509"/>
      <c r="L143" s="533">
        <v>0</v>
      </c>
      <c r="M143" s="530"/>
      <c r="N143" s="556">
        <v>-28.333333333333332</v>
      </c>
      <c r="O143" s="530"/>
      <c r="P143" s="509"/>
      <c r="Q143" s="533">
        <v>0</v>
      </c>
      <c r="R143" s="530"/>
      <c r="S143" s="556">
        <v>0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522" t="s">
        <v>322</v>
      </c>
      <c r="B144" s="509" t="s">
        <v>73</v>
      </c>
      <c r="C144" s="530" t="s">
        <v>58</v>
      </c>
      <c r="D144" s="583"/>
      <c r="E144" s="509"/>
      <c r="F144" s="531">
        <v>323.61939737591996</v>
      </c>
      <c r="G144" s="584"/>
      <c r="H144" s="509"/>
      <c r="I144" s="531"/>
      <c r="J144" s="530"/>
      <c r="K144" s="509"/>
      <c r="L144" s="533">
        <v>99.04</v>
      </c>
      <c r="M144" s="530"/>
      <c r="N144" s="556">
        <v>-224.57939737591994</v>
      </c>
      <c r="O144" s="530"/>
      <c r="P144" s="509"/>
      <c r="Q144" s="533">
        <v>433.14</v>
      </c>
      <c r="R144" s="530"/>
      <c r="S144" s="556">
        <v>-334.09999999999997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522" t="s">
        <v>323</v>
      </c>
      <c r="B145" s="509" t="s">
        <v>73</v>
      </c>
      <c r="C145" s="530" t="s">
        <v>59</v>
      </c>
      <c r="D145" s="583"/>
      <c r="E145" s="509"/>
      <c r="F145" s="531">
        <v>62.764554844243328</v>
      </c>
      <c r="G145" s="584"/>
      <c r="H145" s="509"/>
      <c r="I145" s="531"/>
      <c r="J145" s="530"/>
      <c r="K145" s="509"/>
      <c r="L145" s="533">
        <v>82</v>
      </c>
      <c r="M145" s="530"/>
      <c r="N145" s="556">
        <v>19.235445155756672</v>
      </c>
      <c r="O145" s="530"/>
      <c r="P145" s="509"/>
      <c r="Q145" s="533">
        <v>81.040000000000006</v>
      </c>
      <c r="R145" s="530"/>
      <c r="S145" s="556">
        <v>0.95999999999999375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522" t="s">
        <v>324</v>
      </c>
      <c r="B146" s="509" t="s">
        <v>73</v>
      </c>
      <c r="C146" s="530" t="s">
        <v>60</v>
      </c>
      <c r="D146" s="583"/>
      <c r="E146" s="509"/>
      <c r="F146" s="531">
        <v>48.216844138156659</v>
      </c>
      <c r="G146" s="584"/>
      <c r="H146" s="509"/>
      <c r="I146" s="531"/>
      <c r="J146" s="530"/>
      <c r="K146" s="509"/>
      <c r="L146" s="533">
        <v>75.91</v>
      </c>
      <c r="M146" s="530"/>
      <c r="N146" s="556">
        <v>27.693155861843337</v>
      </c>
      <c r="O146" s="530"/>
      <c r="P146" s="509"/>
      <c r="Q146" s="533">
        <v>12.36</v>
      </c>
      <c r="R146" s="530"/>
      <c r="S146" s="556">
        <v>63.55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522" t="s">
        <v>325</v>
      </c>
      <c r="B147" s="509" t="s">
        <v>73</v>
      </c>
      <c r="C147" s="530" t="s">
        <v>61</v>
      </c>
      <c r="D147" s="583"/>
      <c r="E147" s="509"/>
      <c r="F147" s="531">
        <v>107.35161743797669</v>
      </c>
      <c r="G147" s="584"/>
      <c r="H147" s="509"/>
      <c r="I147" s="531"/>
      <c r="J147" s="530"/>
      <c r="K147" s="509"/>
      <c r="L147" s="533">
        <v>275.83999999999997</v>
      </c>
      <c r="M147" s="530"/>
      <c r="N147" s="556">
        <v>168.48838256202328</v>
      </c>
      <c r="O147" s="530"/>
      <c r="P147" s="509"/>
      <c r="Q147" s="533">
        <v>35.86</v>
      </c>
      <c r="R147" s="530"/>
      <c r="S147" s="556">
        <v>239.97999999999996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522" t="s">
        <v>326</v>
      </c>
      <c r="B148" s="509" t="s">
        <v>73</v>
      </c>
      <c r="C148" s="530" t="s">
        <v>62</v>
      </c>
      <c r="D148" s="583"/>
      <c r="E148" s="509"/>
      <c r="F148" s="531">
        <v>218.46437169698484</v>
      </c>
      <c r="G148" s="584"/>
      <c r="H148" s="509"/>
      <c r="I148" s="531"/>
      <c r="J148" s="530"/>
      <c r="K148" s="509"/>
      <c r="L148" s="533">
        <v>38.28</v>
      </c>
      <c r="M148" s="530"/>
      <c r="N148" s="556">
        <v>-180.18437169698484</v>
      </c>
      <c r="O148" s="530"/>
      <c r="P148" s="509"/>
      <c r="Q148" s="533">
        <v>38.28</v>
      </c>
      <c r="R148" s="530"/>
      <c r="S148" s="556">
        <v>0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522" t="s">
        <v>327</v>
      </c>
      <c r="B149" s="509" t="s">
        <v>73</v>
      </c>
      <c r="C149" s="530" t="s">
        <v>63</v>
      </c>
      <c r="D149" s="583"/>
      <c r="E149" s="509"/>
      <c r="F149" s="531">
        <v>688.4712891650214</v>
      </c>
      <c r="G149" s="584"/>
      <c r="H149" s="509"/>
      <c r="I149" s="531"/>
      <c r="J149" s="530"/>
      <c r="K149" s="509"/>
      <c r="L149" s="533">
        <v>885.86</v>
      </c>
      <c r="M149" s="530"/>
      <c r="N149" s="556">
        <v>197.38871083497861</v>
      </c>
      <c r="O149" s="530"/>
      <c r="P149" s="509"/>
      <c r="Q149" s="533">
        <v>934.45</v>
      </c>
      <c r="R149" s="530"/>
      <c r="S149" s="556">
        <v>-48.590000000000032</v>
      </c>
      <c r="T149" s="572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522" t="s">
        <v>303</v>
      </c>
      <c r="B150" s="509" t="s">
        <v>73</v>
      </c>
      <c r="C150" s="530" t="s">
        <v>20</v>
      </c>
      <c r="D150" s="583"/>
      <c r="E150" s="509"/>
      <c r="F150" s="531">
        <v>0</v>
      </c>
      <c r="G150" s="584"/>
      <c r="H150" s="509"/>
      <c r="I150" s="531"/>
      <c r="J150" s="530"/>
      <c r="K150" s="509"/>
      <c r="L150" s="533">
        <v>0</v>
      </c>
      <c r="M150" s="530"/>
      <c r="N150" s="556">
        <v>0</v>
      </c>
      <c r="O150" s="530"/>
      <c r="P150" s="509"/>
      <c r="Q150" s="533">
        <v>0</v>
      </c>
      <c r="R150" s="530"/>
      <c r="S150" s="556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522" t="s">
        <v>303</v>
      </c>
      <c r="B151" s="509" t="s">
        <v>73</v>
      </c>
      <c r="C151" s="530" t="s">
        <v>20</v>
      </c>
      <c r="D151" s="583"/>
      <c r="E151" s="509"/>
      <c r="F151" s="531">
        <v>0</v>
      </c>
      <c r="G151" s="584"/>
      <c r="H151" s="509"/>
      <c r="I151" s="531"/>
      <c r="J151" s="530"/>
      <c r="K151" s="509"/>
      <c r="L151" s="533">
        <v>0</v>
      </c>
      <c r="M151" s="530"/>
      <c r="N151" s="556">
        <v>0</v>
      </c>
      <c r="O151" s="530"/>
      <c r="P151" s="509"/>
      <c r="Q151" s="533">
        <v>0</v>
      </c>
      <c r="R151" s="530"/>
      <c r="S151" s="556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522" t="s">
        <v>303</v>
      </c>
      <c r="B152" s="509" t="s">
        <v>73</v>
      </c>
      <c r="C152" s="530" t="s">
        <v>20</v>
      </c>
      <c r="D152" s="583"/>
      <c r="E152" s="509"/>
      <c r="F152" s="531">
        <v>0</v>
      </c>
      <c r="G152" s="584"/>
      <c r="H152" s="509"/>
      <c r="I152" s="531"/>
      <c r="J152" s="530"/>
      <c r="K152" s="509"/>
      <c r="L152" s="533">
        <v>0</v>
      </c>
      <c r="M152" s="530"/>
      <c r="N152" s="556">
        <v>0</v>
      </c>
      <c r="O152" s="530"/>
      <c r="P152" s="509"/>
      <c r="Q152" s="533">
        <v>0</v>
      </c>
      <c r="R152" s="530"/>
      <c r="S152" s="556">
        <v>0</v>
      </c>
      <c r="T152" s="572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522" t="s">
        <v>328</v>
      </c>
      <c r="B153" s="509" t="s">
        <v>73</v>
      </c>
      <c r="C153" s="591" t="s">
        <v>64</v>
      </c>
      <c r="D153" s="592" t="s">
        <v>39</v>
      </c>
      <c r="E153" s="593">
        <v>8.4476461606464909E-2</v>
      </c>
      <c r="F153" s="594">
        <v>8557.4655607348959</v>
      </c>
      <c r="G153" s="595"/>
      <c r="H153" s="593"/>
      <c r="I153" s="594"/>
      <c r="J153" s="595" t="s">
        <v>39</v>
      </c>
      <c r="K153" s="593">
        <v>0.2467924787985844</v>
      </c>
      <c r="L153" s="594">
        <v>11906.360000000002</v>
      </c>
      <c r="M153" s="598"/>
      <c r="N153" s="594">
        <v>3348.8944392651065</v>
      </c>
      <c r="O153" s="595" t="s">
        <v>39</v>
      </c>
      <c r="P153" s="593">
        <v>0.26335281216559153</v>
      </c>
      <c r="Q153" s="594">
        <v>11236.880000000003</v>
      </c>
      <c r="R153" s="598"/>
      <c r="S153" s="594">
        <v>669.47999999999956</v>
      </c>
      <c r="T153" s="607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522" t="s">
        <v>73</v>
      </c>
      <c r="B154" s="509" t="s">
        <v>73</v>
      </c>
      <c r="C154" s="523"/>
      <c r="D154" s="586"/>
      <c r="E154" s="606"/>
      <c r="F154" s="556"/>
      <c r="G154" s="587"/>
      <c r="H154" s="606"/>
      <c r="I154" s="556"/>
      <c r="J154" s="523"/>
      <c r="K154" s="606"/>
      <c r="L154" s="581"/>
      <c r="M154" s="523"/>
      <c r="N154" s="581"/>
      <c r="O154" s="523"/>
      <c r="P154" s="606"/>
      <c r="Q154" s="581"/>
      <c r="R154" s="523"/>
      <c r="S154" s="581"/>
      <c r="T154" s="607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522" t="s">
        <v>329</v>
      </c>
      <c r="B155" s="509" t="s">
        <v>73</v>
      </c>
      <c r="C155" s="591" t="s">
        <v>65</v>
      </c>
      <c r="D155" s="592" t="s">
        <v>39</v>
      </c>
      <c r="E155" s="593">
        <v>1.0117985750750942</v>
      </c>
      <c r="F155" s="594">
        <v>102495.19565510705</v>
      </c>
      <c r="G155" s="595"/>
      <c r="H155" s="593"/>
      <c r="I155" s="594"/>
      <c r="J155" s="595" t="s">
        <v>39</v>
      </c>
      <c r="K155" s="593">
        <v>1.8686708224495183</v>
      </c>
      <c r="L155" s="594">
        <v>90152.94</v>
      </c>
      <c r="M155" s="598"/>
      <c r="N155" s="608">
        <v>-12342.255655107045</v>
      </c>
      <c r="O155" s="595" t="s">
        <v>39</v>
      </c>
      <c r="P155" s="593">
        <v>2.0644821688297799</v>
      </c>
      <c r="Q155" s="594">
        <v>88088.44</v>
      </c>
      <c r="R155" s="598"/>
      <c r="S155" s="608">
        <v>2064.5</v>
      </c>
      <c r="T155" s="607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522" t="s">
        <v>330</v>
      </c>
      <c r="B156" s="509" t="s">
        <v>73</v>
      </c>
      <c r="C156" s="530" t="s">
        <v>225</v>
      </c>
      <c r="D156" s="650"/>
      <c r="E156" s="651"/>
      <c r="F156" s="531">
        <v>0</v>
      </c>
      <c r="G156" s="652"/>
      <c r="H156" s="651"/>
      <c r="I156" s="531"/>
      <c r="J156" s="652"/>
      <c r="K156" s="651"/>
      <c r="L156" s="533">
        <v>0</v>
      </c>
      <c r="M156" s="530"/>
      <c r="N156" s="556">
        <v>0</v>
      </c>
      <c r="O156" s="652"/>
      <c r="P156" s="651"/>
      <c r="Q156" s="533">
        <v>0</v>
      </c>
      <c r="R156" s="530"/>
      <c r="S156" s="556">
        <v>0</v>
      </c>
      <c r="T156" s="607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522" t="s">
        <v>331</v>
      </c>
      <c r="B157" s="509" t="s">
        <v>73</v>
      </c>
      <c r="C157" s="530" t="s">
        <v>81</v>
      </c>
      <c r="D157" s="650"/>
      <c r="E157" s="651"/>
      <c r="F157" s="531">
        <v>0</v>
      </c>
      <c r="G157" s="652"/>
      <c r="H157" s="651"/>
      <c r="I157" s="531"/>
      <c r="J157" s="652"/>
      <c r="K157" s="651"/>
      <c r="L157" s="533">
        <v>0</v>
      </c>
      <c r="M157" s="530"/>
      <c r="N157" s="556">
        <v>0</v>
      </c>
      <c r="O157" s="652"/>
      <c r="P157" s="651"/>
      <c r="Q157" s="533">
        <v>0</v>
      </c>
      <c r="R157" s="530"/>
      <c r="S157" s="556">
        <v>0</v>
      </c>
      <c r="T157" s="607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522" t="s">
        <v>332</v>
      </c>
      <c r="B158" s="509" t="s">
        <v>73</v>
      </c>
      <c r="C158" s="530" t="s">
        <v>82</v>
      </c>
      <c r="D158" s="583"/>
      <c r="E158" s="509"/>
      <c r="F158" s="531">
        <v>0</v>
      </c>
      <c r="G158" s="584"/>
      <c r="H158" s="509"/>
      <c r="I158" s="531"/>
      <c r="J158" s="530"/>
      <c r="K158" s="509"/>
      <c r="L158" s="533">
        <v>0</v>
      </c>
      <c r="M158" s="530"/>
      <c r="N158" s="556">
        <v>0</v>
      </c>
      <c r="O158" s="530"/>
      <c r="P158" s="509"/>
      <c r="Q158" s="533">
        <v>0</v>
      </c>
      <c r="R158" s="530"/>
      <c r="S158" s="556">
        <v>0</v>
      </c>
      <c r="T158" s="607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522" t="s">
        <v>333</v>
      </c>
      <c r="B159" s="509" t="s">
        <v>73</v>
      </c>
      <c r="C159" s="530" t="s">
        <v>70</v>
      </c>
      <c r="D159" s="653">
        <v>0.7996835443037974</v>
      </c>
      <c r="E159" s="614">
        <v>379.04999999999995</v>
      </c>
      <c r="F159" s="531">
        <v>9855.2999999999993</v>
      </c>
      <c r="G159" s="584"/>
      <c r="H159" s="509"/>
      <c r="I159" s="531"/>
      <c r="J159" s="610">
        <v>0.97612197928653621</v>
      </c>
      <c r="K159" s="614">
        <v>462.68181818181819</v>
      </c>
      <c r="L159" s="533">
        <v>10179</v>
      </c>
      <c r="M159" s="530"/>
      <c r="N159" s="556">
        <v>323.70000000000073</v>
      </c>
      <c r="O159" s="530"/>
      <c r="P159" s="509"/>
      <c r="Q159" s="533">
        <v>8727</v>
      </c>
      <c r="R159" s="530"/>
      <c r="S159" s="556">
        <v>1452</v>
      </c>
      <c r="T159" s="607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522" t="s">
        <v>303</v>
      </c>
      <c r="B160" s="509" t="s">
        <v>73</v>
      </c>
      <c r="C160" s="530" t="s">
        <v>20</v>
      </c>
      <c r="D160" s="583"/>
      <c r="E160" s="509"/>
      <c r="F160" s="531">
        <v>0</v>
      </c>
      <c r="G160" s="584"/>
      <c r="H160" s="509"/>
      <c r="I160" s="531"/>
      <c r="J160" s="530"/>
      <c r="K160" s="509"/>
      <c r="L160" s="533">
        <v>0</v>
      </c>
      <c r="M160" s="530"/>
      <c r="N160" s="556">
        <v>0</v>
      </c>
      <c r="O160" s="530"/>
      <c r="P160" s="509"/>
      <c r="Q160" s="533">
        <v>0</v>
      </c>
      <c r="R160" s="530"/>
      <c r="S160" s="556">
        <v>0</v>
      </c>
      <c r="T160" s="607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522" t="s">
        <v>303</v>
      </c>
      <c r="B161" s="509" t="s">
        <v>73</v>
      </c>
      <c r="C161" s="530" t="s">
        <v>20</v>
      </c>
      <c r="D161" s="583"/>
      <c r="E161" s="509"/>
      <c r="F161" s="531">
        <v>0</v>
      </c>
      <c r="G161" s="584"/>
      <c r="H161" s="509"/>
      <c r="I161" s="531"/>
      <c r="J161" s="530"/>
      <c r="K161" s="509"/>
      <c r="L161" s="533">
        <v>0</v>
      </c>
      <c r="M161" s="530"/>
      <c r="N161" s="556">
        <v>0</v>
      </c>
      <c r="O161" s="530"/>
      <c r="P161" s="509"/>
      <c r="Q161" s="533">
        <v>0</v>
      </c>
      <c r="R161" s="530"/>
      <c r="S161" s="556">
        <v>0</v>
      </c>
      <c r="T161" s="607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522" t="s">
        <v>303</v>
      </c>
      <c r="B162" s="509" t="s">
        <v>73</v>
      </c>
      <c r="C162" s="523" t="s">
        <v>20</v>
      </c>
      <c r="D162" s="586"/>
      <c r="E162" s="606"/>
      <c r="F162" s="531">
        <v>0</v>
      </c>
      <c r="G162" s="584"/>
      <c r="H162" s="509"/>
      <c r="I162" s="531"/>
      <c r="J162" s="530"/>
      <c r="K162" s="509"/>
      <c r="L162" s="533">
        <v>0</v>
      </c>
      <c r="M162" s="530"/>
      <c r="N162" s="556">
        <v>0</v>
      </c>
      <c r="O162" s="530"/>
      <c r="P162" s="509"/>
      <c r="Q162" s="533">
        <v>0</v>
      </c>
      <c r="R162" s="530"/>
      <c r="S162" s="556">
        <v>0</v>
      </c>
      <c r="T162" s="607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91" t="s">
        <v>71</v>
      </c>
      <c r="D163" s="592"/>
      <c r="E163" s="593"/>
      <c r="F163" s="594">
        <v>9855.2999999999993</v>
      </c>
      <c r="G163" s="595"/>
      <c r="H163" s="593"/>
      <c r="I163" s="594"/>
      <c r="J163" s="595"/>
      <c r="K163" s="593"/>
      <c r="L163" s="594">
        <v>10179</v>
      </c>
      <c r="M163" s="598"/>
      <c r="N163" s="594">
        <v>323.70000000000073</v>
      </c>
      <c r="O163" s="595"/>
      <c r="P163" s="593"/>
      <c r="Q163" s="594">
        <v>8727</v>
      </c>
      <c r="R163" s="598"/>
      <c r="S163" s="594">
        <v>1452</v>
      </c>
      <c r="T163" s="607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30"/>
      <c r="D164" s="583"/>
      <c r="E164" s="509"/>
      <c r="F164" s="556"/>
      <c r="G164" s="584"/>
      <c r="H164" s="509"/>
      <c r="I164" s="556"/>
      <c r="J164" s="530"/>
      <c r="K164" s="509"/>
      <c r="L164" s="556"/>
      <c r="M164" s="530"/>
      <c r="N164" s="556"/>
      <c r="O164" s="530"/>
      <c r="P164" s="509"/>
      <c r="Q164" s="556"/>
      <c r="R164" s="530"/>
      <c r="S164" s="556"/>
      <c r="T164" s="651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3" t="s">
        <v>72</v>
      </c>
      <c r="D165" s="654"/>
      <c r="E165" s="624"/>
      <c r="F165" s="626">
        <v>8660.1043448929522</v>
      </c>
      <c r="G165" s="655"/>
      <c r="H165" s="624"/>
      <c r="I165" s="626"/>
      <c r="J165" s="623"/>
      <c r="K165" s="625"/>
      <c r="L165" s="626">
        <v>-31729.519999999997</v>
      </c>
      <c r="M165" s="623"/>
      <c r="N165" s="626">
        <v>-40389.624344892945</v>
      </c>
      <c r="O165" s="623"/>
      <c r="P165" s="628">
        <v>-4.5661995332963883E-2</v>
      </c>
      <c r="Q165" s="626">
        <v>-36692.900000000103</v>
      </c>
      <c r="R165" s="623"/>
      <c r="S165" s="626">
        <v>4963.3800000001065</v>
      </c>
      <c r="T165" s="572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6"/>
      <c r="G166" s="506"/>
      <c r="H166" s="506"/>
      <c r="I166" s="506"/>
      <c r="J166" s="506"/>
      <c r="K166" s="506"/>
      <c r="L166" s="656"/>
      <c r="M166" s="506"/>
      <c r="N166" s="506"/>
      <c r="O166" s="506"/>
      <c r="P166" s="506"/>
      <c r="Q166" s="506"/>
      <c r="R166" s="506"/>
      <c r="S166" s="506"/>
      <c r="T166" s="656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6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3" t="s">
        <v>478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4" t="s">
        <v>482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220</v>
      </c>
      <c r="N170" s="513"/>
      <c r="O170" s="511" t="s">
        <v>8</v>
      </c>
      <c r="P170" s="512"/>
      <c r="Q170" s="513"/>
      <c r="R170" s="514" t="s">
        <v>221</v>
      </c>
      <c r="S170" s="513"/>
      <c r="T170" s="650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522" t="s">
        <v>83</v>
      </c>
      <c r="B171" s="509" t="s">
        <v>83</v>
      </c>
      <c r="C171" s="530"/>
      <c r="D171" s="574" t="s">
        <v>40</v>
      </c>
      <c r="E171" s="574" t="s">
        <v>84</v>
      </c>
      <c r="F171" s="657" t="s">
        <v>12</v>
      </c>
      <c r="G171" s="658"/>
      <c r="H171" s="574"/>
      <c r="I171" s="657"/>
      <c r="J171" s="658" t="s">
        <v>40</v>
      </c>
      <c r="K171" s="574" t="s">
        <v>84</v>
      </c>
      <c r="L171" s="657" t="s">
        <v>12</v>
      </c>
      <c r="M171" s="658" t="s">
        <v>226</v>
      </c>
      <c r="N171" s="657" t="s">
        <v>223</v>
      </c>
      <c r="O171" s="574" t="s">
        <v>40</v>
      </c>
      <c r="P171" s="574" t="s">
        <v>84</v>
      </c>
      <c r="Q171" s="657" t="s">
        <v>12</v>
      </c>
      <c r="R171" s="658" t="s">
        <v>85</v>
      </c>
      <c r="S171" s="657" t="s">
        <v>12</v>
      </c>
      <c r="T171" s="574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522" t="s">
        <v>334</v>
      </c>
      <c r="B172" s="509" t="s">
        <v>83</v>
      </c>
      <c r="C172" s="530" t="s">
        <v>86</v>
      </c>
      <c r="D172" s="572">
        <v>449.7</v>
      </c>
      <c r="E172" s="572">
        <v>152898</v>
      </c>
      <c r="F172" s="572">
        <v>119260.44</v>
      </c>
      <c r="G172" s="557"/>
      <c r="H172" s="572"/>
      <c r="I172" s="572"/>
      <c r="J172" s="557">
        <v>358</v>
      </c>
      <c r="K172" s="572">
        <v>116496.42</v>
      </c>
      <c r="L172" s="533">
        <v>92667.87999999999</v>
      </c>
      <c r="M172" s="576">
        <v>-0.23807754189067223</v>
      </c>
      <c r="N172" s="556">
        <v>-26592.560000000012</v>
      </c>
      <c r="O172" s="557">
        <v>341</v>
      </c>
      <c r="P172" s="531">
        <v>116339.57</v>
      </c>
      <c r="Q172" s="533">
        <v>92906.51</v>
      </c>
      <c r="R172" s="576">
        <v>1.0498533724340176</v>
      </c>
      <c r="S172" s="556">
        <v>-238.63000000000466</v>
      </c>
      <c r="T172" s="572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522" t="s">
        <v>335</v>
      </c>
      <c r="B173" s="509" t="s">
        <v>83</v>
      </c>
      <c r="C173" s="530" t="s">
        <v>87</v>
      </c>
      <c r="D173" s="572"/>
      <c r="E173" s="643"/>
      <c r="F173" s="659">
        <v>0.78</v>
      </c>
      <c r="G173" s="557"/>
      <c r="H173" s="643"/>
      <c r="I173" s="659"/>
      <c r="J173" s="557"/>
      <c r="K173" s="509"/>
      <c r="L173" s="659">
        <v>0.7954568904349163</v>
      </c>
      <c r="M173" s="576"/>
      <c r="N173" s="556"/>
      <c r="O173" s="557"/>
      <c r="P173" s="509"/>
      <c r="Q173" s="659">
        <v>0.79858048297754569</v>
      </c>
      <c r="R173" s="557"/>
      <c r="S173" s="556"/>
      <c r="T173" s="572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522" t="s">
        <v>83</v>
      </c>
      <c r="B174" s="509" t="s">
        <v>83</v>
      </c>
      <c r="C174" s="523"/>
      <c r="D174" s="579"/>
      <c r="E174" s="660">
        <v>340</v>
      </c>
      <c r="F174" s="661"/>
      <c r="G174" s="662"/>
      <c r="H174" s="660"/>
      <c r="I174" s="661"/>
      <c r="J174" s="662"/>
      <c r="K174" s="660">
        <v>325.40899441340781</v>
      </c>
      <c r="L174" s="661"/>
      <c r="M174" s="580"/>
      <c r="N174" s="581"/>
      <c r="O174" s="662"/>
      <c r="P174" s="660">
        <v>341.1717595307918</v>
      </c>
      <c r="Q174" s="661"/>
      <c r="R174" s="662"/>
      <c r="S174" s="581"/>
      <c r="T174" s="572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522" t="s">
        <v>336</v>
      </c>
      <c r="B175" s="509" t="s">
        <v>83</v>
      </c>
      <c r="C175" s="517" t="s">
        <v>88</v>
      </c>
      <c r="D175" s="663">
        <v>80.83</v>
      </c>
      <c r="E175" s="572">
        <v>21824.1</v>
      </c>
      <c r="F175" s="572">
        <v>13967.423999999999</v>
      </c>
      <c r="G175" s="664"/>
      <c r="H175" s="572"/>
      <c r="I175" s="572"/>
      <c r="J175" s="664">
        <v>223</v>
      </c>
      <c r="K175" s="551">
        <v>77586.05</v>
      </c>
      <c r="L175" s="533">
        <v>52823.8</v>
      </c>
      <c r="M175" s="576">
        <v>2.555062980833116</v>
      </c>
      <c r="N175" s="605">
        <v>38856.376000000004</v>
      </c>
      <c r="O175" s="664">
        <v>177</v>
      </c>
      <c r="P175" s="551">
        <v>49986.77</v>
      </c>
      <c r="Q175" s="533">
        <v>35192.289999999899</v>
      </c>
      <c r="R175" s="576">
        <v>1.2598870056497176</v>
      </c>
      <c r="S175" s="556">
        <v>17631.510000000104</v>
      </c>
      <c r="T175" s="572"/>
      <c r="U175" s="509"/>
      <c r="V175" s="531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522" t="s">
        <v>335</v>
      </c>
      <c r="B176" s="509" t="s">
        <v>83</v>
      </c>
      <c r="C176" s="530" t="s">
        <v>87</v>
      </c>
      <c r="D176" s="509"/>
      <c r="E176" s="509"/>
      <c r="F176" s="659">
        <v>0.64</v>
      </c>
      <c r="G176" s="530"/>
      <c r="H176" s="509"/>
      <c r="I176" s="659"/>
      <c r="J176" s="530"/>
      <c r="K176" s="509"/>
      <c r="L176" s="659">
        <v>0.68084146570163062</v>
      </c>
      <c r="M176" s="547"/>
      <c r="N176" s="548"/>
      <c r="O176" s="530"/>
      <c r="P176" s="509"/>
      <c r="Q176" s="659">
        <v>0.70403208689018915</v>
      </c>
      <c r="R176" s="547"/>
      <c r="S176" s="548"/>
      <c r="T176" s="509"/>
      <c r="U176" s="509"/>
      <c r="V176" s="531"/>
      <c r="W176" s="665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522" t="s">
        <v>83</v>
      </c>
      <c r="B177" s="509" t="s">
        <v>83</v>
      </c>
      <c r="C177" s="523"/>
      <c r="D177" s="606"/>
      <c r="E177" s="660">
        <v>270</v>
      </c>
      <c r="F177" s="661"/>
      <c r="G177" s="662"/>
      <c r="H177" s="660"/>
      <c r="I177" s="661"/>
      <c r="J177" s="662"/>
      <c r="K177" s="660">
        <v>347.91950672645743</v>
      </c>
      <c r="L177" s="661"/>
      <c r="M177" s="580"/>
      <c r="N177" s="581"/>
      <c r="O177" s="662"/>
      <c r="P177" s="660">
        <v>282.41112994350283</v>
      </c>
      <c r="Q177" s="661"/>
      <c r="R177" s="666"/>
      <c r="S177" s="667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522" t="s">
        <v>337</v>
      </c>
      <c r="B178" s="509" t="s">
        <v>83</v>
      </c>
      <c r="C178" s="530" t="s">
        <v>89</v>
      </c>
      <c r="D178" s="572">
        <v>211.61</v>
      </c>
      <c r="E178" s="572">
        <v>64968.502200000003</v>
      </c>
      <c r="F178" s="572">
        <v>48076.691628</v>
      </c>
      <c r="G178" s="557"/>
      <c r="H178" s="572"/>
      <c r="I178" s="572"/>
      <c r="J178" s="557">
        <v>194</v>
      </c>
      <c r="K178" s="551">
        <v>75045.17</v>
      </c>
      <c r="L178" s="533">
        <v>58525.65</v>
      </c>
      <c r="M178" s="576">
        <v>0.15510081745427703</v>
      </c>
      <c r="N178" s="556">
        <v>10448.958372000001</v>
      </c>
      <c r="O178" s="557">
        <v>234</v>
      </c>
      <c r="P178" s="551">
        <v>65784.02</v>
      </c>
      <c r="Q178" s="533">
        <v>50885.99</v>
      </c>
      <c r="R178" s="576">
        <v>0.82905982905982911</v>
      </c>
      <c r="S178" s="556">
        <v>7639.6600000000035</v>
      </c>
      <c r="T178" s="572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522" t="s">
        <v>335</v>
      </c>
      <c r="B179" s="509" t="s">
        <v>83</v>
      </c>
      <c r="C179" s="530" t="s">
        <v>87</v>
      </c>
      <c r="D179" s="572"/>
      <c r="E179" s="643"/>
      <c r="F179" s="659">
        <v>0.74</v>
      </c>
      <c r="G179" s="557"/>
      <c r="H179" s="643"/>
      <c r="I179" s="659"/>
      <c r="J179" s="557"/>
      <c r="K179" s="643"/>
      <c r="L179" s="659">
        <v>0.77987230890409076</v>
      </c>
      <c r="M179" s="576"/>
      <c r="N179" s="556">
        <v>3.987230890409077E-2</v>
      </c>
      <c r="O179" s="557"/>
      <c r="P179" s="643"/>
      <c r="Q179" s="659">
        <v>0.77353117063992127</v>
      </c>
      <c r="R179" s="557">
        <v>0</v>
      </c>
      <c r="S179" s="556"/>
      <c r="T179" s="572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522" t="s">
        <v>83</v>
      </c>
      <c r="B180" s="509" t="s">
        <v>83</v>
      </c>
      <c r="C180" s="530"/>
      <c r="D180" s="572"/>
      <c r="E180" s="660">
        <v>307.02</v>
      </c>
      <c r="F180" s="661"/>
      <c r="G180" s="662"/>
      <c r="H180" s="660"/>
      <c r="I180" s="661"/>
      <c r="J180" s="662"/>
      <c r="K180" s="660">
        <v>386.8307731958763</v>
      </c>
      <c r="L180" s="661"/>
      <c r="M180" s="580"/>
      <c r="N180" s="581"/>
      <c r="O180" s="662"/>
      <c r="P180" s="660">
        <v>281.12829059829062</v>
      </c>
      <c r="Q180" s="659"/>
      <c r="R180" s="662"/>
      <c r="S180" s="556"/>
      <c r="T180" s="572"/>
      <c r="U180" s="550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522" t="s">
        <v>338</v>
      </c>
      <c r="B181" s="509" t="s">
        <v>83</v>
      </c>
      <c r="C181" s="517" t="s">
        <v>90</v>
      </c>
      <c r="D181" s="663">
        <v>27.631999999999998</v>
      </c>
      <c r="E181" s="572">
        <v>7460.6399999999994</v>
      </c>
      <c r="F181" s="572">
        <v>5595.48</v>
      </c>
      <c r="G181" s="664"/>
      <c r="H181" s="572"/>
      <c r="I181" s="572"/>
      <c r="J181" s="664">
        <v>0</v>
      </c>
      <c r="K181" s="551">
        <v>4595.87</v>
      </c>
      <c r="L181" s="552">
        <v>3732.0299999999997</v>
      </c>
      <c r="M181" s="668">
        <v>-0.38398448390486606</v>
      </c>
      <c r="N181" s="605">
        <v>-1863.4499999999998</v>
      </c>
      <c r="O181" s="664">
        <v>0</v>
      </c>
      <c r="P181" s="551">
        <v>6881.58</v>
      </c>
      <c r="Q181" s="552">
        <v>4923.2</v>
      </c>
      <c r="R181" s="576">
        <v>0</v>
      </c>
      <c r="S181" s="605">
        <v>-1191.17</v>
      </c>
      <c r="T181" s="572"/>
      <c r="U181" s="550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522" t="s">
        <v>335</v>
      </c>
      <c r="B182" s="509" t="s">
        <v>83</v>
      </c>
      <c r="C182" s="530" t="s">
        <v>87</v>
      </c>
      <c r="D182" s="570"/>
      <c r="E182" s="669"/>
      <c r="F182" s="659">
        <v>0.75</v>
      </c>
      <c r="G182" s="549"/>
      <c r="H182" s="669"/>
      <c r="I182" s="659"/>
      <c r="J182" s="670"/>
      <c r="K182" s="669">
        <v>0</v>
      </c>
      <c r="L182" s="659">
        <v>0.81203994020718595</v>
      </c>
      <c r="M182" s="557">
        <v>0</v>
      </c>
      <c r="N182" s="671"/>
      <c r="O182" s="670"/>
      <c r="P182" s="669"/>
      <c r="Q182" s="659">
        <v>0.71541709898017602</v>
      </c>
      <c r="R182" s="530"/>
      <c r="S182" s="671"/>
      <c r="T182" s="607"/>
      <c r="U182" s="550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522" t="s">
        <v>83</v>
      </c>
      <c r="B183" s="509" t="s">
        <v>83</v>
      </c>
      <c r="C183" s="523"/>
      <c r="D183" s="672"/>
      <c r="E183" s="673"/>
      <c r="F183" s="661"/>
      <c r="G183" s="543"/>
      <c r="H183" s="673"/>
      <c r="I183" s="661"/>
      <c r="J183" s="674"/>
      <c r="K183" s="527"/>
      <c r="L183" s="661"/>
      <c r="M183" s="662"/>
      <c r="N183" s="675"/>
      <c r="O183" s="674"/>
      <c r="P183" s="527">
        <v>0</v>
      </c>
      <c r="Q183" s="661"/>
      <c r="R183" s="523"/>
      <c r="S183" s="675"/>
      <c r="T183" s="607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522" t="s">
        <v>339</v>
      </c>
      <c r="B184" s="509" t="s">
        <v>83</v>
      </c>
      <c r="C184" s="530" t="s">
        <v>91</v>
      </c>
      <c r="D184" s="509"/>
      <c r="E184" s="509"/>
      <c r="F184" s="556">
        <v>-2862.0783138120501</v>
      </c>
      <c r="G184" s="530"/>
      <c r="H184" s="572"/>
      <c r="I184" s="572"/>
      <c r="J184" s="557"/>
      <c r="K184" s="572"/>
      <c r="L184" s="572">
        <v>-2061.0500000000002</v>
      </c>
      <c r="M184" s="670"/>
      <c r="N184" s="556">
        <v>801.02831381204987</v>
      </c>
      <c r="O184" s="557"/>
      <c r="P184" s="572"/>
      <c r="Q184" s="533">
        <v>-2291.02</v>
      </c>
      <c r="R184" s="676"/>
      <c r="S184" s="556">
        <v>229.9699999999998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522" t="s">
        <v>340</v>
      </c>
      <c r="B185" s="509" t="s">
        <v>83</v>
      </c>
      <c r="C185" s="677" t="s">
        <v>92</v>
      </c>
      <c r="D185" s="678">
        <v>769.77199999999993</v>
      </c>
      <c r="E185" s="678">
        <v>247151.24220000004</v>
      </c>
      <c r="F185" s="679">
        <v>184037.95731418795</v>
      </c>
      <c r="G185" s="680"/>
      <c r="H185" s="678"/>
      <c r="I185" s="679"/>
      <c r="J185" s="680">
        <v>775</v>
      </c>
      <c r="K185" s="678">
        <v>273723.51</v>
      </c>
      <c r="L185" s="679">
        <v>205688.31</v>
      </c>
      <c r="M185" s="681">
        <v>0.10751419885034252</v>
      </c>
      <c r="N185" s="679">
        <v>21650.352685812046</v>
      </c>
      <c r="O185" s="680">
        <v>752</v>
      </c>
      <c r="P185" s="678">
        <v>238991.93999999997</v>
      </c>
      <c r="Q185" s="679">
        <v>181616.96999999991</v>
      </c>
      <c r="R185" s="547">
        <v>1.0305851063829787</v>
      </c>
      <c r="S185" s="679">
        <v>24071.340000000084</v>
      </c>
      <c r="T185" s="607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522" t="s">
        <v>341</v>
      </c>
      <c r="B186" s="509" t="s">
        <v>83</v>
      </c>
      <c r="C186" s="682" t="s">
        <v>93</v>
      </c>
      <c r="D186" s="683"/>
      <c r="E186" s="684"/>
      <c r="F186" s="685">
        <v>0.7446369910018924</v>
      </c>
      <c r="G186" s="686"/>
      <c r="H186" s="684"/>
      <c r="I186" s="548"/>
      <c r="J186" s="686"/>
      <c r="K186" s="684">
        <v>353.19162580645161</v>
      </c>
      <c r="L186" s="548">
        <v>0.75144553714074469</v>
      </c>
      <c r="M186" s="686"/>
      <c r="N186" s="685">
        <v>0.11764069217987873</v>
      </c>
      <c r="O186" s="686"/>
      <c r="P186" s="684">
        <v>317.8084308510638</v>
      </c>
      <c r="Q186" s="548">
        <v>0.75992926790752835</v>
      </c>
      <c r="R186" s="686"/>
      <c r="S186" s="548">
        <v>0.13253904632370034</v>
      </c>
      <c r="T186" s="607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522" t="s">
        <v>83</v>
      </c>
      <c r="B187" s="509" t="s">
        <v>83</v>
      </c>
      <c r="C187" s="536"/>
      <c r="D187" s="687"/>
      <c r="E187" s="688"/>
      <c r="F187" s="689"/>
      <c r="G187" s="690"/>
      <c r="H187" s="688"/>
      <c r="I187" s="689"/>
      <c r="J187" s="690"/>
      <c r="K187" s="688"/>
      <c r="L187" s="689"/>
      <c r="M187" s="690"/>
      <c r="N187" s="689"/>
      <c r="O187" s="690"/>
      <c r="P187" s="688"/>
      <c r="Q187" s="689"/>
      <c r="R187" s="690"/>
      <c r="S187" s="689"/>
      <c r="T187" s="607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522" t="s">
        <v>342</v>
      </c>
      <c r="B188" s="509" t="s">
        <v>83</v>
      </c>
      <c r="C188" s="530" t="s">
        <v>94</v>
      </c>
      <c r="D188" s="572"/>
      <c r="E188" s="572">
        <v>14850.36</v>
      </c>
      <c r="F188" s="572">
        <v>2613.66336</v>
      </c>
      <c r="G188" s="557"/>
      <c r="H188" s="572"/>
      <c r="I188" s="572"/>
      <c r="J188" s="557"/>
      <c r="K188" s="531">
        <v>9853.1</v>
      </c>
      <c r="L188" s="533">
        <v>2742.1000000000004</v>
      </c>
      <c r="M188" s="576">
        <v>-0.33650766715419694</v>
      </c>
      <c r="N188" s="556">
        <v>128.43664000000035</v>
      </c>
      <c r="O188" s="557"/>
      <c r="P188" s="531">
        <v>9830.83</v>
      </c>
      <c r="Q188" s="533">
        <v>2191.81</v>
      </c>
      <c r="R188" s="576">
        <v>0</v>
      </c>
      <c r="S188" s="556">
        <v>550.29000000000042</v>
      </c>
      <c r="T188" s="607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522" t="s">
        <v>335</v>
      </c>
      <c r="B189" s="509" t="s">
        <v>83</v>
      </c>
      <c r="C189" s="530" t="s">
        <v>87</v>
      </c>
      <c r="D189" s="509"/>
      <c r="E189" s="643"/>
      <c r="F189" s="659">
        <v>0.17599999999999999</v>
      </c>
      <c r="G189" s="530"/>
      <c r="H189" s="643"/>
      <c r="I189" s="659"/>
      <c r="J189" s="670"/>
      <c r="K189" s="669"/>
      <c r="L189" s="659">
        <v>0.27829820056631926</v>
      </c>
      <c r="M189" s="670"/>
      <c r="N189" s="671"/>
      <c r="O189" s="670"/>
      <c r="P189" s="669"/>
      <c r="Q189" s="659">
        <v>0.22295269066803108</v>
      </c>
      <c r="R189" s="670"/>
      <c r="S189" s="671"/>
      <c r="T189" s="607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522" t="s">
        <v>83</v>
      </c>
      <c r="B190" s="509" t="s">
        <v>83</v>
      </c>
      <c r="C190" s="530"/>
      <c r="D190" s="509"/>
      <c r="E190" s="643"/>
      <c r="F190" s="659"/>
      <c r="G190" s="530"/>
      <c r="H190" s="643"/>
      <c r="I190" s="659"/>
      <c r="J190" s="670"/>
      <c r="K190" s="669"/>
      <c r="L190" s="659"/>
      <c r="M190" s="670"/>
      <c r="N190" s="671"/>
      <c r="O190" s="670"/>
      <c r="P190" s="669"/>
      <c r="Q190" s="659"/>
      <c r="R190" s="670"/>
      <c r="S190" s="671"/>
      <c r="T190" s="607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522" t="s">
        <v>343</v>
      </c>
      <c r="B191" s="509" t="s">
        <v>83</v>
      </c>
      <c r="C191" s="530" t="s">
        <v>95</v>
      </c>
      <c r="D191" s="509"/>
      <c r="E191" s="572">
        <v>5720</v>
      </c>
      <c r="F191" s="572">
        <v>4003.9999999999995</v>
      </c>
      <c r="G191" s="530"/>
      <c r="H191" s="572"/>
      <c r="I191" s="572"/>
      <c r="J191" s="557">
        <v>40</v>
      </c>
      <c r="K191" s="531">
        <v>8989.7000000000007</v>
      </c>
      <c r="L191" s="533">
        <v>7301.77</v>
      </c>
      <c r="M191" s="576">
        <v>0.57162587412587429</v>
      </c>
      <c r="N191" s="556">
        <v>3297.7700000000009</v>
      </c>
      <c r="O191" s="670"/>
      <c r="P191" s="531">
        <v>5879.95</v>
      </c>
      <c r="Q191" s="533">
        <v>4060.59</v>
      </c>
      <c r="R191" s="670"/>
      <c r="S191" s="671"/>
      <c r="T191" s="607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522" t="s">
        <v>335</v>
      </c>
      <c r="B192" s="509" t="s">
        <v>83</v>
      </c>
      <c r="C192" s="530" t="s">
        <v>87</v>
      </c>
      <c r="D192" s="509"/>
      <c r="E192" s="643"/>
      <c r="F192" s="659">
        <v>0.7</v>
      </c>
      <c r="G192" s="530"/>
      <c r="H192" s="643"/>
      <c r="I192" s="659"/>
      <c r="J192" s="670"/>
      <c r="K192" s="669"/>
      <c r="L192" s="659">
        <v>0.81223733828715083</v>
      </c>
      <c r="M192" s="670"/>
      <c r="N192" s="671"/>
      <c r="O192" s="670"/>
      <c r="P192" s="669"/>
      <c r="Q192" s="659">
        <v>0.69058240291158945</v>
      </c>
      <c r="R192" s="670"/>
      <c r="S192" s="671"/>
      <c r="T192" s="607"/>
      <c r="U192" s="531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522" t="s">
        <v>83</v>
      </c>
      <c r="B193" s="509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7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522" t="s">
        <v>344</v>
      </c>
      <c r="B194" s="509" t="s">
        <v>83</v>
      </c>
      <c r="C194" s="558" t="s">
        <v>96</v>
      </c>
      <c r="D194" s="559"/>
      <c r="E194" s="559">
        <v>267721.60220000002</v>
      </c>
      <c r="F194" s="561">
        <v>190655.62067418796</v>
      </c>
      <c r="G194" s="562"/>
      <c r="H194" s="559"/>
      <c r="I194" s="561"/>
      <c r="J194" s="562"/>
      <c r="K194" s="559">
        <v>292566.31</v>
      </c>
      <c r="L194" s="561">
        <v>215732.18</v>
      </c>
      <c r="M194" s="696">
        <v>2.523740962703902E-2</v>
      </c>
      <c r="N194" s="561">
        <v>25076.559325812035</v>
      </c>
      <c r="O194" s="562"/>
      <c r="P194" s="559">
        <v>254702.71999999997</v>
      </c>
      <c r="Q194" s="561">
        <v>187869.36999999991</v>
      </c>
      <c r="R194" s="696"/>
      <c r="S194" s="561">
        <v>27862.810000000085</v>
      </c>
      <c r="T194" s="607"/>
      <c r="U194" s="653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522" t="s">
        <v>83</v>
      </c>
      <c r="B195" s="509" t="s">
        <v>83</v>
      </c>
      <c r="C195" s="563"/>
      <c r="D195" s="564"/>
      <c r="E195" s="564"/>
      <c r="F195" s="569">
        <v>0.71214134050998124</v>
      </c>
      <c r="G195" s="563"/>
      <c r="H195" s="564"/>
      <c r="I195" s="569"/>
      <c r="J195" s="563"/>
      <c r="K195" s="564"/>
      <c r="L195" s="569">
        <v>0.73737875013702026</v>
      </c>
      <c r="M195" s="568"/>
      <c r="N195" s="569">
        <v>0.13152803592748757</v>
      </c>
      <c r="O195" s="563"/>
      <c r="P195" s="564"/>
      <c r="Q195" s="569">
        <v>0.73760252736994691</v>
      </c>
      <c r="R195" s="568"/>
      <c r="S195" s="569">
        <v>7.7426569681952158</v>
      </c>
      <c r="T195" s="570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522" t="s">
        <v>83</v>
      </c>
      <c r="B196" s="509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7"/>
      <c r="L196" s="548"/>
      <c r="M196" s="547"/>
      <c r="N196" s="548"/>
      <c r="O196" s="549"/>
      <c r="P196" s="570"/>
      <c r="Q196" s="548"/>
      <c r="R196" s="547"/>
      <c r="S196" s="548"/>
      <c r="T196" s="570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522" t="s">
        <v>345</v>
      </c>
      <c r="B197" s="509" t="s">
        <v>83</v>
      </c>
      <c r="C197" s="573" t="s">
        <v>30</v>
      </c>
      <c r="D197" s="509"/>
      <c r="E197" s="509"/>
      <c r="F197" s="556"/>
      <c r="G197" s="530"/>
      <c r="H197" s="509"/>
      <c r="I197" s="556"/>
      <c r="J197" s="530"/>
      <c r="K197" s="509"/>
      <c r="L197" s="540"/>
      <c r="M197" s="530"/>
      <c r="N197" s="540"/>
      <c r="O197" s="530"/>
      <c r="P197" s="509"/>
      <c r="Q197" s="540"/>
      <c r="R197" s="530"/>
      <c r="S197" s="540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522" t="s">
        <v>346</v>
      </c>
      <c r="B198" s="509" t="s">
        <v>83</v>
      </c>
      <c r="C198" s="599" t="s">
        <v>41</v>
      </c>
      <c r="D198" s="509"/>
      <c r="E198" s="509"/>
      <c r="F198" s="531">
        <v>15681.80576923077</v>
      </c>
      <c r="G198" s="530"/>
      <c r="H198" s="509"/>
      <c r="I198" s="531"/>
      <c r="J198" s="530"/>
      <c r="K198" s="509"/>
      <c r="L198" s="533">
        <v>12583.43</v>
      </c>
      <c r="M198" s="530"/>
      <c r="N198" s="533">
        <v>-3098.3757692307699</v>
      </c>
      <c r="O198" s="530"/>
      <c r="P198" s="509"/>
      <c r="Q198" s="533">
        <v>17739.560000000001</v>
      </c>
      <c r="R198" s="530"/>
      <c r="S198" s="533">
        <v>-5156.130000000001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522" t="s">
        <v>347</v>
      </c>
      <c r="B199" s="509" t="s">
        <v>83</v>
      </c>
      <c r="C199" s="601" t="s">
        <v>42</v>
      </c>
      <c r="D199" s="583"/>
      <c r="E199" s="509"/>
      <c r="F199" s="525">
        <v>8357.6063384615391</v>
      </c>
      <c r="G199" s="584"/>
      <c r="H199" s="509"/>
      <c r="I199" s="525"/>
      <c r="J199" s="530"/>
      <c r="K199" s="509"/>
      <c r="L199" s="525">
        <v>9259.7800000000007</v>
      </c>
      <c r="M199" s="530"/>
      <c r="N199" s="533">
        <v>902.1736615384616</v>
      </c>
      <c r="O199" s="530"/>
      <c r="P199" s="509"/>
      <c r="Q199" s="533">
        <v>7290.69</v>
      </c>
      <c r="R199" s="530"/>
      <c r="S199" s="556">
        <v>1969.0900000000011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25">
      <c r="A200" s="522" t="s">
        <v>348</v>
      </c>
      <c r="B200" s="509" t="s">
        <v>83</v>
      </c>
      <c r="C200" s="599" t="s">
        <v>43</v>
      </c>
      <c r="D200" s="602"/>
      <c r="E200" s="603"/>
      <c r="F200" s="531">
        <v>15667.776923076923</v>
      </c>
      <c r="G200" s="604"/>
      <c r="H200" s="603"/>
      <c r="I200" s="531"/>
      <c r="J200" s="517"/>
      <c r="K200" s="603"/>
      <c r="L200" s="531">
        <v>15228.64</v>
      </c>
      <c r="M200" s="517"/>
      <c r="N200" s="552">
        <v>-439.13692307692327</v>
      </c>
      <c r="O200" s="517"/>
      <c r="P200" s="603"/>
      <c r="Q200" s="552">
        <v>11607.22</v>
      </c>
      <c r="R200" s="517"/>
      <c r="S200" s="605">
        <v>3621.42</v>
      </c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0.25">
      <c r="A201" s="522" t="s">
        <v>349</v>
      </c>
      <c r="B201" s="509" t="s">
        <v>83</v>
      </c>
      <c r="C201" s="599" t="s">
        <v>44</v>
      </c>
      <c r="D201" s="583"/>
      <c r="E201" s="600">
        <v>0.18088996746951461</v>
      </c>
      <c r="F201" s="531">
        <v>27657.714246153846</v>
      </c>
      <c r="G201" s="584"/>
      <c r="H201" s="509"/>
      <c r="I201" s="531"/>
      <c r="J201" s="530"/>
      <c r="K201" s="697">
        <v>0.12784315603861476</v>
      </c>
      <c r="L201" s="531">
        <v>14893.27</v>
      </c>
      <c r="M201" s="530"/>
      <c r="N201" s="533">
        <v>-12764.444246153846</v>
      </c>
      <c r="O201" s="530"/>
      <c r="P201" s="509"/>
      <c r="Q201" s="533">
        <v>20622.5</v>
      </c>
      <c r="R201" s="530"/>
      <c r="S201" s="556">
        <v>-5729.23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522" t="s">
        <v>350</v>
      </c>
      <c r="B202" s="509" t="s">
        <v>83</v>
      </c>
      <c r="C202" s="530" t="s">
        <v>20</v>
      </c>
      <c r="D202" s="583"/>
      <c r="E202" s="509"/>
      <c r="F202" s="531">
        <v>0</v>
      </c>
      <c r="G202" s="584"/>
      <c r="H202" s="509"/>
      <c r="I202" s="531"/>
      <c r="J202" s="530"/>
      <c r="K202" s="509"/>
      <c r="L202" s="533">
        <v>0</v>
      </c>
      <c r="M202" s="530"/>
      <c r="N202" s="533">
        <v>0</v>
      </c>
      <c r="O202" s="530"/>
      <c r="P202" s="509"/>
      <c r="Q202" s="533">
        <v>0</v>
      </c>
      <c r="R202" s="530"/>
      <c r="S202" s="556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522" t="s">
        <v>350</v>
      </c>
      <c r="B203" s="509" t="s">
        <v>83</v>
      </c>
      <c r="C203" s="530" t="s">
        <v>20</v>
      </c>
      <c r="D203" s="583"/>
      <c r="E203" s="509"/>
      <c r="F203" s="531">
        <v>0</v>
      </c>
      <c r="G203" s="584"/>
      <c r="H203" s="509"/>
      <c r="I203" s="531"/>
      <c r="J203" s="530"/>
      <c r="K203" s="509"/>
      <c r="L203" s="533">
        <v>0</v>
      </c>
      <c r="M203" s="530"/>
      <c r="N203" s="533">
        <v>0</v>
      </c>
      <c r="O203" s="530"/>
      <c r="P203" s="509"/>
      <c r="Q203" s="533">
        <v>0</v>
      </c>
      <c r="R203" s="530"/>
      <c r="S203" s="556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522" t="s">
        <v>350</v>
      </c>
      <c r="B204" s="509" t="s">
        <v>83</v>
      </c>
      <c r="C204" s="530" t="s">
        <v>20</v>
      </c>
      <c r="D204" s="583"/>
      <c r="E204" s="509"/>
      <c r="F204" s="531">
        <v>0</v>
      </c>
      <c r="G204" s="584"/>
      <c r="H204" s="509"/>
      <c r="I204" s="531"/>
      <c r="J204" s="530"/>
      <c r="K204" s="509"/>
      <c r="L204" s="533">
        <v>0</v>
      </c>
      <c r="M204" s="530"/>
      <c r="N204" s="533">
        <v>0</v>
      </c>
      <c r="O204" s="530"/>
      <c r="P204" s="509"/>
      <c r="Q204" s="533">
        <v>0</v>
      </c>
      <c r="R204" s="530"/>
      <c r="S204" s="556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25">
      <c r="A205" s="522" t="s">
        <v>351</v>
      </c>
      <c r="B205" s="509" t="s">
        <v>83</v>
      </c>
      <c r="C205" s="601" t="s">
        <v>45</v>
      </c>
      <c r="D205" s="583"/>
      <c r="E205" s="509"/>
      <c r="F205" s="531">
        <v>15179.970813201213</v>
      </c>
      <c r="G205" s="584"/>
      <c r="H205" s="509"/>
      <c r="I205" s="531"/>
      <c r="J205" s="530"/>
      <c r="K205" s="509"/>
      <c r="L205" s="533">
        <v>14568.87</v>
      </c>
      <c r="M205" s="530"/>
      <c r="N205" s="533">
        <v>-611.10081320121208</v>
      </c>
      <c r="O205" s="530"/>
      <c r="P205" s="509"/>
      <c r="Q205" s="533">
        <v>14158.46</v>
      </c>
      <c r="R205" s="530"/>
      <c r="S205" s="556">
        <v>410.41000000000167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522" t="s">
        <v>352</v>
      </c>
      <c r="B206" s="509" t="s">
        <v>83</v>
      </c>
      <c r="C206" s="599" t="s">
        <v>46</v>
      </c>
      <c r="D206" s="602"/>
      <c r="E206" s="603"/>
      <c r="F206" s="552">
        <v>18456.704601072841</v>
      </c>
      <c r="G206" s="604"/>
      <c r="H206" s="603"/>
      <c r="I206" s="552"/>
      <c r="J206" s="517"/>
      <c r="K206" s="603"/>
      <c r="L206" s="552">
        <v>18480.87</v>
      </c>
      <c r="M206" s="517"/>
      <c r="N206" s="552">
        <v>24.165398927158094</v>
      </c>
      <c r="O206" s="517"/>
      <c r="P206" s="603"/>
      <c r="Q206" s="552">
        <v>17254.759999999998</v>
      </c>
      <c r="R206" s="517"/>
      <c r="S206" s="605">
        <v>1226.1100000000006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522" t="s">
        <v>353</v>
      </c>
      <c r="B207" s="509" t="s">
        <v>83</v>
      </c>
      <c r="C207" s="599" t="s">
        <v>47</v>
      </c>
      <c r="D207" s="583"/>
      <c r="E207" s="509"/>
      <c r="F207" s="531">
        <v>9509.2151966397014</v>
      </c>
      <c r="G207" s="584"/>
      <c r="H207" s="509"/>
      <c r="I207" s="531"/>
      <c r="J207" s="530"/>
      <c r="K207" s="509"/>
      <c r="L207" s="533">
        <v>8936.9500000000007</v>
      </c>
      <c r="M207" s="530"/>
      <c r="N207" s="533">
        <v>-572.26519663970066</v>
      </c>
      <c r="O207" s="530"/>
      <c r="P207" s="509"/>
      <c r="Q207" s="533">
        <v>9002.2799999999897</v>
      </c>
      <c r="R207" s="530"/>
      <c r="S207" s="556">
        <v>-65.329999999989013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522" t="s">
        <v>354</v>
      </c>
      <c r="B208" s="509" t="s">
        <v>83</v>
      </c>
      <c r="C208" s="599" t="s">
        <v>48</v>
      </c>
      <c r="D208" s="583"/>
      <c r="E208" s="509"/>
      <c r="F208" s="531">
        <v>4146.0713234294062</v>
      </c>
      <c r="G208" s="584"/>
      <c r="H208" s="509"/>
      <c r="I208" s="531"/>
      <c r="J208" s="530"/>
      <c r="K208" s="509"/>
      <c r="L208" s="533">
        <v>4107.45</v>
      </c>
      <c r="M208" s="530"/>
      <c r="N208" s="533">
        <v>-38.621323429406402</v>
      </c>
      <c r="O208" s="530"/>
      <c r="P208" s="509"/>
      <c r="Q208" s="533">
        <v>4450.8500000000004</v>
      </c>
      <c r="R208" s="530"/>
      <c r="S208" s="556">
        <v>-343.40000000000055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522" t="s">
        <v>350</v>
      </c>
      <c r="B209" s="509" t="s">
        <v>83</v>
      </c>
      <c r="C209" s="530" t="s">
        <v>20</v>
      </c>
      <c r="D209" s="586"/>
      <c r="E209" s="606"/>
      <c r="F209" s="531">
        <v>0</v>
      </c>
      <c r="G209" s="587"/>
      <c r="H209" s="606"/>
      <c r="I209" s="531"/>
      <c r="J209" s="523"/>
      <c r="K209" s="606"/>
      <c r="L209" s="533">
        <v>0</v>
      </c>
      <c r="M209" s="523"/>
      <c r="N209" s="533">
        <v>0</v>
      </c>
      <c r="O209" s="523"/>
      <c r="P209" s="606"/>
      <c r="Q209" s="533">
        <v>0</v>
      </c>
      <c r="R209" s="523"/>
      <c r="S209" s="581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522" t="s">
        <v>355</v>
      </c>
      <c r="B210" s="509" t="s">
        <v>83</v>
      </c>
      <c r="C210" s="591" t="s">
        <v>49</v>
      </c>
      <c r="D210" s="592" t="s">
        <v>97</v>
      </c>
      <c r="E210" s="593">
        <v>0.60138203534635759</v>
      </c>
      <c r="F210" s="594">
        <v>114656.86521126625</v>
      </c>
      <c r="G210" s="595"/>
      <c r="H210" s="593"/>
      <c r="I210" s="594"/>
      <c r="J210" s="595" t="s">
        <v>97</v>
      </c>
      <c r="K210" s="593">
        <v>0.45454164510830042</v>
      </c>
      <c r="L210" s="594">
        <v>98059.25999999998</v>
      </c>
      <c r="M210" s="649"/>
      <c r="N210" s="594">
        <v>-16597.605211266273</v>
      </c>
      <c r="O210" s="595" t="s">
        <v>97</v>
      </c>
      <c r="P210" s="593">
        <v>0.54360282360024959</v>
      </c>
      <c r="Q210" s="594">
        <v>102126.31999999998</v>
      </c>
      <c r="R210" s="649"/>
      <c r="S210" s="608">
        <v>-4067.0599999999977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522" t="s">
        <v>356</v>
      </c>
      <c r="B211" s="509" t="s">
        <v>83</v>
      </c>
      <c r="C211" s="530" t="s">
        <v>50</v>
      </c>
      <c r="D211" s="583"/>
      <c r="E211" s="509"/>
      <c r="F211" s="531">
        <v>10473.001058518952</v>
      </c>
      <c r="G211" s="584"/>
      <c r="H211" s="509"/>
      <c r="I211" s="531"/>
      <c r="J211" s="530"/>
      <c r="K211" s="509"/>
      <c r="L211" s="533">
        <v>7354.74</v>
      </c>
      <c r="M211" s="530"/>
      <c r="N211" s="556">
        <v>-3118.2610585189523</v>
      </c>
      <c r="O211" s="530"/>
      <c r="P211" s="509"/>
      <c r="Q211" s="533">
        <v>11869.48</v>
      </c>
      <c r="R211" s="530"/>
      <c r="S211" s="556">
        <v>-4514.74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522" t="s">
        <v>357</v>
      </c>
      <c r="B212" s="509" t="s">
        <v>83</v>
      </c>
      <c r="C212" s="530" t="s">
        <v>51</v>
      </c>
      <c r="D212" s="583"/>
      <c r="E212" s="509"/>
      <c r="F212" s="531">
        <v>3422.1774033237093</v>
      </c>
      <c r="G212" s="584"/>
      <c r="H212" s="509"/>
      <c r="I212" s="531"/>
      <c r="J212" s="530"/>
      <c r="K212" s="509"/>
      <c r="L212" s="533">
        <v>1996.52</v>
      </c>
      <c r="M212" s="530"/>
      <c r="N212" s="556">
        <v>-1425.6574033237093</v>
      </c>
      <c r="O212" s="530"/>
      <c r="P212" s="509"/>
      <c r="Q212" s="533">
        <v>12880.5</v>
      </c>
      <c r="R212" s="530"/>
      <c r="S212" s="556">
        <v>-10883.98</v>
      </c>
      <c r="T212" s="509"/>
      <c r="U212" s="522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522" t="s">
        <v>358</v>
      </c>
      <c r="B213" s="509" t="s">
        <v>83</v>
      </c>
      <c r="C213" s="523" t="s">
        <v>52</v>
      </c>
      <c r="D213" s="586"/>
      <c r="E213" s="606"/>
      <c r="F213" s="525">
        <v>11083.739355555555</v>
      </c>
      <c r="G213" s="587"/>
      <c r="H213" s="606"/>
      <c r="I213" s="525"/>
      <c r="J213" s="523"/>
      <c r="K213" s="606"/>
      <c r="L213" s="533">
        <v>12387.69</v>
      </c>
      <c r="M213" s="523"/>
      <c r="N213" s="581">
        <v>1303.9506444444451</v>
      </c>
      <c r="O213" s="523"/>
      <c r="P213" s="606"/>
      <c r="Q213" s="533">
        <v>12584.47</v>
      </c>
      <c r="R213" s="523"/>
      <c r="S213" s="581">
        <v>-196.77999999999884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522" t="s">
        <v>359</v>
      </c>
      <c r="B214" s="509" t="s">
        <v>83</v>
      </c>
      <c r="C214" s="530" t="s">
        <v>53</v>
      </c>
      <c r="D214" s="583"/>
      <c r="E214" s="509"/>
      <c r="F214" s="531">
        <v>4783.316137386666</v>
      </c>
      <c r="G214" s="584"/>
      <c r="H214" s="509"/>
      <c r="I214" s="531"/>
      <c r="J214" s="530"/>
      <c r="K214" s="509"/>
      <c r="L214" s="552">
        <v>7222.05</v>
      </c>
      <c r="M214" s="530"/>
      <c r="N214" s="556">
        <v>2438.7338626133342</v>
      </c>
      <c r="O214" s="530"/>
      <c r="P214" s="509"/>
      <c r="Q214" s="552">
        <v>5943.38</v>
      </c>
      <c r="R214" s="530"/>
      <c r="S214" s="556">
        <v>1278.67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522" t="s">
        <v>360</v>
      </c>
      <c r="B215" s="509" t="s">
        <v>83</v>
      </c>
      <c r="C215" s="530" t="s">
        <v>54</v>
      </c>
      <c r="D215" s="583"/>
      <c r="E215" s="509"/>
      <c r="F215" s="531">
        <v>1050.8751805936904</v>
      </c>
      <c r="G215" s="584"/>
      <c r="H215" s="509"/>
      <c r="I215" s="531"/>
      <c r="J215" s="530"/>
      <c r="K215" s="509"/>
      <c r="L215" s="533">
        <v>1734.91</v>
      </c>
      <c r="M215" s="530"/>
      <c r="N215" s="556">
        <v>684.03481940630968</v>
      </c>
      <c r="O215" s="530"/>
      <c r="P215" s="509"/>
      <c r="Q215" s="533">
        <v>1111.47</v>
      </c>
      <c r="R215" s="530"/>
      <c r="S215" s="556">
        <v>623.44000000000005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522" t="s">
        <v>361</v>
      </c>
      <c r="B216" s="509" t="s">
        <v>83</v>
      </c>
      <c r="C216" s="523" t="s">
        <v>55</v>
      </c>
      <c r="D216" s="586"/>
      <c r="E216" s="606"/>
      <c r="F216" s="525">
        <v>11128.231788350371</v>
      </c>
      <c r="G216" s="587"/>
      <c r="H216" s="606"/>
      <c r="I216" s="525"/>
      <c r="J216" s="523"/>
      <c r="K216" s="606"/>
      <c r="L216" s="533">
        <v>22679.09</v>
      </c>
      <c r="M216" s="523"/>
      <c r="N216" s="581">
        <v>11550.858211649629</v>
      </c>
      <c r="O216" s="523"/>
      <c r="P216" s="606"/>
      <c r="Q216" s="533">
        <v>15667.61</v>
      </c>
      <c r="R216" s="523"/>
      <c r="S216" s="581">
        <v>7011.48</v>
      </c>
      <c r="T216" s="509"/>
      <c r="U216" s="506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522" t="s">
        <v>362</v>
      </c>
      <c r="B217" s="509" t="s">
        <v>83</v>
      </c>
      <c r="C217" s="530" t="s">
        <v>98</v>
      </c>
      <c r="D217" s="583"/>
      <c r="E217" s="509"/>
      <c r="F217" s="531"/>
      <c r="G217" s="584"/>
      <c r="H217" s="509"/>
      <c r="I217" s="531"/>
      <c r="J217" s="530"/>
      <c r="K217" s="509"/>
      <c r="L217" s="552">
        <v>0</v>
      </c>
      <c r="M217" s="530"/>
      <c r="N217" s="556">
        <v>0</v>
      </c>
      <c r="O217" s="530"/>
      <c r="P217" s="509"/>
      <c r="Q217" s="552">
        <v>0</v>
      </c>
      <c r="R217" s="530"/>
      <c r="S217" s="556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522" t="s">
        <v>363</v>
      </c>
      <c r="B218" s="509" t="s">
        <v>83</v>
      </c>
      <c r="C218" s="530" t="s">
        <v>56</v>
      </c>
      <c r="D218" s="583"/>
      <c r="E218" s="509"/>
      <c r="F218" s="531">
        <v>4769.9204222222234</v>
      </c>
      <c r="G218" s="584"/>
      <c r="H218" s="509"/>
      <c r="I218" s="531"/>
      <c r="J218" s="530"/>
      <c r="K218" s="509"/>
      <c r="L218" s="533">
        <v>2021.58</v>
      </c>
      <c r="M218" s="530"/>
      <c r="N218" s="556">
        <v>-2748.3404222222234</v>
      </c>
      <c r="O218" s="530"/>
      <c r="P218" s="509"/>
      <c r="Q218" s="533">
        <v>9472.7999999999993</v>
      </c>
      <c r="R218" s="530"/>
      <c r="S218" s="556">
        <v>-7451.2199999999993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522" t="s">
        <v>364</v>
      </c>
      <c r="B219" s="509" t="s">
        <v>83</v>
      </c>
      <c r="C219" s="530" t="s">
        <v>57</v>
      </c>
      <c r="D219" s="583"/>
      <c r="E219" s="509"/>
      <c r="F219" s="531">
        <v>1220.4654067864171</v>
      </c>
      <c r="G219" s="584"/>
      <c r="H219" s="509"/>
      <c r="I219" s="531"/>
      <c r="J219" s="530"/>
      <c r="K219" s="509"/>
      <c r="L219" s="533">
        <v>931.94</v>
      </c>
      <c r="M219" s="530"/>
      <c r="N219" s="556">
        <v>-288.52540678641708</v>
      </c>
      <c r="O219" s="530"/>
      <c r="P219" s="509"/>
      <c r="Q219" s="533">
        <v>1044.83</v>
      </c>
      <c r="R219" s="530"/>
      <c r="S219" s="556">
        <v>-112.88999999999987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522" t="s">
        <v>365</v>
      </c>
      <c r="B220" s="509" t="s">
        <v>83</v>
      </c>
      <c r="C220" s="530" t="s">
        <v>58</v>
      </c>
      <c r="D220" s="583"/>
      <c r="E220" s="509"/>
      <c r="F220" s="531">
        <v>833.0541497518401</v>
      </c>
      <c r="G220" s="584"/>
      <c r="H220" s="509"/>
      <c r="I220" s="531"/>
      <c r="J220" s="530"/>
      <c r="K220" s="509"/>
      <c r="L220" s="533">
        <v>316.52999999999997</v>
      </c>
      <c r="M220" s="530"/>
      <c r="N220" s="556">
        <v>-516.52414975184013</v>
      </c>
      <c r="O220" s="530"/>
      <c r="P220" s="509"/>
      <c r="Q220" s="533">
        <v>2936.04</v>
      </c>
      <c r="R220" s="530"/>
      <c r="S220" s="556">
        <v>-2619.5100000000002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522" t="s">
        <v>366</v>
      </c>
      <c r="B221" s="509" t="s">
        <v>83</v>
      </c>
      <c r="C221" s="530" t="s">
        <v>59</v>
      </c>
      <c r="D221" s="583"/>
      <c r="E221" s="509"/>
      <c r="F221" s="531">
        <v>179.20450168848672</v>
      </c>
      <c r="G221" s="584"/>
      <c r="H221" s="509"/>
      <c r="I221" s="531"/>
      <c r="J221" s="530"/>
      <c r="K221" s="509"/>
      <c r="L221" s="533">
        <v>200.88</v>
      </c>
      <c r="M221" s="530"/>
      <c r="N221" s="556">
        <v>21.67549831151328</v>
      </c>
      <c r="O221" s="530"/>
      <c r="P221" s="509"/>
      <c r="Q221" s="533">
        <v>162.08000000000001</v>
      </c>
      <c r="R221" s="530"/>
      <c r="S221" s="556">
        <v>38.799999999999983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522" t="s">
        <v>367</v>
      </c>
      <c r="B222" s="509" t="s">
        <v>83</v>
      </c>
      <c r="C222" s="530" t="s">
        <v>60</v>
      </c>
      <c r="D222" s="583"/>
      <c r="E222" s="509"/>
      <c r="F222" s="531">
        <v>92.790571276313315</v>
      </c>
      <c r="G222" s="584"/>
      <c r="H222" s="509"/>
      <c r="I222" s="531"/>
      <c r="J222" s="530"/>
      <c r="K222" s="509"/>
      <c r="L222" s="533">
        <v>158.49</v>
      </c>
      <c r="M222" s="530"/>
      <c r="N222" s="556">
        <v>65.699428723686694</v>
      </c>
      <c r="O222" s="530"/>
      <c r="P222" s="509"/>
      <c r="Q222" s="533">
        <v>24.72</v>
      </c>
      <c r="R222" s="530"/>
      <c r="S222" s="556">
        <v>133.77000000000001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522" t="s">
        <v>368</v>
      </c>
      <c r="B223" s="509" t="s">
        <v>83</v>
      </c>
      <c r="C223" s="530" t="s">
        <v>61</v>
      </c>
      <c r="D223" s="583"/>
      <c r="E223" s="509"/>
      <c r="F223" s="531">
        <v>152.45095187595334</v>
      </c>
      <c r="G223" s="584"/>
      <c r="H223" s="509"/>
      <c r="I223" s="531"/>
      <c r="J223" s="530"/>
      <c r="K223" s="509"/>
      <c r="L223" s="533">
        <v>551.69000000000005</v>
      </c>
      <c r="M223" s="530"/>
      <c r="N223" s="556">
        <v>399.23904812404669</v>
      </c>
      <c r="O223" s="530"/>
      <c r="P223" s="509"/>
      <c r="Q223" s="533">
        <v>71.73</v>
      </c>
      <c r="R223" s="530"/>
      <c r="S223" s="556">
        <v>479.96000000000004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522" t="s">
        <v>369</v>
      </c>
      <c r="B224" s="509" t="s">
        <v>83</v>
      </c>
      <c r="C224" s="530" t="s">
        <v>62</v>
      </c>
      <c r="D224" s="583"/>
      <c r="E224" s="509"/>
      <c r="F224" s="531">
        <v>3066.5133988524863</v>
      </c>
      <c r="G224" s="584"/>
      <c r="H224" s="509"/>
      <c r="I224" s="531"/>
      <c r="J224" s="530"/>
      <c r="K224" s="509"/>
      <c r="L224" s="533">
        <v>2642.98</v>
      </c>
      <c r="M224" s="530"/>
      <c r="N224" s="556">
        <v>-423.53339885248624</v>
      </c>
      <c r="O224" s="530"/>
      <c r="P224" s="509"/>
      <c r="Q224" s="533">
        <v>338.27</v>
      </c>
      <c r="R224" s="530"/>
      <c r="S224" s="556">
        <v>2304.71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522" t="s">
        <v>370</v>
      </c>
      <c r="B225" s="509" t="s">
        <v>83</v>
      </c>
      <c r="C225" s="530" t="s">
        <v>63</v>
      </c>
      <c r="D225" s="583"/>
      <c r="E225" s="509"/>
      <c r="F225" s="531">
        <v>1589.5070157088385</v>
      </c>
      <c r="G225" s="584"/>
      <c r="H225" s="509"/>
      <c r="I225" s="531"/>
      <c r="J225" s="530"/>
      <c r="K225" s="509"/>
      <c r="L225" s="533">
        <v>1993.18</v>
      </c>
      <c r="M225" s="530"/>
      <c r="N225" s="556">
        <v>403.67298429116158</v>
      </c>
      <c r="O225" s="530"/>
      <c r="P225" s="509"/>
      <c r="Q225" s="533">
        <v>2069.1999999999998</v>
      </c>
      <c r="R225" s="530"/>
      <c r="S225" s="556">
        <v>-76.019999999999754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522" t="s">
        <v>350</v>
      </c>
      <c r="B226" s="509" t="s">
        <v>83</v>
      </c>
      <c r="C226" s="530" t="s">
        <v>20</v>
      </c>
      <c r="D226" s="583"/>
      <c r="E226" s="509"/>
      <c r="F226" s="531">
        <v>0</v>
      </c>
      <c r="G226" s="584"/>
      <c r="H226" s="509"/>
      <c r="I226" s="531"/>
      <c r="J226" s="530"/>
      <c r="K226" s="509"/>
      <c r="L226" s="533">
        <v>0</v>
      </c>
      <c r="M226" s="530"/>
      <c r="N226" s="556">
        <v>0</v>
      </c>
      <c r="O226" s="530"/>
      <c r="P226" s="509"/>
      <c r="Q226" s="533">
        <v>0</v>
      </c>
      <c r="R226" s="530"/>
      <c r="S226" s="556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522" t="s">
        <v>350</v>
      </c>
      <c r="B227" s="509" t="s">
        <v>83</v>
      </c>
      <c r="C227" s="530" t="s">
        <v>20</v>
      </c>
      <c r="D227" s="583"/>
      <c r="E227" s="509"/>
      <c r="F227" s="531">
        <v>0</v>
      </c>
      <c r="G227" s="584"/>
      <c r="H227" s="509"/>
      <c r="I227" s="531"/>
      <c r="J227" s="530"/>
      <c r="K227" s="509"/>
      <c r="L227" s="533">
        <v>0</v>
      </c>
      <c r="M227" s="530"/>
      <c r="N227" s="556">
        <v>0</v>
      </c>
      <c r="O227" s="530"/>
      <c r="P227" s="509"/>
      <c r="Q227" s="533">
        <v>0</v>
      </c>
      <c r="R227" s="530"/>
      <c r="S227" s="556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522" t="s">
        <v>350</v>
      </c>
      <c r="B228" s="509" t="s">
        <v>83</v>
      </c>
      <c r="C228" s="530" t="s">
        <v>20</v>
      </c>
      <c r="D228" s="583"/>
      <c r="E228" s="509"/>
      <c r="F228" s="531">
        <v>0</v>
      </c>
      <c r="G228" s="584"/>
      <c r="H228" s="509"/>
      <c r="I228" s="531"/>
      <c r="J228" s="530"/>
      <c r="K228" s="509"/>
      <c r="L228" s="533">
        <v>0</v>
      </c>
      <c r="M228" s="530"/>
      <c r="N228" s="556">
        <v>0</v>
      </c>
      <c r="O228" s="530"/>
      <c r="P228" s="509"/>
      <c r="Q228" s="533">
        <v>0</v>
      </c>
      <c r="R228" s="530"/>
      <c r="S228" s="556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91" t="s">
        <v>64</v>
      </c>
      <c r="D229" s="592" t="s">
        <v>97</v>
      </c>
      <c r="E229" s="593">
        <v>0.28242150507541469</v>
      </c>
      <c r="F229" s="594">
        <v>53845.247341891511</v>
      </c>
      <c r="G229" s="595"/>
      <c r="H229" s="593"/>
      <c r="I229" s="594"/>
      <c r="J229" s="595" t="s">
        <v>97</v>
      </c>
      <c r="K229" s="593">
        <v>0.28828462216438921</v>
      </c>
      <c r="L229" s="594">
        <v>62192.270000000004</v>
      </c>
      <c r="M229" s="598"/>
      <c r="N229" s="594">
        <v>8347.0226581084935</v>
      </c>
      <c r="O229" s="595" t="s">
        <v>97</v>
      </c>
      <c r="P229" s="593">
        <v>0.40547631580390153</v>
      </c>
      <c r="Q229" s="594">
        <v>76176.579999999987</v>
      </c>
      <c r="R229" s="598"/>
      <c r="S229" s="594">
        <v>-13984.309999999983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3"/>
      <c r="D230" s="586"/>
      <c r="E230" s="606"/>
      <c r="F230" s="556"/>
      <c r="G230" s="587"/>
      <c r="H230" s="606"/>
      <c r="I230" s="556"/>
      <c r="J230" s="523"/>
      <c r="K230" s="606"/>
      <c r="L230" s="581"/>
      <c r="M230" s="523"/>
      <c r="N230" s="581"/>
      <c r="O230" s="523"/>
      <c r="P230" s="606"/>
      <c r="Q230" s="581"/>
      <c r="R230" s="523"/>
      <c r="S230" s="581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91" t="s">
        <v>65</v>
      </c>
      <c r="D231" s="592" t="s">
        <v>39</v>
      </c>
      <c r="E231" s="593">
        <v>0.88380354042177223</v>
      </c>
      <c r="F231" s="594">
        <v>168502.11255315776</v>
      </c>
      <c r="G231" s="595"/>
      <c r="H231" s="593"/>
      <c r="I231" s="594"/>
      <c r="J231" s="595" t="s">
        <v>39</v>
      </c>
      <c r="K231" s="593">
        <v>0.74282626727268952</v>
      </c>
      <c r="L231" s="594">
        <v>160251.52999999997</v>
      </c>
      <c r="M231" s="598"/>
      <c r="N231" s="608">
        <v>-8250.5825531577866</v>
      </c>
      <c r="O231" s="595" t="s">
        <v>39</v>
      </c>
      <c r="P231" s="593">
        <v>0.94907913940415112</v>
      </c>
      <c r="Q231" s="594">
        <v>178302.89999999997</v>
      </c>
      <c r="R231" s="598"/>
      <c r="S231" s="608">
        <v>-18051.369999999995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30"/>
      <c r="D232" s="583"/>
      <c r="E232" s="509"/>
      <c r="F232" s="556"/>
      <c r="G232" s="584"/>
      <c r="H232" s="509"/>
      <c r="I232" s="556"/>
      <c r="J232" s="530"/>
      <c r="K232" s="509"/>
      <c r="L232" s="556"/>
      <c r="M232" s="530"/>
      <c r="N232" s="556">
        <v>0</v>
      </c>
      <c r="O232" s="530"/>
      <c r="P232" s="509"/>
      <c r="Q232" s="556"/>
      <c r="R232" s="530"/>
      <c r="S232" s="556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3" t="s">
        <v>72</v>
      </c>
      <c r="D233" s="654"/>
      <c r="E233" s="624"/>
      <c r="F233" s="626">
        <v>22153.508121030201</v>
      </c>
      <c r="G233" s="655"/>
      <c r="H233" s="624"/>
      <c r="I233" s="626"/>
      <c r="J233" s="623"/>
      <c r="K233" s="625"/>
      <c r="L233" s="626">
        <v>55480.650000000023</v>
      </c>
      <c r="M233" s="623"/>
      <c r="N233" s="626">
        <v>33327.141878969822</v>
      </c>
      <c r="O233" s="623"/>
      <c r="P233" s="628">
        <v>3.755935547135085E-2</v>
      </c>
      <c r="Q233" s="626">
        <v>9566.469999999943</v>
      </c>
      <c r="R233" s="623"/>
      <c r="S233" s="626">
        <v>45914.18000000008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2"/>
      <c r="M234" s="572"/>
      <c r="N234" s="509"/>
      <c r="O234" s="572"/>
      <c r="P234" s="509"/>
      <c r="Q234" s="572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6"/>
      <c r="M235" s="656"/>
      <c r="N235" s="506"/>
      <c r="O235" s="656"/>
      <c r="P235" s="506"/>
      <c r="Q235" s="656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3" t="s">
        <v>478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4" t="s">
        <v>482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220</v>
      </c>
      <c r="N238" s="513"/>
      <c r="O238" s="511" t="s">
        <v>8</v>
      </c>
      <c r="P238" s="512"/>
      <c r="Q238" s="513"/>
      <c r="R238" s="514" t="s">
        <v>221</v>
      </c>
      <c r="S238" s="513"/>
      <c r="T238" s="650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522" t="s">
        <v>99</v>
      </c>
      <c r="B239" s="509" t="s">
        <v>99</v>
      </c>
      <c r="C239" s="530"/>
      <c r="D239" s="574" t="s">
        <v>40</v>
      </c>
      <c r="E239" s="574" t="s">
        <v>84</v>
      </c>
      <c r="F239" s="657" t="s">
        <v>12</v>
      </c>
      <c r="G239" s="658"/>
      <c r="H239" s="574"/>
      <c r="I239" s="657"/>
      <c r="J239" s="658" t="s">
        <v>40</v>
      </c>
      <c r="K239" s="574" t="s">
        <v>84</v>
      </c>
      <c r="L239" s="657" t="s">
        <v>12</v>
      </c>
      <c r="M239" s="658" t="s">
        <v>40</v>
      </c>
      <c r="N239" s="657" t="s">
        <v>223</v>
      </c>
      <c r="O239" s="574" t="s">
        <v>40</v>
      </c>
      <c r="P239" s="574" t="s">
        <v>84</v>
      </c>
      <c r="Q239" s="657" t="s">
        <v>12</v>
      </c>
      <c r="R239" s="658" t="s">
        <v>85</v>
      </c>
      <c r="S239" s="657" t="s">
        <v>12</v>
      </c>
      <c r="T239" s="574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522" t="s">
        <v>99</v>
      </c>
      <c r="B240" s="509" t="s">
        <v>99</v>
      </c>
      <c r="C240" s="530"/>
      <c r="D240" s="574"/>
      <c r="E240" s="574"/>
      <c r="F240" s="657"/>
      <c r="G240" s="658"/>
      <c r="H240" s="574"/>
      <c r="I240" s="657"/>
      <c r="J240" s="658"/>
      <c r="K240" s="531"/>
      <c r="L240" s="533"/>
      <c r="M240" s="658"/>
      <c r="N240" s="657"/>
      <c r="O240" s="574"/>
      <c r="P240" s="574"/>
      <c r="Q240" s="657"/>
      <c r="R240" s="658"/>
      <c r="S240" s="657"/>
      <c r="T240" s="574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522" t="s">
        <v>371</v>
      </c>
      <c r="B241" s="509" t="s">
        <v>99</v>
      </c>
      <c r="C241" s="530" t="s">
        <v>100</v>
      </c>
      <c r="D241" s="698">
        <v>0</v>
      </c>
      <c r="E241" s="572">
        <v>30000</v>
      </c>
      <c r="F241" s="572">
        <v>6600</v>
      </c>
      <c r="G241" s="699"/>
      <c r="H241" s="572"/>
      <c r="I241" s="572"/>
      <c r="J241" s="557">
        <v>31</v>
      </c>
      <c r="K241" s="572">
        <v>91566.9</v>
      </c>
      <c r="L241" s="572">
        <v>11617.64</v>
      </c>
      <c r="M241" s="576">
        <v>2.0522299999999998</v>
      </c>
      <c r="N241" s="556">
        <v>5017.6399999999994</v>
      </c>
      <c r="O241" s="557">
        <v>11</v>
      </c>
      <c r="P241" s="531">
        <v>17792.259999999998</v>
      </c>
      <c r="Q241" s="533">
        <v>3344.9</v>
      </c>
      <c r="R241" s="576">
        <v>2.8181818181818183</v>
      </c>
      <c r="S241" s="556">
        <v>8272.74</v>
      </c>
      <c r="T241" s="574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522" t="s">
        <v>372</v>
      </c>
      <c r="B242" s="509" t="s">
        <v>99</v>
      </c>
      <c r="C242" s="530" t="s">
        <v>87</v>
      </c>
      <c r="D242" s="574"/>
      <c r="E242" s="643"/>
      <c r="F242" s="659">
        <v>0.22</v>
      </c>
      <c r="G242" s="530"/>
      <c r="H242" s="643"/>
      <c r="I242" s="659"/>
      <c r="J242" s="557"/>
      <c r="K242" s="509"/>
      <c r="L242" s="659">
        <v>0.1268759781099939</v>
      </c>
      <c r="M242" s="576"/>
      <c r="N242" s="556">
        <v>2444.9696184150898</v>
      </c>
      <c r="O242" s="557"/>
      <c r="P242" s="509"/>
      <c r="Q242" s="659">
        <v>0.18799747755484691</v>
      </c>
      <c r="R242" s="557"/>
      <c r="S242" s="556">
        <v>2935.4883870967737</v>
      </c>
      <c r="T242" s="574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522" t="s">
        <v>99</v>
      </c>
      <c r="B243" s="509" t="s">
        <v>99</v>
      </c>
      <c r="C243" s="530"/>
      <c r="D243" s="574"/>
      <c r="E243" s="700"/>
      <c r="F243" s="636"/>
      <c r="G243" s="658"/>
      <c r="H243" s="700"/>
      <c r="I243" s="636"/>
      <c r="J243" s="658"/>
      <c r="K243" s="574"/>
      <c r="L243" s="657"/>
      <c r="M243" s="658"/>
      <c r="N243" s="657"/>
      <c r="O243" s="658"/>
      <c r="P243" s="574"/>
      <c r="Q243" s="657"/>
      <c r="R243" s="635"/>
      <c r="S243" s="657"/>
      <c r="T243" s="574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522" t="s">
        <v>373</v>
      </c>
      <c r="B244" s="509" t="s">
        <v>99</v>
      </c>
      <c r="C244" s="517" t="s">
        <v>101</v>
      </c>
      <c r="D244" s="663">
        <v>0</v>
      </c>
      <c r="E244" s="572">
        <v>0</v>
      </c>
      <c r="F244" s="572">
        <v>0</v>
      </c>
      <c r="G244" s="701"/>
      <c r="H244" s="572"/>
      <c r="I244" s="572"/>
      <c r="J244" s="664">
        <v>0</v>
      </c>
      <c r="K244" s="551">
        <v>0</v>
      </c>
      <c r="L244" s="552">
        <v>0</v>
      </c>
      <c r="M244" s="668">
        <v>0</v>
      </c>
      <c r="N244" s="605">
        <v>0</v>
      </c>
      <c r="O244" s="664">
        <v>0</v>
      </c>
      <c r="P244" s="551">
        <v>0</v>
      </c>
      <c r="Q244" s="552">
        <v>0</v>
      </c>
      <c r="R244" s="576">
        <v>0</v>
      </c>
      <c r="S244" s="605">
        <v>0</v>
      </c>
      <c r="T244" s="647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522" t="s">
        <v>372</v>
      </c>
      <c r="B245" s="509" t="s">
        <v>99</v>
      </c>
      <c r="C245" s="530" t="s">
        <v>87</v>
      </c>
      <c r="D245" s="509"/>
      <c r="E245" s="643"/>
      <c r="F245" s="659" t="e">
        <v>#DIV/0!</v>
      </c>
      <c r="G245" s="530"/>
      <c r="H245" s="643"/>
      <c r="I245" s="659"/>
      <c r="J245" s="557"/>
      <c r="K245" s="509"/>
      <c r="L245" s="659">
        <v>0</v>
      </c>
      <c r="M245" s="576"/>
      <c r="N245" s="556">
        <v>0</v>
      </c>
      <c r="O245" s="557"/>
      <c r="P245" s="509"/>
      <c r="Q245" s="659">
        <v>0</v>
      </c>
      <c r="R245" s="557"/>
      <c r="S245" s="556">
        <v>0</v>
      </c>
      <c r="T245" s="647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522" t="s">
        <v>99</v>
      </c>
      <c r="B246" s="509" t="s">
        <v>99</v>
      </c>
      <c r="C246" s="523"/>
      <c r="D246" s="606"/>
      <c r="E246" s="702"/>
      <c r="F246" s="661"/>
      <c r="G246" s="523"/>
      <c r="H246" s="702"/>
      <c r="I246" s="661"/>
      <c r="J246" s="662"/>
      <c r="K246" s="703"/>
      <c r="L246" s="661"/>
      <c r="M246" s="580"/>
      <c r="N246" s="581"/>
      <c r="O246" s="662"/>
      <c r="P246" s="703"/>
      <c r="Q246" s="661"/>
      <c r="R246" s="662"/>
      <c r="S246" s="581"/>
      <c r="T246" s="647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522" t="s">
        <v>374</v>
      </c>
      <c r="B247" s="509" t="s">
        <v>99</v>
      </c>
      <c r="C247" s="517" t="s">
        <v>102</v>
      </c>
      <c r="D247" s="663">
        <v>0</v>
      </c>
      <c r="E247" s="572">
        <v>0</v>
      </c>
      <c r="F247" s="572">
        <v>0</v>
      </c>
      <c r="G247" s="664"/>
      <c r="H247" s="572"/>
      <c r="I247" s="572"/>
      <c r="J247" s="664">
        <v>0</v>
      </c>
      <c r="K247" s="531">
        <v>0</v>
      </c>
      <c r="L247" s="533">
        <v>0</v>
      </c>
      <c r="M247" s="576">
        <v>0</v>
      </c>
      <c r="N247" s="605">
        <v>0</v>
      </c>
      <c r="O247" s="664">
        <v>0</v>
      </c>
      <c r="P247" s="531">
        <v>0</v>
      </c>
      <c r="Q247" s="533">
        <v>0</v>
      </c>
      <c r="R247" s="576">
        <v>0</v>
      </c>
      <c r="S247" s="556">
        <v>0</v>
      </c>
      <c r="T247" s="647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522" t="s">
        <v>372</v>
      </c>
      <c r="B248" s="509" t="s">
        <v>99</v>
      </c>
      <c r="C248" s="530" t="s">
        <v>87</v>
      </c>
      <c r="D248" s="509"/>
      <c r="E248" s="509"/>
      <c r="F248" s="659" t="e">
        <v>#DIV/0!</v>
      </c>
      <c r="G248" s="530"/>
      <c r="H248" s="509"/>
      <c r="I248" s="659"/>
      <c r="J248" s="530"/>
      <c r="K248" s="509"/>
      <c r="L248" s="659">
        <v>0</v>
      </c>
      <c r="M248" s="547"/>
      <c r="N248" s="548">
        <v>0</v>
      </c>
      <c r="O248" s="530"/>
      <c r="P248" s="509"/>
      <c r="Q248" s="659">
        <v>0</v>
      </c>
      <c r="R248" s="547"/>
      <c r="S248" s="548">
        <v>0</v>
      </c>
      <c r="T248" s="647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522" t="s">
        <v>99</v>
      </c>
      <c r="B249" s="509" t="s">
        <v>99</v>
      </c>
      <c r="C249" s="530"/>
      <c r="D249" s="509"/>
      <c r="E249" s="509"/>
      <c r="F249" s="659"/>
      <c r="G249" s="530"/>
      <c r="H249" s="509"/>
      <c r="I249" s="659"/>
      <c r="J249" s="530"/>
      <c r="K249" s="509"/>
      <c r="L249" s="659"/>
      <c r="M249" s="547"/>
      <c r="N249" s="548"/>
      <c r="O249" s="530"/>
      <c r="P249" s="509"/>
      <c r="Q249" s="659"/>
      <c r="R249" s="547"/>
      <c r="S249" s="548"/>
      <c r="T249" s="647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522" t="s">
        <v>375</v>
      </c>
      <c r="B250" s="509" t="s">
        <v>99</v>
      </c>
      <c r="C250" s="558" t="s">
        <v>96</v>
      </c>
      <c r="D250" s="559"/>
      <c r="E250" s="559">
        <v>30000</v>
      </c>
      <c r="F250" s="561">
        <v>6600</v>
      </c>
      <c r="G250" s="562"/>
      <c r="H250" s="559"/>
      <c r="I250" s="561"/>
      <c r="J250" s="562"/>
      <c r="K250" s="559">
        <v>91566.9</v>
      </c>
      <c r="L250" s="561">
        <v>11617.64</v>
      </c>
      <c r="M250" s="696">
        <v>-9.3124021890006098E-2</v>
      </c>
      <c r="N250" s="561">
        <v>5017.6399999999994</v>
      </c>
      <c r="O250" s="562"/>
      <c r="P250" s="559">
        <v>17792.259999999998</v>
      </c>
      <c r="Q250" s="561">
        <v>3344.9</v>
      </c>
      <c r="R250" s="704">
        <v>-6.1121499444853011E-2</v>
      </c>
      <c r="S250" s="561">
        <v>8272.74</v>
      </c>
      <c r="T250" s="647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522" t="s">
        <v>99</v>
      </c>
      <c r="B251" s="509" t="s">
        <v>99</v>
      </c>
      <c r="C251" s="563"/>
      <c r="D251" s="564"/>
      <c r="E251" s="564"/>
      <c r="F251" s="569">
        <v>0.22</v>
      </c>
      <c r="G251" s="563"/>
      <c r="H251" s="564"/>
      <c r="I251" s="569"/>
      <c r="J251" s="563"/>
      <c r="K251" s="564"/>
      <c r="L251" s="569">
        <v>0.1268759781099939</v>
      </c>
      <c r="M251" s="568"/>
      <c r="N251" s="569">
        <v>0.76024848484848473</v>
      </c>
      <c r="O251" s="563"/>
      <c r="P251" s="564"/>
      <c r="Q251" s="569">
        <v>0.18799747755484691</v>
      </c>
      <c r="R251" s="568"/>
      <c r="S251" s="569">
        <v>2.4732398576938022</v>
      </c>
      <c r="T251" s="647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522" t="s">
        <v>99</v>
      </c>
      <c r="B252" s="509" t="s">
        <v>99</v>
      </c>
      <c r="C252" s="530"/>
      <c r="D252" s="509"/>
      <c r="E252" s="509"/>
      <c r="F252" s="556"/>
      <c r="G252" s="530"/>
      <c r="H252" s="509"/>
      <c r="I252" s="556"/>
      <c r="J252" s="530"/>
      <c r="K252" s="509"/>
      <c r="L252" s="540"/>
      <c r="M252" s="530"/>
      <c r="N252" s="540"/>
      <c r="O252" s="530"/>
      <c r="P252" s="509"/>
      <c r="Q252" s="540"/>
      <c r="R252" s="530"/>
      <c r="S252" s="540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522" t="s">
        <v>376</v>
      </c>
      <c r="B253" s="509" t="s">
        <v>99</v>
      </c>
      <c r="C253" s="573" t="s">
        <v>30</v>
      </c>
      <c r="D253" s="509"/>
      <c r="E253" s="509"/>
      <c r="F253" s="556"/>
      <c r="G253" s="530"/>
      <c r="H253" s="509"/>
      <c r="I253" s="556"/>
      <c r="J253" s="530"/>
      <c r="K253" s="509"/>
      <c r="L253" s="540"/>
      <c r="M253" s="530"/>
      <c r="N253" s="540"/>
      <c r="O253" s="530"/>
      <c r="P253" s="509"/>
      <c r="Q253" s="540"/>
      <c r="R253" s="530"/>
      <c r="S253" s="540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522" t="s">
        <v>377</v>
      </c>
      <c r="B254" s="509" t="s">
        <v>99</v>
      </c>
      <c r="C254" s="599" t="s">
        <v>41</v>
      </c>
      <c r="D254" s="509"/>
      <c r="E254" s="509"/>
      <c r="F254" s="531">
        <v>297.32500000000005</v>
      </c>
      <c r="G254" s="530"/>
      <c r="H254" s="509"/>
      <c r="I254" s="531"/>
      <c r="J254" s="530"/>
      <c r="K254" s="509"/>
      <c r="L254" s="533">
        <v>901.88</v>
      </c>
      <c r="M254" s="530"/>
      <c r="N254" s="556">
        <v>604.55499999999995</v>
      </c>
      <c r="O254" s="530"/>
      <c r="P254" s="509"/>
      <c r="Q254" s="533">
        <v>901.88</v>
      </c>
      <c r="R254" s="530"/>
      <c r="S254" s="533">
        <v>0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522" t="s">
        <v>378</v>
      </c>
      <c r="B255" s="509" t="s">
        <v>99</v>
      </c>
      <c r="C255" s="601" t="s">
        <v>42</v>
      </c>
      <c r="D255" s="583"/>
      <c r="E255" s="509"/>
      <c r="F255" s="525">
        <v>4847.8046153846153</v>
      </c>
      <c r="G255" s="584"/>
      <c r="H255" s="509"/>
      <c r="I255" s="525"/>
      <c r="J255" s="530"/>
      <c r="K255" s="509"/>
      <c r="L255" s="533">
        <v>5436.37</v>
      </c>
      <c r="M255" s="530"/>
      <c r="N255" s="556">
        <v>588.56538461538457</v>
      </c>
      <c r="O255" s="530"/>
      <c r="P255" s="509"/>
      <c r="Q255" s="533">
        <v>4446.97</v>
      </c>
      <c r="R255" s="530"/>
      <c r="S255" s="556">
        <v>989.39999999999964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522" t="s">
        <v>379</v>
      </c>
      <c r="B256" s="509" t="s">
        <v>99</v>
      </c>
      <c r="C256" s="599" t="s">
        <v>43</v>
      </c>
      <c r="D256" s="602"/>
      <c r="E256" s="603"/>
      <c r="F256" s="531">
        <v>17.530769230769231</v>
      </c>
      <c r="G256" s="604"/>
      <c r="H256" s="603"/>
      <c r="I256" s="531"/>
      <c r="J256" s="517"/>
      <c r="K256" s="603"/>
      <c r="L256" s="552">
        <v>0.08</v>
      </c>
      <c r="M256" s="517"/>
      <c r="N256" s="605">
        <v>-17.450769230769232</v>
      </c>
      <c r="O256" s="517"/>
      <c r="P256" s="603"/>
      <c r="Q256" s="552">
        <v>0.08</v>
      </c>
      <c r="R256" s="517"/>
      <c r="S256" s="605">
        <v>0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522" t="s">
        <v>380</v>
      </c>
      <c r="B257" s="509" t="s">
        <v>99</v>
      </c>
      <c r="C257" s="599" t="s">
        <v>44</v>
      </c>
      <c r="D257" s="583"/>
      <c r="E257" s="509"/>
      <c r="F257" s="531">
        <v>0</v>
      </c>
      <c r="G257" s="584"/>
      <c r="H257" s="509"/>
      <c r="I257" s="531"/>
      <c r="J257" s="530"/>
      <c r="K257" s="509"/>
      <c r="L257" s="533">
        <v>0</v>
      </c>
      <c r="M257" s="530"/>
      <c r="N257" s="556">
        <v>0</v>
      </c>
      <c r="O257" s="530"/>
      <c r="P257" s="509"/>
      <c r="Q257" s="533">
        <v>0</v>
      </c>
      <c r="R257" s="530"/>
      <c r="S257" s="556">
        <v>0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522" t="s">
        <v>381</v>
      </c>
      <c r="B258" s="509" t="s">
        <v>99</v>
      </c>
      <c r="C258" s="530" t="s">
        <v>20</v>
      </c>
      <c r="D258" s="583"/>
      <c r="E258" s="509"/>
      <c r="F258" s="531">
        <v>0</v>
      </c>
      <c r="G258" s="584"/>
      <c r="H258" s="509"/>
      <c r="I258" s="531"/>
      <c r="J258" s="530"/>
      <c r="K258" s="509"/>
      <c r="L258" s="533">
        <v>0</v>
      </c>
      <c r="M258" s="530"/>
      <c r="N258" s="556">
        <v>0</v>
      </c>
      <c r="O258" s="530"/>
      <c r="P258" s="509"/>
      <c r="Q258" s="533">
        <v>0</v>
      </c>
      <c r="R258" s="530"/>
      <c r="S258" s="556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522" t="s">
        <v>381</v>
      </c>
      <c r="B259" s="509" t="s">
        <v>99</v>
      </c>
      <c r="C259" s="530" t="s">
        <v>20</v>
      </c>
      <c r="D259" s="583"/>
      <c r="E259" s="509"/>
      <c r="F259" s="531">
        <v>0</v>
      </c>
      <c r="G259" s="584"/>
      <c r="H259" s="509"/>
      <c r="I259" s="531"/>
      <c r="J259" s="530"/>
      <c r="K259" s="509"/>
      <c r="L259" s="533">
        <v>0</v>
      </c>
      <c r="M259" s="530"/>
      <c r="N259" s="556">
        <v>0</v>
      </c>
      <c r="O259" s="530"/>
      <c r="P259" s="509"/>
      <c r="Q259" s="533">
        <v>0</v>
      </c>
      <c r="R259" s="530"/>
      <c r="S259" s="556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522" t="s">
        <v>381</v>
      </c>
      <c r="B260" s="509" t="s">
        <v>99</v>
      </c>
      <c r="C260" s="530" t="s">
        <v>20</v>
      </c>
      <c r="D260" s="583"/>
      <c r="E260" s="509"/>
      <c r="F260" s="531">
        <v>0</v>
      </c>
      <c r="G260" s="584"/>
      <c r="H260" s="509"/>
      <c r="I260" s="531"/>
      <c r="J260" s="530"/>
      <c r="K260" s="509"/>
      <c r="L260" s="533">
        <v>0</v>
      </c>
      <c r="M260" s="530"/>
      <c r="N260" s="556">
        <v>0</v>
      </c>
      <c r="O260" s="530"/>
      <c r="P260" s="509"/>
      <c r="Q260" s="533">
        <v>0</v>
      </c>
      <c r="R260" s="530"/>
      <c r="S260" s="556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522" t="s">
        <v>382</v>
      </c>
      <c r="B261" s="509" t="s">
        <v>99</v>
      </c>
      <c r="C261" s="601" t="s">
        <v>45</v>
      </c>
      <c r="D261" s="583"/>
      <c r="E261" s="509"/>
      <c r="F261" s="525">
        <v>619.8155113461537</v>
      </c>
      <c r="G261" s="584"/>
      <c r="H261" s="509"/>
      <c r="I261" s="525"/>
      <c r="J261" s="530"/>
      <c r="K261" s="509"/>
      <c r="L261" s="533">
        <v>1020.41</v>
      </c>
      <c r="M261" s="530"/>
      <c r="N261" s="556">
        <v>400.59448865384627</v>
      </c>
      <c r="O261" s="530"/>
      <c r="P261" s="509"/>
      <c r="Q261" s="533">
        <v>556.45000000000005</v>
      </c>
      <c r="R261" s="530"/>
      <c r="S261" s="556">
        <v>463.95999999999992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522" t="s">
        <v>383</v>
      </c>
      <c r="B262" s="509" t="s">
        <v>99</v>
      </c>
      <c r="C262" s="599" t="s">
        <v>46</v>
      </c>
      <c r="D262" s="602"/>
      <c r="E262" s="603"/>
      <c r="F262" s="531">
        <v>753.60828692307689</v>
      </c>
      <c r="G262" s="604"/>
      <c r="H262" s="603"/>
      <c r="I262" s="531"/>
      <c r="J262" s="517"/>
      <c r="K262" s="603"/>
      <c r="L262" s="552">
        <v>1612.65</v>
      </c>
      <c r="M262" s="517"/>
      <c r="N262" s="605">
        <v>859.0417130769232</v>
      </c>
      <c r="O262" s="517"/>
      <c r="P262" s="603"/>
      <c r="Q262" s="552">
        <v>1265.0999999999999</v>
      </c>
      <c r="R262" s="517"/>
      <c r="S262" s="605">
        <v>347.55000000000018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522" t="s">
        <v>384</v>
      </c>
      <c r="B263" s="509" t="s">
        <v>99</v>
      </c>
      <c r="C263" s="599" t="s">
        <v>47</v>
      </c>
      <c r="D263" s="583"/>
      <c r="E263" s="509"/>
      <c r="F263" s="531">
        <v>388.27209565384607</v>
      </c>
      <c r="G263" s="584"/>
      <c r="H263" s="509"/>
      <c r="I263" s="531"/>
      <c r="J263" s="530"/>
      <c r="K263" s="509"/>
      <c r="L263" s="533">
        <v>259.08999999999997</v>
      </c>
      <c r="M263" s="530"/>
      <c r="N263" s="556">
        <v>-129.18209565384609</v>
      </c>
      <c r="O263" s="530"/>
      <c r="P263" s="509"/>
      <c r="Q263" s="533">
        <v>341.2</v>
      </c>
      <c r="R263" s="530"/>
      <c r="S263" s="556">
        <v>-82.110000000000014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522" t="s">
        <v>385</v>
      </c>
      <c r="B264" s="509" t="s">
        <v>99</v>
      </c>
      <c r="C264" s="599" t="s">
        <v>48</v>
      </c>
      <c r="D264" s="583"/>
      <c r="E264" s="509"/>
      <c r="F264" s="531">
        <v>169.28881807692304</v>
      </c>
      <c r="G264" s="584"/>
      <c r="H264" s="509"/>
      <c r="I264" s="531"/>
      <c r="J264" s="530"/>
      <c r="K264" s="509"/>
      <c r="L264" s="533">
        <v>179.72</v>
      </c>
      <c r="M264" s="530"/>
      <c r="N264" s="556">
        <v>10.431181923076963</v>
      </c>
      <c r="O264" s="530"/>
      <c r="P264" s="509"/>
      <c r="Q264" s="533">
        <v>439.69</v>
      </c>
      <c r="R264" s="530"/>
      <c r="S264" s="556">
        <v>-259.97000000000003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522" t="s">
        <v>381</v>
      </c>
      <c r="B265" s="509" t="s">
        <v>99</v>
      </c>
      <c r="C265" s="530" t="s">
        <v>20</v>
      </c>
      <c r="D265" s="586"/>
      <c r="E265" s="606"/>
      <c r="F265" s="531">
        <v>0</v>
      </c>
      <c r="G265" s="587"/>
      <c r="H265" s="606"/>
      <c r="I265" s="531"/>
      <c r="J265" s="523"/>
      <c r="K265" s="606"/>
      <c r="L265" s="533">
        <v>0</v>
      </c>
      <c r="M265" s="523"/>
      <c r="N265" s="581">
        <v>0</v>
      </c>
      <c r="O265" s="523"/>
      <c r="P265" s="606"/>
      <c r="Q265" s="533">
        <v>0</v>
      </c>
      <c r="R265" s="523"/>
      <c r="S265" s="581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522" t="s">
        <v>386</v>
      </c>
      <c r="B266" s="509" t="s">
        <v>99</v>
      </c>
      <c r="C266" s="591" t="s">
        <v>49</v>
      </c>
      <c r="D266" s="592" t="s">
        <v>39</v>
      </c>
      <c r="E266" s="593">
        <v>1.0747947116083914</v>
      </c>
      <c r="F266" s="594">
        <v>7093.6450966153834</v>
      </c>
      <c r="G266" s="595"/>
      <c r="H266" s="593"/>
      <c r="I266" s="594"/>
      <c r="J266" s="595" t="s">
        <v>39</v>
      </c>
      <c r="K266" s="593">
        <v>0.80999239088145258</v>
      </c>
      <c r="L266" s="594">
        <v>9410.1999999999989</v>
      </c>
      <c r="M266" s="649"/>
      <c r="N266" s="608">
        <v>2316.5549033846155</v>
      </c>
      <c r="O266" s="595" t="s">
        <v>39</v>
      </c>
      <c r="P266" s="593">
        <v>0</v>
      </c>
      <c r="Q266" s="594">
        <v>7951.369999999999</v>
      </c>
      <c r="R266" s="649"/>
      <c r="S266" s="608">
        <v>1458.83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522" t="s">
        <v>387</v>
      </c>
      <c r="B267" s="509" t="s">
        <v>99</v>
      </c>
      <c r="C267" s="705" t="s">
        <v>50</v>
      </c>
      <c r="D267" s="583"/>
      <c r="E267" s="509"/>
      <c r="F267" s="531">
        <v>48.333333333333336</v>
      </c>
      <c r="G267" s="584"/>
      <c r="H267" s="509"/>
      <c r="I267" s="531"/>
      <c r="J267" s="530"/>
      <c r="K267" s="509"/>
      <c r="L267" s="533">
        <v>42.02</v>
      </c>
      <c r="M267" s="530"/>
      <c r="N267" s="556">
        <v>-6.3133333333333326</v>
      </c>
      <c r="O267" s="530"/>
      <c r="P267" s="509"/>
      <c r="Q267" s="556">
        <v>42.89</v>
      </c>
      <c r="R267" s="530"/>
      <c r="S267" s="556">
        <v>-0.86999999999999744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522" t="s">
        <v>388</v>
      </c>
      <c r="B268" s="509" t="s">
        <v>99</v>
      </c>
      <c r="C268" s="599" t="s">
        <v>51</v>
      </c>
      <c r="D268" s="583"/>
      <c r="E268" s="509"/>
      <c r="F268" s="531">
        <v>561.67798128057109</v>
      </c>
      <c r="G268" s="584"/>
      <c r="H268" s="509"/>
      <c r="I268" s="531"/>
      <c r="J268" s="530"/>
      <c r="K268" s="509"/>
      <c r="L268" s="533">
        <v>59.06</v>
      </c>
      <c r="M268" s="530"/>
      <c r="N268" s="556">
        <v>-502.61798128057109</v>
      </c>
      <c r="O268" s="530"/>
      <c r="P268" s="509"/>
      <c r="Q268" s="556">
        <v>2379.02</v>
      </c>
      <c r="R268" s="530"/>
      <c r="S268" s="556">
        <v>-2319.96</v>
      </c>
      <c r="T268" s="509"/>
      <c r="U268" s="522"/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522" t="s">
        <v>389</v>
      </c>
      <c r="B269" s="509" t="s">
        <v>99</v>
      </c>
      <c r="C269" s="601" t="s">
        <v>52</v>
      </c>
      <c r="D269" s="586"/>
      <c r="E269" s="606"/>
      <c r="F269" s="525">
        <v>124.50360000000001</v>
      </c>
      <c r="G269" s="587"/>
      <c r="H269" s="606"/>
      <c r="I269" s="525"/>
      <c r="J269" s="523"/>
      <c r="K269" s="606"/>
      <c r="L269" s="533">
        <v>169.88</v>
      </c>
      <c r="M269" s="523"/>
      <c r="N269" s="581">
        <v>45.37639999999999</v>
      </c>
      <c r="O269" s="523"/>
      <c r="P269" s="606"/>
      <c r="Q269" s="581">
        <v>164.91</v>
      </c>
      <c r="R269" s="523"/>
      <c r="S269" s="581">
        <v>4.9699999999999989</v>
      </c>
      <c r="T269" s="509"/>
      <c r="U269" s="509" t="s">
        <v>1</v>
      </c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522" t="s">
        <v>390</v>
      </c>
      <c r="B270" s="509" t="s">
        <v>99</v>
      </c>
      <c r="C270" s="599" t="s">
        <v>53</v>
      </c>
      <c r="D270" s="583"/>
      <c r="E270" s="509"/>
      <c r="F270" s="531">
        <v>1450.4268862377776</v>
      </c>
      <c r="G270" s="584"/>
      <c r="H270" s="509"/>
      <c r="I270" s="531"/>
      <c r="J270" s="530"/>
      <c r="K270" s="509"/>
      <c r="L270" s="552">
        <v>1744.84</v>
      </c>
      <c r="M270" s="530"/>
      <c r="N270" s="556">
        <v>294.41311376222234</v>
      </c>
      <c r="O270" s="530"/>
      <c r="P270" s="509"/>
      <c r="Q270" s="556">
        <v>1365.12</v>
      </c>
      <c r="R270" s="530"/>
      <c r="S270" s="556">
        <v>379.72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522" t="s">
        <v>391</v>
      </c>
      <c r="B271" s="509" t="s">
        <v>99</v>
      </c>
      <c r="C271" s="599" t="s">
        <v>54</v>
      </c>
      <c r="D271" s="583"/>
      <c r="E271" s="509"/>
      <c r="F271" s="531">
        <v>214.03823837858201</v>
      </c>
      <c r="G271" s="584"/>
      <c r="H271" s="509"/>
      <c r="I271" s="531"/>
      <c r="J271" s="530"/>
      <c r="K271" s="509"/>
      <c r="L271" s="533">
        <v>329.32</v>
      </c>
      <c r="M271" s="530"/>
      <c r="N271" s="556">
        <v>115.28176162141798</v>
      </c>
      <c r="O271" s="530"/>
      <c r="P271" s="509"/>
      <c r="Q271" s="556">
        <v>244.65</v>
      </c>
      <c r="R271" s="530"/>
      <c r="S271" s="556">
        <v>84.669999999999987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522" t="s">
        <v>392</v>
      </c>
      <c r="B272" s="509" t="s">
        <v>99</v>
      </c>
      <c r="C272" s="599" t="s">
        <v>55</v>
      </c>
      <c r="D272" s="586"/>
      <c r="E272" s="606"/>
      <c r="F272" s="525">
        <v>687.14674435248071</v>
      </c>
      <c r="G272" s="587"/>
      <c r="H272" s="606"/>
      <c r="I272" s="525"/>
      <c r="J272" s="523"/>
      <c r="K272" s="606"/>
      <c r="L272" s="533">
        <v>1418.19</v>
      </c>
      <c r="M272" s="523"/>
      <c r="N272" s="581">
        <v>731.04325564751935</v>
      </c>
      <c r="O272" s="523"/>
      <c r="P272" s="606"/>
      <c r="Q272" s="581">
        <v>667.58</v>
      </c>
      <c r="R272" s="523"/>
      <c r="S272" s="581">
        <v>750.61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522" t="s">
        <v>393</v>
      </c>
      <c r="B273" s="509" t="s">
        <v>99</v>
      </c>
      <c r="C273" s="705" t="s">
        <v>98</v>
      </c>
      <c r="D273" s="583"/>
      <c r="E273" s="509"/>
      <c r="F273" s="531"/>
      <c r="G273" s="584"/>
      <c r="H273" s="509"/>
      <c r="I273" s="531"/>
      <c r="J273" s="530"/>
      <c r="K273" s="509"/>
      <c r="L273" s="552">
        <v>0</v>
      </c>
      <c r="M273" s="530"/>
      <c r="N273" s="556">
        <v>0</v>
      </c>
      <c r="O273" s="530"/>
      <c r="P273" s="509"/>
      <c r="Q273" s="556">
        <v>0</v>
      </c>
      <c r="R273" s="530"/>
      <c r="S273" s="556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522" t="s">
        <v>394</v>
      </c>
      <c r="B274" s="509" t="s">
        <v>99</v>
      </c>
      <c r="C274" s="599" t="s">
        <v>56</v>
      </c>
      <c r="D274" s="583"/>
      <c r="E274" s="509"/>
      <c r="F274" s="531">
        <v>45.951533333333337</v>
      </c>
      <c r="G274" s="584"/>
      <c r="H274" s="509"/>
      <c r="I274" s="531"/>
      <c r="J274" s="530"/>
      <c r="K274" s="509"/>
      <c r="L274" s="533">
        <v>0</v>
      </c>
      <c r="M274" s="530"/>
      <c r="N274" s="556">
        <v>-45.951533333333337</v>
      </c>
      <c r="O274" s="530"/>
      <c r="P274" s="509"/>
      <c r="Q274" s="556">
        <v>12.79</v>
      </c>
      <c r="R274" s="530"/>
      <c r="S274" s="556">
        <v>-12.79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522" t="s">
        <v>395</v>
      </c>
      <c r="B275" s="509" t="s">
        <v>99</v>
      </c>
      <c r="C275" s="599" t="s">
        <v>57</v>
      </c>
      <c r="D275" s="583"/>
      <c r="E275" s="509"/>
      <c r="F275" s="531">
        <v>28.333333333333332</v>
      </c>
      <c r="G275" s="584"/>
      <c r="H275" s="509"/>
      <c r="I275" s="531"/>
      <c r="J275" s="530"/>
      <c r="K275" s="509"/>
      <c r="L275" s="533">
        <v>0</v>
      </c>
      <c r="M275" s="530"/>
      <c r="N275" s="556">
        <v>-28.333333333333332</v>
      </c>
      <c r="O275" s="530"/>
      <c r="P275" s="509"/>
      <c r="Q275" s="556">
        <v>0</v>
      </c>
      <c r="R275" s="530"/>
      <c r="S275" s="556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522" t="s">
        <v>396</v>
      </c>
      <c r="B276" s="509" t="s">
        <v>99</v>
      </c>
      <c r="C276" s="599" t="s">
        <v>58</v>
      </c>
      <c r="D276" s="583"/>
      <c r="E276" s="509"/>
      <c r="F276" s="531">
        <v>146.23689705261995</v>
      </c>
      <c r="G276" s="584"/>
      <c r="H276" s="509"/>
      <c r="I276" s="531"/>
      <c r="J276" s="530"/>
      <c r="K276" s="509"/>
      <c r="L276" s="533">
        <v>57.76</v>
      </c>
      <c r="M276" s="530"/>
      <c r="N276" s="556">
        <v>-88.476897052619961</v>
      </c>
      <c r="O276" s="530"/>
      <c r="P276" s="509"/>
      <c r="Q276" s="556">
        <v>90.15</v>
      </c>
      <c r="R276" s="530"/>
      <c r="S276" s="556">
        <v>-32.390000000000008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522" t="s">
        <v>397</v>
      </c>
      <c r="B277" s="509" t="s">
        <v>99</v>
      </c>
      <c r="C277" s="599" t="s">
        <v>59</v>
      </c>
      <c r="D277" s="583"/>
      <c r="E277" s="509"/>
      <c r="F277" s="531">
        <v>32.368975325808613</v>
      </c>
      <c r="G277" s="584"/>
      <c r="H277" s="509"/>
      <c r="I277" s="531"/>
      <c r="J277" s="530"/>
      <c r="K277" s="509"/>
      <c r="L277" s="533">
        <v>26.28</v>
      </c>
      <c r="M277" s="530"/>
      <c r="N277" s="556">
        <v>-6.0889753258086117</v>
      </c>
      <c r="O277" s="530"/>
      <c r="P277" s="509"/>
      <c r="Q277" s="556">
        <v>25.75</v>
      </c>
      <c r="R277" s="530"/>
      <c r="S277" s="556">
        <v>0.53000000000000114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522" t="s">
        <v>398</v>
      </c>
      <c r="B278" s="509" t="s">
        <v>99</v>
      </c>
      <c r="C278" s="599" t="s">
        <v>60</v>
      </c>
      <c r="D278" s="583"/>
      <c r="E278" s="509"/>
      <c r="F278" s="531">
        <v>22.492098830591392</v>
      </c>
      <c r="G278" s="584"/>
      <c r="H278" s="509"/>
      <c r="I278" s="531"/>
      <c r="J278" s="530"/>
      <c r="K278" s="509"/>
      <c r="L278" s="533">
        <v>29.56</v>
      </c>
      <c r="M278" s="530"/>
      <c r="N278" s="556">
        <v>7.0679011694086071</v>
      </c>
      <c r="O278" s="530"/>
      <c r="P278" s="509"/>
      <c r="Q278" s="556">
        <v>7.21</v>
      </c>
      <c r="R278" s="530"/>
      <c r="S278" s="556">
        <v>22.349999999999998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522" t="s">
        <v>399</v>
      </c>
      <c r="B279" s="509" t="s">
        <v>99</v>
      </c>
      <c r="C279" s="599" t="s">
        <v>61</v>
      </c>
      <c r="D279" s="583"/>
      <c r="E279" s="509"/>
      <c r="F279" s="531">
        <v>102.90506750548639</v>
      </c>
      <c r="G279" s="584"/>
      <c r="H279" s="509"/>
      <c r="I279" s="531"/>
      <c r="J279" s="530"/>
      <c r="K279" s="509"/>
      <c r="L279" s="533">
        <v>160.9</v>
      </c>
      <c r="M279" s="530"/>
      <c r="N279" s="556">
        <v>57.99493249451362</v>
      </c>
      <c r="O279" s="530"/>
      <c r="P279" s="509"/>
      <c r="Q279" s="556">
        <v>20.93</v>
      </c>
      <c r="R279" s="530"/>
      <c r="S279" s="556">
        <v>139.97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522" t="s">
        <v>400</v>
      </c>
      <c r="B280" s="509" t="s">
        <v>99</v>
      </c>
      <c r="C280" s="599" t="s">
        <v>62</v>
      </c>
      <c r="D280" s="583"/>
      <c r="E280" s="509"/>
      <c r="F280" s="531">
        <v>175.49870178698256</v>
      </c>
      <c r="G280" s="584"/>
      <c r="H280" s="509"/>
      <c r="I280" s="531"/>
      <c r="J280" s="530"/>
      <c r="K280" s="509"/>
      <c r="L280" s="533">
        <v>22.33</v>
      </c>
      <c r="M280" s="530"/>
      <c r="N280" s="556">
        <v>-153.16870178698258</v>
      </c>
      <c r="O280" s="530"/>
      <c r="P280" s="509"/>
      <c r="Q280" s="556">
        <v>22.33</v>
      </c>
      <c r="R280" s="530"/>
      <c r="S280" s="556">
        <v>0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522" t="s">
        <v>401</v>
      </c>
      <c r="B281" s="509" t="s">
        <v>99</v>
      </c>
      <c r="C281" s="599" t="s">
        <v>63</v>
      </c>
      <c r="D281" s="583"/>
      <c r="E281" s="509"/>
      <c r="F281" s="531">
        <v>173.33030254320019</v>
      </c>
      <c r="G281" s="584"/>
      <c r="H281" s="509"/>
      <c r="I281" s="531"/>
      <c r="J281" s="530"/>
      <c r="K281" s="509"/>
      <c r="L281" s="533">
        <v>221.47</v>
      </c>
      <c r="M281" s="530"/>
      <c r="N281" s="556">
        <v>48.139697456799809</v>
      </c>
      <c r="O281" s="530"/>
      <c r="P281" s="509"/>
      <c r="Q281" s="556">
        <v>229.91</v>
      </c>
      <c r="R281" s="530"/>
      <c r="S281" s="556">
        <v>-8.4399999999999977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522" t="s">
        <v>381</v>
      </c>
      <c r="B282" s="509" t="s">
        <v>99</v>
      </c>
      <c r="C282" s="599" t="s">
        <v>20</v>
      </c>
      <c r="D282" s="583"/>
      <c r="E282" s="509"/>
      <c r="F282" s="531">
        <v>0</v>
      </c>
      <c r="G282" s="584"/>
      <c r="H282" s="509"/>
      <c r="I282" s="531"/>
      <c r="J282" s="530"/>
      <c r="K282" s="509"/>
      <c r="L282" s="533">
        <v>0</v>
      </c>
      <c r="M282" s="530"/>
      <c r="N282" s="556">
        <v>0</v>
      </c>
      <c r="O282" s="530"/>
      <c r="P282" s="509"/>
      <c r="Q282" s="533">
        <v>0</v>
      </c>
      <c r="R282" s="530"/>
      <c r="S282" s="556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522" t="s">
        <v>381</v>
      </c>
      <c r="B283" s="509" t="s">
        <v>99</v>
      </c>
      <c r="C283" s="599" t="s">
        <v>20</v>
      </c>
      <c r="D283" s="583"/>
      <c r="E283" s="509"/>
      <c r="F283" s="531">
        <v>0</v>
      </c>
      <c r="G283" s="584"/>
      <c r="H283" s="509"/>
      <c r="I283" s="531"/>
      <c r="J283" s="530"/>
      <c r="K283" s="509"/>
      <c r="L283" s="533">
        <v>0</v>
      </c>
      <c r="M283" s="530"/>
      <c r="N283" s="556">
        <v>0</v>
      </c>
      <c r="O283" s="530"/>
      <c r="P283" s="509"/>
      <c r="Q283" s="533">
        <v>0</v>
      </c>
      <c r="R283" s="530"/>
      <c r="S283" s="556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522" t="s">
        <v>381</v>
      </c>
      <c r="B284" s="509" t="s">
        <v>99</v>
      </c>
      <c r="C284" s="599" t="s">
        <v>20</v>
      </c>
      <c r="D284" s="583"/>
      <c r="E284" s="509"/>
      <c r="F284" s="531">
        <v>0</v>
      </c>
      <c r="G284" s="584"/>
      <c r="H284" s="509"/>
      <c r="I284" s="531"/>
      <c r="J284" s="530"/>
      <c r="K284" s="509"/>
      <c r="L284" s="533">
        <v>0</v>
      </c>
      <c r="M284" s="530"/>
      <c r="N284" s="556">
        <v>0</v>
      </c>
      <c r="O284" s="530"/>
      <c r="P284" s="509"/>
      <c r="Q284" s="533">
        <v>0</v>
      </c>
      <c r="R284" s="530"/>
      <c r="S284" s="556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91" t="s">
        <v>64</v>
      </c>
      <c r="D285" s="592" t="s">
        <v>39</v>
      </c>
      <c r="E285" s="593" t="e">
        <v>#DIV/0!</v>
      </c>
      <c r="F285" s="594">
        <v>3813.2436932941005</v>
      </c>
      <c r="G285" s="595"/>
      <c r="H285" s="593"/>
      <c r="I285" s="594"/>
      <c r="J285" s="595" t="s">
        <v>39</v>
      </c>
      <c r="K285" s="593">
        <v>0.36854386949500939</v>
      </c>
      <c r="L285" s="594">
        <v>4281.6100000000006</v>
      </c>
      <c r="M285" s="598"/>
      <c r="N285" s="594">
        <v>468.36630670589938</v>
      </c>
      <c r="O285" s="595" t="s">
        <v>39</v>
      </c>
      <c r="P285" s="593">
        <v>0</v>
      </c>
      <c r="Q285" s="594">
        <v>5273.2399999999989</v>
      </c>
      <c r="R285" s="598"/>
      <c r="S285" s="594">
        <v>-991.62999999999829</v>
      </c>
      <c r="T285" s="570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3"/>
      <c r="D286" s="586"/>
      <c r="E286" s="606"/>
      <c r="F286" s="556"/>
      <c r="G286" s="587"/>
      <c r="H286" s="606"/>
      <c r="I286" s="556"/>
      <c r="J286" s="523"/>
      <c r="K286" s="606"/>
      <c r="L286" s="581"/>
      <c r="M286" s="523"/>
      <c r="N286" s="581"/>
      <c r="O286" s="523"/>
      <c r="P286" s="606"/>
      <c r="Q286" s="581"/>
      <c r="R286" s="523"/>
      <c r="S286" s="581"/>
      <c r="T286" s="570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91" t="s">
        <v>65</v>
      </c>
      <c r="D287" s="592" t="s">
        <v>39</v>
      </c>
      <c r="E287" s="593" t="e">
        <v>#DIV/0!</v>
      </c>
      <c r="F287" s="594">
        <v>10906.888789909484</v>
      </c>
      <c r="G287" s="595"/>
      <c r="H287" s="593"/>
      <c r="I287" s="594"/>
      <c r="J287" s="595" t="s">
        <v>39</v>
      </c>
      <c r="K287" s="593">
        <v>1.178536260376462</v>
      </c>
      <c r="L287" s="594">
        <v>13691.81</v>
      </c>
      <c r="M287" s="598"/>
      <c r="N287" s="608">
        <v>2784.9212100905152</v>
      </c>
      <c r="O287" s="595" t="s">
        <v>39</v>
      </c>
      <c r="P287" s="593">
        <v>0</v>
      </c>
      <c r="Q287" s="594">
        <v>13224.609999999997</v>
      </c>
      <c r="R287" s="598"/>
      <c r="S287" s="608">
        <v>467.20000000000255</v>
      </c>
      <c r="T287" s="570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30"/>
      <c r="D288" s="583"/>
      <c r="E288" s="509"/>
      <c r="F288" s="556"/>
      <c r="G288" s="584"/>
      <c r="H288" s="509"/>
      <c r="I288" s="556"/>
      <c r="J288" s="530"/>
      <c r="K288" s="509"/>
      <c r="L288" s="556"/>
      <c r="M288" s="530"/>
      <c r="N288" s="556">
        <v>0</v>
      </c>
      <c r="O288" s="530"/>
      <c r="P288" s="509"/>
      <c r="Q288" s="556"/>
      <c r="R288" s="530"/>
      <c r="S288" s="556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3" t="s">
        <v>72</v>
      </c>
      <c r="D289" s="654"/>
      <c r="E289" s="624"/>
      <c r="F289" s="626">
        <v>-4306.8887899094843</v>
      </c>
      <c r="G289" s="655"/>
      <c r="H289" s="624"/>
      <c r="I289" s="626"/>
      <c r="J289" s="623"/>
      <c r="K289" s="625"/>
      <c r="L289" s="626">
        <v>-2074.17</v>
      </c>
      <c r="M289" s="623"/>
      <c r="N289" s="626">
        <v>2232.7187899094843</v>
      </c>
      <c r="O289" s="623"/>
      <c r="P289" s="628">
        <v>-0.55528134143723162</v>
      </c>
      <c r="Q289" s="626">
        <v>-9879.7099999999973</v>
      </c>
      <c r="R289" s="623"/>
      <c r="S289" s="626">
        <v>7805.5399999999972</v>
      </c>
      <c r="T289" s="570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2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3" t="s">
        <v>478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4" t="s">
        <v>482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220</v>
      </c>
      <c r="N293" s="513"/>
      <c r="O293" s="511" t="s">
        <v>8</v>
      </c>
      <c r="P293" s="512"/>
      <c r="Q293" s="513"/>
      <c r="R293" s="514" t="s">
        <v>221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522" t="s">
        <v>103</v>
      </c>
      <c r="B294" s="509" t="s">
        <v>103</v>
      </c>
      <c r="C294" s="530"/>
      <c r="D294" s="574" t="s">
        <v>84</v>
      </c>
      <c r="E294" s="574" t="s">
        <v>104</v>
      </c>
      <c r="F294" s="657" t="s">
        <v>12</v>
      </c>
      <c r="G294" s="658"/>
      <c r="H294" s="574"/>
      <c r="I294" s="657"/>
      <c r="J294" s="658" t="s">
        <v>84</v>
      </c>
      <c r="K294" s="574" t="s">
        <v>104</v>
      </c>
      <c r="L294" s="657" t="s">
        <v>12</v>
      </c>
      <c r="M294" s="658" t="s">
        <v>40</v>
      </c>
      <c r="N294" s="657" t="s">
        <v>223</v>
      </c>
      <c r="O294" s="574" t="s">
        <v>84</v>
      </c>
      <c r="P294" s="574" t="s">
        <v>104</v>
      </c>
      <c r="Q294" s="657" t="s">
        <v>12</v>
      </c>
      <c r="R294" s="658" t="s">
        <v>85</v>
      </c>
      <c r="S294" s="657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522" t="s">
        <v>402</v>
      </c>
      <c r="B295" s="509" t="s">
        <v>103</v>
      </c>
      <c r="C295" s="530" t="s">
        <v>105</v>
      </c>
      <c r="D295" s="572">
        <v>86891.933399999994</v>
      </c>
      <c r="E295" s="647">
        <v>0.35699999999999998</v>
      </c>
      <c r="F295" s="556">
        <v>31020.420223799996</v>
      </c>
      <c r="G295" s="572"/>
      <c r="H295" s="647"/>
      <c r="I295" s="556"/>
      <c r="J295" s="572">
        <v>76360.63</v>
      </c>
      <c r="K295" s="647">
        <v>0.36718672960136667</v>
      </c>
      <c r="L295" s="556">
        <v>28038.610000000008</v>
      </c>
      <c r="M295" s="576">
        <v>-0.12120001233624283</v>
      </c>
      <c r="N295" s="556">
        <v>-2981.8102237999883</v>
      </c>
      <c r="O295" s="531">
        <v>72850.429999999993</v>
      </c>
      <c r="P295" s="647">
        <v>0.30179382606252292</v>
      </c>
      <c r="Q295" s="556">
        <v>21985.81</v>
      </c>
      <c r="R295" s="576">
        <v>4.8183655195995573E-2</v>
      </c>
      <c r="S295" s="556">
        <v>6052.8000000000065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522" t="s">
        <v>403</v>
      </c>
      <c r="B296" s="509" t="s">
        <v>103</v>
      </c>
      <c r="C296" s="530" t="s">
        <v>106</v>
      </c>
      <c r="D296" s="572">
        <v>18000</v>
      </c>
      <c r="E296" s="647">
        <v>0.248</v>
      </c>
      <c r="F296" s="556">
        <v>4464</v>
      </c>
      <c r="G296" s="572"/>
      <c r="H296" s="647"/>
      <c r="I296" s="556"/>
      <c r="J296" s="572">
        <v>61512.25</v>
      </c>
      <c r="K296" s="647">
        <v>0.2327794870127495</v>
      </c>
      <c r="L296" s="556">
        <v>14318.79</v>
      </c>
      <c r="M296" s="576">
        <v>2.4173472222222223</v>
      </c>
      <c r="N296" s="556">
        <v>9854.7900000000009</v>
      </c>
      <c r="O296" s="531">
        <v>7516.38</v>
      </c>
      <c r="P296" s="647">
        <v>0.26208627025243403</v>
      </c>
      <c r="Q296" s="556">
        <v>1969.9399999999901</v>
      </c>
      <c r="R296" s="576">
        <v>7.1837600014900795</v>
      </c>
      <c r="S296" s="556">
        <v>12348.850000000011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522" t="s">
        <v>404</v>
      </c>
      <c r="B297" s="509" t="s">
        <v>103</v>
      </c>
      <c r="C297" s="530" t="s">
        <v>107</v>
      </c>
      <c r="D297" s="572">
        <v>32935.717499999999</v>
      </c>
      <c r="E297" s="647">
        <v>0.23699999999999999</v>
      </c>
      <c r="F297" s="556">
        <v>7805.7650474999991</v>
      </c>
      <c r="G297" s="572"/>
      <c r="H297" s="647"/>
      <c r="I297" s="556"/>
      <c r="J297" s="572">
        <v>106389.67</v>
      </c>
      <c r="K297" s="647">
        <v>0.23406877754203018</v>
      </c>
      <c r="L297" s="556">
        <v>24902.5</v>
      </c>
      <c r="M297" s="576">
        <v>2.2302217190197844</v>
      </c>
      <c r="N297" s="556">
        <v>17096.734952500003</v>
      </c>
      <c r="O297" s="531">
        <v>50223.29</v>
      </c>
      <c r="P297" s="647">
        <v>0.23568766602108304</v>
      </c>
      <c r="Q297" s="556">
        <v>11837.01</v>
      </c>
      <c r="R297" s="576">
        <v>1.1183333469392387</v>
      </c>
      <c r="S297" s="556">
        <v>13065.49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522" t="s">
        <v>405</v>
      </c>
      <c r="B298" s="509" t="s">
        <v>103</v>
      </c>
      <c r="C298" s="530" t="s">
        <v>108</v>
      </c>
      <c r="D298" s="572">
        <v>50827.161</v>
      </c>
      <c r="E298" s="647">
        <v>0.29399999999999998</v>
      </c>
      <c r="F298" s="556">
        <v>14943.185334</v>
      </c>
      <c r="G298" s="572"/>
      <c r="H298" s="647"/>
      <c r="I298" s="556"/>
      <c r="J298" s="572">
        <v>66519.83</v>
      </c>
      <c r="K298" s="647">
        <v>0.30015876468716174</v>
      </c>
      <c r="L298" s="556">
        <v>19966.510000000002</v>
      </c>
      <c r="M298" s="576">
        <v>0.30874573144071538</v>
      </c>
      <c r="N298" s="556">
        <v>5023.3246660000023</v>
      </c>
      <c r="O298" s="531">
        <v>52437.25</v>
      </c>
      <c r="P298" s="647">
        <v>0.274711965253708</v>
      </c>
      <c r="Q298" s="556">
        <v>14405.14</v>
      </c>
      <c r="R298" s="576">
        <v>0.26856061292306521</v>
      </c>
      <c r="S298" s="556">
        <v>5561.3700000000026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522" t="s">
        <v>406</v>
      </c>
      <c r="B299" s="509" t="s">
        <v>103</v>
      </c>
      <c r="C299" s="530" t="s">
        <v>109</v>
      </c>
      <c r="D299" s="572">
        <v>13552.784</v>
      </c>
      <c r="E299" s="647">
        <v>0.27700000000000002</v>
      </c>
      <c r="F299" s="556">
        <v>3754.1211680000001</v>
      </c>
      <c r="G299" s="572"/>
      <c r="H299" s="647"/>
      <c r="I299" s="556"/>
      <c r="J299" s="572">
        <v>12581.38</v>
      </c>
      <c r="K299" s="647">
        <v>0.30812279734019632</v>
      </c>
      <c r="L299" s="556">
        <v>3876.6099999999988</v>
      </c>
      <c r="M299" s="576">
        <v>-7.1675605543480986E-2</v>
      </c>
      <c r="N299" s="556">
        <v>122.48883199999864</v>
      </c>
      <c r="O299" s="531">
        <v>16991.91</v>
      </c>
      <c r="P299" s="647">
        <v>0.26246607944604167</v>
      </c>
      <c r="Q299" s="556">
        <v>4459.7999999999902</v>
      </c>
      <c r="R299" s="576">
        <v>-0.25956646427623503</v>
      </c>
      <c r="S299" s="556">
        <v>-583.18999999999141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522" t="s">
        <v>407</v>
      </c>
      <c r="B300" s="509" t="s">
        <v>103</v>
      </c>
      <c r="C300" s="530" t="s">
        <v>110</v>
      </c>
      <c r="D300" s="572">
        <v>179817.03</v>
      </c>
      <c r="E300" s="647">
        <v>0.13500000000000001</v>
      </c>
      <c r="F300" s="556">
        <v>24275.299050000001</v>
      </c>
      <c r="G300" s="572"/>
      <c r="H300" s="647"/>
      <c r="I300" s="556"/>
      <c r="J300" s="572">
        <v>171379.48</v>
      </c>
      <c r="K300" s="647">
        <v>0.15035714894221891</v>
      </c>
      <c r="L300" s="556">
        <v>25768.130000000026</v>
      </c>
      <c r="M300" s="576">
        <v>-4.6922974981846763E-2</v>
      </c>
      <c r="N300" s="556">
        <v>1492.830950000025</v>
      </c>
      <c r="O300" s="531">
        <v>169183.24</v>
      </c>
      <c r="P300" s="647">
        <v>0.11761141351826578</v>
      </c>
      <c r="Q300" s="556">
        <v>19897.88</v>
      </c>
      <c r="R300" s="576">
        <v>1.2981427711161104E-2</v>
      </c>
      <c r="S300" s="556">
        <v>5870.2500000000255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522" t="s">
        <v>408</v>
      </c>
      <c r="B301" s="509" t="s">
        <v>103</v>
      </c>
      <c r="C301" s="530" t="s">
        <v>20</v>
      </c>
      <c r="D301" s="572">
        <v>0</v>
      </c>
      <c r="E301" s="647">
        <v>0</v>
      </c>
      <c r="F301" s="556">
        <v>0</v>
      </c>
      <c r="G301" s="572"/>
      <c r="H301" s="647"/>
      <c r="I301" s="556"/>
      <c r="J301" s="572">
        <v>0</v>
      </c>
      <c r="K301" s="647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7">
        <v>0</v>
      </c>
      <c r="Q301" s="556">
        <v>0</v>
      </c>
      <c r="R301" s="576">
        <v>0</v>
      </c>
      <c r="S301" s="556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522" t="s">
        <v>409</v>
      </c>
      <c r="B302" s="509" t="s">
        <v>103</v>
      </c>
      <c r="C302" s="530" t="s">
        <v>111</v>
      </c>
      <c r="D302" s="572">
        <v>0</v>
      </c>
      <c r="E302" s="647">
        <v>0</v>
      </c>
      <c r="F302" s="556">
        <v>9794.4097311513451</v>
      </c>
      <c r="G302" s="572"/>
      <c r="H302" s="647"/>
      <c r="I302" s="556"/>
      <c r="J302" s="572">
        <v>0</v>
      </c>
      <c r="K302" s="647">
        <v>0</v>
      </c>
      <c r="L302" s="556">
        <v>33189.74</v>
      </c>
      <c r="M302" s="576"/>
      <c r="N302" s="556">
        <v>23395.330268848651</v>
      </c>
      <c r="O302" s="531">
        <v>0</v>
      </c>
      <c r="P302" s="647">
        <v>0</v>
      </c>
      <c r="Q302" s="556">
        <v>11210.039999999901</v>
      </c>
      <c r="R302" s="576">
        <v>0</v>
      </c>
      <c r="S302" s="556">
        <v>21979.700000000099</v>
      </c>
      <c r="T302" s="509"/>
      <c r="U302" s="572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522" t="s">
        <v>410</v>
      </c>
      <c r="B303" s="509" t="s">
        <v>103</v>
      </c>
      <c r="C303" s="523" t="s">
        <v>112</v>
      </c>
      <c r="D303" s="572">
        <v>0</v>
      </c>
      <c r="E303" s="647">
        <v>0</v>
      </c>
      <c r="F303" s="556">
        <v>0</v>
      </c>
      <c r="G303" s="572"/>
      <c r="H303" s="647"/>
      <c r="I303" s="556"/>
      <c r="J303" s="572">
        <v>0</v>
      </c>
      <c r="K303" s="647">
        <v>0</v>
      </c>
      <c r="L303" s="556">
        <v>0</v>
      </c>
      <c r="M303" s="576"/>
      <c r="N303" s="556">
        <v>0</v>
      </c>
      <c r="O303" s="531">
        <v>0</v>
      </c>
      <c r="P303" s="647">
        <v>0</v>
      </c>
      <c r="Q303" s="556">
        <v>0</v>
      </c>
      <c r="R303" s="576">
        <v>0</v>
      </c>
      <c r="S303" s="556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522" t="s">
        <v>411</v>
      </c>
      <c r="B304" s="509" t="s">
        <v>103</v>
      </c>
      <c r="C304" s="549" t="s">
        <v>113</v>
      </c>
      <c r="D304" s="687">
        <v>382024.62589999998</v>
      </c>
      <c r="E304" s="706">
        <v>0.25144243078087741</v>
      </c>
      <c r="F304" s="689">
        <v>96057.200554451338</v>
      </c>
      <c r="G304" s="687"/>
      <c r="H304" s="706"/>
      <c r="I304" s="689"/>
      <c r="J304" s="687">
        <v>494743.24</v>
      </c>
      <c r="K304" s="706">
        <v>0.30331064250620182</v>
      </c>
      <c r="L304" s="689">
        <v>150060.89000000001</v>
      </c>
      <c r="M304" s="707">
        <v>0.29505588503476632</v>
      </c>
      <c r="N304" s="689">
        <v>54003.689445548676</v>
      </c>
      <c r="O304" s="687">
        <v>369202.5</v>
      </c>
      <c r="P304" s="706">
        <v>0.23229967294370946</v>
      </c>
      <c r="Q304" s="689">
        <v>85765.619999999893</v>
      </c>
      <c r="R304" s="707">
        <v>0.34003220454899408</v>
      </c>
      <c r="S304" s="689">
        <v>64295.27000000012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522" t="s">
        <v>103</v>
      </c>
      <c r="B305" s="509" t="s">
        <v>103</v>
      </c>
      <c r="C305" s="530"/>
      <c r="D305" s="509"/>
      <c r="E305" s="509"/>
      <c r="F305" s="540"/>
      <c r="G305" s="530"/>
      <c r="H305" s="509"/>
      <c r="I305" s="540"/>
      <c r="J305" s="530"/>
      <c r="K305" s="509"/>
      <c r="L305" s="540"/>
      <c r="M305" s="530"/>
      <c r="N305" s="548">
        <v>0.56220344892245688</v>
      </c>
      <c r="O305" s="530"/>
      <c r="P305" s="509"/>
      <c r="Q305" s="540"/>
      <c r="R305" s="530"/>
      <c r="S305" s="548">
        <v>0.74966251045582366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522" t="s">
        <v>103</v>
      </c>
      <c r="B306" s="509" t="s">
        <v>103</v>
      </c>
      <c r="C306" s="523"/>
      <c r="D306" s="606"/>
      <c r="E306" s="606"/>
      <c r="F306" s="708"/>
      <c r="G306" s="523"/>
      <c r="H306" s="606"/>
      <c r="I306" s="708"/>
      <c r="J306" s="523"/>
      <c r="K306" s="606"/>
      <c r="L306" s="708"/>
      <c r="M306" s="523"/>
      <c r="N306" s="667"/>
      <c r="O306" s="523"/>
      <c r="P306" s="606"/>
      <c r="Q306" s="708"/>
      <c r="R306" s="523"/>
      <c r="S306" s="667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522" t="s">
        <v>412</v>
      </c>
      <c r="B307" s="509" t="s">
        <v>103</v>
      </c>
      <c r="C307" s="530" t="s">
        <v>114</v>
      </c>
      <c r="D307" s="572">
        <v>57537.100000000006</v>
      </c>
      <c r="E307" s="647">
        <v>0.17100000000000001</v>
      </c>
      <c r="F307" s="605">
        <v>9838.8441000000021</v>
      </c>
      <c r="G307" s="572"/>
      <c r="H307" s="647"/>
      <c r="I307" s="605"/>
      <c r="J307" s="531">
        <v>76834.720000000001</v>
      </c>
      <c r="K307" s="647">
        <v>0.18820449921597945</v>
      </c>
      <c r="L307" s="605">
        <v>14460.640000000001</v>
      </c>
      <c r="M307" s="576">
        <v>0.33539438032156632</v>
      </c>
      <c r="N307" s="556">
        <v>4621.7958999999992</v>
      </c>
      <c r="O307" s="531">
        <v>57268.47</v>
      </c>
      <c r="P307" s="647">
        <v>0.19031798824030044</v>
      </c>
      <c r="Q307" s="605">
        <v>10899.22</v>
      </c>
      <c r="R307" s="576">
        <v>0.34165833311069771</v>
      </c>
      <c r="S307" s="556">
        <v>3561.4200000000019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522" t="s">
        <v>413</v>
      </c>
      <c r="B308" s="509" t="s">
        <v>103</v>
      </c>
      <c r="C308" s="523" t="s">
        <v>115</v>
      </c>
      <c r="D308" s="572">
        <v>23060.492462605547</v>
      </c>
      <c r="E308" s="647">
        <v>0.25600000000000001</v>
      </c>
      <c r="F308" s="581">
        <v>5903.4860704270204</v>
      </c>
      <c r="G308" s="572"/>
      <c r="H308" s="647"/>
      <c r="I308" s="581"/>
      <c r="J308" s="531">
        <v>16483.2</v>
      </c>
      <c r="K308" s="647">
        <v>0.28606156571539509</v>
      </c>
      <c r="L308" s="581">
        <v>4715.2100000000009</v>
      </c>
      <c r="M308" s="576">
        <v>-0.28521908078377589</v>
      </c>
      <c r="N308" s="556">
        <v>-1188.2760704270195</v>
      </c>
      <c r="O308" s="531">
        <v>18305.580000000002</v>
      </c>
      <c r="P308" s="647">
        <v>0.26086963647150208</v>
      </c>
      <c r="Q308" s="581">
        <v>4775.37</v>
      </c>
      <c r="R308" s="576">
        <v>-9.955325097593197E-2</v>
      </c>
      <c r="S308" s="556">
        <v>-60.159999999998945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522" t="s">
        <v>414</v>
      </c>
      <c r="B309" s="509" t="s">
        <v>103</v>
      </c>
      <c r="C309" s="549" t="s">
        <v>116</v>
      </c>
      <c r="D309" s="687">
        <v>462622.21836260549</v>
      </c>
      <c r="E309" s="706">
        <v>0.24166485371277469</v>
      </c>
      <c r="F309" s="689">
        <v>111799.53072487836</v>
      </c>
      <c r="G309" s="690"/>
      <c r="H309" s="706"/>
      <c r="I309" s="689"/>
      <c r="J309" s="690">
        <v>588061.15999999992</v>
      </c>
      <c r="K309" s="706">
        <v>0.28778765120281036</v>
      </c>
      <c r="L309" s="689">
        <v>169236.74000000002</v>
      </c>
      <c r="M309" s="707">
        <v>0.27114768089040375</v>
      </c>
      <c r="N309" s="689">
        <v>57437.209275121655</v>
      </c>
      <c r="O309" s="690">
        <v>444776.55</v>
      </c>
      <c r="P309" s="706">
        <v>0.22807005000600838</v>
      </c>
      <c r="Q309" s="689">
        <v>101440.20999999989</v>
      </c>
      <c r="R309" s="707">
        <v>0.32214965020075798</v>
      </c>
      <c r="S309" s="689">
        <v>67796.53000000013</v>
      </c>
      <c r="T309" s="509"/>
      <c r="U309" s="572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522" t="s">
        <v>103</v>
      </c>
      <c r="B310" s="509" t="s">
        <v>103</v>
      </c>
      <c r="C310" s="530"/>
      <c r="D310" s="509"/>
      <c r="E310" s="509"/>
      <c r="F310" s="540"/>
      <c r="G310" s="530"/>
      <c r="H310" s="509"/>
      <c r="I310" s="540"/>
      <c r="J310" s="530"/>
      <c r="K310" s="509"/>
      <c r="L310" s="540"/>
      <c r="M310" s="530"/>
      <c r="N310" s="548">
        <v>0.5137517921829734</v>
      </c>
      <c r="O310" s="530"/>
      <c r="P310" s="509"/>
      <c r="Q310" s="540"/>
      <c r="R310" s="530"/>
      <c r="S310" s="548">
        <v>0.66833980331862686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522" t="s">
        <v>103</v>
      </c>
      <c r="B311" s="509" t="s">
        <v>103</v>
      </c>
      <c r="C311" s="530"/>
      <c r="D311" s="509"/>
      <c r="E311" s="509"/>
      <c r="F311" s="540"/>
      <c r="G311" s="530"/>
      <c r="H311" s="509"/>
      <c r="I311" s="540"/>
      <c r="J311" s="530"/>
      <c r="K311" s="509"/>
      <c r="L311" s="540"/>
      <c r="M311" s="530"/>
      <c r="N311" s="548"/>
      <c r="O311" s="530"/>
      <c r="P311" s="509"/>
      <c r="Q311" s="540"/>
      <c r="R311" s="530"/>
      <c r="S311" s="548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522" t="s">
        <v>415</v>
      </c>
      <c r="B312" s="509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2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09"/>
      <c r="U312" s="572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522" t="s">
        <v>103</v>
      </c>
      <c r="B313" s="509" t="s">
        <v>103</v>
      </c>
      <c r="C313" s="530"/>
      <c r="D313" s="572"/>
      <c r="E313" s="647"/>
      <c r="F313" s="556"/>
      <c r="G313" s="557"/>
      <c r="H313" s="647"/>
      <c r="I313" s="556"/>
      <c r="J313" s="557"/>
      <c r="K313" s="647"/>
      <c r="L313" s="556"/>
      <c r="M313" s="576"/>
      <c r="N313" s="556"/>
      <c r="O313" s="557"/>
      <c r="P313" s="647"/>
      <c r="Q313" s="556"/>
      <c r="R313" s="576"/>
      <c r="S313" s="556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522" t="s">
        <v>416</v>
      </c>
      <c r="B314" s="509" t="s">
        <v>103</v>
      </c>
      <c r="C314" s="558" t="s">
        <v>118</v>
      </c>
      <c r="D314" s="559">
        <v>462622.21836260549</v>
      </c>
      <c r="E314" s="710">
        <v>0.24166485371277469</v>
      </c>
      <c r="F314" s="561">
        <v>111799.53072487836</v>
      </c>
      <c r="G314" s="562"/>
      <c r="H314" s="710"/>
      <c r="I314" s="561"/>
      <c r="J314" s="562">
        <v>588061.15999999992</v>
      </c>
      <c r="K314" s="710">
        <v>0.28778765120281036</v>
      </c>
      <c r="L314" s="561">
        <v>169236.74000000002</v>
      </c>
      <c r="M314" s="711">
        <v>0.27114768089040375</v>
      </c>
      <c r="N314" s="712">
        <v>57437.209275121655</v>
      </c>
      <c r="O314" s="562">
        <v>444776.55</v>
      </c>
      <c r="P314" s="710">
        <v>0.22807005000600838</v>
      </c>
      <c r="Q314" s="561">
        <v>101440.20999999989</v>
      </c>
      <c r="R314" s="711">
        <v>0.32214965020075798</v>
      </c>
      <c r="S314" s="712">
        <v>67796.53000000013</v>
      </c>
      <c r="T314" s="509"/>
      <c r="U314" s="656"/>
      <c r="V314" s="572"/>
      <c r="W314" s="572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522" t="s">
        <v>103</v>
      </c>
      <c r="B315" s="509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1.5137517921829733</v>
      </c>
      <c r="M315" s="717"/>
      <c r="N315" s="569">
        <v>0.5137517921829734</v>
      </c>
      <c r="O315" s="715"/>
      <c r="P315" s="714"/>
      <c r="Q315" s="626"/>
      <c r="R315" s="717"/>
      <c r="S315" s="569">
        <v>0.66833980331862686</v>
      </c>
      <c r="T315" s="509"/>
      <c r="U315" s="506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522" t="s">
        <v>103</v>
      </c>
      <c r="B316" s="509" t="s">
        <v>103</v>
      </c>
      <c r="C316" s="549"/>
      <c r="D316" s="607"/>
      <c r="E316" s="669"/>
      <c r="F316" s="671"/>
      <c r="G316" s="670"/>
      <c r="H316" s="669"/>
      <c r="I316" s="671"/>
      <c r="J316" s="670"/>
      <c r="K316" s="669"/>
      <c r="L316" s="671"/>
      <c r="M316" s="530"/>
      <c r="N316" s="548"/>
      <c r="O316" s="670"/>
      <c r="P316" s="669"/>
      <c r="Q316" s="671"/>
      <c r="R316" s="530"/>
      <c r="S316" s="548"/>
      <c r="T316" s="509"/>
      <c r="U316" s="506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522" t="s">
        <v>417</v>
      </c>
      <c r="B317" s="509" t="s">
        <v>103</v>
      </c>
      <c r="C317" s="573" t="s">
        <v>30</v>
      </c>
      <c r="D317" s="509"/>
      <c r="E317" s="509"/>
      <c r="F317" s="556"/>
      <c r="G317" s="530"/>
      <c r="H317" s="509"/>
      <c r="I317" s="556"/>
      <c r="J317" s="530"/>
      <c r="K317" s="509"/>
      <c r="L317" s="540"/>
      <c r="M317" s="530"/>
      <c r="N317" s="540"/>
      <c r="O317" s="530"/>
      <c r="P317" s="509"/>
      <c r="Q317" s="540"/>
      <c r="R317" s="530"/>
      <c r="S317" s="540"/>
      <c r="T317" s="509"/>
      <c r="U317" s="506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522" t="s">
        <v>418</v>
      </c>
      <c r="B318" s="509" t="s">
        <v>103</v>
      </c>
      <c r="C318" s="599" t="s">
        <v>41</v>
      </c>
      <c r="D318" s="509"/>
      <c r="E318" s="509"/>
      <c r="F318" s="531">
        <v>6935.8538461538465</v>
      </c>
      <c r="G318" s="530"/>
      <c r="H318" s="509"/>
      <c r="I318" s="531"/>
      <c r="J318" s="530"/>
      <c r="K318" s="509"/>
      <c r="L318" s="533">
        <v>5161.24</v>
      </c>
      <c r="M318" s="530"/>
      <c r="N318" s="533">
        <v>-1774.6138461538467</v>
      </c>
      <c r="O318" s="530"/>
      <c r="P318" s="509"/>
      <c r="Q318" s="533">
        <v>10247.76</v>
      </c>
      <c r="R318" s="530"/>
      <c r="S318" s="533">
        <v>-5086.5200000000004</v>
      </c>
      <c r="T318" s="509"/>
      <c r="U318" s="506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522" t="s">
        <v>419</v>
      </c>
      <c r="B319" s="509" t="s">
        <v>103</v>
      </c>
      <c r="C319" s="601" t="s">
        <v>42</v>
      </c>
      <c r="D319" s="583"/>
      <c r="E319" s="509"/>
      <c r="F319" s="525">
        <v>26364.924123076926</v>
      </c>
      <c r="G319" s="584"/>
      <c r="H319" s="509"/>
      <c r="I319" s="525"/>
      <c r="J319" s="530"/>
      <c r="K319" s="509"/>
      <c r="L319" s="533">
        <v>22392.54</v>
      </c>
      <c r="M319" s="530"/>
      <c r="N319" s="533">
        <v>-3972.3841230769249</v>
      </c>
      <c r="O319" s="530"/>
      <c r="P319" s="509"/>
      <c r="Q319" s="533">
        <v>23560.57</v>
      </c>
      <c r="R319" s="530"/>
      <c r="S319" s="556">
        <v>-1168.0299999999988</v>
      </c>
      <c r="T319" s="509"/>
      <c r="U319" s="506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522" t="s">
        <v>420</v>
      </c>
      <c r="B320" s="509" t="s">
        <v>103</v>
      </c>
      <c r="C320" s="599" t="s">
        <v>43</v>
      </c>
      <c r="D320" s="602"/>
      <c r="E320" s="603"/>
      <c r="F320" s="531">
        <v>140.24615384615385</v>
      </c>
      <c r="G320" s="604"/>
      <c r="H320" s="603"/>
      <c r="I320" s="531"/>
      <c r="J320" s="517"/>
      <c r="K320" s="603"/>
      <c r="L320" s="552">
        <v>113.92</v>
      </c>
      <c r="M320" s="517"/>
      <c r="N320" s="552">
        <v>-26.326153846153844</v>
      </c>
      <c r="O320" s="517"/>
      <c r="P320" s="603"/>
      <c r="Q320" s="552">
        <v>113.92</v>
      </c>
      <c r="R320" s="517"/>
      <c r="S320" s="605">
        <v>0</v>
      </c>
      <c r="T320" s="509"/>
      <c r="U320" s="718"/>
      <c r="V320" s="719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522" t="s">
        <v>421</v>
      </c>
      <c r="B321" s="509" t="s">
        <v>103</v>
      </c>
      <c r="C321" s="599" t="s">
        <v>44</v>
      </c>
      <c r="D321" s="583"/>
      <c r="E321" s="509"/>
      <c r="F321" s="531">
        <v>0</v>
      </c>
      <c r="G321" s="584"/>
      <c r="H321" s="509"/>
      <c r="I321" s="531"/>
      <c r="J321" s="530"/>
      <c r="K321" s="509"/>
      <c r="L321" s="533">
        <v>0</v>
      </c>
      <c r="M321" s="530"/>
      <c r="N321" s="533">
        <v>0</v>
      </c>
      <c r="O321" s="530"/>
      <c r="P321" s="509"/>
      <c r="Q321" s="533">
        <v>0</v>
      </c>
      <c r="R321" s="530"/>
      <c r="S321" s="556">
        <v>0</v>
      </c>
      <c r="T321" s="509"/>
      <c r="U321" s="506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522" t="s">
        <v>408</v>
      </c>
      <c r="B322" s="509" t="s">
        <v>103</v>
      </c>
      <c r="C322" s="530" t="s">
        <v>20</v>
      </c>
      <c r="D322" s="583"/>
      <c r="E322" s="509"/>
      <c r="F322" s="531">
        <v>0</v>
      </c>
      <c r="G322" s="584"/>
      <c r="H322" s="509"/>
      <c r="I322" s="531"/>
      <c r="J322" s="530"/>
      <c r="K322" s="509"/>
      <c r="L322" s="533">
        <v>0</v>
      </c>
      <c r="M322" s="530"/>
      <c r="N322" s="533">
        <v>0</v>
      </c>
      <c r="O322" s="530"/>
      <c r="P322" s="509"/>
      <c r="Q322" s="533">
        <v>0</v>
      </c>
      <c r="R322" s="530"/>
      <c r="S322" s="556">
        <v>0</v>
      </c>
      <c r="T322" s="509"/>
      <c r="U322" s="506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522" t="s">
        <v>408</v>
      </c>
      <c r="B323" s="509" t="s">
        <v>103</v>
      </c>
      <c r="C323" s="530" t="s">
        <v>20</v>
      </c>
      <c r="D323" s="583"/>
      <c r="E323" s="509"/>
      <c r="F323" s="531">
        <v>0</v>
      </c>
      <c r="G323" s="584"/>
      <c r="H323" s="509"/>
      <c r="I323" s="531"/>
      <c r="J323" s="530"/>
      <c r="K323" s="509"/>
      <c r="L323" s="533">
        <v>0</v>
      </c>
      <c r="M323" s="530"/>
      <c r="N323" s="533">
        <v>0</v>
      </c>
      <c r="O323" s="530"/>
      <c r="P323" s="509"/>
      <c r="Q323" s="533">
        <v>0</v>
      </c>
      <c r="R323" s="530"/>
      <c r="S323" s="556">
        <v>0</v>
      </c>
      <c r="T323" s="509"/>
      <c r="U323" s="506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522" t="s">
        <v>408</v>
      </c>
      <c r="B324" s="509" t="s">
        <v>103</v>
      </c>
      <c r="C324" s="530" t="s">
        <v>20</v>
      </c>
      <c r="D324" s="583"/>
      <c r="E324" s="509"/>
      <c r="F324" s="531">
        <v>0</v>
      </c>
      <c r="G324" s="584"/>
      <c r="H324" s="509"/>
      <c r="I324" s="531"/>
      <c r="J324" s="530"/>
      <c r="K324" s="509"/>
      <c r="L324" s="533">
        <v>0</v>
      </c>
      <c r="M324" s="530"/>
      <c r="N324" s="533">
        <v>0</v>
      </c>
      <c r="O324" s="530"/>
      <c r="P324" s="509"/>
      <c r="Q324" s="533">
        <v>0</v>
      </c>
      <c r="R324" s="530"/>
      <c r="S324" s="556">
        <v>0</v>
      </c>
      <c r="T324" s="509"/>
      <c r="U324" s="506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522" t="s">
        <v>422</v>
      </c>
      <c r="B325" s="509" t="s">
        <v>103</v>
      </c>
      <c r="C325" s="601" t="s">
        <v>45</v>
      </c>
      <c r="D325" s="583"/>
      <c r="E325" s="509"/>
      <c r="F325" s="525">
        <v>4125.0641995076921</v>
      </c>
      <c r="G325" s="584"/>
      <c r="H325" s="509"/>
      <c r="I325" s="525"/>
      <c r="J325" s="530"/>
      <c r="K325" s="509"/>
      <c r="L325" s="533">
        <v>3294.8</v>
      </c>
      <c r="M325" s="530"/>
      <c r="N325" s="533">
        <v>-830.26419950769196</v>
      </c>
      <c r="O325" s="530"/>
      <c r="P325" s="509"/>
      <c r="Q325" s="533">
        <v>4269.59</v>
      </c>
      <c r="R325" s="530"/>
      <c r="S325" s="556">
        <v>-974.79</v>
      </c>
      <c r="T325" s="509"/>
      <c r="U325" s="506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522" t="s">
        <v>423</v>
      </c>
      <c r="B326" s="509" t="s">
        <v>103</v>
      </c>
      <c r="C326" s="599" t="s">
        <v>46</v>
      </c>
      <c r="D326" s="602"/>
      <c r="E326" s="603"/>
      <c r="F326" s="531">
        <v>5015.4965597538467</v>
      </c>
      <c r="G326" s="604"/>
      <c r="H326" s="603"/>
      <c r="I326" s="531"/>
      <c r="J326" s="517"/>
      <c r="K326" s="603"/>
      <c r="L326" s="552">
        <v>5219.54</v>
      </c>
      <c r="M326" s="517"/>
      <c r="N326" s="552">
        <v>204.0434402461533</v>
      </c>
      <c r="O326" s="517"/>
      <c r="P326" s="603"/>
      <c r="Q326" s="552">
        <v>5518.53</v>
      </c>
      <c r="R326" s="517"/>
      <c r="S326" s="605">
        <v>-298.98999999999978</v>
      </c>
      <c r="T326" s="509"/>
      <c r="U326" s="506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522" t="s">
        <v>424</v>
      </c>
      <c r="B327" s="509" t="s">
        <v>103</v>
      </c>
      <c r="C327" s="599" t="s">
        <v>47</v>
      </c>
      <c r="D327" s="583"/>
      <c r="E327" s="509"/>
      <c r="F327" s="531">
        <v>2584.0710536123074</v>
      </c>
      <c r="G327" s="584"/>
      <c r="H327" s="509"/>
      <c r="I327" s="531"/>
      <c r="J327" s="530"/>
      <c r="K327" s="509"/>
      <c r="L327" s="533">
        <v>1608.53</v>
      </c>
      <c r="M327" s="530"/>
      <c r="N327" s="533">
        <v>-975.54105361230745</v>
      </c>
      <c r="O327" s="530"/>
      <c r="P327" s="509"/>
      <c r="Q327" s="533">
        <v>1451</v>
      </c>
      <c r="R327" s="530"/>
      <c r="S327" s="556">
        <v>157.52999999999997</v>
      </c>
      <c r="T327" s="509"/>
      <c r="U327" s="506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522" t="s">
        <v>425</v>
      </c>
      <c r="B328" s="509" t="s">
        <v>103</v>
      </c>
      <c r="C328" s="599" t="s">
        <v>48</v>
      </c>
      <c r="D328" s="583"/>
      <c r="E328" s="509"/>
      <c r="F328" s="531">
        <v>1126.6695170461537</v>
      </c>
      <c r="G328" s="584"/>
      <c r="H328" s="509"/>
      <c r="I328" s="531"/>
      <c r="J328" s="530"/>
      <c r="K328" s="509"/>
      <c r="L328" s="533">
        <v>651.28</v>
      </c>
      <c r="M328" s="530"/>
      <c r="N328" s="533">
        <v>-475.38951704615374</v>
      </c>
      <c r="O328" s="530"/>
      <c r="P328" s="509"/>
      <c r="Q328" s="533">
        <v>1860.87</v>
      </c>
      <c r="R328" s="530"/>
      <c r="S328" s="556">
        <v>-1209.5899999999999</v>
      </c>
      <c r="T328" s="509"/>
      <c r="U328" s="506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522" t="s">
        <v>408</v>
      </c>
      <c r="B329" s="509" t="s">
        <v>103</v>
      </c>
      <c r="C329" s="530" t="s">
        <v>20</v>
      </c>
      <c r="D329" s="586"/>
      <c r="E329" s="606"/>
      <c r="F329" s="531">
        <v>0</v>
      </c>
      <c r="G329" s="587"/>
      <c r="H329" s="606"/>
      <c r="I329" s="531"/>
      <c r="J329" s="523"/>
      <c r="K329" s="606"/>
      <c r="L329" s="533">
        <v>0</v>
      </c>
      <c r="M329" s="523"/>
      <c r="N329" s="581">
        <v>0</v>
      </c>
      <c r="O329" s="523"/>
      <c r="P329" s="606"/>
      <c r="Q329" s="533">
        <v>0</v>
      </c>
      <c r="R329" s="523"/>
      <c r="S329" s="581">
        <v>0</v>
      </c>
      <c r="T329" s="509"/>
      <c r="U329" s="506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522" t="s">
        <v>426</v>
      </c>
      <c r="B330" s="509" t="s">
        <v>103</v>
      </c>
      <c r="C330" s="591" t="s">
        <v>49</v>
      </c>
      <c r="D330" s="592" t="s">
        <v>39</v>
      </c>
      <c r="E330" s="593">
        <v>0.41406547194652632</v>
      </c>
      <c r="F330" s="594">
        <v>46292.325452996927</v>
      </c>
      <c r="G330" s="595"/>
      <c r="H330" s="593"/>
      <c r="I330" s="594"/>
      <c r="J330" s="595" t="s">
        <v>39</v>
      </c>
      <c r="K330" s="593">
        <v>0.22714837215606959</v>
      </c>
      <c r="L330" s="594">
        <v>38441.849999999991</v>
      </c>
      <c r="M330" s="649"/>
      <c r="N330" s="608">
        <v>-7850.4754529969359</v>
      </c>
      <c r="O330" s="595" t="s">
        <v>39</v>
      </c>
      <c r="P330" s="593">
        <v>0.46354635898328728</v>
      </c>
      <c r="Q330" s="594">
        <v>47022.239999999998</v>
      </c>
      <c r="R330" s="649"/>
      <c r="S330" s="608">
        <v>-8580.3900000000067</v>
      </c>
      <c r="T330" s="509"/>
      <c r="U330" s="506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522" t="s">
        <v>427</v>
      </c>
      <c r="B331" s="509" t="s">
        <v>103</v>
      </c>
      <c r="C331" s="705" t="s">
        <v>50</v>
      </c>
      <c r="D331" s="583"/>
      <c r="E331" s="509"/>
      <c r="F331" s="531">
        <v>3521.5079944460713</v>
      </c>
      <c r="G331" s="584"/>
      <c r="H331" s="509"/>
      <c r="I331" s="531"/>
      <c r="J331" s="530"/>
      <c r="K331" s="509"/>
      <c r="L331" s="533">
        <v>882.74</v>
      </c>
      <c r="M331" s="530"/>
      <c r="N331" s="556">
        <v>-2638.7679944460715</v>
      </c>
      <c r="O331" s="530"/>
      <c r="P331" s="509"/>
      <c r="Q331" s="533">
        <v>3945.26</v>
      </c>
      <c r="R331" s="530"/>
      <c r="S331" s="556">
        <v>-3062.5200000000004</v>
      </c>
      <c r="T331" s="509"/>
      <c r="U331" s="506"/>
      <c r="V331" s="509"/>
      <c r="W331" s="572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522" t="s">
        <v>428</v>
      </c>
      <c r="B332" s="509" t="s">
        <v>103</v>
      </c>
      <c r="C332" s="599" t="s">
        <v>51</v>
      </c>
      <c r="D332" s="583"/>
      <c r="E332" s="509"/>
      <c r="F332" s="531">
        <v>561.52577820142733</v>
      </c>
      <c r="G332" s="584"/>
      <c r="H332" s="509"/>
      <c r="I332" s="531"/>
      <c r="J332" s="530"/>
      <c r="K332" s="509"/>
      <c r="L332" s="533">
        <v>61.56</v>
      </c>
      <c r="M332" s="530"/>
      <c r="N332" s="556">
        <v>-499.96577820142733</v>
      </c>
      <c r="O332" s="530"/>
      <c r="P332" s="509"/>
      <c r="Q332" s="533">
        <v>991.88</v>
      </c>
      <c r="R332" s="530"/>
      <c r="S332" s="556">
        <v>-930.31999999999994</v>
      </c>
      <c r="T332" s="509"/>
      <c r="U332" s="506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522" t="s">
        <v>429</v>
      </c>
      <c r="B333" s="509" t="s">
        <v>103</v>
      </c>
      <c r="C333" s="601" t="s">
        <v>52</v>
      </c>
      <c r="D333" s="586"/>
      <c r="E333" s="606"/>
      <c r="F333" s="525">
        <v>1264.3204888888893</v>
      </c>
      <c r="G333" s="587"/>
      <c r="H333" s="606"/>
      <c r="I333" s="525"/>
      <c r="J333" s="523"/>
      <c r="K333" s="606"/>
      <c r="L333" s="533">
        <v>1276.78</v>
      </c>
      <c r="M333" s="523"/>
      <c r="N333" s="581">
        <v>12.459511111110714</v>
      </c>
      <c r="O333" s="523"/>
      <c r="P333" s="606"/>
      <c r="Q333" s="533">
        <v>1140.48</v>
      </c>
      <c r="R333" s="523"/>
      <c r="S333" s="581">
        <v>136.29999999999995</v>
      </c>
      <c r="T333" s="509"/>
      <c r="U333" s="506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522" t="s">
        <v>430</v>
      </c>
      <c r="B334" s="509" t="s">
        <v>103</v>
      </c>
      <c r="C334" s="599" t="s">
        <v>53</v>
      </c>
      <c r="D334" s="583"/>
      <c r="E334" s="509"/>
      <c r="F334" s="531">
        <v>4449.6567389444454</v>
      </c>
      <c r="G334" s="584"/>
      <c r="H334" s="509"/>
      <c r="I334" s="531"/>
      <c r="J334" s="530"/>
      <c r="K334" s="509"/>
      <c r="L334" s="552">
        <v>6827.66</v>
      </c>
      <c r="M334" s="530"/>
      <c r="N334" s="556">
        <v>2378.0032610555545</v>
      </c>
      <c r="O334" s="530"/>
      <c r="P334" s="509"/>
      <c r="Q334" s="552">
        <v>5726.42</v>
      </c>
      <c r="R334" s="530"/>
      <c r="S334" s="556">
        <v>1101.2399999999998</v>
      </c>
      <c r="T334" s="509"/>
      <c r="U334" s="506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522" t="s">
        <v>431</v>
      </c>
      <c r="B335" s="509" t="s">
        <v>103</v>
      </c>
      <c r="C335" s="599" t="s">
        <v>54</v>
      </c>
      <c r="D335" s="583"/>
      <c r="E335" s="509"/>
      <c r="F335" s="531">
        <v>818.27646887680896</v>
      </c>
      <c r="G335" s="584"/>
      <c r="H335" s="509"/>
      <c r="I335" s="531"/>
      <c r="J335" s="530"/>
      <c r="K335" s="509"/>
      <c r="L335" s="533">
        <v>1176.23</v>
      </c>
      <c r="M335" s="530"/>
      <c r="N335" s="556">
        <v>357.95353112319106</v>
      </c>
      <c r="O335" s="530"/>
      <c r="P335" s="509"/>
      <c r="Q335" s="533">
        <v>873.75</v>
      </c>
      <c r="R335" s="530"/>
      <c r="S335" s="556">
        <v>302.48</v>
      </c>
      <c r="T335" s="509"/>
      <c r="U335" s="506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522" t="s">
        <v>432</v>
      </c>
      <c r="B336" s="509" t="s">
        <v>103</v>
      </c>
      <c r="C336" s="601" t="s">
        <v>55</v>
      </c>
      <c r="D336" s="586"/>
      <c r="E336" s="606"/>
      <c r="F336" s="525">
        <v>12488.085877265243</v>
      </c>
      <c r="G336" s="587"/>
      <c r="H336" s="606"/>
      <c r="I336" s="525"/>
      <c r="J336" s="523"/>
      <c r="K336" s="606"/>
      <c r="L336" s="525">
        <v>16275.98</v>
      </c>
      <c r="M336" s="523"/>
      <c r="N336" s="581">
        <v>3787.8941227347568</v>
      </c>
      <c r="O336" s="523"/>
      <c r="P336" s="606"/>
      <c r="Q336" s="525">
        <v>10908.3</v>
      </c>
      <c r="R336" s="523"/>
      <c r="S336" s="581">
        <v>5367.68</v>
      </c>
      <c r="T336" s="509"/>
      <c r="U336" s="506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522" t="s">
        <v>433</v>
      </c>
      <c r="B337" s="509" t="s">
        <v>103</v>
      </c>
      <c r="C337" s="599" t="s">
        <v>98</v>
      </c>
      <c r="D337" s="583"/>
      <c r="E337" s="509"/>
      <c r="F337" s="531"/>
      <c r="G337" s="584"/>
      <c r="H337" s="509"/>
      <c r="I337" s="531"/>
      <c r="J337" s="530"/>
      <c r="K337" s="509"/>
      <c r="L337" s="533">
        <v>0</v>
      </c>
      <c r="M337" s="530"/>
      <c r="N337" s="556">
        <v>0</v>
      </c>
      <c r="O337" s="530"/>
      <c r="P337" s="509"/>
      <c r="Q337" s="533">
        <v>0</v>
      </c>
      <c r="R337" s="530"/>
      <c r="S337" s="556">
        <v>0</v>
      </c>
      <c r="T337" s="509"/>
      <c r="U337" s="506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522" t="s">
        <v>434</v>
      </c>
      <c r="B338" s="509" t="s">
        <v>103</v>
      </c>
      <c r="C338" s="599" t="s">
        <v>56</v>
      </c>
      <c r="D338" s="583"/>
      <c r="E338" s="509"/>
      <c r="F338" s="531">
        <v>255.67533333333333</v>
      </c>
      <c r="G338" s="584"/>
      <c r="H338" s="509"/>
      <c r="I338" s="531"/>
      <c r="J338" s="530"/>
      <c r="K338" s="509"/>
      <c r="L338" s="533">
        <v>0</v>
      </c>
      <c r="M338" s="530"/>
      <c r="N338" s="556">
        <v>-255.67533333333333</v>
      </c>
      <c r="O338" s="530"/>
      <c r="P338" s="509"/>
      <c r="Q338" s="533">
        <v>150.28</v>
      </c>
      <c r="R338" s="530"/>
      <c r="S338" s="556">
        <v>-150.28</v>
      </c>
      <c r="T338" s="509"/>
      <c r="U338" s="506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522" t="s">
        <v>435</v>
      </c>
      <c r="B339" s="509" t="s">
        <v>103</v>
      </c>
      <c r="C339" s="599" t="s">
        <v>57</v>
      </c>
      <c r="D339" s="583"/>
      <c r="E339" s="509"/>
      <c r="F339" s="531">
        <v>28.333333333333332</v>
      </c>
      <c r="G339" s="584"/>
      <c r="H339" s="509"/>
      <c r="I339" s="531"/>
      <c r="J339" s="530"/>
      <c r="K339" s="509"/>
      <c r="L339" s="533">
        <v>0</v>
      </c>
      <c r="M339" s="530"/>
      <c r="N339" s="556">
        <v>-28.333333333333332</v>
      </c>
      <c r="O339" s="530"/>
      <c r="P339" s="509"/>
      <c r="Q339" s="533">
        <v>0</v>
      </c>
      <c r="R339" s="530"/>
      <c r="S339" s="556">
        <v>0</v>
      </c>
      <c r="T339" s="509"/>
      <c r="U339" s="506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522" t="s">
        <v>436</v>
      </c>
      <c r="B340" s="509" t="s">
        <v>103</v>
      </c>
      <c r="C340" s="599" t="s">
        <v>58</v>
      </c>
      <c r="D340" s="583"/>
      <c r="E340" s="509"/>
      <c r="F340" s="531">
        <v>716.40904661649995</v>
      </c>
      <c r="G340" s="584"/>
      <c r="H340" s="509"/>
      <c r="I340" s="531"/>
      <c r="J340" s="530"/>
      <c r="K340" s="509"/>
      <c r="L340" s="533">
        <v>206.32</v>
      </c>
      <c r="M340" s="530"/>
      <c r="N340" s="556">
        <v>-510.08904661649996</v>
      </c>
      <c r="O340" s="530"/>
      <c r="P340" s="509"/>
      <c r="Q340" s="533">
        <v>890.57</v>
      </c>
      <c r="R340" s="530"/>
      <c r="S340" s="556">
        <v>-684.25</v>
      </c>
      <c r="T340" s="509"/>
      <c r="U340" s="506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522" t="s">
        <v>437</v>
      </c>
      <c r="B341" s="509" t="s">
        <v>103</v>
      </c>
      <c r="C341" s="599" t="s">
        <v>59</v>
      </c>
      <c r="D341" s="583"/>
      <c r="E341" s="509"/>
      <c r="F341" s="531">
        <v>115.54074359217363</v>
      </c>
      <c r="G341" s="584"/>
      <c r="H341" s="509"/>
      <c r="I341" s="531"/>
      <c r="J341" s="530"/>
      <c r="K341" s="509"/>
      <c r="L341" s="533">
        <v>93.85</v>
      </c>
      <c r="M341" s="530"/>
      <c r="N341" s="556">
        <v>-21.690743592173632</v>
      </c>
      <c r="O341" s="530"/>
      <c r="P341" s="509"/>
      <c r="Q341" s="533">
        <v>91.86</v>
      </c>
      <c r="R341" s="530"/>
      <c r="S341" s="556">
        <v>1.9899999999999949</v>
      </c>
      <c r="T341" s="509"/>
      <c r="U341" s="506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522" t="s">
        <v>438</v>
      </c>
      <c r="B342" s="509" t="s">
        <v>103</v>
      </c>
      <c r="C342" s="599" t="s">
        <v>60</v>
      </c>
      <c r="D342" s="583"/>
      <c r="E342" s="509"/>
      <c r="F342" s="531">
        <v>-31.110347462173621</v>
      </c>
      <c r="G342" s="584"/>
      <c r="H342" s="509"/>
      <c r="I342" s="531"/>
      <c r="J342" s="530"/>
      <c r="K342" s="509"/>
      <c r="L342" s="533">
        <v>-1446.59</v>
      </c>
      <c r="M342" s="530"/>
      <c r="N342" s="556">
        <v>-1415.4796525378263</v>
      </c>
      <c r="O342" s="530"/>
      <c r="P342" s="509"/>
      <c r="Q342" s="533">
        <v>-363.89</v>
      </c>
      <c r="R342" s="530"/>
      <c r="S342" s="556">
        <v>-1082.6999999999998</v>
      </c>
      <c r="T342" s="509"/>
      <c r="U342" s="506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522" t="s">
        <v>439</v>
      </c>
      <c r="B343" s="509" t="s">
        <v>103</v>
      </c>
      <c r="C343" s="599" t="s">
        <v>61</v>
      </c>
      <c r="D343" s="583"/>
      <c r="E343" s="509"/>
      <c r="F343" s="531">
        <v>156.51117666245145</v>
      </c>
      <c r="G343" s="584"/>
      <c r="H343" s="509"/>
      <c r="I343" s="531"/>
      <c r="J343" s="530"/>
      <c r="K343" s="509"/>
      <c r="L343" s="533">
        <v>574.69000000000005</v>
      </c>
      <c r="M343" s="530"/>
      <c r="N343" s="556">
        <v>418.17882333754858</v>
      </c>
      <c r="O343" s="530"/>
      <c r="P343" s="509"/>
      <c r="Q343" s="533">
        <v>74.7</v>
      </c>
      <c r="R343" s="530"/>
      <c r="S343" s="556">
        <v>499.99000000000007</v>
      </c>
      <c r="T343" s="509"/>
      <c r="U343" s="506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522" t="s">
        <v>440</v>
      </c>
      <c r="B344" s="509" t="s">
        <v>103</v>
      </c>
      <c r="C344" s="599" t="s">
        <v>62</v>
      </c>
      <c r="D344" s="583"/>
      <c r="E344" s="509"/>
      <c r="F344" s="531">
        <v>378.95432121431327</v>
      </c>
      <c r="G344" s="584"/>
      <c r="H344" s="509"/>
      <c r="I344" s="531"/>
      <c r="J344" s="530"/>
      <c r="K344" s="509"/>
      <c r="L344" s="533">
        <v>79.75</v>
      </c>
      <c r="M344" s="530"/>
      <c r="N344" s="556">
        <v>-299.20432121431327</v>
      </c>
      <c r="O344" s="530"/>
      <c r="P344" s="509"/>
      <c r="Q344" s="533">
        <v>79.75</v>
      </c>
      <c r="R344" s="530"/>
      <c r="S344" s="556">
        <v>0</v>
      </c>
      <c r="T344" s="509"/>
      <c r="U344" s="720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522" t="s">
        <v>441</v>
      </c>
      <c r="B345" s="509" t="s">
        <v>103</v>
      </c>
      <c r="C345" s="599" t="s">
        <v>63</v>
      </c>
      <c r="D345" s="583"/>
      <c r="E345" s="509"/>
      <c r="F345" s="531">
        <v>1339.6437292649105</v>
      </c>
      <c r="G345" s="584"/>
      <c r="H345" s="509"/>
      <c r="I345" s="531"/>
      <c r="J345" s="530"/>
      <c r="K345" s="509"/>
      <c r="L345" s="533">
        <v>1789.92</v>
      </c>
      <c r="M345" s="530"/>
      <c r="N345" s="556">
        <v>450.27627073508961</v>
      </c>
      <c r="O345" s="530"/>
      <c r="P345" s="509"/>
      <c r="Q345" s="533">
        <v>1844.38</v>
      </c>
      <c r="R345" s="530"/>
      <c r="S345" s="556">
        <v>-54.460000000000036</v>
      </c>
      <c r="T345" s="509"/>
      <c r="U345" s="720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522" t="s">
        <v>408</v>
      </c>
      <c r="B346" s="509" t="s">
        <v>103</v>
      </c>
      <c r="C346" s="599" t="s">
        <v>20</v>
      </c>
      <c r="D346" s="583"/>
      <c r="E346" s="509"/>
      <c r="F346" s="531">
        <v>0</v>
      </c>
      <c r="G346" s="584"/>
      <c r="H346" s="509"/>
      <c r="I346" s="531"/>
      <c r="J346" s="530"/>
      <c r="K346" s="509"/>
      <c r="L346" s="533">
        <v>0</v>
      </c>
      <c r="M346" s="530"/>
      <c r="N346" s="556">
        <v>0</v>
      </c>
      <c r="O346" s="530"/>
      <c r="P346" s="509"/>
      <c r="Q346" s="533">
        <v>0</v>
      </c>
      <c r="R346" s="530"/>
      <c r="S346" s="556">
        <v>0</v>
      </c>
      <c r="T346" s="509"/>
      <c r="U346" s="720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522" t="s">
        <v>408</v>
      </c>
      <c r="B347" s="509" t="s">
        <v>103</v>
      </c>
      <c r="C347" s="599" t="s">
        <v>20</v>
      </c>
      <c r="D347" s="583"/>
      <c r="E347" s="509"/>
      <c r="F347" s="531">
        <v>0</v>
      </c>
      <c r="G347" s="584"/>
      <c r="H347" s="509"/>
      <c r="I347" s="531"/>
      <c r="J347" s="530"/>
      <c r="K347" s="509"/>
      <c r="L347" s="533">
        <v>0</v>
      </c>
      <c r="M347" s="530"/>
      <c r="N347" s="556">
        <v>0</v>
      </c>
      <c r="O347" s="530"/>
      <c r="P347" s="509"/>
      <c r="Q347" s="533">
        <v>0</v>
      </c>
      <c r="R347" s="530"/>
      <c r="S347" s="556">
        <v>0</v>
      </c>
      <c r="T347" s="509"/>
      <c r="U347" s="720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522" t="s">
        <v>408</v>
      </c>
      <c r="B348" s="509" t="s">
        <v>103</v>
      </c>
      <c r="C348" s="599" t="s">
        <v>20</v>
      </c>
      <c r="D348" s="583"/>
      <c r="E348" s="509"/>
      <c r="F348" s="531">
        <v>0</v>
      </c>
      <c r="G348" s="584"/>
      <c r="H348" s="509"/>
      <c r="I348" s="531"/>
      <c r="J348" s="530"/>
      <c r="K348" s="509"/>
      <c r="L348" s="533">
        <v>0</v>
      </c>
      <c r="M348" s="530"/>
      <c r="N348" s="556">
        <v>0</v>
      </c>
      <c r="O348" s="530"/>
      <c r="P348" s="509"/>
      <c r="Q348" s="533">
        <v>0</v>
      </c>
      <c r="R348" s="530"/>
      <c r="S348" s="556">
        <v>0</v>
      </c>
      <c r="T348" s="509"/>
      <c r="U348" s="720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91" t="s">
        <v>64</v>
      </c>
      <c r="D349" s="592" t="s">
        <v>39</v>
      </c>
      <c r="E349" s="593">
        <v>0.2331255821396569</v>
      </c>
      <c r="F349" s="594">
        <v>26063.330683177726</v>
      </c>
      <c r="G349" s="595"/>
      <c r="H349" s="593"/>
      <c r="I349" s="594"/>
      <c r="J349" s="595" t="s">
        <v>39</v>
      </c>
      <c r="K349" s="593">
        <v>0.16426037277721131</v>
      </c>
      <c r="L349" s="594">
        <v>27798.889999999992</v>
      </c>
      <c r="M349" s="598"/>
      <c r="N349" s="594">
        <v>1735.5593168222726</v>
      </c>
      <c r="O349" s="595" t="s">
        <v>39</v>
      </c>
      <c r="P349" s="593">
        <v>0.25979579498110295</v>
      </c>
      <c r="Q349" s="594">
        <v>26353.74</v>
      </c>
      <c r="R349" s="598"/>
      <c r="S349" s="594">
        <v>1445.1499999999999</v>
      </c>
      <c r="T349" s="509"/>
      <c r="U349" s="720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3"/>
      <c r="D350" s="586"/>
      <c r="E350" s="606"/>
      <c r="F350" s="556"/>
      <c r="G350" s="587"/>
      <c r="H350" s="606"/>
      <c r="I350" s="556"/>
      <c r="J350" s="523"/>
      <c r="K350" s="606"/>
      <c r="L350" s="581"/>
      <c r="M350" s="523"/>
      <c r="N350" s="581"/>
      <c r="O350" s="523"/>
      <c r="P350" s="606"/>
      <c r="Q350" s="581"/>
      <c r="R350" s="523"/>
      <c r="S350" s="581"/>
      <c r="T350" s="509"/>
      <c r="U350" s="506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91" t="s">
        <v>65</v>
      </c>
      <c r="D351" s="592" t="s">
        <v>39</v>
      </c>
      <c r="E351" s="593">
        <v>0.64719105408618327</v>
      </c>
      <c r="F351" s="594">
        <v>72355.656136174657</v>
      </c>
      <c r="G351" s="595"/>
      <c r="H351" s="593"/>
      <c r="I351" s="594"/>
      <c r="J351" s="595" t="s">
        <v>39</v>
      </c>
      <c r="K351" s="593">
        <v>0.39140874493328093</v>
      </c>
      <c r="L351" s="594">
        <v>66240.739999999991</v>
      </c>
      <c r="M351" s="598"/>
      <c r="N351" s="608">
        <v>-6114.9161361746665</v>
      </c>
      <c r="O351" s="595" t="s">
        <v>39</v>
      </c>
      <c r="P351" s="593">
        <v>0.72334215396439017</v>
      </c>
      <c r="Q351" s="594">
        <v>73375.98</v>
      </c>
      <c r="R351" s="598"/>
      <c r="S351" s="608">
        <v>-7135.2400000000052</v>
      </c>
      <c r="T351" s="509"/>
      <c r="U351" s="506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30"/>
      <c r="D352" s="583"/>
      <c r="E352" s="509"/>
      <c r="F352" s="556"/>
      <c r="G352" s="584"/>
      <c r="H352" s="509"/>
      <c r="I352" s="556"/>
      <c r="J352" s="530"/>
      <c r="K352" s="509"/>
      <c r="L352" s="556"/>
      <c r="M352" s="530"/>
      <c r="N352" s="556">
        <v>0</v>
      </c>
      <c r="O352" s="530"/>
      <c r="P352" s="509"/>
      <c r="Q352" s="556"/>
      <c r="R352" s="530"/>
      <c r="S352" s="556"/>
      <c r="T352" s="509"/>
      <c r="U352" s="506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3" t="s">
        <v>72</v>
      </c>
      <c r="D353" s="654"/>
      <c r="E353" s="624"/>
      <c r="F353" s="626">
        <v>39443.874588703708</v>
      </c>
      <c r="G353" s="655"/>
      <c r="H353" s="624"/>
      <c r="I353" s="626"/>
      <c r="J353" s="623"/>
      <c r="K353" s="625"/>
      <c r="L353" s="626">
        <v>102996.00000000003</v>
      </c>
      <c r="M353" s="623"/>
      <c r="N353" s="626">
        <v>63552.125411296322</v>
      </c>
      <c r="O353" s="623"/>
      <c r="P353" s="628">
        <v>6.3097368779896093E-2</v>
      </c>
      <c r="Q353" s="626">
        <v>28064.229999999894</v>
      </c>
      <c r="R353" s="623"/>
      <c r="S353" s="626">
        <v>74931.770000000135</v>
      </c>
      <c r="T353" s="509"/>
      <c r="U353" s="506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70"/>
      <c r="D354" s="583"/>
      <c r="E354" s="509"/>
      <c r="F354" s="607"/>
      <c r="G354" s="583"/>
      <c r="H354" s="509"/>
      <c r="I354" s="607"/>
      <c r="J354" s="570"/>
      <c r="K354" s="570"/>
      <c r="L354" s="607"/>
      <c r="M354" s="570"/>
      <c r="N354" s="607"/>
      <c r="O354" s="570"/>
      <c r="P354" s="570"/>
      <c r="Q354" s="607"/>
      <c r="R354" s="570"/>
      <c r="S354" s="607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70"/>
      <c r="D355" s="583"/>
      <c r="E355" s="509"/>
      <c r="F355" s="607"/>
      <c r="G355" s="583"/>
      <c r="H355" s="509"/>
      <c r="I355" s="607"/>
      <c r="J355" s="570"/>
      <c r="K355" s="570"/>
      <c r="L355" s="607"/>
      <c r="M355" s="570"/>
      <c r="N355" s="607"/>
      <c r="O355" s="570"/>
      <c r="P355" s="570"/>
      <c r="Q355" s="607"/>
      <c r="R355" s="570"/>
      <c r="S355" s="607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3" t="s">
        <v>478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4" t="s">
        <v>482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522" t="s">
        <v>119</v>
      </c>
      <c r="B359" s="509" t="s">
        <v>119</v>
      </c>
      <c r="C359" s="530"/>
      <c r="D359" s="721" t="s">
        <v>84</v>
      </c>
      <c r="E359" s="721" t="s">
        <v>104</v>
      </c>
      <c r="F359" s="722" t="s">
        <v>12</v>
      </c>
      <c r="G359" s="723"/>
      <c r="H359" s="721"/>
      <c r="I359" s="722"/>
      <c r="J359" s="658" t="s">
        <v>84</v>
      </c>
      <c r="K359" s="574" t="s">
        <v>104</v>
      </c>
      <c r="L359" s="657" t="s">
        <v>12</v>
      </c>
      <c r="M359" s="658"/>
      <c r="N359" s="657"/>
      <c r="O359" s="658" t="s">
        <v>84</v>
      </c>
      <c r="P359" s="574" t="s">
        <v>104</v>
      </c>
      <c r="Q359" s="657" t="s">
        <v>12</v>
      </c>
      <c r="R359" s="658" t="s">
        <v>85</v>
      </c>
      <c r="S359" s="657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522" t="s">
        <v>442</v>
      </c>
      <c r="B360" s="509" t="s">
        <v>119</v>
      </c>
      <c r="C360" s="558" t="s">
        <v>119</v>
      </c>
      <c r="D360" s="724">
        <v>0</v>
      </c>
      <c r="E360" s="725">
        <v>0</v>
      </c>
      <c r="F360" s="726">
        <v>0</v>
      </c>
      <c r="G360" s="724"/>
      <c r="H360" s="725"/>
      <c r="I360" s="724"/>
      <c r="J360" s="727">
        <v>0</v>
      </c>
      <c r="K360" s="710">
        <v>0</v>
      </c>
      <c r="L360" s="728">
        <v>0</v>
      </c>
      <c r="M360" s="711"/>
      <c r="N360" s="712"/>
      <c r="O360" s="727">
        <v>0</v>
      </c>
      <c r="P360" s="710">
        <v>0</v>
      </c>
      <c r="Q360" s="728">
        <v>0</v>
      </c>
      <c r="R360" s="711">
        <v>0</v>
      </c>
      <c r="S360" s="712">
        <v>0</v>
      </c>
      <c r="T360" s="506"/>
      <c r="U360" s="506"/>
      <c r="V360" s="729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522" t="s">
        <v>119</v>
      </c>
      <c r="B361" s="509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522" t="s">
        <v>443</v>
      </c>
      <c r="B362" s="509" t="s">
        <v>119</v>
      </c>
      <c r="C362" s="549" t="s">
        <v>120</v>
      </c>
      <c r="D362" s="607">
        <v>0</v>
      </c>
      <c r="E362" s="669">
        <v>0</v>
      </c>
      <c r="F362" s="671">
        <v>0</v>
      </c>
      <c r="G362" s="670"/>
      <c r="H362" s="669"/>
      <c r="I362" s="671"/>
      <c r="J362" s="670">
        <v>0</v>
      </c>
      <c r="K362" s="669">
        <v>0</v>
      </c>
      <c r="L362" s="671">
        <v>0</v>
      </c>
      <c r="M362" s="647"/>
      <c r="N362" s="730"/>
      <c r="O362" s="670">
        <v>0</v>
      </c>
      <c r="P362" s="669">
        <v>0</v>
      </c>
      <c r="Q362" s="671">
        <v>0</v>
      </c>
      <c r="R362" s="530">
        <v>0</v>
      </c>
      <c r="S362" s="548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522" t="s">
        <v>119</v>
      </c>
      <c r="B363" s="509" t="s">
        <v>119</v>
      </c>
      <c r="C363" s="573"/>
      <c r="D363" s="509"/>
      <c r="E363" s="509"/>
      <c r="F363" s="556"/>
      <c r="G363" s="530"/>
      <c r="H363" s="509"/>
      <c r="I363" s="556"/>
      <c r="J363" s="530"/>
      <c r="K363" s="509"/>
      <c r="L363" s="540"/>
      <c r="M363" s="530"/>
      <c r="N363" s="659"/>
      <c r="O363" s="530"/>
      <c r="P363" s="509"/>
      <c r="Q363" s="540"/>
      <c r="R363" s="530"/>
      <c r="S363" s="540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522" t="s">
        <v>444</v>
      </c>
      <c r="B364" s="509" t="s">
        <v>119</v>
      </c>
      <c r="C364" s="573" t="s">
        <v>30</v>
      </c>
      <c r="D364" s="509"/>
      <c r="E364" s="509"/>
      <c r="F364" s="556"/>
      <c r="G364" s="530"/>
      <c r="H364" s="509"/>
      <c r="I364" s="556"/>
      <c r="J364" s="530"/>
      <c r="K364" s="509"/>
      <c r="L364" s="540"/>
      <c r="M364" s="530"/>
      <c r="N364" s="540"/>
      <c r="O364" s="530"/>
      <c r="P364" s="509"/>
      <c r="Q364" s="540"/>
      <c r="R364" s="530"/>
      <c r="S364" s="540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522" t="s">
        <v>445</v>
      </c>
      <c r="B365" s="509" t="s">
        <v>119</v>
      </c>
      <c r="C365" s="599" t="s">
        <v>41</v>
      </c>
      <c r="D365" s="509"/>
      <c r="E365" s="509"/>
      <c r="F365" s="531">
        <v>0</v>
      </c>
      <c r="G365" s="530"/>
      <c r="H365" s="509"/>
      <c r="I365" s="531"/>
      <c r="J365" s="530"/>
      <c r="K365" s="509"/>
      <c r="L365" s="533">
        <v>0</v>
      </c>
      <c r="M365" s="530"/>
      <c r="N365" s="540"/>
      <c r="O365" s="530"/>
      <c r="P365" s="509"/>
      <c r="Q365" s="533">
        <v>0</v>
      </c>
      <c r="R365" s="530"/>
      <c r="S365" s="533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522" t="s">
        <v>446</v>
      </c>
      <c r="B366" s="509" t="s">
        <v>119</v>
      </c>
      <c r="C366" s="601" t="s">
        <v>42</v>
      </c>
      <c r="D366" s="583"/>
      <c r="E366" s="509"/>
      <c r="F366" s="525">
        <v>0</v>
      </c>
      <c r="G366" s="584"/>
      <c r="H366" s="509"/>
      <c r="I366" s="525"/>
      <c r="J366" s="530"/>
      <c r="K366" s="509"/>
      <c r="L366" s="525">
        <v>0</v>
      </c>
      <c r="M366" s="530"/>
      <c r="N366" s="556"/>
      <c r="O366" s="530"/>
      <c r="P366" s="509"/>
      <c r="Q366" s="525">
        <v>0</v>
      </c>
      <c r="R366" s="530"/>
      <c r="S366" s="556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522" t="s">
        <v>447</v>
      </c>
      <c r="B367" s="509" t="s">
        <v>119</v>
      </c>
      <c r="C367" s="599" t="s">
        <v>43</v>
      </c>
      <c r="D367" s="602"/>
      <c r="E367" s="603"/>
      <c r="F367" s="531">
        <v>0</v>
      </c>
      <c r="G367" s="604"/>
      <c r="H367" s="603"/>
      <c r="I367" s="531"/>
      <c r="J367" s="517"/>
      <c r="K367" s="603"/>
      <c r="L367" s="533">
        <v>0</v>
      </c>
      <c r="M367" s="517"/>
      <c r="N367" s="605"/>
      <c r="O367" s="517"/>
      <c r="P367" s="603"/>
      <c r="Q367" s="533">
        <v>0</v>
      </c>
      <c r="R367" s="517"/>
      <c r="S367" s="605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522" t="s">
        <v>448</v>
      </c>
      <c r="B368" s="509" t="s">
        <v>119</v>
      </c>
      <c r="C368" s="599" t="s">
        <v>44</v>
      </c>
      <c r="D368" s="583"/>
      <c r="E368" s="509"/>
      <c r="F368" s="531">
        <v>0</v>
      </c>
      <c r="G368" s="584"/>
      <c r="H368" s="509"/>
      <c r="I368" s="531"/>
      <c r="J368" s="530"/>
      <c r="K368" s="509"/>
      <c r="L368" s="533">
        <v>0</v>
      </c>
      <c r="M368" s="530"/>
      <c r="N368" s="556"/>
      <c r="O368" s="530"/>
      <c r="P368" s="509"/>
      <c r="Q368" s="533">
        <v>0</v>
      </c>
      <c r="R368" s="530"/>
      <c r="S368" s="556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522" t="s">
        <v>449</v>
      </c>
      <c r="B369" s="509" t="s">
        <v>119</v>
      </c>
      <c r="C369" s="530" t="s">
        <v>20</v>
      </c>
      <c r="D369" s="583"/>
      <c r="E369" s="509"/>
      <c r="F369" s="531">
        <v>0</v>
      </c>
      <c r="G369" s="584"/>
      <c r="H369" s="509"/>
      <c r="I369" s="531"/>
      <c r="J369" s="530"/>
      <c r="K369" s="509"/>
      <c r="L369" s="533">
        <v>0</v>
      </c>
      <c r="M369" s="530"/>
      <c r="N369" s="556"/>
      <c r="O369" s="530"/>
      <c r="P369" s="509"/>
      <c r="Q369" s="533">
        <v>0</v>
      </c>
      <c r="R369" s="530"/>
      <c r="S369" s="556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522" t="s">
        <v>449</v>
      </c>
      <c r="B370" s="509" t="s">
        <v>119</v>
      </c>
      <c r="C370" s="530" t="s">
        <v>20</v>
      </c>
      <c r="D370" s="583"/>
      <c r="E370" s="509"/>
      <c r="F370" s="531">
        <v>0</v>
      </c>
      <c r="G370" s="584"/>
      <c r="H370" s="509"/>
      <c r="I370" s="531"/>
      <c r="J370" s="530"/>
      <c r="K370" s="509"/>
      <c r="L370" s="533">
        <v>0</v>
      </c>
      <c r="M370" s="530"/>
      <c r="N370" s="556"/>
      <c r="O370" s="530"/>
      <c r="P370" s="509"/>
      <c r="Q370" s="533">
        <v>0</v>
      </c>
      <c r="R370" s="530"/>
      <c r="S370" s="556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522" t="s">
        <v>449</v>
      </c>
      <c r="B371" s="509" t="s">
        <v>119</v>
      </c>
      <c r="C371" s="530" t="s">
        <v>20</v>
      </c>
      <c r="D371" s="583"/>
      <c r="E371" s="509"/>
      <c r="F371" s="531">
        <v>0</v>
      </c>
      <c r="G371" s="584"/>
      <c r="H371" s="509"/>
      <c r="I371" s="531"/>
      <c r="J371" s="530"/>
      <c r="K371" s="509"/>
      <c r="L371" s="533">
        <v>0</v>
      </c>
      <c r="M371" s="530"/>
      <c r="N371" s="556"/>
      <c r="O371" s="530"/>
      <c r="P371" s="509"/>
      <c r="Q371" s="533">
        <v>0</v>
      </c>
      <c r="R371" s="530"/>
      <c r="S371" s="556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522" t="s">
        <v>450</v>
      </c>
      <c r="B372" s="509" t="s">
        <v>119</v>
      </c>
      <c r="C372" s="601" t="s">
        <v>45</v>
      </c>
      <c r="D372" s="583"/>
      <c r="E372" s="509"/>
      <c r="F372" s="525">
        <v>0</v>
      </c>
      <c r="G372" s="584"/>
      <c r="H372" s="509"/>
      <c r="I372" s="525"/>
      <c r="J372" s="530"/>
      <c r="K372" s="509"/>
      <c r="L372" s="525">
        <v>0</v>
      </c>
      <c r="M372" s="530"/>
      <c r="N372" s="556"/>
      <c r="O372" s="530"/>
      <c r="P372" s="509"/>
      <c r="Q372" s="525">
        <v>0</v>
      </c>
      <c r="R372" s="530"/>
      <c r="S372" s="556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522" t="s">
        <v>451</v>
      </c>
      <c r="B373" s="509" t="s">
        <v>119</v>
      </c>
      <c r="C373" s="599" t="s">
        <v>46</v>
      </c>
      <c r="D373" s="602"/>
      <c r="E373" s="603"/>
      <c r="F373" s="531">
        <v>0</v>
      </c>
      <c r="G373" s="604"/>
      <c r="H373" s="603"/>
      <c r="I373" s="531"/>
      <c r="J373" s="517"/>
      <c r="K373" s="603"/>
      <c r="L373" s="533">
        <v>0</v>
      </c>
      <c r="M373" s="517"/>
      <c r="N373" s="605"/>
      <c r="O373" s="517"/>
      <c r="P373" s="603"/>
      <c r="Q373" s="533">
        <v>0</v>
      </c>
      <c r="R373" s="517"/>
      <c r="S373" s="605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522" t="s">
        <v>452</v>
      </c>
      <c r="B374" s="509" t="s">
        <v>119</v>
      </c>
      <c r="C374" s="599" t="s">
        <v>47</v>
      </c>
      <c r="D374" s="583"/>
      <c r="E374" s="509"/>
      <c r="F374" s="531">
        <v>0</v>
      </c>
      <c r="G374" s="584"/>
      <c r="H374" s="509"/>
      <c r="I374" s="531"/>
      <c r="J374" s="530"/>
      <c r="K374" s="509"/>
      <c r="L374" s="533">
        <v>0</v>
      </c>
      <c r="M374" s="530"/>
      <c r="N374" s="556"/>
      <c r="O374" s="530"/>
      <c r="P374" s="509"/>
      <c r="Q374" s="533">
        <v>0</v>
      </c>
      <c r="R374" s="530"/>
      <c r="S374" s="556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522" t="s">
        <v>453</v>
      </c>
      <c r="B375" s="509" t="s">
        <v>119</v>
      </c>
      <c r="C375" s="599" t="s">
        <v>48</v>
      </c>
      <c r="D375" s="583"/>
      <c r="E375" s="509"/>
      <c r="F375" s="531">
        <v>0</v>
      </c>
      <c r="G375" s="584"/>
      <c r="H375" s="509"/>
      <c r="I375" s="531"/>
      <c r="J375" s="530"/>
      <c r="K375" s="509"/>
      <c r="L375" s="533">
        <v>0</v>
      </c>
      <c r="M375" s="530"/>
      <c r="N375" s="556"/>
      <c r="O375" s="530"/>
      <c r="P375" s="509"/>
      <c r="Q375" s="533">
        <v>0</v>
      </c>
      <c r="R375" s="530"/>
      <c r="S375" s="556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522" t="s">
        <v>449</v>
      </c>
      <c r="B376" s="509" t="s">
        <v>119</v>
      </c>
      <c r="C376" s="530" t="s">
        <v>20</v>
      </c>
      <c r="D376" s="586"/>
      <c r="E376" s="606"/>
      <c r="F376" s="531">
        <v>0</v>
      </c>
      <c r="G376" s="587"/>
      <c r="H376" s="606"/>
      <c r="I376" s="531"/>
      <c r="J376" s="523"/>
      <c r="K376" s="606"/>
      <c r="L376" s="533">
        <v>0</v>
      </c>
      <c r="M376" s="523"/>
      <c r="N376" s="581"/>
      <c r="O376" s="523"/>
      <c r="P376" s="606"/>
      <c r="Q376" s="533">
        <v>0</v>
      </c>
      <c r="R376" s="523"/>
      <c r="S376" s="581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522" t="s">
        <v>454</v>
      </c>
      <c r="B377" s="509" t="s">
        <v>119</v>
      </c>
      <c r="C377" s="591" t="s">
        <v>49</v>
      </c>
      <c r="D377" s="592" t="s">
        <v>39</v>
      </c>
      <c r="E377" s="593">
        <v>0</v>
      </c>
      <c r="F377" s="594">
        <v>0</v>
      </c>
      <c r="G377" s="595"/>
      <c r="H377" s="593"/>
      <c r="I377" s="594"/>
      <c r="J377" s="595" t="s">
        <v>39</v>
      </c>
      <c r="K377" s="593">
        <v>0</v>
      </c>
      <c r="L377" s="594">
        <v>0</v>
      </c>
      <c r="M377" s="649"/>
      <c r="N377" s="608"/>
      <c r="O377" s="595" t="s">
        <v>39</v>
      </c>
      <c r="P377" s="593">
        <v>0</v>
      </c>
      <c r="Q377" s="594">
        <v>0</v>
      </c>
      <c r="R377" s="649"/>
      <c r="S377" s="608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522" t="s">
        <v>455</v>
      </c>
      <c r="B378" s="509" t="s">
        <v>119</v>
      </c>
      <c r="C378" s="705" t="s">
        <v>50</v>
      </c>
      <c r="D378" s="583"/>
      <c r="E378" s="509"/>
      <c r="F378" s="531">
        <v>0</v>
      </c>
      <c r="G378" s="584"/>
      <c r="H378" s="509"/>
      <c r="I378" s="531"/>
      <c r="J378" s="530"/>
      <c r="K378" s="509"/>
      <c r="L378" s="533">
        <v>0</v>
      </c>
      <c r="M378" s="530"/>
      <c r="N378" s="556"/>
      <c r="O378" s="530"/>
      <c r="P378" s="509"/>
      <c r="Q378" s="533">
        <v>0</v>
      </c>
      <c r="R378" s="530"/>
      <c r="S378" s="556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522" t="s">
        <v>456</v>
      </c>
      <c r="B379" s="509" t="s">
        <v>119</v>
      </c>
      <c r="C379" s="599" t="s">
        <v>51</v>
      </c>
      <c r="D379" s="583"/>
      <c r="E379" s="509"/>
      <c r="F379" s="531">
        <v>0</v>
      </c>
      <c r="G379" s="584"/>
      <c r="H379" s="509"/>
      <c r="I379" s="531"/>
      <c r="J379" s="530"/>
      <c r="K379" s="509"/>
      <c r="L379" s="533">
        <v>0</v>
      </c>
      <c r="M379" s="530"/>
      <c r="N379" s="556"/>
      <c r="O379" s="530"/>
      <c r="P379" s="509"/>
      <c r="Q379" s="533">
        <v>0</v>
      </c>
      <c r="R379" s="530"/>
      <c r="S379" s="556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522" t="s">
        <v>457</v>
      </c>
      <c r="B380" s="509" t="s">
        <v>119</v>
      </c>
      <c r="C380" s="601" t="s">
        <v>52</v>
      </c>
      <c r="D380" s="586"/>
      <c r="E380" s="606"/>
      <c r="F380" s="525">
        <v>0</v>
      </c>
      <c r="G380" s="587"/>
      <c r="H380" s="606"/>
      <c r="I380" s="525"/>
      <c r="J380" s="523"/>
      <c r="K380" s="606"/>
      <c r="L380" s="525">
        <v>0</v>
      </c>
      <c r="M380" s="523"/>
      <c r="N380" s="581"/>
      <c r="O380" s="523"/>
      <c r="P380" s="606"/>
      <c r="Q380" s="525">
        <v>0</v>
      </c>
      <c r="R380" s="523"/>
      <c r="S380" s="581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522" t="s">
        <v>458</v>
      </c>
      <c r="B381" s="509" t="s">
        <v>119</v>
      </c>
      <c r="C381" s="599" t="s">
        <v>53</v>
      </c>
      <c r="D381" s="583"/>
      <c r="E381" s="509"/>
      <c r="F381" s="531">
        <v>0</v>
      </c>
      <c r="G381" s="584"/>
      <c r="H381" s="509"/>
      <c r="I381" s="531"/>
      <c r="J381" s="530"/>
      <c r="K381" s="509"/>
      <c r="L381" s="533">
        <v>0</v>
      </c>
      <c r="M381" s="530"/>
      <c r="N381" s="556"/>
      <c r="O381" s="530"/>
      <c r="P381" s="509"/>
      <c r="Q381" s="533">
        <v>0</v>
      </c>
      <c r="R381" s="530"/>
      <c r="S381" s="556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522" t="s">
        <v>459</v>
      </c>
      <c r="B382" s="509" t="s">
        <v>119</v>
      </c>
      <c r="C382" s="599" t="s">
        <v>54</v>
      </c>
      <c r="D382" s="583"/>
      <c r="E382" s="509"/>
      <c r="F382" s="531">
        <v>0</v>
      </c>
      <c r="G382" s="584"/>
      <c r="H382" s="509"/>
      <c r="I382" s="531"/>
      <c r="J382" s="530"/>
      <c r="K382" s="509"/>
      <c r="L382" s="533">
        <v>0</v>
      </c>
      <c r="M382" s="530"/>
      <c r="N382" s="556"/>
      <c r="O382" s="530"/>
      <c r="P382" s="509"/>
      <c r="Q382" s="533">
        <v>0</v>
      </c>
      <c r="R382" s="530"/>
      <c r="S382" s="556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522" t="s">
        <v>460</v>
      </c>
      <c r="B383" s="509" t="s">
        <v>119</v>
      </c>
      <c r="C383" s="599" t="s">
        <v>55</v>
      </c>
      <c r="D383" s="586"/>
      <c r="E383" s="606"/>
      <c r="F383" s="525">
        <v>0</v>
      </c>
      <c r="G383" s="587"/>
      <c r="H383" s="606"/>
      <c r="I383" s="525"/>
      <c r="J383" s="523"/>
      <c r="K383" s="606"/>
      <c r="L383" s="525">
        <v>0</v>
      </c>
      <c r="M383" s="523"/>
      <c r="N383" s="581"/>
      <c r="O383" s="523"/>
      <c r="P383" s="606"/>
      <c r="Q383" s="525">
        <v>0</v>
      </c>
      <c r="R383" s="523"/>
      <c r="S383" s="581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522" t="s">
        <v>461</v>
      </c>
      <c r="B384" s="509" t="s">
        <v>119</v>
      </c>
      <c r="C384" s="705" t="s">
        <v>56</v>
      </c>
      <c r="D384" s="583"/>
      <c r="E384" s="509"/>
      <c r="F384" s="531">
        <v>0</v>
      </c>
      <c r="G384" s="584"/>
      <c r="H384" s="509"/>
      <c r="I384" s="531"/>
      <c r="J384" s="530"/>
      <c r="K384" s="509"/>
      <c r="L384" s="533">
        <v>0</v>
      </c>
      <c r="M384" s="530"/>
      <c r="N384" s="556"/>
      <c r="O384" s="530"/>
      <c r="P384" s="509"/>
      <c r="Q384" s="533">
        <v>0</v>
      </c>
      <c r="R384" s="530"/>
      <c r="S384" s="556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522" t="s">
        <v>462</v>
      </c>
      <c r="B385" s="509" t="s">
        <v>119</v>
      </c>
      <c r="C385" s="599" t="s">
        <v>57</v>
      </c>
      <c r="D385" s="583"/>
      <c r="E385" s="509"/>
      <c r="F385" s="531">
        <v>0</v>
      </c>
      <c r="G385" s="584"/>
      <c r="H385" s="509"/>
      <c r="I385" s="531"/>
      <c r="J385" s="530"/>
      <c r="K385" s="509"/>
      <c r="L385" s="533">
        <v>0</v>
      </c>
      <c r="M385" s="530"/>
      <c r="N385" s="556"/>
      <c r="O385" s="530"/>
      <c r="P385" s="509"/>
      <c r="Q385" s="533">
        <v>0</v>
      </c>
      <c r="R385" s="530"/>
      <c r="S385" s="556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522" t="s">
        <v>463</v>
      </c>
      <c r="B386" s="509" t="s">
        <v>119</v>
      </c>
      <c r="C386" s="599" t="s">
        <v>58</v>
      </c>
      <c r="D386" s="583"/>
      <c r="E386" s="509"/>
      <c r="F386" s="531">
        <v>0</v>
      </c>
      <c r="G386" s="584"/>
      <c r="H386" s="509"/>
      <c r="I386" s="531"/>
      <c r="J386" s="530"/>
      <c r="K386" s="509"/>
      <c r="L386" s="533">
        <v>0</v>
      </c>
      <c r="M386" s="530"/>
      <c r="N386" s="556"/>
      <c r="O386" s="530"/>
      <c r="P386" s="509"/>
      <c r="Q386" s="533">
        <v>0</v>
      </c>
      <c r="R386" s="530"/>
      <c r="S386" s="556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522" t="s">
        <v>464</v>
      </c>
      <c r="B387" s="509" t="s">
        <v>119</v>
      </c>
      <c r="C387" s="599" t="s">
        <v>59</v>
      </c>
      <c r="D387" s="583"/>
      <c r="E387" s="509"/>
      <c r="F387" s="531">
        <v>0</v>
      </c>
      <c r="G387" s="584"/>
      <c r="H387" s="509"/>
      <c r="I387" s="531"/>
      <c r="J387" s="530"/>
      <c r="K387" s="509"/>
      <c r="L387" s="533">
        <v>0</v>
      </c>
      <c r="M387" s="530"/>
      <c r="N387" s="556"/>
      <c r="O387" s="530"/>
      <c r="P387" s="509"/>
      <c r="Q387" s="533">
        <v>0</v>
      </c>
      <c r="R387" s="530"/>
      <c r="S387" s="556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522" t="s">
        <v>465</v>
      </c>
      <c r="B388" s="509" t="s">
        <v>119</v>
      </c>
      <c r="C388" s="599" t="s">
        <v>60</v>
      </c>
      <c r="D388" s="583"/>
      <c r="E388" s="509"/>
      <c r="F388" s="531">
        <v>0</v>
      </c>
      <c r="G388" s="584"/>
      <c r="H388" s="509"/>
      <c r="I388" s="531"/>
      <c r="J388" s="530"/>
      <c r="K388" s="509"/>
      <c r="L388" s="533">
        <v>0</v>
      </c>
      <c r="M388" s="530"/>
      <c r="N388" s="556"/>
      <c r="O388" s="530"/>
      <c r="P388" s="509"/>
      <c r="Q388" s="533">
        <v>0</v>
      </c>
      <c r="R388" s="530"/>
      <c r="S388" s="556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522" t="s">
        <v>466</v>
      </c>
      <c r="B389" s="509" t="s">
        <v>119</v>
      </c>
      <c r="C389" s="599" t="s">
        <v>61</v>
      </c>
      <c r="D389" s="583"/>
      <c r="E389" s="509"/>
      <c r="F389" s="531">
        <v>0</v>
      </c>
      <c r="G389" s="584"/>
      <c r="H389" s="509"/>
      <c r="I389" s="531"/>
      <c r="J389" s="530"/>
      <c r="K389" s="509"/>
      <c r="L389" s="533">
        <v>0</v>
      </c>
      <c r="M389" s="530"/>
      <c r="N389" s="556"/>
      <c r="O389" s="530"/>
      <c r="P389" s="509"/>
      <c r="Q389" s="533">
        <v>0</v>
      </c>
      <c r="R389" s="530"/>
      <c r="S389" s="556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522" t="s">
        <v>467</v>
      </c>
      <c r="B390" s="509" t="s">
        <v>119</v>
      </c>
      <c r="C390" s="599" t="s">
        <v>62</v>
      </c>
      <c r="D390" s="583"/>
      <c r="E390" s="509"/>
      <c r="F390" s="531">
        <v>0</v>
      </c>
      <c r="G390" s="584"/>
      <c r="H390" s="509"/>
      <c r="I390" s="531"/>
      <c r="J390" s="530"/>
      <c r="K390" s="509"/>
      <c r="L390" s="533">
        <v>0</v>
      </c>
      <c r="M390" s="530"/>
      <c r="N390" s="556"/>
      <c r="O390" s="530"/>
      <c r="P390" s="509"/>
      <c r="Q390" s="533">
        <v>0</v>
      </c>
      <c r="R390" s="530"/>
      <c r="S390" s="556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522" t="s">
        <v>468</v>
      </c>
      <c r="B391" s="509" t="s">
        <v>119</v>
      </c>
      <c r="C391" s="599" t="s">
        <v>63</v>
      </c>
      <c r="D391" s="583"/>
      <c r="E391" s="509"/>
      <c r="F391" s="531">
        <v>0</v>
      </c>
      <c r="G391" s="584"/>
      <c r="H391" s="509"/>
      <c r="I391" s="531"/>
      <c r="J391" s="530"/>
      <c r="K391" s="509"/>
      <c r="L391" s="533">
        <v>0</v>
      </c>
      <c r="M391" s="530"/>
      <c r="N391" s="556"/>
      <c r="O391" s="530"/>
      <c r="P391" s="509"/>
      <c r="Q391" s="533">
        <v>0</v>
      </c>
      <c r="R391" s="530"/>
      <c r="S391" s="556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522" t="s">
        <v>449</v>
      </c>
      <c r="B392" s="509" t="s">
        <v>119</v>
      </c>
      <c r="C392" s="599" t="s">
        <v>20</v>
      </c>
      <c r="D392" s="583"/>
      <c r="E392" s="509"/>
      <c r="F392" s="531">
        <v>0</v>
      </c>
      <c r="G392" s="584"/>
      <c r="H392" s="509"/>
      <c r="I392" s="531"/>
      <c r="J392" s="530"/>
      <c r="K392" s="509"/>
      <c r="L392" s="533">
        <v>0</v>
      </c>
      <c r="M392" s="530"/>
      <c r="N392" s="556"/>
      <c r="O392" s="530"/>
      <c r="P392" s="509"/>
      <c r="Q392" s="533">
        <v>0</v>
      </c>
      <c r="R392" s="530"/>
      <c r="S392" s="556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522" t="s">
        <v>449</v>
      </c>
      <c r="B393" s="509" t="s">
        <v>119</v>
      </c>
      <c r="C393" s="599" t="s">
        <v>20</v>
      </c>
      <c r="D393" s="583"/>
      <c r="E393" s="509"/>
      <c r="F393" s="531">
        <v>0</v>
      </c>
      <c r="G393" s="584"/>
      <c r="H393" s="509"/>
      <c r="I393" s="531"/>
      <c r="J393" s="530"/>
      <c r="K393" s="509"/>
      <c r="L393" s="533">
        <v>0</v>
      </c>
      <c r="M393" s="530"/>
      <c r="N393" s="556"/>
      <c r="O393" s="530"/>
      <c r="P393" s="509"/>
      <c r="Q393" s="533">
        <v>0</v>
      </c>
      <c r="R393" s="530"/>
      <c r="S393" s="556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522" t="s">
        <v>449</v>
      </c>
      <c r="B394" s="509" t="s">
        <v>119</v>
      </c>
      <c r="C394" s="599" t="s">
        <v>20</v>
      </c>
      <c r="D394" s="586"/>
      <c r="E394" s="606"/>
      <c r="F394" s="531">
        <v>0</v>
      </c>
      <c r="G394" s="587"/>
      <c r="H394" s="606"/>
      <c r="I394" s="531"/>
      <c r="J394" s="523"/>
      <c r="K394" s="606"/>
      <c r="L394" s="533">
        <v>0</v>
      </c>
      <c r="M394" s="523"/>
      <c r="N394" s="581"/>
      <c r="O394" s="523"/>
      <c r="P394" s="606"/>
      <c r="Q394" s="533">
        <v>0</v>
      </c>
      <c r="R394" s="523"/>
      <c r="S394" s="581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91" t="s">
        <v>64</v>
      </c>
      <c r="D395" s="592" t="s">
        <v>39</v>
      </c>
      <c r="E395" s="593">
        <v>0</v>
      </c>
      <c r="F395" s="594">
        <v>0</v>
      </c>
      <c r="G395" s="595"/>
      <c r="H395" s="593"/>
      <c r="I395" s="594"/>
      <c r="J395" s="595" t="s">
        <v>39</v>
      </c>
      <c r="K395" s="593">
        <v>0</v>
      </c>
      <c r="L395" s="594">
        <v>0</v>
      </c>
      <c r="M395" s="649"/>
      <c r="N395" s="594"/>
      <c r="O395" s="595" t="s">
        <v>39</v>
      </c>
      <c r="P395" s="593">
        <v>0</v>
      </c>
      <c r="Q395" s="594">
        <v>0</v>
      </c>
      <c r="R395" s="649"/>
      <c r="S395" s="608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30"/>
      <c r="D396" s="509"/>
      <c r="E396" s="509"/>
      <c r="F396" s="540"/>
      <c r="G396" s="530"/>
      <c r="H396" s="509"/>
      <c r="I396" s="540"/>
      <c r="J396" s="530"/>
      <c r="K396" s="509"/>
      <c r="L396" s="540"/>
      <c r="M396" s="549"/>
      <c r="N396" s="571"/>
      <c r="O396" s="530"/>
      <c r="P396" s="509"/>
      <c r="Q396" s="540"/>
      <c r="R396" s="530"/>
      <c r="S396" s="571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91" t="s">
        <v>65</v>
      </c>
      <c r="D397" s="592" t="s">
        <v>39</v>
      </c>
      <c r="E397" s="593">
        <v>0</v>
      </c>
      <c r="F397" s="594">
        <v>0</v>
      </c>
      <c r="G397" s="595"/>
      <c r="H397" s="593"/>
      <c r="I397" s="594"/>
      <c r="J397" s="595" t="s">
        <v>39</v>
      </c>
      <c r="K397" s="593">
        <v>0</v>
      </c>
      <c r="L397" s="594">
        <v>0</v>
      </c>
      <c r="M397" s="591"/>
      <c r="N397" s="594"/>
      <c r="O397" s="595" t="s">
        <v>39</v>
      </c>
      <c r="P397" s="593">
        <v>0</v>
      </c>
      <c r="Q397" s="594">
        <v>0</v>
      </c>
      <c r="R397" s="598"/>
      <c r="S397" s="594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30"/>
      <c r="D398" s="509"/>
      <c r="E398" s="509"/>
      <c r="F398" s="556"/>
      <c r="G398" s="530"/>
      <c r="H398" s="509"/>
      <c r="I398" s="556"/>
      <c r="J398" s="530"/>
      <c r="K398" s="509"/>
      <c r="L398" s="556"/>
      <c r="M398" s="549"/>
      <c r="N398" s="571"/>
      <c r="O398" s="530"/>
      <c r="P398" s="509"/>
      <c r="Q398" s="556"/>
      <c r="R398" s="530"/>
      <c r="S398" s="571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31" t="s">
        <v>72</v>
      </c>
      <c r="D399" s="732"/>
      <c r="E399" s="732"/>
      <c r="F399" s="733">
        <v>0</v>
      </c>
      <c r="G399" s="731"/>
      <c r="H399" s="732"/>
      <c r="I399" s="733"/>
      <c r="J399" s="734"/>
      <c r="K399" s="735"/>
      <c r="L399" s="733">
        <v>0</v>
      </c>
      <c r="M399" s="731"/>
      <c r="N399" s="733"/>
      <c r="O399" s="734"/>
      <c r="P399" s="735"/>
      <c r="Q399" s="733">
        <v>0</v>
      </c>
      <c r="R399" s="734"/>
      <c r="S399" s="733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70"/>
      <c r="D400" s="736"/>
      <c r="E400" s="509"/>
      <c r="F400" s="607">
        <v>57290.493919824425</v>
      </c>
      <c r="G400" s="583"/>
      <c r="H400" s="509"/>
      <c r="I400" s="607"/>
      <c r="J400" s="736"/>
      <c r="K400" s="570"/>
      <c r="L400" s="607">
        <v>156402.48000000004</v>
      </c>
      <c r="M400" s="570"/>
      <c r="N400" s="607"/>
      <c r="O400" s="570"/>
      <c r="P400" s="570"/>
      <c r="Q400" s="607"/>
      <c r="R400" s="570"/>
      <c r="S400" s="607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7"/>
      <c r="L401" s="737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25">
      <c r="B402" s="503"/>
      <c r="C402" s="738" t="s">
        <v>227</v>
      </c>
      <c r="F402" s="737"/>
      <c r="L402" s="737"/>
      <c r="V402" s="739" t="s">
        <v>478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477</v>
      </c>
      <c r="AF402" s="495"/>
      <c r="AG402" s="495"/>
      <c r="AH402" s="495"/>
      <c r="AI402" s="495"/>
      <c r="AJ402" s="740"/>
      <c r="AK402" s="497"/>
      <c r="AL402" s="495"/>
      <c r="AM402" s="495"/>
      <c r="AN402" s="495"/>
      <c r="AO402" s="740" t="s">
        <v>482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8" t="s">
        <v>227</v>
      </c>
      <c r="V403" s="741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522" t="s">
        <v>469</v>
      </c>
      <c r="B404" s="503"/>
      <c r="C404" s="738" t="s">
        <v>227</v>
      </c>
      <c r="V404" s="742"/>
      <c r="W404" s="743"/>
      <c r="X404" s="744" t="s">
        <v>122</v>
      </c>
      <c r="Y404" s="745"/>
      <c r="Z404" s="746"/>
      <c r="AA404" s="747"/>
      <c r="AB404" s="745"/>
      <c r="AC404" s="746"/>
      <c r="AD404" s="747" t="s">
        <v>7</v>
      </c>
      <c r="AE404" s="745"/>
      <c r="AF404" s="746"/>
      <c r="AG404" s="747" t="s">
        <v>220</v>
      </c>
      <c r="AH404" s="745"/>
      <c r="AI404" s="746"/>
      <c r="AJ404" s="747" t="s">
        <v>123</v>
      </c>
      <c r="AK404" s="745"/>
      <c r="AL404" s="745"/>
      <c r="AM404" s="747" t="s">
        <v>124</v>
      </c>
      <c r="AN404" s="745"/>
      <c r="AO404" s="748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522" t="s">
        <v>469</v>
      </c>
      <c r="B405" s="503"/>
      <c r="C405" s="738" t="s">
        <v>227</v>
      </c>
      <c r="V405" s="523"/>
      <c r="W405" s="700" t="s">
        <v>125</v>
      </c>
      <c r="X405" s="700" t="s">
        <v>126</v>
      </c>
      <c r="Y405" s="700" t="s">
        <v>127</v>
      </c>
      <c r="Z405" s="749" t="s">
        <v>128</v>
      </c>
      <c r="AA405" s="700"/>
      <c r="AB405" s="700"/>
      <c r="AC405" s="749"/>
      <c r="AD405" s="750" t="s">
        <v>126</v>
      </c>
      <c r="AE405" s="700" t="s">
        <v>127</v>
      </c>
      <c r="AF405" s="700" t="s">
        <v>128</v>
      </c>
      <c r="AG405" s="750" t="s">
        <v>129</v>
      </c>
      <c r="AH405" s="700" t="s">
        <v>130</v>
      </c>
      <c r="AI405" s="700" t="s">
        <v>131</v>
      </c>
      <c r="AJ405" s="750" t="s">
        <v>126</v>
      </c>
      <c r="AK405" s="700" t="s">
        <v>127</v>
      </c>
      <c r="AL405" s="700" t="s">
        <v>128</v>
      </c>
      <c r="AM405" s="751" t="s">
        <v>129</v>
      </c>
      <c r="AN405" s="700" t="s">
        <v>130</v>
      </c>
      <c r="AO405" s="636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522" t="s">
        <v>15</v>
      </c>
      <c r="B406" s="503"/>
      <c r="C406" s="738" t="s">
        <v>227</v>
      </c>
      <c r="V406" s="601" t="s">
        <v>15</v>
      </c>
      <c r="W406" s="752"/>
      <c r="X406" s="752"/>
      <c r="Y406" s="752"/>
      <c r="Z406" s="753">
        <v>5294550.2992112022</v>
      </c>
      <c r="AA406" s="752"/>
      <c r="AB406" s="752"/>
      <c r="AC406" s="753"/>
      <c r="AD406" s="754"/>
      <c r="AE406" s="755"/>
      <c r="AF406" s="755">
        <v>4546517.8899999997</v>
      </c>
      <c r="AG406" s="754"/>
      <c r="AH406" s="755"/>
      <c r="AI406" s="756"/>
      <c r="AJ406" s="754"/>
      <c r="AK406" s="755"/>
      <c r="AL406" s="755">
        <v>3688847.9799999995</v>
      </c>
      <c r="AM406" s="757"/>
      <c r="AN406" s="755"/>
      <c r="AO406" s="758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522" t="s">
        <v>132</v>
      </c>
      <c r="B407" s="503"/>
      <c r="C407" s="738" t="s">
        <v>227</v>
      </c>
      <c r="V407" s="759" t="s">
        <v>132</v>
      </c>
      <c r="W407" s="760"/>
      <c r="X407" s="761">
        <v>0.11363658794997648</v>
      </c>
      <c r="Y407" s="760"/>
      <c r="Z407" s="762">
        <v>601654.63073188812</v>
      </c>
      <c r="AA407" s="760"/>
      <c r="AB407" s="760"/>
      <c r="AC407" s="762"/>
      <c r="AD407" s="761">
        <v>0.12252224086156625</v>
      </c>
      <c r="AE407" s="763"/>
      <c r="AF407" s="762">
        <v>557049.55999999994</v>
      </c>
      <c r="AG407" s="764"/>
      <c r="AH407" s="763">
        <v>-44605.070731888176</v>
      </c>
      <c r="AI407" s="765">
        <v>-7.4137334699191038E-2</v>
      </c>
      <c r="AJ407" s="761">
        <v>0.12405635105624488</v>
      </c>
      <c r="AK407" s="763"/>
      <c r="AL407" s="763">
        <v>457625.01999999973</v>
      </c>
      <c r="AM407" s="766"/>
      <c r="AN407" s="763">
        <v>99424.540000000212</v>
      </c>
      <c r="AO407" s="767">
        <v>0.21726202819942028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522" t="s">
        <v>133</v>
      </c>
      <c r="B408" s="503"/>
      <c r="C408" s="738" t="s">
        <v>227</v>
      </c>
      <c r="V408" s="768" t="s">
        <v>133</v>
      </c>
      <c r="W408" s="769"/>
      <c r="X408" s="769"/>
      <c r="Y408" s="769"/>
      <c r="Z408" s="770"/>
      <c r="AA408" s="769"/>
      <c r="AB408" s="769"/>
      <c r="AC408" s="770"/>
      <c r="AD408" s="771"/>
      <c r="AE408" s="769"/>
      <c r="AF408" s="772"/>
      <c r="AG408" s="771"/>
      <c r="AH408" s="772"/>
      <c r="AI408" s="773"/>
      <c r="AJ408" s="771"/>
      <c r="AK408" s="769"/>
      <c r="AL408" s="772"/>
      <c r="AM408" s="774"/>
      <c r="AN408" s="772"/>
      <c r="AO408" s="775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522" t="s">
        <v>31</v>
      </c>
      <c r="B409" s="503"/>
      <c r="C409" s="738" t="s">
        <v>227</v>
      </c>
      <c r="V409" s="599" t="s">
        <v>31</v>
      </c>
      <c r="W409" s="776" t="s">
        <v>134</v>
      </c>
      <c r="X409" s="769"/>
      <c r="Y409" s="777">
        <v>704.51145100421672</v>
      </c>
      <c r="Z409" s="770">
        <v>55656.404629333119</v>
      </c>
      <c r="AA409" s="769"/>
      <c r="AB409" s="777"/>
      <c r="AC409" s="770"/>
      <c r="AD409" s="778"/>
      <c r="AE409" s="777">
        <v>603.16655737704923</v>
      </c>
      <c r="AF409" s="770">
        <v>36793.160000000003</v>
      </c>
      <c r="AG409" s="771">
        <v>-101.34489362716749</v>
      </c>
      <c r="AH409" s="772">
        <v>-18863.244629333116</v>
      </c>
      <c r="AI409" s="773">
        <v>-0.33892316176297599</v>
      </c>
      <c r="AJ409" s="779">
        <v>8.1031714568403676E-2</v>
      </c>
      <c r="AK409" s="772">
        <v>772.54458333333332</v>
      </c>
      <c r="AL409" s="770">
        <v>37082.14</v>
      </c>
      <c r="AM409" s="774">
        <v>-101.34489362716749</v>
      </c>
      <c r="AN409" s="772">
        <v>-288.97999999999593</v>
      </c>
      <c r="AO409" s="780">
        <v>-7.7929698771429029E-3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522" t="s">
        <v>32</v>
      </c>
      <c r="B410" s="503"/>
      <c r="C410" s="738" t="s">
        <v>227</v>
      </c>
      <c r="V410" s="601" t="s">
        <v>32</v>
      </c>
      <c r="W410" s="781" t="s">
        <v>135</v>
      </c>
      <c r="X410" s="752"/>
      <c r="Y410" s="782">
        <v>386.07594936708858</v>
      </c>
      <c r="Z410" s="753">
        <v>30500</v>
      </c>
      <c r="AA410" s="752"/>
      <c r="AB410" s="782"/>
      <c r="AC410" s="753"/>
      <c r="AD410" s="783"/>
      <c r="AE410" s="782">
        <v>414.37803278688523</v>
      </c>
      <c r="AF410" s="753">
        <v>25277.059999999998</v>
      </c>
      <c r="AG410" s="754">
        <v>28.302083419796645</v>
      </c>
      <c r="AH410" s="755">
        <v>-5222.9400000000023</v>
      </c>
      <c r="AI410" s="784">
        <v>-0.17124393442622959</v>
      </c>
      <c r="AJ410" s="785">
        <v>5.1197637751537302E-2</v>
      </c>
      <c r="AK410" s="755">
        <v>488.11083333333335</v>
      </c>
      <c r="AL410" s="753">
        <v>23429.32</v>
      </c>
      <c r="AM410" s="757">
        <v>28.302083419796645</v>
      </c>
      <c r="AN410" s="755">
        <v>1847.739999999998</v>
      </c>
      <c r="AO410" s="758">
        <v>7.8864431404752591E-2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522" t="s">
        <v>33</v>
      </c>
      <c r="B411" s="503"/>
      <c r="C411" s="738" t="s">
        <v>227</v>
      </c>
      <c r="V411" s="599" t="s">
        <v>33</v>
      </c>
      <c r="W411" s="776" t="s">
        <v>136</v>
      </c>
      <c r="X411" s="769"/>
      <c r="Y411" s="777">
        <v>84.151898734177209</v>
      </c>
      <c r="Z411" s="770">
        <v>6648</v>
      </c>
      <c r="AA411" s="769"/>
      <c r="AB411" s="777"/>
      <c r="AC411" s="770"/>
      <c r="AD411" s="778"/>
      <c r="AE411" s="777">
        <v>74.163278688524585</v>
      </c>
      <c r="AF411" s="770">
        <v>4523.96</v>
      </c>
      <c r="AG411" s="771">
        <v>-9.988620045652624</v>
      </c>
      <c r="AH411" s="772">
        <v>-2124.04</v>
      </c>
      <c r="AI411" s="773">
        <v>-0.31950060168471722</v>
      </c>
      <c r="AJ411" s="779">
        <v>8.8775521932782497E-3</v>
      </c>
      <c r="AK411" s="772">
        <v>84.63729166666667</v>
      </c>
      <c r="AL411" s="770">
        <v>4062.59</v>
      </c>
      <c r="AM411" s="774">
        <v>-9.988620045652624</v>
      </c>
      <c r="AN411" s="772">
        <v>461.36999999999989</v>
      </c>
      <c r="AO411" s="780">
        <v>0.1135654840877371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522" t="s">
        <v>34</v>
      </c>
      <c r="B412" s="503"/>
      <c r="C412" s="738" t="s">
        <v>227</v>
      </c>
      <c r="V412" s="599" t="s">
        <v>34</v>
      </c>
      <c r="W412" s="776" t="s">
        <v>137</v>
      </c>
      <c r="X412" s="769"/>
      <c r="Y412" s="777">
        <v>21.898734177215189</v>
      </c>
      <c r="Z412" s="770">
        <v>1730</v>
      </c>
      <c r="AA412" s="769"/>
      <c r="AB412" s="777"/>
      <c r="AC412" s="770"/>
      <c r="AD412" s="778"/>
      <c r="AE412" s="777">
        <v>-40.624098360655744</v>
      </c>
      <c r="AF412" s="770">
        <v>-2478.0700000000002</v>
      </c>
      <c r="AG412" s="771">
        <v>-62.522832537870933</v>
      </c>
      <c r="AH412" s="772">
        <v>-4208.07</v>
      </c>
      <c r="AI412" s="773">
        <v>-2.4324104046242772</v>
      </c>
      <c r="AJ412" s="779">
        <v>-1.708953763061295E-3</v>
      </c>
      <c r="AK412" s="772">
        <v>-16.292916666666667</v>
      </c>
      <c r="AL412" s="770">
        <v>-782.06</v>
      </c>
      <c r="AM412" s="774">
        <v>-62.522832537870933</v>
      </c>
      <c r="AN412" s="772">
        <v>-1696.0100000000002</v>
      </c>
      <c r="AO412" s="780">
        <v>2.1686443495383991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522" t="s">
        <v>35</v>
      </c>
      <c r="B413" s="503"/>
      <c r="C413" s="738" t="s">
        <v>227</v>
      </c>
      <c r="V413" s="601" t="s">
        <v>35</v>
      </c>
      <c r="W413" s="781"/>
      <c r="X413" s="752"/>
      <c r="Y413" s="782">
        <v>138.25316455696202</v>
      </c>
      <c r="Z413" s="753">
        <v>10922</v>
      </c>
      <c r="AA413" s="752"/>
      <c r="AB413" s="782"/>
      <c r="AC413" s="753"/>
      <c r="AD413" s="783"/>
      <c r="AE413" s="782">
        <v>175.29901639344263</v>
      </c>
      <c r="AF413" s="753">
        <v>10693.24</v>
      </c>
      <c r="AG413" s="754">
        <v>37.045851836480608</v>
      </c>
      <c r="AH413" s="755">
        <v>-228.76000000000022</v>
      </c>
      <c r="AI413" s="784">
        <v>-2.0944881889763799E-2</v>
      </c>
      <c r="AJ413" s="785">
        <v>1.5663129607729937E-2</v>
      </c>
      <c r="AK413" s="755">
        <v>149.33000000000001</v>
      </c>
      <c r="AL413" s="753">
        <v>7167.84</v>
      </c>
      <c r="AM413" s="757">
        <v>37.045851836480608</v>
      </c>
      <c r="AN413" s="755">
        <v>3525.3999999999996</v>
      </c>
      <c r="AO413" s="758">
        <v>0.4918357552623942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522" t="s">
        <v>36</v>
      </c>
      <c r="B414" s="503"/>
      <c r="C414" s="738" t="s">
        <v>227</v>
      </c>
      <c r="V414" s="599" t="s">
        <v>36</v>
      </c>
      <c r="W414" s="776" t="s">
        <v>138</v>
      </c>
      <c r="X414" s="773"/>
      <c r="Y414" s="777">
        <v>234.73417721518987</v>
      </c>
      <c r="Z414" s="770">
        <v>18544</v>
      </c>
      <c r="AA414" s="773"/>
      <c r="AB414" s="777"/>
      <c r="AC414" s="770"/>
      <c r="AD414" s="778"/>
      <c r="AE414" s="777">
        <v>474.41737704918035</v>
      </c>
      <c r="AF414" s="770">
        <v>28939.460000000003</v>
      </c>
      <c r="AG414" s="771">
        <v>239.68319983399047</v>
      </c>
      <c r="AH414" s="772">
        <v>10395.460000000003</v>
      </c>
      <c r="AI414" s="773">
        <v>0.56058347713546175</v>
      </c>
      <c r="AJ414" s="779">
        <v>5.4134277885417886E-2</v>
      </c>
      <c r="AK414" s="772">
        <v>516.1083333333313</v>
      </c>
      <c r="AL414" s="770">
        <v>24773.199999999903</v>
      </c>
      <c r="AM414" s="774">
        <v>239.68319983399047</v>
      </c>
      <c r="AN414" s="772">
        <v>4166.2600000001003</v>
      </c>
      <c r="AO414" s="780">
        <v>0.16817609352042193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522" t="s">
        <v>37</v>
      </c>
      <c r="B415" s="503"/>
      <c r="C415" s="738" t="s">
        <v>227</v>
      </c>
      <c r="V415" s="599" t="s">
        <v>37</v>
      </c>
      <c r="W415" s="776" t="s">
        <v>139</v>
      </c>
      <c r="X415" s="769"/>
      <c r="Y415" s="777">
        <v>518.25198177059281</v>
      </c>
      <c r="Z415" s="770">
        <v>40941.906559876836</v>
      </c>
      <c r="AA415" s="769"/>
      <c r="AB415" s="777"/>
      <c r="AC415" s="770"/>
      <c r="AD415" s="778"/>
      <c r="AE415" s="777">
        <v>251.46653846153845</v>
      </c>
      <c r="AF415" s="770">
        <v>19614.39</v>
      </c>
      <c r="AG415" s="771">
        <v>-266.78544330905436</v>
      </c>
      <c r="AH415" s="772">
        <v>-21327.516559876836</v>
      </c>
      <c r="AI415" s="773">
        <v>-0.52092143116700507</v>
      </c>
      <c r="AJ415" s="779">
        <v>-2.4349411664598259E-3</v>
      </c>
      <c r="AK415" s="772">
        <v>-23.214375000000008</v>
      </c>
      <c r="AL415" s="770">
        <v>-1114.2900000000004</v>
      </c>
      <c r="AM415" s="774">
        <v>-266.78544330905436</v>
      </c>
      <c r="AN415" s="772">
        <v>20728.68</v>
      </c>
      <c r="AO415" s="780">
        <v>-18.602589990038492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522" t="s">
        <v>20</v>
      </c>
      <c r="B416" s="503"/>
      <c r="C416" s="738" t="s">
        <v>227</v>
      </c>
      <c r="V416" s="599" t="s">
        <v>20</v>
      </c>
      <c r="W416" s="776"/>
      <c r="X416" s="773"/>
      <c r="Y416" s="777">
        <v>0</v>
      </c>
      <c r="Z416" s="770">
        <v>0</v>
      </c>
      <c r="AA416" s="769"/>
      <c r="AB416" s="777"/>
      <c r="AC416" s="770"/>
      <c r="AD416" s="778"/>
      <c r="AE416" s="777">
        <v>0</v>
      </c>
      <c r="AF416" s="770">
        <v>0</v>
      </c>
      <c r="AG416" s="771">
        <v>0</v>
      </c>
      <c r="AH416" s="772">
        <v>0</v>
      </c>
      <c r="AI416" s="773">
        <v>0</v>
      </c>
      <c r="AJ416" s="778"/>
      <c r="AK416" s="772">
        <v>0</v>
      </c>
      <c r="AL416" s="770">
        <v>0</v>
      </c>
      <c r="AM416" s="774">
        <v>0</v>
      </c>
      <c r="AN416" s="772">
        <v>0</v>
      </c>
      <c r="AO416" s="780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522" t="s">
        <v>20</v>
      </c>
      <c r="B417" s="503"/>
      <c r="C417" s="738" t="s">
        <v>227</v>
      </c>
      <c r="V417" s="599" t="s">
        <v>20</v>
      </c>
      <c r="W417" s="776"/>
      <c r="X417" s="773"/>
      <c r="Y417" s="777">
        <v>0</v>
      </c>
      <c r="Z417" s="770">
        <v>0</v>
      </c>
      <c r="AA417" s="769"/>
      <c r="AB417" s="777"/>
      <c r="AC417" s="770"/>
      <c r="AD417" s="778"/>
      <c r="AE417" s="777">
        <v>0</v>
      </c>
      <c r="AF417" s="770">
        <v>0</v>
      </c>
      <c r="AG417" s="771">
        <v>0</v>
      </c>
      <c r="AH417" s="772">
        <v>0</v>
      </c>
      <c r="AI417" s="773">
        <v>0</v>
      </c>
      <c r="AJ417" s="778"/>
      <c r="AK417" s="772">
        <v>0</v>
      </c>
      <c r="AL417" s="770">
        <v>0</v>
      </c>
      <c r="AM417" s="774">
        <v>0</v>
      </c>
      <c r="AN417" s="772">
        <v>0</v>
      </c>
      <c r="AO417" s="780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522" t="s">
        <v>20</v>
      </c>
      <c r="B418" s="503"/>
      <c r="C418" s="738" t="s">
        <v>227</v>
      </c>
      <c r="V418" s="599" t="s">
        <v>20</v>
      </c>
      <c r="W418" s="776" t="s">
        <v>139</v>
      </c>
      <c r="X418" s="769"/>
      <c r="Y418" s="777">
        <v>0</v>
      </c>
      <c r="Z418" s="770">
        <v>0</v>
      </c>
      <c r="AA418" s="769"/>
      <c r="AB418" s="777"/>
      <c r="AC418" s="770"/>
      <c r="AD418" s="778"/>
      <c r="AE418" s="777">
        <v>0</v>
      </c>
      <c r="AF418" s="770">
        <v>0</v>
      </c>
      <c r="AG418" s="771">
        <v>0</v>
      </c>
      <c r="AH418" s="772">
        <v>0</v>
      </c>
      <c r="AI418" s="773">
        <v>0</v>
      </c>
      <c r="AJ418" s="778"/>
      <c r="AK418" s="772">
        <v>0</v>
      </c>
      <c r="AL418" s="770">
        <v>0</v>
      </c>
      <c r="AM418" s="774">
        <v>0</v>
      </c>
      <c r="AN418" s="772">
        <v>0</v>
      </c>
      <c r="AO418" s="780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522" t="s">
        <v>38</v>
      </c>
      <c r="B419" s="503"/>
      <c r="C419" s="738" t="s">
        <v>227</v>
      </c>
      <c r="V419" s="786" t="s">
        <v>38</v>
      </c>
      <c r="W419" s="787"/>
      <c r="X419" s="788">
        <v>0.27414782960876477</v>
      </c>
      <c r="Y419" s="787"/>
      <c r="Z419" s="789">
        <v>164942.31118920996</v>
      </c>
      <c r="AA419" s="788"/>
      <c r="AB419" s="787"/>
      <c r="AC419" s="789"/>
      <c r="AD419" s="790">
        <v>0.22145821280246594</v>
      </c>
      <c r="AE419" s="787"/>
      <c r="AF419" s="789">
        <v>123363.20000000001</v>
      </c>
      <c r="AG419" s="791"/>
      <c r="AH419" s="792">
        <v>-41579.111189209943</v>
      </c>
      <c r="AI419" s="788">
        <v>-0.252082748746702</v>
      </c>
      <c r="AJ419" s="790">
        <v>0.20676041707684595</v>
      </c>
      <c r="AK419" s="787"/>
      <c r="AL419" s="789">
        <v>94618.739999999918</v>
      </c>
      <c r="AM419" s="793"/>
      <c r="AN419" s="792">
        <v>28744.460000000094</v>
      </c>
      <c r="AO419" s="767">
        <v>0.30379246225430734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522" t="s">
        <v>140</v>
      </c>
      <c r="B420" s="503"/>
      <c r="C420" s="738" t="s">
        <v>227</v>
      </c>
      <c r="V420" s="599" t="s">
        <v>140</v>
      </c>
      <c r="W420" s="776" t="s">
        <v>141</v>
      </c>
      <c r="X420" s="769"/>
      <c r="Y420" s="769"/>
      <c r="Z420" s="770">
        <v>14451.14423076923</v>
      </c>
      <c r="AA420" s="769"/>
      <c r="AB420" s="769"/>
      <c r="AC420" s="770"/>
      <c r="AD420" s="778"/>
      <c r="AE420" s="777"/>
      <c r="AF420" s="770">
        <v>16462.760000000002</v>
      </c>
      <c r="AG420" s="771"/>
      <c r="AH420" s="772">
        <v>2011.6157692307715</v>
      </c>
      <c r="AI420" s="773">
        <v>0.13920114124580249</v>
      </c>
      <c r="AJ420" s="778"/>
      <c r="AK420" s="769"/>
      <c r="AL420" s="770">
        <v>11445.98</v>
      </c>
      <c r="AM420" s="774"/>
      <c r="AN420" s="772">
        <v>5016.7800000000025</v>
      </c>
      <c r="AO420" s="780">
        <v>0.43830060859795339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522" t="s">
        <v>41</v>
      </c>
      <c r="B421" s="503"/>
      <c r="C421" s="738" t="s">
        <v>227</v>
      </c>
      <c r="V421" s="599" t="s">
        <v>41</v>
      </c>
      <c r="W421" s="776" t="s">
        <v>142</v>
      </c>
      <c r="X421" s="769"/>
      <c r="Y421" s="769"/>
      <c r="Z421" s="770">
        <v>56603.570512820515</v>
      </c>
      <c r="AA421" s="769"/>
      <c r="AB421" s="769"/>
      <c r="AC421" s="770"/>
      <c r="AD421" s="778"/>
      <c r="AE421" s="777"/>
      <c r="AF421" s="770">
        <v>41937.989999999991</v>
      </c>
      <c r="AG421" s="771"/>
      <c r="AH421" s="772">
        <v>-14665.580512820525</v>
      </c>
      <c r="AI421" s="773">
        <v>-0.25909285191644971</v>
      </c>
      <c r="AJ421" s="778"/>
      <c r="AK421" s="769"/>
      <c r="AL421" s="770">
        <v>55922.130000000005</v>
      </c>
      <c r="AM421" s="774"/>
      <c r="AN421" s="772">
        <v>-13984.140000000014</v>
      </c>
      <c r="AO421" s="780">
        <v>-0.25006450934540608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522" t="s">
        <v>42</v>
      </c>
      <c r="B422" s="503"/>
      <c r="C422" s="738" t="s">
        <v>227</v>
      </c>
      <c r="V422" s="601" t="s">
        <v>42</v>
      </c>
      <c r="W422" s="781" t="s">
        <v>143</v>
      </c>
      <c r="X422" s="752"/>
      <c r="Y422" s="752"/>
      <c r="Z422" s="753">
        <v>62004.212615384618</v>
      </c>
      <c r="AA422" s="752"/>
      <c r="AB422" s="752"/>
      <c r="AC422" s="753"/>
      <c r="AD422" s="783"/>
      <c r="AE422" s="782"/>
      <c r="AF422" s="753">
        <v>54818.069999999992</v>
      </c>
      <c r="AG422" s="754"/>
      <c r="AH422" s="755">
        <v>-7186.142615384626</v>
      </c>
      <c r="AI422" s="784">
        <v>-0.11589765134121846</v>
      </c>
      <c r="AJ422" s="783"/>
      <c r="AK422" s="752"/>
      <c r="AL422" s="753">
        <v>45552.9</v>
      </c>
      <c r="AM422" s="757"/>
      <c r="AN422" s="755">
        <v>9265.169999999991</v>
      </c>
      <c r="AO422" s="758">
        <v>0.20339363684858683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522" t="s">
        <v>43</v>
      </c>
      <c r="B423" s="503"/>
      <c r="C423" s="738" t="s">
        <v>227</v>
      </c>
      <c r="V423" s="599" t="s">
        <v>43</v>
      </c>
      <c r="W423" s="776" t="s">
        <v>144</v>
      </c>
      <c r="X423" s="769"/>
      <c r="Y423" s="769"/>
      <c r="Z423" s="770">
        <v>19486</v>
      </c>
      <c r="AA423" s="769"/>
      <c r="AB423" s="769"/>
      <c r="AC423" s="770"/>
      <c r="AD423" s="778"/>
      <c r="AE423" s="777"/>
      <c r="AF423" s="770">
        <v>21194.94</v>
      </c>
      <c r="AG423" s="771"/>
      <c r="AH423" s="772">
        <v>1708.9399999999987</v>
      </c>
      <c r="AI423" s="773">
        <v>8.7700913476341916E-2</v>
      </c>
      <c r="AJ423" s="778"/>
      <c r="AK423" s="769"/>
      <c r="AL423" s="770">
        <v>20940.400000000001</v>
      </c>
      <c r="AM423" s="774"/>
      <c r="AN423" s="772">
        <v>254.53999999999724</v>
      </c>
      <c r="AO423" s="780">
        <v>1.2155450707722738E-2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522" t="s">
        <v>44</v>
      </c>
      <c r="B424" s="503"/>
      <c r="C424" s="738" t="s">
        <v>227</v>
      </c>
      <c r="V424" s="599" t="s">
        <v>44</v>
      </c>
      <c r="W424" s="776" t="s">
        <v>145</v>
      </c>
      <c r="X424" s="769"/>
      <c r="Y424" s="769"/>
      <c r="Z424" s="770">
        <v>27657.714246153846</v>
      </c>
      <c r="AA424" s="769"/>
      <c r="AB424" s="769"/>
      <c r="AC424" s="770"/>
      <c r="AD424" s="778"/>
      <c r="AE424" s="777"/>
      <c r="AF424" s="770">
        <v>14893.27</v>
      </c>
      <c r="AG424" s="771"/>
      <c r="AH424" s="772">
        <v>-12764.444246153846</v>
      </c>
      <c r="AI424" s="773">
        <v>-0.46151479231256076</v>
      </c>
      <c r="AJ424" s="778"/>
      <c r="AK424" s="769"/>
      <c r="AL424" s="770">
        <v>20622.5</v>
      </c>
      <c r="AM424" s="774"/>
      <c r="AN424" s="772">
        <v>-5729.23</v>
      </c>
      <c r="AO424" s="780">
        <v>-0.27781452297248149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522" t="s">
        <v>20</v>
      </c>
      <c r="B425" s="503"/>
      <c r="C425" s="738" t="s">
        <v>227</v>
      </c>
      <c r="V425" s="599" t="s">
        <v>20</v>
      </c>
      <c r="W425" s="776"/>
      <c r="X425" s="769"/>
      <c r="Y425" s="769"/>
      <c r="Z425" s="770">
        <v>0</v>
      </c>
      <c r="AA425" s="769"/>
      <c r="AB425" s="769"/>
      <c r="AC425" s="770"/>
      <c r="AD425" s="778"/>
      <c r="AE425" s="777"/>
      <c r="AF425" s="770">
        <v>0</v>
      </c>
      <c r="AG425" s="771"/>
      <c r="AH425" s="772">
        <v>0</v>
      </c>
      <c r="AI425" s="773">
        <v>0</v>
      </c>
      <c r="AJ425" s="778"/>
      <c r="AK425" s="769"/>
      <c r="AL425" s="770">
        <v>0</v>
      </c>
      <c r="AM425" s="774"/>
      <c r="AN425" s="772">
        <v>0</v>
      </c>
      <c r="AO425" s="780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522" t="s">
        <v>20</v>
      </c>
      <c r="B426" s="503"/>
      <c r="C426" s="738" t="s">
        <v>227</v>
      </c>
      <c r="V426" s="599" t="s">
        <v>20</v>
      </c>
      <c r="W426" s="776"/>
      <c r="X426" s="769"/>
      <c r="Y426" s="769"/>
      <c r="Z426" s="770">
        <v>0</v>
      </c>
      <c r="AA426" s="769"/>
      <c r="AB426" s="769"/>
      <c r="AC426" s="770"/>
      <c r="AD426" s="778"/>
      <c r="AE426" s="777"/>
      <c r="AF426" s="770">
        <v>0</v>
      </c>
      <c r="AG426" s="771"/>
      <c r="AH426" s="772">
        <v>0</v>
      </c>
      <c r="AI426" s="773">
        <v>0</v>
      </c>
      <c r="AJ426" s="778"/>
      <c r="AK426" s="769"/>
      <c r="AL426" s="770">
        <v>0</v>
      </c>
      <c r="AM426" s="774"/>
      <c r="AN426" s="772">
        <v>0</v>
      </c>
      <c r="AO426" s="780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522" t="s">
        <v>20</v>
      </c>
      <c r="B427" s="503"/>
      <c r="C427" s="738" t="s">
        <v>227</v>
      </c>
      <c r="V427" s="599" t="s">
        <v>20</v>
      </c>
      <c r="W427" s="776"/>
      <c r="X427" s="769"/>
      <c r="Y427" s="769"/>
      <c r="Z427" s="770">
        <v>0</v>
      </c>
      <c r="AA427" s="769"/>
      <c r="AB427" s="769"/>
      <c r="AC427" s="770"/>
      <c r="AD427" s="778"/>
      <c r="AE427" s="777"/>
      <c r="AF427" s="770">
        <v>0</v>
      </c>
      <c r="AG427" s="771"/>
      <c r="AH427" s="772">
        <v>0</v>
      </c>
      <c r="AI427" s="773">
        <v>0</v>
      </c>
      <c r="AJ427" s="778"/>
      <c r="AK427" s="769"/>
      <c r="AL427" s="770">
        <v>0</v>
      </c>
      <c r="AM427" s="774"/>
      <c r="AN427" s="772">
        <v>0</v>
      </c>
      <c r="AO427" s="780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522" t="s">
        <v>45</v>
      </c>
      <c r="B428" s="503"/>
      <c r="C428" s="738" t="s">
        <v>227</v>
      </c>
      <c r="V428" s="601" t="s">
        <v>45</v>
      </c>
      <c r="W428" s="781" t="s">
        <v>146</v>
      </c>
      <c r="X428" s="752"/>
      <c r="Y428" s="794">
        <v>0.1052752458418561</v>
      </c>
      <c r="Z428" s="753">
        <v>36154.154225709033</v>
      </c>
      <c r="AA428" s="752"/>
      <c r="AB428" s="752"/>
      <c r="AC428" s="753"/>
      <c r="AD428" s="783"/>
      <c r="AE428" s="782"/>
      <c r="AF428" s="753">
        <v>34025.129999999997</v>
      </c>
      <c r="AG428" s="754"/>
      <c r="AH428" s="755">
        <v>-2129.0242257090358</v>
      </c>
      <c r="AI428" s="784">
        <v>-5.888740232775512E-2</v>
      </c>
      <c r="AJ428" s="783"/>
      <c r="AK428" s="752"/>
      <c r="AL428" s="753">
        <v>34826.559999999998</v>
      </c>
      <c r="AM428" s="757"/>
      <c r="AN428" s="755">
        <v>-801.43000000000029</v>
      </c>
      <c r="AO428" s="758">
        <v>-2.3012034493214383E-2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522" t="s">
        <v>46</v>
      </c>
      <c r="B429" s="503"/>
      <c r="C429" s="738" t="s">
        <v>227</v>
      </c>
      <c r="V429" s="599" t="s">
        <v>46</v>
      </c>
      <c r="W429" s="776" t="s">
        <v>147</v>
      </c>
      <c r="X429" s="769"/>
      <c r="Y429" s="795">
        <v>0.12799985838040653</v>
      </c>
      <c r="Z429" s="770">
        <v>43958.35491760217</v>
      </c>
      <c r="AA429" s="769"/>
      <c r="AB429" s="769"/>
      <c r="AC429" s="770"/>
      <c r="AD429" s="778"/>
      <c r="AE429" s="777"/>
      <c r="AF429" s="770">
        <v>43677.83</v>
      </c>
      <c r="AG429" s="771"/>
      <c r="AH429" s="772">
        <v>-280.52491760216799</v>
      </c>
      <c r="AI429" s="773">
        <v>-6.38160636648024E-3</v>
      </c>
      <c r="AJ429" s="778"/>
      <c r="AK429" s="769"/>
      <c r="AL429" s="770">
        <v>40613.869999999995</v>
      </c>
      <c r="AM429" s="774"/>
      <c r="AN429" s="772">
        <v>3063.9600000000064</v>
      </c>
      <c r="AO429" s="780">
        <v>7.544122241982866E-2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522" t="s">
        <v>47</v>
      </c>
      <c r="B430" s="503"/>
      <c r="C430" s="738" t="s">
        <v>227</v>
      </c>
      <c r="V430" s="599" t="s">
        <v>47</v>
      </c>
      <c r="W430" s="776" t="s">
        <v>148</v>
      </c>
      <c r="X430" s="769"/>
      <c r="Y430" s="795">
        <v>6.5947753122079011E-2</v>
      </c>
      <c r="Z430" s="770">
        <v>22648.108946677639</v>
      </c>
      <c r="AA430" s="769"/>
      <c r="AB430" s="769"/>
      <c r="AC430" s="770"/>
      <c r="AD430" s="778"/>
      <c r="AE430" s="777"/>
      <c r="AF430" s="770">
        <v>20037.62</v>
      </c>
      <c r="AG430" s="771"/>
      <c r="AH430" s="772">
        <v>-2610.4889466776403</v>
      </c>
      <c r="AI430" s="773">
        <v>-0.11526299846153759</v>
      </c>
      <c r="AJ430" s="778"/>
      <c r="AK430" s="769"/>
      <c r="AL430" s="770">
        <v>15694.60999999999</v>
      </c>
      <c r="AM430" s="774"/>
      <c r="AN430" s="772">
        <v>4343.0100000000093</v>
      </c>
      <c r="AO430" s="780">
        <v>0.27671984203494143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522" t="s">
        <v>48</v>
      </c>
      <c r="B431" s="503"/>
      <c r="C431" s="738" t="s">
        <v>227</v>
      </c>
      <c r="V431" s="599" t="s">
        <v>48</v>
      </c>
      <c r="W431" s="776"/>
      <c r="X431" s="769"/>
      <c r="Y431" s="769"/>
      <c r="Z431" s="770">
        <v>9874.7029162729486</v>
      </c>
      <c r="AA431" s="769"/>
      <c r="AB431" s="769"/>
      <c r="AC431" s="770"/>
      <c r="AD431" s="778"/>
      <c r="AE431" s="777"/>
      <c r="AF431" s="770">
        <v>9463.2599999999984</v>
      </c>
      <c r="AG431" s="771"/>
      <c r="AH431" s="772">
        <v>-411.44291627295024</v>
      </c>
      <c r="AI431" s="796">
        <v>-4.1666358953940351E-2</v>
      </c>
      <c r="AJ431" s="778"/>
      <c r="AK431" s="769"/>
      <c r="AL431" s="770">
        <v>11032.3</v>
      </c>
      <c r="AM431" s="774"/>
      <c r="AN431" s="772">
        <v>-1569.0400000000009</v>
      </c>
      <c r="AO431" s="780">
        <v>-0.14222238336520951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522" t="s">
        <v>20</v>
      </c>
      <c r="B432" s="503"/>
      <c r="C432" s="738" t="s">
        <v>227</v>
      </c>
      <c r="V432" s="530" t="s">
        <v>20</v>
      </c>
      <c r="W432" s="776"/>
      <c r="X432" s="769"/>
      <c r="Y432" s="777"/>
      <c r="Z432" s="770">
        <v>0</v>
      </c>
      <c r="AA432" s="769"/>
      <c r="AB432" s="769"/>
      <c r="AC432" s="770"/>
      <c r="AD432" s="778"/>
      <c r="AE432" s="777"/>
      <c r="AF432" s="770">
        <v>0</v>
      </c>
      <c r="AG432" s="771"/>
      <c r="AH432" s="772">
        <v>0</v>
      </c>
      <c r="AI432" s="773">
        <v>0</v>
      </c>
      <c r="AJ432" s="778"/>
      <c r="AK432" s="769"/>
      <c r="AL432" s="770">
        <v>0</v>
      </c>
      <c r="AM432" s="774"/>
      <c r="AN432" s="772"/>
      <c r="AO432" s="758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522" t="s">
        <v>49</v>
      </c>
      <c r="B433" s="503"/>
      <c r="C433" s="738" t="s">
        <v>227</v>
      </c>
      <c r="V433" s="786" t="s">
        <v>49</v>
      </c>
      <c r="W433" s="787"/>
      <c r="X433" s="788">
        <v>0.48672103172407172</v>
      </c>
      <c r="Y433" s="787"/>
      <c r="Z433" s="789">
        <v>292837.96261138999</v>
      </c>
      <c r="AA433" s="788"/>
      <c r="AB433" s="787"/>
      <c r="AC433" s="789"/>
      <c r="AD433" s="790">
        <v>0.46048123617582615</v>
      </c>
      <c r="AE433" s="797"/>
      <c r="AF433" s="789">
        <v>256510.87</v>
      </c>
      <c r="AG433" s="791"/>
      <c r="AH433" s="792">
        <v>-36327.092611389991</v>
      </c>
      <c r="AI433" s="788">
        <v>-0.12405185546109603</v>
      </c>
      <c r="AJ433" s="790">
        <v>0.56083308119822672</v>
      </c>
      <c r="AK433" s="787"/>
      <c r="AL433" s="789">
        <v>256651.24999999997</v>
      </c>
      <c r="AM433" s="798"/>
      <c r="AN433" s="792">
        <v>-140.37999999997555</v>
      </c>
      <c r="AO433" s="767">
        <v>-5.4696791852747867E-4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522" t="s">
        <v>50</v>
      </c>
      <c r="B434" s="503"/>
      <c r="C434" s="738" t="s">
        <v>227</v>
      </c>
      <c r="V434" s="705" t="s">
        <v>50</v>
      </c>
      <c r="W434" s="799" t="s">
        <v>138</v>
      </c>
      <c r="X434" s="800"/>
      <c r="Y434" s="800"/>
      <c r="Z434" s="801">
        <v>14042.842386298358</v>
      </c>
      <c r="AA434" s="800"/>
      <c r="AB434" s="800"/>
      <c r="AC434" s="801"/>
      <c r="AD434" s="802"/>
      <c r="AE434" s="803"/>
      <c r="AF434" s="801">
        <v>8279.5</v>
      </c>
      <c r="AG434" s="802"/>
      <c r="AH434" s="804">
        <v>-5763.3423862983582</v>
      </c>
      <c r="AI434" s="805">
        <v>-0.41041138451583475</v>
      </c>
      <c r="AJ434" s="802"/>
      <c r="AK434" s="800"/>
      <c r="AL434" s="801">
        <v>15857.63</v>
      </c>
      <c r="AM434" s="806"/>
      <c r="AN434" s="804">
        <v>-7578.1299999999992</v>
      </c>
      <c r="AO434" s="775">
        <v>-0.47788540910590044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522" t="s">
        <v>51</v>
      </c>
      <c r="B435" s="503"/>
      <c r="C435" s="738" t="s">
        <v>227</v>
      </c>
      <c r="V435" s="599" t="s">
        <v>51</v>
      </c>
      <c r="W435" s="776" t="s">
        <v>149</v>
      </c>
      <c r="X435" s="769"/>
      <c r="Y435" s="769"/>
      <c r="Z435" s="770">
        <v>4545.3811628057083</v>
      </c>
      <c r="AA435" s="769"/>
      <c r="AB435" s="769"/>
      <c r="AC435" s="770"/>
      <c r="AD435" s="778"/>
      <c r="AE435" s="777"/>
      <c r="AF435" s="770">
        <v>2117.14</v>
      </c>
      <c r="AG435" s="771"/>
      <c r="AH435" s="772">
        <v>-2428.2411628057084</v>
      </c>
      <c r="AI435" s="773">
        <v>-0.53422168038968998</v>
      </c>
      <c r="AJ435" s="778"/>
      <c r="AK435" s="769"/>
      <c r="AL435" s="770">
        <v>16251.4</v>
      </c>
      <c r="AM435" s="774"/>
      <c r="AN435" s="772">
        <v>-14134.26</v>
      </c>
      <c r="AO435" s="780">
        <v>-0.86972568517173909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522" t="s">
        <v>52</v>
      </c>
      <c r="B436" s="503"/>
      <c r="C436" s="738" t="s">
        <v>227</v>
      </c>
      <c r="U436" s="807"/>
      <c r="V436" s="601" t="s">
        <v>52</v>
      </c>
      <c r="W436" s="781" t="s">
        <v>150</v>
      </c>
      <c r="X436" s="752"/>
      <c r="Y436" s="752"/>
      <c r="Z436" s="753">
        <v>22709.26466666667</v>
      </c>
      <c r="AA436" s="752"/>
      <c r="AB436" s="752"/>
      <c r="AC436" s="753"/>
      <c r="AD436" s="783"/>
      <c r="AE436" s="782"/>
      <c r="AF436" s="753">
        <v>25881.820000000003</v>
      </c>
      <c r="AG436" s="754"/>
      <c r="AH436" s="755">
        <v>3172.5553333333337</v>
      </c>
      <c r="AI436" s="784">
        <v>0.13970312909295141</v>
      </c>
      <c r="AJ436" s="783"/>
      <c r="AK436" s="752"/>
      <c r="AL436" s="753">
        <v>28719.239999999998</v>
      </c>
      <c r="AM436" s="757"/>
      <c r="AN436" s="755">
        <v>-2837.4199999999946</v>
      </c>
      <c r="AO436" s="758">
        <v>-9.8798575449767986E-2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522" t="s">
        <v>53</v>
      </c>
      <c r="B437" s="503"/>
      <c r="C437" s="738" t="s">
        <v>227</v>
      </c>
      <c r="U437" s="807"/>
      <c r="V437" s="599" t="s">
        <v>53</v>
      </c>
      <c r="W437" s="776" t="s">
        <v>151</v>
      </c>
      <c r="X437" s="769"/>
      <c r="Y437" s="769"/>
      <c r="Z437" s="770">
        <v>22402.080143777777</v>
      </c>
      <c r="AA437" s="769"/>
      <c r="AB437" s="769"/>
      <c r="AC437" s="770"/>
      <c r="AD437" s="778"/>
      <c r="AE437" s="777"/>
      <c r="AF437" s="770">
        <v>31512.27</v>
      </c>
      <c r="AG437" s="771"/>
      <c r="AH437" s="808">
        <v>9110.1898562222232</v>
      </c>
      <c r="AI437" s="773">
        <v>0.40666713973669077</v>
      </c>
      <c r="AJ437" s="778"/>
      <c r="AK437" s="769"/>
      <c r="AL437" s="770">
        <v>25130.729999999996</v>
      </c>
      <c r="AM437" s="774"/>
      <c r="AN437" s="772">
        <v>6381.5400000000045</v>
      </c>
      <c r="AO437" s="780">
        <v>0.25393372974044148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522" t="s">
        <v>54</v>
      </c>
      <c r="B438" s="503"/>
      <c r="C438" s="738" t="s">
        <v>227</v>
      </c>
      <c r="U438" s="807"/>
      <c r="V438" s="599" t="s">
        <v>54</v>
      </c>
      <c r="W438" s="776" t="s">
        <v>152</v>
      </c>
      <c r="X438" s="769"/>
      <c r="Y438" s="769"/>
      <c r="Z438" s="770">
        <v>3905.5576324861113</v>
      </c>
      <c r="AA438" s="769"/>
      <c r="AB438" s="769"/>
      <c r="AC438" s="770"/>
      <c r="AD438" s="778"/>
      <c r="AE438" s="777"/>
      <c r="AF438" s="770">
        <v>5502.2999999999993</v>
      </c>
      <c r="AG438" s="771"/>
      <c r="AH438" s="772">
        <v>1596.742367513888</v>
      </c>
      <c r="AI438" s="773">
        <v>0.40883851110845598</v>
      </c>
      <c r="AJ438" s="778"/>
      <c r="AK438" s="769"/>
      <c r="AL438" s="770">
        <v>3767.7200000000003</v>
      </c>
      <c r="AM438" s="774"/>
      <c r="AN438" s="772">
        <v>1734.579999999999</v>
      </c>
      <c r="AO438" s="780">
        <v>0.46037922138587761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522" t="s">
        <v>55</v>
      </c>
      <c r="B439" s="503"/>
      <c r="C439" s="738" t="s">
        <v>227</v>
      </c>
      <c r="V439" s="599" t="s">
        <v>55</v>
      </c>
      <c r="W439" s="776" t="s">
        <v>153</v>
      </c>
      <c r="X439" s="769"/>
      <c r="Y439" s="769"/>
      <c r="Z439" s="770">
        <v>32918.054597609284</v>
      </c>
      <c r="AA439" s="769"/>
      <c r="AB439" s="769"/>
      <c r="AC439" s="770"/>
      <c r="AD439" s="778"/>
      <c r="AE439" s="777"/>
      <c r="AF439" s="770">
        <v>53211.710000000006</v>
      </c>
      <c r="AG439" s="771"/>
      <c r="AH439" s="772">
        <v>20293.655402390723</v>
      </c>
      <c r="AI439" s="773">
        <v>0.61649011919023233</v>
      </c>
      <c r="AJ439" s="778"/>
      <c r="AK439" s="769"/>
      <c r="AL439" s="770">
        <v>36822.300000000003</v>
      </c>
      <c r="AM439" s="774"/>
      <c r="AN439" s="772">
        <v>16389.410000000003</v>
      </c>
      <c r="AO439" s="780">
        <v>0.44509468447109501</v>
      </c>
      <c r="AP439" s="506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8" t="s">
        <v>227</v>
      </c>
      <c r="V440" s="705" t="s">
        <v>98</v>
      </c>
      <c r="W440" s="799"/>
      <c r="X440" s="800"/>
      <c r="Y440" s="800"/>
      <c r="Z440" s="801">
        <v>0</v>
      </c>
      <c r="AA440" s="800"/>
      <c r="AB440" s="800"/>
      <c r="AC440" s="801"/>
      <c r="AD440" s="802"/>
      <c r="AE440" s="803"/>
      <c r="AF440" s="801">
        <v>0</v>
      </c>
      <c r="AG440" s="809"/>
      <c r="AH440" s="804">
        <v>0</v>
      </c>
      <c r="AI440" s="805">
        <v>0</v>
      </c>
      <c r="AJ440" s="802"/>
      <c r="AK440" s="800"/>
      <c r="AL440" s="801">
        <v>0</v>
      </c>
      <c r="AM440" s="806"/>
      <c r="AN440" s="804">
        <v>0</v>
      </c>
      <c r="AO440" s="775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522" t="s">
        <v>56</v>
      </c>
      <c r="B441" s="503"/>
      <c r="C441" s="738" t="s">
        <v>227</v>
      </c>
      <c r="V441" s="599" t="s">
        <v>56</v>
      </c>
      <c r="W441" s="776" t="s">
        <v>154</v>
      </c>
      <c r="X441" s="769"/>
      <c r="Y441" s="777"/>
      <c r="Z441" s="770">
        <v>5252.6901555555569</v>
      </c>
      <c r="AA441" s="769"/>
      <c r="AB441" s="777"/>
      <c r="AC441" s="770"/>
      <c r="AD441" s="778"/>
      <c r="AE441" s="777"/>
      <c r="AF441" s="770">
        <v>2021.58</v>
      </c>
      <c r="AG441" s="771"/>
      <c r="AH441" s="772">
        <v>-3231.110155555557</v>
      </c>
      <c r="AI441" s="773">
        <v>-0.61513435208778555</v>
      </c>
      <c r="AJ441" s="778"/>
      <c r="AK441" s="769"/>
      <c r="AL441" s="770">
        <v>9834.2400000000016</v>
      </c>
      <c r="AM441" s="774"/>
      <c r="AN441" s="772">
        <v>-7812.6600000000017</v>
      </c>
      <c r="AO441" s="780">
        <v>-0.79443454705193284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522" t="s">
        <v>57</v>
      </c>
      <c r="B442" s="503"/>
      <c r="C442" s="738" t="s">
        <v>227</v>
      </c>
      <c r="U442" s="506"/>
      <c r="V442" s="599" t="s">
        <v>57</v>
      </c>
      <c r="W442" s="776" t="s">
        <v>155</v>
      </c>
      <c r="X442" s="769"/>
      <c r="Y442" s="769"/>
      <c r="Z442" s="770">
        <v>1333.7987401197504</v>
      </c>
      <c r="AA442" s="769"/>
      <c r="AB442" s="769"/>
      <c r="AC442" s="770"/>
      <c r="AD442" s="778"/>
      <c r="AE442" s="777"/>
      <c r="AF442" s="770">
        <v>931.94</v>
      </c>
      <c r="AG442" s="771"/>
      <c r="AH442" s="772">
        <v>-401.85874011975034</v>
      </c>
      <c r="AI442" s="796">
        <v>-0.30128888866971854</v>
      </c>
      <c r="AJ442" s="778"/>
      <c r="AK442" s="769"/>
      <c r="AL442" s="770">
        <v>1044.83</v>
      </c>
      <c r="AM442" s="774"/>
      <c r="AN442" s="772">
        <v>-112.88999999999987</v>
      </c>
      <c r="AO442" s="780">
        <v>-0.1080462850415856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522" t="s">
        <v>58</v>
      </c>
      <c r="B443" s="503"/>
      <c r="C443" s="738" t="s">
        <v>227</v>
      </c>
      <c r="T443" s="506"/>
      <c r="U443" s="506"/>
      <c r="V443" s="599" t="s">
        <v>58</v>
      </c>
      <c r="W443" s="776" t="s">
        <v>156</v>
      </c>
      <c r="X443" s="769"/>
      <c r="Y443" s="769"/>
      <c r="Z443" s="770">
        <v>2760.7503854659999</v>
      </c>
      <c r="AA443" s="769"/>
      <c r="AB443" s="769"/>
      <c r="AC443" s="770"/>
      <c r="AD443" s="778"/>
      <c r="AE443" s="777"/>
      <c r="AF443" s="770">
        <v>943.74</v>
      </c>
      <c r="AG443" s="771"/>
      <c r="AH443" s="772">
        <v>-1817.0103854659999</v>
      </c>
      <c r="AI443" s="773">
        <v>-0.65815815693866087</v>
      </c>
      <c r="AJ443" s="778"/>
      <c r="AK443" s="769"/>
      <c r="AL443" s="770">
        <v>5412.08</v>
      </c>
      <c r="AM443" s="774"/>
      <c r="AN443" s="772">
        <v>-4468.34</v>
      </c>
      <c r="AO443" s="780">
        <v>-0.8256234202007362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522" t="s">
        <v>59</v>
      </c>
      <c r="B444" s="503"/>
      <c r="C444" s="738" t="s">
        <v>227</v>
      </c>
      <c r="T444" s="506"/>
      <c r="U444" s="506"/>
      <c r="V444" s="599" t="s">
        <v>59</v>
      </c>
      <c r="W444" s="776" t="s">
        <v>157</v>
      </c>
      <c r="X444" s="769"/>
      <c r="Y444" s="769"/>
      <c r="Z444" s="770">
        <v>734.68076036869445</v>
      </c>
      <c r="AA444" s="769"/>
      <c r="AB444" s="769"/>
      <c r="AC444" s="770"/>
      <c r="AD444" s="778"/>
      <c r="AE444" s="777"/>
      <c r="AF444" s="770">
        <v>770.93999999999994</v>
      </c>
      <c r="AG444" s="771"/>
      <c r="AH444" s="772">
        <v>36.259239631305491</v>
      </c>
      <c r="AI444" s="796">
        <v>4.9353735101364357E-2</v>
      </c>
      <c r="AJ444" s="778"/>
      <c r="AK444" s="769"/>
      <c r="AL444" s="770">
        <v>689.18000000000006</v>
      </c>
      <c r="AM444" s="774"/>
      <c r="AN444" s="772">
        <v>81.759999999999877</v>
      </c>
      <c r="AO444" s="780">
        <v>0.11863373864592686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522" t="s">
        <v>60</v>
      </c>
      <c r="B445" s="503"/>
      <c r="C445" s="738" t="s">
        <v>227</v>
      </c>
      <c r="T445" s="506"/>
      <c r="U445" s="506"/>
      <c r="V445" s="599" t="s">
        <v>60</v>
      </c>
      <c r="W445" s="776" t="s">
        <v>158</v>
      </c>
      <c r="X445" s="769"/>
      <c r="Y445" s="769"/>
      <c r="Z445" s="770">
        <v>235.21156215130546</v>
      </c>
      <c r="AA445" s="769"/>
      <c r="AB445" s="769"/>
      <c r="AC445" s="770"/>
      <c r="AD445" s="778"/>
      <c r="AE445" s="777"/>
      <c r="AF445" s="770">
        <v>-1047.54</v>
      </c>
      <c r="AG445" s="771"/>
      <c r="AH445" s="772">
        <v>-1282.7515621513055</v>
      </c>
      <c r="AI445" s="773">
        <v>-5.4536075965778625</v>
      </c>
      <c r="AJ445" s="778"/>
      <c r="AK445" s="769"/>
      <c r="AL445" s="770">
        <v>-286.64</v>
      </c>
      <c r="AM445" s="774"/>
      <c r="AN445" s="772">
        <v>-760.9</v>
      </c>
      <c r="AO445" s="780">
        <v>2.6545492603963159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522" t="s">
        <v>61</v>
      </c>
      <c r="B446" s="503"/>
      <c r="C446" s="738" t="s">
        <v>227</v>
      </c>
      <c r="T446" s="506"/>
      <c r="U446" s="506"/>
      <c r="V446" s="599" t="s">
        <v>61</v>
      </c>
      <c r="W446" s="776" t="s">
        <v>159</v>
      </c>
      <c r="X446" s="769"/>
      <c r="Y446" s="777"/>
      <c r="Z446" s="770">
        <v>720.38919864980562</v>
      </c>
      <c r="AA446" s="769"/>
      <c r="AB446" s="777"/>
      <c r="AC446" s="770"/>
      <c r="AD446" s="778"/>
      <c r="AE446" s="777"/>
      <c r="AF446" s="770">
        <v>2298.71</v>
      </c>
      <c r="AG446" s="771"/>
      <c r="AH446" s="772">
        <v>1578.3208013501944</v>
      </c>
      <c r="AI446" s="796">
        <v>2.190927909952527</v>
      </c>
      <c r="AJ446" s="778"/>
      <c r="AK446" s="769"/>
      <c r="AL446" s="770">
        <v>298.85000000000002</v>
      </c>
      <c r="AM446" s="774"/>
      <c r="AN446" s="772">
        <v>1999.8600000000001</v>
      </c>
      <c r="AO446" s="780">
        <v>6.6918520997155762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522" t="s">
        <v>62</v>
      </c>
      <c r="B447" s="503"/>
      <c r="C447" s="738" t="s">
        <v>227</v>
      </c>
      <c r="T447" s="506"/>
      <c r="U447" s="506"/>
      <c r="V447" s="599" t="s">
        <v>62</v>
      </c>
      <c r="W447" s="776" t="s">
        <v>160</v>
      </c>
      <c r="X447" s="769"/>
      <c r="Y447" s="777"/>
      <c r="Z447" s="770">
        <v>5774.1370435507661</v>
      </c>
      <c r="AA447" s="769"/>
      <c r="AB447" s="777"/>
      <c r="AC447" s="770"/>
      <c r="AD447" s="778"/>
      <c r="AE447" s="777"/>
      <c r="AF447" s="770">
        <v>2885.42</v>
      </c>
      <c r="AG447" s="771"/>
      <c r="AH447" s="772">
        <v>-2888.717043550766</v>
      </c>
      <c r="AI447" s="773">
        <v>-0.50028550097840585</v>
      </c>
      <c r="AJ447" s="778"/>
      <c r="AK447" s="769"/>
      <c r="AL447" s="770">
        <v>580.71</v>
      </c>
      <c r="AM447" s="774"/>
      <c r="AN447" s="772">
        <v>2304.71</v>
      </c>
      <c r="AO447" s="780">
        <v>3.9687795973894024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522" t="s">
        <v>63</v>
      </c>
      <c r="B448" s="503"/>
      <c r="C448" s="738" t="s">
        <v>227</v>
      </c>
      <c r="T448" s="506"/>
      <c r="U448" s="506"/>
      <c r="V448" s="599" t="s">
        <v>63</v>
      </c>
      <c r="W448" s="776" t="s">
        <v>161</v>
      </c>
      <c r="X448" s="769"/>
      <c r="Y448" s="795">
        <v>1.2871731213518654E-3</v>
      </c>
      <c r="Z448" s="770">
        <v>6815.0028347901361</v>
      </c>
      <c r="AA448" s="769"/>
      <c r="AB448" s="777"/>
      <c r="AC448" s="770"/>
      <c r="AD448" s="778"/>
      <c r="AE448" s="777"/>
      <c r="AF448" s="770">
        <v>8876.7999999999993</v>
      </c>
      <c r="AG448" s="771"/>
      <c r="AH448" s="772">
        <v>2061.7971652098631</v>
      </c>
      <c r="AI448" s="773">
        <v>0.30253797616701283</v>
      </c>
      <c r="AJ448" s="778"/>
      <c r="AK448" s="769"/>
      <c r="AL448" s="770">
        <v>9216.3499999999985</v>
      </c>
      <c r="AM448" s="774"/>
      <c r="AN448" s="772">
        <v>-339.54999999999927</v>
      </c>
      <c r="AO448" s="780">
        <v>-3.68421338165325E-2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522" t="s">
        <v>20</v>
      </c>
      <c r="B449" s="503"/>
      <c r="C449" s="738" t="s">
        <v>227</v>
      </c>
      <c r="T449" s="506"/>
      <c r="U449" s="506"/>
      <c r="V449" s="599" t="s">
        <v>20</v>
      </c>
      <c r="W449" s="776"/>
      <c r="X449" s="769"/>
      <c r="Y449" s="777"/>
      <c r="Z449" s="770">
        <v>0</v>
      </c>
      <c r="AA449" s="769"/>
      <c r="AB449" s="769"/>
      <c r="AC449" s="770"/>
      <c r="AD449" s="778"/>
      <c r="AE449" s="777"/>
      <c r="AF449" s="770">
        <v>0</v>
      </c>
      <c r="AG449" s="771"/>
      <c r="AH449" s="772">
        <v>0</v>
      </c>
      <c r="AI449" s="773">
        <v>0</v>
      </c>
      <c r="AJ449" s="778"/>
      <c r="AK449" s="769"/>
      <c r="AL449" s="770">
        <v>0</v>
      </c>
      <c r="AM449" s="774"/>
      <c r="AN449" s="772">
        <v>0</v>
      </c>
      <c r="AO449" s="780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522" t="s">
        <v>20</v>
      </c>
      <c r="B450" s="503"/>
      <c r="C450" s="738" t="s">
        <v>227</v>
      </c>
      <c r="T450" s="506"/>
      <c r="U450" s="506"/>
      <c r="V450" s="599" t="s">
        <v>20</v>
      </c>
      <c r="W450" s="776"/>
      <c r="X450" s="769"/>
      <c r="Y450" s="777"/>
      <c r="Z450" s="770">
        <v>0</v>
      </c>
      <c r="AA450" s="769"/>
      <c r="AB450" s="769"/>
      <c r="AC450" s="770"/>
      <c r="AD450" s="778"/>
      <c r="AE450" s="777"/>
      <c r="AF450" s="770">
        <v>0</v>
      </c>
      <c r="AG450" s="771"/>
      <c r="AH450" s="772">
        <v>0</v>
      </c>
      <c r="AI450" s="773">
        <v>0</v>
      </c>
      <c r="AJ450" s="778"/>
      <c r="AK450" s="769"/>
      <c r="AL450" s="770">
        <v>0</v>
      </c>
      <c r="AM450" s="774"/>
      <c r="AN450" s="772">
        <v>0</v>
      </c>
      <c r="AO450" s="780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522" t="s">
        <v>20</v>
      </c>
      <c r="B451" s="503"/>
      <c r="C451" s="738" t="s">
        <v>227</v>
      </c>
      <c r="T451" s="506"/>
      <c r="U451" s="506"/>
      <c r="V451" s="599" t="s">
        <v>20</v>
      </c>
      <c r="W451" s="776"/>
      <c r="X451" s="769"/>
      <c r="Y451" s="777"/>
      <c r="Z451" s="770">
        <v>0</v>
      </c>
      <c r="AA451" s="769"/>
      <c r="AB451" s="769"/>
      <c r="AC451" s="770"/>
      <c r="AD451" s="778"/>
      <c r="AE451" s="777"/>
      <c r="AF451" s="770">
        <v>0</v>
      </c>
      <c r="AG451" s="771"/>
      <c r="AH451" s="772">
        <v>0</v>
      </c>
      <c r="AI451" s="773">
        <v>0</v>
      </c>
      <c r="AJ451" s="778"/>
      <c r="AK451" s="769"/>
      <c r="AL451" s="770">
        <v>0</v>
      </c>
      <c r="AM451" s="774"/>
      <c r="AN451" s="772">
        <v>0</v>
      </c>
      <c r="AO451" s="780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522" t="s">
        <v>64</v>
      </c>
      <c r="B452" s="503"/>
      <c r="C452" s="738" t="s">
        <v>227</v>
      </c>
      <c r="T452" s="506"/>
      <c r="U452" s="506"/>
      <c r="V452" s="786" t="s">
        <v>64</v>
      </c>
      <c r="W452" s="810"/>
      <c r="X452" s="788">
        <v>0.20634735432730358</v>
      </c>
      <c r="Y452" s="787"/>
      <c r="Z452" s="789">
        <v>124149.84127029592</v>
      </c>
      <c r="AA452" s="788"/>
      <c r="AB452" s="787"/>
      <c r="AC452" s="789"/>
      <c r="AD452" s="790">
        <v>0.25883932122664283</v>
      </c>
      <c r="AE452" s="787"/>
      <c r="AF452" s="789">
        <v>144186.33000000005</v>
      </c>
      <c r="AG452" s="811"/>
      <c r="AH452" s="812">
        <v>20036.488729704084</v>
      </c>
      <c r="AI452" s="788">
        <v>0.16138956381008288</v>
      </c>
      <c r="AJ452" s="790">
        <v>0.33507481736903294</v>
      </c>
      <c r="AK452" s="788"/>
      <c r="AL452" s="789">
        <v>153338.61999999997</v>
      </c>
      <c r="AM452" s="798"/>
      <c r="AN452" s="792">
        <v>-9152.2899999999863</v>
      </c>
      <c r="AO452" s="813">
        <v>-5.9686789929373228E-2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522" t="s">
        <v>162</v>
      </c>
      <c r="B453" s="503"/>
      <c r="C453" s="738" t="s">
        <v>227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9" t="s">
        <v>162</v>
      </c>
      <c r="W453" s="776" t="s">
        <v>163</v>
      </c>
      <c r="X453" s="769"/>
      <c r="Y453" s="777"/>
      <c r="Z453" s="770">
        <v>36000</v>
      </c>
      <c r="AA453" s="769"/>
      <c r="AB453" s="777"/>
      <c r="AC453" s="770"/>
      <c r="AD453" s="778"/>
      <c r="AE453" s="777"/>
      <c r="AF453" s="770">
        <v>26000</v>
      </c>
      <c r="AG453" s="771"/>
      <c r="AH453" s="772">
        <v>-10000</v>
      </c>
      <c r="AI453" s="773">
        <v>-0.27777777777777779</v>
      </c>
      <c r="AJ453" s="778"/>
      <c r="AK453" s="769"/>
      <c r="AL453" s="770">
        <v>36000</v>
      </c>
      <c r="AM453" s="774"/>
      <c r="AN453" s="772">
        <v>-10000</v>
      </c>
      <c r="AO453" s="780">
        <v>-0.27777777777777779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522" t="s">
        <v>164</v>
      </c>
      <c r="B454" s="503"/>
      <c r="C454" s="738" t="s">
        <v>227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9" t="s">
        <v>164</v>
      </c>
      <c r="W454" s="776" t="s">
        <v>165</v>
      </c>
      <c r="X454" s="769"/>
      <c r="Y454" s="777"/>
      <c r="Z454" s="770">
        <v>5423.4400000000005</v>
      </c>
      <c r="AA454" s="769"/>
      <c r="AB454" s="777"/>
      <c r="AC454" s="770"/>
      <c r="AD454" s="778"/>
      <c r="AE454" s="777"/>
      <c r="AF454" s="770">
        <v>5423</v>
      </c>
      <c r="AG454" s="771"/>
      <c r="AH454" s="772">
        <v>-0.44000000000050932</v>
      </c>
      <c r="AI454" s="773">
        <v>-8.1129320136391167E-5</v>
      </c>
      <c r="AJ454" s="778"/>
      <c r="AK454" s="769"/>
      <c r="AL454" s="770">
        <v>5177</v>
      </c>
      <c r="AM454" s="774"/>
      <c r="AN454" s="772">
        <v>246</v>
      </c>
      <c r="AO454" s="780">
        <v>4.7517867490824803E-2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522" t="s">
        <v>166</v>
      </c>
      <c r="B455" s="503"/>
      <c r="C455" s="738" t="s">
        <v>227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601" t="s">
        <v>166</v>
      </c>
      <c r="W455" s="781" t="s">
        <v>167</v>
      </c>
      <c r="X455" s="752"/>
      <c r="Y455" s="782"/>
      <c r="Z455" s="753">
        <v>3608.8800000000006</v>
      </c>
      <c r="AA455" s="752"/>
      <c r="AB455" s="782"/>
      <c r="AC455" s="753"/>
      <c r="AD455" s="783"/>
      <c r="AE455" s="782"/>
      <c r="AF455" s="753">
        <v>3609</v>
      </c>
      <c r="AG455" s="754"/>
      <c r="AH455" s="755">
        <v>0.11999999999943611</v>
      </c>
      <c r="AI455" s="784">
        <v>3.3251313426724106E-5</v>
      </c>
      <c r="AJ455" s="783"/>
      <c r="AK455" s="752"/>
      <c r="AL455" s="753">
        <v>3445</v>
      </c>
      <c r="AM455" s="757"/>
      <c r="AN455" s="755">
        <v>164</v>
      </c>
      <c r="AO455" s="758">
        <v>4.7605224963715533E-2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522" t="s">
        <v>168</v>
      </c>
      <c r="B456" s="503"/>
      <c r="C456" s="738" t="s">
        <v>227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9" t="s">
        <v>168</v>
      </c>
      <c r="W456" s="776"/>
      <c r="X456" s="769"/>
      <c r="Y456" s="777"/>
      <c r="Z456" s="770">
        <v>0</v>
      </c>
      <c r="AA456" s="769"/>
      <c r="AB456" s="777"/>
      <c r="AC456" s="770"/>
      <c r="AD456" s="778"/>
      <c r="AE456" s="777"/>
      <c r="AF456" s="770">
        <v>0</v>
      </c>
      <c r="AG456" s="771"/>
      <c r="AH456" s="772">
        <v>0</v>
      </c>
      <c r="AI456" s="773">
        <v>0</v>
      </c>
      <c r="AJ456" s="778"/>
      <c r="AK456" s="769"/>
      <c r="AL456" s="770">
        <v>0</v>
      </c>
      <c r="AM456" s="774"/>
      <c r="AN456" s="772">
        <v>0</v>
      </c>
      <c r="AO456" s="780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522" t="s">
        <v>169</v>
      </c>
      <c r="B457" s="503"/>
      <c r="C457" s="738" t="s">
        <v>227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601" t="s">
        <v>169</v>
      </c>
      <c r="W457" s="781" t="s">
        <v>170</v>
      </c>
      <c r="X457" s="752"/>
      <c r="Y457" s="782"/>
      <c r="Z457" s="753">
        <v>4344.25</v>
      </c>
      <c r="AA457" s="752"/>
      <c r="AB457" s="782"/>
      <c r="AC457" s="753"/>
      <c r="AD457" s="783"/>
      <c r="AE457" s="782"/>
      <c r="AF457" s="753">
        <v>4344.25</v>
      </c>
      <c r="AG457" s="754"/>
      <c r="AH457" s="755">
        <v>0</v>
      </c>
      <c r="AI457" s="784">
        <v>0</v>
      </c>
      <c r="AJ457" s="783"/>
      <c r="AK457" s="752"/>
      <c r="AL457" s="753">
        <v>3893.08</v>
      </c>
      <c r="AM457" s="757"/>
      <c r="AN457" s="755">
        <v>451.17000000000007</v>
      </c>
      <c r="AO457" s="758">
        <v>0.11589024628314858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522" t="s">
        <v>171</v>
      </c>
      <c r="B458" s="503"/>
      <c r="C458" s="738" t="s">
        <v>227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9" t="s">
        <v>171</v>
      </c>
      <c r="W458" s="776" t="s">
        <v>172</v>
      </c>
      <c r="X458" s="814"/>
      <c r="Y458" s="815"/>
      <c r="Z458" s="770">
        <v>3700</v>
      </c>
      <c r="AA458" s="814"/>
      <c r="AB458" s="815"/>
      <c r="AC458" s="770"/>
      <c r="AD458" s="778"/>
      <c r="AE458" s="777"/>
      <c r="AF458" s="816">
        <v>7269.1399999999994</v>
      </c>
      <c r="AG458" s="771"/>
      <c r="AH458" s="772">
        <v>3569.1399999999994</v>
      </c>
      <c r="AI458" s="773">
        <v>0.96463243243243224</v>
      </c>
      <c r="AJ458" s="778"/>
      <c r="AK458" s="769"/>
      <c r="AL458" s="770">
        <v>5812.79</v>
      </c>
      <c r="AM458" s="774"/>
      <c r="AN458" s="772">
        <v>1456.3499999999995</v>
      </c>
      <c r="AO458" s="780">
        <v>0.25054233853278707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522" t="s">
        <v>173</v>
      </c>
      <c r="B459" s="503"/>
      <c r="C459" s="738" t="s">
        <v>227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9" t="s">
        <v>173</v>
      </c>
      <c r="W459" s="776" t="s">
        <v>174</v>
      </c>
      <c r="X459" s="769"/>
      <c r="Y459" s="777"/>
      <c r="Z459" s="770">
        <v>6784.05</v>
      </c>
      <c r="AA459" s="769"/>
      <c r="AB459" s="777"/>
      <c r="AC459" s="770"/>
      <c r="AD459" s="778"/>
      <c r="AE459" s="777"/>
      <c r="AF459" s="770">
        <v>6423.329999999999</v>
      </c>
      <c r="AG459" s="771"/>
      <c r="AH459" s="772">
        <v>-360.72000000000116</v>
      </c>
      <c r="AI459" s="773">
        <v>-5.3171777920269038E-2</v>
      </c>
      <c r="AJ459" s="778"/>
      <c r="AK459" s="769"/>
      <c r="AL459" s="770">
        <v>6423.3299999999899</v>
      </c>
      <c r="AM459" s="774"/>
      <c r="AN459" s="772">
        <v>9.0949470177292824E-12</v>
      </c>
      <c r="AO459" s="780">
        <v>1.4159239861145694E-15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522" t="s">
        <v>175</v>
      </c>
      <c r="B460" s="503"/>
      <c r="C460" s="738" t="s">
        <v>227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601" t="s">
        <v>175</v>
      </c>
      <c r="W460" s="781" t="s">
        <v>176</v>
      </c>
      <c r="X460" s="752"/>
      <c r="Y460" s="782"/>
      <c r="Z460" s="753">
        <v>1364.5623407645369</v>
      </c>
      <c r="AA460" s="752"/>
      <c r="AB460" s="782"/>
      <c r="AC460" s="753"/>
      <c r="AD460" s="783"/>
      <c r="AE460" s="782"/>
      <c r="AF460" s="753">
        <v>169.11</v>
      </c>
      <c r="AG460" s="754"/>
      <c r="AH460" s="755">
        <v>-1195.452340764537</v>
      </c>
      <c r="AI460" s="784">
        <v>-0.87607015454841664</v>
      </c>
      <c r="AJ460" s="783"/>
      <c r="AK460" s="752"/>
      <c r="AL460" s="753">
        <v>0</v>
      </c>
      <c r="AM460" s="757"/>
      <c r="AN460" s="755">
        <v>169.11</v>
      </c>
      <c r="AO460" s="758">
        <v>0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522" t="s">
        <v>177</v>
      </c>
      <c r="B461" s="503"/>
      <c r="C461" s="738" t="s">
        <v>227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7"/>
      <c r="V461" s="599" t="s">
        <v>177</v>
      </c>
      <c r="W461" s="776" t="s">
        <v>178</v>
      </c>
      <c r="X461" s="769"/>
      <c r="Y461" s="777"/>
      <c r="Z461" s="770">
        <v>1000</v>
      </c>
      <c r="AA461" s="769"/>
      <c r="AB461" s="777"/>
      <c r="AC461" s="770"/>
      <c r="AD461" s="778"/>
      <c r="AE461" s="777"/>
      <c r="AF461" s="770">
        <v>0</v>
      </c>
      <c r="AG461" s="771"/>
      <c r="AH461" s="772">
        <v>-1000</v>
      </c>
      <c r="AI461" s="818">
        <v>-1</v>
      </c>
      <c r="AJ461" s="769"/>
      <c r="AK461" s="769"/>
      <c r="AL461" s="770">
        <v>0</v>
      </c>
      <c r="AM461" s="774"/>
      <c r="AN461" s="772">
        <v>0</v>
      </c>
      <c r="AO461" s="780">
        <v>0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522" t="s">
        <v>179</v>
      </c>
      <c r="B462" s="503"/>
      <c r="C462" s="738" t="s">
        <v>227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7"/>
      <c r="V462" s="599" t="s">
        <v>179</v>
      </c>
      <c r="W462" s="776" t="s">
        <v>180</v>
      </c>
      <c r="X462" s="769"/>
      <c r="Y462" s="777"/>
      <c r="Z462" s="770">
        <v>0</v>
      </c>
      <c r="AA462" s="769"/>
      <c r="AB462" s="777"/>
      <c r="AC462" s="770"/>
      <c r="AD462" s="778"/>
      <c r="AE462" s="777"/>
      <c r="AF462" s="770">
        <v>0</v>
      </c>
      <c r="AG462" s="771"/>
      <c r="AH462" s="772">
        <v>0</v>
      </c>
      <c r="AI462" s="796">
        <v>0</v>
      </c>
      <c r="AJ462" s="769"/>
      <c r="AK462" s="769"/>
      <c r="AL462" s="770">
        <v>0</v>
      </c>
      <c r="AM462" s="774"/>
      <c r="AN462" s="772">
        <v>0</v>
      </c>
      <c r="AO462" s="780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522" t="s">
        <v>20</v>
      </c>
      <c r="B463" s="503"/>
      <c r="C463" s="738" t="s">
        <v>227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7"/>
      <c r="V463" s="599" t="s">
        <v>20</v>
      </c>
      <c r="W463" s="776"/>
      <c r="X463" s="769"/>
      <c r="Y463" s="777"/>
      <c r="Z463" s="770">
        <v>0</v>
      </c>
      <c r="AA463" s="769"/>
      <c r="AB463" s="769"/>
      <c r="AC463" s="770"/>
      <c r="AD463" s="778"/>
      <c r="AE463" s="777"/>
      <c r="AF463" s="770">
        <v>0</v>
      </c>
      <c r="AG463" s="771"/>
      <c r="AH463" s="772">
        <v>0</v>
      </c>
      <c r="AI463" s="773">
        <v>0</v>
      </c>
      <c r="AJ463" s="778"/>
      <c r="AK463" s="769"/>
      <c r="AL463" s="770">
        <v>0</v>
      </c>
      <c r="AM463" s="774"/>
      <c r="AN463" s="772">
        <v>0</v>
      </c>
      <c r="AO463" s="780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522" t="s">
        <v>20</v>
      </c>
      <c r="B464" s="503"/>
      <c r="C464" s="738" t="s">
        <v>227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7"/>
      <c r="V464" s="599" t="s">
        <v>20</v>
      </c>
      <c r="W464" s="776"/>
      <c r="X464" s="769"/>
      <c r="Y464" s="777"/>
      <c r="Z464" s="770">
        <v>0</v>
      </c>
      <c r="AA464" s="769"/>
      <c r="AB464" s="769"/>
      <c r="AC464" s="770"/>
      <c r="AD464" s="778"/>
      <c r="AE464" s="777"/>
      <c r="AF464" s="770">
        <v>0</v>
      </c>
      <c r="AG464" s="771"/>
      <c r="AH464" s="772">
        <v>0</v>
      </c>
      <c r="AI464" s="773">
        <v>0</v>
      </c>
      <c r="AJ464" s="778"/>
      <c r="AK464" s="769"/>
      <c r="AL464" s="770">
        <v>0</v>
      </c>
      <c r="AM464" s="774"/>
      <c r="AN464" s="772">
        <v>0</v>
      </c>
      <c r="AO464" s="780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522" t="s">
        <v>20</v>
      </c>
      <c r="B465" s="503"/>
      <c r="C465" s="738" t="s">
        <v>227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9" t="s">
        <v>20</v>
      </c>
      <c r="W465" s="776"/>
      <c r="X465" s="769"/>
      <c r="Y465" s="777"/>
      <c r="Z465" s="770">
        <v>0</v>
      </c>
      <c r="AA465" s="769"/>
      <c r="AB465" s="769"/>
      <c r="AC465" s="770"/>
      <c r="AD465" s="778"/>
      <c r="AE465" s="777"/>
      <c r="AF465" s="770">
        <v>0</v>
      </c>
      <c r="AG465" s="771"/>
      <c r="AH465" s="772">
        <v>0</v>
      </c>
      <c r="AI465" s="773">
        <v>0</v>
      </c>
      <c r="AJ465" s="778"/>
      <c r="AK465" s="769"/>
      <c r="AL465" s="770">
        <v>0</v>
      </c>
      <c r="AM465" s="774"/>
      <c r="AN465" s="772">
        <v>0</v>
      </c>
      <c r="AO465" s="780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522" t="s">
        <v>181</v>
      </c>
      <c r="B466" s="503"/>
      <c r="C466" s="738" t="s">
        <v>227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6" t="s">
        <v>181</v>
      </c>
      <c r="W466" s="787"/>
      <c r="X466" s="788">
        <v>0.10342342460668867</v>
      </c>
      <c r="Y466" s="787"/>
      <c r="Z466" s="789">
        <v>62225.182340764542</v>
      </c>
      <c r="AA466" s="788"/>
      <c r="AB466" s="787"/>
      <c r="AC466" s="789"/>
      <c r="AD466" s="790">
        <v>9.5571083477742999E-2</v>
      </c>
      <c r="AE466" s="787"/>
      <c r="AF466" s="789">
        <v>53237.83</v>
      </c>
      <c r="AG466" s="811"/>
      <c r="AH466" s="812">
        <v>-8987.3523407645407</v>
      </c>
      <c r="AI466" s="788">
        <v>-0.14443272004486851</v>
      </c>
      <c r="AJ466" s="790">
        <v>0.13275323101870615</v>
      </c>
      <c r="AK466" s="788"/>
      <c r="AL466" s="789">
        <v>60751.19999999999</v>
      </c>
      <c r="AM466" s="798"/>
      <c r="AN466" s="792">
        <v>-7513.3699999999917</v>
      </c>
      <c r="AO466" s="813">
        <v>-0.12367442947629007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522" t="s">
        <v>469</v>
      </c>
      <c r="B467" s="503"/>
      <c r="C467" s="738" t="s">
        <v>227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9"/>
      <c r="W467" s="769"/>
      <c r="X467" s="769"/>
      <c r="Y467" s="769"/>
      <c r="Z467" s="819"/>
      <c r="AA467" s="769"/>
      <c r="AB467" s="769"/>
      <c r="AC467" s="819"/>
      <c r="AD467" s="778"/>
      <c r="AE467" s="769"/>
      <c r="AF467" s="819"/>
      <c r="AG467" s="778"/>
      <c r="AH467" s="772">
        <v>0</v>
      </c>
      <c r="AI467" s="773"/>
      <c r="AJ467" s="778"/>
      <c r="AK467" s="769"/>
      <c r="AL467" s="819"/>
      <c r="AM467" s="820"/>
      <c r="AN467" s="772">
        <v>0</v>
      </c>
      <c r="AO467" s="821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522" t="s">
        <v>65</v>
      </c>
      <c r="B468" s="503"/>
      <c r="C468" s="738" t="s">
        <v>227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6" t="s">
        <v>65</v>
      </c>
      <c r="W468" s="787"/>
      <c r="X468" s="788">
        <v>1.0706396402668288</v>
      </c>
      <c r="Y468" s="787"/>
      <c r="Z468" s="789">
        <v>644155.29741166043</v>
      </c>
      <c r="AA468" s="788"/>
      <c r="AB468" s="787"/>
      <c r="AC468" s="789"/>
      <c r="AD468" s="790">
        <v>1.0363498536826778</v>
      </c>
      <c r="AE468" s="787"/>
      <c r="AF468" s="789">
        <v>577298.23</v>
      </c>
      <c r="AG468" s="811"/>
      <c r="AH468" s="812">
        <v>-66857.06741166045</v>
      </c>
      <c r="AI468" s="788">
        <v>-0.10379029355235449</v>
      </c>
      <c r="AJ468" s="790">
        <v>1.2354215466628118</v>
      </c>
      <c r="AK468" s="788"/>
      <c r="AL468" s="789">
        <v>565359.80999999982</v>
      </c>
      <c r="AM468" s="798"/>
      <c r="AN468" s="792">
        <v>11938.420000000158</v>
      </c>
      <c r="AO468" s="767">
        <v>2.1116499243199055E-2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522" t="s">
        <v>182</v>
      </c>
      <c r="B469" s="503"/>
      <c r="C469" s="738" t="s">
        <v>227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9" t="s">
        <v>182</v>
      </c>
      <c r="W469" s="815"/>
      <c r="X469" s="815"/>
      <c r="Y469" s="769"/>
      <c r="Z469" s="801">
        <v>30000</v>
      </c>
      <c r="AA469" s="822"/>
      <c r="AB469" s="823"/>
      <c r="AC469" s="801"/>
      <c r="AD469" s="824"/>
      <c r="AE469" s="823"/>
      <c r="AF469" s="770">
        <v>17051.759999999998</v>
      </c>
      <c r="AG469" s="825"/>
      <c r="AH469" s="772">
        <v>-12948.240000000002</v>
      </c>
      <c r="AI469" s="818">
        <v>-0.43160800000000005</v>
      </c>
      <c r="AJ469" s="824"/>
      <c r="AK469" s="822"/>
      <c r="AL469" s="826">
        <v>13962.82</v>
      </c>
      <c r="AM469" s="827"/>
      <c r="AN469" s="772">
        <v>3088.9399999999987</v>
      </c>
      <c r="AO469" s="780">
        <v>0.22122608470208732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522" t="s">
        <v>69</v>
      </c>
      <c r="B470" s="503"/>
      <c r="C470" s="738" t="s">
        <v>227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9" t="s">
        <v>69</v>
      </c>
      <c r="W470" s="769"/>
      <c r="X470" s="769"/>
      <c r="Y470" s="769"/>
      <c r="Z470" s="770">
        <v>78403.70098853347</v>
      </c>
      <c r="AA470" s="814"/>
      <c r="AB470" s="772"/>
      <c r="AC470" s="770"/>
      <c r="AD470" s="828"/>
      <c r="AE470" s="829"/>
      <c r="AF470" s="770">
        <v>57376</v>
      </c>
      <c r="AG470" s="830"/>
      <c r="AH470" s="772">
        <v>-21027.70098853347</v>
      </c>
      <c r="AI470" s="796">
        <v>-0.26819781111619678</v>
      </c>
      <c r="AJ470" s="831"/>
      <c r="AK470" s="814"/>
      <c r="AL470" s="832">
        <v>54053</v>
      </c>
      <c r="AM470" s="828"/>
      <c r="AN470" s="772">
        <v>3323</v>
      </c>
      <c r="AO470" s="780">
        <v>6.1476698795626512E-2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522" t="s">
        <v>197</v>
      </c>
      <c r="B471" s="503"/>
      <c r="C471" s="738" t="s">
        <v>227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9" t="s">
        <v>197</v>
      </c>
      <c r="W471" s="769"/>
      <c r="X471" s="769"/>
      <c r="Y471" s="769"/>
      <c r="Z471" s="770">
        <v>25000</v>
      </c>
      <c r="AA471" s="814"/>
      <c r="AB471" s="815"/>
      <c r="AC471" s="770"/>
      <c r="AD471" s="831"/>
      <c r="AF471" s="770">
        <v>11400</v>
      </c>
      <c r="AG471" s="830"/>
      <c r="AH471" s="772">
        <v>-13600</v>
      </c>
      <c r="AI471" s="796">
        <v>-0.54400000000000004</v>
      </c>
      <c r="AJ471" s="831"/>
      <c r="AK471" s="814"/>
      <c r="AL471" s="832">
        <v>20000</v>
      </c>
      <c r="AM471" s="828"/>
      <c r="AN471" s="772">
        <v>-8600</v>
      </c>
      <c r="AO471" s="780">
        <v>-0.43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522" t="s">
        <v>194</v>
      </c>
      <c r="B472" s="503"/>
      <c r="C472" s="738" t="s">
        <v>227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9" t="s">
        <v>194</v>
      </c>
      <c r="W472" s="769"/>
      <c r="X472" s="769"/>
      <c r="Y472" s="769"/>
      <c r="Z472" s="770">
        <v>0</v>
      </c>
      <c r="AA472" s="814"/>
      <c r="AB472" s="815"/>
      <c r="AC472" s="770"/>
      <c r="AD472" s="831"/>
      <c r="AE472" s="815"/>
      <c r="AF472" s="770">
        <v>0</v>
      </c>
      <c r="AG472" s="830"/>
      <c r="AH472" s="772">
        <v>0</v>
      </c>
      <c r="AI472" s="796">
        <v>0</v>
      </c>
      <c r="AJ472" s="831"/>
      <c r="AK472" s="814"/>
      <c r="AL472" s="832">
        <v>0</v>
      </c>
      <c r="AM472" s="828"/>
      <c r="AN472" s="772">
        <v>0</v>
      </c>
      <c r="AO472" s="780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522" t="s">
        <v>68</v>
      </c>
      <c r="B473" s="503"/>
      <c r="C473" s="738" t="s">
        <v>227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9" t="s">
        <v>68</v>
      </c>
      <c r="W473" s="769"/>
      <c r="X473" s="769"/>
      <c r="Y473" s="769"/>
      <c r="Z473" s="770">
        <v>0</v>
      </c>
      <c r="AA473" s="814"/>
      <c r="AB473" s="815"/>
      <c r="AC473" s="770"/>
      <c r="AD473" s="831"/>
      <c r="AE473" s="815"/>
      <c r="AF473" s="770">
        <v>0</v>
      </c>
      <c r="AG473" s="830"/>
      <c r="AH473" s="772">
        <v>0</v>
      </c>
      <c r="AI473" s="796">
        <v>0</v>
      </c>
      <c r="AJ473" s="831"/>
      <c r="AK473" s="814"/>
      <c r="AL473" s="832">
        <v>0</v>
      </c>
      <c r="AM473" s="828"/>
      <c r="AN473" s="772">
        <v>0</v>
      </c>
      <c r="AO473" s="780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522" t="s">
        <v>225</v>
      </c>
      <c r="B474" s="503"/>
      <c r="C474" s="738" t="s">
        <v>227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9" t="s">
        <v>225</v>
      </c>
      <c r="W474" s="769"/>
      <c r="X474" s="769"/>
      <c r="Y474" s="769"/>
      <c r="Z474" s="770">
        <v>0</v>
      </c>
      <c r="AA474" s="814"/>
      <c r="AB474" s="815"/>
      <c r="AC474" s="770"/>
      <c r="AD474" s="831"/>
      <c r="AE474" s="815"/>
      <c r="AF474" s="770">
        <v>0</v>
      </c>
      <c r="AG474" s="830"/>
      <c r="AH474" s="772">
        <v>0</v>
      </c>
      <c r="AI474" s="796">
        <v>0</v>
      </c>
      <c r="AJ474" s="831"/>
      <c r="AK474" s="814"/>
      <c r="AL474" s="832">
        <v>0</v>
      </c>
      <c r="AM474" s="828"/>
      <c r="AN474" s="772">
        <v>0</v>
      </c>
      <c r="AO474" s="780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522" t="s">
        <v>81</v>
      </c>
      <c r="B475" s="503"/>
      <c r="C475" s="738" t="s">
        <v>227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9" t="s">
        <v>81</v>
      </c>
      <c r="W475" s="769"/>
      <c r="X475" s="769"/>
      <c r="Y475" s="769"/>
      <c r="Z475" s="770">
        <v>0</v>
      </c>
      <c r="AA475" s="814"/>
      <c r="AB475" s="815"/>
      <c r="AC475" s="770"/>
      <c r="AD475" s="831"/>
      <c r="AE475" s="815"/>
      <c r="AF475" s="770">
        <v>0</v>
      </c>
      <c r="AG475" s="830"/>
      <c r="AH475" s="772">
        <v>0</v>
      </c>
      <c r="AI475" s="796">
        <v>0</v>
      </c>
      <c r="AJ475" s="831"/>
      <c r="AK475" s="814"/>
      <c r="AL475" s="832">
        <v>0</v>
      </c>
      <c r="AM475" s="828"/>
      <c r="AN475" s="772">
        <v>0</v>
      </c>
      <c r="AO475" s="780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522" t="s">
        <v>82</v>
      </c>
      <c r="B476" s="503"/>
      <c r="C476" s="738" t="s">
        <v>227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9" t="s">
        <v>82</v>
      </c>
      <c r="W476" s="769"/>
      <c r="X476" s="769"/>
      <c r="Y476" s="769"/>
      <c r="Z476" s="770">
        <v>0</v>
      </c>
      <c r="AA476" s="814"/>
      <c r="AB476" s="815"/>
      <c r="AC476" s="770"/>
      <c r="AD476" s="831"/>
      <c r="AE476" s="815"/>
      <c r="AF476" s="770">
        <v>0</v>
      </c>
      <c r="AG476" s="830"/>
      <c r="AH476" s="772">
        <v>0</v>
      </c>
      <c r="AI476" s="796">
        <v>0</v>
      </c>
      <c r="AJ476" s="831"/>
      <c r="AK476" s="814"/>
      <c r="AL476" s="832">
        <v>0</v>
      </c>
      <c r="AM476" s="828"/>
      <c r="AN476" s="772">
        <v>0</v>
      </c>
      <c r="AO476" s="780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522" t="s">
        <v>20</v>
      </c>
      <c r="B477" s="503"/>
      <c r="C477" s="738" t="s">
        <v>227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9" t="s">
        <v>20</v>
      </c>
      <c r="W477" s="769"/>
      <c r="X477" s="769"/>
      <c r="Y477" s="769"/>
      <c r="Z477" s="770">
        <v>0</v>
      </c>
      <c r="AA477" s="769"/>
      <c r="AB477" s="769"/>
      <c r="AC477" s="770"/>
      <c r="AD477" s="778"/>
      <c r="AE477" s="777"/>
      <c r="AF477" s="770">
        <v>0</v>
      </c>
      <c r="AG477" s="771"/>
      <c r="AH477" s="772">
        <v>0</v>
      </c>
      <c r="AI477" s="773">
        <v>0</v>
      </c>
      <c r="AJ477" s="778"/>
      <c r="AK477" s="769"/>
      <c r="AL477" s="770">
        <v>0</v>
      </c>
      <c r="AM477" s="828"/>
      <c r="AN477" s="772">
        <v>0</v>
      </c>
      <c r="AO477" s="780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522" t="s">
        <v>20</v>
      </c>
      <c r="B478" s="503"/>
      <c r="C478" s="738" t="s">
        <v>227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9" t="s">
        <v>20</v>
      </c>
      <c r="W478" s="769"/>
      <c r="X478" s="769"/>
      <c r="Y478" s="769"/>
      <c r="Z478" s="770">
        <v>0</v>
      </c>
      <c r="AA478" s="769"/>
      <c r="AB478" s="769"/>
      <c r="AC478" s="770"/>
      <c r="AD478" s="778"/>
      <c r="AE478" s="777"/>
      <c r="AF478" s="770">
        <v>0</v>
      </c>
      <c r="AG478" s="771"/>
      <c r="AH478" s="772">
        <v>0</v>
      </c>
      <c r="AI478" s="773">
        <v>0</v>
      </c>
      <c r="AJ478" s="778"/>
      <c r="AK478" s="769"/>
      <c r="AL478" s="770">
        <v>0</v>
      </c>
      <c r="AM478" s="828"/>
      <c r="AN478" s="772">
        <v>0</v>
      </c>
      <c r="AO478" s="780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522" t="s">
        <v>20</v>
      </c>
      <c r="B479" s="503"/>
      <c r="C479" s="738" t="s">
        <v>227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9" t="s">
        <v>20</v>
      </c>
      <c r="W479" s="769"/>
      <c r="X479" s="769"/>
      <c r="Y479" s="769"/>
      <c r="Z479" s="770">
        <v>0</v>
      </c>
      <c r="AA479" s="769"/>
      <c r="AB479" s="769"/>
      <c r="AC479" s="770"/>
      <c r="AD479" s="778"/>
      <c r="AE479" s="777"/>
      <c r="AF479" s="770">
        <v>0</v>
      </c>
      <c r="AG479" s="771"/>
      <c r="AH479" s="772">
        <v>0</v>
      </c>
      <c r="AI479" s="773">
        <v>0</v>
      </c>
      <c r="AJ479" s="778"/>
      <c r="AK479" s="769"/>
      <c r="AL479" s="770">
        <v>0</v>
      </c>
      <c r="AM479" s="828"/>
      <c r="AN479" s="772">
        <v>0</v>
      </c>
      <c r="AO479" s="780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522" t="s">
        <v>70</v>
      </c>
      <c r="B480" s="503"/>
      <c r="C480" s="738" t="s">
        <v>227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601" t="s">
        <v>70</v>
      </c>
      <c r="W480" s="769"/>
      <c r="X480" s="769"/>
      <c r="Y480" s="769"/>
      <c r="Z480" s="770">
        <v>36402.099999999991</v>
      </c>
      <c r="AA480" s="814"/>
      <c r="AB480" s="815"/>
      <c r="AC480" s="770"/>
      <c r="AD480" s="833">
        <v>62.482965931863724</v>
      </c>
      <c r="AE480" s="814">
        <v>1.2209821428571428</v>
      </c>
      <c r="AF480" s="770">
        <v>31179</v>
      </c>
      <c r="AG480" s="830"/>
      <c r="AH480" s="772">
        <v>-5223.0999999999913</v>
      </c>
      <c r="AI480" s="796">
        <v>-0.14348348034866099</v>
      </c>
      <c r="AJ480" s="831"/>
      <c r="AK480" s="814"/>
      <c r="AL480" s="832">
        <v>25224</v>
      </c>
      <c r="AM480" s="828"/>
      <c r="AN480" s="772">
        <v>5955</v>
      </c>
      <c r="AO480" s="780">
        <v>0.23608468125594673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522" t="s">
        <v>183</v>
      </c>
      <c r="B481" s="503"/>
      <c r="C481" s="738" t="s">
        <v>227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6" t="s">
        <v>183</v>
      </c>
      <c r="W481" s="787"/>
      <c r="X481" s="788">
        <v>0.28223135386155296</v>
      </c>
      <c r="Y481" s="810"/>
      <c r="Z481" s="789">
        <v>169805.80098853348</v>
      </c>
      <c r="AA481" s="788"/>
      <c r="AB481" s="810"/>
      <c r="AC481" s="789"/>
      <c r="AD481" s="788">
        <v>0.21004730710136457</v>
      </c>
      <c r="AE481" s="810"/>
      <c r="AF481" s="789">
        <v>117006.76</v>
      </c>
      <c r="AG481" s="811"/>
      <c r="AH481" s="792">
        <v>-52799.040988533481</v>
      </c>
      <c r="AI481" s="788">
        <v>-0.31093779294441687</v>
      </c>
      <c r="AJ481" s="834"/>
      <c r="AK481" s="835"/>
      <c r="AL481" s="789">
        <v>113239.82</v>
      </c>
      <c r="AM481" s="836"/>
      <c r="AN481" s="792">
        <v>3766.9399999999878</v>
      </c>
      <c r="AO481" s="813">
        <v>3.3265153547577059E-2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522" t="s">
        <v>469</v>
      </c>
      <c r="B482" s="503"/>
      <c r="C482" s="738" t="s">
        <v>227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7"/>
      <c r="W482" s="838"/>
      <c r="X482" s="838"/>
      <c r="Y482" s="839"/>
      <c r="Z482" s="840"/>
      <c r="AA482" s="838"/>
      <c r="AB482" s="841"/>
      <c r="AC482" s="840"/>
      <c r="AD482" s="838"/>
      <c r="AE482" s="841"/>
      <c r="AF482" s="842"/>
      <c r="AG482" s="843"/>
      <c r="AH482" s="844"/>
      <c r="AI482" s="845"/>
      <c r="AJ482" s="846"/>
      <c r="AK482" s="847"/>
      <c r="AL482" s="842"/>
      <c r="AM482" s="848"/>
      <c r="AN482" s="844">
        <v>0</v>
      </c>
      <c r="AO482" s="849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522" t="s">
        <v>184</v>
      </c>
      <c r="B483" s="503"/>
      <c r="C483" s="738" t="s">
        <v>227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50" t="s">
        <v>184</v>
      </c>
      <c r="W483" s="851"/>
      <c r="X483" s="852" t="s">
        <v>185</v>
      </c>
      <c r="Y483" s="853">
        <v>2.40445603713931E-2</v>
      </c>
      <c r="Z483" s="854">
        <v>127305.13430876116</v>
      </c>
      <c r="AA483" s="852"/>
      <c r="AB483" s="853"/>
      <c r="AC483" s="854"/>
      <c r="AD483" s="852" t="s">
        <v>185</v>
      </c>
      <c r="AE483" s="853">
        <v>2.1281801224805025E-2</v>
      </c>
      <c r="AF483" s="855">
        <v>96758.089999999953</v>
      </c>
      <c r="AG483" s="856"/>
      <c r="AH483" s="856">
        <v>-30547.044308761208</v>
      </c>
      <c r="AI483" s="857">
        <v>-0.23995139296325266</v>
      </c>
      <c r="AJ483" s="858" t="s">
        <v>185</v>
      </c>
      <c r="AK483" s="853">
        <v>1.4923439593734389E-3</v>
      </c>
      <c r="AL483" s="855">
        <v>5505.0299999999115</v>
      </c>
      <c r="AM483" s="859"/>
      <c r="AN483" s="855">
        <v>91253.060000000041</v>
      </c>
      <c r="AO483" s="860">
        <v>16.576305669542492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522" t="s">
        <v>469</v>
      </c>
      <c r="B484" s="503"/>
      <c r="C484" s="738" t="s">
        <v>227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2"/>
      <c r="AA484" s="509"/>
      <c r="AB484" s="509"/>
      <c r="AC484" s="572"/>
      <c r="AD484" s="509"/>
      <c r="AE484" s="509"/>
      <c r="AF484" s="861"/>
      <c r="AG484" s="509"/>
      <c r="AH484" s="509"/>
      <c r="AI484" s="509"/>
      <c r="AJ484" s="509"/>
      <c r="AK484" s="509"/>
      <c r="AL484" s="572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522" t="s">
        <v>478</v>
      </c>
      <c r="B485" s="503"/>
      <c r="C485" s="738" t="s">
        <v>227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62" t="s">
        <v>478</v>
      </c>
      <c r="W485" s="862"/>
      <c r="X485" s="862"/>
      <c r="Y485" s="862"/>
      <c r="Z485" s="862"/>
      <c r="AA485" s="862"/>
      <c r="AB485" s="862"/>
      <c r="AC485" s="862"/>
      <c r="AD485" s="862"/>
      <c r="AE485" s="863" t="s">
        <v>186</v>
      </c>
      <c r="AF485" s="862"/>
      <c r="AG485" s="862"/>
      <c r="AH485" s="862"/>
      <c r="AI485" s="862"/>
      <c r="AJ485" s="864"/>
      <c r="AK485" s="865"/>
      <c r="AL485" s="862"/>
      <c r="AM485" s="862"/>
      <c r="AN485" s="862"/>
      <c r="AO485" s="866" t="s">
        <v>482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19.5" customHeight="1">
      <c r="A486" s="522" t="s">
        <v>469</v>
      </c>
      <c r="B486" s="503"/>
      <c r="C486" s="738" t="s">
        <v>227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2"/>
      <c r="AA486" s="509"/>
      <c r="AB486" s="509"/>
      <c r="AC486" s="572"/>
      <c r="AD486" s="509"/>
      <c r="AE486" s="509"/>
      <c r="AF486" s="861"/>
      <c r="AG486" s="509"/>
      <c r="AH486" s="509"/>
      <c r="AI486" s="509"/>
      <c r="AJ486" s="509"/>
      <c r="AK486" s="509"/>
      <c r="AL486" s="572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19.5" customHeight="1" thickBot="1">
      <c r="A487" s="522" t="s">
        <v>469</v>
      </c>
      <c r="B487" s="503"/>
      <c r="C487" s="738" t="s">
        <v>227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2"/>
      <c r="AA487" s="509"/>
      <c r="AB487" s="509"/>
      <c r="AC487" s="572"/>
      <c r="AD487" s="509"/>
      <c r="AE487" s="509"/>
      <c r="AF487" s="861"/>
      <c r="AG487" s="509"/>
      <c r="AH487" s="509"/>
      <c r="AI487" s="509"/>
      <c r="AJ487" s="509"/>
      <c r="AK487" s="509"/>
      <c r="AL487" s="572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19.5" customHeight="1" thickTop="1" thickBot="1">
      <c r="A488" s="522" t="s">
        <v>469</v>
      </c>
      <c r="B488" s="503"/>
      <c r="C488" s="738" t="s">
        <v>227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850" t="s">
        <v>215</v>
      </c>
      <c r="W488" s="851"/>
      <c r="X488" s="852" t="s">
        <v>185</v>
      </c>
      <c r="Y488" s="853">
        <v>3.1777399658230454E-2</v>
      </c>
      <c r="Z488" s="855">
        <v>168247.040868638</v>
      </c>
      <c r="AA488" s="852"/>
      <c r="AB488" s="853"/>
      <c r="AC488" s="854"/>
      <c r="AD488" s="852" t="s">
        <v>185</v>
      </c>
      <c r="AE488" s="853">
        <v>2.5595957789137824E-2</v>
      </c>
      <c r="AF488" s="855">
        <v>116372.47999999995</v>
      </c>
      <c r="AG488" s="856"/>
      <c r="AH488" s="856">
        <v>-51874.560868638044</v>
      </c>
      <c r="AI488" s="857">
        <v>-0.30832376367998099</v>
      </c>
      <c r="AJ488" s="852" t="s">
        <v>185</v>
      </c>
      <c r="AK488" s="853">
        <v>1.1902740432257963E-3</v>
      </c>
      <c r="AL488" s="855">
        <v>4390.7399999999107</v>
      </c>
      <c r="AM488" s="859"/>
      <c r="AN488" s="855">
        <v>111981.74000000005</v>
      </c>
      <c r="AO488" s="867">
        <v>25.504069928987445</v>
      </c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9.5" thickTop="1" thickBot="1">
      <c r="A489" s="522" t="s">
        <v>184</v>
      </c>
      <c r="B489" s="503"/>
      <c r="C489" s="738" t="s">
        <v>227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50" t="s">
        <v>184</v>
      </c>
      <c r="W489" s="851"/>
      <c r="X489" s="852" t="s">
        <v>185</v>
      </c>
      <c r="Y489" s="853">
        <v>2.40445603713931E-2</v>
      </c>
      <c r="Z489" s="854">
        <v>127305.13430876116</v>
      </c>
      <c r="AA489" s="852"/>
      <c r="AB489" s="853"/>
      <c r="AC489" s="854"/>
      <c r="AD489" s="852" t="s">
        <v>185</v>
      </c>
      <c r="AE489" s="853">
        <v>2.1281801224805025E-2</v>
      </c>
      <c r="AF489" s="854">
        <v>96758.089999999953</v>
      </c>
      <c r="AG489" s="855"/>
      <c r="AH489" s="856">
        <v>-30547.044308761208</v>
      </c>
      <c r="AI489" s="857">
        <v>-0.23995139296325266</v>
      </c>
      <c r="AJ489" s="852" t="s">
        <v>185</v>
      </c>
      <c r="AK489" s="853">
        <v>1.4923439593734389E-3</v>
      </c>
      <c r="AL489" s="868">
        <v>5505.0299999999115</v>
      </c>
      <c r="AM489" s="869"/>
      <c r="AN489" s="870">
        <v>91253.060000000041</v>
      </c>
      <c r="AO489" s="871">
        <v>16.576305669542492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522" t="s">
        <v>469</v>
      </c>
      <c r="B490" s="503"/>
      <c r="C490" s="738" t="s">
        <v>227</v>
      </c>
      <c r="D490" s="506"/>
      <c r="E490" s="506"/>
      <c r="F490" s="656"/>
      <c r="G490" s="506"/>
      <c r="H490" s="506"/>
      <c r="I490" s="656"/>
      <c r="J490" s="506"/>
      <c r="K490" s="506"/>
      <c r="L490" s="506"/>
      <c r="M490" s="656"/>
      <c r="N490" s="506"/>
      <c r="O490" s="506"/>
      <c r="P490" s="506"/>
      <c r="Q490" s="656"/>
      <c r="R490" s="656"/>
      <c r="S490" s="656"/>
      <c r="T490" s="817"/>
      <c r="U490" s="817"/>
      <c r="V490" s="872"/>
      <c r="W490" s="506"/>
      <c r="X490" s="506"/>
      <c r="Y490" s="506"/>
      <c r="Z490" s="873"/>
      <c r="AA490" s="506"/>
      <c r="AB490" s="506"/>
      <c r="AC490" s="874"/>
      <c r="AD490" s="506"/>
      <c r="AE490" s="506"/>
      <c r="AF490" s="874"/>
      <c r="AG490" s="506"/>
      <c r="AH490" s="506"/>
      <c r="AI490" s="874"/>
      <c r="AJ490" s="506"/>
      <c r="AK490" s="506"/>
      <c r="AL490" s="875"/>
      <c r="AM490" s="876"/>
      <c r="AN490" s="506"/>
      <c r="AO490" s="877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522" t="s">
        <v>187</v>
      </c>
      <c r="B491" s="503"/>
      <c r="C491" s="738" t="s">
        <v>227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9" t="s">
        <v>187</v>
      </c>
      <c r="W491" s="776"/>
      <c r="X491" s="769"/>
      <c r="Y491" s="777"/>
      <c r="Z491" s="770">
        <v>43648</v>
      </c>
      <c r="AA491" s="769"/>
      <c r="AB491" s="777"/>
      <c r="AC491" s="770"/>
      <c r="AD491" s="769"/>
      <c r="AE491" s="777"/>
      <c r="AF491" s="770">
        <v>42648</v>
      </c>
      <c r="AG491" s="769"/>
      <c r="AH491" s="772">
        <v>-1000</v>
      </c>
      <c r="AI491" s="796">
        <v>-2.2910557184750734E-2</v>
      </c>
      <c r="AJ491" s="769"/>
      <c r="AK491" s="769"/>
      <c r="AL491" s="770">
        <v>45225.760000000002</v>
      </c>
      <c r="AM491" s="774"/>
      <c r="AN491" s="772">
        <v>-2577.760000000002</v>
      </c>
      <c r="AO491" s="780">
        <v>-5.6997604904815348E-2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522" t="s">
        <v>188</v>
      </c>
      <c r="B492" s="503"/>
      <c r="C492" s="738" t="s">
        <v>227</v>
      </c>
      <c r="D492" s="506"/>
      <c r="E492" s="506"/>
      <c r="F492" s="656"/>
      <c r="G492" s="506"/>
      <c r="H492" s="506"/>
      <c r="I492" s="656"/>
      <c r="J492" s="506"/>
      <c r="K492" s="506"/>
      <c r="L492" s="506"/>
      <c r="M492" s="656"/>
      <c r="N492" s="506"/>
      <c r="O492" s="506"/>
      <c r="P492" s="506"/>
      <c r="Q492" s="656"/>
      <c r="R492" s="656"/>
      <c r="S492" s="656"/>
      <c r="T492" s="506"/>
      <c r="U492" s="506"/>
      <c r="V492" s="599" t="s">
        <v>188</v>
      </c>
      <c r="W492" s="506"/>
      <c r="X492" s="506"/>
      <c r="Y492" s="506"/>
      <c r="Z492" s="770">
        <v>0</v>
      </c>
      <c r="AA492" s="506"/>
      <c r="AB492" s="506"/>
      <c r="AC492" s="770"/>
      <c r="AD492" s="506"/>
      <c r="AE492" s="509"/>
      <c r="AF492" s="770">
        <v>0</v>
      </c>
      <c r="AG492" s="506"/>
      <c r="AH492" s="772">
        <v>0</v>
      </c>
      <c r="AI492" s="796">
        <v>0</v>
      </c>
      <c r="AJ492" s="506"/>
      <c r="AK492" s="506"/>
      <c r="AL492" s="770">
        <v>0</v>
      </c>
      <c r="AM492" s="876"/>
      <c r="AN492" s="772">
        <v>0</v>
      </c>
      <c r="AO492" s="780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522" t="s">
        <v>189</v>
      </c>
      <c r="B493" s="503"/>
      <c r="C493" s="738" t="s">
        <v>227</v>
      </c>
      <c r="D493" s="506"/>
      <c r="E493" s="506"/>
      <c r="F493" s="656"/>
      <c r="G493" s="506"/>
      <c r="H493" s="506"/>
      <c r="I493" s="656"/>
      <c r="J493" s="506"/>
      <c r="K493" s="506"/>
      <c r="L493" s="506"/>
      <c r="M493" s="656"/>
      <c r="N493" s="506"/>
      <c r="O493" s="506"/>
      <c r="P493" s="506"/>
      <c r="Q493" s="656"/>
      <c r="R493" s="656"/>
      <c r="S493" s="656"/>
      <c r="T493" s="506"/>
      <c r="U493" s="506"/>
      <c r="V493" s="599" t="s">
        <v>189</v>
      </c>
      <c r="W493" s="509"/>
      <c r="X493" s="509"/>
      <c r="Y493" s="509"/>
      <c r="Z493" s="770">
        <v>0</v>
      </c>
      <c r="AA493" s="506"/>
      <c r="AB493" s="506"/>
      <c r="AC493" s="770"/>
      <c r="AD493" s="506"/>
      <c r="AE493" s="509"/>
      <c r="AF493" s="770">
        <v>0</v>
      </c>
      <c r="AG493" s="506"/>
      <c r="AH493" s="772">
        <v>0</v>
      </c>
      <c r="AI493" s="796">
        <v>0</v>
      </c>
      <c r="AJ493" s="506"/>
      <c r="AK493" s="506"/>
      <c r="AL493" s="770">
        <v>0</v>
      </c>
      <c r="AM493" s="876"/>
      <c r="AN493" s="772">
        <v>0</v>
      </c>
      <c r="AO493" s="780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522" t="s">
        <v>190</v>
      </c>
      <c r="B494" s="503"/>
      <c r="C494" s="738" t="s">
        <v>227</v>
      </c>
      <c r="D494" s="506"/>
      <c r="E494" s="506"/>
      <c r="F494" s="656"/>
      <c r="G494" s="506"/>
      <c r="H494" s="506"/>
      <c r="I494" s="656"/>
      <c r="J494" s="506"/>
      <c r="K494" s="506"/>
      <c r="L494" s="506"/>
      <c r="M494" s="656"/>
      <c r="N494" s="506"/>
      <c r="O494" s="506"/>
      <c r="P494" s="506"/>
      <c r="Q494" s="656"/>
      <c r="R494" s="656"/>
      <c r="S494" s="656"/>
      <c r="T494" s="506"/>
      <c r="U494" s="506"/>
      <c r="V494" s="599" t="s">
        <v>190</v>
      </c>
      <c r="W494" s="509"/>
      <c r="X494" s="509"/>
      <c r="Y494" s="509"/>
      <c r="Z494" s="770">
        <v>0</v>
      </c>
      <c r="AA494" s="506"/>
      <c r="AB494" s="506"/>
      <c r="AC494" s="770"/>
      <c r="AD494" s="506"/>
      <c r="AE494" s="509"/>
      <c r="AF494" s="770">
        <v>0</v>
      </c>
      <c r="AG494" s="506"/>
      <c r="AH494" s="772">
        <v>0</v>
      </c>
      <c r="AI494" s="796">
        <v>0</v>
      </c>
      <c r="AJ494" s="506"/>
      <c r="AK494" s="506"/>
      <c r="AL494" s="770">
        <v>0</v>
      </c>
      <c r="AM494" s="876"/>
      <c r="AN494" s="772">
        <v>0</v>
      </c>
      <c r="AO494" s="780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customHeight="1">
      <c r="A495" s="522" t="s">
        <v>20</v>
      </c>
      <c r="B495" s="503"/>
      <c r="C495" s="738" t="s">
        <v>227</v>
      </c>
      <c r="D495" s="506"/>
      <c r="E495" s="506"/>
      <c r="F495" s="656"/>
      <c r="G495" s="506"/>
      <c r="H495" s="506"/>
      <c r="I495" s="656"/>
      <c r="J495" s="506"/>
      <c r="K495" s="506"/>
      <c r="L495" s="506"/>
      <c r="M495" s="656"/>
      <c r="N495" s="506"/>
      <c r="O495" s="506"/>
      <c r="P495" s="506"/>
      <c r="Q495" s="656"/>
      <c r="R495" s="656"/>
      <c r="S495" s="656"/>
      <c r="T495" s="506"/>
      <c r="U495" s="506"/>
      <c r="V495" s="599" t="s">
        <v>20</v>
      </c>
      <c r="W495" s="509"/>
      <c r="X495" s="509"/>
      <c r="Y495" s="509"/>
      <c r="Z495" s="770">
        <v>0</v>
      </c>
      <c r="AA495" s="769"/>
      <c r="AB495" s="769"/>
      <c r="AC495" s="770"/>
      <c r="AD495" s="778"/>
      <c r="AE495" s="777"/>
      <c r="AF495" s="770">
        <v>0</v>
      </c>
      <c r="AG495" s="771"/>
      <c r="AH495" s="772">
        <v>0</v>
      </c>
      <c r="AI495" s="773">
        <v>0</v>
      </c>
      <c r="AJ495" s="778"/>
      <c r="AK495" s="769"/>
      <c r="AL495" s="878">
        <v>0</v>
      </c>
      <c r="AM495" s="876"/>
      <c r="AN495" s="772">
        <v>0</v>
      </c>
      <c r="AO495" s="780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>
      <c r="A496" s="599" t="s">
        <v>470</v>
      </c>
      <c r="B496" s="503"/>
      <c r="C496" s="738" t="s">
        <v>227</v>
      </c>
      <c r="D496" s="506"/>
      <c r="E496" s="506"/>
      <c r="F496" s="656"/>
      <c r="G496" s="506"/>
      <c r="H496" s="506"/>
      <c r="I496" s="656"/>
      <c r="J496" s="506"/>
      <c r="K496" s="506"/>
      <c r="L496" s="506"/>
      <c r="M496" s="656"/>
      <c r="N496" s="506"/>
      <c r="O496" s="506"/>
      <c r="P496" s="506"/>
      <c r="Q496" s="656"/>
      <c r="R496" s="656"/>
      <c r="S496" s="656"/>
      <c r="T496" s="506"/>
      <c r="U496" s="506"/>
      <c r="V496" s="599" t="s">
        <v>470</v>
      </c>
      <c r="W496" s="509"/>
      <c r="X496" s="509"/>
      <c r="Y496" s="509"/>
      <c r="Z496" s="770">
        <v>-1079.1666666666667</v>
      </c>
      <c r="AA496" s="769"/>
      <c r="AB496" s="769"/>
      <c r="AC496" s="770"/>
      <c r="AD496" s="778"/>
      <c r="AE496" s="777"/>
      <c r="AF496" s="770">
        <v>0</v>
      </c>
      <c r="AG496" s="771"/>
      <c r="AH496" s="772">
        <v>1079.1666666666667</v>
      </c>
      <c r="AI496" s="773">
        <v>-1</v>
      </c>
      <c r="AJ496" s="778"/>
      <c r="AK496" s="769"/>
      <c r="AL496" s="770">
        <v>-1207.6500000000001</v>
      </c>
      <c r="AM496" s="876"/>
      <c r="AN496" s="772">
        <v>1207.6500000000001</v>
      </c>
      <c r="AO496" s="780">
        <v>-1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customHeight="1" thickBot="1">
      <c r="A497" s="522" t="s">
        <v>20</v>
      </c>
      <c r="B497" s="503"/>
      <c r="C497" s="738" t="s">
        <v>227</v>
      </c>
      <c r="D497" s="506"/>
      <c r="E497" s="506"/>
      <c r="F497" s="656"/>
      <c r="G497" s="506"/>
      <c r="H497" s="506"/>
      <c r="I497" s="656"/>
      <c r="J497" s="506"/>
      <c r="K497" s="506"/>
      <c r="L497" s="506"/>
      <c r="M497" s="656"/>
      <c r="N497" s="506"/>
      <c r="O497" s="506"/>
      <c r="P497" s="506"/>
      <c r="Q497" s="656"/>
      <c r="R497" s="656"/>
      <c r="S497" s="656"/>
      <c r="T497" s="506"/>
      <c r="U497" s="506"/>
      <c r="V497" s="599" t="s">
        <v>20</v>
      </c>
      <c r="W497" s="509"/>
      <c r="X497" s="506"/>
      <c r="Y497" s="509"/>
      <c r="Z497" s="770">
        <v>0</v>
      </c>
      <c r="AA497" s="769"/>
      <c r="AB497" s="769"/>
      <c r="AC497" s="770"/>
      <c r="AD497" s="778"/>
      <c r="AE497" s="777"/>
      <c r="AF497" s="770">
        <v>0</v>
      </c>
      <c r="AG497" s="771"/>
      <c r="AH497" s="772">
        <v>0</v>
      </c>
      <c r="AI497" s="773">
        <v>0</v>
      </c>
      <c r="AJ497" s="778"/>
      <c r="AK497" s="769"/>
      <c r="AL497" s="770">
        <v>0</v>
      </c>
      <c r="AM497" s="876"/>
      <c r="AN497" s="772">
        <v>0</v>
      </c>
      <c r="AO497" s="780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522" t="s">
        <v>191</v>
      </c>
      <c r="B498" s="503"/>
      <c r="C498" s="738" t="s">
        <v>227</v>
      </c>
      <c r="D498" s="506"/>
      <c r="E498" s="506"/>
      <c r="F498" s="656"/>
      <c r="G498" s="506"/>
      <c r="H498" s="506"/>
      <c r="I498" s="656"/>
      <c r="J498" s="506"/>
      <c r="K498" s="506"/>
      <c r="L498" s="506"/>
      <c r="M498" s="656"/>
      <c r="N498" s="506"/>
      <c r="O498" s="506"/>
      <c r="P498" s="506"/>
      <c r="Q498" s="656"/>
      <c r="R498" s="656"/>
      <c r="S498" s="656"/>
      <c r="T498" s="506"/>
      <c r="U498" s="506"/>
      <c r="V498" s="850" t="s">
        <v>191</v>
      </c>
      <c r="W498" s="851"/>
      <c r="X498" s="852" t="s">
        <v>185</v>
      </c>
      <c r="Y498" s="853">
        <v>1.6004437806181972E-2</v>
      </c>
      <c r="Z498" s="854">
        <v>84736.300975427832</v>
      </c>
      <c r="AA498" s="852"/>
      <c r="AB498" s="853"/>
      <c r="AC498" s="854"/>
      <c r="AD498" s="852" t="s">
        <v>185</v>
      </c>
      <c r="AE498" s="853">
        <v>1.1901435628135174E-2</v>
      </c>
      <c r="AF498" s="855">
        <v>54110.089999999953</v>
      </c>
      <c r="AG498" s="856"/>
      <c r="AH498" s="856">
        <v>-30626.210975427879</v>
      </c>
      <c r="AI498" s="857">
        <v>-0.36142964258386723</v>
      </c>
      <c r="AJ498" s="858" t="s">
        <v>185</v>
      </c>
      <c r="AK498" s="853">
        <v>-1.044040855269945E-2</v>
      </c>
      <c r="AL498" s="855">
        <v>-38513.080000000089</v>
      </c>
      <c r="AM498" s="859"/>
      <c r="AN498" s="855">
        <v>92623.170000000042</v>
      </c>
      <c r="AO498" s="867">
        <v>-2.4049795549979338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522" t="s">
        <v>469</v>
      </c>
      <c r="B499" s="503"/>
      <c r="C499" s="506"/>
      <c r="D499" s="506"/>
      <c r="E499" s="506"/>
      <c r="F499" s="656"/>
      <c r="G499" s="506"/>
      <c r="H499" s="506"/>
      <c r="I499" s="656"/>
      <c r="J499" s="506"/>
      <c r="K499" s="506"/>
      <c r="L499" s="506"/>
      <c r="M499" s="656"/>
      <c r="N499" s="506"/>
      <c r="O499" s="506"/>
      <c r="P499" s="506"/>
      <c r="Q499" s="656"/>
      <c r="R499" s="656"/>
      <c r="S499" s="656"/>
      <c r="T499" s="506"/>
      <c r="U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6"/>
      <c r="AA500" s="506"/>
      <c r="AB500" s="506"/>
      <c r="AC500" s="656"/>
      <c r="AE500" s="879" t="s">
        <v>479</v>
      </c>
      <c r="AF500" s="879">
        <v>242770</v>
      </c>
      <c r="AG500" s="506"/>
      <c r="AH500" s="506"/>
      <c r="AI500" s="506"/>
      <c r="AJ500" s="880"/>
      <c r="AK500" s="881"/>
      <c r="AL500" s="882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6"/>
      <c r="W501" s="506"/>
      <c r="X501" s="506"/>
      <c r="Y501" s="506"/>
      <c r="Z501" s="656"/>
      <c r="AA501" s="506"/>
      <c r="AB501" s="506"/>
      <c r="AC501" s="656"/>
      <c r="AD501" s="506"/>
      <c r="AE501" s="506"/>
      <c r="AF501" s="879"/>
      <c r="AG501" s="506"/>
      <c r="AH501" s="506"/>
      <c r="AI501" s="506"/>
      <c r="AJ501" s="506"/>
      <c r="AL501" s="882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9"/>
      <c r="W502" s="506"/>
      <c r="X502" s="506"/>
      <c r="Y502" s="506"/>
      <c r="AE502" s="506"/>
      <c r="AF502" s="656"/>
      <c r="AG502" s="506"/>
      <c r="AH502" s="506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9"/>
      <c r="W503" s="506"/>
      <c r="X503" s="506"/>
      <c r="Y503" s="506"/>
      <c r="Z503" s="506"/>
      <c r="AA503" s="506"/>
      <c r="AB503" s="506"/>
      <c r="AC503" s="506"/>
      <c r="AD503" s="506"/>
      <c r="AE503" s="506"/>
      <c r="AF503" s="506"/>
      <c r="AG503" s="506"/>
      <c r="AH503" s="506"/>
      <c r="AI503" s="506"/>
      <c r="AJ503" s="883"/>
      <c r="AK503" s="881"/>
      <c r="AL503" s="882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9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506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9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506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9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506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9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506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9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506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9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506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9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506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9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9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9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884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9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4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9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884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9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9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9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9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9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9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9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9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9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9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9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3 J18:J23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C8" sqref="C8"/>
    </sheetView>
  </sheetViews>
  <sheetFormatPr baseColWidth="10" defaultColWidth="11.2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2025-10</vt:lpstr>
      <vt:lpstr>2025-11</vt:lpstr>
      <vt:lpstr>2025-12</vt:lpstr>
      <vt:lpstr>END</vt:lpstr>
      <vt:lpstr>'2025-10'!Zone_d_impression</vt:lpstr>
      <vt:lpstr>'2025-11'!Zone_d_impression</vt:lpstr>
      <vt:lpstr>'2025-12'!Zone_d_impression</vt:lpstr>
      <vt:lpstr>Conso!Zone_d_impression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2026-01-14T20:40:28Z</dcterms:modified>
</cp:coreProperties>
</file>