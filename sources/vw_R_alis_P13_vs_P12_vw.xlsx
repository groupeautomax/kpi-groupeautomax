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oogle Drive\1 - Volkwagen\PARK AVENUE VOLKSWAGEN\5 Réalisé\2021\"/>
    </mc:Choice>
  </mc:AlternateContent>
  <xr:revisionPtr revIDLastSave="0" documentId="13_ncr:1_{7E6DA590-79F8-4D4C-B7A1-1560A215A8DB}" xr6:coauthVersionLast="47" xr6:coauthVersionMax="47" xr10:uidLastSave="{00000000-0000-0000-0000-000000000000}"/>
  <bookViews>
    <workbookView xWindow="-120" yWindow="-120" windowWidth="29040" windowHeight="15840" xr2:uid="{CD22747C-04E7-4BE0-AFBC-27DB4DED29CD}"/>
  </bookViews>
  <sheets>
    <sheet name="Feuil1" sheetId="1" r:id="rId1"/>
    <sheet name="9191" sheetId="2" r:id="rId2"/>
  </sheets>
  <externalReferences>
    <externalReference r:id="rId3"/>
  </externalReferences>
  <definedNames>
    <definedName name="_xlnm._FilterDatabase" localSheetId="1" hidden="1">'9191'!$A$1:$K$70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B3" i="1"/>
  <c r="I69" i="2" l="1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72" i="2" s="1"/>
  <c r="I70" i="2" l="1"/>
  <c r="B24" i="1"/>
  <c r="B26" i="1" s="1"/>
  <c r="B11" i="1"/>
  <c r="B15" i="1" s="1"/>
  <c r="C6" i="1" l="1"/>
  <c r="B6" i="1" l="1"/>
  <c r="B18" i="1" s="1"/>
</calcChain>
</file>

<file path=xl/sharedStrings.xml><?xml version="1.0" encoding="utf-8"?>
<sst xmlns="http://schemas.openxmlformats.org/spreadsheetml/2006/main" count="139" uniqueCount="108">
  <si>
    <t>P12</t>
  </si>
  <si>
    <t>P13</t>
  </si>
  <si>
    <t>Mois</t>
  </si>
  <si>
    <t>AAD</t>
  </si>
  <si>
    <t>Explications:</t>
  </si>
  <si>
    <t>Dépense et ben marginaux ajust</t>
  </si>
  <si>
    <t>Renversement reserve etc 13e</t>
  </si>
  <si>
    <t>Ajustement reserve QG</t>
  </si>
  <si>
    <t>Ajustement Holdback</t>
  </si>
  <si>
    <t>favorable/(defavorable)</t>
  </si>
  <si>
    <t>bal</t>
  </si>
  <si>
    <t>Autres revenue realisé</t>
  </si>
  <si>
    <t>Total</t>
  </si>
  <si>
    <t>Balance</t>
  </si>
  <si>
    <t>voir realisé</t>
  </si>
  <si>
    <t>voir sommaire 9191</t>
  </si>
  <si>
    <t>Source</t>
  </si>
  <si>
    <t>#Référence</t>
  </si>
  <si>
    <t>12 ou 13</t>
  </si>
  <si>
    <t>Date</t>
  </si>
  <si>
    <t>Port</t>
  </si>
  <si>
    <t>#Contrôle</t>
  </si>
  <si>
    <t>Montant débit</t>
  </si>
  <si>
    <t>Montant crédit</t>
  </si>
  <si>
    <t>Montant</t>
  </si>
  <si>
    <t>Nom</t>
  </si>
  <si>
    <t>Description</t>
  </si>
  <si>
    <t>couru paie excedentaire</t>
  </si>
  <si>
    <t>res PMC excdentaire</t>
  </si>
  <si>
    <t>res bruising usage</t>
  </si>
  <si>
    <t>res reclamation garantie</t>
  </si>
  <si>
    <t>DIFF SOUS</t>
  </si>
  <si>
    <t>AJ CEDULE</t>
  </si>
  <si>
    <t>211249A</t>
  </si>
  <si>
    <t>211256A</t>
  </si>
  <si>
    <t>util res dec</t>
  </si>
  <si>
    <t>res exc plaque a payer</t>
  </si>
  <si>
    <t>res bruising neuf</t>
  </si>
  <si>
    <t>13 res courto</t>
  </si>
  <si>
    <t>res recevable piece service</t>
  </si>
  <si>
    <t>corr ej courto a l'envers</t>
  </si>
  <si>
    <t>res vehic accidente (feu)</t>
  </si>
  <si>
    <t>res recevable carosserie</t>
  </si>
  <si>
    <t>TF211202-2</t>
  </si>
  <si>
    <t>TF211208-2</t>
  </si>
  <si>
    <t>TF211210-6</t>
  </si>
  <si>
    <t>TF211215-2</t>
  </si>
  <si>
    <t>DESJARDINS</t>
  </si>
  <si>
    <t>TF211216-5</t>
  </si>
  <si>
    <t>MINING GOLD DEALER LOYALT</t>
  </si>
  <si>
    <t>TF211221-1</t>
  </si>
  <si>
    <t>BNC</t>
  </si>
  <si>
    <t>TF211222-14</t>
  </si>
  <si>
    <t>TF211229-1</t>
  </si>
  <si>
    <t>TR011966</t>
  </si>
  <si>
    <t>COMPLEXE DE L'AUTO PARK AVENUE</t>
  </si>
  <si>
    <t>GARANTIE NATIONALE RISTOU</t>
  </si>
  <si>
    <t>RESERVE1221</t>
  </si>
  <si>
    <t>VOLKSWAGEN CANADA LIMITEE</t>
  </si>
  <si>
    <t>CPA DE MONTREAL</t>
  </si>
  <si>
    <t>REMISE NOVEMBRE</t>
  </si>
  <si>
    <t>120121V</t>
  </si>
  <si>
    <t>#RECU    120121V</t>
  </si>
  <si>
    <t>120221V</t>
  </si>
  <si>
    <t>#RECU    120221V</t>
  </si>
  <si>
    <t>120321V</t>
  </si>
  <si>
    <t>#RECU    120321V</t>
  </si>
  <si>
    <t>120721V</t>
  </si>
  <si>
    <t>#RECU    120721V</t>
  </si>
  <si>
    <t>120821V</t>
  </si>
  <si>
    <t>#RECU    120821V</t>
  </si>
  <si>
    <t>120821VA</t>
  </si>
  <si>
    <t>120921V</t>
  </si>
  <si>
    <t>#RECU    120921V</t>
  </si>
  <si>
    <t>121021V</t>
  </si>
  <si>
    <t>#RECU    121021V</t>
  </si>
  <si>
    <t>121021VA</t>
  </si>
  <si>
    <t>121321V</t>
  </si>
  <si>
    <t>#RECU    121321V</t>
  </si>
  <si>
    <t>121421V</t>
  </si>
  <si>
    <t>#RECU    121421V</t>
  </si>
  <si>
    <t>121421VA</t>
  </si>
  <si>
    <t>121521V</t>
  </si>
  <si>
    <t>#RECU    074206</t>
  </si>
  <si>
    <t>FRAIS EVENT NATHALIE A.</t>
  </si>
  <si>
    <t>#RECU    121521V</t>
  </si>
  <si>
    <t>121521VA</t>
  </si>
  <si>
    <t>121621V</t>
  </si>
  <si>
    <t>#RECU    121621V</t>
  </si>
  <si>
    <t>121721V</t>
  </si>
  <si>
    <t>#RECU    121721V</t>
  </si>
  <si>
    <t>122021V</t>
  </si>
  <si>
    <t>#RECU    122021V</t>
  </si>
  <si>
    <t>122121V</t>
  </si>
  <si>
    <t>#RECU    122121V</t>
  </si>
  <si>
    <t>122721V</t>
  </si>
  <si>
    <t>#RECU    122721V</t>
  </si>
  <si>
    <t>122721VA</t>
  </si>
  <si>
    <t>122821V</t>
  </si>
  <si>
    <t>#RECU    122821V</t>
  </si>
  <si>
    <t>122921V</t>
  </si>
  <si>
    <t>#RECU    122921V</t>
  </si>
  <si>
    <t>210889A</t>
  </si>
  <si>
    <t>220123-1</t>
  </si>
  <si>
    <t>balance</t>
  </si>
  <si>
    <t>ajustement misc combiné</t>
  </si>
  <si>
    <t>demande QG</t>
  </si>
  <si>
    <t>Provi malaide 2021 reporté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</si>
</sst>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#;#;0;@"/>
    <numFmt numFmtId="166" formatCode="[$-C0C]mm/dd/yy"/>
    <numFmt numFmtId="167" formatCode="#,###.00;#,###.00;.00;@"/>
    <numFmt numFmtId="168" formatCode="#,###.00;\-#,###.00;.00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164" fontId="0" fillId="0" borderId="0" xfId="1" applyNumberFormat="1" applyFont="1"/>
    <xf numFmtId="0" fontId="0" fillId="0" borderId="0" xfId="0"/>
    <xf numFmtId="0" fontId="0" fillId="0" borderId="0" xfId="0"/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  <xf numFmtId="167" fontId="2" fillId="0" borderId="0" xfId="0" applyNumberFormat="1" applyFont="1" applyAlignment="1">
      <alignment horizontal="right" vertical="center"/>
    </xf>
    <xf numFmtId="168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164" fontId="0" fillId="2" borderId="0" xfId="1" applyNumberFormat="1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3_R&#233;alis&#233;_V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Bilan"/>
      <sheetName val="Budget original"/>
      <sheetName val="2pager"/>
      <sheetName val="Budget révisé"/>
      <sheetName val="Print_Mois"/>
      <sheetName val="Print_AAD"/>
      <sheetName val="Inventaire_Neuf"/>
      <sheetName val="Inventaire_Used"/>
      <sheetName val="BV_Data_An_Cour"/>
      <sheetName val="Data_Validation"/>
      <sheetName val="BV_Data_An_Prec"/>
      <sheetName val="Feuil1"/>
    </sheetNames>
    <sheetDataSet>
      <sheetData sheetId="0"/>
      <sheetData sheetId="1"/>
      <sheetData sheetId="2"/>
      <sheetData sheetId="3"/>
      <sheetData sheetId="4"/>
      <sheetData sheetId="5">
        <row r="497">
          <cell r="AF497">
            <v>3973.3400000001002</v>
          </cell>
        </row>
      </sheetData>
      <sheetData sheetId="6">
        <row r="497">
          <cell r="AF497">
            <v>2095529.4700000007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43E4-70C8-4E88-A275-875887B48675}">
  <dimension ref="A1:C26"/>
  <sheetViews>
    <sheetView tabSelected="1" zoomScaleNormal="100" workbookViewId="0">
      <selection activeCell="C4" sqref="C4"/>
    </sheetView>
  </sheetViews>
  <sheetFormatPr baseColWidth="10" defaultRowHeight="15" x14ac:dyDescent="0.25"/>
  <cols>
    <col min="1" max="1" width="41.5703125" customWidth="1"/>
    <col min="2" max="2" width="12.28515625" style="2" bestFit="1" customWidth="1"/>
    <col min="3" max="3" width="13.140625" style="2" bestFit="1" customWidth="1"/>
  </cols>
  <sheetData>
    <row r="1" spans="1:3" s="3" customFormat="1" x14ac:dyDescent="0.25">
      <c r="A1" s="3" t="s">
        <v>9</v>
      </c>
      <c r="B1" s="2"/>
      <c r="C1" s="2"/>
    </row>
    <row r="2" spans="1:3" x14ac:dyDescent="0.25">
      <c r="B2" s="2" t="s">
        <v>2</v>
      </c>
      <c r="C2" s="2" t="s">
        <v>3</v>
      </c>
    </row>
    <row r="3" spans="1:3" x14ac:dyDescent="0.25">
      <c r="A3" s="1" t="s">
        <v>1</v>
      </c>
      <c r="B3" s="2">
        <f>[1]Print_Mois!$AF$497</f>
        <v>3973.3400000001002</v>
      </c>
      <c r="C3" s="2">
        <f>[1]Print_AAD!$AF$497</f>
        <v>2095529.4700000007</v>
      </c>
    </row>
    <row r="4" spans="1:3" x14ac:dyDescent="0.25">
      <c r="A4" s="1" t="s">
        <v>0</v>
      </c>
      <c r="B4" s="2">
        <v>11408</v>
      </c>
      <c r="C4" s="2">
        <v>2102964</v>
      </c>
    </row>
    <row r="6" spans="1:3" x14ac:dyDescent="0.25">
      <c r="B6" s="2">
        <f>B3-B4</f>
        <v>-7434.6599999998998</v>
      </c>
      <c r="C6" s="2">
        <f>C3-C4</f>
        <v>-7434.5299999993294</v>
      </c>
    </row>
    <row r="8" spans="1:3" x14ac:dyDescent="0.25">
      <c r="A8" t="s">
        <v>4</v>
      </c>
    </row>
    <row r="9" spans="1:3" x14ac:dyDescent="0.25">
      <c r="A9" t="s">
        <v>7</v>
      </c>
      <c r="B9" s="15">
        <v>-149709</v>
      </c>
      <c r="C9" s="2" t="s">
        <v>106</v>
      </c>
    </row>
    <row r="10" spans="1:3" s="3" customFormat="1" x14ac:dyDescent="0.25">
      <c r="A10" s="3" t="s">
        <v>8</v>
      </c>
      <c r="B10" s="2">
        <v>-26424</v>
      </c>
      <c r="C10" s="2" t="s">
        <v>14</v>
      </c>
    </row>
    <row r="11" spans="1:3" x14ac:dyDescent="0.25">
      <c r="A11" t="s">
        <v>5</v>
      </c>
      <c r="B11" s="2">
        <f>-6423-634</f>
        <v>-7057</v>
      </c>
      <c r="C11" s="2" t="s">
        <v>14</v>
      </c>
    </row>
    <row r="12" spans="1:3" x14ac:dyDescent="0.25">
      <c r="A12" t="s">
        <v>6</v>
      </c>
      <c r="B12" s="15">
        <v>185255.09</v>
      </c>
      <c r="C12" s="2" t="s">
        <v>15</v>
      </c>
    </row>
    <row r="13" spans="1:3" s="4" customFormat="1" x14ac:dyDescent="0.25">
      <c r="A13" s="4" t="s">
        <v>107</v>
      </c>
      <c r="B13" s="15">
        <v>-9454</v>
      </c>
      <c r="C13" s="2"/>
    </row>
    <row r="14" spans="1:3" s="4" customFormat="1" x14ac:dyDescent="0.25">
      <c r="A14" s="4" t="s">
        <v>13</v>
      </c>
      <c r="B14" s="2">
        <v>-46</v>
      </c>
      <c r="C14" s="2"/>
    </row>
    <row r="15" spans="1:3" x14ac:dyDescent="0.25">
      <c r="A15" t="s">
        <v>12</v>
      </c>
      <c r="B15" s="2">
        <f>SUM(B9:B14)</f>
        <v>-7434.9100000000035</v>
      </c>
    </row>
    <row r="16" spans="1:3" s="4" customFormat="1" x14ac:dyDescent="0.25">
      <c r="B16" s="2"/>
      <c r="C16" s="2"/>
    </row>
    <row r="18" spans="1:2" x14ac:dyDescent="0.25">
      <c r="A18" t="s">
        <v>10</v>
      </c>
      <c r="B18" s="2">
        <f>B15-B6</f>
        <v>-0.2500000001036824</v>
      </c>
    </row>
    <row r="24" spans="1:2" x14ac:dyDescent="0.25">
      <c r="B24" s="15">
        <f>B12+B9</f>
        <v>35546.089999999997</v>
      </c>
    </row>
    <row r="25" spans="1:2" x14ac:dyDescent="0.25">
      <c r="A25" t="s">
        <v>11</v>
      </c>
      <c r="B25" s="2">
        <v>35546</v>
      </c>
    </row>
    <row r="26" spans="1:2" x14ac:dyDescent="0.25">
      <c r="B26" s="2">
        <f>B24-B25</f>
        <v>8.999999999650754E-2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F8CC-E830-42EF-B9CF-BE16A90564F9}">
  <sheetPr filterMode="1"/>
  <dimension ref="A1:K72"/>
  <sheetViews>
    <sheetView topLeftCell="D1" workbookViewId="0">
      <selection activeCell="G92" sqref="G92"/>
    </sheetView>
  </sheetViews>
  <sheetFormatPr baseColWidth="10" defaultRowHeight="15" x14ac:dyDescent="0.25"/>
  <cols>
    <col min="1" max="1" width="8.7109375" style="10" customWidth="1"/>
    <col min="2" max="3" width="22.7109375" style="11" customWidth="1"/>
    <col min="4" max="4" width="11.7109375" style="12" customWidth="1"/>
    <col min="5" max="5" width="10.7109375" style="10" customWidth="1"/>
    <col min="6" max="6" width="33.7109375" style="11" customWidth="1"/>
    <col min="7" max="7" width="17.7109375" style="13" customWidth="1"/>
    <col min="8" max="9" width="20.7109375" style="14" customWidth="1"/>
    <col min="10" max="10" width="37.7109375" style="11" customWidth="1"/>
    <col min="11" max="11" width="55.7109375" style="11" customWidth="1"/>
    <col min="12" max="16384" width="11.42578125" style="4"/>
  </cols>
  <sheetData>
    <row r="1" spans="1:11" x14ac:dyDescent="0.25">
      <c r="A1" s="5" t="s">
        <v>16</v>
      </c>
      <c r="B1" s="6" t="s">
        <v>17</v>
      </c>
      <c r="C1" s="6" t="s">
        <v>18</v>
      </c>
      <c r="D1" s="7" t="s">
        <v>19</v>
      </c>
      <c r="E1" s="5" t="s">
        <v>20</v>
      </c>
      <c r="F1" s="6" t="s">
        <v>21</v>
      </c>
      <c r="G1" s="8" t="s">
        <v>22</v>
      </c>
      <c r="H1" s="9" t="s">
        <v>23</v>
      </c>
      <c r="I1" s="9" t="s">
        <v>24</v>
      </c>
      <c r="J1" s="6" t="s">
        <v>25</v>
      </c>
      <c r="K1" s="6" t="s">
        <v>26</v>
      </c>
    </row>
    <row r="2" spans="1:11" x14ac:dyDescent="0.25">
      <c r="A2" s="10">
        <v>11</v>
      </c>
      <c r="B2" s="11">
        <v>121303</v>
      </c>
      <c r="C2" s="11">
        <v>13</v>
      </c>
      <c r="D2" s="12">
        <v>44561</v>
      </c>
      <c r="E2" s="10">
        <v>1334</v>
      </c>
      <c r="H2" s="14">
        <v>-592.98</v>
      </c>
      <c r="I2" s="14">
        <f>H2+G2</f>
        <v>-592.98</v>
      </c>
      <c r="K2" s="11" t="s">
        <v>27</v>
      </c>
    </row>
    <row r="3" spans="1:11" x14ac:dyDescent="0.25">
      <c r="A3" s="10">
        <v>11</v>
      </c>
      <c r="B3" s="11">
        <v>121305</v>
      </c>
      <c r="C3" s="11">
        <v>13</v>
      </c>
      <c r="D3" s="12">
        <v>44561</v>
      </c>
      <c r="E3" s="10">
        <v>4627</v>
      </c>
      <c r="H3" s="14">
        <v>-4912.67</v>
      </c>
      <c r="I3" s="14">
        <f t="shared" ref="I3:I66" si="0">H3+G3</f>
        <v>-4912.67</v>
      </c>
      <c r="K3" s="11" t="s">
        <v>28</v>
      </c>
    </row>
    <row r="4" spans="1:11" x14ac:dyDescent="0.25">
      <c r="A4" s="10">
        <v>11</v>
      </c>
      <c r="B4" s="11">
        <v>121305</v>
      </c>
      <c r="C4" s="11">
        <v>13</v>
      </c>
      <c r="D4" s="12">
        <v>44561</v>
      </c>
      <c r="E4" s="10">
        <v>4627</v>
      </c>
      <c r="G4" s="13">
        <v>1714.39</v>
      </c>
      <c r="I4" s="14">
        <f t="shared" si="0"/>
        <v>1714.39</v>
      </c>
      <c r="K4" s="11" t="s">
        <v>29</v>
      </c>
    </row>
    <row r="5" spans="1:11" x14ac:dyDescent="0.25">
      <c r="A5" s="10">
        <v>11</v>
      </c>
      <c r="B5" s="11">
        <v>121305</v>
      </c>
      <c r="C5" s="11">
        <v>13</v>
      </c>
      <c r="D5" s="12">
        <v>44561</v>
      </c>
      <c r="E5" s="10">
        <v>4627</v>
      </c>
      <c r="H5" s="14">
        <v>-13548.15</v>
      </c>
      <c r="I5" s="14">
        <f t="shared" si="0"/>
        <v>-13548.15</v>
      </c>
      <c r="K5" s="11" t="s">
        <v>30</v>
      </c>
    </row>
    <row r="6" spans="1:11" hidden="1" x14ac:dyDescent="0.25">
      <c r="A6" s="10">
        <v>11</v>
      </c>
      <c r="B6" s="11">
        <v>211209</v>
      </c>
      <c r="C6" s="11">
        <v>12</v>
      </c>
      <c r="D6" s="12">
        <v>44545</v>
      </c>
      <c r="E6" s="10">
        <v>7895</v>
      </c>
      <c r="G6" s="13">
        <v>0.01</v>
      </c>
      <c r="I6" s="14">
        <f t="shared" si="0"/>
        <v>0.01</v>
      </c>
    </row>
    <row r="7" spans="1:11" hidden="1" x14ac:dyDescent="0.25">
      <c r="A7" s="10">
        <v>11</v>
      </c>
      <c r="B7" s="11">
        <v>211213</v>
      </c>
      <c r="C7" s="11">
        <v>12</v>
      </c>
      <c r="D7" s="12">
        <v>44547</v>
      </c>
      <c r="E7" s="10">
        <v>7652</v>
      </c>
      <c r="H7" s="14">
        <v>-20</v>
      </c>
      <c r="I7" s="14">
        <f t="shared" si="0"/>
        <v>-20</v>
      </c>
    </row>
    <row r="8" spans="1:11" hidden="1" x14ac:dyDescent="0.25">
      <c r="A8" s="10">
        <v>11</v>
      </c>
      <c r="B8" s="11">
        <v>211218</v>
      </c>
      <c r="C8" s="11">
        <v>12</v>
      </c>
      <c r="D8" s="12">
        <v>44550</v>
      </c>
      <c r="E8" s="10">
        <v>7361</v>
      </c>
      <c r="G8" s="13">
        <v>0.91</v>
      </c>
      <c r="I8" s="14">
        <f t="shared" si="0"/>
        <v>0.91</v>
      </c>
      <c r="K8" s="11" t="s">
        <v>31</v>
      </c>
    </row>
    <row r="9" spans="1:11" hidden="1" x14ac:dyDescent="0.25">
      <c r="A9" s="10">
        <v>11</v>
      </c>
      <c r="B9" s="11">
        <v>211233</v>
      </c>
      <c r="C9" s="11">
        <v>12</v>
      </c>
      <c r="D9" s="12">
        <v>44561</v>
      </c>
      <c r="E9" s="10">
        <v>9581</v>
      </c>
      <c r="G9" s="13">
        <v>0.02</v>
      </c>
      <c r="I9" s="14">
        <f t="shared" si="0"/>
        <v>0.02</v>
      </c>
    </row>
    <row r="10" spans="1:11" hidden="1" x14ac:dyDescent="0.25">
      <c r="A10" s="10">
        <v>11</v>
      </c>
      <c r="B10" s="11">
        <v>211249</v>
      </c>
      <c r="C10" s="11">
        <v>12</v>
      </c>
      <c r="D10" s="12">
        <v>44561</v>
      </c>
      <c r="E10" s="10">
        <v>9033</v>
      </c>
      <c r="H10" s="14">
        <v>-0.06</v>
      </c>
      <c r="I10" s="14">
        <f t="shared" si="0"/>
        <v>-0.06</v>
      </c>
      <c r="K10" s="11" t="s">
        <v>32</v>
      </c>
    </row>
    <row r="11" spans="1:11" hidden="1" x14ac:dyDescent="0.25">
      <c r="A11" s="10">
        <v>11</v>
      </c>
      <c r="B11" s="11">
        <v>211249</v>
      </c>
      <c r="C11" s="11">
        <v>12</v>
      </c>
      <c r="D11" s="12">
        <v>44561</v>
      </c>
      <c r="E11" s="10">
        <v>9033</v>
      </c>
      <c r="G11" s="13">
        <v>0.06</v>
      </c>
      <c r="I11" s="14">
        <f t="shared" si="0"/>
        <v>0.06</v>
      </c>
      <c r="K11" s="11" t="s">
        <v>32</v>
      </c>
    </row>
    <row r="12" spans="1:11" hidden="1" x14ac:dyDescent="0.25">
      <c r="A12" s="10">
        <v>11</v>
      </c>
      <c r="B12" s="11" t="s">
        <v>33</v>
      </c>
      <c r="C12" s="11">
        <v>12</v>
      </c>
      <c r="D12" s="12">
        <v>44561</v>
      </c>
      <c r="E12" s="10">
        <v>9033</v>
      </c>
      <c r="G12" s="13">
        <v>0.06</v>
      </c>
      <c r="I12" s="14">
        <f t="shared" si="0"/>
        <v>0.06</v>
      </c>
      <c r="K12" s="11" t="s">
        <v>32</v>
      </c>
    </row>
    <row r="13" spans="1:11" hidden="1" x14ac:dyDescent="0.25">
      <c r="A13" s="10">
        <v>11</v>
      </c>
      <c r="B13" s="11">
        <v>211256</v>
      </c>
      <c r="C13" s="11">
        <v>12</v>
      </c>
      <c r="D13" s="12">
        <v>44561</v>
      </c>
      <c r="E13" s="10">
        <v>1702</v>
      </c>
      <c r="H13" s="14">
        <v>-2.89</v>
      </c>
      <c r="I13" s="14">
        <f t="shared" si="0"/>
        <v>-2.89</v>
      </c>
      <c r="K13" s="11" t="s">
        <v>31</v>
      </c>
    </row>
    <row r="14" spans="1:11" hidden="1" x14ac:dyDescent="0.25">
      <c r="A14" s="10">
        <v>11</v>
      </c>
      <c r="B14" s="11">
        <v>211256</v>
      </c>
      <c r="C14" s="11">
        <v>12</v>
      </c>
      <c r="D14" s="12">
        <v>44561</v>
      </c>
      <c r="E14" s="10">
        <v>1702</v>
      </c>
      <c r="G14" s="13">
        <v>2.89</v>
      </c>
      <c r="I14" s="14">
        <f t="shared" si="0"/>
        <v>2.89</v>
      </c>
      <c r="K14" s="11" t="s">
        <v>31</v>
      </c>
    </row>
    <row r="15" spans="1:11" hidden="1" x14ac:dyDescent="0.25">
      <c r="A15" s="10">
        <v>11</v>
      </c>
      <c r="B15" s="11" t="s">
        <v>34</v>
      </c>
      <c r="C15" s="11">
        <v>12</v>
      </c>
      <c r="D15" s="12">
        <v>44561</v>
      </c>
      <c r="E15" s="10">
        <v>1702</v>
      </c>
      <c r="G15" s="13">
        <v>2.89</v>
      </c>
      <c r="I15" s="14">
        <f t="shared" si="0"/>
        <v>2.89</v>
      </c>
      <c r="K15" s="11" t="s">
        <v>31</v>
      </c>
    </row>
    <row r="16" spans="1:11" hidden="1" x14ac:dyDescent="0.25">
      <c r="A16" s="10">
        <v>11</v>
      </c>
      <c r="B16" s="11">
        <v>211270</v>
      </c>
      <c r="C16" s="11">
        <v>12</v>
      </c>
      <c r="D16" s="12">
        <v>44561</v>
      </c>
      <c r="E16" s="10">
        <v>3137</v>
      </c>
      <c r="H16" s="14">
        <v>-22474.31</v>
      </c>
      <c r="I16" s="14">
        <f t="shared" si="0"/>
        <v>-22474.31</v>
      </c>
      <c r="K16" s="11" t="s">
        <v>35</v>
      </c>
    </row>
    <row r="17" spans="1:11" x14ac:dyDescent="0.25">
      <c r="A17" s="10">
        <v>11</v>
      </c>
      <c r="B17" s="11">
        <v>211303</v>
      </c>
      <c r="C17" s="11">
        <v>13</v>
      </c>
      <c r="D17" s="12">
        <v>44561</v>
      </c>
      <c r="E17" s="10">
        <v>1334</v>
      </c>
      <c r="H17" s="14">
        <v>-2360</v>
      </c>
      <c r="I17" s="14">
        <f t="shared" si="0"/>
        <v>-2360</v>
      </c>
      <c r="K17" s="11" t="s">
        <v>36</v>
      </c>
    </row>
    <row r="18" spans="1:11" x14ac:dyDescent="0.25">
      <c r="A18" s="10">
        <v>11</v>
      </c>
      <c r="B18" s="11">
        <v>211303</v>
      </c>
      <c r="C18" s="11">
        <v>13</v>
      </c>
      <c r="D18" s="12">
        <v>44561</v>
      </c>
      <c r="E18" s="10">
        <v>1334</v>
      </c>
      <c r="H18" s="14">
        <v>-75669.210000000006</v>
      </c>
      <c r="I18" s="14">
        <f t="shared" si="0"/>
        <v>-75669.210000000006</v>
      </c>
      <c r="K18" s="11" t="s">
        <v>37</v>
      </c>
    </row>
    <row r="19" spans="1:11" x14ac:dyDescent="0.25">
      <c r="A19" s="10">
        <v>11</v>
      </c>
      <c r="B19" s="11">
        <v>211303</v>
      </c>
      <c r="C19" s="11">
        <v>13</v>
      </c>
      <c r="D19" s="12">
        <v>44561</v>
      </c>
      <c r="E19" s="10">
        <v>1334</v>
      </c>
      <c r="H19" s="14">
        <v>-65630.48</v>
      </c>
      <c r="I19" s="14">
        <f t="shared" si="0"/>
        <v>-65630.48</v>
      </c>
      <c r="K19" s="11" t="s">
        <v>29</v>
      </c>
    </row>
    <row r="20" spans="1:11" x14ac:dyDescent="0.25">
      <c r="A20" s="10">
        <v>11</v>
      </c>
      <c r="B20" s="11">
        <v>211303</v>
      </c>
      <c r="C20" s="11">
        <v>13</v>
      </c>
      <c r="D20" s="12">
        <v>44561</v>
      </c>
      <c r="E20" s="10">
        <v>1334</v>
      </c>
      <c r="G20" s="13">
        <v>17949.12</v>
      </c>
      <c r="I20" s="14">
        <f t="shared" si="0"/>
        <v>17949.12</v>
      </c>
      <c r="K20" s="11" t="s">
        <v>38</v>
      </c>
    </row>
    <row r="21" spans="1:11" x14ac:dyDescent="0.25">
      <c r="A21" s="10">
        <v>11</v>
      </c>
      <c r="B21" s="11">
        <v>211304</v>
      </c>
      <c r="C21" s="11">
        <v>13</v>
      </c>
      <c r="D21" s="12">
        <v>44561</v>
      </c>
      <c r="E21" s="10">
        <v>4627</v>
      </c>
      <c r="H21" s="14">
        <v>-8707.68</v>
      </c>
      <c r="I21" s="14">
        <f t="shared" si="0"/>
        <v>-8707.68</v>
      </c>
      <c r="K21" s="11" t="s">
        <v>39</v>
      </c>
    </row>
    <row r="22" spans="1:11" x14ac:dyDescent="0.25">
      <c r="A22" s="10">
        <v>11</v>
      </c>
      <c r="B22" s="11">
        <v>211305</v>
      </c>
      <c r="C22" s="11">
        <v>13</v>
      </c>
      <c r="D22" s="12">
        <v>44561</v>
      </c>
      <c r="E22" s="10">
        <v>4627</v>
      </c>
      <c r="H22" s="14">
        <v>-35898.239999999998</v>
      </c>
      <c r="I22" s="14">
        <f t="shared" si="0"/>
        <v>-35898.239999999998</v>
      </c>
      <c r="K22" s="11" t="s">
        <v>40</v>
      </c>
    </row>
    <row r="23" spans="1:11" x14ac:dyDescent="0.25">
      <c r="A23" s="10">
        <v>11</v>
      </c>
      <c r="B23" s="11">
        <v>211305</v>
      </c>
      <c r="C23" s="11">
        <v>13</v>
      </c>
      <c r="D23" s="12">
        <v>44561</v>
      </c>
      <c r="E23" s="10">
        <v>4627</v>
      </c>
      <c r="G23" s="13">
        <v>16000</v>
      </c>
      <c r="I23" s="14">
        <f t="shared" si="0"/>
        <v>16000</v>
      </c>
      <c r="K23" s="11" t="s">
        <v>41</v>
      </c>
    </row>
    <row r="24" spans="1:11" x14ac:dyDescent="0.25">
      <c r="A24" s="10">
        <v>11</v>
      </c>
      <c r="B24" s="11">
        <v>211306</v>
      </c>
      <c r="C24" s="11">
        <v>13</v>
      </c>
      <c r="D24" s="12">
        <v>44561</v>
      </c>
      <c r="E24" s="10">
        <v>4710</v>
      </c>
      <c r="H24" s="14">
        <v>-12828.19</v>
      </c>
      <c r="I24" s="14">
        <f t="shared" si="0"/>
        <v>-12828.19</v>
      </c>
      <c r="K24" s="11" t="s">
        <v>42</v>
      </c>
    </row>
    <row r="25" spans="1:11" hidden="1" x14ac:dyDescent="0.25">
      <c r="A25" s="10">
        <v>11</v>
      </c>
      <c r="B25" s="11" t="s">
        <v>43</v>
      </c>
      <c r="C25" s="11">
        <v>12</v>
      </c>
      <c r="D25" s="12">
        <v>44532</v>
      </c>
      <c r="E25" s="10">
        <v>6554</v>
      </c>
      <c r="G25" s="13">
        <v>0.01</v>
      </c>
      <c r="I25" s="14">
        <f t="shared" si="0"/>
        <v>0.01</v>
      </c>
    </row>
    <row r="26" spans="1:11" hidden="1" x14ac:dyDescent="0.25">
      <c r="A26" s="10">
        <v>11</v>
      </c>
      <c r="B26" s="11" t="s">
        <v>44</v>
      </c>
      <c r="C26" s="11">
        <v>12</v>
      </c>
      <c r="D26" s="12">
        <v>44538</v>
      </c>
      <c r="E26" s="10">
        <v>7702</v>
      </c>
      <c r="G26" s="13">
        <v>0.01</v>
      </c>
      <c r="I26" s="14">
        <f t="shared" si="0"/>
        <v>0.01</v>
      </c>
    </row>
    <row r="27" spans="1:11" hidden="1" x14ac:dyDescent="0.25">
      <c r="A27" s="10">
        <v>11</v>
      </c>
      <c r="B27" s="11" t="s">
        <v>45</v>
      </c>
      <c r="C27" s="11">
        <v>12</v>
      </c>
      <c r="D27" s="12">
        <v>44540</v>
      </c>
      <c r="E27" s="10">
        <v>7683</v>
      </c>
      <c r="H27" s="14">
        <v>-0.06</v>
      </c>
      <c r="I27" s="14">
        <f t="shared" si="0"/>
        <v>-0.06</v>
      </c>
    </row>
    <row r="28" spans="1:11" hidden="1" x14ac:dyDescent="0.25">
      <c r="A28" s="10">
        <v>11</v>
      </c>
      <c r="B28" s="11" t="s">
        <v>46</v>
      </c>
      <c r="C28" s="11">
        <v>12</v>
      </c>
      <c r="D28" s="12">
        <v>44545</v>
      </c>
      <c r="E28" s="10">
        <v>7164</v>
      </c>
      <c r="H28" s="14">
        <v>-0.67</v>
      </c>
      <c r="I28" s="14">
        <f t="shared" si="0"/>
        <v>-0.67</v>
      </c>
      <c r="K28" s="11" t="s">
        <v>47</v>
      </c>
    </row>
    <row r="29" spans="1:11" hidden="1" x14ac:dyDescent="0.25">
      <c r="A29" s="10">
        <v>11</v>
      </c>
      <c r="B29" s="11" t="s">
        <v>48</v>
      </c>
      <c r="C29" s="11">
        <v>12</v>
      </c>
      <c r="D29" s="12">
        <v>44546</v>
      </c>
      <c r="E29" s="10">
        <v>7144</v>
      </c>
      <c r="H29" s="14">
        <v>-4000</v>
      </c>
      <c r="I29" s="14">
        <f t="shared" si="0"/>
        <v>-4000</v>
      </c>
      <c r="K29" s="11" t="s">
        <v>49</v>
      </c>
    </row>
    <row r="30" spans="1:11" hidden="1" x14ac:dyDescent="0.25">
      <c r="A30" s="10">
        <v>11</v>
      </c>
      <c r="B30" s="11" t="s">
        <v>50</v>
      </c>
      <c r="C30" s="11">
        <v>12</v>
      </c>
      <c r="D30" s="12">
        <v>44551</v>
      </c>
      <c r="E30" s="10">
        <v>6210</v>
      </c>
      <c r="H30" s="14">
        <v>-0.01</v>
      </c>
      <c r="I30" s="14">
        <f t="shared" si="0"/>
        <v>-0.01</v>
      </c>
      <c r="K30" s="11" t="s">
        <v>51</v>
      </c>
    </row>
    <row r="31" spans="1:11" hidden="1" x14ac:dyDescent="0.25">
      <c r="A31" s="10">
        <v>11</v>
      </c>
      <c r="B31" s="11" t="s">
        <v>52</v>
      </c>
      <c r="C31" s="11">
        <v>12</v>
      </c>
      <c r="D31" s="12">
        <v>44552</v>
      </c>
      <c r="E31" s="10">
        <v>6722</v>
      </c>
      <c r="G31" s="13">
        <v>0.01</v>
      </c>
      <c r="I31" s="14">
        <f t="shared" si="0"/>
        <v>0.01</v>
      </c>
    </row>
    <row r="32" spans="1:11" hidden="1" x14ac:dyDescent="0.25">
      <c r="A32" s="10">
        <v>11</v>
      </c>
      <c r="B32" s="11" t="s">
        <v>53</v>
      </c>
      <c r="C32" s="11">
        <v>12</v>
      </c>
      <c r="D32" s="12">
        <v>44559</v>
      </c>
      <c r="E32" s="10">
        <v>6885</v>
      </c>
      <c r="G32" s="13">
        <v>0.01</v>
      </c>
      <c r="I32" s="14">
        <f t="shared" si="0"/>
        <v>0.01</v>
      </c>
    </row>
    <row r="33" spans="1:11" hidden="1" x14ac:dyDescent="0.25">
      <c r="A33" s="10">
        <v>11</v>
      </c>
      <c r="B33" s="11" t="s">
        <v>54</v>
      </c>
      <c r="C33" s="11">
        <v>12</v>
      </c>
      <c r="D33" s="12">
        <v>44545</v>
      </c>
      <c r="E33" s="10">
        <v>7361</v>
      </c>
      <c r="G33" s="13">
        <v>0.01</v>
      </c>
      <c r="I33" s="14">
        <f t="shared" si="0"/>
        <v>0.01</v>
      </c>
    </row>
    <row r="34" spans="1:11" hidden="1" x14ac:dyDescent="0.25">
      <c r="A34" s="10">
        <v>9</v>
      </c>
      <c r="B34" s="11">
        <v>2396</v>
      </c>
      <c r="C34" s="11">
        <v>12</v>
      </c>
      <c r="D34" s="12">
        <v>44561</v>
      </c>
      <c r="E34" s="10">
        <v>7364</v>
      </c>
      <c r="H34" s="14">
        <v>-600</v>
      </c>
      <c r="I34" s="14">
        <f t="shared" si="0"/>
        <v>-600</v>
      </c>
      <c r="J34" s="11" t="s">
        <v>55</v>
      </c>
      <c r="K34" s="11" t="s">
        <v>56</v>
      </c>
    </row>
    <row r="35" spans="1:11" hidden="1" x14ac:dyDescent="0.25">
      <c r="A35" s="10">
        <v>9</v>
      </c>
      <c r="B35" s="11">
        <v>2396</v>
      </c>
      <c r="C35" s="11">
        <v>12</v>
      </c>
      <c r="D35" s="12">
        <v>44561</v>
      </c>
      <c r="E35" s="10">
        <v>7364</v>
      </c>
      <c r="H35" s="14">
        <v>-170.5</v>
      </c>
      <c r="I35" s="14">
        <f t="shared" si="0"/>
        <v>-170.5</v>
      </c>
      <c r="J35" s="11" t="s">
        <v>55</v>
      </c>
      <c r="K35" s="11" t="s">
        <v>56</v>
      </c>
    </row>
    <row r="36" spans="1:11" hidden="1" x14ac:dyDescent="0.25">
      <c r="A36" s="10">
        <v>9</v>
      </c>
      <c r="B36" s="11" t="s">
        <v>57</v>
      </c>
      <c r="C36" s="11">
        <v>12</v>
      </c>
      <c r="D36" s="12">
        <v>44561</v>
      </c>
      <c r="E36" s="10">
        <v>6657</v>
      </c>
      <c r="H36" s="14">
        <v>-3</v>
      </c>
      <c r="I36" s="14">
        <f t="shared" si="0"/>
        <v>-3</v>
      </c>
      <c r="J36" s="11" t="s">
        <v>58</v>
      </c>
    </row>
    <row r="37" spans="1:11" hidden="1" x14ac:dyDescent="0.25">
      <c r="A37" s="10">
        <v>6</v>
      </c>
      <c r="B37" s="11">
        <v>139175</v>
      </c>
      <c r="C37" s="11">
        <v>12</v>
      </c>
      <c r="D37" s="12">
        <v>44539</v>
      </c>
      <c r="E37" s="10">
        <v>9039</v>
      </c>
      <c r="H37" s="14">
        <v>-0.02</v>
      </c>
      <c r="I37" s="14">
        <f t="shared" si="0"/>
        <v>-0.02</v>
      </c>
      <c r="J37" s="11" t="s">
        <v>59</v>
      </c>
      <c r="K37" s="11" t="s">
        <v>60</v>
      </c>
    </row>
    <row r="38" spans="1:11" hidden="1" x14ac:dyDescent="0.25">
      <c r="A38" s="10">
        <v>5</v>
      </c>
      <c r="B38" s="11" t="s">
        <v>61</v>
      </c>
      <c r="C38" s="11">
        <v>12</v>
      </c>
      <c r="D38" s="12">
        <v>44531</v>
      </c>
      <c r="E38" s="10">
        <v>6419</v>
      </c>
      <c r="G38" s="13">
        <v>0.01</v>
      </c>
      <c r="I38" s="14">
        <f t="shared" si="0"/>
        <v>0.01</v>
      </c>
      <c r="J38" s="11" t="s">
        <v>62</v>
      </c>
    </row>
    <row r="39" spans="1:11" hidden="1" x14ac:dyDescent="0.25">
      <c r="A39" s="10">
        <v>5</v>
      </c>
      <c r="B39" s="11" t="s">
        <v>63</v>
      </c>
      <c r="C39" s="11">
        <v>12</v>
      </c>
      <c r="D39" s="12">
        <v>44532</v>
      </c>
      <c r="E39" s="10">
        <v>6554</v>
      </c>
      <c r="G39" s="13">
        <v>1.1599999999999999</v>
      </c>
      <c r="I39" s="14">
        <f t="shared" si="0"/>
        <v>1.1599999999999999</v>
      </c>
      <c r="J39" s="11" t="s">
        <v>64</v>
      </c>
    </row>
    <row r="40" spans="1:11" hidden="1" x14ac:dyDescent="0.25">
      <c r="A40" s="10">
        <v>5</v>
      </c>
      <c r="B40" s="11" t="s">
        <v>65</v>
      </c>
      <c r="C40" s="11">
        <v>12</v>
      </c>
      <c r="D40" s="12">
        <v>44533</v>
      </c>
      <c r="E40" s="10">
        <v>5984</v>
      </c>
      <c r="H40" s="14">
        <v>-0.02</v>
      </c>
      <c r="I40" s="14">
        <f t="shared" si="0"/>
        <v>-0.02</v>
      </c>
      <c r="J40" s="11" t="s">
        <v>66</v>
      </c>
    </row>
    <row r="41" spans="1:11" hidden="1" x14ac:dyDescent="0.25">
      <c r="A41" s="10">
        <v>5</v>
      </c>
      <c r="B41" s="11" t="s">
        <v>67</v>
      </c>
      <c r="C41" s="11">
        <v>12</v>
      </c>
      <c r="D41" s="12">
        <v>44537</v>
      </c>
      <c r="E41" s="10">
        <v>9320</v>
      </c>
      <c r="G41" s="13">
        <v>0.03</v>
      </c>
      <c r="I41" s="14">
        <f t="shared" si="0"/>
        <v>0.03</v>
      </c>
      <c r="J41" s="11" t="s">
        <v>68</v>
      </c>
    </row>
    <row r="42" spans="1:11" hidden="1" x14ac:dyDescent="0.25">
      <c r="A42" s="10">
        <v>5</v>
      </c>
      <c r="B42" s="11" t="s">
        <v>69</v>
      </c>
      <c r="C42" s="11">
        <v>12</v>
      </c>
      <c r="D42" s="12">
        <v>44538</v>
      </c>
      <c r="E42" s="10">
        <v>7702</v>
      </c>
      <c r="G42" s="13">
        <v>1.02</v>
      </c>
      <c r="I42" s="14">
        <f t="shared" si="0"/>
        <v>1.02</v>
      </c>
      <c r="J42" s="11" t="s">
        <v>70</v>
      </c>
    </row>
    <row r="43" spans="1:11" hidden="1" x14ac:dyDescent="0.25">
      <c r="A43" s="10">
        <v>5</v>
      </c>
      <c r="B43" s="11" t="s">
        <v>69</v>
      </c>
      <c r="C43" s="11">
        <v>12</v>
      </c>
      <c r="D43" s="12">
        <v>44538</v>
      </c>
      <c r="E43" s="10">
        <v>7702</v>
      </c>
      <c r="H43" s="14">
        <v>-1.02</v>
      </c>
      <c r="I43" s="14">
        <f t="shared" si="0"/>
        <v>-1.02</v>
      </c>
      <c r="J43" s="11" t="s">
        <v>70</v>
      </c>
    </row>
    <row r="44" spans="1:11" hidden="1" x14ac:dyDescent="0.25">
      <c r="A44" s="10">
        <v>5</v>
      </c>
      <c r="B44" s="11" t="s">
        <v>71</v>
      </c>
      <c r="C44" s="11">
        <v>12</v>
      </c>
      <c r="D44" s="12">
        <v>44538</v>
      </c>
      <c r="H44" s="14">
        <v>-1.02</v>
      </c>
      <c r="I44" s="14">
        <f t="shared" si="0"/>
        <v>-1.02</v>
      </c>
      <c r="J44" s="11" t="s">
        <v>70</v>
      </c>
    </row>
    <row r="45" spans="1:11" hidden="1" x14ac:dyDescent="0.25">
      <c r="A45" s="10">
        <v>5</v>
      </c>
      <c r="B45" s="11" t="s">
        <v>72</v>
      </c>
      <c r="C45" s="11">
        <v>12</v>
      </c>
      <c r="D45" s="12">
        <v>44539</v>
      </c>
      <c r="E45" s="10">
        <v>7564</v>
      </c>
      <c r="H45" s="14">
        <v>-0.02</v>
      </c>
      <c r="I45" s="14">
        <f t="shared" si="0"/>
        <v>-0.02</v>
      </c>
      <c r="J45" s="11" t="s">
        <v>73</v>
      </c>
    </row>
    <row r="46" spans="1:11" hidden="1" x14ac:dyDescent="0.25">
      <c r="A46" s="10">
        <v>5</v>
      </c>
      <c r="B46" s="11" t="s">
        <v>74</v>
      </c>
      <c r="C46" s="11">
        <v>12</v>
      </c>
      <c r="D46" s="12">
        <v>44540</v>
      </c>
      <c r="E46" s="10">
        <v>7683</v>
      </c>
      <c r="G46" s="13">
        <v>0.02</v>
      </c>
      <c r="I46" s="14">
        <f t="shared" si="0"/>
        <v>0.02</v>
      </c>
      <c r="J46" s="11" t="s">
        <v>75</v>
      </c>
    </row>
    <row r="47" spans="1:11" hidden="1" x14ac:dyDescent="0.25">
      <c r="A47" s="10">
        <v>5</v>
      </c>
      <c r="B47" s="11" t="s">
        <v>74</v>
      </c>
      <c r="C47" s="11">
        <v>12</v>
      </c>
      <c r="D47" s="12">
        <v>44540</v>
      </c>
      <c r="E47" s="10">
        <v>7683</v>
      </c>
      <c r="H47" s="14">
        <v>-0.02</v>
      </c>
      <c r="I47" s="14">
        <f t="shared" si="0"/>
        <v>-0.02</v>
      </c>
      <c r="J47" s="11" t="s">
        <v>75</v>
      </c>
    </row>
    <row r="48" spans="1:11" hidden="1" x14ac:dyDescent="0.25">
      <c r="A48" s="10">
        <v>5</v>
      </c>
      <c r="B48" s="11" t="s">
        <v>76</v>
      </c>
      <c r="C48" s="11">
        <v>12</v>
      </c>
      <c r="D48" s="12">
        <v>44540</v>
      </c>
      <c r="G48" s="13">
        <v>0.02</v>
      </c>
      <c r="I48" s="14">
        <f t="shared" si="0"/>
        <v>0.02</v>
      </c>
      <c r="J48" s="11" t="s">
        <v>75</v>
      </c>
    </row>
    <row r="49" spans="1:11" hidden="1" x14ac:dyDescent="0.25">
      <c r="A49" s="10">
        <v>5</v>
      </c>
      <c r="B49" s="11" t="s">
        <v>77</v>
      </c>
      <c r="C49" s="11">
        <v>12</v>
      </c>
      <c r="D49" s="12">
        <v>44543</v>
      </c>
      <c r="E49" s="10">
        <v>7684</v>
      </c>
      <c r="H49" s="14">
        <v>-0.08</v>
      </c>
      <c r="I49" s="14">
        <f t="shared" si="0"/>
        <v>-0.08</v>
      </c>
      <c r="J49" s="11" t="s">
        <v>78</v>
      </c>
    </row>
    <row r="50" spans="1:11" hidden="1" x14ac:dyDescent="0.25">
      <c r="A50" s="10">
        <v>5</v>
      </c>
      <c r="B50" s="11" t="s">
        <v>79</v>
      </c>
      <c r="C50" s="11">
        <v>12</v>
      </c>
      <c r="D50" s="12">
        <v>44544</v>
      </c>
      <c r="E50" s="10">
        <v>7901</v>
      </c>
      <c r="H50" s="14">
        <v>-0.04</v>
      </c>
      <c r="I50" s="14">
        <f t="shared" si="0"/>
        <v>-0.04</v>
      </c>
      <c r="J50" s="11" t="s">
        <v>80</v>
      </c>
    </row>
    <row r="51" spans="1:11" hidden="1" x14ac:dyDescent="0.25">
      <c r="A51" s="10">
        <v>5</v>
      </c>
      <c r="B51" s="11" t="s">
        <v>79</v>
      </c>
      <c r="C51" s="11">
        <v>12</v>
      </c>
      <c r="D51" s="12">
        <v>44544</v>
      </c>
      <c r="E51" s="10">
        <v>7901</v>
      </c>
      <c r="G51" s="13">
        <v>0.04</v>
      </c>
      <c r="I51" s="14">
        <f t="shared" si="0"/>
        <v>0.04</v>
      </c>
      <c r="J51" s="11" t="s">
        <v>80</v>
      </c>
    </row>
    <row r="52" spans="1:11" hidden="1" x14ac:dyDescent="0.25">
      <c r="A52" s="10">
        <v>5</v>
      </c>
      <c r="B52" s="11" t="s">
        <v>81</v>
      </c>
      <c r="C52" s="11">
        <v>12</v>
      </c>
      <c r="D52" s="12">
        <v>44544</v>
      </c>
      <c r="H52" s="14">
        <v>-0.04</v>
      </c>
      <c r="I52" s="14">
        <f t="shared" si="0"/>
        <v>-0.04</v>
      </c>
      <c r="J52" s="11" t="s">
        <v>80</v>
      </c>
    </row>
    <row r="53" spans="1:11" hidden="1" x14ac:dyDescent="0.25">
      <c r="A53" s="10">
        <v>5</v>
      </c>
      <c r="B53" s="11" t="s">
        <v>82</v>
      </c>
      <c r="C53" s="11">
        <v>12</v>
      </c>
      <c r="D53" s="12">
        <v>44545</v>
      </c>
      <c r="E53" s="10">
        <v>6459</v>
      </c>
      <c r="H53" s="14">
        <v>-434.88</v>
      </c>
      <c r="I53" s="14">
        <f t="shared" si="0"/>
        <v>-434.88</v>
      </c>
      <c r="J53" s="11" t="s">
        <v>83</v>
      </c>
      <c r="K53" s="11" t="s">
        <v>84</v>
      </c>
    </row>
    <row r="54" spans="1:11" hidden="1" x14ac:dyDescent="0.25">
      <c r="A54" s="10">
        <v>5</v>
      </c>
      <c r="B54" s="11" t="s">
        <v>82</v>
      </c>
      <c r="C54" s="11">
        <v>12</v>
      </c>
      <c r="D54" s="12">
        <v>44545</v>
      </c>
      <c r="E54" s="10">
        <v>6459</v>
      </c>
      <c r="H54" s="14">
        <v>-0.09</v>
      </c>
      <c r="I54" s="14">
        <f t="shared" si="0"/>
        <v>-0.09</v>
      </c>
      <c r="J54" s="11" t="s">
        <v>85</v>
      </c>
    </row>
    <row r="55" spans="1:11" hidden="1" x14ac:dyDescent="0.25">
      <c r="A55" s="10">
        <v>5</v>
      </c>
      <c r="B55" s="11" t="s">
        <v>82</v>
      </c>
      <c r="C55" s="11">
        <v>12</v>
      </c>
      <c r="D55" s="12">
        <v>44545</v>
      </c>
      <c r="E55" s="10">
        <v>6459</v>
      </c>
      <c r="G55" s="13">
        <v>434.88</v>
      </c>
      <c r="I55" s="14">
        <f t="shared" si="0"/>
        <v>434.88</v>
      </c>
      <c r="J55" s="11" t="s">
        <v>83</v>
      </c>
      <c r="K55" s="11" t="s">
        <v>84</v>
      </c>
    </row>
    <row r="56" spans="1:11" hidden="1" x14ac:dyDescent="0.25">
      <c r="A56" s="10">
        <v>5</v>
      </c>
      <c r="B56" s="11" t="s">
        <v>82</v>
      </c>
      <c r="C56" s="11">
        <v>12</v>
      </c>
      <c r="D56" s="12">
        <v>44545</v>
      </c>
      <c r="E56" s="10">
        <v>6459</v>
      </c>
      <c r="G56" s="13">
        <v>0.09</v>
      </c>
      <c r="I56" s="14">
        <f t="shared" si="0"/>
        <v>0.09</v>
      </c>
      <c r="J56" s="11" t="s">
        <v>85</v>
      </c>
    </row>
    <row r="57" spans="1:11" hidden="1" x14ac:dyDescent="0.25">
      <c r="A57" s="10">
        <v>5</v>
      </c>
      <c r="B57" s="11" t="s">
        <v>86</v>
      </c>
      <c r="C57" s="11">
        <v>12</v>
      </c>
      <c r="D57" s="12">
        <v>44545</v>
      </c>
      <c r="H57" s="14">
        <v>-434.88</v>
      </c>
      <c r="I57" s="14">
        <f t="shared" si="0"/>
        <v>-434.88</v>
      </c>
      <c r="J57" s="11" t="s">
        <v>83</v>
      </c>
      <c r="K57" s="11" t="s">
        <v>84</v>
      </c>
    </row>
    <row r="58" spans="1:11" hidden="1" x14ac:dyDescent="0.25">
      <c r="A58" s="10">
        <v>5</v>
      </c>
      <c r="B58" s="11" t="s">
        <v>86</v>
      </c>
      <c r="C58" s="11">
        <v>12</v>
      </c>
      <c r="D58" s="12">
        <v>44545</v>
      </c>
      <c r="H58" s="14">
        <v>-0.09</v>
      </c>
      <c r="I58" s="14">
        <f t="shared" si="0"/>
        <v>-0.09</v>
      </c>
      <c r="J58" s="11" t="s">
        <v>85</v>
      </c>
    </row>
    <row r="59" spans="1:11" hidden="1" x14ac:dyDescent="0.25">
      <c r="A59" s="10">
        <v>5</v>
      </c>
      <c r="B59" s="11" t="s">
        <v>87</v>
      </c>
      <c r="C59" s="11">
        <v>12</v>
      </c>
      <c r="D59" s="12">
        <v>44546</v>
      </c>
      <c r="E59" s="10">
        <v>7144</v>
      </c>
      <c r="G59" s="13">
        <v>0.01</v>
      </c>
      <c r="I59" s="14">
        <f t="shared" si="0"/>
        <v>0.01</v>
      </c>
      <c r="J59" s="11" t="s">
        <v>88</v>
      </c>
    </row>
    <row r="60" spans="1:11" hidden="1" x14ac:dyDescent="0.25">
      <c r="A60" s="10">
        <v>5</v>
      </c>
      <c r="B60" s="11" t="s">
        <v>89</v>
      </c>
      <c r="C60" s="11">
        <v>12</v>
      </c>
      <c r="D60" s="12">
        <v>44547</v>
      </c>
      <c r="E60" s="10">
        <v>6802</v>
      </c>
      <c r="G60" s="13">
        <v>0.02</v>
      </c>
      <c r="I60" s="14">
        <f t="shared" si="0"/>
        <v>0.02</v>
      </c>
      <c r="J60" s="11" t="s">
        <v>90</v>
      </c>
    </row>
    <row r="61" spans="1:11" hidden="1" x14ac:dyDescent="0.25">
      <c r="A61" s="10">
        <v>5</v>
      </c>
      <c r="B61" s="11" t="s">
        <v>91</v>
      </c>
      <c r="C61" s="11">
        <v>12</v>
      </c>
      <c r="D61" s="12">
        <v>44550</v>
      </c>
      <c r="E61" s="10">
        <v>7275</v>
      </c>
      <c r="H61" s="14">
        <v>-0.14000000000000001</v>
      </c>
      <c r="I61" s="14">
        <f t="shared" si="0"/>
        <v>-0.14000000000000001</v>
      </c>
      <c r="J61" s="11" t="s">
        <v>92</v>
      </c>
    </row>
    <row r="62" spans="1:11" hidden="1" x14ac:dyDescent="0.25">
      <c r="A62" s="10">
        <v>5</v>
      </c>
      <c r="B62" s="11" t="s">
        <v>93</v>
      </c>
      <c r="C62" s="11">
        <v>12</v>
      </c>
      <c r="D62" s="12">
        <v>44551</v>
      </c>
      <c r="E62" s="10">
        <v>6210</v>
      </c>
      <c r="G62" s="13">
        <v>0.01</v>
      </c>
      <c r="I62" s="14">
        <f t="shared" si="0"/>
        <v>0.01</v>
      </c>
      <c r="J62" s="11" t="s">
        <v>94</v>
      </c>
    </row>
    <row r="63" spans="1:11" hidden="1" x14ac:dyDescent="0.25">
      <c r="A63" s="10">
        <v>5</v>
      </c>
      <c r="B63" s="11" t="s">
        <v>95</v>
      </c>
      <c r="C63" s="11">
        <v>12</v>
      </c>
      <c r="D63" s="12">
        <v>44557</v>
      </c>
      <c r="E63" s="10">
        <v>7634</v>
      </c>
      <c r="G63" s="13">
        <v>0.02</v>
      </c>
      <c r="I63" s="14">
        <f t="shared" si="0"/>
        <v>0.02</v>
      </c>
      <c r="J63" s="11" t="s">
        <v>96</v>
      </c>
    </row>
    <row r="64" spans="1:11" hidden="1" x14ac:dyDescent="0.25">
      <c r="A64" s="10">
        <v>5</v>
      </c>
      <c r="B64" s="11" t="s">
        <v>95</v>
      </c>
      <c r="C64" s="11">
        <v>12</v>
      </c>
      <c r="D64" s="12">
        <v>44557</v>
      </c>
      <c r="E64" s="10">
        <v>7634</v>
      </c>
      <c r="H64" s="14">
        <v>-0.02</v>
      </c>
      <c r="I64" s="14">
        <f t="shared" si="0"/>
        <v>-0.02</v>
      </c>
      <c r="J64" s="11" t="s">
        <v>96</v>
      </c>
    </row>
    <row r="65" spans="1:11" hidden="1" x14ac:dyDescent="0.25">
      <c r="A65" s="10">
        <v>5</v>
      </c>
      <c r="B65" s="11" t="s">
        <v>97</v>
      </c>
      <c r="C65" s="11">
        <v>12</v>
      </c>
      <c r="D65" s="12">
        <v>44557</v>
      </c>
      <c r="G65" s="13">
        <v>0.02</v>
      </c>
      <c r="I65" s="14">
        <f t="shared" si="0"/>
        <v>0.02</v>
      </c>
      <c r="J65" s="11" t="s">
        <v>96</v>
      </c>
    </row>
    <row r="66" spans="1:11" hidden="1" x14ac:dyDescent="0.25">
      <c r="A66" s="10">
        <v>5</v>
      </c>
      <c r="B66" s="11" t="s">
        <v>98</v>
      </c>
      <c r="C66" s="11">
        <v>12</v>
      </c>
      <c r="D66" s="12">
        <v>44558</v>
      </c>
      <c r="E66" s="10">
        <v>6885</v>
      </c>
      <c r="G66" s="13">
        <v>0.01</v>
      </c>
      <c r="I66" s="14">
        <f t="shared" si="0"/>
        <v>0.01</v>
      </c>
      <c r="J66" s="11" t="s">
        <v>99</v>
      </c>
    </row>
    <row r="67" spans="1:11" hidden="1" x14ac:dyDescent="0.25">
      <c r="A67" s="10">
        <v>5</v>
      </c>
      <c r="B67" s="11" t="s">
        <v>100</v>
      </c>
      <c r="C67" s="11">
        <v>12</v>
      </c>
      <c r="D67" s="12">
        <v>44559</v>
      </c>
      <c r="E67" s="10">
        <v>6657</v>
      </c>
      <c r="H67" s="14">
        <v>-0.01</v>
      </c>
      <c r="I67" s="14">
        <f t="shared" ref="I67:I69" si="1">H67+G67</f>
        <v>-0.01</v>
      </c>
      <c r="J67" s="11" t="s">
        <v>101</v>
      </c>
    </row>
    <row r="68" spans="1:11" hidden="1" x14ac:dyDescent="0.25">
      <c r="A68" s="10">
        <v>2</v>
      </c>
      <c r="B68" s="11" t="s">
        <v>102</v>
      </c>
      <c r="C68" s="11">
        <v>12</v>
      </c>
      <c r="D68" s="12">
        <v>44559</v>
      </c>
      <c r="E68" s="10">
        <v>5804</v>
      </c>
      <c r="H68" s="14">
        <v>-1.73</v>
      </c>
      <c r="I68" s="14">
        <f t="shared" si="1"/>
        <v>-1.73</v>
      </c>
    </row>
    <row r="69" spans="1:11" hidden="1" x14ac:dyDescent="0.25">
      <c r="A69" s="10">
        <v>1</v>
      </c>
      <c r="B69" s="11" t="s">
        <v>103</v>
      </c>
      <c r="C69" s="11">
        <v>12</v>
      </c>
      <c r="D69" s="12">
        <v>44544</v>
      </c>
      <c r="E69" s="10">
        <v>7275</v>
      </c>
      <c r="G69" s="13">
        <v>0.01</v>
      </c>
      <c r="I69" s="14">
        <f t="shared" si="1"/>
        <v>0.01</v>
      </c>
    </row>
    <row r="70" spans="1:11" hidden="1" x14ac:dyDescent="0.25">
      <c r="I70" s="14">
        <f>SUM(I2:I69)</f>
        <v>-212185.44999999995</v>
      </c>
    </row>
    <row r="71" spans="1:11" x14ac:dyDescent="0.25">
      <c r="E71" s="10" t="s">
        <v>104</v>
      </c>
      <c r="I71" s="14">
        <v>-771</v>
      </c>
      <c r="K71" s="11" t="s">
        <v>105</v>
      </c>
    </row>
    <row r="72" spans="1:11" x14ac:dyDescent="0.25">
      <c r="I72" s="14">
        <f>SUBTOTAL(9,I2:I71)</f>
        <v>-185255.09</v>
      </c>
    </row>
  </sheetData>
  <autoFilter ref="A1:K70" xr:uid="{00000000-0009-0000-0000-000000000000}">
    <filterColumn colId="2">
      <filters>
        <filter val="13"/>
      </filters>
    </filterColumn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9191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2022-01-21T19:46:25Z</dcterms:created>
  <dcterms:modified xsi:type="dcterms:W3CDTF">2022-01-28T17:37:35Z</dcterms:modified>
</cp:coreProperties>
</file>