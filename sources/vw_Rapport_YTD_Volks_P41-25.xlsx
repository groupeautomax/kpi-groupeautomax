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R:\ADP-Desjardins-paie\Paie\Paies Hélène\229715 - PA VOLKSWAGEN\"/>
    </mc:Choice>
  </mc:AlternateContent>
  <xr:revisionPtr revIDLastSave="0" documentId="8_{D76AD13E-789C-45E5-AC92-4D88F2E21CD2}" xr6:coauthVersionLast="47" xr6:coauthVersionMax="47" xr10:uidLastSave="{00000000-0000-0000-0000-000000000000}"/>
  <bookViews>
    <workbookView xWindow="-120" yWindow="-120" windowWidth="29040" windowHeight="15720" xr2:uid="{415D0D00-0FB1-4513-BD91-9854615BCDB6}"/>
  </bookViews>
  <sheets>
    <sheet name="Feuil1" sheetId="1" r:id="rId1"/>
  </sheets>
  <definedNames>
    <definedName name="_xlnm._FilterDatabase" localSheetId="0" hidden="1">Feuil1!$A$4:$BZ$4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2" i="1" l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</calcChain>
</file>

<file path=xl/sharedStrings.xml><?xml version="1.0" encoding="utf-8"?>
<sst xmlns="http://schemas.openxmlformats.org/spreadsheetml/2006/main" count="593" uniqueCount="237">
  <si>
    <t>Compagnie</t>
  </si>
  <si>
    <t>Matricule</t>
  </si>
  <si>
    <t>Nom, prénom</t>
  </si>
  <si>
    <t>Statut employé</t>
  </si>
  <si>
    <t>Desc. française abr.</t>
  </si>
  <si>
    <t>Hrs / paie</t>
  </si>
  <si>
    <t>Taux</t>
  </si>
  <si>
    <t>Tra#1</t>
  </si>
  <si>
    <t>Tra#2</t>
  </si>
  <si>
    <t>D736 (Annuel - mnt)</t>
  </si>
  <si>
    <t>G1 (Annuel - mnt)</t>
  </si>
  <si>
    <t>G101 (Annuel - mnt)</t>
  </si>
  <si>
    <t>G104 (Annuel - mnt)</t>
  </si>
  <si>
    <t>G14 (Annuel - mnt)</t>
  </si>
  <si>
    <t>G20 (Annuel - mnt)</t>
  </si>
  <si>
    <t>G203 (Annuel - mnt)</t>
  </si>
  <si>
    <t>G204 (Annuel - mnt)</t>
  </si>
  <si>
    <t>G205 (Annuel - mnt)</t>
  </si>
  <si>
    <t>G208 (Annuel - mnt)</t>
  </si>
  <si>
    <t>G211 (Annuel - mnt)</t>
  </si>
  <si>
    <t>G218 (Annuel - mnt)</t>
  </si>
  <si>
    <t>G227 (Annuel - mnt)</t>
  </si>
  <si>
    <t>G229 (Annuel - mnt)</t>
  </si>
  <si>
    <t>G231 (Annuel - mnt)</t>
  </si>
  <si>
    <t>G232 (Annuel - mnt)</t>
  </si>
  <si>
    <t>G233 (Annuel - mnt)</t>
  </si>
  <si>
    <t>G235 (Annuel - mnt)</t>
  </si>
  <si>
    <t>G240 (Annuel - mnt)</t>
  </si>
  <si>
    <t>G245 (Annuel - mnt)</t>
  </si>
  <si>
    <t>G255 (Annuel - mnt)</t>
  </si>
  <si>
    <t>G305 (Annuel - mnt)</t>
  </si>
  <si>
    <t>G311 (Annuel - mnt)</t>
  </si>
  <si>
    <t>G313 (Annuel - mnt)</t>
  </si>
  <si>
    <t>G351 (Annuel - mnt)</t>
  </si>
  <si>
    <t>G371 (Annuel - mnt)</t>
  </si>
  <si>
    <t>G4 (Annuel - mnt)</t>
  </si>
  <si>
    <t>G43 (Annuel - mnt)</t>
  </si>
  <si>
    <t>G506 (Annuel - mnt)</t>
  </si>
  <si>
    <t>G507 (Annuel - mnt)</t>
  </si>
  <si>
    <t>G521 (Annuel - mnt)</t>
  </si>
  <si>
    <t>G751 (Annuel - mnt)</t>
  </si>
  <si>
    <t>G80 (Annuel - mnt)</t>
  </si>
  <si>
    <t>00229715</t>
  </si>
  <si>
    <t>BEAUVAIS, FRÉDÉRIC</t>
  </si>
  <si>
    <t>Actif</t>
  </si>
  <si>
    <t>Dir. général</t>
  </si>
  <si>
    <t>A</t>
  </si>
  <si>
    <t>0500</t>
  </si>
  <si>
    <t>Fleury, Sébastien</t>
  </si>
  <si>
    <t>Terminé</t>
  </si>
  <si>
    <t>Dir.gén.ventes</t>
  </si>
  <si>
    <t>B</t>
  </si>
  <si>
    <t>1000</t>
  </si>
  <si>
    <t>NOORI, KARIM</t>
  </si>
  <si>
    <t>Dir.adj. ventes</t>
  </si>
  <si>
    <t>1010</t>
  </si>
  <si>
    <t>Giroux, Mercedes</t>
  </si>
  <si>
    <t>Agent CCC/BDC</t>
  </si>
  <si>
    <t>1045</t>
  </si>
  <si>
    <t>Paradis, Alexandre</t>
  </si>
  <si>
    <t>D.adj.vtes neuf</t>
  </si>
  <si>
    <t>C</t>
  </si>
  <si>
    <t>Lemire, Alexandra</t>
  </si>
  <si>
    <t>Dir.commercial</t>
  </si>
  <si>
    <t>1020</t>
  </si>
  <si>
    <t>Chelali, Ahmed</t>
  </si>
  <si>
    <t>Guenard, Megan</t>
  </si>
  <si>
    <t>Inactif</t>
  </si>
  <si>
    <t>St-Laurent-Pednault, Christiana</t>
  </si>
  <si>
    <t>GRAVEL, PHILIPPE</t>
  </si>
  <si>
    <t>Dir.renouvel</t>
  </si>
  <si>
    <t>1030</t>
  </si>
  <si>
    <t>ST-JEAN, JOANNIE</t>
  </si>
  <si>
    <t>Secr.ventes</t>
  </si>
  <si>
    <t>1040</t>
  </si>
  <si>
    <t>HURTADO ABARCA, JOSE MANUEL</t>
  </si>
  <si>
    <t>Rep.Vte.Fin.Ass</t>
  </si>
  <si>
    <t>1050</t>
  </si>
  <si>
    <t>CABALLERO, JUAN ANDRES</t>
  </si>
  <si>
    <t>Cons.vtes neufs</t>
  </si>
  <si>
    <t>Brisebois, Benoit</t>
  </si>
  <si>
    <t>LAVOIE, JEREMY</t>
  </si>
  <si>
    <t>Claveau, Maxime</t>
  </si>
  <si>
    <t>Hafaiedh, Sofiane</t>
  </si>
  <si>
    <t>Ethier, Peter</t>
  </si>
  <si>
    <t>Poirier, Éric</t>
  </si>
  <si>
    <t>Bourbonnière, Zachary</t>
  </si>
  <si>
    <t>Cons.vte usage</t>
  </si>
  <si>
    <t>AYEL, CHRISTOPHE_JASON</t>
  </si>
  <si>
    <t>D.adj.vtes usag</t>
  </si>
  <si>
    <t>F</t>
  </si>
  <si>
    <t>POULIN, MARC-OLIVIER</t>
  </si>
  <si>
    <t>DRAPEAU, KATERINE</t>
  </si>
  <si>
    <t>Simonet, Gaëlle</t>
  </si>
  <si>
    <t>Receptionniste</t>
  </si>
  <si>
    <t>BRIN, FELIX-ANTOINE</t>
  </si>
  <si>
    <t>TRI NGUYEN, DAVID</t>
  </si>
  <si>
    <t>Boudrias, Jérémy</t>
  </si>
  <si>
    <t>Epinette, Baptiste</t>
  </si>
  <si>
    <t>Toudeft, Mahdi</t>
  </si>
  <si>
    <t>Ibrahim, Ramzy</t>
  </si>
  <si>
    <t>FF</t>
  </si>
  <si>
    <t>Martel Diotte, Tommy</t>
  </si>
  <si>
    <t>Dir.ops.fixes</t>
  </si>
  <si>
    <t>H</t>
  </si>
  <si>
    <t>2001</t>
  </si>
  <si>
    <t>PLANTE, MARC-ANDRE</t>
  </si>
  <si>
    <t>Homme de cour</t>
  </si>
  <si>
    <t>I</t>
  </si>
  <si>
    <t>1060</t>
  </si>
  <si>
    <t>Lam, Edwin</t>
  </si>
  <si>
    <t>Préposé service</t>
  </si>
  <si>
    <t>CLAEYS, DAMIEN</t>
  </si>
  <si>
    <t>Cons.technique</t>
  </si>
  <si>
    <t>2010</t>
  </si>
  <si>
    <t>DUGAS, VERONIQUE</t>
  </si>
  <si>
    <t>Morais, Emily</t>
  </si>
  <si>
    <t>Galvez Gonzalez, Daniel</t>
  </si>
  <si>
    <t>Owens, Ryan</t>
  </si>
  <si>
    <t>Conseiller int</t>
  </si>
  <si>
    <t>MARCIL, GUY</t>
  </si>
  <si>
    <t>Adj.Admin</t>
  </si>
  <si>
    <t>2020</t>
  </si>
  <si>
    <t>FAN, MAN-FAI</t>
  </si>
  <si>
    <t>Commis reclam</t>
  </si>
  <si>
    <t>LAVALLEE, DAVID</t>
  </si>
  <si>
    <t>Technicien 3e</t>
  </si>
  <si>
    <t>2030</t>
  </si>
  <si>
    <t>Calazana-Alfonso, Yanko</t>
  </si>
  <si>
    <t>App-tech 1e</t>
  </si>
  <si>
    <t>2040</t>
  </si>
  <si>
    <t>BOUTIN, ROBERT</t>
  </si>
  <si>
    <t>FORGET, FREDERIC</t>
  </si>
  <si>
    <t>Technicien 2e</t>
  </si>
  <si>
    <t>METAYER, VINCENT</t>
  </si>
  <si>
    <t>LAM, EUGENE</t>
  </si>
  <si>
    <t>LAVOIE, OLIVIER</t>
  </si>
  <si>
    <t>Technicien 1e</t>
  </si>
  <si>
    <t>GAGNE, GABRIEL</t>
  </si>
  <si>
    <t>App-tech 3e</t>
  </si>
  <si>
    <t>NOLIN-GRENIER, CHARLES</t>
  </si>
  <si>
    <t>LACROIX, ZACHARY</t>
  </si>
  <si>
    <t>GOSSELIN, SYLVAIN</t>
  </si>
  <si>
    <t>Bouchard-Provost, Kevyn</t>
  </si>
  <si>
    <t>Micky, Alexei</t>
  </si>
  <si>
    <t>App-tech 2e</t>
  </si>
  <si>
    <t>Ducas, Laurence</t>
  </si>
  <si>
    <t>Chiasson Goudreau, Matis</t>
  </si>
  <si>
    <t>Laveur</t>
  </si>
  <si>
    <t>2050</t>
  </si>
  <si>
    <t>Bourgault, Xavier</t>
  </si>
  <si>
    <t>Riopel-Fréchette, François</t>
  </si>
  <si>
    <t>Coordonnateur</t>
  </si>
  <si>
    <t>II</t>
  </si>
  <si>
    <t>2005</t>
  </si>
  <si>
    <t>GENEST, PIERRE-LUC</t>
  </si>
  <si>
    <t>Dontigny, Michael</t>
  </si>
  <si>
    <t>FANGDIO, GÉRARD</t>
  </si>
  <si>
    <t>PRUD'HOMME, SERGE</t>
  </si>
  <si>
    <t>Prep.esthetique</t>
  </si>
  <si>
    <t>Rhéaume, William</t>
  </si>
  <si>
    <t>Ahmad Farid, Ghulam Mahroof</t>
  </si>
  <si>
    <t>Lussier La Haye, Mathys</t>
  </si>
  <si>
    <t>Jean Denis, Lensley</t>
  </si>
  <si>
    <t>DUBREUIL, REMI</t>
  </si>
  <si>
    <t>Com.pièces sr</t>
  </si>
  <si>
    <t>L</t>
  </si>
  <si>
    <t>3010</t>
  </si>
  <si>
    <t>PERRAS, ALEXANDRE</t>
  </si>
  <si>
    <t>Commis pieces A</t>
  </si>
  <si>
    <t>TREPANIER, OLIVIER</t>
  </si>
  <si>
    <t>Commis pieces C</t>
  </si>
  <si>
    <t>Almeida, André</t>
  </si>
  <si>
    <t>Therrien, Philippe</t>
  </si>
  <si>
    <t>BRUNEAU, JADE</t>
  </si>
  <si>
    <t>Commis carross.</t>
  </si>
  <si>
    <t>O</t>
  </si>
  <si>
    <t>4010</t>
  </si>
  <si>
    <t>Laplante, Jacob</t>
  </si>
  <si>
    <t>Est.carrosserie</t>
  </si>
  <si>
    <t>LE DU, MICHEL</t>
  </si>
  <si>
    <t>Valet</t>
  </si>
  <si>
    <t>R</t>
  </si>
  <si>
    <t>5040</t>
  </si>
  <si>
    <t>NABOR, JOSE</t>
  </si>
  <si>
    <t>Boissy, René</t>
  </si>
  <si>
    <t>Chevalier, Myrian</t>
  </si>
  <si>
    <t>Superviseur</t>
  </si>
  <si>
    <t>U</t>
  </si>
  <si>
    <t>6010</t>
  </si>
  <si>
    <t>Hamodi, Marwa</t>
  </si>
  <si>
    <t>Sheridan, Jade</t>
  </si>
  <si>
    <t>Desautels, Julie</t>
  </si>
  <si>
    <t>Magnan, Lise-Andree</t>
  </si>
  <si>
    <t>W</t>
  </si>
  <si>
    <t>9000</t>
  </si>
  <si>
    <t>Tousignant, Sarah-Maude</t>
  </si>
  <si>
    <t>Forgues, Nathalie</t>
  </si>
  <si>
    <t>VILLENEUVE, CAMILLE</t>
  </si>
  <si>
    <t>Andronic, Vitalia</t>
  </si>
  <si>
    <t>Brunet, Ève marie</t>
  </si>
  <si>
    <t>DUBÉ, ISABELLE</t>
  </si>
  <si>
    <t>RAPPORT YTD 2025 VOLKSWAGEN</t>
  </si>
  <si>
    <t>RPDB</t>
  </si>
  <si>
    <t>Régulier</t>
  </si>
  <si>
    <t>Maladie</t>
  </si>
  <si>
    <t>Fériés</t>
  </si>
  <si>
    <t>Deuil</t>
  </si>
  <si>
    <t>1 jour SST</t>
  </si>
  <si>
    <t>Aj. Salaire</t>
  </si>
  <si>
    <t>Fériés $</t>
  </si>
  <si>
    <t>Alloc.Auto$</t>
  </si>
  <si>
    <t>Av. commissions $</t>
  </si>
  <si>
    <t>Allo. Autre $</t>
  </si>
  <si>
    <t>Commissions$</t>
  </si>
  <si>
    <t>Primes $$</t>
  </si>
  <si>
    <t>Boni Référence $</t>
  </si>
  <si>
    <t>Bonis $</t>
  </si>
  <si>
    <t>Av. Bonis $</t>
  </si>
  <si>
    <t>Boni timestriel</t>
  </si>
  <si>
    <t>Boni Ann $$</t>
  </si>
  <si>
    <t>Préavais n. Trav.$</t>
  </si>
  <si>
    <t>Boni Mensuel $</t>
  </si>
  <si>
    <t>Boni Ref Emploi $</t>
  </si>
  <si>
    <t>Vacances $</t>
  </si>
  <si>
    <t>Bq. Av. Comm</t>
  </si>
  <si>
    <t>Bq. Av. Bonis</t>
  </si>
  <si>
    <t>Ajustements $$</t>
  </si>
  <si>
    <t>Rétro $$</t>
  </si>
  <si>
    <t>formation $$</t>
  </si>
  <si>
    <t>Suppl.$</t>
  </si>
  <si>
    <t>Compte dépenses $</t>
  </si>
  <si>
    <t>Déenses Cell.$</t>
  </si>
  <si>
    <t>SST $</t>
  </si>
  <si>
    <t>Total Brute</t>
  </si>
  <si>
    <t>Pr. Soir $</t>
  </si>
  <si>
    <t>P41-2025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</si>
</sst>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7"/>
      <color rgb="FF000000"/>
      <name val="Arial"/>
    </font>
    <font>
      <sz val="11"/>
      <name val="Calibri"/>
    </font>
    <font>
      <b/>
      <sz val="36"/>
      <color theme="1"/>
      <name val="Aptos Narrow"/>
      <family val="2"/>
      <scheme val="minor"/>
    </font>
    <font>
      <b/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top" wrapText="1" readingOrder="1"/>
    </xf>
    <xf numFmtId="0" fontId="5" fillId="0" borderId="1" xfId="0" applyFont="1" applyBorder="1" applyAlignment="1">
      <alignment horizontal="right" vertical="top" wrapText="1" readingOrder="1"/>
    </xf>
    <xf numFmtId="0" fontId="2" fillId="0" borderId="1" xfId="0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8CC42-6A32-4A74-9AA7-5BA56D700432}">
  <dimension ref="A1:AP92"/>
  <sheetViews>
    <sheetView tabSelected="1" workbookViewId="0">
      <selection activeCell="I17" sqref="I17"/>
    </sheetView>
  </sheetViews>
  <sheetFormatPr baseColWidth="10" defaultRowHeight="15" x14ac:dyDescent="0.25"/>
  <cols>
    <col min="19" max="19" width="18" bestFit="1" customWidth="1"/>
    <col min="21" max="21" width="14.140625" bestFit="1" customWidth="1"/>
    <col min="23" max="23" width="15.42578125" bestFit="1" customWidth="1"/>
    <col min="26" max="26" width="13.7109375" bestFit="1" customWidth="1"/>
    <col min="28" max="28" width="16.5703125" bestFit="1" customWidth="1"/>
    <col min="29" max="29" width="14.28515625" bestFit="1" customWidth="1"/>
    <col min="30" max="30" width="16.28515625" bestFit="1" customWidth="1"/>
    <col min="38" max="38" width="18.140625" bestFit="1" customWidth="1"/>
    <col min="39" max="39" width="13.7109375" bestFit="1" customWidth="1"/>
  </cols>
  <sheetData>
    <row r="1" spans="1:42" ht="46.5" x14ac:dyDescent="0.7">
      <c r="A1" s="3" t="s">
        <v>202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46.5" customHeight="1" x14ac:dyDescent="0.7">
      <c r="A2" s="3" t="s">
        <v>236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s="2" customFormat="1" x14ac:dyDescent="0.25">
      <c r="A3" s="4"/>
      <c r="B3" s="4"/>
      <c r="C3" s="4"/>
      <c r="D3" s="4"/>
      <c r="E3" s="4"/>
      <c r="F3" s="4"/>
      <c r="G3" s="4"/>
      <c r="H3" s="4"/>
      <c r="I3" s="4"/>
      <c r="J3" s="5" t="s">
        <v>203</v>
      </c>
      <c r="K3" s="5" t="s">
        <v>204</v>
      </c>
      <c r="L3" s="5" t="s">
        <v>205</v>
      </c>
      <c r="M3" s="5" t="s">
        <v>206</v>
      </c>
      <c r="N3" s="5" t="s">
        <v>207</v>
      </c>
      <c r="O3" s="5" t="s">
        <v>208</v>
      </c>
      <c r="P3" s="5" t="s">
        <v>209</v>
      </c>
      <c r="Q3" s="5" t="s">
        <v>210</v>
      </c>
      <c r="R3" s="5" t="s">
        <v>211</v>
      </c>
      <c r="S3" s="5" t="s">
        <v>212</v>
      </c>
      <c r="T3" s="5" t="s">
        <v>213</v>
      </c>
      <c r="U3" s="5" t="s">
        <v>214</v>
      </c>
      <c r="V3" s="5" t="s">
        <v>215</v>
      </c>
      <c r="W3" s="5" t="s">
        <v>216</v>
      </c>
      <c r="X3" s="5" t="s">
        <v>217</v>
      </c>
      <c r="Y3" s="5" t="s">
        <v>218</v>
      </c>
      <c r="Z3" s="5" t="s">
        <v>219</v>
      </c>
      <c r="AA3" s="5" t="s">
        <v>220</v>
      </c>
      <c r="AB3" s="5" t="s">
        <v>221</v>
      </c>
      <c r="AC3" s="5" t="s">
        <v>222</v>
      </c>
      <c r="AD3" s="5" t="s">
        <v>223</v>
      </c>
      <c r="AE3" s="5" t="s">
        <v>224</v>
      </c>
      <c r="AF3" s="5" t="s">
        <v>225</v>
      </c>
      <c r="AG3" s="5" t="s">
        <v>226</v>
      </c>
      <c r="AH3" s="5" t="s">
        <v>227</v>
      </c>
      <c r="AI3" s="5" t="s">
        <v>228</v>
      </c>
      <c r="AJ3" s="5" t="s">
        <v>229</v>
      </c>
      <c r="AK3" s="5" t="s">
        <v>230</v>
      </c>
      <c r="AL3" s="5" t="s">
        <v>231</v>
      </c>
      <c r="AM3" s="5" t="s">
        <v>232</v>
      </c>
      <c r="AN3" s="5" t="s">
        <v>233</v>
      </c>
      <c r="AO3" s="5" t="s">
        <v>234</v>
      </c>
      <c r="AP3" s="5" t="s">
        <v>235</v>
      </c>
    </row>
    <row r="4" spans="1:42" s="1" customFormat="1" ht="18" x14ac:dyDescent="0.25">
      <c r="A4" s="6" t="s">
        <v>0</v>
      </c>
      <c r="B4" s="7" t="s">
        <v>1</v>
      </c>
      <c r="C4" s="6" t="s">
        <v>2</v>
      </c>
      <c r="D4" s="6" t="s">
        <v>3</v>
      </c>
      <c r="E4" s="6" t="s">
        <v>4</v>
      </c>
      <c r="F4" s="7" t="s">
        <v>5</v>
      </c>
      <c r="G4" s="7" t="s">
        <v>6</v>
      </c>
      <c r="H4" s="6" t="s">
        <v>7</v>
      </c>
      <c r="I4" s="6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  <c r="Q4" s="8" t="s">
        <v>16</v>
      </c>
      <c r="R4" s="8" t="s">
        <v>17</v>
      </c>
      <c r="S4" s="8" t="s">
        <v>18</v>
      </c>
      <c r="T4" s="8" t="s">
        <v>19</v>
      </c>
      <c r="U4" s="8" t="s">
        <v>20</v>
      </c>
      <c r="V4" s="8" t="s">
        <v>21</v>
      </c>
      <c r="W4" s="8" t="s">
        <v>22</v>
      </c>
      <c r="X4" s="8" t="s">
        <v>23</v>
      </c>
      <c r="Y4" s="8" t="s">
        <v>24</v>
      </c>
      <c r="Z4" s="8" t="s">
        <v>25</v>
      </c>
      <c r="AA4" s="8" t="s">
        <v>26</v>
      </c>
      <c r="AB4" s="8" t="s">
        <v>27</v>
      </c>
      <c r="AC4" s="8" t="s">
        <v>28</v>
      </c>
      <c r="AD4" s="8" t="s">
        <v>29</v>
      </c>
      <c r="AE4" s="8" t="s">
        <v>30</v>
      </c>
      <c r="AF4" s="8" t="s">
        <v>31</v>
      </c>
      <c r="AG4" s="8" t="s">
        <v>32</v>
      </c>
      <c r="AH4" s="8" t="s">
        <v>33</v>
      </c>
      <c r="AI4" s="8" t="s">
        <v>34</v>
      </c>
      <c r="AJ4" s="8" t="s">
        <v>35</v>
      </c>
      <c r="AK4" s="8" t="s">
        <v>36</v>
      </c>
      <c r="AL4" s="8" t="s">
        <v>37</v>
      </c>
      <c r="AM4" s="8" t="s">
        <v>38</v>
      </c>
      <c r="AN4" s="8" t="s">
        <v>39</v>
      </c>
      <c r="AO4" s="8" t="s">
        <v>40</v>
      </c>
      <c r="AP4" s="8" t="s">
        <v>41</v>
      </c>
    </row>
    <row r="5" spans="1:42" x14ac:dyDescent="0.25">
      <c r="A5" t="s">
        <v>42</v>
      </c>
      <c r="B5">
        <v>60001</v>
      </c>
      <c r="C5" t="s">
        <v>43</v>
      </c>
      <c r="D5" t="s">
        <v>44</v>
      </c>
      <c r="E5" t="s">
        <v>45</v>
      </c>
      <c r="F5">
        <v>40</v>
      </c>
      <c r="G5">
        <v>68.3125</v>
      </c>
      <c r="H5" t="s">
        <v>46</v>
      </c>
      <c r="I5" t="s">
        <v>47</v>
      </c>
      <c r="J5">
        <v>6626.92</v>
      </c>
      <c r="K5">
        <v>97579.17</v>
      </c>
      <c r="L5">
        <v>3798.23</v>
      </c>
      <c r="M5">
        <v>546.5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9461.57</v>
      </c>
      <c r="U5">
        <v>0</v>
      </c>
      <c r="V5">
        <v>17740.29</v>
      </c>
      <c r="W5">
        <v>0</v>
      </c>
      <c r="X5">
        <v>0</v>
      </c>
      <c r="Y5">
        <v>0</v>
      </c>
      <c r="Z5">
        <v>0</v>
      </c>
      <c r="AA5">
        <v>6825</v>
      </c>
      <c r="AB5">
        <v>0</v>
      </c>
      <c r="AC5">
        <v>0</v>
      </c>
      <c r="AD5">
        <v>0</v>
      </c>
      <c r="AE5">
        <v>12055.76</v>
      </c>
      <c r="AF5">
        <v>0</v>
      </c>
      <c r="AG5">
        <v>0</v>
      </c>
      <c r="AH5">
        <v>0</v>
      </c>
      <c r="AI5">
        <v>818.1</v>
      </c>
      <c r="AJ5">
        <v>0</v>
      </c>
      <c r="AK5">
        <v>0</v>
      </c>
      <c r="AL5">
        <v>8727.81</v>
      </c>
      <c r="AM5">
        <v>0</v>
      </c>
      <c r="AN5">
        <v>0</v>
      </c>
      <c r="AO5">
        <v>148824.62</v>
      </c>
      <c r="AP5">
        <v>0</v>
      </c>
    </row>
    <row r="6" spans="1:42" x14ac:dyDescent="0.25">
      <c r="A6" t="s">
        <v>42</v>
      </c>
      <c r="B6">
        <v>60501</v>
      </c>
      <c r="C6" t="s">
        <v>48</v>
      </c>
      <c r="D6" t="s">
        <v>49</v>
      </c>
      <c r="E6" t="s">
        <v>50</v>
      </c>
      <c r="F6">
        <v>40</v>
      </c>
      <c r="G6">
        <v>40.865400000000001</v>
      </c>
      <c r="H6" t="s">
        <v>51</v>
      </c>
      <c r="I6" t="s">
        <v>52</v>
      </c>
      <c r="J6">
        <v>0</v>
      </c>
      <c r="K6">
        <v>26153.919999999998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20700</v>
      </c>
      <c r="AD6">
        <v>0</v>
      </c>
      <c r="AE6">
        <v>2958.77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422.52</v>
      </c>
      <c r="AM6">
        <v>147.68</v>
      </c>
      <c r="AN6">
        <v>1005.74</v>
      </c>
      <c r="AO6">
        <v>49812.69</v>
      </c>
      <c r="AP6">
        <v>0</v>
      </c>
    </row>
    <row r="7" spans="1:42" x14ac:dyDescent="0.25">
      <c r="A7" t="s">
        <v>42</v>
      </c>
      <c r="B7">
        <v>61207</v>
      </c>
      <c r="C7" t="s">
        <v>53</v>
      </c>
      <c r="D7" t="s">
        <v>44</v>
      </c>
      <c r="E7" t="s">
        <v>54</v>
      </c>
      <c r="F7">
        <v>40</v>
      </c>
      <c r="G7">
        <v>24.038499999999999</v>
      </c>
      <c r="H7" t="s">
        <v>51</v>
      </c>
      <c r="I7" t="s">
        <v>55</v>
      </c>
      <c r="J7">
        <v>0</v>
      </c>
      <c r="K7">
        <v>27614.46</v>
      </c>
      <c r="L7">
        <v>2874.54</v>
      </c>
      <c r="M7">
        <v>0</v>
      </c>
      <c r="N7">
        <v>865.16</v>
      </c>
      <c r="O7">
        <v>0</v>
      </c>
      <c r="P7">
        <v>0</v>
      </c>
      <c r="Q7">
        <v>405.74</v>
      </c>
      <c r="R7">
        <v>2100</v>
      </c>
      <c r="S7">
        <v>0</v>
      </c>
      <c r="T7">
        <v>0</v>
      </c>
      <c r="U7">
        <v>22976.59</v>
      </c>
      <c r="V7">
        <v>0</v>
      </c>
      <c r="W7">
        <v>0</v>
      </c>
      <c r="X7">
        <v>0</v>
      </c>
      <c r="Y7">
        <v>0</v>
      </c>
      <c r="Z7">
        <v>1000</v>
      </c>
      <c r="AA7">
        <v>0</v>
      </c>
      <c r="AB7">
        <v>0</v>
      </c>
      <c r="AC7">
        <v>20400</v>
      </c>
      <c r="AD7">
        <v>0</v>
      </c>
      <c r="AE7">
        <v>4009.56</v>
      </c>
      <c r="AF7">
        <v>0</v>
      </c>
      <c r="AG7">
        <v>0</v>
      </c>
      <c r="AH7">
        <v>0</v>
      </c>
      <c r="AI7">
        <v>-461.54</v>
      </c>
      <c r="AJ7">
        <v>0</v>
      </c>
      <c r="AK7">
        <v>0</v>
      </c>
      <c r="AL7">
        <v>549.78</v>
      </c>
      <c r="AM7">
        <v>378.43</v>
      </c>
      <c r="AN7">
        <v>0</v>
      </c>
      <c r="AO7">
        <v>81784.509999999995</v>
      </c>
      <c r="AP7">
        <v>0</v>
      </c>
    </row>
    <row r="8" spans="1:42" x14ac:dyDescent="0.25">
      <c r="A8" t="s">
        <v>42</v>
      </c>
      <c r="B8">
        <v>61194</v>
      </c>
      <c r="C8" t="s">
        <v>56</v>
      </c>
      <c r="D8" t="s">
        <v>49</v>
      </c>
      <c r="E8" t="s">
        <v>57</v>
      </c>
      <c r="F8">
        <v>40</v>
      </c>
      <c r="G8">
        <v>18</v>
      </c>
      <c r="H8" t="s">
        <v>51</v>
      </c>
      <c r="I8" t="s">
        <v>58</v>
      </c>
      <c r="J8">
        <v>0</v>
      </c>
      <c r="K8">
        <v>9595.7999999999993</v>
      </c>
      <c r="L8">
        <v>0</v>
      </c>
      <c r="M8">
        <v>325.8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202.15</v>
      </c>
      <c r="AC8">
        <v>1043</v>
      </c>
      <c r="AD8">
        <v>0</v>
      </c>
      <c r="AE8">
        <v>450.67</v>
      </c>
      <c r="AF8">
        <v>0</v>
      </c>
      <c r="AG8">
        <v>0</v>
      </c>
      <c r="AH8">
        <v>0</v>
      </c>
      <c r="AI8">
        <v>0</v>
      </c>
      <c r="AJ8">
        <v>0</v>
      </c>
      <c r="AK8">
        <v>99.9</v>
      </c>
      <c r="AL8">
        <v>0</v>
      </c>
      <c r="AM8">
        <v>0</v>
      </c>
      <c r="AN8">
        <v>0</v>
      </c>
      <c r="AO8">
        <v>11717.32</v>
      </c>
      <c r="AP8">
        <v>0</v>
      </c>
    </row>
    <row r="9" spans="1:42" x14ac:dyDescent="0.25">
      <c r="A9" t="s">
        <v>42</v>
      </c>
      <c r="B9">
        <v>61053</v>
      </c>
      <c r="C9" t="s">
        <v>59</v>
      </c>
      <c r="D9" t="s">
        <v>44</v>
      </c>
      <c r="E9" t="s">
        <v>60</v>
      </c>
      <c r="F9">
        <v>40</v>
      </c>
      <c r="G9">
        <v>36.0578</v>
      </c>
      <c r="H9" t="s">
        <v>61</v>
      </c>
      <c r="I9" t="s">
        <v>55</v>
      </c>
      <c r="J9">
        <v>2092.1999999999998</v>
      </c>
      <c r="K9">
        <v>38980.83</v>
      </c>
      <c r="L9">
        <v>961.54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1500</v>
      </c>
      <c r="T9">
        <v>0</v>
      </c>
      <c r="U9">
        <v>400</v>
      </c>
      <c r="V9">
        <v>0</v>
      </c>
      <c r="W9">
        <v>0</v>
      </c>
      <c r="X9">
        <v>0</v>
      </c>
      <c r="Y9">
        <v>16200</v>
      </c>
      <c r="Z9">
        <v>1000</v>
      </c>
      <c r="AA9">
        <v>0</v>
      </c>
      <c r="AB9">
        <v>0</v>
      </c>
      <c r="AC9">
        <v>42250</v>
      </c>
      <c r="AD9">
        <v>0</v>
      </c>
      <c r="AE9">
        <v>1713.54</v>
      </c>
      <c r="AF9">
        <v>-4235.72</v>
      </c>
      <c r="AG9">
        <v>-16200</v>
      </c>
      <c r="AH9">
        <v>0</v>
      </c>
      <c r="AI9">
        <v>1115.3800000000001</v>
      </c>
      <c r="AJ9">
        <v>0</v>
      </c>
      <c r="AK9">
        <v>0</v>
      </c>
      <c r="AL9">
        <v>3178.08</v>
      </c>
      <c r="AM9">
        <v>378.43</v>
      </c>
      <c r="AN9">
        <v>0</v>
      </c>
      <c r="AO9">
        <v>83685.570000000007</v>
      </c>
      <c r="AP9">
        <v>0</v>
      </c>
    </row>
    <row r="10" spans="1:42" x14ac:dyDescent="0.25">
      <c r="A10" t="s">
        <v>42</v>
      </c>
      <c r="B10">
        <v>61118</v>
      </c>
      <c r="C10" t="s">
        <v>62</v>
      </c>
      <c r="D10" t="s">
        <v>49</v>
      </c>
      <c r="E10" t="s">
        <v>63</v>
      </c>
      <c r="F10">
        <v>40</v>
      </c>
      <c r="G10">
        <v>1E-4</v>
      </c>
      <c r="H10" t="s">
        <v>61</v>
      </c>
      <c r="I10" t="s">
        <v>64</v>
      </c>
      <c r="J10">
        <v>258.20999999999998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-839.82</v>
      </c>
      <c r="T10">
        <v>0</v>
      </c>
      <c r="U10">
        <v>839.82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568.29999999999995</v>
      </c>
      <c r="AD10">
        <v>0</v>
      </c>
      <c r="AE10">
        <v>7229.11</v>
      </c>
      <c r="AF10">
        <v>-419.91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7377.5</v>
      </c>
      <c r="AP10">
        <v>0</v>
      </c>
    </row>
    <row r="11" spans="1:42" x14ac:dyDescent="0.25">
      <c r="A11" t="s">
        <v>42</v>
      </c>
      <c r="B11">
        <v>61127</v>
      </c>
      <c r="C11" t="s">
        <v>65</v>
      </c>
      <c r="D11" t="s">
        <v>49</v>
      </c>
      <c r="E11" t="s">
        <v>63</v>
      </c>
      <c r="F11">
        <v>40</v>
      </c>
      <c r="G11">
        <v>1E-4</v>
      </c>
      <c r="H11" t="s">
        <v>61</v>
      </c>
      <c r="I11" t="s">
        <v>64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1069.8499999999999</v>
      </c>
      <c r="R11">
        <v>1981.5</v>
      </c>
      <c r="S11">
        <v>0</v>
      </c>
      <c r="T11">
        <v>0</v>
      </c>
      <c r="U11">
        <v>16710.46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8670.4599999999991</v>
      </c>
      <c r="AD11">
        <v>0</v>
      </c>
      <c r="AE11">
        <v>1650.77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30083.040000000001</v>
      </c>
      <c r="AP11">
        <v>0</v>
      </c>
    </row>
    <row r="12" spans="1:42" x14ac:dyDescent="0.25">
      <c r="A12" t="s">
        <v>42</v>
      </c>
      <c r="B12">
        <v>61128</v>
      </c>
      <c r="C12" t="s">
        <v>66</v>
      </c>
      <c r="D12" t="s">
        <v>67</v>
      </c>
      <c r="E12" t="s">
        <v>63</v>
      </c>
      <c r="F12">
        <v>40</v>
      </c>
      <c r="G12">
        <v>1E-4</v>
      </c>
      <c r="H12" t="s">
        <v>61</v>
      </c>
      <c r="I12" t="s">
        <v>64</v>
      </c>
      <c r="J12">
        <v>980.37</v>
      </c>
      <c r="K12">
        <v>0</v>
      </c>
      <c r="L12">
        <v>1695.28</v>
      </c>
      <c r="M12">
        <v>0</v>
      </c>
      <c r="N12">
        <v>0</v>
      </c>
      <c r="O12">
        <v>0</v>
      </c>
      <c r="P12">
        <v>0</v>
      </c>
      <c r="Q12">
        <v>2018.45</v>
      </c>
      <c r="R12">
        <v>3626.86</v>
      </c>
      <c r="S12">
        <v>0</v>
      </c>
      <c r="T12">
        <v>0</v>
      </c>
      <c r="U12">
        <v>41940.81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25473.58</v>
      </c>
      <c r="AD12">
        <v>0</v>
      </c>
      <c r="AE12">
        <v>1045.5999999999999</v>
      </c>
      <c r="AF12">
        <v>0</v>
      </c>
      <c r="AG12">
        <v>0</v>
      </c>
      <c r="AH12">
        <v>0</v>
      </c>
      <c r="AI12">
        <v>0</v>
      </c>
      <c r="AJ12">
        <v>100</v>
      </c>
      <c r="AK12">
        <v>0</v>
      </c>
      <c r="AL12">
        <v>67.08</v>
      </c>
      <c r="AM12">
        <v>0</v>
      </c>
      <c r="AN12">
        <v>0</v>
      </c>
      <c r="AO12">
        <v>75900.58</v>
      </c>
      <c r="AP12">
        <v>0</v>
      </c>
    </row>
    <row r="13" spans="1:42" x14ac:dyDescent="0.25">
      <c r="A13" t="s">
        <v>42</v>
      </c>
      <c r="B13">
        <v>61129</v>
      </c>
      <c r="C13" t="s">
        <v>68</v>
      </c>
      <c r="D13" t="s">
        <v>44</v>
      </c>
      <c r="E13" t="s">
        <v>63</v>
      </c>
      <c r="F13">
        <v>40</v>
      </c>
      <c r="G13">
        <v>1E-4</v>
      </c>
      <c r="H13" t="s">
        <v>61</v>
      </c>
      <c r="I13" t="s">
        <v>64</v>
      </c>
      <c r="J13">
        <v>147.25</v>
      </c>
      <c r="K13">
        <v>720</v>
      </c>
      <c r="L13">
        <v>535.91999999999996</v>
      </c>
      <c r="M13">
        <v>0</v>
      </c>
      <c r="N13">
        <v>0</v>
      </c>
      <c r="O13">
        <v>0</v>
      </c>
      <c r="P13">
        <v>0</v>
      </c>
      <c r="Q13">
        <v>587.17999999999995</v>
      </c>
      <c r="R13">
        <v>530.76</v>
      </c>
      <c r="S13">
        <v>0</v>
      </c>
      <c r="T13">
        <v>0</v>
      </c>
      <c r="U13">
        <v>22717.97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13916.54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1900</v>
      </c>
      <c r="AK13">
        <v>0</v>
      </c>
      <c r="AL13">
        <v>130.6</v>
      </c>
      <c r="AM13">
        <v>0</v>
      </c>
      <c r="AN13">
        <v>0</v>
      </c>
      <c r="AO13">
        <v>40908.370000000003</v>
      </c>
      <c r="AP13">
        <v>0</v>
      </c>
    </row>
    <row r="14" spans="1:42" x14ac:dyDescent="0.25">
      <c r="A14" t="s">
        <v>42</v>
      </c>
      <c r="B14">
        <v>61202</v>
      </c>
      <c r="C14" t="s">
        <v>69</v>
      </c>
      <c r="D14" t="s">
        <v>44</v>
      </c>
      <c r="E14" t="s">
        <v>70</v>
      </c>
      <c r="F14">
        <v>40</v>
      </c>
      <c r="G14">
        <v>6.25</v>
      </c>
      <c r="H14" t="s">
        <v>61</v>
      </c>
      <c r="I14" t="s">
        <v>71</v>
      </c>
      <c r="J14">
        <v>6257.14</v>
      </c>
      <c r="K14">
        <v>5925</v>
      </c>
      <c r="L14">
        <v>1431.46</v>
      </c>
      <c r="M14">
        <v>0</v>
      </c>
      <c r="N14">
        <v>0</v>
      </c>
      <c r="O14">
        <v>0</v>
      </c>
      <c r="P14">
        <v>0</v>
      </c>
      <c r="Q14">
        <v>1319.6</v>
      </c>
      <c r="R14">
        <v>1875</v>
      </c>
      <c r="S14">
        <v>-2472.5</v>
      </c>
      <c r="T14">
        <v>0</v>
      </c>
      <c r="U14">
        <v>53229.54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25475</v>
      </c>
      <c r="AD14">
        <v>0</v>
      </c>
      <c r="AE14">
        <v>1012.85</v>
      </c>
      <c r="AF14">
        <v>-2692.4</v>
      </c>
      <c r="AG14">
        <v>0</v>
      </c>
      <c r="AH14">
        <v>0</v>
      </c>
      <c r="AI14">
        <v>0</v>
      </c>
      <c r="AJ14">
        <v>200</v>
      </c>
      <c r="AK14">
        <v>0</v>
      </c>
      <c r="AL14">
        <v>0</v>
      </c>
      <c r="AM14">
        <v>249.21</v>
      </c>
      <c r="AN14">
        <v>0</v>
      </c>
      <c r="AO14">
        <v>85303.55</v>
      </c>
      <c r="AP14">
        <v>0</v>
      </c>
    </row>
    <row r="15" spans="1:42" x14ac:dyDescent="0.25">
      <c r="A15" t="s">
        <v>42</v>
      </c>
      <c r="B15">
        <v>61187</v>
      </c>
      <c r="C15" t="s">
        <v>72</v>
      </c>
      <c r="D15" t="s">
        <v>44</v>
      </c>
      <c r="E15" t="s">
        <v>73</v>
      </c>
      <c r="F15">
        <v>40</v>
      </c>
      <c r="G15">
        <v>28.952000000000002</v>
      </c>
      <c r="H15" t="s">
        <v>61</v>
      </c>
      <c r="I15" t="s">
        <v>74</v>
      </c>
      <c r="J15">
        <v>1973.47</v>
      </c>
      <c r="K15">
        <v>37518.879999999997</v>
      </c>
      <c r="L15">
        <v>1158.0999999999999</v>
      </c>
      <c r="M15">
        <v>1626.82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1500</v>
      </c>
      <c r="AD15">
        <v>0</v>
      </c>
      <c r="AE15">
        <v>1576.53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473.37</v>
      </c>
      <c r="AL15">
        <v>0</v>
      </c>
      <c r="AM15">
        <v>0</v>
      </c>
      <c r="AN15">
        <v>0</v>
      </c>
      <c r="AO15">
        <v>43853.7</v>
      </c>
      <c r="AP15">
        <v>0</v>
      </c>
    </row>
    <row r="16" spans="1:42" x14ac:dyDescent="0.25">
      <c r="A16" t="s">
        <v>42</v>
      </c>
      <c r="B16">
        <v>61222</v>
      </c>
      <c r="C16" t="s">
        <v>75</v>
      </c>
      <c r="D16" t="s">
        <v>44</v>
      </c>
      <c r="E16" t="s">
        <v>76</v>
      </c>
      <c r="F16">
        <v>40</v>
      </c>
      <c r="G16">
        <v>6.25</v>
      </c>
      <c r="H16" t="s">
        <v>61</v>
      </c>
      <c r="I16" t="s">
        <v>77</v>
      </c>
      <c r="J16">
        <v>4927.04</v>
      </c>
      <c r="K16">
        <v>9400</v>
      </c>
      <c r="L16">
        <v>210.5</v>
      </c>
      <c r="M16">
        <v>0</v>
      </c>
      <c r="N16">
        <v>0</v>
      </c>
      <c r="O16">
        <v>0</v>
      </c>
      <c r="P16">
        <v>0</v>
      </c>
      <c r="Q16">
        <v>2373.63</v>
      </c>
      <c r="R16">
        <v>2875</v>
      </c>
      <c r="S16">
        <v>0</v>
      </c>
      <c r="T16">
        <v>0</v>
      </c>
      <c r="U16">
        <v>46547.839999999997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10942.51</v>
      </c>
      <c r="AD16">
        <v>0</v>
      </c>
      <c r="AE16">
        <v>5826.21</v>
      </c>
      <c r="AF16">
        <v>0</v>
      </c>
      <c r="AG16">
        <v>0</v>
      </c>
      <c r="AH16">
        <v>0</v>
      </c>
      <c r="AI16">
        <v>0</v>
      </c>
      <c r="AJ16">
        <v>499.18</v>
      </c>
      <c r="AK16">
        <v>0</v>
      </c>
      <c r="AL16">
        <v>183.71</v>
      </c>
      <c r="AM16">
        <v>0</v>
      </c>
      <c r="AN16">
        <v>0</v>
      </c>
      <c r="AO16">
        <v>78674.87</v>
      </c>
      <c r="AP16">
        <v>0</v>
      </c>
    </row>
    <row r="17" spans="1:42" x14ac:dyDescent="0.25">
      <c r="A17" t="s">
        <v>42</v>
      </c>
      <c r="B17">
        <v>61241</v>
      </c>
      <c r="C17" t="s">
        <v>78</v>
      </c>
      <c r="D17" t="s">
        <v>44</v>
      </c>
      <c r="E17" t="s">
        <v>79</v>
      </c>
      <c r="F17">
        <v>40</v>
      </c>
      <c r="G17">
        <v>6.25</v>
      </c>
      <c r="H17" t="s">
        <v>61</v>
      </c>
      <c r="I17" t="s">
        <v>77</v>
      </c>
      <c r="J17">
        <v>0</v>
      </c>
      <c r="K17">
        <v>9200</v>
      </c>
      <c r="L17">
        <v>268.73</v>
      </c>
      <c r="M17">
        <v>0</v>
      </c>
      <c r="N17">
        <v>0</v>
      </c>
      <c r="O17">
        <v>0</v>
      </c>
      <c r="P17">
        <v>0</v>
      </c>
      <c r="Q17">
        <v>1595.55</v>
      </c>
      <c r="R17">
        <v>0</v>
      </c>
      <c r="S17">
        <v>0</v>
      </c>
      <c r="T17">
        <v>0</v>
      </c>
      <c r="U17">
        <v>32220.16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5020.66</v>
      </c>
      <c r="AD17">
        <v>0</v>
      </c>
      <c r="AE17">
        <v>5567.73</v>
      </c>
      <c r="AF17">
        <v>0</v>
      </c>
      <c r="AG17">
        <v>0</v>
      </c>
      <c r="AH17">
        <v>0</v>
      </c>
      <c r="AI17">
        <v>0</v>
      </c>
      <c r="AJ17">
        <v>225.64</v>
      </c>
      <c r="AK17">
        <v>0</v>
      </c>
      <c r="AL17">
        <v>122.7</v>
      </c>
      <c r="AM17">
        <v>0</v>
      </c>
      <c r="AN17">
        <v>0</v>
      </c>
      <c r="AO17">
        <v>54098.47</v>
      </c>
      <c r="AP17">
        <v>0</v>
      </c>
    </row>
    <row r="18" spans="1:42" x14ac:dyDescent="0.25">
      <c r="A18" t="s">
        <v>42</v>
      </c>
      <c r="B18">
        <v>61248</v>
      </c>
      <c r="C18" t="s">
        <v>80</v>
      </c>
      <c r="D18" t="s">
        <v>49</v>
      </c>
      <c r="E18" t="s">
        <v>79</v>
      </c>
      <c r="F18">
        <v>40</v>
      </c>
      <c r="G18">
        <v>6.25</v>
      </c>
      <c r="H18" t="s">
        <v>61</v>
      </c>
      <c r="I18" t="s">
        <v>77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35.71</v>
      </c>
      <c r="AF18">
        <v>0</v>
      </c>
      <c r="AG18">
        <v>0</v>
      </c>
      <c r="AH18">
        <v>892.65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928.36</v>
      </c>
      <c r="AP18">
        <v>0</v>
      </c>
    </row>
    <row r="19" spans="1:42" x14ac:dyDescent="0.25">
      <c r="A19" t="s">
        <v>42</v>
      </c>
      <c r="B19">
        <v>61250</v>
      </c>
      <c r="C19" t="s">
        <v>81</v>
      </c>
      <c r="D19" t="s">
        <v>44</v>
      </c>
      <c r="E19" t="s">
        <v>79</v>
      </c>
      <c r="F19">
        <v>40</v>
      </c>
      <c r="G19">
        <v>3.75</v>
      </c>
      <c r="H19" t="s">
        <v>61</v>
      </c>
      <c r="I19" t="s">
        <v>77</v>
      </c>
      <c r="J19">
        <v>1832.89</v>
      </c>
      <c r="K19">
        <v>6060</v>
      </c>
      <c r="L19">
        <v>0</v>
      </c>
      <c r="M19">
        <v>0</v>
      </c>
      <c r="N19">
        <v>0</v>
      </c>
      <c r="O19">
        <v>0</v>
      </c>
      <c r="P19">
        <v>0</v>
      </c>
      <c r="Q19">
        <v>1321.23</v>
      </c>
      <c r="R19">
        <v>2870</v>
      </c>
      <c r="S19">
        <v>600</v>
      </c>
      <c r="T19">
        <v>0</v>
      </c>
      <c r="U19">
        <v>42861.19</v>
      </c>
      <c r="V19">
        <v>0</v>
      </c>
      <c r="W19">
        <v>175</v>
      </c>
      <c r="X19">
        <v>0</v>
      </c>
      <c r="Y19">
        <v>0</v>
      </c>
      <c r="Z19">
        <v>0</v>
      </c>
      <c r="AA19">
        <v>0</v>
      </c>
      <c r="AB19">
        <v>0</v>
      </c>
      <c r="AC19">
        <v>9194.49</v>
      </c>
      <c r="AD19">
        <v>0</v>
      </c>
      <c r="AE19">
        <v>487.87</v>
      </c>
      <c r="AF19">
        <v>-600</v>
      </c>
      <c r="AG19">
        <v>0</v>
      </c>
      <c r="AH19">
        <v>0</v>
      </c>
      <c r="AI19">
        <v>0</v>
      </c>
      <c r="AJ19">
        <v>200</v>
      </c>
      <c r="AK19">
        <v>0</v>
      </c>
      <c r="AL19">
        <v>817.48</v>
      </c>
      <c r="AM19">
        <v>0</v>
      </c>
      <c r="AN19">
        <v>0</v>
      </c>
      <c r="AO19">
        <v>63169.78</v>
      </c>
      <c r="AP19">
        <v>0</v>
      </c>
    </row>
    <row r="20" spans="1:42" x14ac:dyDescent="0.25">
      <c r="A20" t="s">
        <v>42</v>
      </c>
      <c r="B20">
        <v>61251</v>
      </c>
      <c r="C20" t="s">
        <v>82</v>
      </c>
      <c r="D20" t="s">
        <v>44</v>
      </c>
      <c r="E20" t="s">
        <v>79</v>
      </c>
      <c r="F20">
        <v>20</v>
      </c>
      <c r="G20">
        <v>1E-4</v>
      </c>
      <c r="H20" t="s">
        <v>61</v>
      </c>
      <c r="I20" t="s">
        <v>77</v>
      </c>
      <c r="J20">
        <v>0</v>
      </c>
      <c r="K20">
        <v>3600</v>
      </c>
      <c r="L20">
        <v>0</v>
      </c>
      <c r="M20">
        <v>0</v>
      </c>
      <c r="N20">
        <v>0</v>
      </c>
      <c r="O20">
        <v>0</v>
      </c>
      <c r="P20">
        <v>0</v>
      </c>
      <c r="Q20">
        <v>1129.3900000000001</v>
      </c>
      <c r="R20">
        <v>825</v>
      </c>
      <c r="S20">
        <v>0</v>
      </c>
      <c r="T20">
        <v>0</v>
      </c>
      <c r="U20">
        <v>33188.33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8150</v>
      </c>
      <c r="AD20">
        <v>1000</v>
      </c>
      <c r="AE20">
        <v>478.52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48371.24</v>
      </c>
      <c r="AP20">
        <v>0</v>
      </c>
    </row>
    <row r="21" spans="1:42" x14ac:dyDescent="0.25">
      <c r="A21" t="s">
        <v>42</v>
      </c>
      <c r="B21">
        <v>61252</v>
      </c>
      <c r="C21" t="s">
        <v>83</v>
      </c>
      <c r="D21" t="s">
        <v>44</v>
      </c>
      <c r="E21" t="s">
        <v>79</v>
      </c>
      <c r="F21">
        <v>40</v>
      </c>
      <c r="G21">
        <v>3.75</v>
      </c>
      <c r="H21" t="s">
        <v>61</v>
      </c>
      <c r="I21" t="s">
        <v>77</v>
      </c>
      <c r="J21">
        <v>0</v>
      </c>
      <c r="K21">
        <v>4318.12</v>
      </c>
      <c r="L21">
        <v>268.26</v>
      </c>
      <c r="M21">
        <v>0</v>
      </c>
      <c r="N21">
        <v>0</v>
      </c>
      <c r="O21">
        <v>0</v>
      </c>
      <c r="P21">
        <v>0</v>
      </c>
      <c r="Q21">
        <v>793.71</v>
      </c>
      <c r="R21">
        <v>1425</v>
      </c>
      <c r="S21">
        <v>0</v>
      </c>
      <c r="T21">
        <v>0</v>
      </c>
      <c r="U21">
        <v>25700.62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950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1890</v>
      </c>
      <c r="AK21">
        <v>0</v>
      </c>
      <c r="AL21">
        <v>58.74</v>
      </c>
      <c r="AM21">
        <v>0</v>
      </c>
      <c r="AN21">
        <v>0</v>
      </c>
      <c r="AO21">
        <v>35345.71</v>
      </c>
      <c r="AP21">
        <v>0</v>
      </c>
    </row>
    <row r="22" spans="1:42" x14ac:dyDescent="0.25">
      <c r="A22" t="s">
        <v>42</v>
      </c>
      <c r="B22">
        <v>61253</v>
      </c>
      <c r="C22" t="s">
        <v>84</v>
      </c>
      <c r="D22" t="s">
        <v>49</v>
      </c>
      <c r="E22" t="s">
        <v>79</v>
      </c>
      <c r="F22">
        <v>40</v>
      </c>
      <c r="G22">
        <v>3.75</v>
      </c>
      <c r="H22" t="s">
        <v>61</v>
      </c>
      <c r="I22" t="s">
        <v>77</v>
      </c>
      <c r="J22">
        <v>0</v>
      </c>
      <c r="K22">
        <v>1320</v>
      </c>
      <c r="L22">
        <v>0</v>
      </c>
      <c r="M22">
        <v>0</v>
      </c>
      <c r="N22">
        <v>0</v>
      </c>
      <c r="O22">
        <v>0</v>
      </c>
      <c r="P22">
        <v>2815.62</v>
      </c>
      <c r="Q22">
        <v>239.49</v>
      </c>
      <c r="R22">
        <v>0</v>
      </c>
      <c r="S22">
        <v>4911.87</v>
      </c>
      <c r="T22">
        <v>0</v>
      </c>
      <c r="U22">
        <v>4778.25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3366.06</v>
      </c>
      <c r="AD22">
        <v>0</v>
      </c>
      <c r="AE22">
        <v>617.05999999999995</v>
      </c>
      <c r="AF22">
        <v>-4911.87</v>
      </c>
      <c r="AG22">
        <v>0</v>
      </c>
      <c r="AH22">
        <v>0</v>
      </c>
      <c r="AI22">
        <v>0</v>
      </c>
      <c r="AJ22">
        <v>2290</v>
      </c>
      <c r="AK22">
        <v>0</v>
      </c>
      <c r="AL22">
        <v>24.69</v>
      </c>
      <c r="AM22">
        <v>0</v>
      </c>
      <c r="AN22">
        <v>0</v>
      </c>
      <c r="AO22">
        <v>15426.48</v>
      </c>
      <c r="AP22">
        <v>0</v>
      </c>
    </row>
    <row r="23" spans="1:42" x14ac:dyDescent="0.25">
      <c r="A23" t="s">
        <v>42</v>
      </c>
      <c r="B23">
        <v>61254</v>
      </c>
      <c r="C23" t="s">
        <v>85</v>
      </c>
      <c r="D23" t="s">
        <v>44</v>
      </c>
      <c r="E23" t="s">
        <v>79</v>
      </c>
      <c r="F23">
        <v>40</v>
      </c>
      <c r="G23">
        <v>6.25</v>
      </c>
      <c r="H23" t="s">
        <v>61</v>
      </c>
      <c r="I23" t="s">
        <v>77</v>
      </c>
      <c r="J23">
        <v>0</v>
      </c>
      <c r="K23">
        <v>4650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2400.5100000000002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7050.51</v>
      </c>
      <c r="AP23">
        <v>0</v>
      </c>
    </row>
    <row r="24" spans="1:42" x14ac:dyDescent="0.25">
      <c r="A24" t="s">
        <v>42</v>
      </c>
      <c r="B24">
        <v>66216</v>
      </c>
      <c r="C24" t="s">
        <v>86</v>
      </c>
      <c r="D24" t="s">
        <v>44</v>
      </c>
      <c r="E24" t="s">
        <v>87</v>
      </c>
      <c r="F24">
        <v>40</v>
      </c>
      <c r="G24">
        <v>3.75</v>
      </c>
      <c r="H24" t="s">
        <v>61</v>
      </c>
      <c r="I24" t="s">
        <v>77</v>
      </c>
      <c r="J24">
        <v>2170.52</v>
      </c>
      <c r="K24">
        <v>5730</v>
      </c>
      <c r="L24">
        <v>273.12</v>
      </c>
      <c r="M24">
        <v>0</v>
      </c>
      <c r="N24">
        <v>0</v>
      </c>
      <c r="O24">
        <v>0</v>
      </c>
      <c r="P24">
        <v>0</v>
      </c>
      <c r="Q24">
        <v>2045.94</v>
      </c>
      <c r="R24">
        <v>2870</v>
      </c>
      <c r="S24">
        <v>1635.86</v>
      </c>
      <c r="T24">
        <v>0</v>
      </c>
      <c r="U24">
        <v>37061.1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12106.13</v>
      </c>
      <c r="AD24">
        <v>0</v>
      </c>
      <c r="AE24">
        <v>4097.8</v>
      </c>
      <c r="AF24">
        <v>-1535.86</v>
      </c>
      <c r="AG24">
        <v>0</v>
      </c>
      <c r="AH24">
        <v>0</v>
      </c>
      <c r="AI24">
        <v>0</v>
      </c>
      <c r="AJ24">
        <v>600</v>
      </c>
      <c r="AK24">
        <v>0</v>
      </c>
      <c r="AL24">
        <v>95.68</v>
      </c>
      <c r="AM24">
        <v>0</v>
      </c>
      <c r="AN24">
        <v>0</v>
      </c>
      <c r="AO24">
        <v>64884.09</v>
      </c>
      <c r="AP24">
        <v>0</v>
      </c>
    </row>
    <row r="25" spans="1:42" x14ac:dyDescent="0.25">
      <c r="A25" t="s">
        <v>42</v>
      </c>
      <c r="B25">
        <v>62052</v>
      </c>
      <c r="C25" t="s">
        <v>88</v>
      </c>
      <c r="D25" t="s">
        <v>44</v>
      </c>
      <c r="E25" t="s">
        <v>89</v>
      </c>
      <c r="F25">
        <v>40</v>
      </c>
      <c r="G25">
        <v>29.807700000000001</v>
      </c>
      <c r="H25" t="s">
        <v>90</v>
      </c>
      <c r="I25" t="s">
        <v>55</v>
      </c>
      <c r="J25">
        <v>0</v>
      </c>
      <c r="K25">
        <v>20492.830000000002</v>
      </c>
      <c r="L25">
        <v>730.29</v>
      </c>
      <c r="M25">
        <v>0</v>
      </c>
      <c r="N25">
        <v>0</v>
      </c>
      <c r="O25">
        <v>0</v>
      </c>
      <c r="P25">
        <v>0</v>
      </c>
      <c r="Q25">
        <v>0</v>
      </c>
      <c r="R25">
        <v>1350</v>
      </c>
      <c r="S25">
        <v>0</v>
      </c>
      <c r="T25">
        <v>0</v>
      </c>
      <c r="U25">
        <v>100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3600</v>
      </c>
      <c r="AD25">
        <v>0</v>
      </c>
      <c r="AE25">
        <v>340.09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608.85</v>
      </c>
      <c r="AM25">
        <v>166.14</v>
      </c>
      <c r="AN25">
        <v>0</v>
      </c>
      <c r="AO25">
        <v>26613.21</v>
      </c>
      <c r="AP25">
        <v>0</v>
      </c>
    </row>
    <row r="26" spans="1:42" x14ac:dyDescent="0.25">
      <c r="A26" t="s">
        <v>42</v>
      </c>
      <c r="B26">
        <v>62202</v>
      </c>
      <c r="C26" t="s">
        <v>91</v>
      </c>
      <c r="D26" t="s">
        <v>49</v>
      </c>
      <c r="E26" t="s">
        <v>89</v>
      </c>
      <c r="F26">
        <v>40</v>
      </c>
      <c r="G26">
        <v>24.038499999999999</v>
      </c>
      <c r="H26" t="s">
        <v>90</v>
      </c>
      <c r="I26" t="s">
        <v>55</v>
      </c>
      <c r="J26">
        <v>1048.1300000000001</v>
      </c>
      <c r="K26">
        <v>17442.330000000002</v>
      </c>
      <c r="L26">
        <v>961.55</v>
      </c>
      <c r="M26">
        <v>0</v>
      </c>
      <c r="N26">
        <v>0</v>
      </c>
      <c r="O26">
        <v>0</v>
      </c>
      <c r="P26">
        <v>0</v>
      </c>
      <c r="Q26">
        <v>0</v>
      </c>
      <c r="R26">
        <v>2000</v>
      </c>
      <c r="S26">
        <v>0</v>
      </c>
      <c r="T26">
        <v>0</v>
      </c>
      <c r="U26">
        <v>823.51</v>
      </c>
      <c r="V26">
        <v>0</v>
      </c>
      <c r="W26">
        <v>0</v>
      </c>
      <c r="X26">
        <v>0</v>
      </c>
      <c r="Y26">
        <v>8400</v>
      </c>
      <c r="Z26">
        <v>0</v>
      </c>
      <c r="AA26">
        <v>0</v>
      </c>
      <c r="AB26">
        <v>5315.39</v>
      </c>
      <c r="AC26">
        <v>16950</v>
      </c>
      <c r="AD26">
        <v>0</v>
      </c>
      <c r="AE26">
        <v>2731.06</v>
      </c>
      <c r="AF26">
        <v>0</v>
      </c>
      <c r="AG26">
        <v>-10950</v>
      </c>
      <c r="AH26">
        <v>0</v>
      </c>
      <c r="AI26">
        <v>250</v>
      </c>
      <c r="AJ26">
        <v>0</v>
      </c>
      <c r="AK26">
        <v>0</v>
      </c>
      <c r="AL26">
        <v>143.57</v>
      </c>
      <c r="AM26">
        <v>184.6</v>
      </c>
      <c r="AN26">
        <v>0</v>
      </c>
      <c r="AO26">
        <v>43923.839999999997</v>
      </c>
      <c r="AP26">
        <v>0</v>
      </c>
    </row>
    <row r="27" spans="1:42" x14ac:dyDescent="0.25">
      <c r="A27" t="s">
        <v>42</v>
      </c>
      <c r="B27">
        <v>61116</v>
      </c>
      <c r="C27" t="s">
        <v>92</v>
      </c>
      <c r="D27" t="s">
        <v>44</v>
      </c>
      <c r="E27" t="s">
        <v>63</v>
      </c>
      <c r="F27">
        <v>40</v>
      </c>
      <c r="G27">
        <v>1E-4</v>
      </c>
      <c r="H27" t="s">
        <v>90</v>
      </c>
      <c r="I27" t="s">
        <v>64</v>
      </c>
      <c r="J27">
        <v>11476.09</v>
      </c>
      <c r="K27">
        <v>0</v>
      </c>
      <c r="L27">
        <v>2951.25</v>
      </c>
      <c r="M27">
        <v>0</v>
      </c>
      <c r="N27">
        <v>0</v>
      </c>
      <c r="O27">
        <v>0</v>
      </c>
      <c r="P27">
        <v>0</v>
      </c>
      <c r="Q27">
        <v>6375.14</v>
      </c>
      <c r="R27">
        <v>3626.86</v>
      </c>
      <c r="S27">
        <v>0</v>
      </c>
      <c r="T27">
        <v>0</v>
      </c>
      <c r="U27">
        <v>70796.11</v>
      </c>
      <c r="V27">
        <v>0</v>
      </c>
      <c r="W27">
        <v>0</v>
      </c>
      <c r="X27">
        <v>6515.38</v>
      </c>
      <c r="Y27">
        <v>0</v>
      </c>
      <c r="Z27">
        <v>0</v>
      </c>
      <c r="AA27">
        <v>0</v>
      </c>
      <c r="AB27">
        <v>0</v>
      </c>
      <c r="AC27">
        <v>51208.58</v>
      </c>
      <c r="AD27">
        <v>0</v>
      </c>
      <c r="AE27">
        <v>15168.05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156641.37</v>
      </c>
      <c r="AP27">
        <v>0</v>
      </c>
    </row>
    <row r="28" spans="1:42" x14ac:dyDescent="0.25">
      <c r="A28" t="s">
        <v>42</v>
      </c>
      <c r="B28">
        <v>61189</v>
      </c>
      <c r="C28" t="s">
        <v>93</v>
      </c>
      <c r="D28" t="s">
        <v>49</v>
      </c>
      <c r="E28" t="s">
        <v>94</v>
      </c>
      <c r="F28">
        <v>40</v>
      </c>
      <c r="G28">
        <v>21.5</v>
      </c>
      <c r="H28" t="s">
        <v>90</v>
      </c>
      <c r="I28" t="s">
        <v>74</v>
      </c>
      <c r="J28">
        <v>0</v>
      </c>
      <c r="K28">
        <v>10234</v>
      </c>
      <c r="L28">
        <v>0</v>
      </c>
      <c r="M28">
        <v>470.21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1763.79</v>
      </c>
      <c r="AC28">
        <v>0</v>
      </c>
      <c r="AD28">
        <v>0</v>
      </c>
      <c r="AE28">
        <v>727.75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564.39</v>
      </c>
      <c r="AL28">
        <v>0</v>
      </c>
      <c r="AM28">
        <v>0</v>
      </c>
      <c r="AN28">
        <v>0</v>
      </c>
      <c r="AO28">
        <v>13760.14</v>
      </c>
      <c r="AP28">
        <v>0</v>
      </c>
    </row>
    <row r="29" spans="1:42" x14ac:dyDescent="0.25">
      <c r="A29" t="s">
        <v>42</v>
      </c>
      <c r="B29">
        <v>61246</v>
      </c>
      <c r="C29" t="s">
        <v>95</v>
      </c>
      <c r="D29" t="s">
        <v>49</v>
      </c>
      <c r="E29" t="s">
        <v>87</v>
      </c>
      <c r="F29">
        <v>40</v>
      </c>
      <c r="G29">
        <v>3.75</v>
      </c>
      <c r="H29" t="s">
        <v>90</v>
      </c>
      <c r="I29" t="s">
        <v>77</v>
      </c>
      <c r="J29">
        <v>605.35</v>
      </c>
      <c r="K29">
        <v>1680</v>
      </c>
      <c r="L29">
        <v>456.57</v>
      </c>
      <c r="M29">
        <v>0</v>
      </c>
      <c r="N29">
        <v>0</v>
      </c>
      <c r="O29">
        <v>0</v>
      </c>
      <c r="P29">
        <v>0</v>
      </c>
      <c r="Q29">
        <v>260.38</v>
      </c>
      <c r="R29">
        <v>910</v>
      </c>
      <c r="S29">
        <v>713.36</v>
      </c>
      <c r="T29">
        <v>0</v>
      </c>
      <c r="U29">
        <v>9920.39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1900</v>
      </c>
      <c r="AD29">
        <v>0</v>
      </c>
      <c r="AE29">
        <v>3378.54</v>
      </c>
      <c r="AF29">
        <v>-1013.36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18205.88</v>
      </c>
      <c r="AP29">
        <v>0</v>
      </c>
    </row>
    <row r="30" spans="1:42" x14ac:dyDescent="0.25">
      <c r="A30" t="s">
        <v>42</v>
      </c>
      <c r="B30">
        <v>61255</v>
      </c>
      <c r="C30" t="s">
        <v>96</v>
      </c>
      <c r="D30" t="s">
        <v>44</v>
      </c>
      <c r="E30" t="s">
        <v>87</v>
      </c>
      <c r="F30">
        <v>40</v>
      </c>
      <c r="G30">
        <v>3.75</v>
      </c>
      <c r="H30" t="s">
        <v>90</v>
      </c>
      <c r="I30" t="s">
        <v>77</v>
      </c>
      <c r="J30">
        <v>0</v>
      </c>
      <c r="K30">
        <v>1020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2477.4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400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3897.4</v>
      </c>
      <c r="AP30">
        <v>0</v>
      </c>
    </row>
    <row r="31" spans="1:42" x14ac:dyDescent="0.25">
      <c r="A31" t="s">
        <v>42</v>
      </c>
      <c r="B31">
        <v>62217</v>
      </c>
      <c r="C31" t="s">
        <v>97</v>
      </c>
      <c r="D31" t="s">
        <v>49</v>
      </c>
      <c r="E31" t="s">
        <v>87</v>
      </c>
      <c r="F31">
        <v>40</v>
      </c>
      <c r="G31">
        <v>6.25</v>
      </c>
      <c r="H31" t="s">
        <v>90</v>
      </c>
      <c r="I31" t="s">
        <v>77</v>
      </c>
      <c r="J31">
        <v>0</v>
      </c>
      <c r="K31">
        <v>700</v>
      </c>
      <c r="L31">
        <v>0</v>
      </c>
      <c r="M31">
        <v>0</v>
      </c>
      <c r="N31">
        <v>0</v>
      </c>
      <c r="O31">
        <v>0</v>
      </c>
      <c r="P31">
        <v>0</v>
      </c>
      <c r="Q31">
        <v>734.04</v>
      </c>
      <c r="R31">
        <v>196</v>
      </c>
      <c r="S31">
        <v>137.86000000000001</v>
      </c>
      <c r="T31">
        <v>0</v>
      </c>
      <c r="U31">
        <v>5383.65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295</v>
      </c>
      <c r="AD31">
        <v>0</v>
      </c>
      <c r="AE31">
        <v>2027.29</v>
      </c>
      <c r="AF31">
        <v>-815.72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8658.1200000000008</v>
      </c>
      <c r="AP31">
        <v>0</v>
      </c>
    </row>
    <row r="32" spans="1:42" x14ac:dyDescent="0.25">
      <c r="A32" t="s">
        <v>42</v>
      </c>
      <c r="B32">
        <v>62219</v>
      </c>
      <c r="C32" t="s">
        <v>98</v>
      </c>
      <c r="D32" t="s">
        <v>49</v>
      </c>
      <c r="E32" t="s">
        <v>87</v>
      </c>
      <c r="F32">
        <v>40</v>
      </c>
      <c r="G32">
        <v>6.25</v>
      </c>
      <c r="H32" t="s">
        <v>90</v>
      </c>
      <c r="I32" t="s">
        <v>77</v>
      </c>
      <c r="J32">
        <v>0</v>
      </c>
      <c r="K32">
        <v>700</v>
      </c>
      <c r="L32">
        <v>2820.83</v>
      </c>
      <c r="M32">
        <v>0</v>
      </c>
      <c r="N32">
        <v>0</v>
      </c>
      <c r="O32">
        <v>0</v>
      </c>
      <c r="P32">
        <v>0</v>
      </c>
      <c r="Q32">
        <v>1345.56</v>
      </c>
      <c r="R32">
        <v>0</v>
      </c>
      <c r="S32">
        <v>0</v>
      </c>
      <c r="T32">
        <v>0</v>
      </c>
      <c r="U32">
        <v>5801.9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2695</v>
      </c>
      <c r="AD32">
        <v>0</v>
      </c>
      <c r="AE32">
        <v>3040.48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16403.77</v>
      </c>
      <c r="AP32">
        <v>0</v>
      </c>
    </row>
    <row r="33" spans="1:42" x14ac:dyDescent="0.25">
      <c r="A33" t="s">
        <v>42</v>
      </c>
      <c r="B33">
        <v>62221</v>
      </c>
      <c r="C33" t="s">
        <v>99</v>
      </c>
      <c r="D33" t="s">
        <v>49</v>
      </c>
      <c r="E33" t="s">
        <v>87</v>
      </c>
      <c r="F33">
        <v>40</v>
      </c>
      <c r="G33">
        <v>3.75</v>
      </c>
      <c r="H33" t="s">
        <v>90</v>
      </c>
      <c r="I33" t="s">
        <v>77</v>
      </c>
      <c r="J33">
        <v>0</v>
      </c>
      <c r="K33">
        <v>2220</v>
      </c>
      <c r="L33">
        <v>195.36</v>
      </c>
      <c r="M33">
        <v>0</v>
      </c>
      <c r="N33">
        <v>0</v>
      </c>
      <c r="O33">
        <v>0</v>
      </c>
      <c r="P33">
        <v>0</v>
      </c>
      <c r="Q33">
        <v>256.73</v>
      </c>
      <c r="R33">
        <v>840</v>
      </c>
      <c r="S33">
        <v>0</v>
      </c>
      <c r="T33">
        <v>0</v>
      </c>
      <c r="U33">
        <v>11498.07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1780</v>
      </c>
      <c r="AD33">
        <v>0</v>
      </c>
      <c r="AE33">
        <v>915.39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17705.55</v>
      </c>
      <c r="AP33">
        <v>0</v>
      </c>
    </row>
    <row r="34" spans="1:42" x14ac:dyDescent="0.25">
      <c r="A34" t="s">
        <v>42</v>
      </c>
      <c r="B34">
        <v>62222</v>
      </c>
      <c r="C34" t="s">
        <v>100</v>
      </c>
      <c r="D34" t="s">
        <v>44</v>
      </c>
      <c r="E34" t="s">
        <v>87</v>
      </c>
      <c r="F34">
        <v>40</v>
      </c>
      <c r="G34">
        <v>3.75</v>
      </c>
      <c r="H34" t="s">
        <v>101</v>
      </c>
      <c r="I34" t="s">
        <v>77</v>
      </c>
      <c r="J34">
        <v>0</v>
      </c>
      <c r="K34">
        <v>3210</v>
      </c>
      <c r="L34">
        <v>427.12</v>
      </c>
      <c r="M34">
        <v>0</v>
      </c>
      <c r="N34">
        <v>0</v>
      </c>
      <c r="O34">
        <v>0</v>
      </c>
      <c r="P34">
        <v>0</v>
      </c>
      <c r="Q34">
        <v>579.59</v>
      </c>
      <c r="R34">
        <v>1050</v>
      </c>
      <c r="S34">
        <v>0</v>
      </c>
      <c r="T34">
        <v>0</v>
      </c>
      <c r="U34">
        <v>20446.13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2700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1912</v>
      </c>
      <c r="AK34">
        <v>0</v>
      </c>
      <c r="AL34">
        <v>50.46</v>
      </c>
      <c r="AM34">
        <v>0</v>
      </c>
      <c r="AN34">
        <v>0</v>
      </c>
      <c r="AO34">
        <v>30324.84</v>
      </c>
      <c r="AP34">
        <v>0</v>
      </c>
    </row>
    <row r="35" spans="1:42" x14ac:dyDescent="0.25">
      <c r="A35" t="s">
        <v>42</v>
      </c>
      <c r="B35">
        <v>63032</v>
      </c>
      <c r="C35" t="s">
        <v>102</v>
      </c>
      <c r="D35" t="s">
        <v>44</v>
      </c>
      <c r="E35" t="s">
        <v>103</v>
      </c>
      <c r="F35">
        <v>40</v>
      </c>
      <c r="G35">
        <v>41.346200000000003</v>
      </c>
      <c r="H35" t="s">
        <v>104</v>
      </c>
      <c r="I35" t="s">
        <v>105</v>
      </c>
      <c r="J35">
        <v>3937.84</v>
      </c>
      <c r="K35">
        <v>61595.35</v>
      </c>
      <c r="L35">
        <v>785.57</v>
      </c>
      <c r="M35">
        <v>0</v>
      </c>
      <c r="N35">
        <v>0</v>
      </c>
      <c r="O35">
        <v>0</v>
      </c>
      <c r="P35">
        <v>0</v>
      </c>
      <c r="Q35">
        <v>0</v>
      </c>
      <c r="R35">
        <v>4199.91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6708</v>
      </c>
      <c r="AA35">
        <v>0</v>
      </c>
      <c r="AB35">
        <v>0</v>
      </c>
      <c r="AC35">
        <v>42583</v>
      </c>
      <c r="AD35">
        <v>0</v>
      </c>
      <c r="AE35">
        <v>707.16</v>
      </c>
      <c r="AF35">
        <v>0</v>
      </c>
      <c r="AG35">
        <v>0</v>
      </c>
      <c r="AH35">
        <v>0</v>
      </c>
      <c r="AI35">
        <v>134.62</v>
      </c>
      <c r="AJ35">
        <v>0</v>
      </c>
      <c r="AK35">
        <v>0</v>
      </c>
      <c r="AL35">
        <v>764.64</v>
      </c>
      <c r="AM35">
        <v>359.97</v>
      </c>
      <c r="AN35">
        <v>0</v>
      </c>
      <c r="AO35">
        <v>116713.61</v>
      </c>
      <c r="AP35">
        <v>0</v>
      </c>
    </row>
    <row r="36" spans="1:42" x14ac:dyDescent="0.25">
      <c r="A36" t="s">
        <v>42</v>
      </c>
      <c r="B36">
        <v>61901</v>
      </c>
      <c r="C36" t="s">
        <v>106</v>
      </c>
      <c r="D36" t="s">
        <v>44</v>
      </c>
      <c r="E36" t="s">
        <v>107</v>
      </c>
      <c r="F36">
        <v>40</v>
      </c>
      <c r="G36">
        <v>23.94</v>
      </c>
      <c r="H36" t="s">
        <v>108</v>
      </c>
      <c r="I36" t="s">
        <v>109</v>
      </c>
      <c r="J36">
        <v>2955.72</v>
      </c>
      <c r="K36">
        <v>33995.279999999999</v>
      </c>
      <c r="L36">
        <v>766.08</v>
      </c>
      <c r="M36">
        <v>1530.72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2813.07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304.52</v>
      </c>
      <c r="AL36">
        <v>155.52000000000001</v>
      </c>
      <c r="AM36">
        <v>378.43</v>
      </c>
      <c r="AN36">
        <v>0</v>
      </c>
      <c r="AO36">
        <v>39409.67</v>
      </c>
      <c r="AP36">
        <v>0</v>
      </c>
    </row>
    <row r="37" spans="1:42" x14ac:dyDescent="0.25">
      <c r="A37" t="s">
        <v>42</v>
      </c>
      <c r="B37">
        <v>61907</v>
      </c>
      <c r="C37" t="s">
        <v>110</v>
      </c>
      <c r="D37" t="s">
        <v>44</v>
      </c>
      <c r="E37" t="s">
        <v>111</v>
      </c>
      <c r="F37">
        <v>30</v>
      </c>
      <c r="G37">
        <v>22.28</v>
      </c>
      <c r="H37" t="s">
        <v>108</v>
      </c>
      <c r="I37" t="s">
        <v>109</v>
      </c>
      <c r="J37">
        <v>0</v>
      </c>
      <c r="K37">
        <v>3154.85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3154.85</v>
      </c>
      <c r="AP37">
        <v>0</v>
      </c>
    </row>
    <row r="38" spans="1:42" x14ac:dyDescent="0.25">
      <c r="A38" t="s">
        <v>42</v>
      </c>
      <c r="B38">
        <v>63021</v>
      </c>
      <c r="C38" t="s">
        <v>112</v>
      </c>
      <c r="D38" t="s">
        <v>44</v>
      </c>
      <c r="E38" t="s">
        <v>113</v>
      </c>
      <c r="F38">
        <v>40</v>
      </c>
      <c r="G38">
        <v>20.673100000000002</v>
      </c>
      <c r="H38" t="s">
        <v>108</v>
      </c>
      <c r="I38" t="s">
        <v>114</v>
      </c>
      <c r="J38">
        <v>5038.0200000000004</v>
      </c>
      <c r="K38">
        <v>29924.17</v>
      </c>
      <c r="L38">
        <v>273.56</v>
      </c>
      <c r="M38">
        <v>0</v>
      </c>
      <c r="N38">
        <v>486.01</v>
      </c>
      <c r="O38">
        <v>0</v>
      </c>
      <c r="P38">
        <v>0</v>
      </c>
      <c r="Q38">
        <v>2453.5500000000002</v>
      </c>
      <c r="R38">
        <v>2337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24172.44</v>
      </c>
      <c r="AD38">
        <v>0</v>
      </c>
      <c r="AE38">
        <v>9863.43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69510.16</v>
      </c>
      <c r="AP38">
        <v>0</v>
      </c>
    </row>
    <row r="39" spans="1:42" x14ac:dyDescent="0.25">
      <c r="A39" t="s">
        <v>42</v>
      </c>
      <c r="B39">
        <v>63029</v>
      </c>
      <c r="C39" t="s">
        <v>115</v>
      </c>
      <c r="D39" t="s">
        <v>44</v>
      </c>
      <c r="E39" t="s">
        <v>113</v>
      </c>
      <c r="F39">
        <v>40</v>
      </c>
      <c r="G39">
        <v>20.673100000000002</v>
      </c>
      <c r="H39" t="s">
        <v>108</v>
      </c>
      <c r="I39" t="s">
        <v>114</v>
      </c>
      <c r="J39">
        <v>6907.63</v>
      </c>
      <c r="K39">
        <v>31092.2</v>
      </c>
      <c r="L39">
        <v>1258.9000000000001</v>
      </c>
      <c r="M39">
        <v>0</v>
      </c>
      <c r="N39">
        <v>0</v>
      </c>
      <c r="O39">
        <v>0</v>
      </c>
      <c r="P39">
        <v>0</v>
      </c>
      <c r="Q39">
        <v>3747.14</v>
      </c>
      <c r="R39">
        <v>2337</v>
      </c>
      <c r="S39">
        <v>0</v>
      </c>
      <c r="T39">
        <v>0</v>
      </c>
      <c r="U39">
        <v>0</v>
      </c>
      <c r="V39">
        <v>0</v>
      </c>
      <c r="W39">
        <v>150</v>
      </c>
      <c r="X39">
        <v>0</v>
      </c>
      <c r="Y39">
        <v>0</v>
      </c>
      <c r="Z39">
        <v>0</v>
      </c>
      <c r="AA39">
        <v>0</v>
      </c>
      <c r="AB39">
        <v>0</v>
      </c>
      <c r="AC39">
        <v>47081.58</v>
      </c>
      <c r="AD39">
        <v>0</v>
      </c>
      <c r="AE39">
        <v>8771.7800000000007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116.93</v>
      </c>
      <c r="AM39">
        <v>0</v>
      </c>
      <c r="AN39">
        <v>0</v>
      </c>
      <c r="AO39">
        <v>94438.6</v>
      </c>
      <c r="AP39">
        <v>0</v>
      </c>
    </row>
    <row r="40" spans="1:42" x14ac:dyDescent="0.25">
      <c r="A40" t="s">
        <v>42</v>
      </c>
      <c r="B40">
        <v>63043</v>
      </c>
      <c r="C40" t="s">
        <v>116</v>
      </c>
      <c r="D40" t="s">
        <v>44</v>
      </c>
      <c r="E40" t="s">
        <v>113</v>
      </c>
      <c r="F40">
        <v>40</v>
      </c>
      <c r="G40">
        <v>20.192299999999999</v>
      </c>
      <c r="H40" t="s">
        <v>108</v>
      </c>
      <c r="I40" t="s">
        <v>114</v>
      </c>
      <c r="J40">
        <v>0</v>
      </c>
      <c r="K40">
        <v>29399.9</v>
      </c>
      <c r="L40">
        <v>1310.01</v>
      </c>
      <c r="M40">
        <v>0</v>
      </c>
      <c r="N40">
        <v>241.72</v>
      </c>
      <c r="O40">
        <v>0</v>
      </c>
      <c r="P40">
        <v>0</v>
      </c>
      <c r="Q40">
        <v>1375.41</v>
      </c>
      <c r="R40">
        <v>0</v>
      </c>
      <c r="S40">
        <v>0</v>
      </c>
      <c r="T40">
        <v>0</v>
      </c>
      <c r="U40">
        <v>0</v>
      </c>
      <c r="V40">
        <v>1229.92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9933.7999999999993</v>
      </c>
      <c r="AD40">
        <v>0</v>
      </c>
      <c r="AE40">
        <v>3018.97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46509.73</v>
      </c>
      <c r="AP40">
        <v>0</v>
      </c>
    </row>
    <row r="41" spans="1:42" x14ac:dyDescent="0.25">
      <c r="A41" t="s">
        <v>42</v>
      </c>
      <c r="B41">
        <v>63045</v>
      </c>
      <c r="C41" t="s">
        <v>117</v>
      </c>
      <c r="D41" t="s">
        <v>44</v>
      </c>
      <c r="E41" t="s">
        <v>113</v>
      </c>
      <c r="F41">
        <v>40</v>
      </c>
      <c r="G41">
        <v>21.1538</v>
      </c>
      <c r="H41" t="s">
        <v>108</v>
      </c>
      <c r="I41" t="s">
        <v>114</v>
      </c>
      <c r="J41">
        <v>0</v>
      </c>
      <c r="K41">
        <v>20307.599999999999</v>
      </c>
      <c r="L41">
        <v>0</v>
      </c>
      <c r="M41">
        <v>0</v>
      </c>
      <c r="N41">
        <v>0</v>
      </c>
      <c r="O41">
        <v>0</v>
      </c>
      <c r="P41">
        <v>0</v>
      </c>
      <c r="Q41">
        <v>357.27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11202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31866.87</v>
      </c>
      <c r="AP41">
        <v>0</v>
      </c>
    </row>
    <row r="42" spans="1:42" x14ac:dyDescent="0.25">
      <c r="A42" t="s">
        <v>42</v>
      </c>
      <c r="B42">
        <v>63046</v>
      </c>
      <c r="C42" t="s">
        <v>118</v>
      </c>
      <c r="D42" t="s">
        <v>49</v>
      </c>
      <c r="E42" t="s">
        <v>119</v>
      </c>
      <c r="F42">
        <v>40</v>
      </c>
      <c r="G42">
        <v>22.5</v>
      </c>
      <c r="H42" t="s">
        <v>108</v>
      </c>
      <c r="I42" t="s">
        <v>114</v>
      </c>
      <c r="J42">
        <v>0</v>
      </c>
      <c r="K42">
        <v>9078.75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363.15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9441.9</v>
      </c>
      <c r="AP42">
        <v>0</v>
      </c>
    </row>
    <row r="43" spans="1:42" x14ac:dyDescent="0.25">
      <c r="A43" t="s">
        <v>42</v>
      </c>
      <c r="B43">
        <v>63101</v>
      </c>
      <c r="C43" t="s">
        <v>120</v>
      </c>
      <c r="D43" t="s">
        <v>67</v>
      </c>
      <c r="E43" t="s">
        <v>121</v>
      </c>
      <c r="F43">
        <v>40</v>
      </c>
      <c r="G43">
        <v>20.28</v>
      </c>
      <c r="H43" t="s">
        <v>108</v>
      </c>
      <c r="I43" t="s">
        <v>122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42</v>
      </c>
      <c r="B44">
        <v>63102</v>
      </c>
      <c r="C44" t="s">
        <v>123</v>
      </c>
      <c r="D44" t="s">
        <v>44</v>
      </c>
      <c r="E44" t="s">
        <v>124</v>
      </c>
      <c r="F44">
        <v>40</v>
      </c>
      <c r="G44">
        <v>27.3184</v>
      </c>
      <c r="H44" t="s">
        <v>108</v>
      </c>
      <c r="I44" t="s">
        <v>122</v>
      </c>
      <c r="J44">
        <v>3376.1</v>
      </c>
      <c r="K44">
        <v>36716.03</v>
      </c>
      <c r="L44">
        <v>655.65</v>
      </c>
      <c r="M44">
        <v>1748.39</v>
      </c>
      <c r="N44">
        <v>655.64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5236.93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45012.639999999999</v>
      </c>
      <c r="AP44">
        <v>0</v>
      </c>
    </row>
    <row r="45" spans="1:42" x14ac:dyDescent="0.25">
      <c r="A45" t="s">
        <v>42</v>
      </c>
      <c r="B45">
        <v>63110</v>
      </c>
      <c r="C45" t="s">
        <v>125</v>
      </c>
      <c r="D45" t="s">
        <v>44</v>
      </c>
      <c r="E45" t="s">
        <v>126</v>
      </c>
      <c r="F45">
        <v>40</v>
      </c>
      <c r="G45">
        <v>39.14</v>
      </c>
      <c r="H45" t="s">
        <v>108</v>
      </c>
      <c r="I45" t="s">
        <v>127</v>
      </c>
      <c r="J45">
        <v>3559.53</v>
      </c>
      <c r="K45">
        <v>55711.87</v>
      </c>
      <c r="L45">
        <v>763.23</v>
      </c>
      <c r="M45">
        <v>2504.96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6650.13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5559.84</v>
      </c>
      <c r="AL45">
        <v>0</v>
      </c>
      <c r="AM45">
        <v>0</v>
      </c>
      <c r="AN45">
        <v>0</v>
      </c>
      <c r="AO45">
        <v>71190.03</v>
      </c>
      <c r="AP45">
        <v>0</v>
      </c>
    </row>
    <row r="46" spans="1:42" x14ac:dyDescent="0.25">
      <c r="A46" t="s">
        <v>42</v>
      </c>
      <c r="B46">
        <v>63098</v>
      </c>
      <c r="C46" t="s">
        <v>128</v>
      </c>
      <c r="D46" t="s">
        <v>49</v>
      </c>
      <c r="E46" t="s">
        <v>129</v>
      </c>
      <c r="F46">
        <v>40</v>
      </c>
      <c r="G46">
        <v>22.52</v>
      </c>
      <c r="H46" t="s">
        <v>108</v>
      </c>
      <c r="I46" t="s">
        <v>130</v>
      </c>
      <c r="J46">
        <v>47.14</v>
      </c>
      <c r="K46">
        <v>6181.74</v>
      </c>
      <c r="L46">
        <v>0</v>
      </c>
      <c r="M46">
        <v>524.94000000000005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692.16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7398.84</v>
      </c>
      <c r="AP46">
        <v>0</v>
      </c>
    </row>
    <row r="47" spans="1:42" x14ac:dyDescent="0.25">
      <c r="A47" t="s">
        <v>42</v>
      </c>
      <c r="B47">
        <v>63103</v>
      </c>
      <c r="C47" t="s">
        <v>131</v>
      </c>
      <c r="D47" t="s">
        <v>44</v>
      </c>
      <c r="E47" t="s">
        <v>126</v>
      </c>
      <c r="F47">
        <v>40</v>
      </c>
      <c r="G47">
        <v>39.14</v>
      </c>
      <c r="H47" t="s">
        <v>108</v>
      </c>
      <c r="I47" t="s">
        <v>130</v>
      </c>
      <c r="J47">
        <v>4617.47</v>
      </c>
      <c r="K47">
        <v>51703.95</v>
      </c>
      <c r="L47">
        <v>313.12</v>
      </c>
      <c r="M47">
        <v>1565.6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7766.44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217.23</v>
      </c>
      <c r="AL47">
        <v>0</v>
      </c>
      <c r="AM47">
        <v>0</v>
      </c>
      <c r="AN47">
        <v>0</v>
      </c>
      <c r="AO47">
        <v>61566.34</v>
      </c>
      <c r="AP47">
        <v>0</v>
      </c>
    </row>
    <row r="48" spans="1:42" x14ac:dyDescent="0.25">
      <c r="A48" t="s">
        <v>42</v>
      </c>
      <c r="B48">
        <v>63104</v>
      </c>
      <c r="C48" t="s">
        <v>132</v>
      </c>
      <c r="D48" t="s">
        <v>44</v>
      </c>
      <c r="E48" t="s">
        <v>133</v>
      </c>
      <c r="F48">
        <v>40</v>
      </c>
      <c r="G48">
        <v>42.41</v>
      </c>
      <c r="H48" t="s">
        <v>108</v>
      </c>
      <c r="I48" t="s">
        <v>130</v>
      </c>
      <c r="J48">
        <v>5201.1499999999996</v>
      </c>
      <c r="K48">
        <v>57694.59</v>
      </c>
      <c r="L48">
        <v>954.23</v>
      </c>
      <c r="M48">
        <v>2714.24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7915.67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69.97</v>
      </c>
      <c r="AL48">
        <v>0</v>
      </c>
      <c r="AM48">
        <v>0</v>
      </c>
      <c r="AN48">
        <v>0</v>
      </c>
      <c r="AO48">
        <v>69348.7</v>
      </c>
      <c r="AP48">
        <v>0</v>
      </c>
    </row>
    <row r="49" spans="1:42" x14ac:dyDescent="0.25">
      <c r="A49" t="s">
        <v>42</v>
      </c>
      <c r="B49">
        <v>63107</v>
      </c>
      <c r="C49" t="s">
        <v>134</v>
      </c>
      <c r="D49" t="s">
        <v>44</v>
      </c>
      <c r="E49" t="s">
        <v>133</v>
      </c>
      <c r="F49">
        <v>40</v>
      </c>
      <c r="G49">
        <v>42.41</v>
      </c>
      <c r="H49" t="s">
        <v>108</v>
      </c>
      <c r="I49" t="s">
        <v>130</v>
      </c>
      <c r="J49">
        <v>4066.29</v>
      </c>
      <c r="K49">
        <v>47082.75</v>
      </c>
      <c r="L49">
        <v>1696.41</v>
      </c>
      <c r="M49">
        <v>1696.4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2129.36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1612.63</v>
      </c>
      <c r="AL49">
        <v>0</v>
      </c>
      <c r="AM49">
        <v>0</v>
      </c>
      <c r="AN49">
        <v>0</v>
      </c>
      <c r="AO49">
        <v>54217.55</v>
      </c>
      <c r="AP49">
        <v>0</v>
      </c>
    </row>
    <row r="50" spans="1:42" x14ac:dyDescent="0.25">
      <c r="A50" t="s">
        <v>42</v>
      </c>
      <c r="B50">
        <v>63108</v>
      </c>
      <c r="C50" t="s">
        <v>135</v>
      </c>
      <c r="D50" t="s">
        <v>44</v>
      </c>
      <c r="E50" t="s">
        <v>133</v>
      </c>
      <c r="F50">
        <v>40</v>
      </c>
      <c r="G50">
        <v>42.41</v>
      </c>
      <c r="H50" t="s">
        <v>108</v>
      </c>
      <c r="I50" t="s">
        <v>130</v>
      </c>
      <c r="J50">
        <v>5078.9799999999996</v>
      </c>
      <c r="K50">
        <v>57406.21</v>
      </c>
      <c r="L50">
        <v>1187.48</v>
      </c>
      <c r="M50">
        <v>2714.24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175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5638.83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597.98</v>
      </c>
      <c r="AL50">
        <v>29.65</v>
      </c>
      <c r="AM50">
        <v>0</v>
      </c>
      <c r="AN50">
        <v>0</v>
      </c>
      <c r="AO50">
        <v>67719.740000000005</v>
      </c>
      <c r="AP50">
        <v>0</v>
      </c>
    </row>
    <row r="51" spans="1:42" x14ac:dyDescent="0.25">
      <c r="A51" t="s">
        <v>42</v>
      </c>
      <c r="B51">
        <v>63109</v>
      </c>
      <c r="C51" t="s">
        <v>136</v>
      </c>
      <c r="D51" t="s">
        <v>44</v>
      </c>
      <c r="E51" t="s">
        <v>137</v>
      </c>
      <c r="F51">
        <v>40</v>
      </c>
      <c r="G51">
        <v>44.3</v>
      </c>
      <c r="H51" t="s">
        <v>108</v>
      </c>
      <c r="I51" t="s">
        <v>130</v>
      </c>
      <c r="J51">
        <v>5208.59</v>
      </c>
      <c r="K51">
        <v>55456.51</v>
      </c>
      <c r="L51">
        <v>985.69</v>
      </c>
      <c r="M51">
        <v>2835.2</v>
      </c>
      <c r="N51">
        <v>0</v>
      </c>
      <c r="O51">
        <v>1469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9922.7800000000007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1228.68</v>
      </c>
      <c r="AL51">
        <v>0</v>
      </c>
      <c r="AM51">
        <v>0</v>
      </c>
      <c r="AN51">
        <v>0</v>
      </c>
      <c r="AO51">
        <v>71897.86</v>
      </c>
      <c r="AP51">
        <v>0</v>
      </c>
    </row>
    <row r="52" spans="1:42" x14ac:dyDescent="0.25">
      <c r="A52" t="s">
        <v>42</v>
      </c>
      <c r="B52">
        <v>63112</v>
      </c>
      <c r="C52" t="s">
        <v>138</v>
      </c>
      <c r="D52" t="s">
        <v>44</v>
      </c>
      <c r="E52" t="s">
        <v>139</v>
      </c>
      <c r="F52">
        <v>40</v>
      </c>
      <c r="G52">
        <v>31.82</v>
      </c>
      <c r="H52" t="s">
        <v>108</v>
      </c>
      <c r="I52" t="s">
        <v>130</v>
      </c>
      <c r="J52">
        <v>0</v>
      </c>
      <c r="K52">
        <v>43482.05</v>
      </c>
      <c r="L52">
        <v>1023.01</v>
      </c>
      <c r="M52">
        <v>2036.48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4101.12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2777.88</v>
      </c>
      <c r="AL52">
        <v>0</v>
      </c>
      <c r="AM52">
        <v>0</v>
      </c>
      <c r="AN52">
        <v>0</v>
      </c>
      <c r="AO52">
        <v>53422.14</v>
      </c>
      <c r="AP52">
        <v>1.6</v>
      </c>
    </row>
    <row r="53" spans="1:42" x14ac:dyDescent="0.25">
      <c r="A53" t="s">
        <v>42</v>
      </c>
      <c r="B53">
        <v>63136</v>
      </c>
      <c r="C53" t="s">
        <v>140</v>
      </c>
      <c r="D53" t="s">
        <v>44</v>
      </c>
      <c r="E53" t="s">
        <v>139</v>
      </c>
      <c r="F53">
        <v>40</v>
      </c>
      <c r="G53">
        <v>30.23</v>
      </c>
      <c r="H53" t="s">
        <v>108</v>
      </c>
      <c r="I53" t="s">
        <v>130</v>
      </c>
      <c r="J53">
        <v>3275.33</v>
      </c>
      <c r="K53">
        <v>41729.519999999997</v>
      </c>
      <c r="L53">
        <v>1209.2</v>
      </c>
      <c r="M53">
        <v>1934.72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1904.48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3298.55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312.86</v>
      </c>
      <c r="AL53">
        <v>0</v>
      </c>
      <c r="AM53">
        <v>0</v>
      </c>
      <c r="AN53">
        <v>0</v>
      </c>
      <c r="AO53">
        <v>50389.33</v>
      </c>
      <c r="AP53">
        <v>0</v>
      </c>
    </row>
    <row r="54" spans="1:42" x14ac:dyDescent="0.25">
      <c r="A54" t="s">
        <v>42</v>
      </c>
      <c r="B54">
        <v>63138</v>
      </c>
      <c r="C54" t="s">
        <v>141</v>
      </c>
      <c r="D54" t="s">
        <v>44</v>
      </c>
      <c r="E54" t="s">
        <v>139</v>
      </c>
      <c r="F54">
        <v>40</v>
      </c>
      <c r="G54">
        <v>28.64</v>
      </c>
      <c r="H54" t="s">
        <v>108</v>
      </c>
      <c r="I54" t="s">
        <v>130</v>
      </c>
      <c r="J54">
        <v>1174.0899999999999</v>
      </c>
      <c r="K54">
        <v>37956.6</v>
      </c>
      <c r="L54">
        <v>916.48</v>
      </c>
      <c r="M54">
        <v>1832.96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515.52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3300.94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2440.1</v>
      </c>
      <c r="AL54">
        <v>0</v>
      </c>
      <c r="AM54">
        <v>0</v>
      </c>
      <c r="AN54">
        <v>0</v>
      </c>
      <c r="AO54">
        <v>46962.6</v>
      </c>
      <c r="AP54">
        <v>0</v>
      </c>
    </row>
    <row r="55" spans="1:42" x14ac:dyDescent="0.25">
      <c r="A55" t="s">
        <v>42</v>
      </c>
      <c r="B55">
        <v>63141</v>
      </c>
      <c r="C55" t="s">
        <v>142</v>
      </c>
      <c r="D55" t="s">
        <v>44</v>
      </c>
      <c r="E55" t="s">
        <v>126</v>
      </c>
      <c r="F55">
        <v>40</v>
      </c>
      <c r="G55">
        <v>35.229999999999997</v>
      </c>
      <c r="H55" t="s">
        <v>108</v>
      </c>
      <c r="I55" t="s">
        <v>130</v>
      </c>
      <c r="J55">
        <v>900.71</v>
      </c>
      <c r="K55">
        <v>46802.35</v>
      </c>
      <c r="L55">
        <v>845.52</v>
      </c>
      <c r="M55">
        <v>2254.7199999999998</v>
      </c>
      <c r="N55">
        <v>281.83999999999997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6200.48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3190.88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470.31</v>
      </c>
      <c r="AL55">
        <v>0</v>
      </c>
      <c r="AM55">
        <v>0</v>
      </c>
      <c r="AN55">
        <v>0</v>
      </c>
      <c r="AO55">
        <v>60046.1</v>
      </c>
      <c r="AP55">
        <v>0</v>
      </c>
    </row>
    <row r="56" spans="1:42" x14ac:dyDescent="0.25">
      <c r="A56" t="s">
        <v>42</v>
      </c>
      <c r="B56">
        <v>63146</v>
      </c>
      <c r="C56" t="s">
        <v>143</v>
      </c>
      <c r="D56" t="s">
        <v>67</v>
      </c>
      <c r="E56" t="s">
        <v>139</v>
      </c>
      <c r="F56">
        <v>40</v>
      </c>
      <c r="G56">
        <v>28.64</v>
      </c>
      <c r="H56" t="s">
        <v>108</v>
      </c>
      <c r="I56" t="s">
        <v>130</v>
      </c>
      <c r="J56">
        <v>646.61</v>
      </c>
      <c r="K56">
        <v>37406.699999999997</v>
      </c>
      <c r="L56">
        <v>458.24</v>
      </c>
      <c r="M56">
        <v>1832.96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1804.31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1555.91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51.55</v>
      </c>
      <c r="AL56">
        <v>0</v>
      </c>
      <c r="AM56">
        <v>0</v>
      </c>
      <c r="AN56">
        <v>0</v>
      </c>
      <c r="AO56">
        <v>43109.67</v>
      </c>
      <c r="AP56">
        <v>0</v>
      </c>
    </row>
    <row r="57" spans="1:42" x14ac:dyDescent="0.25">
      <c r="A57" t="s">
        <v>42</v>
      </c>
      <c r="B57">
        <v>63151</v>
      </c>
      <c r="C57" t="s">
        <v>144</v>
      </c>
      <c r="D57" t="s">
        <v>67</v>
      </c>
      <c r="E57" t="s">
        <v>145</v>
      </c>
      <c r="F57">
        <v>40</v>
      </c>
      <c r="G57">
        <v>24.58</v>
      </c>
      <c r="H57" t="s">
        <v>108</v>
      </c>
      <c r="I57" t="s">
        <v>130</v>
      </c>
      <c r="J57">
        <v>510.47</v>
      </c>
      <c r="K57">
        <v>30790.16</v>
      </c>
      <c r="L57">
        <v>196.64</v>
      </c>
      <c r="M57">
        <v>1553.68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1103.33</v>
      </c>
      <c r="AF57">
        <v>0</v>
      </c>
      <c r="AG57">
        <v>0</v>
      </c>
      <c r="AH57">
        <v>0</v>
      </c>
      <c r="AI57">
        <v>43.17</v>
      </c>
      <c r="AJ57">
        <v>0</v>
      </c>
      <c r="AK57">
        <v>342.89</v>
      </c>
      <c r="AL57">
        <v>0</v>
      </c>
      <c r="AM57">
        <v>0</v>
      </c>
      <c r="AN57">
        <v>0</v>
      </c>
      <c r="AO57">
        <v>34029.870000000003</v>
      </c>
      <c r="AP57">
        <v>0</v>
      </c>
    </row>
    <row r="58" spans="1:42" x14ac:dyDescent="0.25">
      <c r="A58" t="s">
        <v>42</v>
      </c>
      <c r="B58">
        <v>63153</v>
      </c>
      <c r="C58" t="s">
        <v>146</v>
      </c>
      <c r="D58" t="s">
        <v>44</v>
      </c>
      <c r="E58" t="s">
        <v>145</v>
      </c>
      <c r="F58">
        <v>40</v>
      </c>
      <c r="G58">
        <v>24.58</v>
      </c>
      <c r="H58" t="s">
        <v>108</v>
      </c>
      <c r="I58" t="s">
        <v>130</v>
      </c>
      <c r="J58">
        <v>0</v>
      </c>
      <c r="K58">
        <v>12535.79</v>
      </c>
      <c r="L58">
        <v>0</v>
      </c>
      <c r="M58">
        <v>196.64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14.76</v>
      </c>
      <c r="AL58">
        <v>0</v>
      </c>
      <c r="AM58">
        <v>0</v>
      </c>
      <c r="AN58">
        <v>0</v>
      </c>
      <c r="AO58">
        <v>12747.19</v>
      </c>
      <c r="AP58">
        <v>0</v>
      </c>
    </row>
    <row r="59" spans="1:42" x14ac:dyDescent="0.25">
      <c r="A59" t="s">
        <v>42</v>
      </c>
      <c r="B59">
        <v>63322</v>
      </c>
      <c r="C59" t="s">
        <v>147</v>
      </c>
      <c r="D59" t="s">
        <v>44</v>
      </c>
      <c r="E59" t="s">
        <v>148</v>
      </c>
      <c r="F59">
        <v>40</v>
      </c>
      <c r="G59">
        <v>19.34</v>
      </c>
      <c r="H59" t="s">
        <v>108</v>
      </c>
      <c r="I59" t="s">
        <v>149</v>
      </c>
      <c r="J59">
        <v>116.79</v>
      </c>
      <c r="K59">
        <v>16601.439999999999</v>
      </c>
      <c r="L59">
        <v>154.72</v>
      </c>
      <c r="M59">
        <v>534.36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87.04</v>
      </c>
      <c r="AL59">
        <v>0</v>
      </c>
      <c r="AM59">
        <v>0</v>
      </c>
      <c r="AN59">
        <v>0</v>
      </c>
      <c r="AO59">
        <v>17377.560000000001</v>
      </c>
      <c r="AP59">
        <v>0</v>
      </c>
    </row>
    <row r="60" spans="1:42" x14ac:dyDescent="0.25">
      <c r="A60" t="s">
        <v>42</v>
      </c>
      <c r="B60">
        <v>63323</v>
      </c>
      <c r="C60" t="s">
        <v>150</v>
      </c>
      <c r="D60" t="s">
        <v>49</v>
      </c>
      <c r="E60" t="s">
        <v>148</v>
      </c>
      <c r="F60">
        <v>40</v>
      </c>
      <c r="G60">
        <v>19.34</v>
      </c>
      <c r="H60" t="s">
        <v>108</v>
      </c>
      <c r="I60" t="s">
        <v>149</v>
      </c>
      <c r="J60">
        <v>0</v>
      </c>
      <c r="K60">
        <v>541.52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21.66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563.17999999999995</v>
      </c>
      <c r="AP60">
        <v>0</v>
      </c>
    </row>
    <row r="61" spans="1:42" x14ac:dyDescent="0.25">
      <c r="A61" t="s">
        <v>42</v>
      </c>
      <c r="B61">
        <v>63145</v>
      </c>
      <c r="C61" t="s">
        <v>151</v>
      </c>
      <c r="D61" t="s">
        <v>44</v>
      </c>
      <c r="E61" t="s">
        <v>152</v>
      </c>
      <c r="F61">
        <v>40</v>
      </c>
      <c r="G61">
        <v>31.25</v>
      </c>
      <c r="H61" t="s">
        <v>153</v>
      </c>
      <c r="I61" t="s">
        <v>154</v>
      </c>
      <c r="J61">
        <v>2911.08</v>
      </c>
      <c r="K61">
        <v>47179.68</v>
      </c>
      <c r="L61">
        <v>1265.6300000000001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12300</v>
      </c>
      <c r="AD61">
        <v>0</v>
      </c>
      <c r="AE61">
        <v>3254.02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691.4</v>
      </c>
      <c r="AL61">
        <v>566.02</v>
      </c>
      <c r="AM61">
        <v>378.43</v>
      </c>
      <c r="AN61">
        <v>0</v>
      </c>
      <c r="AO61">
        <v>64690.73</v>
      </c>
      <c r="AP61">
        <v>0</v>
      </c>
    </row>
    <row r="62" spans="1:42" x14ac:dyDescent="0.25">
      <c r="A62" t="s">
        <v>42</v>
      </c>
      <c r="B62">
        <v>63133</v>
      </c>
      <c r="C62" t="s">
        <v>155</v>
      </c>
      <c r="D62" t="s">
        <v>44</v>
      </c>
      <c r="E62" t="s">
        <v>126</v>
      </c>
      <c r="F62">
        <v>40</v>
      </c>
      <c r="G62">
        <v>39.14</v>
      </c>
      <c r="H62" t="s">
        <v>153</v>
      </c>
      <c r="I62" t="s">
        <v>130</v>
      </c>
      <c r="J62">
        <v>3266.93</v>
      </c>
      <c r="K62">
        <v>36541.129999999997</v>
      </c>
      <c r="L62">
        <v>677.12</v>
      </c>
      <c r="M62">
        <v>1565.6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4517.32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258.32</v>
      </c>
      <c r="AL62">
        <v>210</v>
      </c>
      <c r="AM62">
        <v>0</v>
      </c>
      <c r="AN62">
        <v>0</v>
      </c>
      <c r="AO62">
        <v>43559.49</v>
      </c>
      <c r="AP62">
        <v>0</v>
      </c>
    </row>
    <row r="63" spans="1:42" x14ac:dyDescent="0.25">
      <c r="A63" t="s">
        <v>42</v>
      </c>
      <c r="B63">
        <v>63135</v>
      </c>
      <c r="C63" t="s">
        <v>156</v>
      </c>
      <c r="D63" t="s">
        <v>67</v>
      </c>
      <c r="E63" t="s">
        <v>139</v>
      </c>
      <c r="F63">
        <v>40</v>
      </c>
      <c r="G63">
        <v>30.77</v>
      </c>
      <c r="H63" t="s">
        <v>153</v>
      </c>
      <c r="I63" t="s">
        <v>130</v>
      </c>
      <c r="J63">
        <v>860.6</v>
      </c>
      <c r="K63">
        <v>10904.88</v>
      </c>
      <c r="L63">
        <v>1476.96</v>
      </c>
      <c r="M63">
        <v>738.48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120.01</v>
      </c>
      <c r="AL63">
        <v>0</v>
      </c>
      <c r="AM63">
        <v>0</v>
      </c>
      <c r="AN63">
        <v>0</v>
      </c>
      <c r="AO63">
        <v>13240.33</v>
      </c>
      <c r="AP63">
        <v>0</v>
      </c>
    </row>
    <row r="64" spans="1:42" x14ac:dyDescent="0.25">
      <c r="A64" t="s">
        <v>42</v>
      </c>
      <c r="B64">
        <v>63137</v>
      </c>
      <c r="C64" t="s">
        <v>157</v>
      </c>
      <c r="D64" t="s">
        <v>44</v>
      </c>
      <c r="E64" t="s">
        <v>139</v>
      </c>
      <c r="F64">
        <v>40</v>
      </c>
      <c r="G64">
        <v>30.77</v>
      </c>
      <c r="H64" t="s">
        <v>153</v>
      </c>
      <c r="I64" t="s">
        <v>130</v>
      </c>
      <c r="J64">
        <v>0</v>
      </c>
      <c r="K64">
        <v>41844.14</v>
      </c>
      <c r="L64">
        <v>984.64</v>
      </c>
      <c r="M64">
        <v>1969.28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1743.61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346.18</v>
      </c>
      <c r="AL64">
        <v>0</v>
      </c>
      <c r="AM64">
        <v>0</v>
      </c>
      <c r="AN64">
        <v>0</v>
      </c>
      <c r="AO64">
        <v>46887.85</v>
      </c>
      <c r="AP64">
        <v>0</v>
      </c>
    </row>
    <row r="65" spans="1:42" x14ac:dyDescent="0.25">
      <c r="A65" t="s">
        <v>42</v>
      </c>
      <c r="B65">
        <v>63306</v>
      </c>
      <c r="C65" t="s">
        <v>158</v>
      </c>
      <c r="D65" t="s">
        <v>44</v>
      </c>
      <c r="E65" t="s">
        <v>159</v>
      </c>
      <c r="F65">
        <v>40</v>
      </c>
      <c r="G65">
        <v>26</v>
      </c>
      <c r="H65" t="s">
        <v>153</v>
      </c>
      <c r="I65" t="s">
        <v>149</v>
      </c>
      <c r="J65">
        <v>3317.8</v>
      </c>
      <c r="K65">
        <v>38025</v>
      </c>
      <c r="L65">
        <v>208</v>
      </c>
      <c r="M65">
        <v>1601.6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50</v>
      </c>
      <c r="W65">
        <v>0</v>
      </c>
      <c r="X65">
        <v>170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3000.74</v>
      </c>
      <c r="AF65">
        <v>0</v>
      </c>
      <c r="AG65">
        <v>0</v>
      </c>
      <c r="AH65">
        <v>0</v>
      </c>
      <c r="AI65">
        <v>62.4</v>
      </c>
      <c r="AJ65">
        <v>0</v>
      </c>
      <c r="AK65">
        <v>1119.3</v>
      </c>
      <c r="AL65">
        <v>210</v>
      </c>
      <c r="AM65">
        <v>0</v>
      </c>
      <c r="AN65">
        <v>0</v>
      </c>
      <c r="AO65">
        <v>44237.04</v>
      </c>
      <c r="AP65">
        <v>0</v>
      </c>
    </row>
    <row r="66" spans="1:42" x14ac:dyDescent="0.25">
      <c r="A66" t="s">
        <v>42</v>
      </c>
      <c r="B66">
        <v>63313</v>
      </c>
      <c r="C66" t="s">
        <v>160</v>
      </c>
      <c r="D66" t="s">
        <v>49</v>
      </c>
      <c r="E66" t="s">
        <v>148</v>
      </c>
      <c r="F66">
        <v>40</v>
      </c>
      <c r="G66">
        <v>20.91</v>
      </c>
      <c r="H66" t="s">
        <v>153</v>
      </c>
      <c r="I66" t="s">
        <v>149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831.93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831.93</v>
      </c>
      <c r="AP66">
        <v>0</v>
      </c>
    </row>
    <row r="67" spans="1:42" x14ac:dyDescent="0.25">
      <c r="A67" t="s">
        <v>42</v>
      </c>
      <c r="B67">
        <v>63315</v>
      </c>
      <c r="C67" t="s">
        <v>161</v>
      </c>
      <c r="D67" t="s">
        <v>44</v>
      </c>
      <c r="E67" t="s">
        <v>159</v>
      </c>
      <c r="F67">
        <v>40</v>
      </c>
      <c r="G67">
        <v>26</v>
      </c>
      <c r="H67" t="s">
        <v>153</v>
      </c>
      <c r="I67" t="s">
        <v>149</v>
      </c>
      <c r="J67">
        <v>584.14</v>
      </c>
      <c r="K67">
        <v>34117.980000000003</v>
      </c>
      <c r="L67">
        <v>888.42</v>
      </c>
      <c r="M67">
        <v>1532.96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300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1421.26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678.21</v>
      </c>
      <c r="AL67">
        <v>164.38</v>
      </c>
      <c r="AM67">
        <v>0</v>
      </c>
      <c r="AN67">
        <v>0</v>
      </c>
      <c r="AO67">
        <v>38938.83</v>
      </c>
      <c r="AP67">
        <v>0</v>
      </c>
    </row>
    <row r="68" spans="1:42" x14ac:dyDescent="0.25">
      <c r="A68" t="s">
        <v>42</v>
      </c>
      <c r="B68">
        <v>63318</v>
      </c>
      <c r="C68" t="s">
        <v>162</v>
      </c>
      <c r="D68" t="s">
        <v>49</v>
      </c>
      <c r="E68" t="s">
        <v>159</v>
      </c>
      <c r="F68">
        <v>40</v>
      </c>
      <c r="G68">
        <v>19.71</v>
      </c>
      <c r="H68" t="s">
        <v>153</v>
      </c>
      <c r="I68" t="s">
        <v>149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325.22000000000003</v>
      </c>
      <c r="AC68">
        <v>0</v>
      </c>
      <c r="AD68">
        <v>0</v>
      </c>
      <c r="AE68">
        <v>301.70999999999998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626.92999999999995</v>
      </c>
      <c r="AP68">
        <v>0</v>
      </c>
    </row>
    <row r="69" spans="1:42" x14ac:dyDescent="0.25">
      <c r="A69" t="s">
        <v>42</v>
      </c>
      <c r="B69">
        <v>63321</v>
      </c>
      <c r="C69" t="s">
        <v>163</v>
      </c>
      <c r="D69" t="s">
        <v>49</v>
      </c>
      <c r="E69" t="s">
        <v>148</v>
      </c>
      <c r="F69">
        <v>40</v>
      </c>
      <c r="G69">
        <v>19.73</v>
      </c>
      <c r="H69" t="s">
        <v>153</v>
      </c>
      <c r="I69" t="s">
        <v>149</v>
      </c>
      <c r="J69">
        <v>0</v>
      </c>
      <c r="K69">
        <v>8890.34</v>
      </c>
      <c r="L69">
        <v>0</v>
      </c>
      <c r="M69">
        <v>235.38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374.51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109.5</v>
      </c>
      <c r="AL69">
        <v>0</v>
      </c>
      <c r="AM69">
        <v>0</v>
      </c>
      <c r="AN69">
        <v>0</v>
      </c>
      <c r="AO69">
        <v>9609.73</v>
      </c>
      <c r="AP69">
        <v>0</v>
      </c>
    </row>
    <row r="70" spans="1:42" x14ac:dyDescent="0.25">
      <c r="A70" t="s">
        <v>42</v>
      </c>
      <c r="B70">
        <v>64002</v>
      </c>
      <c r="C70" t="s">
        <v>164</v>
      </c>
      <c r="D70" t="s">
        <v>44</v>
      </c>
      <c r="E70" t="s">
        <v>165</v>
      </c>
      <c r="F70">
        <v>40</v>
      </c>
      <c r="G70">
        <v>36.241700000000002</v>
      </c>
      <c r="H70" t="s">
        <v>166</v>
      </c>
      <c r="I70" t="s">
        <v>167</v>
      </c>
      <c r="J70">
        <v>3243.88</v>
      </c>
      <c r="K70">
        <v>53778.51</v>
      </c>
      <c r="L70">
        <v>1213.6199999999999</v>
      </c>
      <c r="M70">
        <v>0</v>
      </c>
      <c r="N70">
        <v>0</v>
      </c>
      <c r="O70">
        <v>0</v>
      </c>
      <c r="P70">
        <v>0</v>
      </c>
      <c r="Q70">
        <v>0</v>
      </c>
      <c r="R70">
        <v>2337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11836</v>
      </c>
      <c r="AD70">
        <v>0</v>
      </c>
      <c r="AE70">
        <v>5159.3999999999996</v>
      </c>
      <c r="AF70">
        <v>0</v>
      </c>
      <c r="AG70">
        <v>0</v>
      </c>
      <c r="AH70">
        <v>0</v>
      </c>
      <c r="AI70">
        <v>95.34</v>
      </c>
      <c r="AJ70">
        <v>0</v>
      </c>
      <c r="AK70">
        <v>0</v>
      </c>
      <c r="AL70">
        <v>154.94999999999999</v>
      </c>
      <c r="AM70">
        <v>0</v>
      </c>
      <c r="AN70">
        <v>0</v>
      </c>
      <c r="AO70">
        <v>74419.87</v>
      </c>
      <c r="AP70">
        <v>0</v>
      </c>
    </row>
    <row r="71" spans="1:42" x14ac:dyDescent="0.25">
      <c r="A71" t="s">
        <v>42</v>
      </c>
      <c r="B71">
        <v>64115</v>
      </c>
      <c r="C71" t="s">
        <v>168</v>
      </c>
      <c r="D71" t="s">
        <v>44</v>
      </c>
      <c r="E71" t="s">
        <v>169</v>
      </c>
      <c r="F71">
        <v>40</v>
      </c>
      <c r="G71">
        <v>36.25</v>
      </c>
      <c r="H71" t="s">
        <v>166</v>
      </c>
      <c r="I71" t="s">
        <v>167</v>
      </c>
      <c r="J71">
        <v>2718.99</v>
      </c>
      <c r="K71">
        <v>49898.15</v>
      </c>
      <c r="L71">
        <v>1450.01</v>
      </c>
      <c r="M71">
        <v>2320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4900.28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1854.2</v>
      </c>
      <c r="AL71">
        <v>0</v>
      </c>
      <c r="AM71">
        <v>0</v>
      </c>
      <c r="AN71">
        <v>0</v>
      </c>
      <c r="AO71">
        <v>60422.64</v>
      </c>
      <c r="AP71">
        <v>0</v>
      </c>
    </row>
    <row r="72" spans="1:42" x14ac:dyDescent="0.25">
      <c r="A72" t="s">
        <v>42</v>
      </c>
      <c r="B72">
        <v>64117</v>
      </c>
      <c r="C72" t="s">
        <v>170</v>
      </c>
      <c r="D72" t="s">
        <v>49</v>
      </c>
      <c r="E72" t="s">
        <v>171</v>
      </c>
      <c r="F72">
        <v>40</v>
      </c>
      <c r="G72">
        <v>25.83</v>
      </c>
      <c r="H72" t="s">
        <v>166</v>
      </c>
      <c r="I72" t="s">
        <v>167</v>
      </c>
      <c r="J72">
        <v>1065.68</v>
      </c>
      <c r="K72">
        <v>33963.93</v>
      </c>
      <c r="L72">
        <v>1033.2</v>
      </c>
      <c r="M72">
        <v>1666.04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2037.32</v>
      </c>
      <c r="AC72">
        <v>0</v>
      </c>
      <c r="AD72">
        <v>0</v>
      </c>
      <c r="AE72">
        <v>3420.25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507.55</v>
      </c>
      <c r="AL72">
        <v>0</v>
      </c>
      <c r="AM72">
        <v>0</v>
      </c>
      <c r="AN72">
        <v>0</v>
      </c>
      <c r="AO72">
        <v>42628.29</v>
      </c>
      <c r="AP72">
        <v>0</v>
      </c>
    </row>
    <row r="73" spans="1:42" x14ac:dyDescent="0.25">
      <c r="A73" t="s">
        <v>42</v>
      </c>
      <c r="B73">
        <v>64118</v>
      </c>
      <c r="C73" t="s">
        <v>172</v>
      </c>
      <c r="D73" t="s">
        <v>49</v>
      </c>
      <c r="E73" t="s">
        <v>169</v>
      </c>
      <c r="F73">
        <v>40</v>
      </c>
      <c r="G73">
        <v>36.25</v>
      </c>
      <c r="H73" t="s">
        <v>166</v>
      </c>
      <c r="I73" t="s">
        <v>167</v>
      </c>
      <c r="J73">
        <v>478.48</v>
      </c>
      <c r="K73">
        <v>24961.759999999998</v>
      </c>
      <c r="L73">
        <v>0</v>
      </c>
      <c r="M73">
        <v>1160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5058.7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717.76</v>
      </c>
      <c r="AL73">
        <v>0</v>
      </c>
      <c r="AM73">
        <v>0</v>
      </c>
      <c r="AN73">
        <v>0</v>
      </c>
      <c r="AO73">
        <v>31898.22</v>
      </c>
      <c r="AP73">
        <v>0</v>
      </c>
    </row>
    <row r="74" spans="1:42" x14ac:dyDescent="0.25">
      <c r="A74" t="s">
        <v>42</v>
      </c>
      <c r="B74">
        <v>64119</v>
      </c>
      <c r="C74" t="s">
        <v>173</v>
      </c>
      <c r="D74" t="s">
        <v>44</v>
      </c>
      <c r="E74" t="s">
        <v>171</v>
      </c>
      <c r="F74">
        <v>40</v>
      </c>
      <c r="G74">
        <v>28.7</v>
      </c>
      <c r="H74" t="s">
        <v>166</v>
      </c>
      <c r="I74" t="s">
        <v>167</v>
      </c>
      <c r="J74">
        <v>444.38</v>
      </c>
      <c r="K74">
        <v>23605.75</v>
      </c>
      <c r="L74">
        <v>430.5</v>
      </c>
      <c r="M74">
        <v>918.4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1868.09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30.14</v>
      </c>
      <c r="AL74">
        <v>0</v>
      </c>
      <c r="AM74">
        <v>0</v>
      </c>
      <c r="AN74">
        <v>0</v>
      </c>
      <c r="AO74">
        <v>26852.880000000001</v>
      </c>
      <c r="AP74">
        <v>0</v>
      </c>
    </row>
    <row r="75" spans="1:42" x14ac:dyDescent="0.25">
      <c r="A75" t="s">
        <v>42</v>
      </c>
      <c r="B75">
        <v>63044</v>
      </c>
      <c r="C75" t="s">
        <v>174</v>
      </c>
      <c r="D75" t="s">
        <v>49</v>
      </c>
      <c r="E75" t="s">
        <v>175</v>
      </c>
      <c r="F75">
        <v>40</v>
      </c>
      <c r="G75">
        <v>23.5</v>
      </c>
      <c r="H75" t="s">
        <v>176</v>
      </c>
      <c r="I75" t="s">
        <v>177</v>
      </c>
      <c r="J75">
        <v>1265.93</v>
      </c>
      <c r="K75">
        <v>22314.43</v>
      </c>
      <c r="L75">
        <v>475.88</v>
      </c>
      <c r="M75">
        <v>742.61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110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4289.63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199.18</v>
      </c>
      <c r="AL75">
        <v>0</v>
      </c>
      <c r="AM75">
        <v>0</v>
      </c>
      <c r="AN75">
        <v>0</v>
      </c>
      <c r="AO75">
        <v>28131.73</v>
      </c>
      <c r="AP75">
        <v>0</v>
      </c>
    </row>
    <row r="76" spans="1:42" x14ac:dyDescent="0.25">
      <c r="A76" t="s">
        <v>42</v>
      </c>
      <c r="B76">
        <v>65054</v>
      </c>
      <c r="C76" t="s">
        <v>178</v>
      </c>
      <c r="D76" t="s">
        <v>44</v>
      </c>
      <c r="E76" t="s">
        <v>179</v>
      </c>
      <c r="F76">
        <v>40</v>
      </c>
      <c r="G76">
        <v>25</v>
      </c>
      <c r="H76" t="s">
        <v>176</v>
      </c>
      <c r="I76" t="s">
        <v>177</v>
      </c>
      <c r="J76">
        <v>0</v>
      </c>
      <c r="K76">
        <v>8605</v>
      </c>
      <c r="L76">
        <v>0</v>
      </c>
      <c r="M76">
        <v>200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1525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15</v>
      </c>
      <c r="AL76">
        <v>0</v>
      </c>
      <c r="AM76">
        <v>0</v>
      </c>
      <c r="AN76">
        <v>0</v>
      </c>
      <c r="AO76">
        <v>10345</v>
      </c>
      <c r="AP76">
        <v>0</v>
      </c>
    </row>
    <row r="77" spans="1:42" x14ac:dyDescent="0.25">
      <c r="A77" t="s">
        <v>42</v>
      </c>
      <c r="B77">
        <v>66004</v>
      </c>
      <c r="C77" t="s">
        <v>180</v>
      </c>
      <c r="D77" t="s">
        <v>49</v>
      </c>
      <c r="E77" t="s">
        <v>181</v>
      </c>
      <c r="F77">
        <v>40</v>
      </c>
      <c r="G77">
        <v>19.760000000000002</v>
      </c>
      <c r="H77" t="s">
        <v>182</v>
      </c>
      <c r="I77" t="s">
        <v>183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1124.07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1124.07</v>
      </c>
      <c r="AP77">
        <v>0</v>
      </c>
    </row>
    <row r="78" spans="1:42" x14ac:dyDescent="0.25">
      <c r="A78" t="s">
        <v>42</v>
      </c>
      <c r="B78">
        <v>66009</v>
      </c>
      <c r="C78" t="s">
        <v>184</v>
      </c>
      <c r="D78" t="s">
        <v>44</v>
      </c>
      <c r="E78" t="s">
        <v>107</v>
      </c>
      <c r="F78">
        <v>40</v>
      </c>
      <c r="G78">
        <v>22.21</v>
      </c>
      <c r="H78" t="s">
        <v>182</v>
      </c>
      <c r="I78" t="s">
        <v>183</v>
      </c>
      <c r="J78">
        <v>2279.66</v>
      </c>
      <c r="K78">
        <v>26235.13</v>
      </c>
      <c r="L78">
        <v>1243.76</v>
      </c>
      <c r="M78">
        <v>1375.69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4841.63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1375.24</v>
      </c>
      <c r="AL78">
        <v>210</v>
      </c>
      <c r="AM78">
        <v>0</v>
      </c>
      <c r="AN78">
        <v>0</v>
      </c>
      <c r="AO78">
        <v>35071.449999999997</v>
      </c>
      <c r="AP78">
        <v>0</v>
      </c>
    </row>
    <row r="79" spans="1:42" x14ac:dyDescent="0.25">
      <c r="A79" t="s">
        <v>42</v>
      </c>
      <c r="B79">
        <v>66024</v>
      </c>
      <c r="C79" t="s">
        <v>185</v>
      </c>
      <c r="D79" t="s">
        <v>44</v>
      </c>
      <c r="E79" t="s">
        <v>181</v>
      </c>
      <c r="F79">
        <v>18</v>
      </c>
      <c r="G79">
        <v>18.0123</v>
      </c>
      <c r="H79" t="s">
        <v>182</v>
      </c>
      <c r="I79" t="s">
        <v>183</v>
      </c>
      <c r="J79">
        <v>0</v>
      </c>
      <c r="K79">
        <v>17976.259999999998</v>
      </c>
      <c r="L79">
        <v>0</v>
      </c>
      <c r="M79">
        <v>755.26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1176.3800000000001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126.99</v>
      </c>
      <c r="AL79">
        <v>0</v>
      </c>
      <c r="AM79">
        <v>378.43</v>
      </c>
      <c r="AN79">
        <v>0</v>
      </c>
      <c r="AO79">
        <v>20034.89</v>
      </c>
      <c r="AP79">
        <v>0</v>
      </c>
    </row>
    <row r="80" spans="1:42" x14ac:dyDescent="0.25">
      <c r="A80" t="s">
        <v>42</v>
      </c>
      <c r="B80">
        <v>61193</v>
      </c>
      <c r="C80" t="s">
        <v>186</v>
      </c>
      <c r="D80" t="s">
        <v>44</v>
      </c>
      <c r="E80" t="s">
        <v>187</v>
      </c>
      <c r="F80">
        <v>40</v>
      </c>
      <c r="G80">
        <v>25</v>
      </c>
      <c r="H80" t="s">
        <v>188</v>
      </c>
      <c r="I80" t="s">
        <v>189</v>
      </c>
      <c r="J80">
        <v>0</v>
      </c>
      <c r="K80">
        <v>36287.5</v>
      </c>
      <c r="L80">
        <v>612.5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1500</v>
      </c>
      <c r="Z80">
        <v>0</v>
      </c>
      <c r="AA80">
        <v>0</v>
      </c>
      <c r="AB80">
        <v>0</v>
      </c>
      <c r="AC80">
        <v>31662.12</v>
      </c>
      <c r="AD80">
        <v>0</v>
      </c>
      <c r="AE80">
        <v>630.22</v>
      </c>
      <c r="AF80">
        <v>0</v>
      </c>
      <c r="AG80">
        <v>-1500</v>
      </c>
      <c r="AH80">
        <v>0</v>
      </c>
      <c r="AI80">
        <v>0</v>
      </c>
      <c r="AJ80">
        <v>0</v>
      </c>
      <c r="AK80">
        <v>0</v>
      </c>
      <c r="AL80">
        <v>89.69</v>
      </c>
      <c r="AM80">
        <v>332.28</v>
      </c>
      <c r="AN80">
        <v>0</v>
      </c>
      <c r="AO80">
        <v>69192.34</v>
      </c>
      <c r="AP80">
        <v>0</v>
      </c>
    </row>
    <row r="81" spans="1:42" x14ac:dyDescent="0.25">
      <c r="A81" t="s">
        <v>42</v>
      </c>
      <c r="B81">
        <v>67200</v>
      </c>
      <c r="C81" t="s">
        <v>190</v>
      </c>
      <c r="D81" t="s">
        <v>44</v>
      </c>
      <c r="E81" t="s">
        <v>57</v>
      </c>
      <c r="F81">
        <v>40</v>
      </c>
      <c r="G81">
        <v>18.579999999999998</v>
      </c>
      <c r="H81" t="s">
        <v>188</v>
      </c>
      <c r="I81" t="s">
        <v>189</v>
      </c>
      <c r="J81">
        <v>0</v>
      </c>
      <c r="K81">
        <v>3757.43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3757.43</v>
      </c>
      <c r="AP81">
        <v>0</v>
      </c>
    </row>
    <row r="82" spans="1:42" x14ac:dyDescent="0.25">
      <c r="A82" t="s">
        <v>42</v>
      </c>
      <c r="B82">
        <v>67201</v>
      </c>
      <c r="C82" t="s">
        <v>191</v>
      </c>
      <c r="D82" t="s">
        <v>49</v>
      </c>
      <c r="E82" t="s">
        <v>57</v>
      </c>
      <c r="F82">
        <v>40</v>
      </c>
      <c r="G82">
        <v>18.579999999999998</v>
      </c>
      <c r="H82" t="s">
        <v>188</v>
      </c>
      <c r="I82" t="s">
        <v>189</v>
      </c>
      <c r="J82">
        <v>0</v>
      </c>
      <c r="K82">
        <v>1559.04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62.36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1621.4</v>
      </c>
      <c r="AP82">
        <v>0</v>
      </c>
    </row>
    <row r="83" spans="1:42" x14ac:dyDescent="0.25">
      <c r="A83" t="s">
        <v>42</v>
      </c>
      <c r="B83">
        <v>67202</v>
      </c>
      <c r="C83" t="s">
        <v>192</v>
      </c>
      <c r="D83" t="s">
        <v>49</v>
      </c>
      <c r="E83" t="s">
        <v>57</v>
      </c>
      <c r="F83">
        <v>40</v>
      </c>
      <c r="G83">
        <v>21</v>
      </c>
      <c r="H83" t="s">
        <v>188</v>
      </c>
      <c r="I83" t="s">
        <v>189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 t="s">
        <v>42</v>
      </c>
      <c r="B84">
        <v>68221</v>
      </c>
      <c r="C84" t="s">
        <v>193</v>
      </c>
      <c r="D84" t="s">
        <v>44</v>
      </c>
      <c r="E84" t="s">
        <v>94</v>
      </c>
      <c r="F84">
        <v>25</v>
      </c>
      <c r="G84">
        <v>18.453199999999999</v>
      </c>
      <c r="H84" t="s">
        <v>194</v>
      </c>
      <c r="I84" t="s">
        <v>195</v>
      </c>
      <c r="J84">
        <v>0</v>
      </c>
      <c r="K84">
        <v>15580.06</v>
      </c>
      <c r="L84">
        <v>655.08000000000004</v>
      </c>
      <c r="M84">
        <v>727.05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1076.06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38.75</v>
      </c>
      <c r="AL84">
        <v>0</v>
      </c>
      <c r="AM84">
        <v>0</v>
      </c>
      <c r="AN84">
        <v>0</v>
      </c>
      <c r="AO84">
        <v>18077</v>
      </c>
      <c r="AP84">
        <v>0</v>
      </c>
    </row>
    <row r="85" spans="1:42" x14ac:dyDescent="0.25">
      <c r="A85" t="s">
        <v>42</v>
      </c>
      <c r="B85">
        <v>68222</v>
      </c>
      <c r="C85" t="s">
        <v>196</v>
      </c>
      <c r="D85" t="s">
        <v>49</v>
      </c>
      <c r="E85" t="s">
        <v>94</v>
      </c>
      <c r="F85">
        <v>40</v>
      </c>
      <c r="G85">
        <v>18.72</v>
      </c>
      <c r="H85" t="s">
        <v>194</v>
      </c>
      <c r="I85" t="s">
        <v>195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601.82000000000005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601.82000000000005</v>
      </c>
      <c r="AP85">
        <v>0</v>
      </c>
    </row>
    <row r="86" spans="1:42" x14ac:dyDescent="0.25">
      <c r="A86" t="s">
        <v>42</v>
      </c>
      <c r="B86">
        <v>68225</v>
      </c>
      <c r="C86" t="s">
        <v>197</v>
      </c>
      <c r="D86" t="s">
        <v>44</v>
      </c>
      <c r="E86" t="s">
        <v>94</v>
      </c>
      <c r="F86">
        <v>40</v>
      </c>
      <c r="G86">
        <v>22</v>
      </c>
      <c r="H86" t="s">
        <v>194</v>
      </c>
      <c r="I86" t="s">
        <v>195</v>
      </c>
      <c r="J86">
        <v>1058.58</v>
      </c>
      <c r="K86">
        <v>32381.8</v>
      </c>
      <c r="L86">
        <v>1012</v>
      </c>
      <c r="M86">
        <v>1408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3750</v>
      </c>
      <c r="AD86">
        <v>0</v>
      </c>
      <c r="AE86">
        <v>1373.4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2415.6</v>
      </c>
      <c r="AL86">
        <v>0</v>
      </c>
      <c r="AM86">
        <v>0</v>
      </c>
      <c r="AN86">
        <v>0</v>
      </c>
      <c r="AO86">
        <v>42340.800000000003</v>
      </c>
      <c r="AP86">
        <v>0</v>
      </c>
    </row>
    <row r="87" spans="1:42" x14ac:dyDescent="0.25">
      <c r="A87" t="s">
        <v>42</v>
      </c>
      <c r="B87">
        <v>68226</v>
      </c>
      <c r="C87" t="s">
        <v>198</v>
      </c>
      <c r="D87" t="s">
        <v>49</v>
      </c>
      <c r="E87" t="s">
        <v>94</v>
      </c>
      <c r="F87">
        <v>20</v>
      </c>
      <c r="G87">
        <v>17.5</v>
      </c>
      <c r="H87" t="s">
        <v>194</v>
      </c>
      <c r="I87" t="s">
        <v>195</v>
      </c>
      <c r="J87">
        <v>0</v>
      </c>
      <c r="K87">
        <v>6843.08</v>
      </c>
      <c r="L87">
        <v>0</v>
      </c>
      <c r="M87">
        <v>246.93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374.17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7464.18</v>
      </c>
      <c r="AP87">
        <v>0</v>
      </c>
    </row>
    <row r="88" spans="1:42" x14ac:dyDescent="0.25">
      <c r="A88" t="s">
        <v>42</v>
      </c>
      <c r="B88">
        <v>68227</v>
      </c>
      <c r="C88" t="s">
        <v>199</v>
      </c>
      <c r="D88" t="s">
        <v>49</v>
      </c>
      <c r="E88" t="s">
        <v>94</v>
      </c>
      <c r="F88">
        <v>25</v>
      </c>
      <c r="G88">
        <v>18</v>
      </c>
      <c r="H88" t="s">
        <v>194</v>
      </c>
      <c r="I88" t="s">
        <v>195</v>
      </c>
      <c r="J88">
        <v>0</v>
      </c>
      <c r="K88">
        <v>612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24.48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636.48</v>
      </c>
      <c r="AP88">
        <v>0</v>
      </c>
    </row>
    <row r="89" spans="1:42" x14ac:dyDescent="0.25">
      <c r="A89" t="s">
        <v>42</v>
      </c>
      <c r="B89">
        <v>68228</v>
      </c>
      <c r="C89" t="s">
        <v>200</v>
      </c>
      <c r="D89" t="s">
        <v>44</v>
      </c>
      <c r="E89" t="s">
        <v>94</v>
      </c>
      <c r="F89">
        <v>15</v>
      </c>
      <c r="G89">
        <v>18</v>
      </c>
      <c r="H89" t="s">
        <v>194</v>
      </c>
      <c r="I89" t="s">
        <v>195</v>
      </c>
      <c r="J89">
        <v>0</v>
      </c>
      <c r="K89">
        <v>3483.54</v>
      </c>
      <c r="L89">
        <v>0</v>
      </c>
      <c r="M89">
        <v>54.9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3538.44</v>
      </c>
      <c r="AP89">
        <v>0</v>
      </c>
    </row>
    <row r="90" spans="1:42" x14ac:dyDescent="0.25">
      <c r="A90" t="s">
        <v>42</v>
      </c>
      <c r="B90">
        <v>68229</v>
      </c>
      <c r="C90" t="s">
        <v>201</v>
      </c>
      <c r="D90" t="s">
        <v>49</v>
      </c>
      <c r="E90" t="s">
        <v>94</v>
      </c>
      <c r="F90">
        <v>30</v>
      </c>
      <c r="G90">
        <v>18</v>
      </c>
      <c r="H90" t="s">
        <v>194</v>
      </c>
      <c r="I90" t="s">
        <v>195</v>
      </c>
      <c r="J90">
        <v>0</v>
      </c>
      <c r="K90">
        <v>352.44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14.1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366.54</v>
      </c>
      <c r="AP90">
        <v>0</v>
      </c>
    </row>
    <row r="92" spans="1:42" x14ac:dyDescent="0.25">
      <c r="J92">
        <f t="shared" ref="J92:AP92" si="0">SUM(J5:J91)</f>
        <v>120510.16999999998</v>
      </c>
      <c r="K92">
        <f t="shared" si="0"/>
        <v>1780112.1799999995</v>
      </c>
      <c r="L92">
        <f t="shared" si="0"/>
        <v>51399.71</v>
      </c>
      <c r="M92">
        <f t="shared" si="0"/>
        <v>52198.720000000008</v>
      </c>
      <c r="N92">
        <f t="shared" si="0"/>
        <v>2530.3700000000003</v>
      </c>
      <c r="O92">
        <f t="shared" si="0"/>
        <v>1469</v>
      </c>
      <c r="P92">
        <f t="shared" si="0"/>
        <v>2815.62</v>
      </c>
      <c r="Q92">
        <f t="shared" si="0"/>
        <v>32384.57</v>
      </c>
      <c r="R92">
        <f t="shared" si="0"/>
        <v>42162.89</v>
      </c>
      <c r="S92">
        <f t="shared" si="0"/>
        <v>6186.6299999999992</v>
      </c>
      <c r="T92">
        <f t="shared" si="0"/>
        <v>9461.57</v>
      </c>
      <c r="U92">
        <f t="shared" si="0"/>
        <v>510820.35000000009</v>
      </c>
      <c r="V92">
        <f t="shared" si="0"/>
        <v>19020.21</v>
      </c>
      <c r="W92">
        <f t="shared" si="0"/>
        <v>500</v>
      </c>
      <c r="X92">
        <f t="shared" si="0"/>
        <v>17520.170000000002</v>
      </c>
      <c r="Y92">
        <f t="shared" si="0"/>
        <v>26100</v>
      </c>
      <c r="Z92">
        <f t="shared" si="0"/>
        <v>8708</v>
      </c>
      <c r="AA92">
        <f t="shared" si="0"/>
        <v>6825</v>
      </c>
      <c r="AB92">
        <f t="shared" si="0"/>
        <v>9643.8700000000008</v>
      </c>
      <c r="AC92">
        <f t="shared" si="0"/>
        <v>487301.25</v>
      </c>
      <c r="AD92">
        <f t="shared" si="0"/>
        <v>1000</v>
      </c>
      <c r="AE92">
        <f t="shared" si="0"/>
        <v>218645.09999999995</v>
      </c>
      <c r="AF92">
        <f t="shared" si="0"/>
        <v>-16224.840000000002</v>
      </c>
      <c r="AG92">
        <f t="shared" si="0"/>
        <v>-28650</v>
      </c>
      <c r="AH92">
        <f t="shared" si="0"/>
        <v>892.65</v>
      </c>
      <c r="AI92">
        <f t="shared" si="0"/>
        <v>2057.4700000000003</v>
      </c>
      <c r="AJ92">
        <f t="shared" si="0"/>
        <v>9816.82</v>
      </c>
      <c r="AK92">
        <f t="shared" si="0"/>
        <v>27829.229999999996</v>
      </c>
      <c r="AL92">
        <f t="shared" si="0"/>
        <v>17853.53</v>
      </c>
      <c r="AM92">
        <f t="shared" si="0"/>
        <v>3332.0299999999997</v>
      </c>
      <c r="AN92">
        <f t="shared" si="0"/>
        <v>1005.74</v>
      </c>
      <c r="AO92">
        <f t="shared" si="0"/>
        <v>3282528.1400000015</v>
      </c>
      <c r="AP92">
        <f t="shared" si="0"/>
        <v>1.6</v>
      </c>
    </row>
  </sheetData>
  <autoFilter ref="A4:BZ4" xr:uid="{EB48CC42-6A32-4A74-9AA7-5BA56D700432}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helene poirier</dc:creator>
  <cp:lastModifiedBy>helene poirier</cp:lastModifiedBy>
  <dcterms:created xsi:type="dcterms:W3CDTF">2025-10-16T16:25:45Z</dcterms:created>
  <dcterms:modified xsi:type="dcterms:W3CDTF">2025-10-16T16:44:49Z</dcterms:modified>
</cp:coreProperties>
</file>