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13_ncr:1_{78A24295-04E6-416A-87F9-9BAD05706F61}" xr6:coauthVersionLast="46" xr6:coauthVersionMax="46" xr10:uidLastSave="{00000000-0000-0000-0000-000000000000}"/>
  <bookViews>
    <workbookView xWindow="-120" yWindow="-120" windowWidth="29040" windowHeight="15840" tabRatio="841" activeTab="3" xr2:uid="{18F68337-F8DF-4405-B360-EC39D2F6C110}"/>
  </bookViews>
  <sheets>
    <sheet name="Suivi fin d'année" sheetId="1" r:id="rId1"/>
    <sheet name="RES cédule" sheetId="44" r:id="rId2"/>
    <sheet name="Réserve BEFORE" sheetId="8" r:id="rId3"/>
    <sheet name="Réserve FINAL" sheetId="45" r:id="rId4"/>
    <sheet name="BV" sheetId="9" r:id="rId5"/>
    <sheet name="1202" sheetId="28" r:id="rId6"/>
    <sheet name="1302" sheetId="27" r:id="rId7"/>
    <sheet name="1303" sheetId="29" r:id="rId8"/>
    <sheet name="1312" sheetId="30" r:id="rId9"/>
    <sheet name="1332" sheetId="31" r:id="rId10"/>
    <sheet name="1340" sheetId="32" r:id="rId11"/>
    <sheet name="1352 VIN" sheetId="33" r:id="rId12"/>
    <sheet name="1352 TOT" sheetId="34" r:id="rId13"/>
    <sheet name="1416" sheetId="35" r:id="rId14"/>
    <sheet name="RES" sheetId="36" r:id="rId15"/>
    <sheet name="1402" sheetId="37" r:id="rId16"/>
    <sheet name=" RES NEUF" sheetId="38" r:id="rId17"/>
    <sheet name="2281" sheetId="39" r:id="rId18"/>
    <sheet name="2285" sheetId="40" r:id="rId19"/>
    <sheet name="2287" sheetId="41" r:id="rId20"/>
    <sheet name="2292" sheetId="42" r:id="rId21"/>
  </sheets>
  <definedNames>
    <definedName name="_xlnm._FilterDatabase" localSheetId="6" hidden="1">'1302'!$A$1:$G$21</definedName>
    <definedName name="_xlnm._FilterDatabase" localSheetId="12" hidden="1">'1352 TOT'!$A$1:$F$16</definedName>
    <definedName name="_xlnm._FilterDatabase" localSheetId="11" hidden="1">'1352 VIN'!$A$1:$F$109</definedName>
    <definedName name="_xlnm._FilterDatabase" localSheetId="15" hidden="1">'1402'!$A$1:$F$133</definedName>
    <definedName name="_xlnm._FilterDatabase" localSheetId="13" hidden="1">'1416'!$A$1:$F$90</definedName>
    <definedName name="_xlnm._FilterDatabase" localSheetId="17" hidden="1">'2281'!$A$1:$H$10</definedName>
    <definedName name="_xlnm._FilterDatabase" localSheetId="0" hidden="1">'Suivi fin d''année'!$A$1:$I$104</definedName>
    <definedName name="_xlnm.Print_Are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45" l="1"/>
  <c r="C18" i="45"/>
  <c r="B18" i="45"/>
  <c r="D15" i="45"/>
  <c r="B15" i="45"/>
  <c r="D13" i="45"/>
  <c r="D14" i="45"/>
  <c r="D12" i="45"/>
  <c r="E22" i="8" l="1"/>
  <c r="D20" i="1"/>
  <c r="B6" i="45" s="1"/>
  <c r="D6" i="45" s="1"/>
  <c r="D21" i="1"/>
  <c r="B7" i="45" s="1"/>
  <c r="D7" i="45" s="1"/>
  <c r="E6" i="8"/>
  <c r="D11" i="45"/>
  <c r="B3" i="45"/>
  <c r="D3" i="45" s="1"/>
  <c r="D2" i="45"/>
  <c r="E20" i="8"/>
  <c r="E12" i="8" l="1"/>
  <c r="D13" i="8" l="1"/>
  <c r="E2" i="8"/>
  <c r="C4" i="8"/>
  <c r="D16" i="1" l="1"/>
  <c r="B4" i="45" s="1"/>
  <c r="E7" i="8"/>
  <c r="E8" i="8"/>
  <c r="E10" i="8"/>
  <c r="E3" i="8"/>
  <c r="D4" i="45" l="1"/>
  <c r="C3" i="44"/>
  <c r="E3" i="44"/>
  <c r="F3" i="44"/>
  <c r="C4" i="44"/>
  <c r="E4" i="44"/>
  <c r="F4" i="44" s="1"/>
  <c r="C5" i="44"/>
  <c r="F5" i="44"/>
  <c r="C6" i="44"/>
  <c r="F6" i="44"/>
  <c r="C7" i="44"/>
  <c r="F7" i="44"/>
  <c r="C8" i="44"/>
  <c r="F8" i="44"/>
  <c r="C9" i="44"/>
  <c r="F9" i="44"/>
  <c r="F18" i="44" s="1"/>
  <c r="C10" i="44"/>
  <c r="F10" i="44"/>
  <c r="C11" i="44"/>
  <c r="F11" i="44"/>
  <c r="F19" i="44" s="1"/>
  <c r="C12" i="44"/>
  <c r="F12" i="44"/>
  <c r="C13" i="44"/>
  <c r="E13" i="44"/>
  <c r="F13" i="44" s="1"/>
  <c r="D14" i="44"/>
  <c r="F16" i="44"/>
  <c r="F17" i="44" l="1"/>
  <c r="F20" i="44" s="1"/>
  <c r="F14" i="44"/>
  <c r="E4" i="8" l="1"/>
  <c r="E90" i="35"/>
  <c r="E3" i="36"/>
  <c r="E12" i="34"/>
  <c r="E110" i="33"/>
  <c r="H28" i="32"/>
  <c r="D3" i="1" l="1"/>
  <c r="D4" i="1"/>
  <c r="D5" i="1"/>
  <c r="D6" i="1"/>
  <c r="D7" i="1"/>
  <c r="D8" i="1"/>
  <c r="D9" i="1"/>
  <c r="D10" i="1"/>
  <c r="D11" i="1"/>
  <c r="D13" i="1"/>
  <c r="D14" i="1"/>
  <c r="D15" i="1"/>
  <c r="D12" i="1"/>
  <c r="D17" i="1"/>
  <c r="D18" i="1"/>
  <c r="B5" i="45" s="1"/>
  <c r="D19" i="1"/>
  <c r="B9" i="45" s="1"/>
  <c r="D9" i="45" s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B10" i="45" s="1"/>
  <c r="D10" i="45" s="1"/>
  <c r="D89" i="1"/>
  <c r="D90" i="1"/>
  <c r="D91" i="1"/>
  <c r="D92" i="1"/>
  <c r="D93" i="1"/>
  <c r="D94" i="1"/>
  <c r="H94" i="1" s="1"/>
  <c r="D95" i="1"/>
  <c r="D96" i="1"/>
  <c r="D97" i="1"/>
  <c r="D98" i="1"/>
  <c r="D99" i="1"/>
  <c r="G99" i="1" s="1"/>
  <c r="D100" i="1"/>
  <c r="D101" i="1"/>
  <c r="D102" i="1"/>
  <c r="D103" i="1"/>
  <c r="D104" i="1"/>
  <c r="D2" i="1"/>
  <c r="D5" i="45" l="1"/>
  <c r="E9" i="8"/>
  <c r="B8" i="45"/>
  <c r="D8" i="45" s="1"/>
  <c r="E5" i="8"/>
  <c r="C13" i="8" l="1"/>
  <c r="E11" i="8"/>
  <c r="E13" i="8" l="1"/>
</calcChain>
</file>

<file path=xl/sharedStrings.xml><?xml version="1.0" encoding="utf-8"?>
<sst xmlns="http://schemas.openxmlformats.org/spreadsheetml/2006/main" count="2293" uniqueCount="1308">
  <si>
    <t>Type</t>
  </si>
  <si>
    <t>Description</t>
  </si>
  <si>
    <t>#Compte</t>
  </si>
  <si>
    <t>Solde au livre 2020</t>
  </si>
  <si>
    <t>Écart à concilier</t>
  </si>
  <si>
    <t>To do 1</t>
  </si>
  <si>
    <t>To do 2</t>
  </si>
  <si>
    <t>Solde réserve</t>
  </si>
  <si>
    <t>Réserve neuf</t>
  </si>
  <si>
    <t>Réserve courtoisie</t>
  </si>
  <si>
    <t>Réserve renouvellement</t>
  </si>
  <si>
    <t>Réserve usagé</t>
  </si>
  <si>
    <t>Réserve garantie légale</t>
  </si>
  <si>
    <t>Mauvaise créances pièce et service</t>
  </si>
  <si>
    <t xml:space="preserve">Réserve demo </t>
  </si>
  <si>
    <t>Recevable programme manufacturier</t>
  </si>
  <si>
    <t>Réserve nécéssaire</t>
  </si>
  <si>
    <t>Notes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</si>
  <si>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</si>
  <si>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</si>
  <si>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</si>
  <si>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</si>
  <si>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</si>
  <si>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</si>
  <si>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</si>
  <si>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</si>
  <si>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</si>
  <si>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AT Sort</t>
  </si>
  <si>
    <t>2-Actifs</t>
  </si>
  <si>
    <t>FRAIS REPAS ET REPRESENTATION 50%</t>
  </si>
  <si>
    <t>ENSEIGNES</t>
  </si>
  <si>
    <t>3-Passifs</t>
  </si>
  <si>
    <t>CENTRAIDE</t>
  </si>
  <si>
    <t>RESERVE CARTES PRIVILEGE</t>
  </si>
  <si>
    <t>PNEUS</t>
  </si>
  <si>
    <t>1102</t>
  </si>
  <si>
    <t>BANQUE DE COMMERCE C/C</t>
  </si>
  <si>
    <t>ARGENT IN TRUST</t>
  </si>
  <si>
    <t>PETITE CAISSE</t>
  </si>
  <si>
    <t>1202</t>
  </si>
  <si>
    <t>CONTRATS EN TRANSIT</t>
  </si>
  <si>
    <t>1302</t>
  </si>
  <si>
    <t>RECEVABLE-CLIENT-VEHICULE</t>
  </si>
  <si>
    <t>1303</t>
  </si>
  <si>
    <t>RECEVABLES LPA ET AU GROS</t>
  </si>
  <si>
    <t>1304</t>
  </si>
  <si>
    <t>RECEVABLES PIECES &amp; SERVICE</t>
  </si>
  <si>
    <t>RECEVABLES CARROSSERIE</t>
  </si>
  <si>
    <t>1312</t>
  </si>
  <si>
    <t>RESEVE VOLKS</t>
  </si>
  <si>
    <t>1314</t>
  </si>
  <si>
    <t>1332</t>
  </si>
  <si>
    <t>RECLAM. RECEVABLE-GARANTIE</t>
  </si>
  <si>
    <t>GARANTIE PPM</t>
  </si>
  <si>
    <t>1382</t>
  </si>
  <si>
    <t>RECEV. MANUFACTURIER VOLKS</t>
  </si>
  <si>
    <t>A RECEVOIR LAR</t>
  </si>
  <si>
    <t>1372</t>
  </si>
  <si>
    <t>TAXES DE VENTES A RECEVOIR</t>
  </si>
  <si>
    <t>1402</t>
  </si>
  <si>
    <t>VEHIC. NEUFS VOLKS</t>
  </si>
  <si>
    <t>BRUISING VOLKS VEH. NEUFS</t>
  </si>
  <si>
    <t>1413</t>
  </si>
  <si>
    <t>BRUISING USED CAR</t>
  </si>
  <si>
    <t>1416</t>
  </si>
  <si>
    <t>INV. VEH. USAGE VW</t>
  </si>
  <si>
    <t>1442</t>
  </si>
  <si>
    <t>PIECES &amp; ACCESSOIRES NEUFS</t>
  </si>
  <si>
    <t>AUTRES MARQUES P&amp;A</t>
  </si>
  <si>
    <t>1456</t>
  </si>
  <si>
    <t>PIECES VW NON ORIGINE</t>
  </si>
  <si>
    <t>1472</t>
  </si>
  <si>
    <t>WIP M-O VW</t>
  </si>
  <si>
    <t>INVENTAIRE SOUS-TRAITANTS</t>
  </si>
  <si>
    <t>CARBURANT, HUILE, GRAISSE</t>
  </si>
  <si>
    <t>1498</t>
  </si>
  <si>
    <t>AUTRES INVENTAIRES</t>
  </si>
  <si>
    <t>FPA PUB.VEHICULES NEUFS</t>
  </si>
  <si>
    <t>1500</t>
  </si>
  <si>
    <t>PUBLICITE VEH USAGES</t>
  </si>
  <si>
    <t>FPA PUBLICITE SERVICE</t>
  </si>
  <si>
    <t>FPA PUBLICITE PIECES</t>
  </si>
  <si>
    <t>DIAMOND KOTE (NANO)</t>
  </si>
  <si>
    <t>FPA IMMATRICULATION</t>
  </si>
  <si>
    <t>ASSURANCE DALE PARIZEAU</t>
  </si>
  <si>
    <t>FPA DEDUCTIBLE ASSURANCE</t>
  </si>
  <si>
    <t>FPA PAPETERIE</t>
  </si>
  <si>
    <t>FPA C.C.A.M.Q.</t>
  </si>
  <si>
    <t>FPA FOURNITURES LAVAGE</t>
  </si>
  <si>
    <t>FPA HONORAIRES PROFESSIONNELS</t>
  </si>
  <si>
    <t>FPA FORMATION</t>
  </si>
  <si>
    <t>FPA CONTRATS DE SERVICES</t>
  </si>
  <si>
    <t>FPA GAZ METROPOLITAIN</t>
  </si>
  <si>
    <t>FPA ELECTRICITE HYDRO-QUEBEC</t>
  </si>
  <si>
    <t>FPA C.S.S.T.</t>
  </si>
  <si>
    <t>FPA TAXES MUNICIPALES</t>
  </si>
  <si>
    <t>FPA TAXES AFFAIRES</t>
  </si>
  <si>
    <t>FPA TAXES SCOLAIRES</t>
  </si>
  <si>
    <t>FPA AUTRES</t>
  </si>
  <si>
    <t>FRAIS VOYAGE 100%</t>
  </si>
  <si>
    <t>FRAIS REP NON DEDUCTIBLE 0%</t>
  </si>
  <si>
    <t>AMELIOR. LOCATIVES</t>
  </si>
  <si>
    <t>1700</t>
  </si>
  <si>
    <t>AMORT. CUM. AMEL. LOCAT.</t>
  </si>
  <si>
    <t>MACHINERIE &amp; EQUIPEMENT</t>
  </si>
  <si>
    <t>AMORTISS.MACHINERIE &amp; EQUIP.</t>
  </si>
  <si>
    <t>EQUIPEMENT PIECES</t>
  </si>
  <si>
    <t>AMORTISS.EQUIPEMENTS PIECES</t>
  </si>
  <si>
    <t>EQUIPEMENT TELEPHONIQUE</t>
  </si>
  <si>
    <t>AMORTISS.EQUIP.TELEPHONIQUES</t>
  </si>
  <si>
    <t>AMEUBLEMENT &amp; INSTR.</t>
  </si>
  <si>
    <t>AMORTISS.AMEUBL.INSTR.</t>
  </si>
  <si>
    <t>VEHICULES DE CIE</t>
  </si>
  <si>
    <t>DEPRECIATION &amp; AMORT.</t>
  </si>
  <si>
    <t>EQUIPEMENT INFORMATIQUE</t>
  </si>
  <si>
    <t>AMORTISS.EQUIP.INFORMATIQUES</t>
  </si>
  <si>
    <t>AMORT. CUM. ENSEIGNES</t>
  </si>
  <si>
    <t>1804</t>
  </si>
  <si>
    <t>RECEVABLE-PROP. &amp; EMPL.</t>
  </si>
  <si>
    <t>FINANCEMENT RECEVABLE</t>
  </si>
  <si>
    <t>2101</t>
  </si>
  <si>
    <t>NOTE A PAYER VEH. NEUFS VOLKS</t>
  </si>
  <si>
    <t>2103</t>
  </si>
  <si>
    <t>NOTE PAYABLE-FIN. VEH. USAG.</t>
  </si>
  <si>
    <t>2131</t>
  </si>
  <si>
    <t>PORTION COURANTE PRET</t>
  </si>
  <si>
    <t>2220</t>
  </si>
  <si>
    <t>TPA A PAYER</t>
  </si>
  <si>
    <t>2221</t>
  </si>
  <si>
    <t>TVQ A PAYER</t>
  </si>
  <si>
    <t>TVQ A RECEVOIR</t>
  </si>
  <si>
    <t>2223</t>
  </si>
  <si>
    <t>TPS A PAYER</t>
  </si>
  <si>
    <t>TPS A RECEVOIR</t>
  </si>
  <si>
    <t>DROIT SUR PNEUS</t>
  </si>
  <si>
    <t>2281</t>
  </si>
  <si>
    <t>LIEN A PAYER</t>
  </si>
  <si>
    <t>2283</t>
  </si>
  <si>
    <t>PLAQUE A PAYER</t>
  </si>
  <si>
    <t>2285</t>
  </si>
  <si>
    <t>PROTECTIONS A PAYER</t>
  </si>
  <si>
    <t>2287</t>
  </si>
  <si>
    <t>A PAYER INVAPLAN</t>
  </si>
  <si>
    <t>2291</t>
  </si>
  <si>
    <t>COMPTES FOURNISSEURS</t>
  </si>
  <si>
    <t>2292</t>
  </si>
  <si>
    <t>ECHANGE ENTRE CONCESSIONNAIRES</t>
  </si>
  <si>
    <t>2293</t>
  </si>
  <si>
    <t>PROVISIONS GARANTIES USAGEES</t>
  </si>
  <si>
    <t>RESERVE ESSENCE</t>
  </si>
  <si>
    <t>RESERVE RENOUVELLEMENT</t>
  </si>
  <si>
    <t>2315</t>
  </si>
  <si>
    <t>PRIME ASSURANCE GROUPE</t>
  </si>
  <si>
    <t>COMITE SOCIAL</t>
  </si>
  <si>
    <t>REER STANDARD LIFE</t>
  </si>
  <si>
    <t>COMITE PARITAIRE</t>
  </si>
  <si>
    <t>2401</t>
  </si>
  <si>
    <t>DEPOTS FIDUCIE-VENTE CLIENTS</t>
  </si>
  <si>
    <t>2501</t>
  </si>
  <si>
    <t>COMMISSION A PAYER</t>
  </si>
  <si>
    <t>2503</t>
  </si>
  <si>
    <t>SALAIRES DES EMPLOYES</t>
  </si>
  <si>
    <t>JOURS FERIES</t>
  </si>
  <si>
    <t>2507</t>
  </si>
  <si>
    <t>BONIS - EMPLOYES</t>
  </si>
  <si>
    <t>SALAIRES DE VACANCES</t>
  </si>
  <si>
    <t>JOURNEE MALADIE</t>
  </si>
  <si>
    <t>2801</t>
  </si>
  <si>
    <t>PRET CIBC</t>
  </si>
  <si>
    <t>2901</t>
  </si>
  <si>
    <t>#Contrôle</t>
  </si>
  <si>
    <t>Total</t>
  </si>
  <si>
    <t>Jours</t>
  </si>
  <si>
    <t>NIV</t>
  </si>
  <si>
    <t>NIV-6 derniers</t>
  </si>
  <si>
    <t>4826</t>
  </si>
  <si>
    <t>PARK AVENUE AUDI</t>
  </si>
  <si>
    <t>90686</t>
  </si>
  <si>
    <t>STE-FOY HYUNDAI</t>
  </si>
  <si>
    <t>80761</t>
  </si>
  <si>
    <t>VINCENT CUTILLAS</t>
  </si>
  <si>
    <t>RES20</t>
  </si>
  <si>
    <t>88370</t>
  </si>
  <si>
    <t>IUSTIN-STEFAN DANULET</t>
  </si>
  <si>
    <t>90854</t>
  </si>
  <si>
    <t>JACOB DORAIS</t>
  </si>
  <si>
    <t>90839</t>
  </si>
  <si>
    <t>PRATIK MADAN KULKARNI</t>
  </si>
  <si>
    <t>30521</t>
  </si>
  <si>
    <t>MINI BROSSARD</t>
  </si>
  <si>
    <t>90789</t>
  </si>
  <si>
    <t>XAVIER DUGUAY-MERCIER</t>
  </si>
  <si>
    <t>86132</t>
  </si>
  <si>
    <t>CHARLES GIRARD</t>
  </si>
  <si>
    <t>90816</t>
  </si>
  <si>
    <t>JONATHAN GAD AMAR</t>
  </si>
  <si>
    <t>90704</t>
  </si>
  <si>
    <t>OUMAMA ISMAILI</t>
  </si>
  <si>
    <t>89649</t>
  </si>
  <si>
    <t>LYNE RIOUX</t>
  </si>
  <si>
    <t>90703</t>
  </si>
  <si>
    <t>CHRISTINA PAIEMENT</t>
  </si>
  <si>
    <t>90688</t>
  </si>
  <si>
    <t>DIDIER GARCIA CAPOTE</t>
  </si>
  <si>
    <t>88911</t>
  </si>
  <si>
    <t>EDITH LAPLANTE</t>
  </si>
  <si>
    <t>90847</t>
  </si>
  <si>
    <t>SABRINA SAVARD</t>
  </si>
  <si>
    <t>90379</t>
  </si>
  <si>
    <t>MELANIE GUIGNARD</t>
  </si>
  <si>
    <t>90836</t>
  </si>
  <si>
    <t>GARRY LYNCH</t>
  </si>
  <si>
    <t>90832</t>
  </si>
  <si>
    <t>GILLES BRISSON</t>
  </si>
  <si>
    <t>Remarques</t>
  </si>
  <si>
    <t>90788</t>
  </si>
  <si>
    <t>EMILE C CHAMPIGNY</t>
  </si>
  <si>
    <t>1ER PMT</t>
  </si>
  <si>
    <t>a recevoir ass remplacement mais retrouve pas dossier</t>
  </si>
  <si>
    <t>depot de securite</t>
  </si>
  <si>
    <t>reboursement ssq</t>
  </si>
  <si>
    <t>a risk</t>
  </si>
  <si>
    <t>vente en janvier</t>
  </si>
  <si>
    <t>0  en janvier</t>
  </si>
  <si>
    <t>AJ CEDULE</t>
  </si>
  <si>
    <t>200523</t>
  </si>
  <si>
    <t>20 VOLKSWAGEN ATLAS</t>
  </si>
  <si>
    <t>1V2MC2CA3LC207864</t>
  </si>
  <si>
    <t>200101A</t>
  </si>
  <si>
    <t>17 JEEP GRAND CHEROKEE</t>
  </si>
  <si>
    <t>1C4RJFLG0HC739315</t>
  </si>
  <si>
    <t>200406B</t>
  </si>
  <si>
    <t>13 VOLKSWAGEN BEETLE</t>
  </si>
  <si>
    <t>3VWJL7AT1DM648735</t>
  </si>
  <si>
    <t>191706A</t>
  </si>
  <si>
    <t>15 VOLKSWAGEN GOLF 5</t>
  </si>
  <si>
    <t>3VW4T7AU9FM002979</t>
  </si>
  <si>
    <t>200472A</t>
  </si>
  <si>
    <t>03 FORD TAURUS</t>
  </si>
  <si>
    <t>1FAFP53U13G183492</t>
  </si>
  <si>
    <t>210074</t>
  </si>
  <si>
    <t>21 VOLKSWAGEN GOLF</t>
  </si>
  <si>
    <t>3VWG57AUXMM002932</t>
  </si>
  <si>
    <t>transférer au client</t>
  </si>
  <si>
    <t>PDI et holdback recevables manuf</t>
  </si>
  <si>
    <t>53570 paye en double 2019</t>
  </si>
  <si>
    <t>#Téléphone</t>
  </si>
  <si>
    <t>Adresse</t>
  </si>
  <si>
    <t>Jours en stock</t>
  </si>
  <si>
    <t>1V2BR2CA5MC544379</t>
  </si>
  <si>
    <t>21 VOLKSWAGEN ATLAS</t>
  </si>
  <si>
    <t>544379</t>
  </si>
  <si>
    <t>1V2FR2CA0MC542430</t>
  </si>
  <si>
    <t>542430</t>
  </si>
  <si>
    <t>1V2FR2CA3MC551705</t>
  </si>
  <si>
    <t>551705</t>
  </si>
  <si>
    <t>1V2LP2CA5MC551813</t>
  </si>
  <si>
    <t>551813</t>
  </si>
  <si>
    <t>1V2LR2CA9MC545183</t>
  </si>
  <si>
    <t>545183</t>
  </si>
  <si>
    <t>3VV1B7AX9MM040195</t>
  </si>
  <si>
    <t>21 VOLKSWAGEN TIGUAN</t>
  </si>
  <si>
    <t>040195</t>
  </si>
  <si>
    <t>3VV2B7AX0MM036198</t>
  </si>
  <si>
    <t>036198</t>
  </si>
  <si>
    <t>3VV2B7AX1MM017451</t>
  </si>
  <si>
    <t>017451</t>
  </si>
  <si>
    <t>3VV2B7AX2MM032959</t>
  </si>
  <si>
    <t>032959</t>
  </si>
  <si>
    <t>3VV2B7AX9MM036166</t>
  </si>
  <si>
    <t>036166</t>
  </si>
  <si>
    <t>3VWC57BU0MM018666</t>
  </si>
  <si>
    <t>21 VOLKSWAGEN JETTA</t>
  </si>
  <si>
    <t>018666</t>
  </si>
  <si>
    <t>3VWC57BU0MM023950</t>
  </si>
  <si>
    <t>023950</t>
  </si>
  <si>
    <t>3VWC57BU1MM023603</t>
  </si>
  <si>
    <t>023603</t>
  </si>
  <si>
    <t>3VWC57BU9MM024286</t>
  </si>
  <si>
    <t>024286</t>
  </si>
  <si>
    <t>3VWE57BU0MM018854</t>
  </si>
  <si>
    <t>018854</t>
  </si>
  <si>
    <t>3VWE57BU1MM021780</t>
  </si>
  <si>
    <t>021780</t>
  </si>
  <si>
    <t>3VWE57BU2MM028222</t>
  </si>
  <si>
    <t>028222</t>
  </si>
  <si>
    <t>3VWE57BU3MM020257</t>
  </si>
  <si>
    <t>020257</t>
  </si>
  <si>
    <t>3VWE57BU8MM021923</t>
  </si>
  <si>
    <t>021923</t>
  </si>
  <si>
    <t>3VWE57BU8MM021954</t>
  </si>
  <si>
    <t>021954</t>
  </si>
  <si>
    <t>3VWE57BU8MM023008</t>
  </si>
  <si>
    <t>023008</t>
  </si>
  <si>
    <t>3VWE57BU9MM020117</t>
  </si>
  <si>
    <t>020117</t>
  </si>
  <si>
    <t>3VWG57AU2MM003248</t>
  </si>
  <si>
    <t>003248</t>
  </si>
  <si>
    <t>3VWG57BU3MM028450</t>
  </si>
  <si>
    <t>028450</t>
  </si>
  <si>
    <t>CREDIT2019</t>
  </si>
  <si>
    <t>PDI CREDIT EN DOUBLE</t>
  </si>
  <si>
    <t>IT2019</t>
  </si>
  <si>
    <t>payables une fois par mois pour vehic mois avant</t>
  </si>
  <si>
    <t xml:space="preserve">claim service - suivi fait par Manfai Fan </t>
  </si>
  <si>
    <t>Date org</t>
  </si>
  <si>
    <t>Actuel</t>
  </si>
  <si>
    <t>31-60</t>
  </si>
  <si>
    <t>61-90</t>
  </si>
  <si>
    <t>91+</t>
  </si>
  <si>
    <t>33833XC</t>
  </si>
  <si>
    <t>WVGEF9BP8FD003728</t>
  </si>
  <si>
    <t>38357XC</t>
  </si>
  <si>
    <t>1V2NR2CA7JC506967</t>
  </si>
  <si>
    <t>39716XC</t>
  </si>
  <si>
    <t>3VV4B7AX3JM048074</t>
  </si>
  <si>
    <t>41820XC</t>
  </si>
  <si>
    <t>3VWR17AU7JM764132</t>
  </si>
  <si>
    <t>CLAIMS 2018 ET MOINS</t>
  </si>
  <si>
    <t>48080XC</t>
  </si>
  <si>
    <t>WVGJV7AX1GW034042</t>
  </si>
  <si>
    <t>50046A</t>
  </si>
  <si>
    <t>3VWM17AU7JM758972</t>
  </si>
  <si>
    <t>49897B</t>
  </si>
  <si>
    <t>WVGNV7AX1HK032351</t>
  </si>
  <si>
    <t>50047A</t>
  </si>
  <si>
    <t>1VWUA7A33LC005628</t>
  </si>
  <si>
    <t>50048A</t>
  </si>
  <si>
    <t>1VWUA7A30LC005568</t>
  </si>
  <si>
    <t>50051A</t>
  </si>
  <si>
    <t>1VWUA7A31LC007975</t>
  </si>
  <si>
    <t>50089A</t>
  </si>
  <si>
    <t>1VWUA7A31LC013338</t>
  </si>
  <si>
    <t>50090A</t>
  </si>
  <si>
    <t>1VWUA7A32LC004759</t>
  </si>
  <si>
    <t>50091A</t>
  </si>
  <si>
    <t>1VWUA7A32LC014806</t>
  </si>
  <si>
    <t>50092A</t>
  </si>
  <si>
    <t>1VWUA7A33LC004883</t>
  </si>
  <si>
    <t>50122A</t>
  </si>
  <si>
    <t>1VWUA7A39LC006024</t>
  </si>
  <si>
    <t>50125A</t>
  </si>
  <si>
    <t>1VWUA7A38LC010131</t>
  </si>
  <si>
    <t>50264A</t>
  </si>
  <si>
    <t>1VWUA7A39LC015192</t>
  </si>
  <si>
    <t>50270A</t>
  </si>
  <si>
    <t>1VWUA7A39LC005990</t>
  </si>
  <si>
    <t>50124A</t>
  </si>
  <si>
    <t>1VWUA7A3XLC009563</t>
  </si>
  <si>
    <t>50139XC</t>
  </si>
  <si>
    <t>3VW6T7AU0KM012139</t>
  </si>
  <si>
    <t>50035XC</t>
  </si>
  <si>
    <t>3VV2B7AX1JM012343</t>
  </si>
  <si>
    <t>50123A</t>
  </si>
  <si>
    <t>1VWUA7A3XLC012852</t>
  </si>
  <si>
    <t>50265A</t>
  </si>
  <si>
    <t>1VWUA7A33LC005810</t>
  </si>
  <si>
    <t>50267A</t>
  </si>
  <si>
    <t>1VWUA7A37LC007866</t>
  </si>
  <si>
    <t>50319A</t>
  </si>
  <si>
    <t>1VWUA7A33LC005709</t>
  </si>
  <si>
    <t>50320A</t>
  </si>
  <si>
    <t>1VWUA7A33LC007976</t>
  </si>
  <si>
    <t>49602XC</t>
  </si>
  <si>
    <t>3VV4B7AX3JM125171</t>
  </si>
  <si>
    <t>50321A</t>
  </si>
  <si>
    <t>1VWUA7A34LC004777</t>
  </si>
  <si>
    <t>50049A</t>
  </si>
  <si>
    <t>50050A</t>
  </si>
  <si>
    <t>50266A</t>
  </si>
  <si>
    <t>50364A</t>
  </si>
  <si>
    <t>1VWUA7A34LC004875</t>
  </si>
  <si>
    <t>50365A</t>
  </si>
  <si>
    <t>1VWUA7A35LC012676</t>
  </si>
  <si>
    <t>50366A</t>
  </si>
  <si>
    <t>1VWUA7A36LC005736</t>
  </si>
  <si>
    <t>50367A</t>
  </si>
  <si>
    <t>1VWUA7A36LC007809</t>
  </si>
  <si>
    <t>50368A</t>
  </si>
  <si>
    <t>1VWUA7A38LC016964</t>
  </si>
  <si>
    <t>49925A</t>
  </si>
  <si>
    <t>3VWN57BU3KM098549</t>
  </si>
  <si>
    <t>50837E</t>
  </si>
  <si>
    <t>3VWE57BUXKM084941</t>
  </si>
  <si>
    <t>49778XC</t>
  </si>
  <si>
    <t>3VW267AJ2GM261397</t>
  </si>
  <si>
    <t>50773B</t>
  </si>
  <si>
    <t>1V2NR2CA3JC520963</t>
  </si>
  <si>
    <t>51077XC</t>
  </si>
  <si>
    <t>3VW817AU9HM035586</t>
  </si>
  <si>
    <t>50962XC</t>
  </si>
  <si>
    <t>3VWC17AU2HM503457</t>
  </si>
  <si>
    <t>51045XC</t>
  </si>
  <si>
    <t>3VWDB7AJ5HM224821</t>
  </si>
  <si>
    <t>51272XC</t>
  </si>
  <si>
    <t>3VWD17AU1JM767148</t>
  </si>
  <si>
    <t>51554XC</t>
  </si>
  <si>
    <t>3VWDB7AJ4HM282497</t>
  </si>
  <si>
    <t>51797A</t>
  </si>
  <si>
    <t>3VW217AU7HM036967</t>
  </si>
  <si>
    <t>50227B</t>
  </si>
  <si>
    <t>3VW217AU9FM071684</t>
  </si>
  <si>
    <t>50655A</t>
  </si>
  <si>
    <t>3VV2B7AX2LM133000</t>
  </si>
  <si>
    <t>50839A</t>
  </si>
  <si>
    <t>3VW5T7AU3KM033045</t>
  </si>
  <si>
    <t>51079A</t>
  </si>
  <si>
    <t>WVGNV7AX9HW508662</t>
  </si>
  <si>
    <t>51079D</t>
  </si>
  <si>
    <t>51210A</t>
  </si>
  <si>
    <t>3VWDA7AJ0FM407074</t>
  </si>
  <si>
    <t>51273XC</t>
  </si>
  <si>
    <t>3VW167AJ0GM413236</t>
  </si>
  <si>
    <t>51319A</t>
  </si>
  <si>
    <t>1V2TR2CA0KC515549</t>
  </si>
  <si>
    <t>48118A</t>
  </si>
  <si>
    <t>3VW5T7AUXKM010863</t>
  </si>
  <si>
    <t>51043B</t>
  </si>
  <si>
    <t>1V2HR2CA6JC506584</t>
  </si>
  <si>
    <t>51589C</t>
  </si>
  <si>
    <t>WVGNV7AXXHK014852</t>
  </si>
  <si>
    <t>51689XC</t>
  </si>
  <si>
    <t>3VWVS7AT4DM675819</t>
  </si>
  <si>
    <t>51838XC</t>
  </si>
  <si>
    <t>3VWYT7AU9HM003621</t>
  </si>
  <si>
    <t>51974A</t>
  </si>
  <si>
    <t>3VW217AU2GM039130</t>
  </si>
  <si>
    <t>52019XC</t>
  </si>
  <si>
    <t>3VWB17AU6JM251598</t>
  </si>
  <si>
    <t>51837XC</t>
  </si>
  <si>
    <t>WVGJV7AX0GW534127</t>
  </si>
  <si>
    <t>52071XC</t>
  </si>
  <si>
    <t>3VV4B7AX3JM172300</t>
  </si>
  <si>
    <t>51947XC</t>
  </si>
  <si>
    <t>WVGNV7AX6HW509686</t>
  </si>
  <si>
    <t>50974B</t>
  </si>
  <si>
    <t>1V2BP2CA7JC537922</t>
  </si>
  <si>
    <t>51988A</t>
  </si>
  <si>
    <t>3VW637AJ7DM241099</t>
  </si>
  <si>
    <t>52455B</t>
  </si>
  <si>
    <t>3VWC57BU7KM181702</t>
  </si>
  <si>
    <t>52523A</t>
  </si>
  <si>
    <t>3VWDL7AJ1EM265830</t>
  </si>
  <si>
    <t>52523C</t>
  </si>
  <si>
    <t>52264D</t>
  </si>
  <si>
    <t>3VWG57BU6KM017486</t>
  </si>
  <si>
    <t>52328A</t>
  </si>
  <si>
    <t>WVGNV7AX8HK024831</t>
  </si>
  <si>
    <t>52322XC</t>
  </si>
  <si>
    <t>3VV2B7AXXJM051870</t>
  </si>
  <si>
    <t>52834A</t>
  </si>
  <si>
    <t>JA4AT4AABKZ603569</t>
  </si>
  <si>
    <t>52262XC</t>
  </si>
  <si>
    <t>3VW117AU1HM014216</t>
  </si>
  <si>
    <t>53020A</t>
  </si>
  <si>
    <t>3VWC57BU9KM039982</t>
  </si>
  <si>
    <t>53092A</t>
  </si>
  <si>
    <t>3VW1K7AJ0FM271206</t>
  </si>
  <si>
    <t>49271A</t>
  </si>
  <si>
    <t>WVGEF9BP8GD004167</t>
  </si>
  <si>
    <t>49271C</t>
  </si>
  <si>
    <t>52575A</t>
  </si>
  <si>
    <t>3VW6T7AU2KM033641</t>
  </si>
  <si>
    <t>52620XC</t>
  </si>
  <si>
    <t>3VW217AU0HM037538</t>
  </si>
  <si>
    <t>52811D</t>
  </si>
  <si>
    <t>3VW217AU2HM014701</t>
  </si>
  <si>
    <t>52263E</t>
  </si>
  <si>
    <t>3VWYT7AU2HM001385</t>
  </si>
  <si>
    <t>53368A</t>
  </si>
  <si>
    <t>WVWWF7AU2HW018799</t>
  </si>
  <si>
    <t>53412A</t>
  </si>
  <si>
    <t>3VV0B7AX2JM217273</t>
  </si>
  <si>
    <t>52621XC</t>
  </si>
  <si>
    <t>3VV4B7AX4JM022289</t>
  </si>
  <si>
    <t>52973XC</t>
  </si>
  <si>
    <t>WVGNV7AX7HW511253</t>
  </si>
  <si>
    <t>53369A</t>
  </si>
  <si>
    <t>3VV4B7AX6JM005154</t>
  </si>
  <si>
    <t>53411XC</t>
  </si>
  <si>
    <t>3VV4B7AX0JM013993</t>
  </si>
  <si>
    <t>53630A</t>
  </si>
  <si>
    <t>WVGNV7AX2HK027093</t>
  </si>
  <si>
    <t>50386A</t>
  </si>
  <si>
    <t>3VV2B7AX8JM107353</t>
  </si>
  <si>
    <t>52809XC</t>
  </si>
  <si>
    <t>WVGNV7AX7HK027008</t>
  </si>
  <si>
    <t>53361XC</t>
  </si>
  <si>
    <t>WVGNV7AXXHK027813</t>
  </si>
  <si>
    <t>53470A</t>
  </si>
  <si>
    <t>3VW447AU5JM292210</t>
  </si>
  <si>
    <t>53470XC</t>
  </si>
  <si>
    <t>53469XC</t>
  </si>
  <si>
    <t>3VV2B7AXXJM006136</t>
  </si>
  <si>
    <t>53657XC</t>
  </si>
  <si>
    <t>3VW217AU9HM048151</t>
  </si>
  <si>
    <t>53730A</t>
  </si>
  <si>
    <t>WVGDP9BP3ED005801</t>
  </si>
  <si>
    <t>53835A</t>
  </si>
  <si>
    <t>1V2BP2CA9MC513819</t>
  </si>
  <si>
    <t>53889B</t>
  </si>
  <si>
    <t>3VV0B7AXXKM122722</t>
  </si>
  <si>
    <t>53912A</t>
  </si>
  <si>
    <t>3VWC17AU2GM513131</t>
  </si>
  <si>
    <t>53930A</t>
  </si>
  <si>
    <t>WVWCA7AJ5CW216955</t>
  </si>
  <si>
    <t>52440B</t>
  </si>
  <si>
    <t>3VW357BU0KM071395</t>
  </si>
  <si>
    <t>53873A</t>
  </si>
  <si>
    <t>3VWN57BU8KM073629</t>
  </si>
  <si>
    <t>53920A</t>
  </si>
  <si>
    <t>3VV2B7AX6KM014333</t>
  </si>
  <si>
    <t>53401C</t>
  </si>
  <si>
    <t>3VW2B7AJ3HM217101</t>
  </si>
  <si>
    <t>53896A</t>
  </si>
  <si>
    <t>3VWDL7AJ1DM426126</t>
  </si>
  <si>
    <t>53779XC</t>
  </si>
  <si>
    <t>3VWJ17AT5HM601638</t>
  </si>
  <si>
    <t>53781XC</t>
  </si>
  <si>
    <t>3VW117AU6HM058583</t>
  </si>
  <si>
    <t>53814A</t>
  </si>
  <si>
    <t>3VV4B7AX8JM018598</t>
  </si>
  <si>
    <t>53833XC</t>
  </si>
  <si>
    <t>3VW5T7AU3KM006184</t>
  </si>
  <si>
    <t>53927D</t>
  </si>
  <si>
    <t>3VWE57BU0KM091896</t>
  </si>
  <si>
    <t>49418A</t>
  </si>
  <si>
    <t>3VWPX7AJ0BM617972</t>
  </si>
  <si>
    <t>49587A</t>
  </si>
  <si>
    <t>3VW6T7AU3KM026195</t>
  </si>
  <si>
    <t>53558A</t>
  </si>
  <si>
    <t>3VWG57AU7KM031446</t>
  </si>
  <si>
    <t>53810A</t>
  </si>
  <si>
    <t>3VWTL8AJXAM630307</t>
  </si>
  <si>
    <t>53810B</t>
  </si>
  <si>
    <t>53824A</t>
  </si>
  <si>
    <t>WVGEP9BP1DD011356</t>
  </si>
  <si>
    <t>53922XC</t>
  </si>
  <si>
    <t>3VV2B7AX2JM105193</t>
  </si>
  <si>
    <t>53971XC</t>
  </si>
  <si>
    <t>3VWC17AU0HM524517</t>
  </si>
  <si>
    <t>53782XC</t>
  </si>
  <si>
    <t>3VWA17AU8FM505072</t>
  </si>
  <si>
    <t>53832XC</t>
  </si>
  <si>
    <t>3VW4T7AU9HM021616</t>
  </si>
  <si>
    <t>54042B</t>
  </si>
  <si>
    <t>1VWEA7A34LC004699</t>
  </si>
  <si>
    <t>53558B</t>
  </si>
  <si>
    <t>54057XC</t>
  </si>
  <si>
    <t>50603A</t>
  </si>
  <si>
    <t>WVWDA7AJ9CW122176</t>
  </si>
  <si>
    <t>50603B</t>
  </si>
  <si>
    <t>50603C</t>
  </si>
  <si>
    <t>50608A</t>
  </si>
  <si>
    <t>3VWDL7AJ1CM340166</t>
  </si>
  <si>
    <t>50608B</t>
  </si>
  <si>
    <t>50608C</t>
  </si>
  <si>
    <t>53503A</t>
  </si>
  <si>
    <t>3VW5T7AU2MM004364</t>
  </si>
  <si>
    <t>53926XC</t>
  </si>
  <si>
    <t>3VWE17AU8JM267640</t>
  </si>
  <si>
    <t>54158A</t>
  </si>
  <si>
    <t>3VV4B7AX7LM136094</t>
  </si>
  <si>
    <t>54177A</t>
  </si>
  <si>
    <t>3VV0B7AX5KM079858</t>
  </si>
  <si>
    <t>54247A</t>
  </si>
  <si>
    <t>3VV2B7AX2KM081169</t>
  </si>
  <si>
    <t>54248A</t>
  </si>
  <si>
    <t>3VV4B7AXXLM081723</t>
  </si>
  <si>
    <t>54276XC</t>
  </si>
  <si>
    <t>3VWE57BU6KM176144</t>
  </si>
  <si>
    <t>54278XC</t>
  </si>
  <si>
    <t>1VWCS7A35GC035194</t>
  </si>
  <si>
    <t>54284A</t>
  </si>
  <si>
    <t>3VWW57BU4LM066389</t>
  </si>
  <si>
    <t>54291A</t>
  </si>
  <si>
    <t>1V2FR2CA4MC542463</t>
  </si>
  <si>
    <t>54292A</t>
  </si>
  <si>
    <t>3VV4B7AX3KM172931</t>
  </si>
  <si>
    <t>54310A</t>
  </si>
  <si>
    <t>3VV2B7AX6JM114110</t>
  </si>
  <si>
    <t>54320A</t>
  </si>
  <si>
    <t>3VV0B7AX1JM185240</t>
  </si>
  <si>
    <t>54323A</t>
  </si>
  <si>
    <t>3VV0B7AX8LM132943</t>
  </si>
  <si>
    <t>54342A</t>
  </si>
  <si>
    <t>3VV2B7AX1LM057057</t>
  </si>
  <si>
    <t>54357A</t>
  </si>
  <si>
    <t>3VV4B7AX7LM108103</t>
  </si>
  <si>
    <t>54369A</t>
  </si>
  <si>
    <t>1V2TE2CA2LC220577</t>
  </si>
  <si>
    <t>54372A</t>
  </si>
  <si>
    <t>3VV2B7AX0JM156191</t>
  </si>
  <si>
    <t>54356A</t>
  </si>
  <si>
    <t>3VV4B7AX5JM123485</t>
  </si>
  <si>
    <t>53496A</t>
  </si>
  <si>
    <t>3VV4B7AX4MM011796</t>
  </si>
  <si>
    <t>53497A</t>
  </si>
  <si>
    <t>3VV4B7AX3MM016570</t>
  </si>
  <si>
    <t>53677A</t>
  </si>
  <si>
    <t>3VWW57AUXMM003834</t>
  </si>
  <si>
    <t>54149A</t>
  </si>
  <si>
    <t>1VWCA7A3XLC009154</t>
  </si>
  <si>
    <t>54150A</t>
  </si>
  <si>
    <t>1VWEA7A30LC018695</t>
  </si>
  <si>
    <t>54152A</t>
  </si>
  <si>
    <t>1VWEA7A31LC006829</t>
  </si>
  <si>
    <t>54220A</t>
  </si>
  <si>
    <t>1VWEA7A33LC018643</t>
  </si>
  <si>
    <t>54240A</t>
  </si>
  <si>
    <t>3VV2B7AX1KM022551</t>
  </si>
  <si>
    <t>54411A</t>
  </si>
  <si>
    <t>3VV4B7AX2LM145267</t>
  </si>
  <si>
    <t>54416A</t>
  </si>
  <si>
    <t>3VV1B7AX9LM030488</t>
  </si>
  <si>
    <t>54418A</t>
  </si>
  <si>
    <t>3VV0B7AX6JM161435</t>
  </si>
  <si>
    <t>54419B</t>
  </si>
  <si>
    <t>$4,400 + 90 jours ok</t>
  </si>
  <si>
    <t>LGM prolonge plus audi approuve</t>
  </si>
  <si>
    <t>245157</t>
  </si>
  <si>
    <t>AJUSTEMENT DEPOT 0305</t>
  </si>
  <si>
    <t>248649</t>
  </si>
  <si>
    <t>WVGJV7AX4DW526236</t>
  </si>
  <si>
    <t>248917</t>
  </si>
  <si>
    <t>3VWE57BU9KM101826</t>
  </si>
  <si>
    <t>247087</t>
  </si>
  <si>
    <t>3VWC17AU6GM501984</t>
  </si>
  <si>
    <t>249220</t>
  </si>
  <si>
    <t>WVGJV3AX4EW580906</t>
  </si>
  <si>
    <t>ATTENTE PMT OK BRUNO LAFONTAIN</t>
  </si>
  <si>
    <t>249870</t>
  </si>
  <si>
    <t>3VV2B7AX2JM054875</t>
  </si>
  <si>
    <t>ATTENTE CHQ SUPERVITRE</t>
  </si>
  <si>
    <t>251816</t>
  </si>
  <si>
    <t>3VW217AU0KM513178</t>
  </si>
  <si>
    <t>RENVOI LGM 14 JANV</t>
  </si>
  <si>
    <t>251442</t>
  </si>
  <si>
    <t>3VWC17AU8GM506832</t>
  </si>
  <si>
    <t>CLIENTE PAS PAYER SA PARTIE</t>
  </si>
  <si>
    <t>251211</t>
  </si>
  <si>
    <t>3VWH17AU5HM529833</t>
  </si>
  <si>
    <t>CHQ ENVOYE CLIENT 24 NOV</t>
  </si>
  <si>
    <t>252268</t>
  </si>
  <si>
    <t>3VWPX7AJ3DM607424</t>
  </si>
  <si>
    <t>252862</t>
  </si>
  <si>
    <t>1V2HR2CA2KC554181</t>
  </si>
  <si>
    <t>252876</t>
  </si>
  <si>
    <t>WVWSR7AN2KE019611</t>
  </si>
  <si>
    <t>252953</t>
  </si>
  <si>
    <t>3VW217AU5HM071040</t>
  </si>
  <si>
    <t>253142</t>
  </si>
  <si>
    <t>WVWDA7AJ2BW051983</t>
  </si>
  <si>
    <t>VOIR VINCENT M</t>
  </si>
  <si>
    <t>253372</t>
  </si>
  <si>
    <t>WVGEP9BP7DD004993</t>
  </si>
  <si>
    <t>COURRIEL COMPT 19 JANV 21</t>
  </si>
  <si>
    <t>253519</t>
  </si>
  <si>
    <t>WVWPR7AUXLW903255</t>
  </si>
  <si>
    <t>252499</t>
  </si>
  <si>
    <t>WVWPF7AJ8DW083676</t>
  </si>
  <si>
    <t>253951</t>
  </si>
  <si>
    <t>253460</t>
  </si>
  <si>
    <t>WVWVF7AU5HW174041</t>
  </si>
  <si>
    <t>254266</t>
  </si>
  <si>
    <t>254553</t>
  </si>
  <si>
    <t>254578</t>
  </si>
  <si>
    <t>254620</t>
  </si>
  <si>
    <t>253556</t>
  </si>
  <si>
    <t>254704</t>
  </si>
  <si>
    <t>1VWAH7A37EC054638</t>
  </si>
  <si>
    <t>res20 éga; + 90 jours $4400</t>
  </si>
  <si>
    <t>VWAVAN2020Q2</t>
  </si>
  <si>
    <t>AJUST CEDULE</t>
  </si>
  <si>
    <t>VWAVAN2020Q1</t>
  </si>
  <si>
    <t>VW PROTECTION PLUS</t>
  </si>
  <si>
    <t>VWAVANTQ32020</t>
  </si>
  <si>
    <t>VCI</t>
  </si>
  <si>
    <t>TOT-Q4</t>
  </si>
  <si>
    <t>TOT Q4</t>
  </si>
  <si>
    <t>3VV2B7AX5LM104171</t>
  </si>
  <si>
    <t>20 VOLKSWAGEN TIGUAN</t>
  </si>
  <si>
    <t>3VV4B7AX7LM138623</t>
  </si>
  <si>
    <t>1VWUA7A30LC011645</t>
  </si>
  <si>
    <t>20 VOLKSWAGEN PASSAT</t>
  </si>
  <si>
    <t>BONUS-REP</t>
  </si>
  <si>
    <t>BONI REPRESENTANT DEC 20</t>
  </si>
  <si>
    <t>3VV0B7AX5MM013359</t>
  </si>
  <si>
    <t>3VV2B7AX5LM137042</t>
  </si>
  <si>
    <t>1VWEA7A39LC004102</t>
  </si>
  <si>
    <t>3VV0B7AX9LM095126</t>
  </si>
  <si>
    <t>3VWEB7BUXLM076445</t>
  </si>
  <si>
    <t>20 VOLKSWAGEN JETTA</t>
  </si>
  <si>
    <t>3VWG57AU7KM019247</t>
  </si>
  <si>
    <t>19 VOLKSWAGEN GOLF</t>
  </si>
  <si>
    <t>WVWPR7AU2LW906019</t>
  </si>
  <si>
    <t>20 VOLKSWAGEN GOLF</t>
  </si>
  <si>
    <t>3VWC57BU9MM016687</t>
  </si>
  <si>
    <t>3VW6T7AU2MM001064</t>
  </si>
  <si>
    <t>21 VOLKSWAGEN GTI</t>
  </si>
  <si>
    <t>3VW6T7AU6MM001942</t>
  </si>
  <si>
    <t>3VW5T7AU4MM002406</t>
  </si>
  <si>
    <t>3VW5T7AU5MM002513</t>
  </si>
  <si>
    <t>3VV2B7AX5MM018795</t>
  </si>
  <si>
    <t>3VV2B7AX4MM011515</t>
  </si>
  <si>
    <t>3VV2B7AX4MM013250</t>
  </si>
  <si>
    <t>3VV2B7AX7MM017972</t>
  </si>
  <si>
    <t>3VWG57AU0MM001692</t>
  </si>
  <si>
    <t>3VWG57AU0MM003880</t>
  </si>
  <si>
    <t>3VWG57AU0MM004446</t>
  </si>
  <si>
    <t>3VWG57AU1MM001247</t>
  </si>
  <si>
    <t>3VWG57AU1MM001393</t>
  </si>
  <si>
    <t>3VWG57AU2MM001371</t>
  </si>
  <si>
    <t>3VWG57AU4MM004336</t>
  </si>
  <si>
    <t>3VWG57AU5MM001719</t>
  </si>
  <si>
    <t>3VWG57AU5MM001736</t>
  </si>
  <si>
    <t>3VWG57AU5MM001994</t>
  </si>
  <si>
    <t>3VWG57AU5MM003003</t>
  </si>
  <si>
    <t>3VWG57AU9MM003876</t>
  </si>
  <si>
    <t>3VWG57AUXMM002395</t>
  </si>
  <si>
    <t>3VWB67AJ8HM244587</t>
  </si>
  <si>
    <t>17 VOLKSWAGEN JETTA</t>
  </si>
  <si>
    <t>3VWDB7AJ8HM234467</t>
  </si>
  <si>
    <t>17 VOLKSWAGEN JETTA SEDAN</t>
  </si>
  <si>
    <t>3VWW57AU1MM000790</t>
  </si>
  <si>
    <t>3VWW57AU1MM001888</t>
  </si>
  <si>
    <t>3VWW57AU2MM000149</t>
  </si>
  <si>
    <t>3VWW57AUXMM001856</t>
  </si>
  <si>
    <t>3VWW57AUXMM001985</t>
  </si>
  <si>
    <t>3VW267AJ3GM390197</t>
  </si>
  <si>
    <t>16 VOLKSWAGEN JETTA SEDAN</t>
  </si>
  <si>
    <t>3VWG57AU2MM002682</t>
  </si>
  <si>
    <t>3VWG57AU2MM003475</t>
  </si>
  <si>
    <t>3VWG57AU6MM001826</t>
  </si>
  <si>
    <t>3VWG57AU6MM003236</t>
  </si>
  <si>
    <t>3VWG57AU7MM000281</t>
  </si>
  <si>
    <t>3VWG57AUXMM001862</t>
  </si>
  <si>
    <t>3VWG57AUXMM001876</t>
  </si>
  <si>
    <t>3VWG57AUXMM004048</t>
  </si>
  <si>
    <t>3VWW57AU0MM000697</t>
  </si>
  <si>
    <t>3VWW57AU0MM003504</t>
  </si>
  <si>
    <t>3VWW57AU0MM003678</t>
  </si>
  <si>
    <t>3VWW57AU2MM003472</t>
  </si>
  <si>
    <t>3VWW57AU6MM002664</t>
  </si>
  <si>
    <t>3VWW57AU6MM003460</t>
  </si>
  <si>
    <t>3VWW57AU8MM002987</t>
  </si>
  <si>
    <t>1V2BP2CA9MC548280</t>
  </si>
  <si>
    <t>1V2BR2CA2MC549619</t>
  </si>
  <si>
    <t>1V2BR2CA3MC552531</t>
  </si>
  <si>
    <t>1V2LC2CA9MC206764</t>
  </si>
  <si>
    <t>3VW5T7AU1MM001083</t>
  </si>
  <si>
    <t>1V2GC2CA8LC217741</t>
  </si>
  <si>
    <t>1V2ME2CA2LC223502</t>
  </si>
  <si>
    <t>1V2ME2CA8LC222385</t>
  </si>
  <si>
    <t>1V2NE2CA2LC225125</t>
  </si>
  <si>
    <t>3VV2B7AX5LM160837</t>
  </si>
  <si>
    <t>3VV2B7AX5LM169540</t>
  </si>
  <si>
    <t>3VV2B7AX8LM143045</t>
  </si>
  <si>
    <t>3VV2B7AX9LM159142</t>
  </si>
  <si>
    <t>3VV4B7AX8LM144172</t>
  </si>
  <si>
    <t>3VWEB7BU9LM076615</t>
  </si>
  <si>
    <t>3VWG57AU2LM015897</t>
  </si>
  <si>
    <t>3VWG57AU3LM014497</t>
  </si>
  <si>
    <t>1V2BP2CA4MC505904</t>
  </si>
  <si>
    <t>1V2BR2CA9MC509974</t>
  </si>
  <si>
    <t>3VV0B7AX4LM134706</t>
  </si>
  <si>
    <t>3VV0B7AX7LM097795</t>
  </si>
  <si>
    <t>3VV2B7AX8LM137004</t>
  </si>
  <si>
    <t>3VV4B7AX0LM013480</t>
  </si>
  <si>
    <t>3VV4B7AX2LM175823</t>
  </si>
  <si>
    <t>3VWH17AU3KM518482</t>
  </si>
  <si>
    <t>3VV0B7AX1LM111545</t>
  </si>
  <si>
    <t>3VV0B7AX4LM131627</t>
  </si>
  <si>
    <t>3VV0B7AX5LM131703</t>
  </si>
  <si>
    <t>3VV4B7AX2LM105268</t>
  </si>
  <si>
    <t>3VV0B7AX3LM132574</t>
  </si>
  <si>
    <t>3VV0B7AX4LM132762</t>
  </si>
  <si>
    <t>3VV0B7AX8LM131095</t>
  </si>
  <si>
    <t>3VV0B7AXXLM136301</t>
  </si>
  <si>
    <t>1V2BR2CA1MC514618</t>
  </si>
  <si>
    <t>3VW5T7AU5LM017091</t>
  </si>
  <si>
    <t>20 VOLKSWAGEN GTI</t>
  </si>
  <si>
    <t>3VV2B7AX2LM117203</t>
  </si>
  <si>
    <t>TOT-Q3</t>
  </si>
  <si>
    <t>1VWEA7A39LC001572</t>
  </si>
  <si>
    <t>3VV2B7AX5LM104400</t>
  </si>
  <si>
    <t>PIECES2006</t>
  </si>
  <si>
    <t>RISTOURNE DE PIECES</t>
  </si>
  <si>
    <t>PIECES0820</t>
  </si>
  <si>
    <t>RISTOURNCE PIECE</t>
  </si>
  <si>
    <t>WVWPR7AU5LW906161</t>
  </si>
  <si>
    <t>3VWR17AU8KM517784</t>
  </si>
  <si>
    <t>WVWPR7AU1LW903810</t>
  </si>
  <si>
    <t>WVWPR7AU3LW901587</t>
  </si>
  <si>
    <t>WVWPR7AU4LW902697</t>
  </si>
  <si>
    <t>WVWPR7AU7LW909482</t>
  </si>
  <si>
    <t>WVWPR7AU9LW900850</t>
  </si>
  <si>
    <t>3VWR17AU3KM524934</t>
  </si>
  <si>
    <t>RIST-PIECE-JUILLE</t>
  </si>
  <si>
    <t>WVWPR7AU3LW909320</t>
  </si>
  <si>
    <t>TOT-Q2</t>
  </si>
  <si>
    <t>TOT-12</t>
  </si>
  <si>
    <t>TOT</t>
  </si>
  <si>
    <t>WVWPR7AU2LW900544</t>
  </si>
  <si>
    <t>WVWPR7AU6LW909148</t>
  </si>
  <si>
    <t>RISTPIECEDEC</t>
  </si>
  <si>
    <t>RECEV RISTOURNES PIECE DE</t>
  </si>
  <si>
    <t>date achat donc date</t>
  </si>
  <si>
    <t>roulez vert long a collecté</t>
  </si>
  <si>
    <t>a 0</t>
  </si>
  <si>
    <t>RES19</t>
  </si>
  <si>
    <t>190272A</t>
  </si>
  <si>
    <t>4827P</t>
  </si>
  <si>
    <t>17 VOLKSWAGEN TIGUAN</t>
  </si>
  <si>
    <t>WVGNV7AX4HW504079</t>
  </si>
  <si>
    <t>4794P</t>
  </si>
  <si>
    <t>18 VOLKSWAGEN BEETLE CONVERTI</t>
  </si>
  <si>
    <t>3VW5DAAT9JM516989</t>
  </si>
  <si>
    <t>DEMARREUR + PNEU</t>
  </si>
  <si>
    <t>200276A</t>
  </si>
  <si>
    <t>WVGLV7AX1HW508307</t>
  </si>
  <si>
    <t>RES MAGS</t>
  </si>
  <si>
    <t>200303A</t>
  </si>
  <si>
    <t>16 VOLKSWAGEN JETTA</t>
  </si>
  <si>
    <t>3VWD07AJ4GM390395</t>
  </si>
  <si>
    <t>VITRES TEINTEES</t>
  </si>
  <si>
    <t>200284A</t>
  </si>
  <si>
    <t>3VWDB7AJ7HM223055</t>
  </si>
  <si>
    <t>RES CHANGEMENT HUILE</t>
  </si>
  <si>
    <t>4832P</t>
  </si>
  <si>
    <t>18 VOLKSWAGEN GOLF GTI</t>
  </si>
  <si>
    <t>3VW447AU4JM288410</t>
  </si>
  <si>
    <t>4811P</t>
  </si>
  <si>
    <t>14 VOLKSWAGEN JETTA SEDAN</t>
  </si>
  <si>
    <t>3VWG07AJ4EM318770</t>
  </si>
  <si>
    <t>RESERVE SERVICE</t>
  </si>
  <si>
    <t>4859P</t>
  </si>
  <si>
    <t>19 VOLKSWAGEN TIGUAN</t>
  </si>
  <si>
    <t>3VV4B7AX8KM038044</t>
  </si>
  <si>
    <t>PARE-PIERRE</t>
  </si>
  <si>
    <t>200507A</t>
  </si>
  <si>
    <t>200477A</t>
  </si>
  <si>
    <t>3VWB67AJ1GM304904</t>
  </si>
  <si>
    <t>4858P</t>
  </si>
  <si>
    <t>08 VOLKSWAGEN JETTA SEDAN</t>
  </si>
  <si>
    <t>3VWHM71K48M147346</t>
  </si>
  <si>
    <t>200045B</t>
  </si>
  <si>
    <t>09 TOYOTA YARIS</t>
  </si>
  <si>
    <t>JTDBT903791338646</t>
  </si>
  <si>
    <t>4838PA</t>
  </si>
  <si>
    <t>10 VOLKSWAGEN GOLF 5</t>
  </si>
  <si>
    <t>WVWCA7AJ9AW425659</t>
  </si>
  <si>
    <t>200517A</t>
  </si>
  <si>
    <t>15 HYUNDAI ACCENT 5</t>
  </si>
  <si>
    <t>KMHCT5AE8FU221466</t>
  </si>
  <si>
    <t>200306B</t>
  </si>
  <si>
    <t>13 VOLKSWAGEN JETTA SEDAN</t>
  </si>
  <si>
    <t>3VWBK7AJ6DM407422</t>
  </si>
  <si>
    <t>4844PA</t>
  </si>
  <si>
    <t>3VW1K7AJ3EM249280</t>
  </si>
  <si>
    <t>200476A</t>
  </si>
  <si>
    <t>12 VOLKSWAGEN JETTA SEDAN</t>
  </si>
  <si>
    <t>3VWDX7AJ3CM405880</t>
  </si>
  <si>
    <t>4841PA</t>
  </si>
  <si>
    <t>12 HYUNDAI ELANTRA</t>
  </si>
  <si>
    <t>5NPDH4AE7CH083073</t>
  </si>
  <si>
    <t>200398A</t>
  </si>
  <si>
    <t>14 VOLKSWAGEN JETTA</t>
  </si>
  <si>
    <t>3VW2K7AJXEM409482</t>
  </si>
  <si>
    <t>200474A</t>
  </si>
  <si>
    <t>15 VOLKSWAGEN GOLF</t>
  </si>
  <si>
    <t>3VW217AU7FM044676</t>
  </si>
  <si>
    <t>190394B</t>
  </si>
  <si>
    <t>06 FORD TRUCK ESCAPE</t>
  </si>
  <si>
    <t>1FMYU93146KA67189</t>
  </si>
  <si>
    <t>200315A</t>
  </si>
  <si>
    <t>3VW2B7AJ0HM234406</t>
  </si>
  <si>
    <t>200022A</t>
  </si>
  <si>
    <t>15 VOLKSWAGEN JETTA SEDAN</t>
  </si>
  <si>
    <t>3VWD07AJ4FM232282</t>
  </si>
  <si>
    <t>4867P</t>
  </si>
  <si>
    <t>200473A</t>
  </si>
  <si>
    <t>15 VOLKSWAGEN JETTA</t>
  </si>
  <si>
    <t>3VWG07AJXFM240321</t>
  </si>
  <si>
    <t>200439A</t>
  </si>
  <si>
    <t>3VWB67AJ0HM279334</t>
  </si>
  <si>
    <t>200526A</t>
  </si>
  <si>
    <t>17 VOLKSWAGEN GOLF</t>
  </si>
  <si>
    <t>3VW217AUXHM047090</t>
  </si>
  <si>
    <t>4852P</t>
  </si>
  <si>
    <t>200524A</t>
  </si>
  <si>
    <t>16 HONDA CIVIC SEDAN</t>
  </si>
  <si>
    <t>2HGFC2F54GH027774</t>
  </si>
  <si>
    <t>210106A</t>
  </si>
  <si>
    <t>3VW217AU9HM042026</t>
  </si>
  <si>
    <t>200413A</t>
  </si>
  <si>
    <t>4879P</t>
  </si>
  <si>
    <t>3VW2B7AJ3HM314413</t>
  </si>
  <si>
    <t>200368A</t>
  </si>
  <si>
    <t>18 VOLKSWAGEN GOLF</t>
  </si>
  <si>
    <t>200363A</t>
  </si>
  <si>
    <t>3VW117AU9HM012293</t>
  </si>
  <si>
    <t>4845P</t>
  </si>
  <si>
    <t>200519A</t>
  </si>
  <si>
    <t>17 VOLKSWAGEN BEETLE COUPE</t>
  </si>
  <si>
    <t>3VWJ17AT1HM625080</t>
  </si>
  <si>
    <t>4872P</t>
  </si>
  <si>
    <t>3VW217AU3HM023245</t>
  </si>
  <si>
    <t>4877P</t>
  </si>
  <si>
    <t>3VW217AUXHM010329</t>
  </si>
  <si>
    <t>4863P</t>
  </si>
  <si>
    <t>4864P</t>
  </si>
  <si>
    <t>15 VOLKSWAGEN GOLF SPORTWAGON</t>
  </si>
  <si>
    <t>4868P</t>
  </si>
  <si>
    <t>17 VOLKSWAGEN GOLF SPORTWAGON</t>
  </si>
  <si>
    <t>191688A</t>
  </si>
  <si>
    <t>16 VOLKSWAGEN PASSAT 1.8 TSI</t>
  </si>
  <si>
    <t>200208B</t>
  </si>
  <si>
    <t>200440A</t>
  </si>
  <si>
    <t>200469A</t>
  </si>
  <si>
    <t>200426A</t>
  </si>
  <si>
    <t>WVGNV7AX8HW505171</t>
  </si>
  <si>
    <t>4855P</t>
  </si>
  <si>
    <t>200282A</t>
  </si>
  <si>
    <t>16 VOLKSWAGEN TIGUAN 2.0 TSI 4 MOT</t>
  </si>
  <si>
    <t>200410A</t>
  </si>
  <si>
    <t>4876P</t>
  </si>
  <si>
    <t>3VWB17AU4JM292201</t>
  </si>
  <si>
    <t>200436A</t>
  </si>
  <si>
    <t>4857P</t>
  </si>
  <si>
    <t>4865P</t>
  </si>
  <si>
    <t>200163A</t>
  </si>
  <si>
    <t>15 BMW SAV X3</t>
  </si>
  <si>
    <t>5UXWX9C58F0D59964</t>
  </si>
  <si>
    <t>4843PA</t>
  </si>
  <si>
    <t>WVGNV7AX3HW513453</t>
  </si>
  <si>
    <t>4881P</t>
  </si>
  <si>
    <t>19 VOLKSWAGEN JETTA</t>
  </si>
  <si>
    <t>3VWE57BU7KM151026</t>
  </si>
  <si>
    <t>200371A</t>
  </si>
  <si>
    <t>4850P</t>
  </si>
  <si>
    <t>17 VOLKSWAGEN GOLF GTI</t>
  </si>
  <si>
    <t>4873P</t>
  </si>
  <si>
    <t>3VWE57BU5KM012108</t>
  </si>
  <si>
    <t>200144A</t>
  </si>
  <si>
    <t>4880P</t>
  </si>
  <si>
    <t>16 VOLKSWAGEN GOLF GTI</t>
  </si>
  <si>
    <t>3VW4T7AU6GM058458</t>
  </si>
  <si>
    <t>200369A</t>
  </si>
  <si>
    <t>200357A</t>
  </si>
  <si>
    <t>210090A</t>
  </si>
  <si>
    <t>200213A</t>
  </si>
  <si>
    <t>18 VOLKSWAGEN GOLF SPORTWAGEN</t>
  </si>
  <si>
    <t>200479A</t>
  </si>
  <si>
    <t>4875P</t>
  </si>
  <si>
    <t>200465A</t>
  </si>
  <si>
    <t>200045A</t>
  </si>
  <si>
    <t>18 VOLKSWAGEN TIGUAN</t>
  </si>
  <si>
    <t>3VV2B7AXXJM150396</t>
  </si>
  <si>
    <t>4882P</t>
  </si>
  <si>
    <t>16 VOLKSWAGEN GOLF R</t>
  </si>
  <si>
    <t>WVWUF7AU5GW309951</t>
  </si>
  <si>
    <t>200489A</t>
  </si>
  <si>
    <t>200530A</t>
  </si>
  <si>
    <t>17 ACURA RDX</t>
  </si>
  <si>
    <t>5J8TB4H72HL810290</t>
  </si>
  <si>
    <t>4861P</t>
  </si>
  <si>
    <t>210089A</t>
  </si>
  <si>
    <t>3VV2B7AX9JM031402</t>
  </si>
  <si>
    <t>200298A</t>
  </si>
  <si>
    <t>4870P</t>
  </si>
  <si>
    <t>3VV4B7AX4JM008537</t>
  </si>
  <si>
    <t>200520A</t>
  </si>
  <si>
    <t>3VV4B7AX2JM118812</t>
  </si>
  <si>
    <t>4869P</t>
  </si>
  <si>
    <t>19 VOLKSWAGEN GOLF GTI</t>
  </si>
  <si>
    <t>4836P</t>
  </si>
  <si>
    <t>18 VOLKSWAGEN ATLAS</t>
  </si>
  <si>
    <t>1V2LR2CA1JC509094</t>
  </si>
  <si>
    <t>200531A</t>
  </si>
  <si>
    <t>3VV4B7AX4JM202422</t>
  </si>
  <si>
    <t>PROTEX</t>
  </si>
  <si>
    <t>210055A</t>
  </si>
  <si>
    <t>200434A</t>
  </si>
  <si>
    <t>210018A</t>
  </si>
  <si>
    <t>210060A</t>
  </si>
  <si>
    <t>1V2MR2CA2JC509125</t>
  </si>
  <si>
    <t>200311A</t>
  </si>
  <si>
    <t>1V2LR2CA8JC509741</t>
  </si>
  <si>
    <t>210054A</t>
  </si>
  <si>
    <t>1V2MR2CA0JC533391</t>
  </si>
  <si>
    <t>BON DE TRAVAIL FERME JANVIER</t>
  </si>
  <si>
    <t>RESDEM</t>
  </si>
  <si>
    <t>191285 DEP FEV- MARS</t>
  </si>
  <si>
    <t>RESCOU</t>
  </si>
  <si>
    <t>VEH NEUF RESERVE</t>
  </si>
  <si>
    <t>200454</t>
  </si>
  <si>
    <t>TAG + VITRES TEINTEES</t>
  </si>
  <si>
    <t>200530</t>
  </si>
  <si>
    <t>200528</t>
  </si>
  <si>
    <t>190585</t>
  </si>
  <si>
    <t>3VV0B7AX6KM087077</t>
  </si>
  <si>
    <t>RESERVE ACCESSOIRE</t>
  </si>
  <si>
    <t>200525</t>
  </si>
  <si>
    <t>DEMARREUR + TAG</t>
  </si>
  <si>
    <t>200354</t>
  </si>
  <si>
    <t>3VV2B7AX2LM117122</t>
  </si>
  <si>
    <t>DEMARREUR 254181</t>
  </si>
  <si>
    <t>190849</t>
  </si>
  <si>
    <t>19 VOLKSWAGEN ATLAS</t>
  </si>
  <si>
    <t>1V2AP2CAXKC557465</t>
  </si>
  <si>
    <t>RESERVE PNEUS</t>
  </si>
  <si>
    <t>200499</t>
  </si>
  <si>
    <t>RENONCIATION DETTE</t>
  </si>
  <si>
    <t>200518</t>
  </si>
  <si>
    <t>1V2GC2CA4LC213492</t>
  </si>
  <si>
    <t>RES 253792</t>
  </si>
  <si>
    <t>200416</t>
  </si>
  <si>
    <t>3VWG57AU7LM007164</t>
  </si>
  <si>
    <t>190448</t>
  </si>
  <si>
    <t>3VWN57BU5KM135519</t>
  </si>
  <si>
    <t>VITRES TEINTE</t>
  </si>
  <si>
    <t>190458</t>
  </si>
  <si>
    <t>3VWN57BU0KM147352</t>
  </si>
  <si>
    <t>VITRES TIENTEES</t>
  </si>
  <si>
    <t>200215</t>
  </si>
  <si>
    <t>3VV2B7AX9LM101189</t>
  </si>
  <si>
    <t>RES TAPIS</t>
  </si>
  <si>
    <t>200506</t>
  </si>
  <si>
    <t>3VWEB7BU6LM059769</t>
  </si>
  <si>
    <t>ENTREPOSAGE PNEUS ETE</t>
  </si>
  <si>
    <t>200398</t>
  </si>
  <si>
    <t>A REC LGM</t>
  </si>
  <si>
    <t>200501</t>
  </si>
  <si>
    <t>3VWCB7BU5LM006410</t>
  </si>
  <si>
    <t>210036</t>
  </si>
  <si>
    <t>210041</t>
  </si>
  <si>
    <t>210043</t>
  </si>
  <si>
    <t>210051</t>
  </si>
  <si>
    <t>210094</t>
  </si>
  <si>
    <t>210095</t>
  </si>
  <si>
    <t>210096</t>
  </si>
  <si>
    <t>210097</t>
  </si>
  <si>
    <t>210081</t>
  </si>
  <si>
    <t>200339</t>
  </si>
  <si>
    <t>3VWCB7BU6LM073887</t>
  </si>
  <si>
    <t>200503</t>
  </si>
  <si>
    <t>3VWCB7BU2LM047979</t>
  </si>
  <si>
    <t>210067</t>
  </si>
  <si>
    <t>210042</t>
  </si>
  <si>
    <t>210046</t>
  </si>
  <si>
    <t>210050</t>
  </si>
  <si>
    <t>210075</t>
  </si>
  <si>
    <t>210077</t>
  </si>
  <si>
    <t>210080</t>
  </si>
  <si>
    <t>210065</t>
  </si>
  <si>
    <t>210066</t>
  </si>
  <si>
    <t>200320</t>
  </si>
  <si>
    <t>3VWEB7BU8LM068425</t>
  </si>
  <si>
    <t>200334</t>
  </si>
  <si>
    <t>3VWEB7BU7LM071073</t>
  </si>
  <si>
    <t>200377</t>
  </si>
  <si>
    <t>3VWEB7BU6LM068164</t>
  </si>
  <si>
    <t>210030</t>
  </si>
  <si>
    <t>210100</t>
  </si>
  <si>
    <t>210101</t>
  </si>
  <si>
    <t>210102</t>
  </si>
  <si>
    <t>210103</t>
  </si>
  <si>
    <t>210104</t>
  </si>
  <si>
    <t>210116</t>
  </si>
  <si>
    <t>210033</t>
  </si>
  <si>
    <t>210032</t>
  </si>
  <si>
    <t>210034</t>
  </si>
  <si>
    <t>210039</t>
  </si>
  <si>
    <t>200337</t>
  </si>
  <si>
    <t>3VWEB7BU4LM071161</t>
  </si>
  <si>
    <t>210049</t>
  </si>
  <si>
    <t>210072</t>
  </si>
  <si>
    <t>210084</t>
  </si>
  <si>
    <t>210085</t>
  </si>
  <si>
    <t>210087</t>
  </si>
  <si>
    <t>210040</t>
  </si>
  <si>
    <t>200351</t>
  </si>
  <si>
    <t>3VWEB7BU8LM071082</t>
  </si>
  <si>
    <t>200399</t>
  </si>
  <si>
    <t>3VWEB7BU7LM073180</t>
  </si>
  <si>
    <t>200404</t>
  </si>
  <si>
    <t>3VWEB7BU6LM071016</t>
  </si>
  <si>
    <t>210098</t>
  </si>
  <si>
    <t>210099</t>
  </si>
  <si>
    <t>210037</t>
  </si>
  <si>
    <t>210038</t>
  </si>
  <si>
    <t>210048</t>
  </si>
  <si>
    <t>210073</t>
  </si>
  <si>
    <t>210076</t>
  </si>
  <si>
    <t>210078</t>
  </si>
  <si>
    <t>210079</t>
  </si>
  <si>
    <t>210110</t>
  </si>
  <si>
    <t>210031</t>
  </si>
  <si>
    <t>210117</t>
  </si>
  <si>
    <t>210119</t>
  </si>
  <si>
    <t>200452</t>
  </si>
  <si>
    <t>3VV0B7AX9LM131221</t>
  </si>
  <si>
    <t>200471</t>
  </si>
  <si>
    <t>3VV0B7AX3LM133160</t>
  </si>
  <si>
    <t>200450</t>
  </si>
  <si>
    <t>3VV0B7AX6LM133170</t>
  </si>
  <si>
    <t>TAG</t>
  </si>
  <si>
    <t>200509</t>
  </si>
  <si>
    <t>1VWBA7A3XLC005469</t>
  </si>
  <si>
    <t>210070</t>
  </si>
  <si>
    <t>200080</t>
  </si>
  <si>
    <t>210064</t>
  </si>
  <si>
    <t>210068</t>
  </si>
  <si>
    <t>200521</t>
  </si>
  <si>
    <t>3VV2B7AX6LM169532</t>
  </si>
  <si>
    <t>210088</t>
  </si>
  <si>
    <t>210093</t>
  </si>
  <si>
    <t>210105</t>
  </si>
  <si>
    <t>210108</t>
  </si>
  <si>
    <t>210111</t>
  </si>
  <si>
    <t>210069</t>
  </si>
  <si>
    <t>200480</t>
  </si>
  <si>
    <t>3VV2B7AX8LM165482</t>
  </si>
  <si>
    <t>200373</t>
  </si>
  <si>
    <t>3VV2B7AX9LM129784</t>
  </si>
  <si>
    <t>210047</t>
  </si>
  <si>
    <t>200362</t>
  </si>
  <si>
    <t>3VV2B7AX0LM134968</t>
  </si>
  <si>
    <t>210028</t>
  </si>
  <si>
    <t>210083</t>
  </si>
  <si>
    <t>200048</t>
  </si>
  <si>
    <t>200050</t>
  </si>
  <si>
    <t>WVWPR7AU7LW906050</t>
  </si>
  <si>
    <t>200053</t>
  </si>
  <si>
    <t>WVWPR7AU2LW905971</t>
  </si>
  <si>
    <t>200514</t>
  </si>
  <si>
    <t>WVWPR7AU7LW916738</t>
  </si>
  <si>
    <t>200129</t>
  </si>
  <si>
    <t>WVWPR7AU5LW909500</t>
  </si>
  <si>
    <t>200130</t>
  </si>
  <si>
    <t>WVWPR7AU7LW908803</t>
  </si>
  <si>
    <t>200132</t>
  </si>
  <si>
    <t>WVWPR7AU9LW909211</t>
  </si>
  <si>
    <t>200238</t>
  </si>
  <si>
    <t>WVWPR7AUXLW909170</t>
  </si>
  <si>
    <t>200015</t>
  </si>
  <si>
    <t>WVWPR7AU8LW903111</t>
  </si>
  <si>
    <t>200038</t>
  </si>
  <si>
    <t>WVWPR7AU2LW902701</t>
  </si>
  <si>
    <t>200056</t>
  </si>
  <si>
    <t>WVWPR7AU7LW908851</t>
  </si>
  <si>
    <t>200046</t>
  </si>
  <si>
    <t>WVWPR7AU6LW909165</t>
  </si>
  <si>
    <t>200054</t>
  </si>
  <si>
    <t>WVWPR7AUXLW908973</t>
  </si>
  <si>
    <t>210063</t>
  </si>
  <si>
    <t>200127</t>
  </si>
  <si>
    <t>WVWPR7AU1LW909493</t>
  </si>
  <si>
    <t>200151</t>
  </si>
  <si>
    <t>WVWPR7AU7LW909370</t>
  </si>
  <si>
    <t>200020</t>
  </si>
  <si>
    <t>WVWPR7AU0LW900591</t>
  </si>
  <si>
    <t>200039</t>
  </si>
  <si>
    <t>210062</t>
  </si>
  <si>
    <t>200255</t>
  </si>
  <si>
    <t>WVWPR7AU4LW914123</t>
  </si>
  <si>
    <t>200120</t>
  </si>
  <si>
    <t>WVWPR7AU0LW910540</t>
  </si>
  <si>
    <t>210061</t>
  </si>
  <si>
    <t>200516</t>
  </si>
  <si>
    <t>WVWPR7AU6LW902054</t>
  </si>
  <si>
    <t>200239</t>
  </si>
  <si>
    <t>3VW6T7AU3LM011245</t>
  </si>
  <si>
    <t>210025</t>
  </si>
  <si>
    <t>3VV4B7AX5MM000211</t>
  </si>
  <si>
    <t>210112</t>
  </si>
  <si>
    <t>1V2LP2CA9MC517101</t>
  </si>
  <si>
    <t>210086</t>
  </si>
  <si>
    <t>1V2LP2CA7MC540778</t>
  </si>
  <si>
    <t>210118</t>
  </si>
  <si>
    <t>210091</t>
  </si>
  <si>
    <t>210092</t>
  </si>
  <si>
    <t>210082</t>
  </si>
  <si>
    <t>1V2BC2CA7MC200635</t>
  </si>
  <si>
    <t>200401</t>
  </si>
  <si>
    <t>20 VOLKSWAGEN ARTEON</t>
  </si>
  <si>
    <t>WVWSR7AN5LE012590</t>
  </si>
  <si>
    <t>210114</t>
  </si>
  <si>
    <t>210115</t>
  </si>
  <si>
    <t>210113</t>
  </si>
  <si>
    <t>A REC CLIENT</t>
  </si>
  <si>
    <t xml:space="preserve">INVENTAIRE NANO OK JESS VA VALIDER APRES </t>
  </si>
  <si>
    <t>pas VCI - 0 en janvier</t>
  </si>
  <si>
    <t>90407</t>
  </si>
  <si>
    <t>QC INC 9157-4731 QUEBEC INC</t>
  </si>
  <si>
    <t>80397</t>
  </si>
  <si>
    <t>PATRICK MARCOTRIGIANO</t>
  </si>
  <si>
    <t>90689</t>
  </si>
  <si>
    <t>GILLIAN BARTLETT</t>
  </si>
  <si>
    <t>90786</t>
  </si>
  <si>
    <t>JULIE THIBAULT</t>
  </si>
  <si>
    <t>1ER PMT DEDUIT DEBOURSER</t>
  </si>
  <si>
    <t>90811</t>
  </si>
  <si>
    <t>SIMON BEAULIEU</t>
  </si>
  <si>
    <t>87968</t>
  </si>
  <si>
    <t>GUY THERIAULT</t>
  </si>
  <si>
    <t>88991</t>
  </si>
  <si>
    <t>ELIZ 9357-4101 QUEBEC INC</t>
  </si>
  <si>
    <t>90874</t>
  </si>
  <si>
    <t>MAXIME ALLAN-CHARTRAND</t>
  </si>
  <si>
    <t>paye en double a audi cheque de  audi a vw pour canceller en janvier</t>
  </si>
  <si>
    <t>recevable de Ind Alliance pour ass rempl recu 13 janvier - traiter dans le compte paid ou a payer parceque…mais recevable client</t>
  </si>
  <si>
    <t>cheque annuler a passer au profit en 13e</t>
  </si>
  <si>
    <t>voir avec Yves</t>
  </si>
  <si>
    <t>cheque en janvier</t>
  </si>
  <si>
    <t>CREDIT PSC028189</t>
  </si>
  <si>
    <t>200186</t>
  </si>
  <si>
    <t>3VV0B7AX2LM112929</t>
  </si>
  <si>
    <t>210010</t>
  </si>
  <si>
    <t>1V2LR2CA0MC515750</t>
  </si>
  <si>
    <t>200490</t>
  </si>
  <si>
    <t>3VV4B7AX0LM020834</t>
  </si>
  <si>
    <t>200508</t>
  </si>
  <si>
    <t>200442</t>
  </si>
  <si>
    <t>3VV0B7AX4LM131739</t>
  </si>
  <si>
    <t>191688</t>
  </si>
  <si>
    <t>promo entretien prepaye recevable de VW</t>
  </si>
  <si>
    <t>confirmer avec F &amp; I ok</t>
  </si>
  <si>
    <t>payable 6 janvier compte deviens a -9167 avec res de 10k</t>
  </si>
  <si>
    <t>90802</t>
  </si>
  <si>
    <t>JOANIE LABELLE</t>
  </si>
  <si>
    <t>(514) 266-1115</t>
  </si>
  <si>
    <t>156 DAIGNEAULT CHAMBLY, QC J3L 0X3</t>
  </si>
  <si>
    <t>200302</t>
  </si>
  <si>
    <t>ass rempl Ind All</t>
  </si>
  <si>
    <t>Symtech</t>
  </si>
  <si>
    <t>200242</t>
  </si>
  <si>
    <t>3VWG57AU8LM010770</t>
  </si>
  <si>
    <t>Audi</t>
  </si>
  <si>
    <t>VW outaoauis</t>
  </si>
  <si>
    <t>cheque juillet pas recu annulé 31 dec pour en faire un autre en janvier</t>
  </si>
  <si>
    <t>cheque fait en janvier</t>
  </si>
  <si>
    <t>cobien de x et f x annuel</t>
  </si>
  <si>
    <t>meme chiffre que l'année passé plus bas</t>
  </si>
  <si>
    <t>deneigement langlois pas loin de 0</t>
  </si>
  <si>
    <t>fact janvier</t>
  </si>
  <si>
    <t>Martin chiffre</t>
  </si>
  <si>
    <t>paiement?</t>
  </si>
  <si>
    <t>montant credit et vieux</t>
  </si>
  <si>
    <t>fichier martin</t>
  </si>
  <si>
    <t>dans réserve véhicule neuf</t>
  </si>
  <si>
    <t>goodwill used</t>
  </si>
  <si>
    <t>Réserve fin d'année</t>
  </si>
  <si>
    <t>a conserver</t>
  </si>
  <si>
    <t>Service</t>
  </si>
  <si>
    <t>Used</t>
  </si>
  <si>
    <t>Neuf</t>
  </si>
  <si>
    <t>F&amp;I</t>
  </si>
  <si>
    <t>service</t>
  </si>
  <si>
    <t>neuf</t>
  </si>
  <si>
    <t>F &amp; I</t>
  </si>
  <si>
    <t>GL</t>
  </si>
  <si>
    <t>Ajust a faire</t>
  </si>
  <si>
    <t>Réserve</t>
  </si>
  <si>
    <t>QG</t>
  </si>
  <si>
    <t>Ajust  à faire</t>
  </si>
  <si>
    <t>Ajustement prix piece</t>
  </si>
  <si>
    <t>Boni VP DG</t>
  </si>
  <si>
    <t>piement de janvier</t>
  </si>
  <si>
    <t>DAS</t>
  </si>
  <si>
    <t>as per Martin</t>
  </si>
  <si>
    <t>reclass paie 2503</t>
  </si>
  <si>
    <t>reclass to 1456</t>
  </si>
  <si>
    <t>1399</t>
  </si>
  <si>
    <t>RESERVE CREANCE DOUTEUSES</t>
  </si>
  <si>
    <t>recalss items</t>
  </si>
  <si>
    <t>wash</t>
  </si>
  <si>
    <t>amort already validate</t>
  </si>
  <si>
    <t>import and do JE</t>
  </si>
  <si>
    <t xml:space="preserve">50/50 prov neuf et used </t>
  </si>
  <si>
    <t>21 court 2% par mois sur route</t>
  </si>
  <si>
    <t>6 demos 2% par mois sur route</t>
  </si>
  <si>
    <t>25k corpo et 20k reseve boni piece recu an trop</t>
  </si>
  <si>
    <t>50% 90 jours + et ristournce piece prise mais pas recu</t>
  </si>
  <si>
    <t>Amendé soumis pour prélèvement en trop pour avril qui avait été payé avec Juin</t>
  </si>
  <si>
    <t>CORRECTION FERIE A PAYER</t>
  </si>
  <si>
    <t>TOT estimé</t>
  </si>
  <si>
    <t>MOVE TO RESERVE NEUF</t>
  </si>
  <si>
    <t>TO PROFIT</t>
  </si>
  <si>
    <t>VAR</t>
  </si>
  <si>
    <t>RENOUVELLEMENT KEPT MOVED TO RESERVE NEUF</t>
  </si>
  <si>
    <t>1423</t>
  </si>
  <si>
    <t>RESERVE DEMO</t>
  </si>
  <si>
    <t>RESERVE COURTOISIE</t>
  </si>
  <si>
    <t>143</t>
  </si>
  <si>
    <t>Cash</t>
  </si>
  <si>
    <t>AR</t>
  </si>
  <si>
    <t>AR MANUF</t>
  </si>
  <si>
    <t>factures de fournisseurs pas encore ferme sur des bon de travail</t>
  </si>
  <si>
    <t>labour sur des bon pas ferme en fin de mois</t>
  </si>
  <si>
    <t>fdm</t>
  </si>
  <si>
    <t>Préavis (2503)</t>
  </si>
  <si>
    <t>Salaire a payer (2503)</t>
  </si>
  <si>
    <t>VW</t>
  </si>
  <si>
    <t>Dépense varia</t>
  </si>
  <si>
    <t>due a Audi $16,857.67</t>
  </si>
  <si>
    <t>Carte privilege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</si>
</sst>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#,###.00;\-#,###.00;.00;@"/>
    <numFmt numFmtId="166" formatCode="#;#;0;@"/>
    <numFmt numFmtId="167" formatCode="[$-C0C]mm/dd/yy"/>
    <numFmt numFmtId="168" formatCode="_ * #,##0.00_)\ _$_ ;_ * \(#,##0.00\)\ _$_ ;_ * &quot;-&quot;??_)\ _$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39">
    <xf numFmtId="0" fontId="0" fillId="0" borderId="0" xfId="0"/>
    <xf numFmtId="43" fontId="0" fillId="0" borderId="0" xfId="1" applyFont="1"/>
    <xf numFmtId="0" fontId="0" fillId="0" borderId="0" xfId="0" applyFont="1" applyFill="1"/>
    <xf numFmtId="43" fontId="1" fillId="0" borderId="0" xfId="1" applyFont="1" applyFill="1"/>
    <xf numFmtId="0" fontId="3" fillId="0" borderId="1" xfId="0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43" fontId="0" fillId="0" borderId="0" xfId="0" applyNumberFormat="1" applyFont="1" applyFill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/>
    </xf>
    <xf numFmtId="49" fontId="0" fillId="2" borderId="0" xfId="0" applyNumberFormat="1" applyFont="1" applyFill="1" applyAlignment="1">
      <alignment horizontal="left" vertical="center"/>
    </xf>
    <xf numFmtId="43" fontId="1" fillId="2" borderId="0" xfId="1" applyFont="1" applyFill="1"/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5" fontId="0" fillId="0" borderId="0" xfId="0" applyNumberFormat="1"/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7" fontId="2" fillId="0" borderId="0" xfId="0" applyNumberFormat="1" applyFon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7" fontId="2" fillId="0" borderId="0" xfId="0" applyNumberFormat="1" applyFon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49" fontId="0" fillId="2" borderId="0" xfId="0" applyNumberFormat="1" applyFill="1" applyAlignment="1">
      <alignment horizontal="left" vertical="center"/>
    </xf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horizontal="right" vertical="center"/>
    </xf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" fontId="0" fillId="0" borderId="0" xfId="0" applyNumberFormat="1"/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5" fontId="0" fillId="3" borderId="0" xfId="0" applyNumberFormat="1" applyFill="1" applyAlignment="1">
      <alignment horizontal="right" vertical="center"/>
    </xf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5" fillId="0" borderId="0" xfId="0" applyFont="1"/>
    <xf numFmtId="0" fontId="5" fillId="0" borderId="0" xfId="0" applyFont="1" applyFill="1"/>
    <xf numFmtId="168" fontId="0" fillId="0" borderId="0" xfId="3" applyFont="1"/>
    <xf numFmtId="0" fontId="0" fillId="2" borderId="0" xfId="0" applyNumberFormat="1" applyFont="1" applyFill="1" applyAlignment="1">
      <alignment horizontal="left" vertical="center"/>
    </xf>
    <xf numFmtId="0" fontId="0" fillId="4" borderId="0" xfId="0" applyNumberFormat="1" applyFont="1" applyFill="1" applyAlignment="1">
      <alignment horizontal="left" vertical="center"/>
    </xf>
    <xf numFmtId="0" fontId="0" fillId="0" borderId="0" xfId="0"/>
    <xf numFmtId="49" fontId="0" fillId="4" borderId="0" xfId="0" applyNumberFormat="1" applyFont="1" applyFill="1" applyAlignment="1">
      <alignment horizontal="left" vertical="center"/>
    </xf>
    <xf numFmtId="43" fontId="1" fillId="4" borderId="0" xfId="1" applyFont="1" applyFill="1"/>
    <xf numFmtId="168" fontId="0" fillId="0" borderId="0" xfId="0" applyNumberFormat="1"/>
    <xf numFmtId="0" fontId="0" fillId="0" borderId="0" xfId="0"/>
    <xf numFmtId="43" fontId="0" fillId="0" borderId="0" xfId="1" applyFont="1" applyFill="1"/>
    <xf numFmtId="0" fontId="0" fillId="0" borderId="0" xfId="0"/>
    <xf numFmtId="43" fontId="0" fillId="0" borderId="0" xfId="0" applyNumberFormat="1"/>
    <xf numFmtId="43" fontId="0" fillId="2" borderId="0" xfId="1" applyFont="1" applyFill="1"/>
    <xf numFmtId="43" fontId="0" fillId="5" borderId="0" xfId="1" applyFont="1" applyFill="1"/>
    <xf numFmtId="0" fontId="5" fillId="2" borderId="0" xfId="0" applyNumberFormat="1" applyFont="1" applyFill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left" vertical="center"/>
    </xf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</cellXfs>
  <cellStyles count="4">
    <cellStyle name="Milliers" xfId="1" builtinId="3"/>
    <cellStyle name="Milliers 2" xfId="3" xr:uid="{460687C1-118A-44DE-864F-9C0E61962FFF}"/>
    <cellStyle name="Monétaire 2" xfId="2" xr:uid="{75A8458F-FED5-4A4F-BCDC-BE96FEBCDA8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8578-C4F0-4BD3-AE57-A2E97E520BAE}">
  <dimension ref="A1:J104"/>
  <sheetViews>
    <sheetView topLeftCell="A85" zoomScale="115" zoomScaleNormal="115" workbookViewId="0">
      <selection activeCell="D2" sqref="D2"/>
    </sheetView>
  </sheetViews>
  <sheetFormatPr baseColWidth="10" defaultRowHeight="15" x14ac:dyDescent="0.25"/>
  <cols>
    <col min="1" max="1" width="35.85546875" style="2" bestFit="1" customWidth="1"/>
    <col min="2" max="2" width="24" style="10" customWidth="1"/>
    <col min="3" max="3" width="40.28515625" style="2" bestFit="1" customWidth="1"/>
    <col min="4" max="5" width="24" style="3" customWidth="1"/>
    <col min="6" max="6" width="36" style="2" bestFit="1" customWidth="1"/>
    <col min="7" max="7" width="24" style="2" customWidth="1"/>
    <col min="8" max="8" width="43.85546875" style="2" customWidth="1"/>
    <col min="9" max="9" width="77.140625" style="2" bestFit="1" customWidth="1"/>
    <col min="10" max="16384" width="11.42578125" style="2"/>
  </cols>
  <sheetData>
    <row r="1" spans="1:10" ht="15.75" thickBot="1" x14ac:dyDescent="0.3">
      <c r="A1" s="4" t="s">
        <v>0</v>
      </c>
      <c r="B1" s="4" t="s">
        <v>2</v>
      </c>
      <c r="C1" s="4" t="s">
        <v>1</v>
      </c>
      <c r="D1" s="5" t="s">
        <v>1301</v>
      </c>
      <c r="E1" s="5" t="s">
        <v>3</v>
      </c>
      <c r="F1" s="4" t="s">
        <v>17</v>
      </c>
      <c r="G1" s="4" t="s">
        <v>4</v>
      </c>
      <c r="H1" s="6" t="s">
        <v>5</v>
      </c>
      <c r="I1" s="7" t="s">
        <v>6</v>
      </c>
      <c r="J1" s="7"/>
    </row>
    <row r="2" spans="1:10" x14ac:dyDescent="0.25">
      <c r="A2" s="2" t="s">
        <v>1296</v>
      </c>
      <c r="B2" s="115">
        <v>1102</v>
      </c>
      <c r="C2" s="11" t="s">
        <v>36</v>
      </c>
      <c r="D2" s="12">
        <f>VLOOKUP(B2,BV!A:E,5,FALSE)</f>
        <v>2208806.13</v>
      </c>
      <c r="E2" s="12">
        <v>2687686.64</v>
      </c>
      <c r="F2" s="2" t="s">
        <v>1272</v>
      </c>
    </row>
    <row r="3" spans="1:10" x14ac:dyDescent="0.25">
      <c r="A3" s="2" t="s">
        <v>1296</v>
      </c>
      <c r="B3" s="115">
        <v>1142</v>
      </c>
      <c r="C3" s="11" t="s">
        <v>37</v>
      </c>
      <c r="D3" s="12" t="e">
        <f>VLOOKUP(B3,BV!A:E,5,FALSE)</f>
        <v>#N/A</v>
      </c>
      <c r="E3" s="12">
        <v>0</v>
      </c>
    </row>
    <row r="4" spans="1:10" x14ac:dyDescent="0.25">
      <c r="A4" s="2" t="s">
        <v>1296</v>
      </c>
      <c r="B4" s="115">
        <v>1182</v>
      </c>
      <c r="C4" s="11" t="s">
        <v>38</v>
      </c>
      <c r="D4" s="12">
        <f>VLOOKUP(B4,BV!A:E,5,FALSE)</f>
        <v>50.2</v>
      </c>
      <c r="E4" s="12">
        <v>150.19999999999999</v>
      </c>
      <c r="G4" s="8"/>
    </row>
    <row r="5" spans="1:10" x14ac:dyDescent="0.25">
      <c r="A5" s="128" t="s">
        <v>1297</v>
      </c>
      <c r="B5" s="115">
        <v>1202</v>
      </c>
      <c r="C5" s="11" t="s">
        <v>40</v>
      </c>
      <c r="D5" s="12">
        <f>VLOOKUP(B5,BV!A:E,5,FALSE)</f>
        <v>2230376.09</v>
      </c>
      <c r="E5" s="12">
        <v>185749.87</v>
      </c>
    </row>
    <row r="6" spans="1:10" x14ac:dyDescent="0.25">
      <c r="A6" s="128" t="s">
        <v>1297</v>
      </c>
      <c r="B6" s="127">
        <v>1302</v>
      </c>
      <c r="C6" s="11" t="s">
        <v>42</v>
      </c>
      <c r="D6" s="12">
        <f>VLOOKUP(B6,BV!A:E,5,FALSE)</f>
        <v>20771.5</v>
      </c>
      <c r="E6" s="12">
        <v>-40954.26</v>
      </c>
    </row>
    <row r="7" spans="1:10" x14ac:dyDescent="0.25">
      <c r="A7" s="128" t="s">
        <v>1297</v>
      </c>
      <c r="B7" s="115">
        <v>1303</v>
      </c>
      <c r="C7" s="11" t="s">
        <v>44</v>
      </c>
      <c r="D7" s="12">
        <f>VLOOKUP(B7,BV!A:E,5,FALSE)</f>
        <v>195957.92</v>
      </c>
      <c r="E7" s="12">
        <v>129272.5</v>
      </c>
    </row>
    <row r="8" spans="1:10" x14ac:dyDescent="0.25">
      <c r="A8" s="128" t="s">
        <v>1297</v>
      </c>
      <c r="B8" s="127">
        <v>1304</v>
      </c>
      <c r="C8" s="11" t="s">
        <v>46</v>
      </c>
      <c r="D8" s="12">
        <f>VLOOKUP(B8,BV!A:E,5,FALSE)</f>
        <v>56720.5</v>
      </c>
      <c r="E8" s="12">
        <v>77161.539999999994</v>
      </c>
    </row>
    <row r="9" spans="1:10" x14ac:dyDescent="0.25">
      <c r="A9" s="128" t="s">
        <v>1297</v>
      </c>
      <c r="B9" s="127">
        <v>1305</v>
      </c>
      <c r="C9" s="11" t="s">
        <v>47</v>
      </c>
      <c r="D9" s="12">
        <f>VLOOKUP(B9,BV!A:E,5,FALSE)</f>
        <v>49488.46</v>
      </c>
      <c r="E9" s="12">
        <v>22041.85</v>
      </c>
    </row>
    <row r="10" spans="1:10" x14ac:dyDescent="0.25">
      <c r="A10" s="128" t="s">
        <v>1298</v>
      </c>
      <c r="B10" s="115">
        <v>1312</v>
      </c>
      <c r="C10" s="11" t="s">
        <v>49</v>
      </c>
      <c r="D10" s="12">
        <f>VLOOKUP(B10,BV!A:E,5,FALSE)</f>
        <v>49411</v>
      </c>
      <c r="E10" s="12">
        <v>-15530</v>
      </c>
      <c r="F10" s="2" t="s">
        <v>244</v>
      </c>
      <c r="G10" s="2" t="s">
        <v>245</v>
      </c>
    </row>
    <row r="11" spans="1:10" x14ac:dyDescent="0.25">
      <c r="A11" s="128" t="s">
        <v>1298</v>
      </c>
      <c r="B11" s="115">
        <v>1332</v>
      </c>
      <c r="C11" s="11" t="s">
        <v>52</v>
      </c>
      <c r="D11" s="12">
        <f>VLOOKUP(B11,BV!A:E,5,FALSE)</f>
        <v>41335.660000000003</v>
      </c>
      <c r="E11" s="12">
        <v>59126.78</v>
      </c>
      <c r="F11" s="2" t="s">
        <v>304</v>
      </c>
      <c r="G11" s="2" t="s">
        <v>618</v>
      </c>
    </row>
    <row r="12" spans="1:10" x14ac:dyDescent="0.25">
      <c r="A12" s="128" t="s">
        <v>1297</v>
      </c>
      <c r="B12" s="115">
        <v>1340</v>
      </c>
      <c r="C12" s="11" t="s">
        <v>53</v>
      </c>
      <c r="D12" s="12">
        <f>VLOOKUP(B12,BV!A:E,5,FALSE)</f>
        <v>69.81</v>
      </c>
      <c r="E12" s="12">
        <v>16307.01</v>
      </c>
      <c r="F12" s="2" t="s">
        <v>619</v>
      </c>
      <c r="G12" s="2" t="s">
        <v>671</v>
      </c>
    </row>
    <row r="13" spans="1:10" x14ac:dyDescent="0.25">
      <c r="A13" s="128" t="s">
        <v>1298</v>
      </c>
      <c r="B13" s="115">
        <v>1352</v>
      </c>
      <c r="C13" s="11" t="s">
        <v>55</v>
      </c>
      <c r="D13" s="12">
        <f>VLOOKUP(B13,BV!A:E,5,FALSE)</f>
        <v>212907.72</v>
      </c>
      <c r="E13" s="12">
        <v>161978.07</v>
      </c>
    </row>
    <row r="14" spans="1:10" x14ac:dyDescent="0.25">
      <c r="A14" s="128" t="s">
        <v>1297</v>
      </c>
      <c r="B14" s="115">
        <v>1364</v>
      </c>
      <c r="C14" s="11" t="s">
        <v>56</v>
      </c>
      <c r="D14" s="12" t="e">
        <f>VLOOKUP(B14,BV!A:E,5,FALSE)</f>
        <v>#N/A</v>
      </c>
      <c r="E14" s="12">
        <v>0</v>
      </c>
      <c r="F14" s="2" t="s">
        <v>809</v>
      </c>
    </row>
    <row r="15" spans="1:10" x14ac:dyDescent="0.25">
      <c r="A15" s="128" t="s">
        <v>1297</v>
      </c>
      <c r="B15" s="115">
        <v>1372</v>
      </c>
      <c r="C15" s="11" t="s">
        <v>58</v>
      </c>
      <c r="D15" s="12">
        <f>VLOOKUP(B15,BV!A:E,5,FALSE)</f>
        <v>112961.83</v>
      </c>
      <c r="E15" s="12">
        <v>53960.13</v>
      </c>
      <c r="F15" s="2" t="s">
        <v>1285</v>
      </c>
    </row>
    <row r="16" spans="1:10" x14ac:dyDescent="0.25">
      <c r="A16" s="128" t="s">
        <v>1297</v>
      </c>
      <c r="B16" s="115">
        <v>1399</v>
      </c>
      <c r="C16" s="56" t="s">
        <v>1275</v>
      </c>
      <c r="D16" s="12">
        <f>VLOOKUP(B16,BV!A:E,5,FALSE)</f>
        <v>-45000</v>
      </c>
      <c r="E16" s="12">
        <v>-45000</v>
      </c>
      <c r="F16" s="2" t="s">
        <v>1283</v>
      </c>
    </row>
    <row r="17" spans="2:6" x14ac:dyDescent="0.25">
      <c r="B17" s="115">
        <v>1402</v>
      </c>
      <c r="C17" s="11" t="s">
        <v>60</v>
      </c>
      <c r="D17" s="12">
        <f>VLOOKUP(B17,BV!A:E,5,FALSE)</f>
        <v>5578101.7800000003</v>
      </c>
      <c r="E17" s="12">
        <v>3678703.16</v>
      </c>
    </row>
    <row r="18" spans="2:6" x14ac:dyDescent="0.25">
      <c r="B18" s="115">
        <v>1403</v>
      </c>
      <c r="C18" s="11" t="s">
        <v>61</v>
      </c>
      <c r="D18" s="12">
        <f>VLOOKUP(B18,BV!A:E,5,FALSE)</f>
        <v>-125014.36</v>
      </c>
      <c r="E18" s="12">
        <v>-132337.5</v>
      </c>
    </row>
    <row r="19" spans="2:6" x14ac:dyDescent="0.25">
      <c r="B19" s="115">
        <v>1413</v>
      </c>
      <c r="C19" s="11" t="s">
        <v>63</v>
      </c>
      <c r="D19" s="12">
        <f>VLOOKUP(B19,BV!A:E,5,FALSE)</f>
        <v>-30432.58</v>
      </c>
      <c r="E19" s="12">
        <v>-15000</v>
      </c>
    </row>
    <row r="20" spans="2:6" x14ac:dyDescent="0.25">
      <c r="B20" s="115">
        <v>1423</v>
      </c>
      <c r="C20" s="11"/>
      <c r="D20" s="12">
        <f>VLOOKUP(B20,BV!A:E,5,FALSE)</f>
        <v>-17732.75</v>
      </c>
      <c r="E20" s="12">
        <v>-15404.61</v>
      </c>
    </row>
    <row r="21" spans="2:6" x14ac:dyDescent="0.25">
      <c r="B21" s="115">
        <v>1433</v>
      </c>
      <c r="C21" s="11"/>
      <c r="D21" s="12">
        <f>VLOOKUP(B21,BV!A:E,5,FALSE)</f>
        <v>-28856.09</v>
      </c>
      <c r="E21" s="12">
        <v>-33322.31</v>
      </c>
    </row>
    <row r="22" spans="2:6" x14ac:dyDescent="0.25">
      <c r="B22" s="115">
        <v>1416</v>
      </c>
      <c r="C22" s="11" t="s">
        <v>65</v>
      </c>
      <c r="D22" s="12">
        <f>VLOOKUP(B22,BV!A:E,5,FALSE)</f>
        <v>1576844.32</v>
      </c>
      <c r="E22" s="12">
        <v>1275119.93</v>
      </c>
    </row>
    <row r="23" spans="2:6" x14ac:dyDescent="0.25">
      <c r="B23" s="115">
        <v>1442</v>
      </c>
      <c r="C23" s="11" t="s">
        <v>67</v>
      </c>
      <c r="D23" s="12">
        <f>VLOOKUP(B23,BV!A:E,5,FALSE)</f>
        <v>135376.54999999999</v>
      </c>
      <c r="E23" s="12">
        <v>259079.71</v>
      </c>
    </row>
    <row r="24" spans="2:6" x14ac:dyDescent="0.25">
      <c r="B24" s="115">
        <v>1448</v>
      </c>
      <c r="C24" s="11" t="s">
        <v>68</v>
      </c>
      <c r="D24" s="12">
        <f>VLOOKUP(B24,BV!A:E,5,FALSE)</f>
        <v>-9.14</v>
      </c>
      <c r="E24" s="12">
        <v>329.48</v>
      </c>
    </row>
    <row r="25" spans="2:6" x14ac:dyDescent="0.25">
      <c r="B25" s="115">
        <v>1452</v>
      </c>
      <c r="C25" s="11" t="s">
        <v>34</v>
      </c>
      <c r="D25" s="12">
        <f>VLOOKUP(B25,BV!A:E,5,FALSE)</f>
        <v>196930.05</v>
      </c>
      <c r="E25" s="12">
        <v>130332.05</v>
      </c>
    </row>
    <row r="26" spans="2:6" x14ac:dyDescent="0.25">
      <c r="B26" s="115">
        <v>1456</v>
      </c>
      <c r="C26" s="11" t="s">
        <v>70</v>
      </c>
      <c r="D26" s="12">
        <f>VLOOKUP(B26,BV!A:E,5,FALSE)</f>
        <v>36227.300000000003</v>
      </c>
      <c r="E26" s="12">
        <v>30227.87</v>
      </c>
    </row>
    <row r="27" spans="2:6" x14ac:dyDescent="0.25">
      <c r="B27" s="115">
        <v>1472</v>
      </c>
      <c r="C27" s="11" t="s">
        <v>72</v>
      </c>
      <c r="D27" s="12">
        <f>VLOOKUP(B27,BV!A:E,5,FALSE)</f>
        <v>9187.7000000000007</v>
      </c>
      <c r="E27" s="12">
        <v>16790.64</v>
      </c>
      <c r="F27" s="2" t="s">
        <v>1300</v>
      </c>
    </row>
    <row r="28" spans="2:6" x14ac:dyDescent="0.25">
      <c r="B28" s="115">
        <v>1474</v>
      </c>
      <c r="C28" s="11" t="s">
        <v>73</v>
      </c>
      <c r="D28" s="12">
        <f>VLOOKUP(B28,BV!A:E,5,FALSE)</f>
        <v>-3164.81</v>
      </c>
      <c r="E28" s="12">
        <v>17257.13</v>
      </c>
      <c r="F28" s="2" t="s">
        <v>1299</v>
      </c>
    </row>
    <row r="29" spans="2:6" x14ac:dyDescent="0.25">
      <c r="B29" s="115">
        <v>1492</v>
      </c>
      <c r="C29" s="11" t="s">
        <v>74</v>
      </c>
      <c r="D29" s="12">
        <f>VLOOKUP(B29,BV!A:E,5,FALSE)</f>
        <v>23431.94</v>
      </c>
      <c r="E29" s="12">
        <v>26215.66</v>
      </c>
    </row>
    <row r="30" spans="2:6" x14ac:dyDescent="0.25">
      <c r="B30" s="115">
        <v>1498</v>
      </c>
      <c r="C30" s="11" t="s">
        <v>76</v>
      </c>
      <c r="D30" s="12">
        <f>VLOOKUP(B30,BV!A:E,5,FALSE)</f>
        <v>55.02</v>
      </c>
      <c r="E30" s="12">
        <v>0</v>
      </c>
      <c r="F30" s="2" t="s">
        <v>1273</v>
      </c>
    </row>
    <row r="31" spans="2:6" x14ac:dyDescent="0.25">
      <c r="B31" s="116">
        <v>1502</v>
      </c>
      <c r="C31" s="118" t="s">
        <v>77</v>
      </c>
      <c r="D31" s="119">
        <f>VLOOKUP(B31,BV!A:E,5,FALSE)</f>
        <v>-2911.69</v>
      </c>
      <c r="E31" s="119">
        <v>0</v>
      </c>
      <c r="F31" s="2">
        <v>0</v>
      </c>
    </row>
    <row r="32" spans="2:6" x14ac:dyDescent="0.25">
      <c r="B32" s="116">
        <v>1504</v>
      </c>
      <c r="C32" s="118" t="s">
        <v>79</v>
      </c>
      <c r="D32" s="119" t="e">
        <f>VLOOKUP(B32,BV!A:E,5,FALSE)</f>
        <v>#N/A</v>
      </c>
      <c r="E32" s="119">
        <v>0</v>
      </c>
      <c r="F32" s="2">
        <v>0</v>
      </c>
    </row>
    <row r="33" spans="2:7" x14ac:dyDescent="0.25">
      <c r="B33" s="116">
        <v>1506</v>
      </c>
      <c r="C33" s="118" t="s">
        <v>80</v>
      </c>
      <c r="D33" s="119">
        <f>VLOOKUP(B33,BV!A:E,5,FALSE)</f>
        <v>-4837.66</v>
      </c>
      <c r="E33" s="119">
        <v>0</v>
      </c>
      <c r="F33" s="2">
        <v>0</v>
      </c>
    </row>
    <row r="34" spans="2:7" x14ac:dyDescent="0.25">
      <c r="B34" s="116">
        <v>1508</v>
      </c>
      <c r="C34" s="118" t="s">
        <v>81</v>
      </c>
      <c r="D34" s="119" t="e">
        <f>VLOOKUP(B34,BV!A:E,5,FALSE)</f>
        <v>#N/A</v>
      </c>
      <c r="E34" s="119">
        <v>0</v>
      </c>
    </row>
    <row r="35" spans="2:7" x14ac:dyDescent="0.25">
      <c r="B35" s="115">
        <v>1510</v>
      </c>
      <c r="C35" s="11" t="s">
        <v>82</v>
      </c>
      <c r="D35" s="12">
        <f>VLOOKUP(B35,BV!A:E,5,FALSE)</f>
        <v>3846.95</v>
      </c>
      <c r="E35" s="12">
        <v>3221.95</v>
      </c>
      <c r="F35" s="2" t="s">
        <v>1192</v>
      </c>
    </row>
    <row r="36" spans="2:7" x14ac:dyDescent="0.25">
      <c r="B36" s="116">
        <v>1520</v>
      </c>
      <c r="C36" s="118" t="s">
        <v>83</v>
      </c>
      <c r="D36" s="119">
        <f>VLOOKUP(B36,BV!A:E,5,FALSE)</f>
        <v>6779.64</v>
      </c>
      <c r="E36" s="119">
        <v>2925</v>
      </c>
      <c r="F36" s="2" t="s">
        <v>1244</v>
      </c>
      <c r="G36" s="2" t="s">
        <v>1243</v>
      </c>
    </row>
    <row r="37" spans="2:7" x14ac:dyDescent="0.25">
      <c r="B37" s="116">
        <v>1522</v>
      </c>
      <c r="C37" s="118" t="s">
        <v>84</v>
      </c>
      <c r="D37" s="119" t="e">
        <f>VLOOKUP(B37,BV!A:E,5,FALSE)</f>
        <v>#N/A</v>
      </c>
      <c r="E37" s="119">
        <v>0</v>
      </c>
      <c r="F37" s="2">
        <v>0</v>
      </c>
    </row>
    <row r="38" spans="2:7" x14ac:dyDescent="0.25">
      <c r="B38" s="116">
        <v>1528</v>
      </c>
      <c r="C38" s="118" t="s">
        <v>85</v>
      </c>
      <c r="D38" s="119" t="e">
        <f>VLOOKUP(B38,BV!A:E,5,FALSE)</f>
        <v>#N/A</v>
      </c>
      <c r="E38" s="119">
        <v>0</v>
      </c>
      <c r="F38" s="2">
        <v>0</v>
      </c>
    </row>
    <row r="39" spans="2:7" x14ac:dyDescent="0.25">
      <c r="B39" s="116">
        <v>1530</v>
      </c>
      <c r="C39" s="118" t="s">
        <v>86</v>
      </c>
      <c r="D39" s="119" t="e">
        <f>VLOOKUP(B39,BV!A:E,5,FALSE)</f>
        <v>#N/A</v>
      </c>
      <c r="E39" s="119">
        <v>2554.4299999999998</v>
      </c>
      <c r="F39" s="2" t="s">
        <v>1244</v>
      </c>
    </row>
    <row r="40" spans="2:7" x14ac:dyDescent="0.25">
      <c r="B40" s="116">
        <v>1532</v>
      </c>
      <c r="C40" s="118" t="s">
        <v>87</v>
      </c>
      <c r="D40" s="119">
        <f>VLOOKUP(B40,BV!A:E,5,FALSE)</f>
        <v>1769.3</v>
      </c>
      <c r="E40" s="119">
        <v>0</v>
      </c>
      <c r="F40" s="2">
        <v>0</v>
      </c>
    </row>
    <row r="41" spans="2:7" x14ac:dyDescent="0.25">
      <c r="B41" s="116">
        <v>1534</v>
      </c>
      <c r="C41" s="118" t="s">
        <v>88</v>
      </c>
      <c r="D41" s="119">
        <f>VLOOKUP(B41,BV!A:E,5,FALSE)</f>
        <v>-65</v>
      </c>
      <c r="E41" s="119">
        <v>0</v>
      </c>
      <c r="F41" s="2" t="s">
        <v>1244</v>
      </c>
    </row>
    <row r="42" spans="2:7" x14ac:dyDescent="0.25">
      <c r="B42" s="116">
        <v>1536</v>
      </c>
      <c r="C42" s="118" t="s">
        <v>89</v>
      </c>
      <c r="D42" s="119" t="e">
        <f>VLOOKUP(B42,BV!A:E,5,FALSE)</f>
        <v>#N/A</v>
      </c>
      <c r="E42" s="119">
        <v>0</v>
      </c>
      <c r="F42" s="2">
        <v>0</v>
      </c>
    </row>
    <row r="43" spans="2:7" x14ac:dyDescent="0.25">
      <c r="B43" s="116">
        <v>1538</v>
      </c>
      <c r="C43" s="118" t="s">
        <v>90</v>
      </c>
      <c r="D43" s="119" t="e">
        <f>VLOOKUP(B43,BV!A:E,5,FALSE)</f>
        <v>#N/A</v>
      </c>
      <c r="E43" s="119">
        <v>0</v>
      </c>
      <c r="F43" s="2">
        <v>0</v>
      </c>
    </row>
    <row r="44" spans="2:7" x14ac:dyDescent="0.25">
      <c r="B44" s="116">
        <v>1540</v>
      </c>
      <c r="C44" s="118" t="s">
        <v>91</v>
      </c>
      <c r="D44" s="119">
        <f>VLOOKUP(B44,BV!A:E,5,FALSE)</f>
        <v>3270.37</v>
      </c>
      <c r="E44" s="119">
        <v>-1525</v>
      </c>
      <c r="F44" s="2" t="s">
        <v>1245</v>
      </c>
    </row>
    <row r="45" spans="2:7" x14ac:dyDescent="0.25">
      <c r="B45" s="116">
        <v>1544</v>
      </c>
      <c r="C45" s="118" t="s">
        <v>92</v>
      </c>
      <c r="D45" s="119">
        <f>VLOOKUP(B45,BV!A:E,5,FALSE)</f>
        <v>-3525.13</v>
      </c>
      <c r="E45" s="119">
        <v>-3525.13</v>
      </c>
      <c r="F45" s="2" t="s">
        <v>1246</v>
      </c>
    </row>
    <row r="46" spans="2:7" x14ac:dyDescent="0.25">
      <c r="B46" s="116">
        <v>1546</v>
      </c>
      <c r="C46" s="118" t="s">
        <v>93</v>
      </c>
      <c r="D46" s="119">
        <f>VLOOKUP(B46,BV!A:E,5,FALSE)</f>
        <v>0</v>
      </c>
      <c r="E46" s="119">
        <v>-3125.4</v>
      </c>
      <c r="F46" s="2" t="s">
        <v>1246</v>
      </c>
    </row>
    <row r="47" spans="2:7" x14ac:dyDescent="0.25">
      <c r="B47" s="115">
        <v>1552</v>
      </c>
      <c r="C47" s="11" t="s">
        <v>94</v>
      </c>
      <c r="D47" s="12">
        <f>VLOOKUP(B47,BV!A:E,5,FALSE)</f>
        <v>-205.24</v>
      </c>
      <c r="E47" s="12">
        <v>6339</v>
      </c>
      <c r="F47" s="2" t="s">
        <v>1247</v>
      </c>
      <c r="G47" s="8"/>
    </row>
    <row r="48" spans="2:7" x14ac:dyDescent="0.25">
      <c r="B48" s="115">
        <v>1582</v>
      </c>
      <c r="C48" s="11" t="s">
        <v>95</v>
      </c>
      <c r="D48" s="12">
        <f>VLOOKUP(B48,BV!A:E,5,FALSE)</f>
        <v>-720.39</v>
      </c>
      <c r="E48" s="12">
        <v>0</v>
      </c>
      <c r="F48" s="2" t="s">
        <v>1277</v>
      </c>
    </row>
    <row r="49" spans="2:7" x14ac:dyDescent="0.25">
      <c r="B49" s="115">
        <v>1584</v>
      </c>
      <c r="C49" s="11" t="s">
        <v>96</v>
      </c>
      <c r="D49" s="12" t="e">
        <f>VLOOKUP(B49,BV!A:E,5,FALSE)</f>
        <v>#N/A</v>
      </c>
      <c r="E49" s="12">
        <v>0</v>
      </c>
      <c r="F49" s="2">
        <v>0</v>
      </c>
      <c r="G49" s="8"/>
    </row>
    <row r="50" spans="2:7" x14ac:dyDescent="0.25">
      <c r="B50" s="116">
        <v>1586</v>
      </c>
      <c r="C50" s="118" t="s">
        <v>97</v>
      </c>
      <c r="D50" s="119">
        <f>VLOOKUP(B50,BV!A:E,5,FALSE)</f>
        <v>1067.9000000000001</v>
      </c>
      <c r="E50" s="119">
        <v>2000</v>
      </c>
      <c r="F50" s="2" t="s">
        <v>1248</v>
      </c>
    </row>
    <row r="51" spans="2:7" x14ac:dyDescent="0.25">
      <c r="B51" s="115">
        <v>1592</v>
      </c>
      <c r="C51" s="11" t="s">
        <v>98</v>
      </c>
      <c r="D51" s="12">
        <f>VLOOKUP(B51,BV!A:E,5,FALSE)</f>
        <v>119334.53</v>
      </c>
      <c r="E51" s="12">
        <v>55761.7</v>
      </c>
      <c r="F51" s="2" t="s">
        <v>1276</v>
      </c>
    </row>
    <row r="52" spans="2:7" x14ac:dyDescent="0.25">
      <c r="B52" s="116">
        <v>1593</v>
      </c>
      <c r="C52" s="118" t="s">
        <v>29</v>
      </c>
      <c r="D52" s="119" t="e">
        <f>VLOOKUP(B52,BV!A:E,5,FALSE)</f>
        <v>#N/A</v>
      </c>
      <c r="E52" s="119">
        <v>0</v>
      </c>
      <c r="F52" s="2">
        <v>0</v>
      </c>
    </row>
    <row r="53" spans="2:7" x14ac:dyDescent="0.25">
      <c r="B53" s="116">
        <v>1594</v>
      </c>
      <c r="C53" s="118" t="s">
        <v>99</v>
      </c>
      <c r="D53" s="119" t="e">
        <f>VLOOKUP(B53,BV!A:E,5,FALSE)</f>
        <v>#N/A</v>
      </c>
      <c r="E53" s="119">
        <v>0</v>
      </c>
      <c r="F53" s="2">
        <v>0</v>
      </c>
    </row>
    <row r="54" spans="2:7" x14ac:dyDescent="0.25">
      <c r="B54" s="116">
        <v>1595</v>
      </c>
      <c r="C54" s="118" t="s">
        <v>100</v>
      </c>
      <c r="D54" s="119" t="e">
        <f>VLOOKUP(B54,BV!A:E,5,FALSE)</f>
        <v>#N/A</v>
      </c>
      <c r="E54" s="119">
        <v>0</v>
      </c>
      <c r="F54" s="2">
        <v>0</v>
      </c>
    </row>
    <row r="55" spans="2:7" x14ac:dyDescent="0.25">
      <c r="B55" s="115">
        <v>1732</v>
      </c>
      <c r="C55" s="11" t="s">
        <v>101</v>
      </c>
      <c r="D55" s="12">
        <f>VLOOKUP(B55,BV!A:E,5,FALSE)</f>
        <v>96990.28</v>
      </c>
      <c r="E55" s="12">
        <v>96990.28</v>
      </c>
      <c r="F55" s="2" t="s">
        <v>1278</v>
      </c>
    </row>
    <row r="56" spans="2:7" x14ac:dyDescent="0.25">
      <c r="B56" s="115">
        <v>1733</v>
      </c>
      <c r="C56" s="11" t="s">
        <v>103</v>
      </c>
      <c r="D56" s="12">
        <f>VLOOKUP(B56,BV!A:E,5,FALSE)</f>
        <v>-99480.97</v>
      </c>
      <c r="E56" s="12">
        <v>-94290.97</v>
      </c>
      <c r="F56" s="2" t="s">
        <v>1279</v>
      </c>
    </row>
    <row r="57" spans="2:7" x14ac:dyDescent="0.25">
      <c r="B57" s="115">
        <v>1742</v>
      </c>
      <c r="C57" s="11" t="s">
        <v>104</v>
      </c>
      <c r="D57" s="12">
        <f>VLOOKUP(B57,BV!A:E,5,FALSE)</f>
        <v>942882.53</v>
      </c>
      <c r="E57" s="12">
        <v>942882.53</v>
      </c>
    </row>
    <row r="58" spans="2:7" x14ac:dyDescent="0.25">
      <c r="B58" s="115">
        <v>1743</v>
      </c>
      <c r="C58" s="11" t="s">
        <v>105</v>
      </c>
      <c r="D58" s="12">
        <f>VLOOKUP(B58,BV!A:E,5,FALSE)</f>
        <v>-765638.84</v>
      </c>
      <c r="E58" s="12">
        <v>-753722.84</v>
      </c>
    </row>
    <row r="59" spans="2:7" x14ac:dyDescent="0.25">
      <c r="B59" s="115">
        <v>1744</v>
      </c>
      <c r="C59" s="11" t="s">
        <v>106</v>
      </c>
      <c r="D59" s="12">
        <f>VLOOKUP(B59,BV!A:E,5,FALSE)</f>
        <v>47461.59</v>
      </c>
      <c r="E59" s="12">
        <v>47461.59</v>
      </c>
    </row>
    <row r="60" spans="2:7" x14ac:dyDescent="0.25">
      <c r="B60" s="115">
        <v>1745</v>
      </c>
      <c r="C60" s="11" t="s">
        <v>107</v>
      </c>
      <c r="D60" s="12">
        <f>VLOOKUP(B60,BV!A:E,5,FALSE)</f>
        <v>-47833.48</v>
      </c>
      <c r="E60" s="12">
        <v>-47293.48</v>
      </c>
    </row>
    <row r="61" spans="2:7" x14ac:dyDescent="0.25">
      <c r="B61" s="115">
        <v>1760</v>
      </c>
      <c r="C61" s="11" t="s">
        <v>108</v>
      </c>
      <c r="D61" s="12">
        <f>VLOOKUP(B61,BV!A:E,5,FALSE)</f>
        <v>155280.23000000001</v>
      </c>
      <c r="E61" s="12">
        <v>155280.23000000001</v>
      </c>
    </row>
    <row r="62" spans="2:7" x14ac:dyDescent="0.25">
      <c r="B62" s="115">
        <v>1761</v>
      </c>
      <c r="C62" s="11" t="s">
        <v>109</v>
      </c>
      <c r="D62" s="12">
        <f>VLOOKUP(B62,BV!A:E,5,FALSE)</f>
        <v>-155220.23000000001</v>
      </c>
      <c r="E62" s="12">
        <v>-155280.23000000001</v>
      </c>
    </row>
    <row r="63" spans="2:7" x14ac:dyDescent="0.25">
      <c r="B63" s="115">
        <v>1762</v>
      </c>
      <c r="C63" s="11" t="s">
        <v>110</v>
      </c>
      <c r="D63" s="12">
        <f>VLOOKUP(B63,BV!A:E,5,FALSE)</f>
        <v>433206.49</v>
      </c>
      <c r="E63" s="12">
        <v>433206.49</v>
      </c>
    </row>
    <row r="64" spans="2:7" x14ac:dyDescent="0.25">
      <c r="B64" s="115">
        <v>1763</v>
      </c>
      <c r="C64" s="11" t="s">
        <v>111</v>
      </c>
      <c r="D64" s="12">
        <f>VLOOKUP(B64,BV!A:E,5,FALSE)</f>
        <v>-399992.54</v>
      </c>
      <c r="E64" s="12">
        <v>-396242.54</v>
      </c>
    </row>
    <row r="65" spans="1:7" x14ac:dyDescent="0.25">
      <c r="B65" s="115">
        <v>1772</v>
      </c>
      <c r="C65" s="11" t="s">
        <v>112</v>
      </c>
      <c r="D65" s="12">
        <f>VLOOKUP(B65,BV!A:E,5,FALSE)</f>
        <v>3987.88</v>
      </c>
      <c r="E65" s="12">
        <v>3987.88</v>
      </c>
    </row>
    <row r="66" spans="1:7" x14ac:dyDescent="0.25">
      <c r="B66" s="115">
        <v>1773</v>
      </c>
      <c r="C66" s="11" t="s">
        <v>113</v>
      </c>
      <c r="D66" s="12">
        <f>VLOOKUP(B66,BV!A:E,5,FALSE)</f>
        <v>-3987.88</v>
      </c>
      <c r="E66" s="12">
        <v>-3987.88</v>
      </c>
    </row>
    <row r="67" spans="1:7" x14ac:dyDescent="0.25">
      <c r="B67" s="115">
        <v>1786</v>
      </c>
      <c r="C67" s="11" t="s">
        <v>114</v>
      </c>
      <c r="D67" s="12">
        <f>VLOOKUP(B67,BV!A:E,5,FALSE)</f>
        <v>271520.27</v>
      </c>
      <c r="E67" s="12">
        <v>270585.31</v>
      </c>
    </row>
    <row r="68" spans="1:7" x14ac:dyDescent="0.25">
      <c r="B68" s="115">
        <v>1787</v>
      </c>
      <c r="C68" s="11" t="s">
        <v>115</v>
      </c>
      <c r="D68" s="12">
        <f>VLOOKUP(B68,BV!A:E,5,FALSE)</f>
        <v>-249914.65</v>
      </c>
      <c r="E68" s="12">
        <v>-244304.65</v>
      </c>
    </row>
    <row r="69" spans="1:7" x14ac:dyDescent="0.25">
      <c r="B69" s="115">
        <v>1792</v>
      </c>
      <c r="C69" s="11" t="s">
        <v>30</v>
      </c>
      <c r="D69" s="12">
        <f>VLOOKUP(B69,BV!A:E,5,FALSE)</f>
        <v>119393.66</v>
      </c>
      <c r="E69" s="12">
        <v>119393.66</v>
      </c>
    </row>
    <row r="70" spans="1:7" x14ac:dyDescent="0.25">
      <c r="B70" s="115">
        <v>1793</v>
      </c>
      <c r="C70" s="11" t="s">
        <v>116</v>
      </c>
      <c r="D70" s="12">
        <f>VLOOKUP(B70,BV!A:E,5,FALSE)</f>
        <v>-119948.65</v>
      </c>
      <c r="E70" s="12">
        <v>-119393.65</v>
      </c>
    </row>
    <row r="71" spans="1:7" x14ac:dyDescent="0.25">
      <c r="B71" s="115">
        <v>1804</v>
      </c>
      <c r="C71" s="11" t="s">
        <v>118</v>
      </c>
      <c r="D71" s="12">
        <f>VLOOKUP(B71,BV!A:E,5,FALSE)</f>
        <v>1623600</v>
      </c>
      <c r="E71" s="12">
        <v>1623600</v>
      </c>
    </row>
    <row r="72" spans="1:7" x14ac:dyDescent="0.25">
      <c r="A72" s="128" t="s">
        <v>1298</v>
      </c>
      <c r="B72" s="115">
        <v>1806</v>
      </c>
      <c r="C72" s="11" t="s">
        <v>119</v>
      </c>
      <c r="D72" s="12">
        <f>VLOOKUP(B72,BV!A:E,5,FALSE)</f>
        <v>15005.19</v>
      </c>
      <c r="E72" s="12">
        <v>1633.63</v>
      </c>
      <c r="F72" s="2" t="s">
        <v>1193</v>
      </c>
    </row>
    <row r="73" spans="1:7" x14ac:dyDescent="0.25">
      <c r="B73" s="115">
        <v>2101</v>
      </c>
      <c r="C73" s="11" t="s">
        <v>121</v>
      </c>
      <c r="D73" s="12">
        <f>VLOOKUP(B73,BV!A:E,5,FALSE)</f>
        <v>-7036543.5300000003</v>
      </c>
      <c r="E73" s="12">
        <v>-3887653.04</v>
      </c>
    </row>
    <row r="74" spans="1:7" x14ac:dyDescent="0.25">
      <c r="B74" s="115">
        <v>2103</v>
      </c>
      <c r="C74" s="11" t="s">
        <v>123</v>
      </c>
      <c r="D74" s="12">
        <f>VLOOKUP(B74,BV!A:E,5,FALSE)</f>
        <v>-286517.08</v>
      </c>
      <c r="E74" s="12">
        <v>-293422.46999999997</v>
      </c>
    </row>
    <row r="75" spans="1:7" x14ac:dyDescent="0.25">
      <c r="B75" s="115">
        <v>2131</v>
      </c>
      <c r="C75" s="11" t="s">
        <v>125</v>
      </c>
      <c r="D75" s="12">
        <f>VLOOKUP(B75,BV!A:E,5,FALSE)</f>
        <v>-15810</v>
      </c>
      <c r="E75" s="12">
        <v>-15810</v>
      </c>
    </row>
    <row r="76" spans="1:7" x14ac:dyDescent="0.25">
      <c r="B76" s="115">
        <v>2220</v>
      </c>
      <c r="C76" s="11" t="s">
        <v>127</v>
      </c>
      <c r="D76" s="12">
        <f>VLOOKUP(B76,BV!A:E,5,FALSE)</f>
        <v>-644.22</v>
      </c>
      <c r="E76" s="12">
        <v>0</v>
      </c>
    </row>
    <row r="77" spans="1:7" x14ac:dyDescent="0.25">
      <c r="B77" s="115">
        <v>2221</v>
      </c>
      <c r="C77" s="11" t="s">
        <v>129</v>
      </c>
      <c r="D77" s="12">
        <f>VLOOKUP(B77,BV!A:E,5,FALSE)</f>
        <v>-82643.839999999997</v>
      </c>
      <c r="E77" s="12">
        <v>-52561.9</v>
      </c>
    </row>
    <row r="78" spans="1:7" x14ac:dyDescent="0.25">
      <c r="B78" s="115">
        <v>2222</v>
      </c>
      <c r="C78" s="11" t="s">
        <v>130</v>
      </c>
      <c r="D78" s="12">
        <f>VLOOKUP(B78,BV!A:E,5,FALSE)</f>
        <v>47216.13</v>
      </c>
      <c r="E78" s="12">
        <v>48523</v>
      </c>
    </row>
    <row r="79" spans="1:7" x14ac:dyDescent="0.25">
      <c r="B79" s="115">
        <v>2223</v>
      </c>
      <c r="C79" s="11" t="s">
        <v>132</v>
      </c>
      <c r="D79" s="12">
        <f>VLOOKUP(B79,BV!A:E,5,FALSE)</f>
        <v>-319492.3</v>
      </c>
      <c r="E79" s="12">
        <v>-116529.4</v>
      </c>
    </row>
    <row r="80" spans="1:7" x14ac:dyDescent="0.25">
      <c r="B80" s="115">
        <v>2224</v>
      </c>
      <c r="C80" s="11" t="s">
        <v>133</v>
      </c>
      <c r="D80" s="12">
        <f>VLOOKUP(B80,BV!A:E,5,FALSE)</f>
        <v>279561.25</v>
      </c>
      <c r="E80" s="12">
        <v>116783.87</v>
      </c>
      <c r="G80" s="8"/>
    </row>
    <row r="81" spans="2:8" x14ac:dyDescent="0.25">
      <c r="B81" s="115">
        <v>2225</v>
      </c>
      <c r="C81" s="11" t="s">
        <v>134</v>
      </c>
      <c r="D81" s="12">
        <f>VLOOKUP(B81,BV!A:E,5,FALSE)</f>
        <v>-1659</v>
      </c>
      <c r="E81" s="12">
        <v>-1131</v>
      </c>
    </row>
    <row r="82" spans="2:8" x14ac:dyDescent="0.25">
      <c r="B82" s="115">
        <v>2281</v>
      </c>
      <c r="C82" s="11" t="s">
        <v>136</v>
      </c>
      <c r="D82" s="12">
        <f>VLOOKUP(B82,BV!A:E,5,FALSE)</f>
        <v>-478876.19</v>
      </c>
      <c r="E82" s="12">
        <v>-48330.92</v>
      </c>
    </row>
    <row r="83" spans="2:8" x14ac:dyDescent="0.25">
      <c r="B83" s="115">
        <v>2283</v>
      </c>
      <c r="C83" s="11" t="s">
        <v>138</v>
      </c>
      <c r="D83" s="12">
        <f>VLOOKUP(B83,BV!A:E,5,FALSE)</f>
        <v>-842.5</v>
      </c>
      <c r="E83" s="12">
        <v>0</v>
      </c>
      <c r="F83" s="9" t="s">
        <v>1280</v>
      </c>
    </row>
    <row r="84" spans="2:8" x14ac:dyDescent="0.25">
      <c r="B84" s="115">
        <v>2285</v>
      </c>
      <c r="C84" s="11" t="s">
        <v>140</v>
      </c>
      <c r="D84" s="12">
        <f>VLOOKUP(B84,BV!A:E,5,FALSE)</f>
        <v>-81543.08</v>
      </c>
      <c r="E84" s="12">
        <v>-47666.87</v>
      </c>
      <c r="F84" s="129" t="s">
        <v>1229</v>
      </c>
      <c r="G84" s="2" t="s">
        <v>1236</v>
      </c>
    </row>
    <row r="85" spans="2:8" x14ac:dyDescent="0.25">
      <c r="B85" s="115">
        <v>2287</v>
      </c>
      <c r="C85" s="11" t="s">
        <v>142</v>
      </c>
      <c r="D85" s="12">
        <f>VLOOKUP(B85,BV!A:E,5,FALSE)</f>
        <v>-18434.099999999999</v>
      </c>
      <c r="E85" s="12">
        <v>-5716.17</v>
      </c>
      <c r="F85" s="129"/>
      <c r="G85" s="2" t="s">
        <v>1235</v>
      </c>
    </row>
    <row r="86" spans="2:8" x14ac:dyDescent="0.25">
      <c r="B86" s="127">
        <v>2291</v>
      </c>
      <c r="C86" s="11" t="s">
        <v>144</v>
      </c>
      <c r="D86" s="12">
        <f>VLOOKUP(B86,BV!A:E,5,FALSE)</f>
        <v>-86269.39</v>
      </c>
      <c r="E86" s="12">
        <v>-229342.51</v>
      </c>
      <c r="F86" s="9" t="s">
        <v>1249</v>
      </c>
    </row>
    <row r="87" spans="2:8" x14ac:dyDescent="0.25">
      <c r="B87" s="115">
        <v>2292</v>
      </c>
      <c r="C87" s="11" t="s">
        <v>146</v>
      </c>
      <c r="D87" s="12">
        <f>VLOOKUP(B87,BV!A:E,5,FALSE)</f>
        <v>-179903.7</v>
      </c>
      <c r="E87" s="12">
        <v>-35559.99</v>
      </c>
      <c r="F87" s="9"/>
    </row>
    <row r="88" spans="2:8" x14ac:dyDescent="0.25">
      <c r="B88" s="115">
        <v>2293</v>
      </c>
      <c r="C88" s="11" t="s">
        <v>148</v>
      </c>
      <c r="D88" s="12">
        <f>VLOOKUP(B88,BV!A:E,5,FALSE)</f>
        <v>-6441.96</v>
      </c>
      <c r="E88" s="12">
        <v>-5000</v>
      </c>
      <c r="F88" s="2">
        <v>0</v>
      </c>
      <c r="G88" s="2" t="s">
        <v>1252</v>
      </c>
    </row>
    <row r="89" spans="2:8" x14ac:dyDescent="0.25">
      <c r="B89" s="115">
        <v>2295</v>
      </c>
      <c r="C89" s="11" t="s">
        <v>149</v>
      </c>
      <c r="D89" s="12">
        <f>VLOOKUP(B89,BV!A:E,5,FALSE)</f>
        <v>-70.34</v>
      </c>
      <c r="E89" s="12">
        <v>0</v>
      </c>
    </row>
    <row r="90" spans="2:8" x14ac:dyDescent="0.25">
      <c r="B90" s="115">
        <v>2297</v>
      </c>
      <c r="C90" s="11" t="s">
        <v>150</v>
      </c>
      <c r="D90" s="12">
        <f>VLOOKUP(B90,BV!A:E,5,FALSE)</f>
        <v>-10400</v>
      </c>
      <c r="E90" s="12">
        <v>0</v>
      </c>
      <c r="F90" s="113" t="s">
        <v>1251</v>
      </c>
    </row>
    <row r="91" spans="2:8" x14ac:dyDescent="0.25">
      <c r="B91" s="115">
        <v>2315</v>
      </c>
      <c r="C91" s="11" t="s">
        <v>152</v>
      </c>
      <c r="D91" s="12">
        <f>VLOOKUP(B91,BV!A:E,5,FALSE)</f>
        <v>5951.65</v>
      </c>
      <c r="E91" s="12">
        <v>0</v>
      </c>
      <c r="F91" s="2" t="s">
        <v>1250</v>
      </c>
      <c r="G91" s="2">
        <v>0</v>
      </c>
    </row>
    <row r="92" spans="2:8" x14ac:dyDescent="0.25">
      <c r="B92" s="115">
        <v>2335</v>
      </c>
      <c r="C92" s="11" t="s">
        <v>153</v>
      </c>
      <c r="D92" s="12">
        <f>VLOOKUP(B92,BV!A:E,5,FALSE)</f>
        <v>38.1</v>
      </c>
      <c r="E92" s="12">
        <v>0</v>
      </c>
      <c r="F92" s="2" t="s">
        <v>1250</v>
      </c>
      <c r="G92" s="2">
        <v>0</v>
      </c>
      <c r="H92" s="2" t="s">
        <v>1270</v>
      </c>
    </row>
    <row r="93" spans="2:8" x14ac:dyDescent="0.25">
      <c r="B93" s="115">
        <v>2342</v>
      </c>
      <c r="C93" s="11" t="s">
        <v>154</v>
      </c>
      <c r="D93" s="12">
        <f>VLOOKUP(B93,BV!A:E,5,FALSE)</f>
        <v>-28470.6</v>
      </c>
      <c r="E93" s="12">
        <v>-34605.72</v>
      </c>
      <c r="F93" s="2" t="s">
        <v>1250</v>
      </c>
      <c r="H93" s="2" t="s">
        <v>1269</v>
      </c>
    </row>
    <row r="94" spans="2:8" x14ac:dyDescent="0.25">
      <c r="B94" s="115">
        <v>2343</v>
      </c>
      <c r="C94" s="11" t="s">
        <v>155</v>
      </c>
      <c r="D94" s="12">
        <f>VLOOKUP(B94,BV!A:E,5,FALSE)</f>
        <v>-523.6</v>
      </c>
      <c r="E94" s="12">
        <v>-661.16</v>
      </c>
      <c r="F94" s="2" t="s">
        <v>1250</v>
      </c>
      <c r="G94" s="2">
        <v>661.16</v>
      </c>
      <c r="H94" s="8">
        <f>G94+D94</f>
        <v>137.55999999999995</v>
      </c>
    </row>
    <row r="95" spans="2:8" x14ac:dyDescent="0.25">
      <c r="B95" s="115">
        <v>2344</v>
      </c>
      <c r="C95" s="11" t="s">
        <v>32</v>
      </c>
      <c r="D95" s="12">
        <f>VLOOKUP(B95,BV!A:E,5,FALSE)</f>
        <v>-851.5</v>
      </c>
      <c r="E95" s="12">
        <v>-1460</v>
      </c>
      <c r="F95" s="2" t="s">
        <v>1250</v>
      </c>
    </row>
    <row r="96" spans="2:8" x14ac:dyDescent="0.25">
      <c r="B96" s="115">
        <v>2401</v>
      </c>
      <c r="C96" s="11" t="s">
        <v>157</v>
      </c>
      <c r="D96" s="12">
        <f>VLOOKUP(B96,BV!A:E,5,FALSE)</f>
        <v>-5450</v>
      </c>
      <c r="E96" s="12">
        <v>-4100</v>
      </c>
    </row>
    <row r="97" spans="2:7" x14ac:dyDescent="0.25">
      <c r="B97" s="115">
        <v>2501</v>
      </c>
      <c r="C97" s="11" t="s">
        <v>159</v>
      </c>
      <c r="D97" s="12">
        <f>VLOOKUP(B97,BV!A:E,5,FALSE)</f>
        <v>-26500.78</v>
      </c>
      <c r="E97" s="12">
        <v>-3565.64</v>
      </c>
    </row>
    <row r="98" spans="2:7" x14ac:dyDescent="0.25">
      <c r="B98" s="115">
        <v>2503</v>
      </c>
      <c r="C98" s="11" t="s">
        <v>161</v>
      </c>
      <c r="D98" s="12">
        <f>VLOOKUP(B98,BV!A:E,5,FALSE)</f>
        <v>-171003.73</v>
      </c>
      <c r="E98" s="12">
        <v>-190459.78</v>
      </c>
    </row>
    <row r="99" spans="2:7" x14ac:dyDescent="0.25">
      <c r="B99" s="116">
        <v>2505</v>
      </c>
      <c r="C99" s="118" t="s">
        <v>162</v>
      </c>
      <c r="D99" s="119">
        <f>VLOOKUP(B99,BV!A:E,5,FALSE)</f>
        <v>-17557.46</v>
      </c>
      <c r="E99" s="119">
        <v>-12749.49</v>
      </c>
      <c r="F99" s="2">
        <v>-12749.49</v>
      </c>
      <c r="G99" s="8">
        <f>F99-D99</f>
        <v>4807.9699999999993</v>
      </c>
    </row>
    <row r="100" spans="2:7" x14ac:dyDescent="0.25">
      <c r="B100" s="115">
        <v>2507</v>
      </c>
      <c r="C100" s="11" t="s">
        <v>164</v>
      </c>
      <c r="D100" s="12">
        <f>VLOOKUP(B100,BV!A:E,5,FALSE)</f>
        <v>0</v>
      </c>
      <c r="E100" s="12">
        <v>666.67</v>
      </c>
    </row>
    <row r="101" spans="2:7" x14ac:dyDescent="0.25">
      <c r="B101" s="116">
        <v>2509</v>
      </c>
      <c r="C101" s="118" t="s">
        <v>165</v>
      </c>
      <c r="D101" s="119">
        <f>VLOOKUP(B101,BV!A:E,5,FALSE)</f>
        <v>-196323.1</v>
      </c>
      <c r="E101" s="119">
        <v>-208240.44</v>
      </c>
    </row>
    <row r="102" spans="2:7" x14ac:dyDescent="0.25">
      <c r="B102" s="116">
        <v>2511</v>
      </c>
      <c r="C102" s="118" t="s">
        <v>166</v>
      </c>
      <c r="D102" s="119">
        <f>VLOOKUP(B102,BV!A:E,5,FALSE)</f>
        <v>-9869.92</v>
      </c>
      <c r="E102" s="119">
        <v>0</v>
      </c>
    </row>
    <row r="103" spans="2:7" x14ac:dyDescent="0.25">
      <c r="B103" s="115">
        <v>2801</v>
      </c>
      <c r="C103" s="11" t="s">
        <v>168</v>
      </c>
      <c r="D103" s="12">
        <f>VLOOKUP(B103,BV!A:E,5,FALSE)</f>
        <v>-24206.25</v>
      </c>
      <c r="E103" s="12">
        <v>-28694.25</v>
      </c>
      <c r="F103" s="2">
        <v>44504.25</v>
      </c>
      <c r="G103" s="2" t="s">
        <v>1271</v>
      </c>
    </row>
    <row r="104" spans="2:7" x14ac:dyDescent="0.25">
      <c r="B104" s="115">
        <v>2901</v>
      </c>
      <c r="C104" s="11" t="s">
        <v>33</v>
      </c>
      <c r="D104" s="12">
        <f>VLOOKUP(B104,BV!A:E,5,FALSE)</f>
        <v>-19603.39</v>
      </c>
      <c r="E104" s="12">
        <v>-23392.41</v>
      </c>
    </row>
  </sheetData>
  <autoFilter ref="A1:I104" xr:uid="{02C30CDB-A6A0-4B54-99D6-94375D146035}"/>
  <mergeCells count="1">
    <mergeCell ref="F84:F8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5207-A8B7-4A81-887D-A45B9F977AD4}">
  <sheetPr>
    <pageSetUpPr fitToPage="1"/>
  </sheetPr>
  <dimension ref="A1:H20"/>
  <sheetViews>
    <sheetView workbookViewId="0">
      <selection activeCell="G13" sqref="G13"/>
    </sheetView>
  </sheetViews>
  <sheetFormatPr baseColWidth="10" defaultRowHeight="15" x14ac:dyDescent="0.25"/>
  <cols>
    <col min="1" max="1" width="11.42578125" style="112"/>
    <col min="2" max="2" width="4.7109375" style="117" customWidth="1"/>
    <col min="3" max="3" width="31.140625" style="117" customWidth="1"/>
    <col min="4" max="4" width="13.85546875" style="114" bestFit="1" customWidth="1"/>
    <col min="5" max="5" width="13.28515625" style="117" customWidth="1"/>
    <col min="6" max="6" width="12.85546875" style="117" bestFit="1" customWidth="1"/>
    <col min="7" max="16384" width="11.42578125" style="117"/>
  </cols>
  <sheetData>
    <row r="1" spans="1:8" x14ac:dyDescent="0.25">
      <c r="A1" s="130" t="s">
        <v>1253</v>
      </c>
      <c r="B1" s="130"/>
      <c r="C1" s="130"/>
      <c r="D1" s="130"/>
    </row>
    <row r="2" spans="1:8" x14ac:dyDescent="0.25">
      <c r="D2" s="114" t="s">
        <v>1264</v>
      </c>
      <c r="E2" s="117" t="s">
        <v>1254</v>
      </c>
      <c r="F2" s="117" t="s">
        <v>1263</v>
      </c>
      <c r="G2" s="117" t="s">
        <v>1262</v>
      </c>
    </row>
    <row r="3" spans="1:8" x14ac:dyDescent="0.25">
      <c r="A3" s="112">
        <v>1302</v>
      </c>
      <c r="C3" s="117" t="str">
        <f>VLOOKUP(A3,'Suivi fin d''année'!B:C,2,FALSE)</f>
        <v>RECEVABLE-CLIENT-VEHICULE</v>
      </c>
      <c r="D3" s="114">
        <v>-3968.08</v>
      </c>
      <c r="E3" s="120">
        <f>-D3</f>
        <v>3968.08</v>
      </c>
      <c r="F3" s="120">
        <f t="shared" ref="F3:F13" si="0">SUM(D3:E3)</f>
        <v>0</v>
      </c>
    </row>
    <row r="4" spans="1:8" x14ac:dyDescent="0.25">
      <c r="A4" s="112">
        <v>2285</v>
      </c>
      <c r="C4" s="117" t="str">
        <f>VLOOKUP(A4,'Suivi fin d''année'!B:C,2,FALSE)</f>
        <v>PROTECTIONS A PAYER</v>
      </c>
      <c r="D4" s="114">
        <v>-10655.57</v>
      </c>
      <c r="E4" s="120">
        <f>-D4</f>
        <v>10655.57</v>
      </c>
      <c r="F4" s="120">
        <f t="shared" si="0"/>
        <v>0</v>
      </c>
    </row>
    <row r="5" spans="1:8" x14ac:dyDescent="0.25">
      <c r="A5" s="112">
        <v>2287</v>
      </c>
      <c r="C5" s="117" t="str">
        <f>VLOOKUP(A5,'Suivi fin d''année'!B:C,2,FALSE)</f>
        <v>A PAYER INVAPLAN</v>
      </c>
      <c r="D5" s="114">
        <v>-371.29</v>
      </c>
      <c r="E5" s="117">
        <v>0</v>
      </c>
      <c r="F5" s="120">
        <f t="shared" si="0"/>
        <v>-371.29</v>
      </c>
      <c r="G5" s="117" t="s">
        <v>1261</v>
      </c>
    </row>
    <row r="6" spans="1:8" x14ac:dyDescent="0.25">
      <c r="A6" s="112">
        <v>1202</v>
      </c>
      <c r="C6" s="117" t="str">
        <f>VLOOKUP(A6,'Suivi fin d''année'!B:C,2,FALSE)</f>
        <v>CONTRATS EN TRANSIT</v>
      </c>
      <c r="D6" s="114">
        <v>-21681.71</v>
      </c>
      <c r="E6" s="117">
        <v>25000</v>
      </c>
      <c r="F6" s="120">
        <f t="shared" si="0"/>
        <v>3318.2900000000009</v>
      </c>
      <c r="G6" s="117">
        <v>1399</v>
      </c>
      <c r="H6" s="117" t="s">
        <v>1260</v>
      </c>
    </row>
    <row r="7" spans="1:8" x14ac:dyDescent="0.25">
      <c r="A7" s="112">
        <v>2401</v>
      </c>
      <c r="C7" s="117" t="str">
        <f>VLOOKUP(A7,'Suivi fin d''année'!B:C,2,FALSE)</f>
        <v>DEPOTS FIDUCIE-VENTE CLIENTS</v>
      </c>
      <c r="D7" s="114">
        <v>-1325</v>
      </c>
      <c r="E7" s="117">
        <v>0</v>
      </c>
      <c r="F7" s="120">
        <f t="shared" si="0"/>
        <v>-1325</v>
      </c>
      <c r="G7" s="117" t="s">
        <v>1257</v>
      </c>
    </row>
    <row r="8" spans="1:8" x14ac:dyDescent="0.25">
      <c r="A8" s="112">
        <v>1402</v>
      </c>
      <c r="C8" s="117" t="str">
        <f>VLOOKUP(A8,'Suivi fin d''année'!B:C,2,FALSE)</f>
        <v>VEHIC. NEUFS VOLKS</v>
      </c>
      <c r="D8" s="114">
        <v>-1852.75</v>
      </c>
      <c r="E8" s="117">
        <v>0</v>
      </c>
      <c r="F8" s="120">
        <f t="shared" si="0"/>
        <v>-1852.75</v>
      </c>
      <c r="G8" s="117" t="s">
        <v>1257</v>
      </c>
    </row>
    <row r="9" spans="1:8" x14ac:dyDescent="0.25">
      <c r="A9" s="112">
        <v>1416</v>
      </c>
      <c r="C9" s="117" t="str">
        <f>VLOOKUP(A9,'Suivi fin d''année'!B:C,2,FALSE)</f>
        <v>INV. VEH. USAGE VW</v>
      </c>
      <c r="D9" s="114">
        <v>-38558.480000000003</v>
      </c>
      <c r="E9" s="117">
        <v>0</v>
      </c>
      <c r="F9" s="120">
        <f t="shared" si="0"/>
        <v>-38558.480000000003</v>
      </c>
      <c r="G9" s="117" t="s">
        <v>1256</v>
      </c>
    </row>
    <row r="10" spans="1:8" x14ac:dyDescent="0.25">
      <c r="A10" s="112">
        <v>1806</v>
      </c>
      <c r="C10" s="117" t="str">
        <f>VLOOKUP(A10,'Suivi fin d''année'!B:C,2,FALSE)</f>
        <v>FINANCEMENT RECEVABLE</v>
      </c>
      <c r="D10" s="114">
        <v>0</v>
      </c>
      <c r="E10" s="117">
        <v>0</v>
      </c>
      <c r="F10" s="120">
        <f t="shared" si="0"/>
        <v>0</v>
      </c>
    </row>
    <row r="11" spans="1:8" x14ac:dyDescent="0.25">
      <c r="A11" s="112">
        <v>1332</v>
      </c>
      <c r="C11" s="117" t="str">
        <f>VLOOKUP(A11,'Suivi fin d''année'!B:C,2,FALSE)</f>
        <v>RECLAM. RECEVABLE-GARANTIE</v>
      </c>
      <c r="D11" s="114">
        <v>-6503.3</v>
      </c>
      <c r="E11" s="117">
        <v>0</v>
      </c>
      <c r="F11" s="120">
        <f t="shared" si="0"/>
        <v>-6503.3</v>
      </c>
      <c r="G11" s="117" t="s">
        <v>1259</v>
      </c>
    </row>
    <row r="12" spans="1:8" x14ac:dyDescent="0.25">
      <c r="A12" s="112">
        <v>1352</v>
      </c>
      <c r="C12" s="117" t="str">
        <f>VLOOKUP(A12,'Suivi fin d''année'!B:C,2,FALSE)</f>
        <v>RECEV. MANUFACTURIER VOLKS</v>
      </c>
      <c r="D12" s="114">
        <v>-25600.799999999999</v>
      </c>
      <c r="E12" s="117">
        <v>25600.799999999999</v>
      </c>
      <c r="F12" s="120">
        <f t="shared" si="0"/>
        <v>0</v>
      </c>
    </row>
    <row r="13" spans="1:8" x14ac:dyDescent="0.25">
      <c r="A13" s="112">
        <v>1312</v>
      </c>
      <c r="C13" s="117" t="str">
        <f>VLOOKUP(A13,'Suivi fin d''année'!B:C,2,FALSE)</f>
        <v>RESEVE VOLKS</v>
      </c>
      <c r="D13" s="114">
        <v>-53570</v>
      </c>
      <c r="E13" s="120">
        <f>-D13</f>
        <v>53570</v>
      </c>
      <c r="F13" s="120">
        <f t="shared" si="0"/>
        <v>0</v>
      </c>
    </row>
    <row r="14" spans="1:8" x14ac:dyDescent="0.25">
      <c r="D14" s="114">
        <f>SUM(D3:D13)</f>
        <v>-164086.98000000001</v>
      </c>
      <c r="F14" s="120">
        <f>SUM(F3:F13)</f>
        <v>-45292.530000000006</v>
      </c>
    </row>
    <row r="16" spans="1:8" x14ac:dyDescent="0.25">
      <c r="E16" s="117" t="s">
        <v>1258</v>
      </c>
      <c r="F16" s="120">
        <f>F5</f>
        <v>-371.29</v>
      </c>
      <c r="G16" s="117">
        <v>9170</v>
      </c>
    </row>
    <row r="17" spans="5:7" x14ac:dyDescent="0.25">
      <c r="E17" s="117" t="s">
        <v>1257</v>
      </c>
      <c r="F17" s="120">
        <f>F6+F7+F8</f>
        <v>140.54000000000087</v>
      </c>
      <c r="G17" s="117">
        <v>5139</v>
      </c>
    </row>
    <row r="18" spans="5:7" x14ac:dyDescent="0.25">
      <c r="E18" s="117" t="s">
        <v>1256</v>
      </c>
      <c r="F18" s="120">
        <f>+F9</f>
        <v>-38558.480000000003</v>
      </c>
      <c r="G18" s="117">
        <v>5291</v>
      </c>
    </row>
    <row r="19" spans="5:7" x14ac:dyDescent="0.25">
      <c r="E19" s="117" t="s">
        <v>1255</v>
      </c>
      <c r="F19" s="120">
        <f>+F11</f>
        <v>-6503.3</v>
      </c>
      <c r="G19" s="117">
        <v>6403</v>
      </c>
    </row>
    <row r="20" spans="5:7" x14ac:dyDescent="0.25">
      <c r="F20" s="120">
        <f>SUM(F16:F19)</f>
        <v>-45292.530000000006</v>
      </c>
    </row>
  </sheetData>
  <mergeCells count="1">
    <mergeCell ref="A1:D1"/>
  </mergeCells>
  <pageMargins left="0.7" right="0.7" top="0.75" bottom="0.75" header="0.3" footer="0.3"/>
  <pageSetup paperSize="9" scale="7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0B22-F038-4661-BB34-A7E8B8486217}">
  <dimension ref="A1:G22"/>
  <sheetViews>
    <sheetView workbookViewId="0">
      <selection activeCell="E19" sqref="E19"/>
    </sheetView>
  </sheetViews>
  <sheetFormatPr baseColWidth="10" defaultRowHeight="15" x14ac:dyDescent="0.25"/>
  <cols>
    <col min="1" max="1" width="48.85546875" bestFit="1" customWidth="1"/>
    <col min="2" max="5" width="19.85546875" style="1" customWidth="1"/>
    <col min="6" max="6" width="64.7109375" bestFit="1" customWidth="1"/>
  </cols>
  <sheetData>
    <row r="1" spans="1:7" x14ac:dyDescent="0.25">
      <c r="B1" s="1" t="s">
        <v>7</v>
      </c>
      <c r="C1" s="1" t="s">
        <v>16</v>
      </c>
      <c r="D1" s="1" t="s">
        <v>1265</v>
      </c>
      <c r="E1" s="1" t="s">
        <v>1266</v>
      </c>
      <c r="F1" t="s">
        <v>17</v>
      </c>
    </row>
    <row r="2" spans="1:7" s="121" customFormat="1" x14ac:dyDescent="0.25">
      <c r="A2" s="121" t="s">
        <v>1286</v>
      </c>
      <c r="B2" s="1"/>
      <c r="C2" s="1"/>
      <c r="D2" s="1"/>
      <c r="E2" s="122">
        <f>SUM(B2:D2)</f>
        <v>0</v>
      </c>
    </row>
    <row r="3" spans="1:7" x14ac:dyDescent="0.25">
      <c r="A3" t="s">
        <v>15</v>
      </c>
      <c r="B3" s="1">
        <v>-25600.799999999999</v>
      </c>
      <c r="C3" s="1">
        <v>25600.799999999999</v>
      </c>
      <c r="E3" s="1">
        <f>SUM(B3:D3)</f>
        <v>0</v>
      </c>
      <c r="F3" t="s">
        <v>1287</v>
      </c>
    </row>
    <row r="4" spans="1:7" x14ac:dyDescent="0.25">
      <c r="A4" t="s">
        <v>13</v>
      </c>
      <c r="B4" s="1">
        <v>-45000</v>
      </c>
      <c r="C4" s="1">
        <f>(13233*0.5)+13383.5</f>
        <v>20000</v>
      </c>
      <c r="D4" s="1">
        <v>25000</v>
      </c>
      <c r="E4" s="1">
        <f>SUM(B4:D4)</f>
        <v>0</v>
      </c>
      <c r="F4" t="s">
        <v>1284</v>
      </c>
    </row>
    <row r="5" spans="1:7" x14ac:dyDescent="0.25">
      <c r="A5" t="s">
        <v>8</v>
      </c>
      <c r="B5" s="1">
        <v>-121526.96</v>
      </c>
      <c r="C5" s="1">
        <v>37000</v>
      </c>
      <c r="D5" s="1">
        <v>75000</v>
      </c>
      <c r="E5" s="126">
        <f t="shared" ref="E5:E12" si="0">SUM(B5:D5)</f>
        <v>-9526.9600000000064</v>
      </c>
    </row>
    <row r="6" spans="1:7" s="117" customFormat="1" x14ac:dyDescent="0.25">
      <c r="A6" s="117" t="s">
        <v>1267</v>
      </c>
      <c r="B6" s="1">
        <v>-1315.08</v>
      </c>
      <c r="C6" s="1">
        <v>1315.08</v>
      </c>
      <c r="D6" s="1"/>
      <c r="E6" s="1">
        <f>SUM(B6:D6)</f>
        <v>0</v>
      </c>
    </row>
    <row r="7" spans="1:7" x14ac:dyDescent="0.25">
      <c r="A7" t="s">
        <v>14</v>
      </c>
      <c r="B7" s="1">
        <v>-37481</v>
      </c>
      <c r="C7" s="1">
        <v>15405</v>
      </c>
      <c r="E7" s="126">
        <f t="shared" si="0"/>
        <v>-22076</v>
      </c>
      <c r="F7" t="s">
        <v>1282</v>
      </c>
    </row>
    <row r="8" spans="1:7" x14ac:dyDescent="0.25">
      <c r="A8" t="s">
        <v>9</v>
      </c>
      <c r="B8" s="1">
        <v>-33322</v>
      </c>
      <c r="C8" s="1">
        <v>33322</v>
      </c>
      <c r="E8" s="1">
        <f t="shared" si="0"/>
        <v>0</v>
      </c>
      <c r="F8" t="s">
        <v>1281</v>
      </c>
    </row>
    <row r="9" spans="1:7" x14ac:dyDescent="0.25">
      <c r="A9" t="s">
        <v>10</v>
      </c>
      <c r="B9" s="1">
        <v>-20412.5</v>
      </c>
      <c r="E9" s="125">
        <f t="shared" si="0"/>
        <v>-20412.5</v>
      </c>
      <c r="G9" t="s">
        <v>1288</v>
      </c>
    </row>
    <row r="10" spans="1:7" x14ac:dyDescent="0.25">
      <c r="A10" t="s">
        <v>11</v>
      </c>
      <c r="B10" s="1">
        <v>-18940.14</v>
      </c>
      <c r="C10" s="1">
        <v>15000</v>
      </c>
      <c r="E10" s="126">
        <f t="shared" si="0"/>
        <v>-3940.1399999999994</v>
      </c>
    </row>
    <row r="11" spans="1:7" x14ac:dyDescent="0.25">
      <c r="A11" t="s">
        <v>12</v>
      </c>
      <c r="B11" s="1">
        <v>-821.29</v>
      </c>
      <c r="C11" s="1">
        <v>5000</v>
      </c>
      <c r="E11" s="126">
        <f t="shared" si="0"/>
        <v>4178.71</v>
      </c>
      <c r="G11" s="124"/>
    </row>
    <row r="12" spans="1:7" s="117" customFormat="1" x14ac:dyDescent="0.25">
      <c r="A12" s="117" t="s">
        <v>1268</v>
      </c>
      <c r="B12" s="1">
        <v>-26252</v>
      </c>
      <c r="C12" s="1"/>
      <c r="D12" s="1">
        <v>26252</v>
      </c>
      <c r="E12" s="1">
        <f t="shared" si="0"/>
        <v>0</v>
      </c>
    </row>
    <row r="13" spans="1:7" x14ac:dyDescent="0.25">
      <c r="B13" s="1">
        <v>-350350.62999999995</v>
      </c>
      <c r="C13" s="1">
        <f>SUM(C2:C12)</f>
        <v>152642.88</v>
      </c>
      <c r="D13" s="1">
        <f>SUM(D2:D12)</f>
        <v>126252</v>
      </c>
      <c r="E13" s="1">
        <f>SUM(E2:E12)</f>
        <v>-51776.890000000007</v>
      </c>
    </row>
    <row r="17" spans="4:6" x14ac:dyDescent="0.25">
      <c r="D17" s="1" t="s">
        <v>1289</v>
      </c>
      <c r="E17" s="126">
        <v>9526.9599999999991</v>
      </c>
    </row>
    <row r="18" spans="4:6" x14ac:dyDescent="0.25">
      <c r="E18" s="126">
        <v>3940.14</v>
      </c>
    </row>
    <row r="19" spans="4:6" x14ac:dyDescent="0.25">
      <c r="E19" s="126">
        <v>17897.29</v>
      </c>
    </row>
    <row r="20" spans="4:6" x14ac:dyDescent="0.25">
      <c r="E20" s="126">
        <f>SUM(E17:E19)</f>
        <v>31364.39</v>
      </c>
    </row>
    <row r="22" spans="4:6" x14ac:dyDescent="0.25">
      <c r="D22" s="1" t="s">
        <v>1290</v>
      </c>
      <c r="E22" s="125">
        <f>E13+E20</f>
        <v>-20412.500000000007</v>
      </c>
      <c r="F22" t="s">
        <v>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4CC7-3266-4DDD-B820-EE77328AEFD6}">
  <dimension ref="A1:F18"/>
  <sheetViews>
    <sheetView tabSelected="1" workbookViewId="0">
      <selection activeCell="B3" sqref="B3"/>
    </sheetView>
  </sheetViews>
  <sheetFormatPr baseColWidth="10" defaultRowHeight="15" x14ac:dyDescent="0.25"/>
  <cols>
    <col min="1" max="1" width="48.85546875" style="123" bestFit="1" customWidth="1"/>
    <col min="2" max="4" width="19.85546875" style="1" customWidth="1"/>
    <col min="5" max="5" width="64.7109375" style="123" bestFit="1" customWidth="1"/>
    <col min="6" max="16384" width="11.42578125" style="123"/>
  </cols>
  <sheetData>
    <row r="1" spans="1:6" x14ac:dyDescent="0.25">
      <c r="B1" s="1" t="s">
        <v>7</v>
      </c>
      <c r="C1" s="1" t="s">
        <v>1265</v>
      </c>
      <c r="D1" s="1" t="s">
        <v>1304</v>
      </c>
    </row>
    <row r="2" spans="1:6" x14ac:dyDescent="0.25">
      <c r="A2" s="123" t="s">
        <v>1286</v>
      </c>
      <c r="D2" s="122">
        <f>SUM(B2:C2)</f>
        <v>0</v>
      </c>
    </row>
    <row r="3" spans="1:6" x14ac:dyDescent="0.25">
      <c r="A3" s="123" t="s">
        <v>15</v>
      </c>
      <c r="B3" s="1">
        <f>'RES cédule'!D12</f>
        <v>-25600.799999999999</v>
      </c>
      <c r="D3" s="1">
        <f>SUM(B3:C3)</f>
        <v>-25600.799999999999</v>
      </c>
    </row>
    <row r="4" spans="1:6" x14ac:dyDescent="0.25">
      <c r="A4" s="123" t="s">
        <v>13</v>
      </c>
      <c r="B4" s="1">
        <f>'Suivi fin d''année'!D16</f>
        <v>-45000</v>
      </c>
      <c r="C4" s="1">
        <v>25000</v>
      </c>
      <c r="D4" s="1">
        <f>SUM(B4:C4)</f>
        <v>-20000</v>
      </c>
    </row>
    <row r="5" spans="1:6" x14ac:dyDescent="0.25">
      <c r="A5" s="123" t="s">
        <v>8</v>
      </c>
      <c r="B5" s="1">
        <f>'Suivi fin d''année'!D18</f>
        <v>-125014.36</v>
      </c>
      <c r="C5" s="1">
        <v>75000</v>
      </c>
      <c r="D5" s="122">
        <f t="shared" ref="D5:D15" si="0">SUM(B5:C5)</f>
        <v>-50014.36</v>
      </c>
    </row>
    <row r="6" spans="1:6" x14ac:dyDescent="0.25">
      <c r="A6" s="123" t="s">
        <v>14</v>
      </c>
      <c r="B6" s="1">
        <f>'Suivi fin d''année'!D20</f>
        <v>-17732.75</v>
      </c>
      <c r="D6" s="122">
        <f t="shared" si="0"/>
        <v>-17732.75</v>
      </c>
    </row>
    <row r="7" spans="1:6" x14ac:dyDescent="0.25">
      <c r="A7" s="123" t="s">
        <v>9</v>
      </c>
      <c r="B7" s="1">
        <f>'Suivi fin d''année'!D21</f>
        <v>-28856.09</v>
      </c>
      <c r="D7" s="122">
        <f t="shared" si="0"/>
        <v>-28856.09</v>
      </c>
    </row>
    <row r="8" spans="1:6" x14ac:dyDescent="0.25">
      <c r="A8" s="123" t="s">
        <v>10</v>
      </c>
      <c r="B8" s="1">
        <f>'Suivi fin d''année'!D90</f>
        <v>-10400</v>
      </c>
      <c r="D8" s="122">
        <f t="shared" si="0"/>
        <v>-10400</v>
      </c>
    </row>
    <row r="9" spans="1:6" x14ac:dyDescent="0.25">
      <c r="A9" s="123" t="s">
        <v>11</v>
      </c>
      <c r="B9" s="1">
        <f>'Suivi fin d''année'!D19</f>
        <v>-30432.58</v>
      </c>
      <c r="D9" s="122">
        <f t="shared" si="0"/>
        <v>-30432.58</v>
      </c>
    </row>
    <row r="10" spans="1:6" x14ac:dyDescent="0.25">
      <c r="A10" s="123" t="s">
        <v>12</v>
      </c>
      <c r="B10" s="1">
        <f>'Suivi fin d''année'!D88</f>
        <v>-6441.96</v>
      </c>
      <c r="D10" s="122">
        <f t="shared" si="0"/>
        <v>-6441.96</v>
      </c>
      <c r="F10" s="124"/>
    </row>
    <row r="11" spans="1:6" x14ac:dyDescent="0.25">
      <c r="A11" s="123" t="s">
        <v>1268</v>
      </c>
      <c r="B11" s="1">
        <v>-61252.01</v>
      </c>
      <c r="D11" s="1">
        <f t="shared" si="0"/>
        <v>-61252.01</v>
      </c>
      <c r="E11" s="123" t="s">
        <v>1306</v>
      </c>
    </row>
    <row r="12" spans="1:6" s="132" customFormat="1" x14ac:dyDescent="0.25">
      <c r="A12" s="132" t="s">
        <v>1302</v>
      </c>
      <c r="B12" s="1">
        <v>-14540.93</v>
      </c>
      <c r="C12" s="1">
        <v>-14540.93</v>
      </c>
      <c r="D12" s="1">
        <f t="shared" si="0"/>
        <v>-29081.86</v>
      </c>
    </row>
    <row r="13" spans="1:6" s="132" customFormat="1" x14ac:dyDescent="0.25">
      <c r="A13" s="132" t="s">
        <v>1303</v>
      </c>
      <c r="B13" s="1">
        <v>-10000</v>
      </c>
      <c r="C13" s="1"/>
      <c r="D13" s="1">
        <f t="shared" si="0"/>
        <v>-10000</v>
      </c>
    </row>
    <row r="14" spans="1:6" s="132" customFormat="1" x14ac:dyDescent="0.25">
      <c r="A14" s="132" t="s">
        <v>1305</v>
      </c>
      <c r="B14" s="1">
        <v>-22187</v>
      </c>
      <c r="C14" s="1"/>
      <c r="D14" s="1">
        <f t="shared" si="0"/>
        <v>-22187</v>
      </c>
    </row>
    <row r="15" spans="1:6" s="132" customFormat="1" x14ac:dyDescent="0.25">
      <c r="A15" s="132" t="s">
        <v>1307</v>
      </c>
      <c r="B15" s="1">
        <f>'Suivi fin d''année'!D104</f>
        <v>-19603.39</v>
      </c>
      <c r="C15" s="1"/>
      <c r="D15" s="1">
        <f t="shared" si="0"/>
        <v>-19603.39</v>
      </c>
    </row>
    <row r="16" spans="1:6" s="132" customFormat="1" x14ac:dyDescent="0.25">
      <c r="B16" s="1"/>
      <c r="C16" s="1"/>
      <c r="D16" s="1"/>
    </row>
    <row r="17" spans="2:4" s="132" customFormat="1" x14ac:dyDescent="0.25">
      <c r="B17" s="1"/>
      <c r="C17" s="1"/>
      <c r="D17" s="1"/>
    </row>
    <row r="18" spans="2:4" x14ac:dyDescent="0.25">
      <c r="B18" s="1">
        <f>SUM(B2:B17)</f>
        <v>-417061.87000000005</v>
      </c>
      <c r="C18" s="1">
        <f>SUM(C2:C17)</f>
        <v>85459.07</v>
      </c>
      <c r="D18" s="1">
        <f>SUM(D2:D17)</f>
        <v>-331602.80000000005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7ED0-4408-4BE7-868D-8DAC712B4EF6}">
  <dimension ref="A1:L91"/>
  <sheetViews>
    <sheetView topLeftCell="A55" workbookViewId="0">
      <selection activeCell="A2" sqref="A2:A91"/>
    </sheetView>
  </sheetViews>
  <sheetFormatPr baseColWidth="10" defaultRowHeight="15" x14ac:dyDescent="0.25"/>
  <cols>
    <col min="1" max="1" width="9" bestFit="1" customWidth="1"/>
    <col min="2" max="2" width="36.7109375" bestFit="1" customWidth="1"/>
    <col min="3" max="3" width="17.140625" bestFit="1" customWidth="1"/>
    <col min="4" max="4" width="13.140625" bestFit="1" customWidth="1"/>
    <col min="5" max="5" width="13.42578125" bestFit="1" customWidth="1"/>
    <col min="6" max="6" width="12.42578125" bestFit="1" customWidth="1"/>
    <col min="7" max="7" width="8.7109375" bestFit="1" customWidth="1"/>
    <col min="8" max="8" width="7.42578125" bestFit="1" customWidth="1"/>
    <col min="9" max="9" width="22.7109375" bestFit="1" customWidth="1"/>
    <col min="10" max="10" width="22.85546875" bestFit="1" customWidth="1"/>
    <col min="11" max="11" width="19.7109375" bestFit="1" customWidth="1"/>
    <col min="12" max="12" width="7.28515625" bestFit="1" customWidth="1"/>
  </cols>
  <sheetData>
    <row r="1" spans="1:12" x14ac:dyDescent="0.25">
      <c r="A1" s="133" t="s">
        <v>2</v>
      </c>
      <c r="B1" s="133" t="s">
        <v>1</v>
      </c>
      <c r="C1" s="135" t="s">
        <v>18</v>
      </c>
      <c r="D1" s="135" t="s">
        <v>19</v>
      </c>
      <c r="E1" s="135" t="s">
        <v>20</v>
      </c>
      <c r="F1" s="133" t="s">
        <v>21</v>
      </c>
      <c r="G1" s="133" t="s">
        <v>22</v>
      </c>
      <c r="H1" s="133" t="s">
        <v>23</v>
      </c>
      <c r="I1" s="135" t="s">
        <v>24</v>
      </c>
      <c r="J1" s="135" t="s">
        <v>25</v>
      </c>
      <c r="K1" s="135" t="s">
        <v>26</v>
      </c>
      <c r="L1" s="137" t="s">
        <v>27</v>
      </c>
    </row>
    <row r="2" spans="1:12" x14ac:dyDescent="0.25">
      <c r="A2" s="131">
        <v>1102</v>
      </c>
      <c r="B2" s="134" t="s">
        <v>36</v>
      </c>
      <c r="C2" s="136">
        <v>2525466.33</v>
      </c>
      <c r="D2" s="136">
        <v>-316660.2</v>
      </c>
      <c r="E2" s="136">
        <v>2208806.13</v>
      </c>
      <c r="F2" s="134" t="s">
        <v>28</v>
      </c>
      <c r="G2" s="134" t="s">
        <v>35</v>
      </c>
      <c r="H2" s="132"/>
      <c r="I2" s="132"/>
      <c r="J2" s="132"/>
      <c r="K2" s="132"/>
      <c r="L2" s="138">
        <v>1</v>
      </c>
    </row>
    <row r="3" spans="1:12" x14ac:dyDescent="0.25">
      <c r="A3" s="131">
        <v>1182</v>
      </c>
      <c r="B3" s="134" t="s">
        <v>38</v>
      </c>
      <c r="C3" s="136">
        <v>150.19999999999999</v>
      </c>
      <c r="D3" s="136">
        <v>-100</v>
      </c>
      <c r="E3" s="136">
        <v>50.2</v>
      </c>
      <c r="F3" s="134" t="s">
        <v>28</v>
      </c>
      <c r="G3" s="134" t="s">
        <v>35</v>
      </c>
      <c r="H3" s="132"/>
      <c r="I3" s="132"/>
      <c r="J3" s="132"/>
      <c r="K3" s="132"/>
      <c r="L3" s="138">
        <v>1</v>
      </c>
    </row>
    <row r="4" spans="1:12" x14ac:dyDescent="0.25">
      <c r="A4" s="131">
        <v>1202</v>
      </c>
      <c r="B4" s="134" t="s">
        <v>40</v>
      </c>
      <c r="C4" s="136">
        <v>1823359.53</v>
      </c>
      <c r="D4" s="136">
        <v>407016.56</v>
      </c>
      <c r="E4" s="136">
        <v>2230376.09</v>
      </c>
      <c r="F4" s="134" t="s">
        <v>28</v>
      </c>
      <c r="G4" s="134" t="s">
        <v>39</v>
      </c>
      <c r="H4" s="132"/>
      <c r="I4" s="132"/>
      <c r="J4" s="132"/>
      <c r="K4" s="132"/>
      <c r="L4" s="138">
        <v>1</v>
      </c>
    </row>
    <row r="5" spans="1:12" x14ac:dyDescent="0.25">
      <c r="A5" s="131">
        <v>1302</v>
      </c>
      <c r="B5" s="134" t="s">
        <v>42</v>
      </c>
      <c r="C5" s="136">
        <v>19471.490000000002</v>
      </c>
      <c r="D5" s="136">
        <v>1300.01</v>
      </c>
      <c r="E5" s="136">
        <v>20771.5</v>
      </c>
      <c r="F5" s="134" t="s">
        <v>28</v>
      </c>
      <c r="G5" s="134" t="s">
        <v>41</v>
      </c>
      <c r="H5" s="132"/>
      <c r="I5" s="132"/>
      <c r="J5" s="132"/>
      <c r="K5" s="132"/>
      <c r="L5" s="138">
        <v>1</v>
      </c>
    </row>
    <row r="6" spans="1:12" x14ac:dyDescent="0.25">
      <c r="A6" s="131">
        <v>1303</v>
      </c>
      <c r="B6" s="134" t="s">
        <v>44</v>
      </c>
      <c r="C6" s="136">
        <v>383976.36</v>
      </c>
      <c r="D6" s="136">
        <v>-188018.44</v>
      </c>
      <c r="E6" s="136">
        <v>195957.92</v>
      </c>
      <c r="F6" s="134" t="s">
        <v>28</v>
      </c>
      <c r="G6" s="134" t="s">
        <v>41</v>
      </c>
      <c r="H6" s="132"/>
      <c r="I6" s="132"/>
      <c r="J6" s="132"/>
      <c r="K6" s="132"/>
      <c r="L6" s="138">
        <v>1</v>
      </c>
    </row>
    <row r="7" spans="1:12" x14ac:dyDescent="0.25">
      <c r="A7" s="131">
        <v>1304</v>
      </c>
      <c r="B7" s="134" t="s">
        <v>46</v>
      </c>
      <c r="C7" s="136">
        <v>38128.36</v>
      </c>
      <c r="D7" s="136">
        <v>18592.14</v>
      </c>
      <c r="E7" s="136">
        <v>56720.5</v>
      </c>
      <c r="F7" s="134" t="s">
        <v>28</v>
      </c>
      <c r="G7" s="134" t="s">
        <v>45</v>
      </c>
      <c r="H7" s="132"/>
      <c r="I7" s="132"/>
      <c r="J7" s="132"/>
      <c r="K7" s="132"/>
      <c r="L7" s="138">
        <v>1</v>
      </c>
    </row>
    <row r="8" spans="1:12" x14ac:dyDescent="0.25">
      <c r="A8" s="131">
        <v>1305</v>
      </c>
      <c r="B8" s="134" t="s">
        <v>47</v>
      </c>
      <c r="C8" s="136">
        <v>28649.41</v>
      </c>
      <c r="D8" s="136">
        <v>20839.05</v>
      </c>
      <c r="E8" s="136">
        <v>49488.46</v>
      </c>
      <c r="F8" s="134" t="s">
        <v>28</v>
      </c>
      <c r="G8" s="134" t="s">
        <v>45</v>
      </c>
      <c r="H8" s="132"/>
      <c r="I8" s="132"/>
      <c r="J8" s="132"/>
      <c r="K8" s="132"/>
      <c r="L8" s="138">
        <v>1</v>
      </c>
    </row>
    <row r="9" spans="1:12" x14ac:dyDescent="0.25">
      <c r="A9" s="131">
        <v>1312</v>
      </c>
      <c r="B9" s="134" t="s">
        <v>49</v>
      </c>
      <c r="C9" s="136">
        <v>101308</v>
      </c>
      <c r="D9" s="136">
        <v>-51897</v>
      </c>
      <c r="E9" s="136">
        <v>49411</v>
      </c>
      <c r="F9" s="134" t="s">
        <v>28</v>
      </c>
      <c r="G9" s="134" t="s">
        <v>50</v>
      </c>
      <c r="H9" s="132"/>
      <c r="I9" s="132"/>
      <c r="J9" s="132"/>
      <c r="K9" s="132"/>
      <c r="L9" s="138">
        <v>1</v>
      </c>
    </row>
    <row r="10" spans="1:12" x14ac:dyDescent="0.25">
      <c r="A10" s="131">
        <v>1332</v>
      </c>
      <c r="B10" s="134" t="s">
        <v>52</v>
      </c>
      <c r="C10" s="136">
        <v>135386.41</v>
      </c>
      <c r="D10" s="136">
        <v>-94050.75</v>
      </c>
      <c r="E10" s="136">
        <v>41335.660000000003</v>
      </c>
      <c r="F10" s="134" t="s">
        <v>28</v>
      </c>
      <c r="G10" s="134" t="s">
        <v>51</v>
      </c>
      <c r="H10" s="132"/>
      <c r="I10" s="132"/>
      <c r="J10" s="132"/>
      <c r="K10" s="132"/>
      <c r="L10" s="138">
        <v>1</v>
      </c>
    </row>
    <row r="11" spans="1:12" x14ac:dyDescent="0.25">
      <c r="A11" s="131">
        <v>1340</v>
      </c>
      <c r="B11" s="134" t="s">
        <v>53</v>
      </c>
      <c r="C11" s="136">
        <v>4402.72</v>
      </c>
      <c r="D11" s="136">
        <v>-4332.91</v>
      </c>
      <c r="E11" s="136">
        <v>69.81</v>
      </c>
      <c r="F11" s="134" t="s">
        <v>28</v>
      </c>
      <c r="G11" s="134" t="s">
        <v>54</v>
      </c>
      <c r="H11" s="132"/>
      <c r="I11" s="132"/>
      <c r="J11" s="132"/>
      <c r="K11" s="132"/>
      <c r="L11" s="138">
        <v>1</v>
      </c>
    </row>
    <row r="12" spans="1:12" x14ac:dyDescent="0.25">
      <c r="A12" s="131">
        <v>1352</v>
      </c>
      <c r="B12" s="134" t="s">
        <v>55</v>
      </c>
      <c r="C12" s="136">
        <v>31105.98</v>
      </c>
      <c r="D12" s="136">
        <v>181801.74</v>
      </c>
      <c r="E12" s="136">
        <v>212907.72</v>
      </c>
      <c r="F12" s="134" t="s">
        <v>28</v>
      </c>
      <c r="G12" s="134" t="s">
        <v>50</v>
      </c>
      <c r="H12" s="132"/>
      <c r="I12" s="132"/>
      <c r="J12" s="132"/>
      <c r="K12" s="132"/>
      <c r="L12" s="138">
        <v>1</v>
      </c>
    </row>
    <row r="13" spans="1:12" x14ac:dyDescent="0.25">
      <c r="A13" s="131">
        <v>1372</v>
      </c>
      <c r="B13" s="134" t="s">
        <v>58</v>
      </c>
      <c r="C13" s="136">
        <v>53960.13</v>
      </c>
      <c r="D13" s="136">
        <v>59001.7</v>
      </c>
      <c r="E13" s="136">
        <v>112961.83</v>
      </c>
      <c r="F13" s="134" t="s">
        <v>28</v>
      </c>
      <c r="G13" s="134" t="s">
        <v>57</v>
      </c>
      <c r="H13" s="132"/>
      <c r="I13" s="132"/>
      <c r="J13" s="132"/>
      <c r="K13" s="132"/>
      <c r="L13" s="138">
        <v>1</v>
      </c>
    </row>
    <row r="14" spans="1:12" x14ac:dyDescent="0.25">
      <c r="A14" s="131">
        <v>1399</v>
      </c>
      <c r="B14" s="134" t="s">
        <v>1275</v>
      </c>
      <c r="C14" s="136">
        <v>-45000</v>
      </c>
      <c r="D14" s="136">
        <v>0</v>
      </c>
      <c r="E14" s="136">
        <v>-45000</v>
      </c>
      <c r="F14" s="134" t="s">
        <v>28</v>
      </c>
      <c r="G14" s="134" t="s">
        <v>1274</v>
      </c>
      <c r="H14" s="132"/>
      <c r="I14" s="132"/>
      <c r="J14" s="132"/>
      <c r="K14" s="132"/>
      <c r="L14" s="138">
        <v>1</v>
      </c>
    </row>
    <row r="15" spans="1:12" x14ac:dyDescent="0.25">
      <c r="A15" s="131">
        <v>1402</v>
      </c>
      <c r="B15" s="134" t="s">
        <v>60</v>
      </c>
      <c r="C15" s="136">
        <v>5602252.6900000004</v>
      </c>
      <c r="D15" s="136">
        <v>-24150.91</v>
      </c>
      <c r="E15" s="136">
        <v>5578101.7800000003</v>
      </c>
      <c r="F15" s="134" t="s">
        <v>28</v>
      </c>
      <c r="G15" s="134" t="s">
        <v>59</v>
      </c>
      <c r="H15" s="132"/>
      <c r="I15" s="132"/>
      <c r="J15" s="132"/>
      <c r="K15" s="132"/>
      <c r="L15" s="138">
        <v>1</v>
      </c>
    </row>
    <row r="16" spans="1:12" x14ac:dyDescent="0.25">
      <c r="A16" s="131">
        <v>1403</v>
      </c>
      <c r="B16" s="134" t="s">
        <v>61</v>
      </c>
      <c r="C16" s="136">
        <v>-128735.54</v>
      </c>
      <c r="D16" s="136">
        <v>3721.18</v>
      </c>
      <c r="E16" s="136">
        <v>-125014.36</v>
      </c>
      <c r="F16" s="134" t="s">
        <v>28</v>
      </c>
      <c r="G16" s="134" t="s">
        <v>59</v>
      </c>
      <c r="H16" s="132"/>
      <c r="I16" s="132"/>
      <c r="J16" s="132"/>
      <c r="K16" s="132"/>
      <c r="L16" s="138">
        <v>1</v>
      </c>
    </row>
    <row r="17" spans="1:12" x14ac:dyDescent="0.25">
      <c r="A17" s="131">
        <v>1413</v>
      </c>
      <c r="B17" s="134" t="s">
        <v>63</v>
      </c>
      <c r="C17" s="136">
        <v>-25204.38</v>
      </c>
      <c r="D17" s="136">
        <v>-5228.2</v>
      </c>
      <c r="E17" s="136">
        <v>-30432.58</v>
      </c>
      <c r="F17" s="134" t="s">
        <v>28</v>
      </c>
      <c r="G17" s="134" t="s">
        <v>62</v>
      </c>
      <c r="H17" s="132"/>
      <c r="I17" s="132"/>
      <c r="J17" s="132"/>
      <c r="K17" s="132"/>
      <c r="L17" s="138">
        <v>1</v>
      </c>
    </row>
    <row r="18" spans="1:12" x14ac:dyDescent="0.25">
      <c r="A18" s="131">
        <v>1416</v>
      </c>
      <c r="B18" s="134" t="s">
        <v>65</v>
      </c>
      <c r="C18" s="136">
        <v>1497105.39</v>
      </c>
      <c r="D18" s="136">
        <v>79738.929999999993</v>
      </c>
      <c r="E18" s="136">
        <v>1576844.32</v>
      </c>
      <c r="F18" s="134" t="s">
        <v>28</v>
      </c>
      <c r="G18" s="134" t="s">
        <v>64</v>
      </c>
      <c r="H18" s="132"/>
      <c r="I18" s="132"/>
      <c r="J18" s="132"/>
      <c r="K18" s="132"/>
      <c r="L18" s="138">
        <v>1</v>
      </c>
    </row>
    <row r="19" spans="1:12" x14ac:dyDescent="0.25">
      <c r="A19" s="131">
        <v>1423</v>
      </c>
      <c r="B19" s="134" t="s">
        <v>1293</v>
      </c>
      <c r="C19" s="136">
        <v>-15404.61</v>
      </c>
      <c r="D19" s="136">
        <v>-2328.14</v>
      </c>
      <c r="E19" s="136">
        <v>-17732.75</v>
      </c>
      <c r="F19" s="134" t="s">
        <v>28</v>
      </c>
      <c r="G19" s="134" t="s">
        <v>1292</v>
      </c>
      <c r="H19" s="132"/>
      <c r="I19" s="132"/>
      <c r="J19" s="132"/>
      <c r="K19" s="132"/>
      <c r="L19" s="138">
        <v>1</v>
      </c>
    </row>
    <row r="20" spans="1:12" x14ac:dyDescent="0.25">
      <c r="A20" s="131">
        <v>1433</v>
      </c>
      <c r="B20" s="134" t="s">
        <v>1294</v>
      </c>
      <c r="C20" s="136">
        <v>-33322.31</v>
      </c>
      <c r="D20" s="136">
        <v>4466.22</v>
      </c>
      <c r="E20" s="136">
        <v>-28856.09</v>
      </c>
      <c r="F20" s="134" t="s">
        <v>28</v>
      </c>
      <c r="G20" s="134" t="s">
        <v>1295</v>
      </c>
      <c r="H20" s="132"/>
      <c r="I20" s="132"/>
      <c r="J20" s="132"/>
      <c r="K20" s="132"/>
      <c r="L20" s="138">
        <v>1</v>
      </c>
    </row>
    <row r="21" spans="1:12" x14ac:dyDescent="0.25">
      <c r="A21" s="131">
        <v>1442</v>
      </c>
      <c r="B21" s="134" t="s">
        <v>67</v>
      </c>
      <c r="C21" s="136">
        <v>148256.54999999999</v>
      </c>
      <c r="D21" s="136">
        <v>-12880</v>
      </c>
      <c r="E21" s="136">
        <v>135376.54999999999</v>
      </c>
      <c r="F21" s="134" t="s">
        <v>28</v>
      </c>
      <c r="G21" s="134" t="s">
        <v>66</v>
      </c>
      <c r="H21" s="132"/>
      <c r="I21" s="132"/>
      <c r="J21" s="132"/>
      <c r="K21" s="132"/>
      <c r="L21" s="138">
        <v>1</v>
      </c>
    </row>
    <row r="22" spans="1:12" x14ac:dyDescent="0.25">
      <c r="A22" s="131">
        <v>1448</v>
      </c>
      <c r="B22" s="134" t="s">
        <v>68</v>
      </c>
      <c r="C22" s="136">
        <v>69.25</v>
      </c>
      <c r="D22" s="136">
        <v>-78.39</v>
      </c>
      <c r="E22" s="136">
        <v>-9.14</v>
      </c>
      <c r="F22" s="134" t="s">
        <v>28</v>
      </c>
      <c r="G22" s="134" t="s">
        <v>66</v>
      </c>
      <c r="H22" s="132"/>
      <c r="I22" s="132"/>
      <c r="J22" s="132"/>
      <c r="K22" s="132"/>
      <c r="L22" s="138">
        <v>1</v>
      </c>
    </row>
    <row r="23" spans="1:12" x14ac:dyDescent="0.25">
      <c r="A23" s="131">
        <v>1452</v>
      </c>
      <c r="B23" s="134" t="s">
        <v>34</v>
      </c>
      <c r="C23" s="136">
        <v>156858.96</v>
      </c>
      <c r="D23" s="136">
        <v>40071.089999999997</v>
      </c>
      <c r="E23" s="136">
        <v>196930.05</v>
      </c>
      <c r="F23" s="134" t="s">
        <v>28</v>
      </c>
      <c r="G23" s="134" t="s">
        <v>66</v>
      </c>
      <c r="H23" s="132"/>
      <c r="I23" s="132"/>
      <c r="J23" s="132"/>
      <c r="K23" s="132"/>
      <c r="L23" s="138">
        <v>1</v>
      </c>
    </row>
    <row r="24" spans="1:12" x14ac:dyDescent="0.25">
      <c r="A24" s="131">
        <v>1456</v>
      </c>
      <c r="B24" s="134" t="s">
        <v>70</v>
      </c>
      <c r="C24" s="136">
        <v>33151.83</v>
      </c>
      <c r="D24" s="136">
        <v>3075.47</v>
      </c>
      <c r="E24" s="136">
        <v>36227.300000000003</v>
      </c>
      <c r="F24" s="134" t="s">
        <v>28</v>
      </c>
      <c r="G24" s="134" t="s">
        <v>69</v>
      </c>
      <c r="H24" s="132"/>
      <c r="I24" s="132"/>
      <c r="J24" s="132"/>
      <c r="K24" s="132"/>
      <c r="L24" s="138">
        <v>1</v>
      </c>
    </row>
    <row r="25" spans="1:12" x14ac:dyDescent="0.25">
      <c r="A25" s="131">
        <v>1472</v>
      </c>
      <c r="B25" s="134" t="s">
        <v>72</v>
      </c>
      <c r="C25" s="136">
        <v>5031.47</v>
      </c>
      <c r="D25" s="136">
        <v>4156.2299999999996</v>
      </c>
      <c r="E25" s="136">
        <v>9187.7000000000007</v>
      </c>
      <c r="F25" s="134" t="s">
        <v>28</v>
      </c>
      <c r="G25" s="134" t="s">
        <v>71</v>
      </c>
      <c r="H25" s="132"/>
      <c r="I25" s="132"/>
      <c r="J25" s="132"/>
      <c r="K25" s="132"/>
      <c r="L25" s="138">
        <v>1</v>
      </c>
    </row>
    <row r="26" spans="1:12" x14ac:dyDescent="0.25">
      <c r="A26" s="131">
        <v>1474</v>
      </c>
      <c r="B26" s="134" t="s">
        <v>73</v>
      </c>
      <c r="C26" s="136">
        <v>-5456.57</v>
      </c>
      <c r="D26" s="136">
        <v>2291.7600000000002</v>
      </c>
      <c r="E26" s="136">
        <v>-3164.81</v>
      </c>
      <c r="F26" s="134" t="s">
        <v>28</v>
      </c>
      <c r="G26" s="134" t="s">
        <v>71</v>
      </c>
      <c r="H26" s="132"/>
      <c r="I26" s="132"/>
      <c r="J26" s="132"/>
      <c r="K26" s="132"/>
      <c r="L26" s="138">
        <v>1</v>
      </c>
    </row>
    <row r="27" spans="1:12" x14ac:dyDescent="0.25">
      <c r="A27" s="131">
        <v>1492</v>
      </c>
      <c r="B27" s="134" t="s">
        <v>74</v>
      </c>
      <c r="C27" s="136">
        <v>26203.06</v>
      </c>
      <c r="D27" s="136">
        <v>-2771.12</v>
      </c>
      <c r="E27" s="136">
        <v>23431.94</v>
      </c>
      <c r="F27" s="134" t="s">
        <v>28</v>
      </c>
      <c r="G27" s="134" t="s">
        <v>66</v>
      </c>
      <c r="H27" s="132"/>
      <c r="I27" s="132"/>
      <c r="J27" s="132"/>
      <c r="K27" s="132"/>
      <c r="L27" s="138">
        <v>1</v>
      </c>
    </row>
    <row r="28" spans="1:12" x14ac:dyDescent="0.25">
      <c r="A28" s="131">
        <v>1498</v>
      </c>
      <c r="B28" s="134" t="s">
        <v>76</v>
      </c>
      <c r="C28" s="136">
        <v>-122.37</v>
      </c>
      <c r="D28" s="136">
        <v>177.39</v>
      </c>
      <c r="E28" s="136">
        <v>55.02</v>
      </c>
      <c r="F28" s="134" t="s">
        <v>28</v>
      </c>
      <c r="G28" s="134" t="s">
        <v>75</v>
      </c>
      <c r="H28" s="132"/>
      <c r="I28" s="132"/>
      <c r="J28" s="132"/>
      <c r="K28" s="132"/>
      <c r="L28" s="138">
        <v>1</v>
      </c>
    </row>
    <row r="29" spans="1:12" x14ac:dyDescent="0.25">
      <c r="A29" s="131">
        <v>1502</v>
      </c>
      <c r="B29" s="134" t="s">
        <v>77</v>
      </c>
      <c r="C29" s="136">
        <v>-2911.69</v>
      </c>
      <c r="D29" s="136">
        <v>0</v>
      </c>
      <c r="E29" s="136">
        <v>-2911.69</v>
      </c>
      <c r="F29" s="134" t="s">
        <v>28</v>
      </c>
      <c r="G29" s="134" t="s">
        <v>78</v>
      </c>
      <c r="H29" s="132"/>
      <c r="I29" s="132"/>
      <c r="J29" s="132"/>
      <c r="K29" s="132"/>
      <c r="L29" s="138">
        <v>1</v>
      </c>
    </row>
    <row r="30" spans="1:12" x14ac:dyDescent="0.25">
      <c r="A30" s="131">
        <v>1506</v>
      </c>
      <c r="B30" s="134" t="s">
        <v>80</v>
      </c>
      <c r="C30" s="136">
        <v>-1303.55</v>
      </c>
      <c r="D30" s="136">
        <v>-3534.11</v>
      </c>
      <c r="E30" s="136">
        <v>-4837.66</v>
      </c>
      <c r="F30" s="134" t="s">
        <v>28</v>
      </c>
      <c r="G30" s="134" t="s">
        <v>78</v>
      </c>
      <c r="H30" s="132"/>
      <c r="I30" s="132"/>
      <c r="J30" s="132"/>
      <c r="K30" s="132"/>
      <c r="L30" s="138">
        <v>1</v>
      </c>
    </row>
    <row r="31" spans="1:12" x14ac:dyDescent="0.25">
      <c r="A31" s="131">
        <v>1510</v>
      </c>
      <c r="B31" s="134" t="s">
        <v>82</v>
      </c>
      <c r="C31" s="136">
        <v>4061.95</v>
      </c>
      <c r="D31" s="136">
        <v>-215</v>
      </c>
      <c r="E31" s="136">
        <v>3846.95</v>
      </c>
      <c r="F31" s="134" t="s">
        <v>28</v>
      </c>
      <c r="G31" s="134" t="s">
        <v>78</v>
      </c>
      <c r="H31" s="132"/>
      <c r="I31" s="132"/>
      <c r="J31" s="132"/>
      <c r="K31" s="132"/>
      <c r="L31" s="138">
        <v>1</v>
      </c>
    </row>
    <row r="32" spans="1:12" x14ac:dyDescent="0.25">
      <c r="A32" s="131">
        <v>1520</v>
      </c>
      <c r="B32" s="134" t="s">
        <v>83</v>
      </c>
      <c r="C32" s="136">
        <v>1829.99</v>
      </c>
      <c r="D32" s="136">
        <v>4949.6499999999996</v>
      </c>
      <c r="E32" s="136">
        <v>6779.64</v>
      </c>
      <c r="F32" s="134" t="s">
        <v>28</v>
      </c>
      <c r="G32" s="134" t="s">
        <v>78</v>
      </c>
      <c r="H32" s="132"/>
      <c r="I32" s="132"/>
      <c r="J32" s="132"/>
      <c r="K32" s="132"/>
      <c r="L32" s="138">
        <v>1</v>
      </c>
    </row>
    <row r="33" spans="1:12" x14ac:dyDescent="0.25">
      <c r="A33" s="131">
        <v>1532</v>
      </c>
      <c r="B33" s="134" t="s">
        <v>87</v>
      </c>
      <c r="C33" s="136">
        <v>0</v>
      </c>
      <c r="D33" s="136">
        <v>1769.3</v>
      </c>
      <c r="E33" s="136">
        <v>1769.3</v>
      </c>
      <c r="F33" s="134" t="s">
        <v>28</v>
      </c>
      <c r="G33" s="134" t="s">
        <v>78</v>
      </c>
      <c r="H33" s="132"/>
      <c r="I33" s="132"/>
      <c r="J33" s="132"/>
      <c r="K33" s="132"/>
      <c r="L33" s="138">
        <v>1</v>
      </c>
    </row>
    <row r="34" spans="1:12" x14ac:dyDescent="0.25">
      <c r="A34" s="131">
        <v>1534</v>
      </c>
      <c r="B34" s="134" t="s">
        <v>88</v>
      </c>
      <c r="C34" s="136">
        <v>0</v>
      </c>
      <c r="D34" s="136">
        <v>-65</v>
      </c>
      <c r="E34" s="136">
        <v>-65</v>
      </c>
      <c r="F34" s="134" t="s">
        <v>28</v>
      </c>
      <c r="G34" s="134" t="s">
        <v>78</v>
      </c>
      <c r="H34" s="132"/>
      <c r="I34" s="132"/>
      <c r="J34" s="132"/>
      <c r="K34" s="132"/>
      <c r="L34" s="138">
        <v>1</v>
      </c>
    </row>
    <row r="35" spans="1:12" x14ac:dyDescent="0.25">
      <c r="A35" s="131">
        <v>1540</v>
      </c>
      <c r="B35" s="134" t="s">
        <v>91</v>
      </c>
      <c r="C35" s="136">
        <v>0</v>
      </c>
      <c r="D35" s="136">
        <v>3270.37</v>
      </c>
      <c r="E35" s="136">
        <v>3270.37</v>
      </c>
      <c r="F35" s="134" t="s">
        <v>28</v>
      </c>
      <c r="G35" s="134" t="s">
        <v>78</v>
      </c>
      <c r="H35" s="132"/>
      <c r="I35" s="132"/>
      <c r="J35" s="132"/>
      <c r="K35" s="132"/>
      <c r="L35" s="138">
        <v>1</v>
      </c>
    </row>
    <row r="36" spans="1:12" x14ac:dyDescent="0.25">
      <c r="A36" s="131">
        <v>1544</v>
      </c>
      <c r="B36" s="134" t="s">
        <v>92</v>
      </c>
      <c r="C36" s="136">
        <v>-3525.13</v>
      </c>
      <c r="D36" s="136">
        <v>0</v>
      </c>
      <c r="E36" s="136">
        <v>-3525.13</v>
      </c>
      <c r="F36" s="134" t="s">
        <v>28</v>
      </c>
      <c r="G36" s="134" t="s">
        <v>78</v>
      </c>
      <c r="H36" s="132"/>
      <c r="I36" s="132"/>
      <c r="J36" s="132"/>
      <c r="K36" s="132"/>
      <c r="L36" s="138">
        <v>1</v>
      </c>
    </row>
    <row r="37" spans="1:12" x14ac:dyDescent="0.25">
      <c r="A37" s="131">
        <v>1546</v>
      </c>
      <c r="B37" s="134" t="s">
        <v>93</v>
      </c>
      <c r="C37" s="136">
        <v>196.38</v>
      </c>
      <c r="D37" s="136">
        <v>-196.38</v>
      </c>
      <c r="E37" s="136">
        <v>0</v>
      </c>
      <c r="F37" s="134" t="s">
        <v>28</v>
      </c>
      <c r="G37" s="134" t="s">
        <v>78</v>
      </c>
      <c r="H37" s="132"/>
      <c r="I37" s="132"/>
      <c r="J37" s="132"/>
      <c r="K37" s="132"/>
      <c r="L37" s="138">
        <v>1</v>
      </c>
    </row>
    <row r="38" spans="1:12" x14ac:dyDescent="0.25">
      <c r="A38" s="131">
        <v>1552</v>
      </c>
      <c r="B38" s="134" t="s">
        <v>94</v>
      </c>
      <c r="C38" s="136">
        <v>8338.98</v>
      </c>
      <c r="D38" s="136">
        <v>-8544.2199999999993</v>
      </c>
      <c r="E38" s="136">
        <v>-205.24</v>
      </c>
      <c r="F38" s="134" t="s">
        <v>28</v>
      </c>
      <c r="G38" s="134" t="s">
        <v>78</v>
      </c>
      <c r="H38" s="132"/>
      <c r="I38" s="132"/>
      <c r="J38" s="132"/>
      <c r="K38" s="132"/>
      <c r="L38" s="138">
        <v>1</v>
      </c>
    </row>
    <row r="39" spans="1:12" x14ac:dyDescent="0.25">
      <c r="A39" s="131">
        <v>1582</v>
      </c>
      <c r="B39" s="134" t="s">
        <v>95</v>
      </c>
      <c r="C39" s="136">
        <v>6978.91</v>
      </c>
      <c r="D39" s="136">
        <v>-7699.3</v>
      </c>
      <c r="E39" s="136">
        <v>-720.39</v>
      </c>
      <c r="F39" s="134" t="s">
        <v>28</v>
      </c>
      <c r="G39" s="134" t="s">
        <v>78</v>
      </c>
      <c r="H39" s="132"/>
      <c r="I39" s="132"/>
      <c r="J39" s="132"/>
      <c r="K39" s="132"/>
      <c r="L39" s="138">
        <v>1</v>
      </c>
    </row>
    <row r="40" spans="1:12" x14ac:dyDescent="0.25">
      <c r="A40" s="131">
        <v>1586</v>
      </c>
      <c r="B40" s="134" t="s">
        <v>97</v>
      </c>
      <c r="C40" s="136">
        <v>1378.6</v>
      </c>
      <c r="D40" s="136">
        <v>-310.7</v>
      </c>
      <c r="E40" s="136">
        <v>1067.9000000000001</v>
      </c>
      <c r="F40" s="134" t="s">
        <v>28</v>
      </c>
      <c r="G40" s="134" t="s">
        <v>78</v>
      </c>
      <c r="H40" s="132"/>
      <c r="I40" s="132"/>
      <c r="J40" s="132"/>
      <c r="K40" s="132"/>
      <c r="L40" s="138">
        <v>1</v>
      </c>
    </row>
    <row r="41" spans="1:12" x14ac:dyDescent="0.25">
      <c r="A41" s="131">
        <v>1592</v>
      </c>
      <c r="B41" s="134" t="s">
        <v>98</v>
      </c>
      <c r="C41" s="136">
        <v>40525.870000000003</v>
      </c>
      <c r="D41" s="136">
        <v>78808.66</v>
      </c>
      <c r="E41" s="136">
        <v>119334.53</v>
      </c>
      <c r="F41" s="134" t="s">
        <v>28</v>
      </c>
      <c r="G41" s="134" t="s">
        <v>78</v>
      </c>
      <c r="H41" s="132"/>
      <c r="I41" s="132"/>
      <c r="J41" s="132"/>
      <c r="K41" s="132"/>
      <c r="L41" s="138">
        <v>1</v>
      </c>
    </row>
    <row r="42" spans="1:12" x14ac:dyDescent="0.25">
      <c r="A42" s="131">
        <v>1732</v>
      </c>
      <c r="B42" s="134" t="s">
        <v>101</v>
      </c>
      <c r="C42" s="136">
        <v>96990.28</v>
      </c>
      <c r="D42" s="136">
        <v>0</v>
      </c>
      <c r="E42" s="136">
        <v>96990.28</v>
      </c>
      <c r="F42" s="134" t="s">
        <v>28</v>
      </c>
      <c r="G42" s="134" t="s">
        <v>102</v>
      </c>
      <c r="H42" s="132"/>
      <c r="I42" s="132"/>
      <c r="J42" s="132"/>
      <c r="K42" s="132"/>
      <c r="L42" s="138">
        <v>1</v>
      </c>
    </row>
    <row r="43" spans="1:12" x14ac:dyDescent="0.25">
      <c r="A43" s="131">
        <v>1733</v>
      </c>
      <c r="B43" s="134" t="s">
        <v>103</v>
      </c>
      <c r="C43" s="136">
        <v>-97750.97</v>
      </c>
      <c r="D43" s="136">
        <v>-1730</v>
      </c>
      <c r="E43" s="136">
        <v>-99480.97</v>
      </c>
      <c r="F43" s="134" t="s">
        <v>28</v>
      </c>
      <c r="G43" s="134" t="s">
        <v>102</v>
      </c>
      <c r="H43" s="132"/>
      <c r="I43" s="132"/>
      <c r="J43" s="132"/>
      <c r="K43" s="132"/>
      <c r="L43" s="138">
        <v>1</v>
      </c>
    </row>
    <row r="44" spans="1:12" x14ac:dyDescent="0.25">
      <c r="A44" s="131">
        <v>1742</v>
      </c>
      <c r="B44" s="134" t="s">
        <v>104</v>
      </c>
      <c r="C44" s="136">
        <v>942882.53</v>
      </c>
      <c r="D44" s="136">
        <v>0</v>
      </c>
      <c r="E44" s="136">
        <v>942882.53</v>
      </c>
      <c r="F44" s="134" t="s">
        <v>28</v>
      </c>
      <c r="G44" s="134" t="s">
        <v>102</v>
      </c>
      <c r="H44" s="132"/>
      <c r="I44" s="132"/>
      <c r="J44" s="132"/>
      <c r="K44" s="132"/>
      <c r="L44" s="138">
        <v>1</v>
      </c>
    </row>
    <row r="45" spans="1:12" x14ac:dyDescent="0.25">
      <c r="A45" s="131">
        <v>1743</v>
      </c>
      <c r="B45" s="134" t="s">
        <v>105</v>
      </c>
      <c r="C45" s="136">
        <v>-761666.84</v>
      </c>
      <c r="D45" s="136">
        <v>-3972</v>
      </c>
      <c r="E45" s="136">
        <v>-765638.84</v>
      </c>
      <c r="F45" s="134" t="s">
        <v>28</v>
      </c>
      <c r="G45" s="134" t="s">
        <v>102</v>
      </c>
      <c r="H45" s="132"/>
      <c r="I45" s="132"/>
      <c r="J45" s="132"/>
      <c r="K45" s="132"/>
      <c r="L45" s="138">
        <v>1</v>
      </c>
    </row>
    <row r="46" spans="1:12" x14ac:dyDescent="0.25">
      <c r="A46" s="131">
        <v>1744</v>
      </c>
      <c r="B46" s="134" t="s">
        <v>106</v>
      </c>
      <c r="C46" s="136">
        <v>47461.59</v>
      </c>
      <c r="D46" s="136">
        <v>0</v>
      </c>
      <c r="E46" s="136">
        <v>47461.59</v>
      </c>
      <c r="F46" s="134" t="s">
        <v>28</v>
      </c>
      <c r="G46" s="134" t="s">
        <v>102</v>
      </c>
      <c r="H46" s="132"/>
      <c r="I46" s="132"/>
      <c r="J46" s="132"/>
      <c r="K46" s="132"/>
      <c r="L46" s="138">
        <v>1</v>
      </c>
    </row>
    <row r="47" spans="1:12" x14ac:dyDescent="0.25">
      <c r="A47" s="131">
        <v>1745</v>
      </c>
      <c r="B47" s="134" t="s">
        <v>107</v>
      </c>
      <c r="C47" s="136">
        <v>-47653.48</v>
      </c>
      <c r="D47" s="136">
        <v>-180</v>
      </c>
      <c r="E47" s="136">
        <v>-47833.48</v>
      </c>
      <c r="F47" s="134" t="s">
        <v>28</v>
      </c>
      <c r="G47" s="134" t="s">
        <v>102</v>
      </c>
      <c r="H47" s="132"/>
      <c r="I47" s="132"/>
      <c r="J47" s="132"/>
      <c r="K47" s="132"/>
      <c r="L47" s="138">
        <v>1</v>
      </c>
    </row>
    <row r="48" spans="1:12" x14ac:dyDescent="0.25">
      <c r="A48" s="131">
        <v>1760</v>
      </c>
      <c r="B48" s="134" t="s">
        <v>108</v>
      </c>
      <c r="C48" s="136">
        <v>155280.23000000001</v>
      </c>
      <c r="D48" s="136">
        <v>0</v>
      </c>
      <c r="E48" s="136">
        <v>155280.23000000001</v>
      </c>
      <c r="F48" s="134" t="s">
        <v>28</v>
      </c>
      <c r="G48" s="134" t="s">
        <v>102</v>
      </c>
      <c r="H48" s="132"/>
      <c r="I48" s="132"/>
      <c r="J48" s="132"/>
      <c r="K48" s="132"/>
      <c r="L48" s="138">
        <v>1</v>
      </c>
    </row>
    <row r="49" spans="1:12" x14ac:dyDescent="0.25">
      <c r="A49" s="131">
        <v>1761</v>
      </c>
      <c r="B49" s="134" t="s">
        <v>109</v>
      </c>
      <c r="C49" s="136">
        <v>-155240.23000000001</v>
      </c>
      <c r="D49" s="136">
        <v>20</v>
      </c>
      <c r="E49" s="136">
        <v>-155220.23000000001</v>
      </c>
      <c r="F49" s="134" t="s">
        <v>28</v>
      </c>
      <c r="G49" s="134" t="s">
        <v>102</v>
      </c>
      <c r="H49" s="132"/>
      <c r="I49" s="132"/>
      <c r="J49" s="132"/>
      <c r="K49" s="132"/>
      <c r="L49" s="138">
        <v>1</v>
      </c>
    </row>
    <row r="50" spans="1:12" x14ac:dyDescent="0.25">
      <c r="A50" s="131">
        <v>1762</v>
      </c>
      <c r="B50" s="134" t="s">
        <v>110</v>
      </c>
      <c r="C50" s="136">
        <v>433206.49</v>
      </c>
      <c r="D50" s="136">
        <v>0</v>
      </c>
      <c r="E50" s="136">
        <v>433206.49</v>
      </c>
      <c r="F50" s="134" t="s">
        <v>28</v>
      </c>
      <c r="G50" s="134" t="s">
        <v>102</v>
      </c>
      <c r="H50" s="132"/>
      <c r="I50" s="132"/>
      <c r="J50" s="132"/>
      <c r="K50" s="132"/>
      <c r="L50" s="138">
        <v>1</v>
      </c>
    </row>
    <row r="51" spans="1:12" x14ac:dyDescent="0.25">
      <c r="A51" s="131">
        <v>1763</v>
      </c>
      <c r="B51" s="134" t="s">
        <v>111</v>
      </c>
      <c r="C51" s="136">
        <v>-398742.54</v>
      </c>
      <c r="D51" s="136">
        <v>-1250</v>
      </c>
      <c r="E51" s="136">
        <v>-399992.54</v>
      </c>
      <c r="F51" s="134" t="s">
        <v>28</v>
      </c>
      <c r="G51" s="134" t="s">
        <v>102</v>
      </c>
      <c r="H51" s="132"/>
      <c r="I51" s="132"/>
      <c r="J51" s="132"/>
      <c r="K51" s="132"/>
      <c r="L51" s="138">
        <v>1</v>
      </c>
    </row>
    <row r="52" spans="1:12" x14ac:dyDescent="0.25">
      <c r="A52" s="131">
        <v>1772</v>
      </c>
      <c r="B52" s="134" t="s">
        <v>112</v>
      </c>
      <c r="C52" s="136">
        <v>3987.88</v>
      </c>
      <c r="D52" s="136">
        <v>0</v>
      </c>
      <c r="E52" s="136">
        <v>3987.88</v>
      </c>
      <c r="F52" s="134" t="s">
        <v>28</v>
      </c>
      <c r="G52" s="134" t="s">
        <v>102</v>
      </c>
      <c r="H52" s="132"/>
      <c r="I52" s="132"/>
      <c r="J52" s="132"/>
      <c r="K52" s="132"/>
      <c r="L52" s="138">
        <v>1</v>
      </c>
    </row>
    <row r="53" spans="1:12" x14ac:dyDescent="0.25">
      <c r="A53" s="131">
        <v>1773</v>
      </c>
      <c r="B53" s="134" t="s">
        <v>113</v>
      </c>
      <c r="C53" s="136">
        <v>-3987.88</v>
      </c>
      <c r="D53" s="136">
        <v>0</v>
      </c>
      <c r="E53" s="136">
        <v>-3987.88</v>
      </c>
      <c r="F53" s="134" t="s">
        <v>28</v>
      </c>
      <c r="G53" s="134" t="s">
        <v>102</v>
      </c>
      <c r="H53" s="132"/>
      <c r="I53" s="132"/>
      <c r="J53" s="132"/>
      <c r="K53" s="132"/>
      <c r="L53" s="138">
        <v>1</v>
      </c>
    </row>
    <row r="54" spans="1:12" x14ac:dyDescent="0.25">
      <c r="A54" s="131">
        <v>1786</v>
      </c>
      <c r="B54" s="134" t="s">
        <v>114</v>
      </c>
      <c r="C54" s="136">
        <v>270585.31</v>
      </c>
      <c r="D54" s="136">
        <v>934.96</v>
      </c>
      <c r="E54" s="136">
        <v>271520.27</v>
      </c>
      <c r="F54" s="134" t="s">
        <v>28</v>
      </c>
      <c r="G54" s="134" t="s">
        <v>102</v>
      </c>
      <c r="H54" s="132"/>
      <c r="I54" s="132"/>
      <c r="J54" s="132"/>
      <c r="K54" s="132"/>
      <c r="L54" s="138">
        <v>1</v>
      </c>
    </row>
    <row r="55" spans="1:12" x14ac:dyDescent="0.25">
      <c r="A55" s="131">
        <v>1787</v>
      </c>
      <c r="B55" s="134" t="s">
        <v>115</v>
      </c>
      <c r="C55" s="136">
        <v>-248044.65</v>
      </c>
      <c r="D55" s="136">
        <v>-1870</v>
      </c>
      <c r="E55" s="136">
        <v>-249914.65</v>
      </c>
      <c r="F55" s="134" t="s">
        <v>28</v>
      </c>
      <c r="G55" s="134" t="s">
        <v>102</v>
      </c>
      <c r="H55" s="132"/>
      <c r="I55" s="132"/>
      <c r="J55" s="132"/>
      <c r="K55" s="132"/>
      <c r="L55" s="138">
        <v>1</v>
      </c>
    </row>
    <row r="56" spans="1:12" x14ac:dyDescent="0.25">
      <c r="A56" s="131">
        <v>1792</v>
      </c>
      <c r="B56" s="134" t="s">
        <v>30</v>
      </c>
      <c r="C56" s="136">
        <v>119393.66</v>
      </c>
      <c r="D56" s="136">
        <v>0</v>
      </c>
      <c r="E56" s="136">
        <v>119393.66</v>
      </c>
      <c r="F56" s="134" t="s">
        <v>28</v>
      </c>
      <c r="G56" s="134" t="s">
        <v>102</v>
      </c>
      <c r="H56" s="132"/>
      <c r="I56" s="132"/>
      <c r="J56" s="132"/>
      <c r="K56" s="132"/>
      <c r="L56" s="138">
        <v>1</v>
      </c>
    </row>
    <row r="57" spans="1:12" x14ac:dyDescent="0.25">
      <c r="A57" s="131">
        <v>1793</v>
      </c>
      <c r="B57" s="134" t="s">
        <v>116</v>
      </c>
      <c r="C57" s="136">
        <v>-119763.65</v>
      </c>
      <c r="D57" s="136">
        <v>-185</v>
      </c>
      <c r="E57" s="136">
        <v>-119948.65</v>
      </c>
      <c r="F57" s="134" t="s">
        <v>28</v>
      </c>
      <c r="G57" s="134" t="s">
        <v>102</v>
      </c>
      <c r="H57" s="132"/>
      <c r="I57" s="132"/>
      <c r="J57" s="132"/>
      <c r="K57" s="132"/>
      <c r="L57" s="138">
        <v>1</v>
      </c>
    </row>
    <row r="58" spans="1:12" x14ac:dyDescent="0.25">
      <c r="A58" s="131">
        <v>1804</v>
      </c>
      <c r="B58" s="134" t="s">
        <v>118</v>
      </c>
      <c r="C58" s="136">
        <v>1623600</v>
      </c>
      <c r="D58" s="136">
        <v>0</v>
      </c>
      <c r="E58" s="136">
        <v>1623600</v>
      </c>
      <c r="F58" s="134" t="s">
        <v>28</v>
      </c>
      <c r="G58" s="134" t="s">
        <v>117</v>
      </c>
      <c r="H58" s="132"/>
      <c r="I58" s="132"/>
      <c r="J58" s="132"/>
      <c r="K58" s="132"/>
      <c r="L58" s="138">
        <v>1</v>
      </c>
    </row>
    <row r="59" spans="1:12" x14ac:dyDescent="0.25">
      <c r="A59" s="131">
        <v>1806</v>
      </c>
      <c r="B59" s="134" t="s">
        <v>119</v>
      </c>
      <c r="C59" s="136">
        <v>9738.31</v>
      </c>
      <c r="D59" s="136">
        <v>5266.88</v>
      </c>
      <c r="E59" s="136">
        <v>15005.19</v>
      </c>
      <c r="F59" s="134" t="s">
        <v>28</v>
      </c>
      <c r="G59" s="134" t="s">
        <v>54</v>
      </c>
      <c r="H59" s="132"/>
      <c r="I59" s="132"/>
      <c r="J59" s="132"/>
      <c r="K59" s="132"/>
      <c r="L59" s="138">
        <v>1</v>
      </c>
    </row>
    <row r="60" spans="1:12" x14ac:dyDescent="0.25">
      <c r="A60" s="131">
        <v>2101</v>
      </c>
      <c r="B60" s="134" t="s">
        <v>121</v>
      </c>
      <c r="C60" s="136">
        <v>-7392168.4000000004</v>
      </c>
      <c r="D60" s="136">
        <v>355624.87</v>
      </c>
      <c r="E60" s="136">
        <v>-7036543.5300000003</v>
      </c>
      <c r="F60" s="134" t="s">
        <v>31</v>
      </c>
      <c r="G60" s="134" t="s">
        <v>120</v>
      </c>
      <c r="H60" s="132"/>
      <c r="I60" s="132"/>
      <c r="J60" s="132"/>
      <c r="K60" s="132"/>
      <c r="L60" s="138">
        <v>2</v>
      </c>
    </row>
    <row r="61" spans="1:12" x14ac:dyDescent="0.25">
      <c r="A61" s="131">
        <v>2103</v>
      </c>
      <c r="B61" s="134" t="s">
        <v>123</v>
      </c>
      <c r="C61" s="136">
        <v>-449932.75</v>
      </c>
      <c r="D61" s="136">
        <v>163415.67000000001</v>
      </c>
      <c r="E61" s="136">
        <v>-286517.08</v>
      </c>
      <c r="F61" s="134" t="s">
        <v>31</v>
      </c>
      <c r="G61" s="134" t="s">
        <v>122</v>
      </c>
      <c r="H61" s="132"/>
      <c r="I61" s="132"/>
      <c r="J61" s="132"/>
      <c r="K61" s="132"/>
      <c r="L61" s="138">
        <v>2</v>
      </c>
    </row>
    <row r="62" spans="1:12" x14ac:dyDescent="0.25">
      <c r="A62" s="131">
        <v>2131</v>
      </c>
      <c r="B62" s="134" t="s">
        <v>125</v>
      </c>
      <c r="C62" s="136">
        <v>-15810</v>
      </c>
      <c r="D62" s="136">
        <v>0</v>
      </c>
      <c r="E62" s="136">
        <v>-15810</v>
      </c>
      <c r="F62" s="134" t="s">
        <v>31</v>
      </c>
      <c r="G62" s="134" t="s">
        <v>124</v>
      </c>
      <c r="H62" s="132"/>
      <c r="I62" s="132"/>
      <c r="J62" s="132"/>
      <c r="K62" s="132"/>
      <c r="L62" s="138">
        <v>2</v>
      </c>
    </row>
    <row r="63" spans="1:12" x14ac:dyDescent="0.25">
      <c r="A63" s="131">
        <v>2220</v>
      </c>
      <c r="B63" s="134" t="s">
        <v>127</v>
      </c>
      <c r="C63" s="136">
        <v>-143.61000000000001</v>
      </c>
      <c r="D63" s="136">
        <v>-500.61</v>
      </c>
      <c r="E63" s="136">
        <v>-644.22</v>
      </c>
      <c r="F63" s="134" t="s">
        <v>31</v>
      </c>
      <c r="G63" s="134" t="s">
        <v>126</v>
      </c>
      <c r="H63" s="132"/>
      <c r="I63" s="132"/>
      <c r="J63" s="132"/>
      <c r="K63" s="132"/>
      <c r="L63" s="138">
        <v>2</v>
      </c>
    </row>
    <row r="64" spans="1:12" x14ac:dyDescent="0.25">
      <c r="A64" s="131">
        <v>2221</v>
      </c>
      <c r="B64" s="134" t="s">
        <v>129</v>
      </c>
      <c r="C64" s="136">
        <v>-50535.81</v>
      </c>
      <c r="D64" s="136">
        <v>-32108.03</v>
      </c>
      <c r="E64" s="136">
        <v>-82643.839999999997</v>
      </c>
      <c r="F64" s="134" t="s">
        <v>31</v>
      </c>
      <c r="G64" s="134" t="s">
        <v>128</v>
      </c>
      <c r="H64" s="132"/>
      <c r="I64" s="132"/>
      <c r="J64" s="132"/>
      <c r="K64" s="132"/>
      <c r="L64" s="138">
        <v>2</v>
      </c>
    </row>
    <row r="65" spans="1:12" x14ac:dyDescent="0.25">
      <c r="A65" s="131">
        <v>2222</v>
      </c>
      <c r="B65" s="134" t="s">
        <v>130</v>
      </c>
      <c r="C65" s="136">
        <v>31539.4</v>
      </c>
      <c r="D65" s="136">
        <v>15676.73</v>
      </c>
      <c r="E65" s="136">
        <v>47216.13</v>
      </c>
      <c r="F65" s="134" t="s">
        <v>31</v>
      </c>
      <c r="G65" s="134" t="s">
        <v>128</v>
      </c>
      <c r="H65" s="132"/>
      <c r="I65" s="132"/>
      <c r="J65" s="132"/>
      <c r="K65" s="132"/>
      <c r="L65" s="138">
        <v>2</v>
      </c>
    </row>
    <row r="66" spans="1:12" x14ac:dyDescent="0.25">
      <c r="A66" s="131">
        <v>2223</v>
      </c>
      <c r="B66" s="134" t="s">
        <v>132</v>
      </c>
      <c r="C66" s="136">
        <v>-176734.33</v>
      </c>
      <c r="D66" s="136">
        <v>-142757.97</v>
      </c>
      <c r="E66" s="136">
        <v>-319492.3</v>
      </c>
      <c r="F66" s="134" t="s">
        <v>31</v>
      </c>
      <c r="G66" s="134" t="s">
        <v>131</v>
      </c>
      <c r="H66" s="132"/>
      <c r="I66" s="132"/>
      <c r="J66" s="132"/>
      <c r="K66" s="132"/>
      <c r="L66" s="138">
        <v>2</v>
      </c>
    </row>
    <row r="67" spans="1:12" x14ac:dyDescent="0.25">
      <c r="A67" s="131">
        <v>2224</v>
      </c>
      <c r="B67" s="134" t="s">
        <v>133</v>
      </c>
      <c r="C67" s="136">
        <v>254732.44</v>
      </c>
      <c r="D67" s="136">
        <v>24828.81</v>
      </c>
      <c r="E67" s="136">
        <v>279561.25</v>
      </c>
      <c r="F67" s="134" t="s">
        <v>31</v>
      </c>
      <c r="G67" s="134" t="s">
        <v>131</v>
      </c>
      <c r="H67" s="132"/>
      <c r="I67" s="132"/>
      <c r="J67" s="132"/>
      <c r="K67" s="132"/>
      <c r="L67" s="138">
        <v>2</v>
      </c>
    </row>
    <row r="68" spans="1:12" x14ac:dyDescent="0.25">
      <c r="A68" s="131">
        <v>2225</v>
      </c>
      <c r="B68" s="134" t="s">
        <v>134</v>
      </c>
      <c r="C68" s="136">
        <v>-1170</v>
      </c>
      <c r="D68" s="136">
        <v>-489</v>
      </c>
      <c r="E68" s="136">
        <v>-1659</v>
      </c>
      <c r="F68" s="134" t="s">
        <v>31</v>
      </c>
      <c r="G68" s="134" t="s">
        <v>128</v>
      </c>
      <c r="H68" s="132"/>
      <c r="I68" s="132"/>
      <c r="J68" s="132"/>
      <c r="K68" s="132"/>
      <c r="L68" s="138">
        <v>2</v>
      </c>
    </row>
    <row r="69" spans="1:12" x14ac:dyDescent="0.25">
      <c r="A69" s="131">
        <v>2281</v>
      </c>
      <c r="B69" s="134" t="s">
        <v>136</v>
      </c>
      <c r="C69" s="136">
        <v>-276030.46999999997</v>
      </c>
      <c r="D69" s="136">
        <v>-202845.72</v>
      </c>
      <c r="E69" s="136">
        <v>-478876.19</v>
      </c>
      <c r="F69" s="134" t="s">
        <v>31</v>
      </c>
      <c r="G69" s="134" t="s">
        <v>137</v>
      </c>
      <c r="H69" s="132"/>
      <c r="I69" s="132"/>
      <c r="J69" s="132"/>
      <c r="K69" s="132"/>
      <c r="L69" s="138">
        <v>2</v>
      </c>
    </row>
    <row r="70" spans="1:12" x14ac:dyDescent="0.25">
      <c r="A70" s="131">
        <v>2283</v>
      </c>
      <c r="B70" s="134" t="s">
        <v>138</v>
      </c>
      <c r="C70" s="136">
        <v>-920</v>
      </c>
      <c r="D70" s="136">
        <v>77.5</v>
      </c>
      <c r="E70" s="136">
        <v>-842.5</v>
      </c>
      <c r="F70" s="134" t="s">
        <v>31</v>
      </c>
      <c r="G70" s="134" t="s">
        <v>137</v>
      </c>
      <c r="H70" s="132"/>
      <c r="I70" s="132"/>
      <c r="J70" s="132"/>
      <c r="K70" s="132"/>
      <c r="L70" s="138">
        <v>2</v>
      </c>
    </row>
    <row r="71" spans="1:12" x14ac:dyDescent="0.25">
      <c r="A71" s="131">
        <v>2285</v>
      </c>
      <c r="B71" s="134" t="s">
        <v>140</v>
      </c>
      <c r="C71" s="136">
        <v>-67556.929999999993</v>
      </c>
      <c r="D71" s="136">
        <v>-13986.15</v>
      </c>
      <c r="E71" s="136">
        <v>-81543.08</v>
      </c>
      <c r="F71" s="134" t="s">
        <v>31</v>
      </c>
      <c r="G71" s="134" t="s">
        <v>137</v>
      </c>
      <c r="H71" s="132"/>
      <c r="I71" s="132"/>
      <c r="J71" s="132"/>
      <c r="K71" s="132"/>
      <c r="L71" s="138">
        <v>2</v>
      </c>
    </row>
    <row r="72" spans="1:12" x14ac:dyDescent="0.25">
      <c r="A72" s="131">
        <v>2287</v>
      </c>
      <c r="B72" s="134" t="s">
        <v>142</v>
      </c>
      <c r="C72" s="136">
        <v>-7944.87</v>
      </c>
      <c r="D72" s="136">
        <v>-10489.23</v>
      </c>
      <c r="E72" s="136">
        <v>-18434.099999999999</v>
      </c>
      <c r="F72" s="134" t="s">
        <v>31</v>
      </c>
      <c r="G72" s="134" t="s">
        <v>137</v>
      </c>
      <c r="H72" s="132"/>
      <c r="I72" s="132"/>
      <c r="J72" s="132"/>
      <c r="K72" s="132"/>
      <c r="L72" s="138">
        <v>2</v>
      </c>
    </row>
    <row r="73" spans="1:12" x14ac:dyDescent="0.25">
      <c r="A73" s="131">
        <v>2291</v>
      </c>
      <c r="B73" s="134" t="s">
        <v>144</v>
      </c>
      <c r="C73" s="136">
        <v>-183582.68</v>
      </c>
      <c r="D73" s="136">
        <v>97313.29</v>
      </c>
      <c r="E73" s="136">
        <v>-86269.39</v>
      </c>
      <c r="F73" s="134" t="s">
        <v>31</v>
      </c>
      <c r="G73" s="134" t="s">
        <v>143</v>
      </c>
      <c r="H73" s="132"/>
      <c r="I73" s="132"/>
      <c r="J73" s="132"/>
      <c r="K73" s="132"/>
      <c r="L73" s="138">
        <v>2</v>
      </c>
    </row>
    <row r="74" spans="1:12" x14ac:dyDescent="0.25">
      <c r="A74" s="131">
        <v>2292</v>
      </c>
      <c r="B74" s="134" t="s">
        <v>146</v>
      </c>
      <c r="C74" s="136">
        <v>-19000</v>
      </c>
      <c r="D74" s="136">
        <v>-160903.70000000001</v>
      </c>
      <c r="E74" s="136">
        <v>-179903.7</v>
      </c>
      <c r="F74" s="134" t="s">
        <v>31</v>
      </c>
      <c r="G74" s="134" t="s">
        <v>143</v>
      </c>
      <c r="H74" s="132"/>
      <c r="I74" s="132"/>
      <c r="J74" s="132"/>
      <c r="K74" s="132"/>
      <c r="L74" s="138">
        <v>2</v>
      </c>
    </row>
    <row r="75" spans="1:12" x14ac:dyDescent="0.25">
      <c r="A75" s="131">
        <v>2293</v>
      </c>
      <c r="B75" s="134" t="s">
        <v>148</v>
      </c>
      <c r="C75" s="136">
        <v>-6578.9</v>
      </c>
      <c r="D75" s="136">
        <v>136.94</v>
      </c>
      <c r="E75" s="136">
        <v>-6441.96</v>
      </c>
      <c r="F75" s="134" t="s">
        <v>31</v>
      </c>
      <c r="G75" s="134" t="s">
        <v>137</v>
      </c>
      <c r="H75" s="132"/>
      <c r="I75" s="132"/>
      <c r="J75" s="132"/>
      <c r="K75" s="132"/>
      <c r="L75" s="138">
        <v>2</v>
      </c>
    </row>
    <row r="76" spans="1:12" x14ac:dyDescent="0.25">
      <c r="A76" s="131">
        <v>2295</v>
      </c>
      <c r="B76" s="134" t="s">
        <v>149</v>
      </c>
      <c r="C76" s="136">
        <v>-70.34</v>
      </c>
      <c r="D76" s="136">
        <v>0</v>
      </c>
      <c r="E76" s="136">
        <v>-70.34</v>
      </c>
      <c r="F76" s="134" t="s">
        <v>31</v>
      </c>
      <c r="G76" s="134" t="s">
        <v>147</v>
      </c>
      <c r="H76" s="132"/>
      <c r="I76" s="132"/>
      <c r="J76" s="132"/>
      <c r="K76" s="132"/>
      <c r="L76" s="138">
        <v>2</v>
      </c>
    </row>
    <row r="77" spans="1:12" x14ac:dyDescent="0.25">
      <c r="A77" s="131">
        <v>2297</v>
      </c>
      <c r="B77" s="134" t="s">
        <v>150</v>
      </c>
      <c r="C77" s="136">
        <v>-6300</v>
      </c>
      <c r="D77" s="136">
        <v>-4100</v>
      </c>
      <c r="E77" s="136">
        <v>-10400</v>
      </c>
      <c r="F77" s="134" t="s">
        <v>31</v>
      </c>
      <c r="G77" s="134" t="s">
        <v>137</v>
      </c>
      <c r="H77" s="132"/>
      <c r="I77" s="132"/>
      <c r="J77" s="132"/>
      <c r="K77" s="132"/>
      <c r="L77" s="138">
        <v>2</v>
      </c>
    </row>
    <row r="78" spans="1:12" x14ac:dyDescent="0.25">
      <c r="A78" s="131">
        <v>2315</v>
      </c>
      <c r="B78" s="134" t="s">
        <v>152</v>
      </c>
      <c r="C78" s="136">
        <v>5905.47</v>
      </c>
      <c r="D78" s="136">
        <v>46.18</v>
      </c>
      <c r="E78" s="136">
        <v>5951.65</v>
      </c>
      <c r="F78" s="134" t="s">
        <v>31</v>
      </c>
      <c r="G78" s="134" t="s">
        <v>151</v>
      </c>
      <c r="H78" s="132"/>
      <c r="I78" s="132"/>
      <c r="J78" s="132"/>
      <c r="K78" s="132"/>
      <c r="L78" s="138">
        <v>2</v>
      </c>
    </row>
    <row r="79" spans="1:12" x14ac:dyDescent="0.25">
      <c r="A79" s="131">
        <v>2335</v>
      </c>
      <c r="B79" s="134" t="s">
        <v>153</v>
      </c>
      <c r="C79" s="136">
        <v>13.41</v>
      </c>
      <c r="D79" s="136">
        <v>24.69</v>
      </c>
      <c r="E79" s="136">
        <v>38.1</v>
      </c>
      <c r="F79" s="134" t="s">
        <v>31</v>
      </c>
      <c r="G79" s="134" t="s">
        <v>151</v>
      </c>
      <c r="H79" s="132"/>
      <c r="I79" s="132"/>
      <c r="J79" s="132"/>
      <c r="K79" s="132"/>
      <c r="L79" s="138">
        <v>2</v>
      </c>
    </row>
    <row r="80" spans="1:12" x14ac:dyDescent="0.25">
      <c r="A80" s="131">
        <v>2342</v>
      </c>
      <c r="B80" s="134" t="s">
        <v>154</v>
      </c>
      <c r="C80" s="136">
        <v>-20636.41</v>
      </c>
      <c r="D80" s="136">
        <v>-7834.19</v>
      </c>
      <c r="E80" s="136">
        <v>-28470.6</v>
      </c>
      <c r="F80" s="134" t="s">
        <v>31</v>
      </c>
      <c r="G80" s="134" t="s">
        <v>151</v>
      </c>
      <c r="H80" s="132"/>
      <c r="I80" s="132"/>
      <c r="J80" s="132"/>
      <c r="K80" s="132"/>
      <c r="L80" s="138">
        <v>2</v>
      </c>
    </row>
    <row r="81" spans="1:12" x14ac:dyDescent="0.25">
      <c r="A81" s="131">
        <v>2343</v>
      </c>
      <c r="B81" s="134" t="s">
        <v>155</v>
      </c>
      <c r="C81" s="136">
        <v>-343.06</v>
      </c>
      <c r="D81" s="136">
        <v>-180.54</v>
      </c>
      <c r="E81" s="136">
        <v>-523.6</v>
      </c>
      <c r="F81" s="134" t="s">
        <v>31</v>
      </c>
      <c r="G81" s="134" t="s">
        <v>151</v>
      </c>
      <c r="H81" s="132"/>
      <c r="I81" s="132"/>
      <c r="J81" s="132"/>
      <c r="K81" s="132"/>
      <c r="L81" s="138">
        <v>2</v>
      </c>
    </row>
    <row r="82" spans="1:12" x14ac:dyDescent="0.25">
      <c r="A82" s="131">
        <v>2344</v>
      </c>
      <c r="B82" s="134" t="s">
        <v>32</v>
      </c>
      <c r="C82" s="136">
        <v>-547</v>
      </c>
      <c r="D82" s="136">
        <v>-304.5</v>
      </c>
      <c r="E82" s="136">
        <v>-851.5</v>
      </c>
      <c r="F82" s="134" t="s">
        <v>31</v>
      </c>
      <c r="G82" s="134" t="s">
        <v>151</v>
      </c>
      <c r="H82" s="132"/>
      <c r="I82" s="132"/>
      <c r="J82" s="132"/>
      <c r="K82" s="132"/>
      <c r="L82" s="138">
        <v>2</v>
      </c>
    </row>
    <row r="83" spans="1:12" x14ac:dyDescent="0.25">
      <c r="A83" s="131">
        <v>2401</v>
      </c>
      <c r="B83" s="134" t="s">
        <v>157</v>
      </c>
      <c r="C83" s="136">
        <v>-5900</v>
      </c>
      <c r="D83" s="136">
        <v>450</v>
      </c>
      <c r="E83" s="136">
        <v>-5450</v>
      </c>
      <c r="F83" s="134" t="s">
        <v>31</v>
      </c>
      <c r="G83" s="134" t="s">
        <v>156</v>
      </c>
      <c r="H83" s="132"/>
      <c r="I83" s="132"/>
      <c r="J83" s="132"/>
      <c r="K83" s="132"/>
      <c r="L83" s="138">
        <v>2</v>
      </c>
    </row>
    <row r="84" spans="1:12" x14ac:dyDescent="0.25">
      <c r="A84" s="131">
        <v>2501</v>
      </c>
      <c r="B84" s="134" t="s">
        <v>159</v>
      </c>
      <c r="C84" s="136">
        <v>-23995.63</v>
      </c>
      <c r="D84" s="136">
        <v>-2505.15</v>
      </c>
      <c r="E84" s="136">
        <v>-26500.78</v>
      </c>
      <c r="F84" s="134" t="s">
        <v>31</v>
      </c>
      <c r="G84" s="134" t="s">
        <v>158</v>
      </c>
      <c r="H84" s="132"/>
      <c r="I84" s="132"/>
      <c r="J84" s="132"/>
      <c r="K84" s="132"/>
      <c r="L84" s="138">
        <v>2</v>
      </c>
    </row>
    <row r="85" spans="1:12" x14ac:dyDescent="0.25">
      <c r="A85" s="131">
        <v>2503</v>
      </c>
      <c r="B85" s="134" t="s">
        <v>161</v>
      </c>
      <c r="C85" s="136">
        <v>-140353.01</v>
      </c>
      <c r="D85" s="136">
        <v>-30650.720000000001</v>
      </c>
      <c r="E85" s="136">
        <v>-171003.73</v>
      </c>
      <c r="F85" s="134" t="s">
        <v>31</v>
      </c>
      <c r="G85" s="134" t="s">
        <v>160</v>
      </c>
      <c r="H85" s="132"/>
      <c r="I85" s="132"/>
      <c r="J85" s="132"/>
      <c r="K85" s="132"/>
      <c r="L85" s="138">
        <v>2</v>
      </c>
    </row>
    <row r="86" spans="1:12" x14ac:dyDescent="0.25">
      <c r="A86" s="131">
        <v>2505</v>
      </c>
      <c r="B86" s="134" t="s">
        <v>162</v>
      </c>
      <c r="C86" s="136">
        <v>-23806.9</v>
      </c>
      <c r="D86" s="136">
        <v>6249.44</v>
      </c>
      <c r="E86" s="136">
        <v>-17557.46</v>
      </c>
      <c r="F86" s="134" t="s">
        <v>31</v>
      </c>
      <c r="G86" s="134" t="s">
        <v>160</v>
      </c>
      <c r="H86" s="132"/>
      <c r="I86" s="132"/>
      <c r="J86" s="132"/>
      <c r="K86" s="132"/>
      <c r="L86" s="138">
        <v>2</v>
      </c>
    </row>
    <row r="87" spans="1:12" x14ac:dyDescent="0.25">
      <c r="A87" s="131">
        <v>2507</v>
      </c>
      <c r="B87" s="134" t="s">
        <v>164</v>
      </c>
      <c r="C87" s="136">
        <v>9866.67</v>
      </c>
      <c r="D87" s="136">
        <v>-9866.67</v>
      </c>
      <c r="E87" s="136">
        <v>0</v>
      </c>
      <c r="F87" s="134" t="s">
        <v>31</v>
      </c>
      <c r="G87" s="134" t="s">
        <v>163</v>
      </c>
      <c r="H87" s="132"/>
      <c r="I87" s="132"/>
      <c r="J87" s="132"/>
      <c r="K87" s="132"/>
      <c r="L87" s="138">
        <v>2</v>
      </c>
    </row>
    <row r="88" spans="1:12" x14ac:dyDescent="0.25">
      <c r="A88" s="131">
        <v>2509</v>
      </c>
      <c r="B88" s="134" t="s">
        <v>165</v>
      </c>
      <c r="C88" s="136">
        <v>-190347.94</v>
      </c>
      <c r="D88" s="136">
        <v>-5975.16</v>
      </c>
      <c r="E88" s="136">
        <v>-196323.1</v>
      </c>
      <c r="F88" s="134" t="s">
        <v>31</v>
      </c>
      <c r="G88" s="134" t="s">
        <v>160</v>
      </c>
      <c r="H88" s="132"/>
      <c r="I88" s="132"/>
      <c r="J88" s="132"/>
      <c r="K88" s="132"/>
      <c r="L88" s="138">
        <v>2</v>
      </c>
    </row>
    <row r="89" spans="1:12" x14ac:dyDescent="0.25">
      <c r="A89" s="131">
        <v>2511</v>
      </c>
      <c r="B89" s="134" t="s">
        <v>166</v>
      </c>
      <c r="C89" s="136">
        <v>-5203.54</v>
      </c>
      <c r="D89" s="136">
        <v>-4666.38</v>
      </c>
      <c r="E89" s="136">
        <v>-9869.92</v>
      </c>
      <c r="F89" s="134" t="s">
        <v>31</v>
      </c>
      <c r="G89" s="134" t="s">
        <v>160</v>
      </c>
      <c r="H89" s="132"/>
      <c r="I89" s="132"/>
      <c r="J89" s="132"/>
      <c r="K89" s="132"/>
      <c r="L89" s="138">
        <v>2</v>
      </c>
    </row>
    <row r="90" spans="1:12" x14ac:dyDescent="0.25">
      <c r="A90" s="131">
        <v>2801</v>
      </c>
      <c r="B90" s="134" t="s">
        <v>168</v>
      </c>
      <c r="C90" s="136">
        <v>-25523.75</v>
      </c>
      <c r="D90" s="136">
        <v>1317.5</v>
      </c>
      <c r="E90" s="136">
        <v>-24206.25</v>
      </c>
      <c r="F90" s="134" t="s">
        <v>31</v>
      </c>
      <c r="G90" s="134" t="s">
        <v>167</v>
      </c>
      <c r="H90" s="132"/>
      <c r="I90" s="132"/>
      <c r="J90" s="132"/>
      <c r="K90" s="132"/>
      <c r="L90" s="138">
        <v>2</v>
      </c>
    </row>
    <row r="91" spans="1:12" x14ac:dyDescent="0.25">
      <c r="A91" s="131">
        <v>2901</v>
      </c>
      <c r="B91" s="134" t="s">
        <v>33</v>
      </c>
      <c r="C91" s="136">
        <v>-23392.41</v>
      </c>
      <c r="D91" s="136">
        <v>3789.02</v>
      </c>
      <c r="E91" s="136">
        <v>-19603.39</v>
      </c>
      <c r="F91" s="134" t="s">
        <v>31</v>
      </c>
      <c r="G91" s="134" t="s">
        <v>169</v>
      </c>
      <c r="H91" s="132"/>
      <c r="I91" s="132"/>
      <c r="J91" s="132"/>
      <c r="K91" s="132"/>
      <c r="L91" s="13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FFE4-4527-4FA7-B4DC-4DC9FBD2B066}">
  <dimension ref="A1:H8"/>
  <sheetViews>
    <sheetView workbookViewId="0">
      <selection activeCell="D2" sqref="D2"/>
    </sheetView>
  </sheetViews>
  <sheetFormatPr baseColWidth="10" defaultRowHeight="15" x14ac:dyDescent="0.25"/>
  <sheetData>
    <row r="1" spans="1:8" x14ac:dyDescent="0.25">
      <c r="A1" s="21" t="s">
        <v>170</v>
      </c>
      <c r="B1" s="21" t="s">
        <v>1</v>
      </c>
      <c r="C1" s="23" t="s">
        <v>171</v>
      </c>
      <c r="D1" s="23" t="s">
        <v>39</v>
      </c>
      <c r="E1" s="25" t="s">
        <v>172</v>
      </c>
      <c r="F1" s="21" t="s">
        <v>173</v>
      </c>
      <c r="G1" s="21" t="s">
        <v>174</v>
      </c>
      <c r="H1" s="21" t="s">
        <v>214</v>
      </c>
    </row>
    <row r="2" spans="1:8" x14ac:dyDescent="0.25">
      <c r="A2" s="22" t="s">
        <v>181</v>
      </c>
      <c r="B2" s="20"/>
      <c r="C2" s="24">
        <v>-21681.71</v>
      </c>
      <c r="D2" s="24">
        <v>-21681.71</v>
      </c>
      <c r="E2" s="26">
        <v>43</v>
      </c>
      <c r="F2" s="20"/>
      <c r="G2" s="20"/>
      <c r="H2" s="20"/>
    </row>
    <row r="3" spans="1:8" x14ac:dyDescent="0.25">
      <c r="A3" s="22" t="s">
        <v>215</v>
      </c>
      <c r="B3" s="22" t="s">
        <v>216</v>
      </c>
      <c r="C3" s="24">
        <v>16711.79</v>
      </c>
      <c r="D3" s="24">
        <v>16711.79</v>
      </c>
      <c r="E3" s="26">
        <v>14</v>
      </c>
      <c r="F3" s="20"/>
      <c r="G3" s="20"/>
      <c r="H3" s="20"/>
    </row>
    <row r="4" spans="1:8" x14ac:dyDescent="0.25">
      <c r="A4" s="22" t="s">
        <v>186</v>
      </c>
      <c r="B4" s="22" t="s">
        <v>187</v>
      </c>
      <c r="C4" s="24">
        <v>9729.6200000000008</v>
      </c>
      <c r="D4" s="24">
        <v>9729.6200000000008</v>
      </c>
      <c r="E4" s="26">
        <v>2</v>
      </c>
      <c r="F4" s="20"/>
      <c r="G4" s="20"/>
      <c r="H4" s="20"/>
    </row>
    <row r="5" spans="1:8" x14ac:dyDescent="0.25">
      <c r="A5" s="22" t="s">
        <v>194</v>
      </c>
      <c r="B5" s="22" t="s">
        <v>195</v>
      </c>
      <c r="C5" s="24">
        <v>46335.99</v>
      </c>
      <c r="D5" s="24">
        <v>46335.99</v>
      </c>
      <c r="E5" s="26">
        <v>0</v>
      </c>
      <c r="F5" s="20"/>
      <c r="G5" s="20"/>
      <c r="H5" s="22" t="s">
        <v>217</v>
      </c>
    </row>
    <row r="6" spans="1:8" x14ac:dyDescent="0.25">
      <c r="A6" s="22" t="s">
        <v>212</v>
      </c>
      <c r="B6" s="22" t="s">
        <v>213</v>
      </c>
      <c r="C6" s="24">
        <v>52018.91</v>
      </c>
      <c r="D6" s="24">
        <v>52018.91</v>
      </c>
      <c r="E6" s="26">
        <v>0</v>
      </c>
      <c r="F6" s="20"/>
      <c r="G6" s="20"/>
      <c r="H6" s="20"/>
    </row>
    <row r="7" spans="1:8" x14ac:dyDescent="0.25">
      <c r="A7" s="22" t="s">
        <v>206</v>
      </c>
      <c r="B7" s="22" t="s">
        <v>207</v>
      </c>
      <c r="C7" s="24">
        <v>19905.259999999998</v>
      </c>
      <c r="D7" s="24">
        <v>19905.259999999998</v>
      </c>
      <c r="E7" s="26">
        <v>0</v>
      </c>
      <c r="F7" s="20"/>
      <c r="G7" s="20"/>
      <c r="H7" s="20"/>
    </row>
    <row r="8" spans="1:8" x14ac:dyDescent="0.25">
      <c r="A8" s="22" t="s">
        <v>184</v>
      </c>
      <c r="B8" s="22" t="s">
        <v>185</v>
      </c>
      <c r="C8" s="24">
        <v>41048.300000000003</v>
      </c>
      <c r="D8" s="24">
        <v>41048.300000000003</v>
      </c>
      <c r="E8" s="26">
        <v>0</v>
      </c>
      <c r="F8" s="20"/>
      <c r="G8" s="20"/>
      <c r="H8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29C7-484D-489B-AAEC-D8A7ADAB4FF4}">
  <dimension ref="A1:H21"/>
  <sheetViews>
    <sheetView workbookViewId="0">
      <selection activeCell="C2" sqref="C2"/>
    </sheetView>
  </sheetViews>
  <sheetFormatPr baseColWidth="10" defaultRowHeight="15" x14ac:dyDescent="0.25"/>
  <cols>
    <col min="1" max="1" width="9.7109375" bestFit="1" customWidth="1"/>
    <col min="2" max="2" width="24.28515625" bestFit="1" customWidth="1"/>
    <col min="3" max="4" width="9.85546875" bestFit="1" customWidth="1"/>
    <col min="5" max="5" width="5.5703125" bestFit="1" customWidth="1"/>
    <col min="8" max="8" width="50.28515625" bestFit="1" customWidth="1"/>
  </cols>
  <sheetData>
    <row r="1" spans="1:8" x14ac:dyDescent="0.25">
      <c r="A1" s="14" t="s">
        <v>170</v>
      </c>
      <c r="B1" s="14" t="s">
        <v>1</v>
      </c>
      <c r="C1" s="16" t="s">
        <v>171</v>
      </c>
      <c r="D1" s="16" t="s">
        <v>41</v>
      </c>
      <c r="E1" s="18" t="s">
        <v>172</v>
      </c>
      <c r="F1" s="14" t="s">
        <v>173</v>
      </c>
      <c r="G1" s="14" t="s">
        <v>174</v>
      </c>
    </row>
    <row r="2" spans="1:8" x14ac:dyDescent="0.25">
      <c r="A2" s="15" t="s">
        <v>181</v>
      </c>
      <c r="B2" s="20"/>
      <c r="C2" s="17">
        <v>-7816.83</v>
      </c>
      <c r="D2" s="17">
        <v>-7816.83</v>
      </c>
      <c r="E2" s="19">
        <v>315</v>
      </c>
      <c r="F2" s="13"/>
      <c r="G2" s="13"/>
    </row>
    <row r="3" spans="1:8" x14ac:dyDescent="0.25">
      <c r="A3" s="15" t="s">
        <v>204</v>
      </c>
      <c r="B3" s="15" t="s">
        <v>205</v>
      </c>
      <c r="C3" s="17">
        <v>1355.91</v>
      </c>
      <c r="D3" s="17">
        <v>1355.91</v>
      </c>
      <c r="E3" s="19">
        <v>286</v>
      </c>
      <c r="F3" s="13"/>
      <c r="G3" s="13" t="s">
        <v>221</v>
      </c>
      <c r="H3" t="s">
        <v>218</v>
      </c>
    </row>
    <row r="4" spans="1:8" x14ac:dyDescent="0.25">
      <c r="A4" s="15" t="s">
        <v>175</v>
      </c>
      <c r="B4" s="15" t="s">
        <v>176</v>
      </c>
      <c r="C4" s="17">
        <v>-22326.42</v>
      </c>
      <c r="D4" s="17">
        <v>-22326.42</v>
      </c>
      <c r="E4" s="19">
        <v>85</v>
      </c>
      <c r="F4" s="13"/>
      <c r="G4" s="13"/>
      <c r="H4" t="s">
        <v>223</v>
      </c>
    </row>
    <row r="5" spans="1:8" x14ac:dyDescent="0.25">
      <c r="A5" s="15" t="s">
        <v>208</v>
      </c>
      <c r="B5" s="22" t="s">
        <v>209</v>
      </c>
      <c r="C5" s="17">
        <v>4680</v>
      </c>
      <c r="D5" s="17">
        <v>4680</v>
      </c>
      <c r="E5" s="19">
        <v>64</v>
      </c>
      <c r="F5" s="13"/>
      <c r="G5" s="13"/>
      <c r="H5" t="s">
        <v>219</v>
      </c>
    </row>
    <row r="6" spans="1:8" x14ac:dyDescent="0.25">
      <c r="A6" s="15" t="s">
        <v>200</v>
      </c>
      <c r="B6" s="15" t="s">
        <v>201</v>
      </c>
      <c r="C6" s="17">
        <v>894</v>
      </c>
      <c r="D6" s="17">
        <v>894</v>
      </c>
      <c r="E6" s="19">
        <v>31</v>
      </c>
      <c r="F6" s="13"/>
      <c r="G6" s="13"/>
      <c r="H6" t="s">
        <v>220</v>
      </c>
    </row>
    <row r="7" spans="1:8" x14ac:dyDescent="0.25">
      <c r="A7" s="15" t="s">
        <v>202</v>
      </c>
      <c r="B7" s="15" t="s">
        <v>203</v>
      </c>
      <c r="C7" s="17">
        <v>1264.73</v>
      </c>
      <c r="D7" s="17">
        <v>1264.73</v>
      </c>
      <c r="E7" s="19">
        <v>31</v>
      </c>
      <c r="F7" s="13"/>
      <c r="G7" s="13"/>
    </row>
    <row r="8" spans="1:8" x14ac:dyDescent="0.25">
      <c r="A8" s="15" t="s">
        <v>177</v>
      </c>
      <c r="B8" s="15" t="s">
        <v>178</v>
      </c>
      <c r="C8" s="17">
        <v>-19014.080000000002</v>
      </c>
      <c r="D8" s="17">
        <v>-19014.080000000002</v>
      </c>
      <c r="E8" s="19">
        <v>24</v>
      </c>
      <c r="F8" s="13"/>
      <c r="G8" s="13"/>
      <c r="H8" t="s">
        <v>222</v>
      </c>
    </row>
    <row r="9" spans="1:8" x14ac:dyDescent="0.25">
      <c r="A9" s="15" t="s">
        <v>188</v>
      </c>
      <c r="B9" s="15" t="s">
        <v>189</v>
      </c>
      <c r="C9" s="17">
        <v>-671.23</v>
      </c>
      <c r="D9" s="17">
        <v>-671.23</v>
      </c>
      <c r="E9" s="19">
        <v>24</v>
      </c>
      <c r="F9" s="13"/>
      <c r="G9" s="13"/>
    </row>
    <row r="10" spans="1:8" x14ac:dyDescent="0.25">
      <c r="A10" s="15" t="s">
        <v>196</v>
      </c>
      <c r="B10" s="15" t="s">
        <v>197</v>
      </c>
      <c r="C10" s="17">
        <v>400</v>
      </c>
      <c r="D10" s="17">
        <v>400</v>
      </c>
      <c r="E10" s="19">
        <v>20</v>
      </c>
      <c r="F10" s="13"/>
      <c r="G10" s="13"/>
    </row>
    <row r="11" spans="1:8" x14ac:dyDescent="0.25">
      <c r="A11" s="15" t="s">
        <v>190</v>
      </c>
      <c r="B11" s="15" t="s">
        <v>191</v>
      </c>
      <c r="C11" s="17">
        <v>-367.92</v>
      </c>
      <c r="D11" s="17">
        <v>-367.92</v>
      </c>
      <c r="E11" s="19">
        <v>15</v>
      </c>
      <c r="F11" s="13"/>
      <c r="G11" s="13"/>
    </row>
    <row r="12" spans="1:8" x14ac:dyDescent="0.25">
      <c r="A12" s="15" t="s">
        <v>210</v>
      </c>
      <c r="B12" s="15" t="s">
        <v>211</v>
      </c>
      <c r="C12" s="17">
        <v>5130</v>
      </c>
      <c r="D12" s="17">
        <v>5130</v>
      </c>
      <c r="E12" s="19">
        <v>8</v>
      </c>
      <c r="F12" s="13"/>
      <c r="G12" s="13"/>
    </row>
    <row r="13" spans="1:8" x14ac:dyDescent="0.25">
      <c r="A13" s="15" t="s">
        <v>179</v>
      </c>
      <c r="B13" s="15" t="s">
        <v>180</v>
      </c>
      <c r="C13" s="17">
        <v>-10896.4</v>
      </c>
      <c r="D13" s="17">
        <v>-10896.4</v>
      </c>
      <c r="E13" s="19">
        <v>2</v>
      </c>
      <c r="F13" s="13"/>
      <c r="G13" s="13"/>
    </row>
    <row r="14" spans="1:8" x14ac:dyDescent="0.25">
      <c r="A14" s="15" t="s">
        <v>186</v>
      </c>
      <c r="B14" s="15" t="s">
        <v>187</v>
      </c>
      <c r="C14" s="17">
        <v>-1731.61</v>
      </c>
      <c r="D14" s="17">
        <v>-1731.61</v>
      </c>
      <c r="E14" s="19">
        <v>2</v>
      </c>
      <c r="F14" s="13"/>
      <c r="G14" s="13"/>
    </row>
    <row r="15" spans="1:8" x14ac:dyDescent="0.25">
      <c r="A15" s="15" t="s">
        <v>182</v>
      </c>
      <c r="B15" s="15" t="s">
        <v>183</v>
      </c>
      <c r="C15" s="17">
        <v>-3679.48</v>
      </c>
      <c r="D15" s="17">
        <v>-3679.48</v>
      </c>
      <c r="E15" s="19">
        <v>0</v>
      </c>
      <c r="F15" s="13"/>
      <c r="G15" s="13"/>
    </row>
    <row r="16" spans="1:8" x14ac:dyDescent="0.25">
      <c r="A16" s="15" t="s">
        <v>184</v>
      </c>
      <c r="B16" s="15" t="s">
        <v>185</v>
      </c>
      <c r="C16" s="17">
        <v>-3297.98</v>
      </c>
      <c r="D16" s="17">
        <v>-3297.98</v>
      </c>
      <c r="E16" s="19">
        <v>0</v>
      </c>
      <c r="F16" s="13"/>
      <c r="G16" s="13"/>
    </row>
    <row r="17" spans="1:5" x14ac:dyDescent="0.25">
      <c r="A17" s="15" t="s">
        <v>192</v>
      </c>
      <c r="B17" s="15" t="s">
        <v>193</v>
      </c>
      <c r="C17" s="17">
        <v>-191.28</v>
      </c>
      <c r="D17" s="17">
        <v>-191.28</v>
      </c>
      <c r="E17" s="19">
        <v>0</v>
      </c>
    </row>
    <row r="18" spans="1:5" x14ac:dyDescent="0.25">
      <c r="A18" s="15" t="s">
        <v>194</v>
      </c>
      <c r="B18" s="15" t="s">
        <v>195</v>
      </c>
      <c r="C18" s="17">
        <v>-83.79</v>
      </c>
      <c r="D18" s="17">
        <v>-83.79</v>
      </c>
      <c r="E18" s="19">
        <v>0</v>
      </c>
    </row>
    <row r="19" spans="1:5" x14ac:dyDescent="0.25">
      <c r="A19" s="15" t="s">
        <v>198</v>
      </c>
      <c r="B19" s="15" t="s">
        <v>199</v>
      </c>
      <c r="C19" s="17">
        <v>766.71</v>
      </c>
      <c r="D19" s="17">
        <v>766.71</v>
      </c>
      <c r="E19" s="19">
        <v>0</v>
      </c>
    </row>
    <row r="20" spans="1:5" x14ac:dyDescent="0.25">
      <c r="A20" s="15" t="s">
        <v>206</v>
      </c>
      <c r="B20" s="15" t="s">
        <v>207</v>
      </c>
      <c r="C20" s="17">
        <v>4169.8999999999996</v>
      </c>
      <c r="D20" s="17">
        <v>4169.8999999999996</v>
      </c>
      <c r="E20" s="19">
        <v>0</v>
      </c>
    </row>
    <row r="21" spans="1:5" x14ac:dyDescent="0.25">
      <c r="A21" s="15" t="s">
        <v>212</v>
      </c>
      <c r="B21" s="15" t="s">
        <v>213</v>
      </c>
      <c r="C21" s="17">
        <v>7186.21</v>
      </c>
      <c r="D21" s="17">
        <v>7186.21</v>
      </c>
      <c r="E21" s="19">
        <v>0</v>
      </c>
    </row>
  </sheetData>
  <autoFilter ref="A1:G21" xr:uid="{66358194-8354-44CE-80F1-1FFBD428C8DC}">
    <sortState xmlns:xlrd2="http://schemas.microsoft.com/office/spreadsheetml/2017/richdata2" ref="A2:G21">
      <sortCondition descending="1" ref="E1:E2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59BA-48CE-4CA9-B193-418C125E8755}">
  <dimension ref="A1:G8"/>
  <sheetViews>
    <sheetView workbookViewId="0">
      <selection activeCell="G3" sqref="G3"/>
    </sheetView>
  </sheetViews>
  <sheetFormatPr baseColWidth="10" defaultRowHeight="15" x14ac:dyDescent="0.25"/>
  <sheetData>
    <row r="1" spans="1:7" x14ac:dyDescent="0.25">
      <c r="A1" s="28" t="s">
        <v>170</v>
      </c>
      <c r="B1" s="28" t="s">
        <v>1</v>
      </c>
      <c r="C1" s="30" t="s">
        <v>43</v>
      </c>
      <c r="D1" s="32" t="s">
        <v>172</v>
      </c>
      <c r="E1" s="28" t="s">
        <v>173</v>
      </c>
      <c r="F1" s="28" t="s">
        <v>214</v>
      </c>
    </row>
    <row r="2" spans="1:7" x14ac:dyDescent="0.25">
      <c r="A2" s="29" t="s">
        <v>181</v>
      </c>
      <c r="B2" s="29" t="s">
        <v>224</v>
      </c>
      <c r="C2" s="31">
        <v>-338.68</v>
      </c>
      <c r="D2" s="33">
        <v>35</v>
      </c>
      <c r="E2" s="27"/>
      <c r="F2" s="27"/>
      <c r="G2" t="s">
        <v>243</v>
      </c>
    </row>
    <row r="3" spans="1:7" x14ac:dyDescent="0.25">
      <c r="A3" s="29" t="s">
        <v>225</v>
      </c>
      <c r="B3" s="29" t="s">
        <v>226</v>
      </c>
      <c r="C3" s="31">
        <v>44333.8</v>
      </c>
      <c r="D3" s="33">
        <v>15</v>
      </c>
      <c r="E3" s="29" t="s">
        <v>227</v>
      </c>
      <c r="F3" s="27"/>
    </row>
    <row r="4" spans="1:7" x14ac:dyDescent="0.25">
      <c r="A4" s="29" t="s">
        <v>228</v>
      </c>
      <c r="B4" s="29" t="s">
        <v>229</v>
      </c>
      <c r="C4" s="31">
        <v>33075</v>
      </c>
      <c r="D4" s="33">
        <v>14</v>
      </c>
      <c r="E4" s="29" t="s">
        <v>230</v>
      </c>
      <c r="F4" s="27"/>
    </row>
    <row r="5" spans="1:7" x14ac:dyDescent="0.25">
      <c r="A5" s="29" t="s">
        <v>231</v>
      </c>
      <c r="B5" s="29" t="s">
        <v>232</v>
      </c>
      <c r="C5" s="31">
        <v>8400</v>
      </c>
      <c r="D5" s="33">
        <v>14</v>
      </c>
      <c r="E5" s="29" t="s">
        <v>233</v>
      </c>
      <c r="F5" s="27"/>
    </row>
    <row r="6" spans="1:7" x14ac:dyDescent="0.25">
      <c r="A6" s="29" t="s">
        <v>234</v>
      </c>
      <c r="B6" s="29" t="s">
        <v>235</v>
      </c>
      <c r="C6" s="31">
        <v>13545</v>
      </c>
      <c r="D6" s="33">
        <v>13</v>
      </c>
      <c r="E6" s="29" t="s">
        <v>236</v>
      </c>
      <c r="F6" s="27"/>
    </row>
    <row r="7" spans="1:7" x14ac:dyDescent="0.25">
      <c r="A7" s="29" t="s">
        <v>237</v>
      </c>
      <c r="B7" s="29" t="s">
        <v>238</v>
      </c>
      <c r="C7" s="31">
        <v>420</v>
      </c>
      <c r="D7" s="33">
        <v>0</v>
      </c>
      <c r="E7" s="29" t="s">
        <v>239</v>
      </c>
      <c r="F7" s="27"/>
    </row>
    <row r="8" spans="1:7" x14ac:dyDescent="0.25">
      <c r="A8" s="29" t="s">
        <v>240</v>
      </c>
      <c r="B8" s="29" t="s">
        <v>241</v>
      </c>
      <c r="C8" s="31">
        <v>29498.7</v>
      </c>
      <c r="D8" s="33">
        <v>0</v>
      </c>
      <c r="E8" s="29" t="s">
        <v>242</v>
      </c>
      <c r="F8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725A-151D-4C35-A05B-FB5D8CF364C5}">
  <dimension ref="A1:N26"/>
  <sheetViews>
    <sheetView workbookViewId="0">
      <selection activeCell="C26" sqref="C26"/>
    </sheetView>
  </sheetViews>
  <sheetFormatPr baseColWidth="10" defaultRowHeight="15" x14ac:dyDescent="0.25"/>
  <cols>
    <col min="2" max="2" width="26.28515625" customWidth="1"/>
  </cols>
  <sheetData>
    <row r="1" spans="1:14" x14ac:dyDescent="0.25">
      <c r="A1" s="35" t="s">
        <v>170</v>
      </c>
      <c r="B1" s="35" t="s">
        <v>1</v>
      </c>
      <c r="C1" s="37" t="s">
        <v>171</v>
      </c>
      <c r="D1" s="37" t="s">
        <v>48</v>
      </c>
      <c r="E1" s="39" t="s">
        <v>172</v>
      </c>
      <c r="F1" s="35" t="s">
        <v>173</v>
      </c>
      <c r="G1" s="35" t="s">
        <v>174</v>
      </c>
      <c r="H1" s="35" t="s">
        <v>246</v>
      </c>
      <c r="I1" s="35" t="s">
        <v>247</v>
      </c>
      <c r="J1" s="35" t="s">
        <v>214</v>
      </c>
      <c r="K1" s="39" t="s">
        <v>248</v>
      </c>
    </row>
    <row r="2" spans="1:14" x14ac:dyDescent="0.25">
      <c r="A2" s="36" t="s">
        <v>249</v>
      </c>
      <c r="B2" s="36" t="s">
        <v>250</v>
      </c>
      <c r="C2" s="38">
        <v>2251</v>
      </c>
      <c r="D2" s="38">
        <v>2251</v>
      </c>
      <c r="E2" s="40">
        <v>21</v>
      </c>
      <c r="F2" s="36" t="s">
        <v>249</v>
      </c>
      <c r="G2" s="36" t="s">
        <v>251</v>
      </c>
      <c r="H2" s="34"/>
      <c r="I2" s="34"/>
      <c r="J2" s="34"/>
      <c r="K2" s="40">
        <v>22</v>
      </c>
      <c r="N2" t="s">
        <v>303</v>
      </c>
    </row>
    <row r="3" spans="1:14" x14ac:dyDescent="0.25">
      <c r="A3" s="36" t="s">
        <v>252</v>
      </c>
      <c r="B3" s="36" t="s">
        <v>250</v>
      </c>
      <c r="C3" s="38">
        <v>2434</v>
      </c>
      <c r="D3" s="38">
        <v>2434</v>
      </c>
      <c r="E3" s="40">
        <v>1</v>
      </c>
      <c r="F3" s="36" t="s">
        <v>252</v>
      </c>
      <c r="G3" s="36" t="s">
        <v>253</v>
      </c>
      <c r="H3" s="34"/>
      <c r="I3" s="34"/>
      <c r="J3" s="34"/>
      <c r="K3" s="40">
        <v>10</v>
      </c>
    </row>
    <row r="4" spans="1:14" x14ac:dyDescent="0.25">
      <c r="A4" s="36" t="s">
        <v>254</v>
      </c>
      <c r="B4" s="36" t="s">
        <v>250</v>
      </c>
      <c r="C4" s="38">
        <v>2434</v>
      </c>
      <c r="D4" s="38">
        <v>2434</v>
      </c>
      <c r="E4" s="40">
        <v>1</v>
      </c>
      <c r="F4" s="36" t="s">
        <v>254</v>
      </c>
      <c r="G4" s="36" t="s">
        <v>255</v>
      </c>
      <c r="H4" s="34"/>
      <c r="I4" s="34"/>
      <c r="J4" s="34"/>
      <c r="K4" s="40">
        <v>10</v>
      </c>
    </row>
    <row r="5" spans="1:14" x14ac:dyDescent="0.25">
      <c r="A5" s="36" t="s">
        <v>256</v>
      </c>
      <c r="B5" s="36" t="s">
        <v>250</v>
      </c>
      <c r="C5" s="38">
        <v>2056</v>
      </c>
      <c r="D5" s="38">
        <v>2056</v>
      </c>
      <c r="E5" s="40">
        <v>1</v>
      </c>
      <c r="F5" s="36" t="s">
        <v>256</v>
      </c>
      <c r="G5" s="36" t="s">
        <v>257</v>
      </c>
      <c r="H5" s="34"/>
      <c r="I5" s="34"/>
      <c r="J5" s="34"/>
      <c r="K5" s="40">
        <v>8</v>
      </c>
    </row>
    <row r="6" spans="1:14" x14ac:dyDescent="0.25">
      <c r="A6" s="36" t="s">
        <v>258</v>
      </c>
      <c r="B6" s="36" t="s">
        <v>250</v>
      </c>
      <c r="C6" s="38">
        <v>2122</v>
      </c>
      <c r="D6" s="38">
        <v>2122</v>
      </c>
      <c r="E6" s="40">
        <v>22</v>
      </c>
      <c r="F6" s="36" t="s">
        <v>258</v>
      </c>
      <c r="G6" s="36" t="s">
        <v>259</v>
      </c>
      <c r="H6" s="34"/>
      <c r="I6" s="34"/>
      <c r="J6" s="34"/>
      <c r="K6" s="40">
        <v>24</v>
      </c>
    </row>
    <row r="7" spans="1:14" x14ac:dyDescent="0.25">
      <c r="A7" s="36" t="s">
        <v>260</v>
      </c>
      <c r="B7" s="36" t="s">
        <v>261</v>
      </c>
      <c r="C7" s="38">
        <v>1609</v>
      </c>
      <c r="D7" s="38">
        <v>1609</v>
      </c>
      <c r="E7" s="40">
        <v>1</v>
      </c>
      <c r="F7" s="36" t="s">
        <v>260</v>
      </c>
      <c r="G7" s="36" t="s">
        <v>262</v>
      </c>
      <c r="H7" s="34"/>
      <c r="I7" s="34"/>
      <c r="J7" s="34"/>
      <c r="K7" s="40">
        <v>8</v>
      </c>
    </row>
    <row r="8" spans="1:14" x14ac:dyDescent="0.25">
      <c r="A8" s="36" t="s">
        <v>263</v>
      </c>
      <c r="B8" s="36" t="s">
        <v>261</v>
      </c>
      <c r="C8" s="38">
        <v>1805</v>
      </c>
      <c r="D8" s="38">
        <v>1805</v>
      </c>
      <c r="E8" s="40">
        <v>15</v>
      </c>
      <c r="F8" s="36" t="s">
        <v>263</v>
      </c>
      <c r="G8" s="36" t="s">
        <v>264</v>
      </c>
      <c r="H8" s="34"/>
      <c r="I8" s="34"/>
      <c r="J8" s="34"/>
      <c r="K8" s="40">
        <v>17</v>
      </c>
    </row>
    <row r="9" spans="1:14" x14ac:dyDescent="0.25">
      <c r="A9" s="36" t="s">
        <v>265</v>
      </c>
      <c r="B9" s="36" t="s">
        <v>261</v>
      </c>
      <c r="C9" s="38">
        <v>1805</v>
      </c>
      <c r="D9" s="38">
        <v>1805</v>
      </c>
      <c r="E9" s="40">
        <v>21</v>
      </c>
      <c r="F9" s="36" t="s">
        <v>265</v>
      </c>
      <c r="G9" s="36" t="s">
        <v>266</v>
      </c>
      <c r="H9" s="34"/>
      <c r="I9" s="34"/>
      <c r="J9" s="34"/>
      <c r="K9" s="40">
        <v>22</v>
      </c>
    </row>
    <row r="10" spans="1:14" x14ac:dyDescent="0.25">
      <c r="A10" s="36" t="s">
        <v>267</v>
      </c>
      <c r="B10" s="36" t="s">
        <v>261</v>
      </c>
      <c r="C10" s="38">
        <v>1805</v>
      </c>
      <c r="D10" s="38">
        <v>1805</v>
      </c>
      <c r="E10" s="40">
        <v>13</v>
      </c>
      <c r="F10" s="36" t="s">
        <v>267</v>
      </c>
      <c r="G10" s="36" t="s">
        <v>268</v>
      </c>
      <c r="H10" s="34"/>
      <c r="I10" s="34"/>
      <c r="J10" s="34"/>
      <c r="K10" s="40">
        <v>15</v>
      </c>
    </row>
    <row r="11" spans="1:14" x14ac:dyDescent="0.25">
      <c r="A11" s="36" t="s">
        <v>269</v>
      </c>
      <c r="B11" s="36" t="s">
        <v>261</v>
      </c>
      <c r="C11" s="38">
        <v>1805</v>
      </c>
      <c r="D11" s="38">
        <v>1805</v>
      </c>
      <c r="E11" s="40">
        <v>13</v>
      </c>
      <c r="F11" s="36" t="s">
        <v>269</v>
      </c>
      <c r="G11" s="36" t="s">
        <v>270</v>
      </c>
      <c r="H11" s="34"/>
      <c r="I11" s="34"/>
      <c r="J11" s="34"/>
      <c r="K11" s="40">
        <v>15</v>
      </c>
    </row>
    <row r="12" spans="1:14" x14ac:dyDescent="0.25">
      <c r="A12" s="36" t="s">
        <v>271</v>
      </c>
      <c r="B12" s="36" t="s">
        <v>272</v>
      </c>
      <c r="C12" s="38">
        <v>1305</v>
      </c>
      <c r="D12" s="38">
        <v>1305</v>
      </c>
      <c r="E12" s="40">
        <v>21</v>
      </c>
      <c r="F12" s="36" t="s">
        <v>271</v>
      </c>
      <c r="G12" s="36" t="s">
        <v>273</v>
      </c>
      <c r="H12" s="34"/>
      <c r="I12" s="34"/>
      <c r="J12" s="34"/>
      <c r="K12" s="40">
        <v>22</v>
      </c>
    </row>
    <row r="13" spans="1:14" x14ac:dyDescent="0.25">
      <c r="A13" s="36" t="s">
        <v>274</v>
      </c>
      <c r="B13" s="36" t="s">
        <v>272</v>
      </c>
      <c r="C13" s="38">
        <v>1305</v>
      </c>
      <c r="D13" s="38">
        <v>1305</v>
      </c>
      <c r="E13" s="40">
        <v>21</v>
      </c>
      <c r="F13" s="36" t="s">
        <v>274</v>
      </c>
      <c r="G13" s="36" t="s">
        <v>275</v>
      </c>
      <c r="H13" s="34"/>
      <c r="I13" s="34"/>
      <c r="J13" s="34"/>
      <c r="K13" s="40">
        <v>22</v>
      </c>
    </row>
    <row r="14" spans="1:14" x14ac:dyDescent="0.25">
      <c r="A14" s="36" t="s">
        <v>276</v>
      </c>
      <c r="B14" s="36" t="s">
        <v>272</v>
      </c>
      <c r="C14" s="38">
        <v>1305</v>
      </c>
      <c r="D14" s="38">
        <v>1305</v>
      </c>
      <c r="E14" s="40">
        <v>21</v>
      </c>
      <c r="F14" s="36" t="s">
        <v>276</v>
      </c>
      <c r="G14" s="36" t="s">
        <v>277</v>
      </c>
      <c r="H14" s="34"/>
      <c r="I14" s="34"/>
      <c r="J14" s="34"/>
      <c r="K14" s="40">
        <v>22</v>
      </c>
    </row>
    <row r="15" spans="1:14" x14ac:dyDescent="0.25">
      <c r="A15" s="36" t="s">
        <v>278</v>
      </c>
      <c r="B15" s="36" t="s">
        <v>272</v>
      </c>
      <c r="C15" s="38">
        <v>1305</v>
      </c>
      <c r="D15" s="38">
        <v>1305</v>
      </c>
      <c r="E15" s="40">
        <v>21</v>
      </c>
      <c r="F15" s="36" t="s">
        <v>278</v>
      </c>
      <c r="G15" s="36" t="s">
        <v>279</v>
      </c>
      <c r="H15" s="34"/>
      <c r="I15" s="34"/>
      <c r="J15" s="34"/>
      <c r="K15" s="40">
        <v>22</v>
      </c>
    </row>
    <row r="16" spans="1:14" x14ac:dyDescent="0.25">
      <c r="A16" s="36" t="s">
        <v>280</v>
      </c>
      <c r="B16" s="36" t="s">
        <v>272</v>
      </c>
      <c r="C16" s="38">
        <v>1420</v>
      </c>
      <c r="D16" s="38">
        <v>1420</v>
      </c>
      <c r="E16" s="40">
        <v>20</v>
      </c>
      <c r="F16" s="36" t="s">
        <v>280</v>
      </c>
      <c r="G16" s="36" t="s">
        <v>281</v>
      </c>
      <c r="H16" s="34"/>
      <c r="I16" s="34"/>
      <c r="J16" s="34"/>
      <c r="K16" s="40">
        <v>21</v>
      </c>
    </row>
    <row r="17" spans="1:11" x14ac:dyDescent="0.25">
      <c r="A17" s="36" t="s">
        <v>282</v>
      </c>
      <c r="B17" s="36" t="s">
        <v>272</v>
      </c>
      <c r="C17" s="38">
        <v>1384</v>
      </c>
      <c r="D17" s="38">
        <v>1384</v>
      </c>
      <c r="E17" s="40">
        <v>20</v>
      </c>
      <c r="F17" s="36" t="s">
        <v>282</v>
      </c>
      <c r="G17" s="36" t="s">
        <v>283</v>
      </c>
      <c r="H17" s="34"/>
      <c r="I17" s="34"/>
      <c r="J17" s="34"/>
      <c r="K17" s="40">
        <v>21</v>
      </c>
    </row>
    <row r="18" spans="1:11" x14ac:dyDescent="0.25">
      <c r="A18" s="36" t="s">
        <v>284</v>
      </c>
      <c r="B18" s="36" t="s">
        <v>272</v>
      </c>
      <c r="C18" s="38">
        <v>1384</v>
      </c>
      <c r="D18" s="38">
        <v>1384</v>
      </c>
      <c r="E18" s="40">
        <v>1</v>
      </c>
      <c r="F18" s="36" t="s">
        <v>284</v>
      </c>
      <c r="G18" s="36" t="s">
        <v>285</v>
      </c>
      <c r="H18" s="34"/>
      <c r="I18" s="34"/>
      <c r="J18" s="34"/>
      <c r="K18" s="40">
        <v>10</v>
      </c>
    </row>
    <row r="19" spans="1:11" x14ac:dyDescent="0.25">
      <c r="A19" s="36" t="s">
        <v>286</v>
      </c>
      <c r="B19" s="36" t="s">
        <v>272</v>
      </c>
      <c r="C19" s="38">
        <v>1420</v>
      </c>
      <c r="D19" s="38">
        <v>1420</v>
      </c>
      <c r="E19" s="40">
        <v>20</v>
      </c>
      <c r="F19" s="36" t="s">
        <v>286</v>
      </c>
      <c r="G19" s="36" t="s">
        <v>287</v>
      </c>
      <c r="H19" s="34"/>
      <c r="I19" s="34"/>
      <c r="J19" s="34"/>
      <c r="K19" s="40">
        <v>21</v>
      </c>
    </row>
    <row r="20" spans="1:11" x14ac:dyDescent="0.25">
      <c r="A20" s="36" t="s">
        <v>288</v>
      </c>
      <c r="B20" s="36" t="s">
        <v>272</v>
      </c>
      <c r="C20" s="38">
        <v>1384</v>
      </c>
      <c r="D20" s="38">
        <v>1384</v>
      </c>
      <c r="E20" s="40">
        <v>20</v>
      </c>
      <c r="F20" s="36" t="s">
        <v>288</v>
      </c>
      <c r="G20" s="36" t="s">
        <v>289</v>
      </c>
      <c r="H20" s="34"/>
      <c r="I20" s="34"/>
      <c r="J20" s="34"/>
      <c r="K20" s="40">
        <v>21</v>
      </c>
    </row>
    <row r="21" spans="1:11" x14ac:dyDescent="0.25">
      <c r="A21" s="36" t="s">
        <v>290</v>
      </c>
      <c r="B21" s="36" t="s">
        <v>272</v>
      </c>
      <c r="C21" s="38">
        <v>1384</v>
      </c>
      <c r="D21" s="38">
        <v>1384</v>
      </c>
      <c r="E21" s="40">
        <v>20</v>
      </c>
      <c r="F21" s="36" t="s">
        <v>290</v>
      </c>
      <c r="G21" s="36" t="s">
        <v>291</v>
      </c>
      <c r="H21" s="34"/>
      <c r="I21" s="34"/>
      <c r="J21" s="34"/>
      <c r="K21" s="40">
        <v>21</v>
      </c>
    </row>
    <row r="22" spans="1:11" x14ac:dyDescent="0.25">
      <c r="A22" s="36" t="s">
        <v>292</v>
      </c>
      <c r="B22" s="36" t="s">
        <v>272</v>
      </c>
      <c r="C22" s="38">
        <v>1384</v>
      </c>
      <c r="D22" s="38">
        <v>1384</v>
      </c>
      <c r="E22" s="40">
        <v>20</v>
      </c>
      <c r="F22" s="36" t="s">
        <v>292</v>
      </c>
      <c r="G22" s="36" t="s">
        <v>293</v>
      </c>
      <c r="H22" s="34"/>
      <c r="I22" s="34"/>
      <c r="J22" s="34"/>
      <c r="K22" s="40">
        <v>21</v>
      </c>
    </row>
    <row r="23" spans="1:11" x14ac:dyDescent="0.25">
      <c r="A23" s="36" t="s">
        <v>294</v>
      </c>
      <c r="B23" s="36" t="s">
        <v>272</v>
      </c>
      <c r="C23" s="38">
        <v>1384</v>
      </c>
      <c r="D23" s="38">
        <v>1384</v>
      </c>
      <c r="E23" s="40">
        <v>15</v>
      </c>
      <c r="F23" s="36" t="s">
        <v>294</v>
      </c>
      <c r="G23" s="36" t="s">
        <v>295</v>
      </c>
      <c r="H23" s="34"/>
      <c r="I23" s="34"/>
      <c r="J23" s="34"/>
      <c r="K23" s="40">
        <v>17</v>
      </c>
    </row>
    <row r="24" spans="1:11" x14ac:dyDescent="0.25">
      <c r="A24" s="36" t="s">
        <v>296</v>
      </c>
      <c r="B24" s="36" t="s">
        <v>241</v>
      </c>
      <c r="C24" s="38">
        <v>1449</v>
      </c>
      <c r="D24" s="38">
        <v>1449</v>
      </c>
      <c r="E24" s="40">
        <v>13</v>
      </c>
      <c r="F24" s="36" t="s">
        <v>296</v>
      </c>
      <c r="G24" s="36" t="s">
        <v>297</v>
      </c>
      <c r="H24" s="34"/>
      <c r="I24" s="34"/>
      <c r="J24" s="34"/>
      <c r="K24" s="40">
        <v>15</v>
      </c>
    </row>
    <row r="25" spans="1:11" x14ac:dyDescent="0.25">
      <c r="A25" s="36" t="s">
        <v>298</v>
      </c>
      <c r="B25" s="36" t="s">
        <v>272</v>
      </c>
      <c r="C25" s="38">
        <v>1485</v>
      </c>
      <c r="D25" s="38">
        <v>1485</v>
      </c>
      <c r="E25" s="40">
        <v>1</v>
      </c>
      <c r="F25" s="36" t="s">
        <v>298</v>
      </c>
      <c r="G25" s="36" t="s">
        <v>299</v>
      </c>
      <c r="H25" s="34"/>
      <c r="I25" s="34"/>
      <c r="J25" s="34"/>
      <c r="K25" s="40">
        <v>8</v>
      </c>
    </row>
    <row r="26" spans="1:11" x14ac:dyDescent="0.25">
      <c r="A26" s="36" t="s">
        <v>300</v>
      </c>
      <c r="B26" s="36" t="s">
        <v>301</v>
      </c>
      <c r="C26" s="38">
        <v>-53570</v>
      </c>
      <c r="D26" s="38">
        <v>-53570</v>
      </c>
      <c r="E26" s="40">
        <v>366</v>
      </c>
      <c r="F26" s="36" t="s">
        <v>300</v>
      </c>
      <c r="G26" s="36" t="s">
        <v>302</v>
      </c>
      <c r="H26" s="34"/>
      <c r="I26" s="34"/>
      <c r="J26" s="34"/>
      <c r="K26" s="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138B-38D2-48E3-B2CD-DAF02D6EFCC1}">
  <dimension ref="A1:I163"/>
  <sheetViews>
    <sheetView topLeftCell="A61" workbookViewId="0">
      <selection activeCell="H39" sqref="H39"/>
    </sheetView>
  </sheetViews>
  <sheetFormatPr baseColWidth="10" defaultRowHeight="15" x14ac:dyDescent="0.25"/>
  <cols>
    <col min="1" max="1" width="9.7109375" bestFit="1" customWidth="1"/>
    <col min="2" max="2" width="22.85546875" bestFit="1" customWidth="1"/>
    <col min="3" max="3" width="8.7109375" bestFit="1" customWidth="1"/>
    <col min="4" max="4" width="9.140625" bestFit="1" customWidth="1"/>
    <col min="5" max="5" width="8.85546875" bestFit="1" customWidth="1"/>
    <col min="6" max="6" width="8.140625" bestFit="1" customWidth="1"/>
    <col min="7" max="7" width="9.140625" bestFit="1" customWidth="1"/>
    <col min="8" max="8" width="8.140625" bestFit="1" customWidth="1"/>
    <col min="9" max="9" width="11" bestFit="1" customWidth="1"/>
  </cols>
  <sheetData>
    <row r="1" spans="1:9" x14ac:dyDescent="0.25">
      <c r="A1" s="43" t="s">
        <v>170</v>
      </c>
      <c r="B1" s="43" t="s">
        <v>1</v>
      </c>
      <c r="C1" s="45" t="s">
        <v>305</v>
      </c>
      <c r="D1" s="47" t="s">
        <v>171</v>
      </c>
      <c r="E1" s="47" t="s">
        <v>306</v>
      </c>
      <c r="F1" s="47" t="s">
        <v>307</v>
      </c>
      <c r="G1" s="47" t="s">
        <v>308</v>
      </c>
      <c r="H1" s="47" t="s">
        <v>309</v>
      </c>
      <c r="I1" s="43" t="s">
        <v>214</v>
      </c>
    </row>
    <row r="2" spans="1:9" x14ac:dyDescent="0.25">
      <c r="A2" s="44" t="s">
        <v>310</v>
      </c>
      <c r="B2" s="44" t="s">
        <v>311</v>
      </c>
      <c r="C2" s="46">
        <v>43580</v>
      </c>
      <c r="D2" s="48">
        <v>-55</v>
      </c>
      <c r="E2" s="48">
        <v>-55</v>
      </c>
      <c r="F2" s="42"/>
      <c r="G2" s="42"/>
      <c r="H2" s="42"/>
      <c r="I2" s="42"/>
    </row>
    <row r="3" spans="1:9" x14ac:dyDescent="0.25">
      <c r="A3" s="44" t="s">
        <v>312</v>
      </c>
      <c r="B3" s="44" t="s">
        <v>313</v>
      </c>
      <c r="C3" s="46">
        <v>43693</v>
      </c>
      <c r="D3" s="48">
        <v>-55</v>
      </c>
      <c r="E3" s="48">
        <v>-55</v>
      </c>
      <c r="F3" s="42"/>
      <c r="G3" s="42"/>
      <c r="H3" s="42"/>
      <c r="I3" s="42"/>
    </row>
    <row r="4" spans="1:9" x14ac:dyDescent="0.25">
      <c r="A4" s="44" t="s">
        <v>314</v>
      </c>
      <c r="B4" s="44" t="s">
        <v>315</v>
      </c>
      <c r="C4" s="46">
        <v>43738</v>
      </c>
      <c r="D4" s="48">
        <v>-55</v>
      </c>
      <c r="E4" s="48">
        <v>-55</v>
      </c>
      <c r="F4" s="42"/>
      <c r="G4" s="42"/>
      <c r="H4" s="42"/>
      <c r="I4" s="42"/>
    </row>
    <row r="5" spans="1:9" x14ac:dyDescent="0.25">
      <c r="A5" s="44" t="s">
        <v>316</v>
      </c>
      <c r="B5" s="44" t="s">
        <v>317</v>
      </c>
      <c r="C5" s="46">
        <v>43797</v>
      </c>
      <c r="D5" s="48">
        <v>-55</v>
      </c>
      <c r="E5" s="48">
        <v>-55</v>
      </c>
      <c r="F5" s="42"/>
      <c r="G5" s="42"/>
      <c r="H5" s="42"/>
      <c r="I5" s="42"/>
    </row>
    <row r="6" spans="1:9" s="112" customFormat="1" x14ac:dyDescent="0.25">
      <c r="A6" s="109" t="s">
        <v>181</v>
      </c>
      <c r="B6" s="109" t="s">
        <v>318</v>
      </c>
      <c r="C6" s="110">
        <v>43910</v>
      </c>
      <c r="D6" s="111">
        <v>-6795.6</v>
      </c>
      <c r="E6" s="111">
        <v>-6795.6</v>
      </c>
    </row>
    <row r="7" spans="1:9" x14ac:dyDescent="0.25">
      <c r="A7" s="44" t="s">
        <v>319</v>
      </c>
      <c r="B7" s="44" t="s">
        <v>320</v>
      </c>
      <c r="C7" s="46">
        <v>44005</v>
      </c>
      <c r="D7" s="48">
        <v>-55</v>
      </c>
      <c r="E7" s="48">
        <v>-55</v>
      </c>
      <c r="F7" s="42"/>
      <c r="G7" s="42"/>
      <c r="H7" s="42"/>
      <c r="I7" s="42"/>
    </row>
    <row r="8" spans="1:9" x14ac:dyDescent="0.25">
      <c r="A8" s="44" t="s">
        <v>321</v>
      </c>
      <c r="B8" s="44" t="s">
        <v>322</v>
      </c>
      <c r="C8" s="46">
        <v>44070</v>
      </c>
      <c r="D8" s="48">
        <v>1134.23</v>
      </c>
      <c r="E8" s="42"/>
      <c r="F8" s="42"/>
      <c r="G8" s="42"/>
      <c r="H8" s="48">
        <v>1134.23</v>
      </c>
      <c r="I8" s="42"/>
    </row>
    <row r="9" spans="1:9" x14ac:dyDescent="0.25">
      <c r="A9" s="44" t="s">
        <v>323</v>
      </c>
      <c r="B9" s="44" t="s">
        <v>324</v>
      </c>
      <c r="C9" s="46">
        <v>44074</v>
      </c>
      <c r="D9" s="48">
        <v>123.21</v>
      </c>
      <c r="E9" s="42"/>
      <c r="F9" s="42"/>
      <c r="G9" s="42"/>
      <c r="H9" s="88">
        <v>123.21</v>
      </c>
      <c r="I9" s="42"/>
    </row>
    <row r="10" spans="1:9" x14ac:dyDescent="0.25">
      <c r="A10" s="44" t="s">
        <v>325</v>
      </c>
      <c r="B10" s="44" t="s">
        <v>326</v>
      </c>
      <c r="C10" s="46">
        <v>44076</v>
      </c>
      <c r="D10" s="48">
        <v>-350</v>
      </c>
      <c r="E10" s="48">
        <v>-350</v>
      </c>
      <c r="F10" s="42"/>
      <c r="G10" s="42"/>
      <c r="H10" s="42"/>
      <c r="I10" s="42"/>
    </row>
    <row r="11" spans="1:9" x14ac:dyDescent="0.25">
      <c r="A11" s="44" t="s">
        <v>327</v>
      </c>
      <c r="B11" s="44" t="s">
        <v>328</v>
      </c>
      <c r="C11" s="46">
        <v>44076</v>
      </c>
      <c r="D11" s="48">
        <v>-350</v>
      </c>
      <c r="E11" s="48">
        <v>-350</v>
      </c>
      <c r="F11" s="42"/>
      <c r="G11" s="42"/>
      <c r="H11" s="42"/>
      <c r="I11" s="42"/>
    </row>
    <row r="12" spans="1:9" x14ac:dyDescent="0.25">
      <c r="A12" s="44" t="s">
        <v>329</v>
      </c>
      <c r="B12" s="44" t="s">
        <v>330</v>
      </c>
      <c r="C12" s="46">
        <v>44076</v>
      </c>
      <c r="D12" s="48">
        <v>-350</v>
      </c>
      <c r="E12" s="48">
        <v>-350</v>
      </c>
      <c r="F12" s="42"/>
      <c r="G12" s="42"/>
      <c r="H12" s="42"/>
      <c r="I12" s="42"/>
    </row>
    <row r="13" spans="1:9" x14ac:dyDescent="0.25">
      <c r="A13" s="44" t="s">
        <v>331</v>
      </c>
      <c r="B13" s="44" t="s">
        <v>332</v>
      </c>
      <c r="C13" s="46">
        <v>44076</v>
      </c>
      <c r="D13" s="48">
        <v>-350</v>
      </c>
      <c r="E13" s="48">
        <v>-350</v>
      </c>
      <c r="F13" s="42"/>
      <c r="G13" s="42"/>
      <c r="H13" s="42"/>
      <c r="I13" s="42"/>
    </row>
    <row r="14" spans="1:9" x14ac:dyDescent="0.25">
      <c r="A14" s="44" t="s">
        <v>333</v>
      </c>
      <c r="B14" s="44" t="s">
        <v>334</v>
      </c>
      <c r="C14" s="46">
        <v>44076</v>
      </c>
      <c r="D14" s="48">
        <v>-350</v>
      </c>
      <c r="E14" s="48">
        <v>-350</v>
      </c>
      <c r="F14" s="42"/>
      <c r="G14" s="42"/>
      <c r="H14" s="42"/>
      <c r="I14" s="42"/>
    </row>
    <row r="15" spans="1:9" x14ac:dyDescent="0.25">
      <c r="A15" s="44" t="s">
        <v>335</v>
      </c>
      <c r="B15" s="44" t="s">
        <v>336</v>
      </c>
      <c r="C15" s="46">
        <v>44076</v>
      </c>
      <c r="D15" s="48">
        <v>-350</v>
      </c>
      <c r="E15" s="48">
        <v>-350</v>
      </c>
      <c r="F15" s="42"/>
      <c r="G15" s="42"/>
      <c r="H15" s="42"/>
      <c r="I15" s="42"/>
    </row>
    <row r="16" spans="1:9" x14ac:dyDescent="0.25">
      <c r="A16" s="44" t="s">
        <v>337</v>
      </c>
      <c r="B16" s="44" t="s">
        <v>338</v>
      </c>
      <c r="C16" s="46">
        <v>44076</v>
      </c>
      <c r="D16" s="48">
        <v>-350</v>
      </c>
      <c r="E16" s="48">
        <v>-350</v>
      </c>
      <c r="F16" s="42"/>
      <c r="G16" s="42"/>
      <c r="H16" s="42"/>
      <c r="I16" s="42"/>
    </row>
    <row r="17" spans="1:5" x14ac:dyDescent="0.25">
      <c r="A17" s="44" t="s">
        <v>339</v>
      </c>
      <c r="B17" s="44" t="s">
        <v>340</v>
      </c>
      <c r="C17" s="46">
        <v>44076</v>
      </c>
      <c r="D17" s="48">
        <v>-350</v>
      </c>
      <c r="E17" s="48">
        <v>-350</v>
      </c>
    </row>
    <row r="18" spans="1:5" x14ac:dyDescent="0.25">
      <c r="A18" s="44" t="s">
        <v>341</v>
      </c>
      <c r="B18" s="44" t="s">
        <v>342</v>
      </c>
      <c r="C18" s="46">
        <v>44076</v>
      </c>
      <c r="D18" s="48">
        <v>-350</v>
      </c>
      <c r="E18" s="48">
        <v>-350</v>
      </c>
    </row>
    <row r="19" spans="1:5" x14ac:dyDescent="0.25">
      <c r="A19" s="44" t="s">
        <v>343</v>
      </c>
      <c r="B19" s="44" t="s">
        <v>344</v>
      </c>
      <c r="C19" s="46">
        <v>44076</v>
      </c>
      <c r="D19" s="48">
        <v>-350</v>
      </c>
      <c r="E19" s="48">
        <v>-350</v>
      </c>
    </row>
    <row r="20" spans="1:5" x14ac:dyDescent="0.25">
      <c r="A20" s="44" t="s">
        <v>345</v>
      </c>
      <c r="B20" s="44" t="s">
        <v>346</v>
      </c>
      <c r="C20" s="46">
        <v>44076</v>
      </c>
      <c r="D20" s="48">
        <v>-350</v>
      </c>
      <c r="E20" s="48">
        <v>-350</v>
      </c>
    </row>
    <row r="21" spans="1:5" x14ac:dyDescent="0.25">
      <c r="A21" s="44" t="s">
        <v>347</v>
      </c>
      <c r="B21" s="44" t="s">
        <v>348</v>
      </c>
      <c r="C21" s="46">
        <v>44077</v>
      </c>
      <c r="D21" s="48">
        <v>-350</v>
      </c>
      <c r="E21" s="48">
        <v>-350</v>
      </c>
    </row>
    <row r="22" spans="1:5" x14ac:dyDescent="0.25">
      <c r="A22" s="44" t="s">
        <v>349</v>
      </c>
      <c r="B22" s="44" t="s">
        <v>350</v>
      </c>
      <c r="C22" s="46">
        <v>44077</v>
      </c>
      <c r="D22" s="48">
        <v>-55</v>
      </c>
      <c r="E22" s="48">
        <v>-55</v>
      </c>
    </row>
    <row r="23" spans="1:5" x14ac:dyDescent="0.25">
      <c r="A23" s="44" t="s">
        <v>351</v>
      </c>
      <c r="B23" s="44" t="s">
        <v>352</v>
      </c>
      <c r="C23" s="46">
        <v>44078</v>
      </c>
      <c r="D23" s="48">
        <v>-55</v>
      </c>
      <c r="E23" s="48">
        <v>-55</v>
      </c>
    </row>
    <row r="24" spans="1:5" x14ac:dyDescent="0.25">
      <c r="A24" s="44" t="s">
        <v>353</v>
      </c>
      <c r="B24" s="44" t="s">
        <v>354</v>
      </c>
      <c r="C24" s="46">
        <v>44078</v>
      </c>
      <c r="D24" s="48">
        <v>-350</v>
      </c>
      <c r="E24" s="48">
        <v>-350</v>
      </c>
    </row>
    <row r="25" spans="1:5" x14ac:dyDescent="0.25">
      <c r="A25" s="44" t="s">
        <v>355</v>
      </c>
      <c r="B25" s="44" t="s">
        <v>356</v>
      </c>
      <c r="C25" s="46">
        <v>44078</v>
      </c>
      <c r="D25" s="48">
        <v>-350</v>
      </c>
      <c r="E25" s="48">
        <v>-350</v>
      </c>
    </row>
    <row r="26" spans="1:5" x14ac:dyDescent="0.25">
      <c r="A26" s="44" t="s">
        <v>357</v>
      </c>
      <c r="B26" s="44" t="s">
        <v>358</v>
      </c>
      <c r="C26" s="46">
        <v>44078</v>
      </c>
      <c r="D26" s="48">
        <v>-350</v>
      </c>
      <c r="E26" s="48">
        <v>-350</v>
      </c>
    </row>
    <row r="27" spans="1:5" x14ac:dyDescent="0.25">
      <c r="A27" s="44" t="s">
        <v>359</v>
      </c>
      <c r="B27" s="44" t="s">
        <v>360</v>
      </c>
      <c r="C27" s="46">
        <v>44078</v>
      </c>
      <c r="D27" s="48">
        <v>-350</v>
      </c>
      <c r="E27" s="48">
        <v>-350</v>
      </c>
    </row>
    <row r="28" spans="1:5" x14ac:dyDescent="0.25">
      <c r="A28" s="44" t="s">
        <v>361</v>
      </c>
      <c r="B28" s="44" t="s">
        <v>362</v>
      </c>
      <c r="C28" s="46">
        <v>44078</v>
      </c>
      <c r="D28" s="48">
        <v>-350</v>
      </c>
      <c r="E28" s="48">
        <v>-350</v>
      </c>
    </row>
    <row r="29" spans="1:5" x14ac:dyDescent="0.25">
      <c r="A29" s="44" t="s">
        <v>363</v>
      </c>
      <c r="B29" s="44" t="s">
        <v>364</v>
      </c>
      <c r="C29" s="46">
        <v>44084</v>
      </c>
      <c r="D29" s="48">
        <v>-55</v>
      </c>
      <c r="E29" s="48">
        <v>-55</v>
      </c>
    </row>
    <row r="30" spans="1:5" x14ac:dyDescent="0.25">
      <c r="A30" s="44" t="s">
        <v>365</v>
      </c>
      <c r="B30" s="44" t="s">
        <v>366</v>
      </c>
      <c r="C30" s="46">
        <v>44084</v>
      </c>
      <c r="D30" s="48">
        <v>-350</v>
      </c>
      <c r="E30" s="48">
        <v>-350</v>
      </c>
    </row>
    <row r="31" spans="1:5" x14ac:dyDescent="0.25">
      <c r="A31" s="44" t="s">
        <v>367</v>
      </c>
      <c r="B31" s="42"/>
      <c r="C31" s="46">
        <v>44085</v>
      </c>
      <c r="D31" s="48">
        <v>-400</v>
      </c>
      <c r="E31" s="48">
        <v>-400</v>
      </c>
    </row>
    <row r="32" spans="1:5" x14ac:dyDescent="0.25">
      <c r="A32" s="44" t="s">
        <v>368</v>
      </c>
      <c r="B32" s="42"/>
      <c r="C32" s="46">
        <v>44085</v>
      </c>
      <c r="D32" s="48">
        <v>-400</v>
      </c>
      <c r="E32" s="48">
        <v>-400</v>
      </c>
    </row>
    <row r="33" spans="1:8" x14ac:dyDescent="0.25">
      <c r="A33" s="44" t="s">
        <v>369</v>
      </c>
      <c r="B33" s="42"/>
      <c r="C33" s="46">
        <v>44085</v>
      </c>
      <c r="D33" s="48">
        <v>-350</v>
      </c>
      <c r="E33" s="48">
        <v>-350</v>
      </c>
      <c r="F33" s="42"/>
      <c r="G33" s="42"/>
      <c r="H33" s="42"/>
    </row>
    <row r="34" spans="1:8" x14ac:dyDescent="0.25">
      <c r="A34" s="44" t="s">
        <v>370</v>
      </c>
      <c r="B34" s="44" t="s">
        <v>371</v>
      </c>
      <c r="C34" s="46">
        <v>44085</v>
      </c>
      <c r="D34" s="48">
        <v>-400</v>
      </c>
      <c r="E34" s="48">
        <v>-400</v>
      </c>
      <c r="F34" s="42"/>
      <c r="G34" s="42"/>
      <c r="H34" s="42"/>
    </row>
    <row r="35" spans="1:8" x14ac:dyDescent="0.25">
      <c r="A35" s="44" t="s">
        <v>372</v>
      </c>
      <c r="B35" s="44" t="s">
        <v>373</v>
      </c>
      <c r="C35" s="46">
        <v>44085</v>
      </c>
      <c r="D35" s="48">
        <v>-400</v>
      </c>
      <c r="E35" s="48">
        <v>-400</v>
      </c>
      <c r="F35" s="42"/>
      <c r="G35" s="42"/>
      <c r="H35" s="42"/>
    </row>
    <row r="36" spans="1:8" x14ac:dyDescent="0.25">
      <c r="A36" s="44" t="s">
        <v>374</v>
      </c>
      <c r="B36" s="44" t="s">
        <v>375</v>
      </c>
      <c r="C36" s="46">
        <v>44085</v>
      </c>
      <c r="D36" s="48">
        <v>-400</v>
      </c>
      <c r="E36" s="48">
        <v>-400</v>
      </c>
      <c r="F36" s="42"/>
      <c r="G36" s="42"/>
      <c r="H36" s="42"/>
    </row>
    <row r="37" spans="1:8" x14ac:dyDescent="0.25">
      <c r="A37" s="44" t="s">
        <v>376</v>
      </c>
      <c r="B37" s="44" t="s">
        <v>377</v>
      </c>
      <c r="C37" s="46">
        <v>44085</v>
      </c>
      <c r="D37" s="48">
        <v>-400</v>
      </c>
      <c r="E37" s="48">
        <v>-400</v>
      </c>
      <c r="F37" s="42"/>
      <c r="G37" s="42"/>
      <c r="H37" s="42"/>
    </row>
    <row r="38" spans="1:8" x14ac:dyDescent="0.25">
      <c r="A38" s="44" t="s">
        <v>378</v>
      </c>
      <c r="B38" s="44" t="s">
        <v>379</v>
      </c>
      <c r="C38" s="46">
        <v>44085</v>
      </c>
      <c r="D38" s="48">
        <v>-400</v>
      </c>
      <c r="E38" s="48">
        <v>-400</v>
      </c>
      <c r="F38" s="42"/>
      <c r="G38" s="42"/>
      <c r="H38" s="42"/>
    </row>
    <row r="39" spans="1:8" x14ac:dyDescent="0.25">
      <c r="A39" s="44" t="s">
        <v>380</v>
      </c>
      <c r="B39" s="44" t="s">
        <v>381</v>
      </c>
      <c r="C39" s="46">
        <v>44096</v>
      </c>
      <c r="D39" s="48">
        <v>169.09</v>
      </c>
      <c r="E39" s="42"/>
      <c r="F39" s="42"/>
      <c r="G39" s="42"/>
      <c r="H39" s="88">
        <v>169.09</v>
      </c>
    </row>
    <row r="40" spans="1:8" x14ac:dyDescent="0.25">
      <c r="A40" s="44" t="s">
        <v>382</v>
      </c>
      <c r="B40" s="44" t="s">
        <v>383</v>
      </c>
      <c r="C40" s="46">
        <v>44103</v>
      </c>
      <c r="D40" s="48">
        <v>-55</v>
      </c>
      <c r="E40" s="48">
        <v>-55</v>
      </c>
      <c r="F40" s="42"/>
      <c r="G40" s="42"/>
      <c r="H40" s="42"/>
    </row>
    <row r="41" spans="1:8" x14ac:dyDescent="0.25">
      <c r="A41" s="44" t="s">
        <v>384</v>
      </c>
      <c r="B41" s="44" t="s">
        <v>385</v>
      </c>
      <c r="C41" s="46">
        <v>44104</v>
      </c>
      <c r="D41" s="48">
        <v>-55</v>
      </c>
      <c r="E41" s="48">
        <v>-55</v>
      </c>
      <c r="F41" s="42"/>
      <c r="G41" s="42"/>
      <c r="H41" s="42"/>
    </row>
    <row r="42" spans="1:8" x14ac:dyDescent="0.25">
      <c r="A42" s="44" t="s">
        <v>386</v>
      </c>
      <c r="B42" s="44" t="s">
        <v>387</v>
      </c>
      <c r="C42" s="46">
        <v>44104</v>
      </c>
      <c r="D42" s="48">
        <v>2975.1</v>
      </c>
      <c r="E42" s="42"/>
      <c r="F42" s="42"/>
      <c r="G42" s="42"/>
      <c r="H42" s="48">
        <v>2975.1</v>
      </c>
    </row>
    <row r="43" spans="1:8" x14ac:dyDescent="0.25">
      <c r="A43" s="44" t="s">
        <v>388</v>
      </c>
      <c r="B43" s="44" t="s">
        <v>389</v>
      </c>
      <c r="C43" s="46">
        <v>44106</v>
      </c>
      <c r="D43" s="48">
        <v>-55</v>
      </c>
      <c r="E43" s="48">
        <v>-55</v>
      </c>
      <c r="F43" s="42"/>
      <c r="G43" s="42"/>
      <c r="H43" s="42"/>
    </row>
    <row r="44" spans="1:8" x14ac:dyDescent="0.25">
      <c r="A44" s="44" t="s">
        <v>390</v>
      </c>
      <c r="B44" s="44" t="s">
        <v>391</v>
      </c>
      <c r="C44" s="46">
        <v>44112</v>
      </c>
      <c r="D44" s="48">
        <v>-55</v>
      </c>
      <c r="E44" s="48">
        <v>-55</v>
      </c>
      <c r="F44" s="42"/>
      <c r="G44" s="42"/>
      <c r="H44" s="42"/>
    </row>
    <row r="45" spans="1:8" x14ac:dyDescent="0.25">
      <c r="A45" s="44" t="s">
        <v>392</v>
      </c>
      <c r="B45" s="44" t="s">
        <v>393</v>
      </c>
      <c r="C45" s="46">
        <v>44112</v>
      </c>
      <c r="D45" s="48">
        <v>-55</v>
      </c>
      <c r="E45" s="48">
        <v>-55</v>
      </c>
      <c r="F45" s="42"/>
      <c r="G45" s="42"/>
      <c r="H45" s="42"/>
    </row>
    <row r="46" spans="1:8" x14ac:dyDescent="0.25">
      <c r="A46" s="44" t="s">
        <v>394</v>
      </c>
      <c r="B46" s="44" t="s">
        <v>395</v>
      </c>
      <c r="C46" s="46">
        <v>44119</v>
      </c>
      <c r="D46" s="48">
        <v>-55</v>
      </c>
      <c r="E46" s="48">
        <v>-55</v>
      </c>
      <c r="F46" s="42"/>
      <c r="G46" s="42"/>
      <c r="H46" s="42"/>
    </row>
    <row r="47" spans="1:8" x14ac:dyDescent="0.25">
      <c r="A47" s="44" t="s">
        <v>396</v>
      </c>
      <c r="B47" s="44" t="s">
        <v>397</v>
      </c>
      <c r="C47" s="46">
        <v>44126</v>
      </c>
      <c r="D47" s="48">
        <v>-55</v>
      </c>
      <c r="E47" s="48">
        <v>-55</v>
      </c>
      <c r="F47" s="42"/>
      <c r="G47" s="42"/>
      <c r="H47" s="42"/>
    </row>
    <row r="48" spans="1:8" x14ac:dyDescent="0.25">
      <c r="A48" s="44" t="s">
        <v>398</v>
      </c>
      <c r="B48" s="44" t="s">
        <v>399</v>
      </c>
      <c r="C48" s="46">
        <v>44127</v>
      </c>
      <c r="D48" s="48">
        <v>303.56</v>
      </c>
      <c r="E48" s="42"/>
      <c r="F48" s="42"/>
      <c r="G48" s="48">
        <v>303.56</v>
      </c>
      <c r="H48" s="42"/>
    </row>
    <row r="49" spans="1:7" x14ac:dyDescent="0.25">
      <c r="A49" s="44" t="s">
        <v>400</v>
      </c>
      <c r="B49" s="44" t="s">
        <v>401</v>
      </c>
      <c r="C49" s="46">
        <v>44130</v>
      </c>
      <c r="D49" s="48">
        <v>21.57</v>
      </c>
      <c r="E49" s="42"/>
      <c r="F49" s="42"/>
      <c r="G49" s="48">
        <v>21.57</v>
      </c>
    </row>
    <row r="50" spans="1:7" x14ac:dyDescent="0.25">
      <c r="A50" s="44" t="s">
        <v>402</v>
      </c>
      <c r="B50" s="44" t="s">
        <v>403</v>
      </c>
      <c r="C50" s="46">
        <v>44130</v>
      </c>
      <c r="D50" s="48">
        <v>14811.61</v>
      </c>
      <c r="E50" s="42"/>
      <c r="F50" s="42"/>
      <c r="G50" s="48">
        <v>14811.61</v>
      </c>
    </row>
    <row r="51" spans="1:7" x14ac:dyDescent="0.25">
      <c r="A51" s="44" t="s">
        <v>404</v>
      </c>
      <c r="B51" s="44" t="s">
        <v>405</v>
      </c>
      <c r="C51" s="46">
        <v>44130</v>
      </c>
      <c r="D51" s="48">
        <v>12425.79</v>
      </c>
      <c r="E51" s="42"/>
      <c r="F51" s="42"/>
      <c r="G51" s="48">
        <v>12425.79</v>
      </c>
    </row>
    <row r="52" spans="1:7" x14ac:dyDescent="0.25">
      <c r="A52" s="44" t="s">
        <v>406</v>
      </c>
      <c r="B52" s="44" t="s">
        <v>407</v>
      </c>
      <c r="C52" s="46">
        <v>44130</v>
      </c>
      <c r="D52" s="48">
        <v>290.05</v>
      </c>
      <c r="E52" s="42"/>
      <c r="F52" s="42"/>
      <c r="G52" s="48">
        <v>290.05</v>
      </c>
    </row>
    <row r="53" spans="1:7" x14ac:dyDescent="0.25">
      <c r="A53" s="44" t="s">
        <v>408</v>
      </c>
      <c r="B53" s="44" t="s">
        <v>407</v>
      </c>
      <c r="C53" s="46">
        <v>44130</v>
      </c>
      <c r="D53" s="48">
        <v>-55</v>
      </c>
      <c r="E53" s="48">
        <v>-55</v>
      </c>
      <c r="F53" s="42"/>
      <c r="G53" s="42"/>
    </row>
    <row r="54" spans="1:7" x14ac:dyDescent="0.25">
      <c r="A54" s="44" t="s">
        <v>409</v>
      </c>
      <c r="B54" s="44" t="s">
        <v>410</v>
      </c>
      <c r="C54" s="46">
        <v>44130</v>
      </c>
      <c r="D54" s="48">
        <v>653.01</v>
      </c>
      <c r="E54" s="42"/>
      <c r="F54" s="42"/>
      <c r="G54" s="48">
        <v>653.01</v>
      </c>
    </row>
    <row r="55" spans="1:7" x14ac:dyDescent="0.25">
      <c r="A55" s="44" t="s">
        <v>411</v>
      </c>
      <c r="B55" s="44" t="s">
        <v>412</v>
      </c>
      <c r="C55" s="46">
        <v>44130</v>
      </c>
      <c r="D55" s="48">
        <v>-55</v>
      </c>
      <c r="E55" s="48">
        <v>-55</v>
      </c>
      <c r="F55" s="42"/>
      <c r="G55" s="42"/>
    </row>
    <row r="56" spans="1:7" x14ac:dyDescent="0.25">
      <c r="A56" s="44" t="s">
        <v>413</v>
      </c>
      <c r="B56" s="44" t="s">
        <v>414</v>
      </c>
      <c r="C56" s="46">
        <v>44130</v>
      </c>
      <c r="D56" s="48">
        <v>1673.5</v>
      </c>
      <c r="E56" s="42"/>
      <c r="F56" s="42"/>
      <c r="G56" s="48">
        <v>1673.5</v>
      </c>
    </row>
    <row r="57" spans="1:7" x14ac:dyDescent="0.25">
      <c r="A57" s="44" t="s">
        <v>415</v>
      </c>
      <c r="B57" s="44" t="s">
        <v>416</v>
      </c>
      <c r="C57" s="46">
        <v>44131</v>
      </c>
      <c r="D57" s="48">
        <v>1133.93</v>
      </c>
      <c r="E57" s="42"/>
      <c r="F57" s="42"/>
      <c r="G57" s="48">
        <v>1133.93</v>
      </c>
    </row>
    <row r="58" spans="1:7" x14ac:dyDescent="0.25">
      <c r="A58" s="44" t="s">
        <v>417</v>
      </c>
      <c r="B58" s="44" t="s">
        <v>418</v>
      </c>
      <c r="C58" s="46">
        <v>44131</v>
      </c>
      <c r="D58" s="48">
        <v>1970.63</v>
      </c>
      <c r="E58" s="42"/>
      <c r="F58" s="42"/>
      <c r="G58" s="48">
        <v>1970.63</v>
      </c>
    </row>
    <row r="59" spans="1:7" x14ac:dyDescent="0.25">
      <c r="A59" s="44" t="s">
        <v>419</v>
      </c>
      <c r="B59" s="44" t="s">
        <v>420</v>
      </c>
      <c r="C59" s="46">
        <v>44133</v>
      </c>
      <c r="D59" s="48">
        <v>242.49</v>
      </c>
      <c r="E59" s="42"/>
      <c r="F59" s="42"/>
      <c r="G59" s="48">
        <v>242.49</v>
      </c>
    </row>
    <row r="60" spans="1:7" x14ac:dyDescent="0.25">
      <c r="A60" s="44" t="s">
        <v>421</v>
      </c>
      <c r="B60" s="44" t="s">
        <v>422</v>
      </c>
      <c r="C60" s="46">
        <v>44133</v>
      </c>
      <c r="D60" s="48">
        <v>-55</v>
      </c>
      <c r="E60" s="48">
        <v>-55</v>
      </c>
      <c r="F60" s="42"/>
      <c r="G60" s="42"/>
    </row>
    <row r="61" spans="1:7" x14ac:dyDescent="0.25">
      <c r="A61" s="44" t="s">
        <v>423</v>
      </c>
      <c r="B61" s="44" t="s">
        <v>424</v>
      </c>
      <c r="C61" s="46">
        <v>44133</v>
      </c>
      <c r="D61" s="48">
        <v>-55</v>
      </c>
      <c r="E61" s="48">
        <v>-55</v>
      </c>
      <c r="F61" s="42"/>
      <c r="G61" s="42"/>
    </row>
    <row r="62" spans="1:7" x14ac:dyDescent="0.25">
      <c r="A62" s="44" t="s">
        <v>425</v>
      </c>
      <c r="B62" s="44" t="s">
        <v>426</v>
      </c>
      <c r="C62" s="46">
        <v>44134</v>
      </c>
      <c r="D62" s="48">
        <v>80.27</v>
      </c>
      <c r="E62" s="42"/>
      <c r="F62" s="42"/>
      <c r="G62" s="48">
        <v>80.27</v>
      </c>
    </row>
    <row r="63" spans="1:7" x14ac:dyDescent="0.25">
      <c r="A63" s="44" t="s">
        <v>427</v>
      </c>
      <c r="B63" s="44" t="s">
        <v>428</v>
      </c>
      <c r="C63" s="46">
        <v>44134</v>
      </c>
      <c r="D63" s="48">
        <v>-55</v>
      </c>
      <c r="E63" s="48">
        <v>-55</v>
      </c>
      <c r="F63" s="42"/>
      <c r="G63" s="42"/>
    </row>
    <row r="64" spans="1:7" x14ac:dyDescent="0.25">
      <c r="A64" s="44" t="s">
        <v>429</v>
      </c>
      <c r="B64" s="44" t="s">
        <v>430</v>
      </c>
      <c r="C64" s="46">
        <v>44138</v>
      </c>
      <c r="D64" s="48">
        <v>-55</v>
      </c>
      <c r="E64" s="48">
        <v>-55</v>
      </c>
      <c r="F64" s="42"/>
      <c r="G64" s="42"/>
    </row>
    <row r="65" spans="1:6" x14ac:dyDescent="0.25">
      <c r="A65" s="44" t="s">
        <v>431</v>
      </c>
      <c r="B65" s="44" t="s">
        <v>432</v>
      </c>
      <c r="C65" s="46">
        <v>44138</v>
      </c>
      <c r="D65" s="48">
        <v>-55</v>
      </c>
      <c r="E65" s="48">
        <v>-55</v>
      </c>
      <c r="F65" s="42"/>
    </row>
    <row r="66" spans="1:6" x14ac:dyDescent="0.25">
      <c r="A66" s="44" t="s">
        <v>433</v>
      </c>
      <c r="B66" s="44" t="s">
        <v>434</v>
      </c>
      <c r="C66" s="46">
        <v>44139</v>
      </c>
      <c r="D66" s="48">
        <v>-55</v>
      </c>
      <c r="E66" s="48">
        <v>-55</v>
      </c>
      <c r="F66" s="42"/>
    </row>
    <row r="67" spans="1:6" x14ac:dyDescent="0.25">
      <c r="A67" s="44" t="s">
        <v>435</v>
      </c>
      <c r="B67" s="44" t="s">
        <v>436</v>
      </c>
      <c r="C67" s="46">
        <v>44141</v>
      </c>
      <c r="D67" s="48">
        <v>254.77</v>
      </c>
      <c r="E67" s="42"/>
      <c r="F67" s="48">
        <v>254.77</v>
      </c>
    </row>
    <row r="68" spans="1:6" x14ac:dyDescent="0.25">
      <c r="A68" s="44" t="s">
        <v>437</v>
      </c>
      <c r="B68" s="44" t="s">
        <v>438</v>
      </c>
      <c r="C68" s="46">
        <v>44141</v>
      </c>
      <c r="D68" s="48">
        <v>450.95</v>
      </c>
      <c r="E68" s="42"/>
      <c r="F68" s="48">
        <v>450.95</v>
      </c>
    </row>
    <row r="69" spans="1:6" x14ac:dyDescent="0.25">
      <c r="A69" s="44" t="s">
        <v>439</v>
      </c>
      <c r="B69" s="44" t="s">
        <v>440</v>
      </c>
      <c r="C69" s="46">
        <v>44141</v>
      </c>
      <c r="D69" s="48">
        <v>20.59</v>
      </c>
      <c r="E69" s="42"/>
      <c r="F69" s="48">
        <v>20.59</v>
      </c>
    </row>
    <row r="70" spans="1:6" x14ac:dyDescent="0.25">
      <c r="A70" s="44" t="s">
        <v>441</v>
      </c>
      <c r="B70" s="44" t="s">
        <v>442</v>
      </c>
      <c r="C70" s="46">
        <v>44145</v>
      </c>
      <c r="D70" s="48">
        <v>754.51</v>
      </c>
      <c r="E70" s="42"/>
      <c r="F70" s="48">
        <v>754.51</v>
      </c>
    </row>
    <row r="71" spans="1:6" x14ac:dyDescent="0.25">
      <c r="A71" s="44" t="s">
        <v>443</v>
      </c>
      <c r="B71" s="44" t="s">
        <v>442</v>
      </c>
      <c r="C71" s="46">
        <v>44145</v>
      </c>
      <c r="D71" s="48">
        <v>115.53</v>
      </c>
      <c r="E71" s="42"/>
      <c r="F71" s="48">
        <v>115.53</v>
      </c>
    </row>
    <row r="72" spans="1:6" x14ac:dyDescent="0.25">
      <c r="A72" s="44" t="s">
        <v>444</v>
      </c>
      <c r="B72" s="44" t="s">
        <v>445</v>
      </c>
      <c r="C72" s="46">
        <v>44146</v>
      </c>
      <c r="D72" s="48">
        <v>-55</v>
      </c>
      <c r="E72" s="48">
        <v>-55</v>
      </c>
      <c r="F72" s="42"/>
    </row>
    <row r="73" spans="1:6" x14ac:dyDescent="0.25">
      <c r="A73" s="44" t="s">
        <v>446</v>
      </c>
      <c r="B73" s="44" t="s">
        <v>447</v>
      </c>
      <c r="C73" s="46">
        <v>44146</v>
      </c>
      <c r="D73" s="48">
        <v>1973.77</v>
      </c>
      <c r="E73" s="42"/>
      <c r="F73" s="48">
        <v>1973.77</v>
      </c>
    </row>
    <row r="74" spans="1:6" x14ac:dyDescent="0.25">
      <c r="A74" s="44" t="s">
        <v>448</v>
      </c>
      <c r="B74" s="44" t="s">
        <v>449</v>
      </c>
      <c r="C74" s="46">
        <v>44151</v>
      </c>
      <c r="D74" s="48">
        <v>-55</v>
      </c>
      <c r="E74" s="48">
        <v>-55</v>
      </c>
      <c r="F74" s="42"/>
    </row>
    <row r="75" spans="1:6" x14ac:dyDescent="0.25">
      <c r="A75" s="44" t="s">
        <v>450</v>
      </c>
      <c r="B75" s="44" t="s">
        <v>451</v>
      </c>
      <c r="C75" s="46">
        <v>44151</v>
      </c>
      <c r="D75" s="48">
        <v>25</v>
      </c>
      <c r="E75" s="42"/>
      <c r="F75" s="48">
        <v>25</v>
      </c>
    </row>
    <row r="76" spans="1:6" x14ac:dyDescent="0.25">
      <c r="A76" s="44" t="s">
        <v>452</v>
      </c>
      <c r="B76" s="44" t="s">
        <v>453</v>
      </c>
      <c r="C76" s="46">
        <v>44158</v>
      </c>
      <c r="D76" s="48">
        <v>-55</v>
      </c>
      <c r="E76" s="48">
        <v>-55</v>
      </c>
      <c r="F76" s="42"/>
    </row>
    <row r="77" spans="1:6" x14ac:dyDescent="0.25">
      <c r="A77" s="44" t="s">
        <v>454</v>
      </c>
      <c r="B77" s="44" t="s">
        <v>455</v>
      </c>
      <c r="C77" s="46">
        <v>44158</v>
      </c>
      <c r="D77" s="48">
        <v>259.12</v>
      </c>
      <c r="E77" s="42"/>
      <c r="F77" s="48">
        <v>259.12</v>
      </c>
    </row>
    <row r="78" spans="1:6" x14ac:dyDescent="0.25">
      <c r="A78" s="44" t="s">
        <v>456</v>
      </c>
      <c r="B78" s="44" t="s">
        <v>457</v>
      </c>
      <c r="C78" s="46">
        <v>44158</v>
      </c>
      <c r="D78" s="48">
        <v>1511.59</v>
      </c>
      <c r="E78" s="42"/>
      <c r="F78" s="48">
        <v>1511.59</v>
      </c>
    </row>
    <row r="79" spans="1:6" x14ac:dyDescent="0.25">
      <c r="A79" s="44" t="s">
        <v>458</v>
      </c>
      <c r="B79" s="44" t="s">
        <v>459</v>
      </c>
      <c r="C79" s="46">
        <v>44159</v>
      </c>
      <c r="D79" s="48">
        <v>582.4</v>
      </c>
      <c r="E79" s="42"/>
      <c r="F79" s="48">
        <v>582.4</v>
      </c>
    </row>
    <row r="80" spans="1:6" x14ac:dyDescent="0.25">
      <c r="A80" s="44" t="s">
        <v>460</v>
      </c>
      <c r="B80" s="44" t="s">
        <v>459</v>
      </c>
      <c r="C80" s="46">
        <v>44159</v>
      </c>
      <c r="D80" s="48">
        <v>292.54000000000002</v>
      </c>
      <c r="E80" s="42"/>
      <c r="F80" s="48">
        <v>292.54000000000002</v>
      </c>
    </row>
    <row r="81" spans="1:6" x14ac:dyDescent="0.25">
      <c r="A81" s="44" t="s">
        <v>461</v>
      </c>
      <c r="B81" s="44" t="s">
        <v>462</v>
      </c>
      <c r="C81" s="46">
        <v>44159</v>
      </c>
      <c r="D81" s="48">
        <v>9482.23</v>
      </c>
      <c r="E81" s="42"/>
      <c r="F81" s="48">
        <v>9482.23</v>
      </c>
    </row>
    <row r="82" spans="1:6" x14ac:dyDescent="0.25">
      <c r="A82" s="44" t="s">
        <v>463</v>
      </c>
      <c r="B82" s="44" t="s">
        <v>464</v>
      </c>
      <c r="C82" s="46">
        <v>44159</v>
      </c>
      <c r="D82" s="48">
        <v>-55</v>
      </c>
      <c r="E82" s="48">
        <v>-55</v>
      </c>
      <c r="F82" s="42"/>
    </row>
    <row r="83" spans="1:6" x14ac:dyDescent="0.25">
      <c r="A83" s="44" t="s">
        <v>465</v>
      </c>
      <c r="B83" s="44" t="s">
        <v>466</v>
      </c>
      <c r="C83" s="46">
        <v>44159</v>
      </c>
      <c r="D83" s="48">
        <v>-55</v>
      </c>
      <c r="E83" s="48">
        <v>-55</v>
      </c>
      <c r="F83" s="42"/>
    </row>
    <row r="84" spans="1:6" x14ac:dyDescent="0.25">
      <c r="A84" s="44" t="s">
        <v>467</v>
      </c>
      <c r="B84" s="44" t="s">
        <v>468</v>
      </c>
      <c r="C84" s="46">
        <v>44160</v>
      </c>
      <c r="D84" s="48">
        <v>-55</v>
      </c>
      <c r="E84" s="48">
        <v>-55</v>
      </c>
      <c r="F84" s="42"/>
    </row>
    <row r="85" spans="1:6" x14ac:dyDescent="0.25">
      <c r="A85" s="44" t="s">
        <v>469</v>
      </c>
      <c r="B85" s="44" t="s">
        <v>470</v>
      </c>
      <c r="C85" s="46">
        <v>44160</v>
      </c>
      <c r="D85" s="48">
        <v>457.39</v>
      </c>
      <c r="E85" s="42"/>
      <c r="F85" s="48">
        <v>457.39</v>
      </c>
    </row>
    <row r="86" spans="1:6" x14ac:dyDescent="0.25">
      <c r="A86" s="44" t="s">
        <v>471</v>
      </c>
      <c r="B86" s="44" t="s">
        <v>472</v>
      </c>
      <c r="C86" s="46">
        <v>44160</v>
      </c>
      <c r="D86" s="48">
        <v>11.95</v>
      </c>
      <c r="E86" s="42"/>
      <c r="F86" s="48">
        <v>11.95</v>
      </c>
    </row>
    <row r="87" spans="1:6" x14ac:dyDescent="0.25">
      <c r="A87" s="44" t="s">
        <v>473</v>
      </c>
      <c r="B87" s="44" t="s">
        <v>474</v>
      </c>
      <c r="C87" s="46">
        <v>44161</v>
      </c>
      <c r="D87" s="48">
        <v>-55</v>
      </c>
      <c r="E87" s="48">
        <v>-55</v>
      </c>
      <c r="F87" s="42"/>
    </row>
    <row r="88" spans="1:6" x14ac:dyDescent="0.25">
      <c r="A88" s="44" t="s">
        <v>475</v>
      </c>
      <c r="B88" s="44" t="s">
        <v>476</v>
      </c>
      <c r="C88" s="46">
        <v>44161</v>
      </c>
      <c r="D88" s="48">
        <v>-55</v>
      </c>
      <c r="E88" s="48">
        <v>-55</v>
      </c>
      <c r="F88" s="42"/>
    </row>
    <row r="89" spans="1:6" x14ac:dyDescent="0.25">
      <c r="A89" s="44" t="s">
        <v>477</v>
      </c>
      <c r="B89" s="44" t="s">
        <v>478</v>
      </c>
      <c r="C89" s="46">
        <v>44161</v>
      </c>
      <c r="D89" s="48">
        <v>855.01</v>
      </c>
      <c r="E89" s="42"/>
      <c r="F89" s="48">
        <v>855.01</v>
      </c>
    </row>
    <row r="90" spans="1:6" x14ac:dyDescent="0.25">
      <c r="A90" s="44" t="s">
        <v>479</v>
      </c>
      <c r="B90" s="44" t="s">
        <v>480</v>
      </c>
      <c r="C90" s="46">
        <v>44165</v>
      </c>
      <c r="D90" s="48">
        <v>-55</v>
      </c>
      <c r="E90" s="48">
        <v>-55</v>
      </c>
      <c r="F90" s="42"/>
    </row>
    <row r="91" spans="1:6" x14ac:dyDescent="0.25">
      <c r="A91" s="44" t="s">
        <v>481</v>
      </c>
      <c r="B91" s="44" t="s">
        <v>482</v>
      </c>
      <c r="C91" s="46">
        <v>44165</v>
      </c>
      <c r="D91" s="48">
        <v>208.96</v>
      </c>
      <c r="E91" s="42"/>
      <c r="F91" s="48">
        <v>208.96</v>
      </c>
    </row>
    <row r="92" spans="1:6" x14ac:dyDescent="0.25">
      <c r="A92" s="44" t="s">
        <v>483</v>
      </c>
      <c r="B92" s="44" t="s">
        <v>484</v>
      </c>
      <c r="C92" s="46">
        <v>44167</v>
      </c>
      <c r="D92" s="48">
        <v>11.55</v>
      </c>
      <c r="E92" s="48">
        <v>11.55</v>
      </c>
      <c r="F92" s="42"/>
    </row>
    <row r="93" spans="1:6" x14ac:dyDescent="0.25">
      <c r="A93" s="44" t="s">
        <v>485</v>
      </c>
      <c r="B93" s="44" t="s">
        <v>486</v>
      </c>
      <c r="C93" s="46">
        <v>44168</v>
      </c>
      <c r="D93" s="48">
        <v>-55</v>
      </c>
      <c r="E93" s="48">
        <v>-55</v>
      </c>
      <c r="F93" s="42"/>
    </row>
    <row r="94" spans="1:6" x14ac:dyDescent="0.25">
      <c r="A94" s="44" t="s">
        <v>487</v>
      </c>
      <c r="B94" s="44" t="s">
        <v>488</v>
      </c>
      <c r="C94" s="46">
        <v>44168</v>
      </c>
      <c r="D94" s="48">
        <v>-55</v>
      </c>
      <c r="E94" s="48">
        <v>-55</v>
      </c>
      <c r="F94" s="42"/>
    </row>
    <row r="95" spans="1:6" x14ac:dyDescent="0.25">
      <c r="A95" s="44" t="s">
        <v>489</v>
      </c>
      <c r="B95" s="44" t="s">
        <v>490</v>
      </c>
      <c r="C95" s="46">
        <v>44168</v>
      </c>
      <c r="D95" s="48">
        <v>368.89</v>
      </c>
      <c r="E95" s="48">
        <v>368.89</v>
      </c>
      <c r="F95" s="42"/>
    </row>
    <row r="96" spans="1:6" x14ac:dyDescent="0.25">
      <c r="A96" s="44" t="s">
        <v>491</v>
      </c>
      <c r="B96" s="44" t="s">
        <v>490</v>
      </c>
      <c r="C96" s="46">
        <v>44168</v>
      </c>
      <c r="D96" s="48">
        <v>-55</v>
      </c>
      <c r="E96" s="48">
        <v>-55</v>
      </c>
      <c r="F96" s="42"/>
    </row>
    <row r="97" spans="1:5" x14ac:dyDescent="0.25">
      <c r="A97" s="44" t="s">
        <v>492</v>
      </c>
      <c r="B97" s="44" t="s">
        <v>493</v>
      </c>
      <c r="C97" s="46">
        <v>44172</v>
      </c>
      <c r="D97" s="48">
        <v>-55</v>
      </c>
      <c r="E97" s="48">
        <v>-55</v>
      </c>
    </row>
    <row r="98" spans="1:5" x14ac:dyDescent="0.25">
      <c r="A98" s="44" t="s">
        <v>494</v>
      </c>
      <c r="B98" s="44" t="s">
        <v>495</v>
      </c>
      <c r="C98" s="46">
        <v>44172</v>
      </c>
      <c r="D98" s="48">
        <v>-55</v>
      </c>
      <c r="E98" s="48">
        <v>-55</v>
      </c>
    </row>
    <row r="99" spans="1:5" x14ac:dyDescent="0.25">
      <c r="A99" s="44" t="s">
        <v>496</v>
      </c>
      <c r="B99" s="44" t="s">
        <v>497</v>
      </c>
      <c r="C99" s="46">
        <v>44172</v>
      </c>
      <c r="D99" s="48">
        <v>-16.600000000000001</v>
      </c>
      <c r="E99" s="48">
        <v>-16.600000000000001</v>
      </c>
    </row>
    <row r="100" spans="1:5" x14ac:dyDescent="0.25">
      <c r="A100" s="44" t="s">
        <v>498</v>
      </c>
      <c r="B100" s="44" t="s">
        <v>499</v>
      </c>
      <c r="C100" s="46">
        <v>44172</v>
      </c>
      <c r="D100" s="48">
        <v>888.76</v>
      </c>
      <c r="E100" s="48">
        <v>888.76</v>
      </c>
    </row>
    <row r="101" spans="1:5" x14ac:dyDescent="0.25">
      <c r="A101" s="44" t="s">
        <v>500</v>
      </c>
      <c r="B101" s="44" t="s">
        <v>501</v>
      </c>
      <c r="C101" s="46">
        <v>44172</v>
      </c>
      <c r="D101" s="48">
        <v>323.51</v>
      </c>
      <c r="E101" s="48">
        <v>323.51</v>
      </c>
    </row>
    <row r="102" spans="1:5" x14ac:dyDescent="0.25">
      <c r="A102" s="44" t="s">
        <v>502</v>
      </c>
      <c r="B102" s="44" t="s">
        <v>503</v>
      </c>
      <c r="C102" s="46">
        <v>44172</v>
      </c>
      <c r="D102" s="48">
        <v>451.88</v>
      </c>
      <c r="E102" s="48">
        <v>451.88</v>
      </c>
    </row>
    <row r="103" spans="1:5" x14ac:dyDescent="0.25">
      <c r="A103" s="44" t="s">
        <v>504</v>
      </c>
      <c r="B103" s="44" t="s">
        <v>505</v>
      </c>
      <c r="C103" s="46">
        <v>44172</v>
      </c>
      <c r="D103" s="48">
        <v>100.51</v>
      </c>
      <c r="E103" s="48">
        <v>100.51</v>
      </c>
    </row>
    <row r="104" spans="1:5" x14ac:dyDescent="0.25">
      <c r="A104" s="44" t="s">
        <v>506</v>
      </c>
      <c r="B104" s="44" t="s">
        <v>507</v>
      </c>
      <c r="C104" s="46">
        <v>44173</v>
      </c>
      <c r="D104" s="48">
        <v>486.38</v>
      </c>
      <c r="E104" s="48">
        <v>486.38</v>
      </c>
    </row>
    <row r="105" spans="1:5" x14ac:dyDescent="0.25">
      <c r="A105" s="44" t="s">
        <v>508</v>
      </c>
      <c r="B105" s="44" t="s">
        <v>509</v>
      </c>
      <c r="C105" s="46">
        <v>44173</v>
      </c>
      <c r="D105" s="48">
        <v>782.18</v>
      </c>
      <c r="E105" s="48">
        <v>782.18</v>
      </c>
    </row>
    <row r="106" spans="1:5" x14ac:dyDescent="0.25">
      <c r="A106" s="44" t="s">
        <v>510</v>
      </c>
      <c r="B106" s="44" t="s">
        <v>511</v>
      </c>
      <c r="C106" s="46">
        <v>44173</v>
      </c>
      <c r="D106" s="48">
        <v>233.39</v>
      </c>
      <c r="E106" s="48">
        <v>233.39</v>
      </c>
    </row>
    <row r="107" spans="1:5" x14ac:dyDescent="0.25">
      <c r="A107" s="44" t="s">
        <v>512</v>
      </c>
      <c r="B107" s="44" t="s">
        <v>513</v>
      </c>
      <c r="C107" s="46">
        <v>44174</v>
      </c>
      <c r="D107" s="48">
        <v>22.88</v>
      </c>
      <c r="E107" s="48">
        <v>22.88</v>
      </c>
    </row>
    <row r="108" spans="1:5" x14ac:dyDescent="0.25">
      <c r="A108" s="44" t="s">
        <v>514</v>
      </c>
      <c r="B108" s="44" t="s">
        <v>515</v>
      </c>
      <c r="C108" s="46">
        <v>44174</v>
      </c>
      <c r="D108" s="48">
        <v>346.73</v>
      </c>
      <c r="E108" s="48">
        <v>346.73</v>
      </c>
    </row>
    <row r="109" spans="1:5" x14ac:dyDescent="0.25">
      <c r="A109" s="44" t="s">
        <v>516</v>
      </c>
      <c r="B109" s="44" t="s">
        <v>517</v>
      </c>
      <c r="C109" s="46">
        <v>44175</v>
      </c>
      <c r="D109" s="48">
        <v>-55</v>
      </c>
      <c r="E109" s="48">
        <v>-55</v>
      </c>
    </row>
    <row r="110" spans="1:5" x14ac:dyDescent="0.25">
      <c r="A110" s="44" t="s">
        <v>518</v>
      </c>
      <c r="B110" s="44" t="s">
        <v>519</v>
      </c>
      <c r="C110" s="46">
        <v>44175</v>
      </c>
      <c r="D110" s="48">
        <v>-55</v>
      </c>
      <c r="E110" s="48">
        <v>-55</v>
      </c>
    </row>
    <row r="111" spans="1:5" x14ac:dyDescent="0.25">
      <c r="A111" s="44" t="s">
        <v>520</v>
      </c>
      <c r="B111" s="44" t="s">
        <v>521</v>
      </c>
      <c r="C111" s="46">
        <v>44175</v>
      </c>
      <c r="D111" s="48">
        <v>187.52</v>
      </c>
      <c r="E111" s="48">
        <v>187.52</v>
      </c>
    </row>
    <row r="112" spans="1:5" x14ac:dyDescent="0.25">
      <c r="A112" s="44" t="s">
        <v>522</v>
      </c>
      <c r="B112" s="44" t="s">
        <v>523</v>
      </c>
      <c r="C112" s="46">
        <v>44175</v>
      </c>
      <c r="D112" s="48">
        <v>-55</v>
      </c>
      <c r="E112" s="48">
        <v>-55</v>
      </c>
    </row>
    <row r="113" spans="1:5" x14ac:dyDescent="0.25">
      <c r="A113" s="44" t="s">
        <v>524</v>
      </c>
      <c r="B113" s="44" t="s">
        <v>525</v>
      </c>
      <c r="C113" s="46">
        <v>44175</v>
      </c>
      <c r="D113" s="48">
        <v>-55</v>
      </c>
      <c r="E113" s="48">
        <v>-55</v>
      </c>
    </row>
    <row r="114" spans="1:5" x14ac:dyDescent="0.25">
      <c r="A114" s="44" t="s">
        <v>526</v>
      </c>
      <c r="B114" s="44" t="s">
        <v>527</v>
      </c>
      <c r="C114" s="46">
        <v>44176</v>
      </c>
      <c r="D114" s="48">
        <v>853.78</v>
      </c>
      <c r="E114" s="48">
        <v>853.78</v>
      </c>
    </row>
    <row r="115" spans="1:5" x14ac:dyDescent="0.25">
      <c r="A115" s="44" t="s">
        <v>528</v>
      </c>
      <c r="B115" s="44" t="s">
        <v>529</v>
      </c>
      <c r="C115" s="46">
        <v>44176</v>
      </c>
      <c r="D115" s="48">
        <v>-59.71</v>
      </c>
      <c r="E115" s="48">
        <v>-59.71</v>
      </c>
    </row>
    <row r="116" spans="1:5" x14ac:dyDescent="0.25">
      <c r="A116" s="44" t="s">
        <v>530</v>
      </c>
      <c r="B116" s="44" t="s">
        <v>531</v>
      </c>
      <c r="C116" s="46">
        <v>44176</v>
      </c>
      <c r="D116" s="48">
        <v>973.74</v>
      </c>
      <c r="E116" s="48">
        <v>973.74</v>
      </c>
    </row>
    <row r="117" spans="1:5" x14ac:dyDescent="0.25">
      <c r="A117" s="44" t="s">
        <v>532</v>
      </c>
      <c r="B117" s="44" t="s">
        <v>533</v>
      </c>
      <c r="C117" s="46">
        <v>44176</v>
      </c>
      <c r="D117" s="48">
        <v>3310.4</v>
      </c>
      <c r="E117" s="48">
        <v>3310.4</v>
      </c>
    </row>
    <row r="118" spans="1:5" x14ac:dyDescent="0.25">
      <c r="A118" s="44" t="s">
        <v>534</v>
      </c>
      <c r="B118" s="44" t="s">
        <v>533</v>
      </c>
      <c r="C118" s="46">
        <v>44176</v>
      </c>
      <c r="D118" s="48">
        <v>245.23</v>
      </c>
      <c r="E118" s="48">
        <v>245.23</v>
      </c>
    </row>
    <row r="119" spans="1:5" x14ac:dyDescent="0.25">
      <c r="A119" s="44" t="s">
        <v>535</v>
      </c>
      <c r="B119" s="44" t="s">
        <v>536</v>
      </c>
      <c r="C119" s="46">
        <v>44179</v>
      </c>
      <c r="D119" s="48">
        <v>980.62</v>
      </c>
      <c r="E119" s="48">
        <v>980.62</v>
      </c>
    </row>
    <row r="120" spans="1:5" x14ac:dyDescent="0.25">
      <c r="A120" s="44" t="s">
        <v>537</v>
      </c>
      <c r="B120" s="44" t="s">
        <v>538</v>
      </c>
      <c r="C120" s="46">
        <v>44179</v>
      </c>
      <c r="D120" s="48">
        <v>-55</v>
      </c>
      <c r="E120" s="48">
        <v>-55</v>
      </c>
    </row>
    <row r="121" spans="1:5" x14ac:dyDescent="0.25">
      <c r="A121" s="44" t="s">
        <v>539</v>
      </c>
      <c r="B121" s="44" t="s">
        <v>540</v>
      </c>
      <c r="C121" s="46">
        <v>44180</v>
      </c>
      <c r="D121" s="48">
        <v>-55</v>
      </c>
      <c r="E121" s="48">
        <v>-55</v>
      </c>
    </row>
    <row r="122" spans="1:5" x14ac:dyDescent="0.25">
      <c r="A122" s="44" t="s">
        <v>541</v>
      </c>
      <c r="B122" s="44" t="s">
        <v>542</v>
      </c>
      <c r="C122" s="46">
        <v>44181</v>
      </c>
      <c r="D122" s="48">
        <v>-55</v>
      </c>
      <c r="E122" s="48">
        <v>-55</v>
      </c>
    </row>
    <row r="123" spans="1:5" x14ac:dyDescent="0.25">
      <c r="A123" s="44" t="s">
        <v>543</v>
      </c>
      <c r="B123" s="44" t="s">
        <v>544</v>
      </c>
      <c r="C123" s="46">
        <v>44181</v>
      </c>
      <c r="D123" s="48">
        <v>-55</v>
      </c>
      <c r="E123" s="48">
        <v>-55</v>
      </c>
    </row>
    <row r="124" spans="1:5" x14ac:dyDescent="0.25">
      <c r="A124" s="44" t="s">
        <v>545</v>
      </c>
      <c r="B124" s="44" t="s">
        <v>546</v>
      </c>
      <c r="C124" s="46">
        <v>44181</v>
      </c>
      <c r="D124" s="48">
        <v>86.91</v>
      </c>
      <c r="E124" s="48">
        <v>86.91</v>
      </c>
    </row>
    <row r="125" spans="1:5" x14ac:dyDescent="0.25">
      <c r="A125" s="44" t="s">
        <v>547</v>
      </c>
      <c r="B125" s="42"/>
      <c r="C125" s="46">
        <v>44186</v>
      </c>
      <c r="D125" s="48">
        <v>-175</v>
      </c>
      <c r="E125" s="48">
        <v>-175</v>
      </c>
    </row>
    <row r="126" spans="1:5" x14ac:dyDescent="0.25">
      <c r="A126" s="44" t="s">
        <v>548</v>
      </c>
      <c r="B126" s="42"/>
      <c r="C126" s="46">
        <v>44186</v>
      </c>
      <c r="D126" s="48">
        <v>55</v>
      </c>
      <c r="E126" s="48">
        <v>55</v>
      </c>
    </row>
    <row r="127" spans="1:5" x14ac:dyDescent="0.25">
      <c r="A127" s="44" t="s">
        <v>549</v>
      </c>
      <c r="B127" s="44" t="s">
        <v>550</v>
      </c>
      <c r="C127" s="46">
        <v>44193</v>
      </c>
      <c r="D127" s="48">
        <v>743.09</v>
      </c>
      <c r="E127" s="48">
        <v>743.09</v>
      </c>
    </row>
    <row r="128" spans="1:5" x14ac:dyDescent="0.25">
      <c r="A128" s="44" t="s">
        <v>551</v>
      </c>
      <c r="B128" s="44" t="s">
        <v>550</v>
      </c>
      <c r="C128" s="46">
        <v>44193</v>
      </c>
      <c r="D128" s="48">
        <v>580.1</v>
      </c>
      <c r="E128" s="48">
        <v>580.1</v>
      </c>
    </row>
    <row r="129" spans="1:5" x14ac:dyDescent="0.25">
      <c r="A129" s="44" t="s">
        <v>552</v>
      </c>
      <c r="B129" s="44" t="s">
        <v>550</v>
      </c>
      <c r="C129" s="46">
        <v>44193</v>
      </c>
      <c r="D129" s="48">
        <v>50</v>
      </c>
      <c r="E129" s="48">
        <v>50</v>
      </c>
    </row>
    <row r="130" spans="1:5" x14ac:dyDescent="0.25">
      <c r="A130" s="44" t="s">
        <v>553</v>
      </c>
      <c r="B130" s="44" t="s">
        <v>554</v>
      </c>
      <c r="C130" s="46">
        <v>44193</v>
      </c>
      <c r="D130" s="48">
        <v>612.54999999999995</v>
      </c>
      <c r="E130" s="48">
        <v>612.54999999999995</v>
      </c>
    </row>
    <row r="131" spans="1:5" x14ac:dyDescent="0.25">
      <c r="A131" s="44" t="s">
        <v>555</v>
      </c>
      <c r="B131" s="44" t="s">
        <v>554</v>
      </c>
      <c r="C131" s="46">
        <v>44193</v>
      </c>
      <c r="D131" s="48">
        <v>753.52</v>
      </c>
      <c r="E131" s="48">
        <v>753.52</v>
      </c>
    </row>
    <row r="132" spans="1:5" x14ac:dyDescent="0.25">
      <c r="A132" s="44" t="s">
        <v>556</v>
      </c>
      <c r="B132" s="44" t="s">
        <v>554</v>
      </c>
      <c r="C132" s="46">
        <v>44193</v>
      </c>
      <c r="D132" s="48">
        <v>50</v>
      </c>
      <c r="E132" s="48">
        <v>50</v>
      </c>
    </row>
    <row r="133" spans="1:5" x14ac:dyDescent="0.25">
      <c r="A133" s="44" t="s">
        <v>557</v>
      </c>
      <c r="B133" s="44" t="s">
        <v>558</v>
      </c>
      <c r="C133" s="46">
        <v>44193</v>
      </c>
      <c r="D133" s="48">
        <v>103.91</v>
      </c>
      <c r="E133" s="48">
        <v>103.91</v>
      </c>
    </row>
    <row r="134" spans="1:5" x14ac:dyDescent="0.25">
      <c r="A134" s="44" t="s">
        <v>559</v>
      </c>
      <c r="B134" s="44" t="s">
        <v>560</v>
      </c>
      <c r="C134" s="46">
        <v>44193</v>
      </c>
      <c r="D134" s="48">
        <v>-55</v>
      </c>
      <c r="E134" s="48">
        <v>-55</v>
      </c>
    </row>
    <row r="135" spans="1:5" x14ac:dyDescent="0.25">
      <c r="A135" s="44" t="s">
        <v>561</v>
      </c>
      <c r="B135" s="44" t="s">
        <v>562</v>
      </c>
      <c r="C135" s="46">
        <v>44193</v>
      </c>
      <c r="D135" s="48">
        <v>58.53</v>
      </c>
      <c r="E135" s="48">
        <v>58.53</v>
      </c>
    </row>
    <row r="136" spans="1:5" x14ac:dyDescent="0.25">
      <c r="A136" s="44" t="s">
        <v>563</v>
      </c>
      <c r="B136" s="44" t="s">
        <v>564</v>
      </c>
      <c r="C136" s="46">
        <v>44193</v>
      </c>
      <c r="D136" s="48">
        <v>65.69</v>
      </c>
      <c r="E136" s="48">
        <v>65.69</v>
      </c>
    </row>
    <row r="137" spans="1:5" x14ac:dyDescent="0.25">
      <c r="A137" s="44" t="s">
        <v>565</v>
      </c>
      <c r="B137" s="44" t="s">
        <v>566</v>
      </c>
      <c r="C137" s="46">
        <v>44193</v>
      </c>
      <c r="D137" s="48">
        <v>54.94</v>
      </c>
      <c r="E137" s="48">
        <v>54.94</v>
      </c>
    </row>
    <row r="138" spans="1:5" x14ac:dyDescent="0.25">
      <c r="A138" s="44" t="s">
        <v>567</v>
      </c>
      <c r="B138" s="44" t="s">
        <v>568</v>
      </c>
      <c r="C138" s="46">
        <v>44193</v>
      </c>
      <c r="D138" s="48">
        <v>57.33</v>
      </c>
      <c r="E138" s="48">
        <v>57.33</v>
      </c>
    </row>
    <row r="139" spans="1:5" x14ac:dyDescent="0.25">
      <c r="A139" s="44" t="s">
        <v>569</v>
      </c>
      <c r="B139" s="44" t="s">
        <v>570</v>
      </c>
      <c r="C139" s="46">
        <v>44193</v>
      </c>
      <c r="D139" s="48">
        <v>-55</v>
      </c>
      <c r="E139" s="48">
        <v>-55</v>
      </c>
    </row>
    <row r="140" spans="1:5" x14ac:dyDescent="0.25">
      <c r="A140" s="44" t="s">
        <v>571</v>
      </c>
      <c r="B140" s="44" t="s">
        <v>572</v>
      </c>
      <c r="C140" s="46">
        <v>44193</v>
      </c>
      <c r="D140" s="48">
        <v>-55</v>
      </c>
      <c r="E140" s="48">
        <v>-55</v>
      </c>
    </row>
    <row r="141" spans="1:5" x14ac:dyDescent="0.25">
      <c r="A141" s="44" t="s">
        <v>573</v>
      </c>
      <c r="B141" s="44" t="s">
        <v>574</v>
      </c>
      <c r="C141" s="46">
        <v>44193</v>
      </c>
      <c r="D141" s="48">
        <v>59.72</v>
      </c>
      <c r="E141" s="48">
        <v>59.72</v>
      </c>
    </row>
    <row r="142" spans="1:5" x14ac:dyDescent="0.25">
      <c r="A142" s="44" t="s">
        <v>575</v>
      </c>
      <c r="B142" s="44" t="s">
        <v>576</v>
      </c>
      <c r="C142" s="46">
        <v>44193</v>
      </c>
      <c r="D142" s="48">
        <v>89.58</v>
      </c>
      <c r="E142" s="48">
        <v>89.58</v>
      </c>
    </row>
    <row r="143" spans="1:5" x14ac:dyDescent="0.25">
      <c r="A143" s="44" t="s">
        <v>577</v>
      </c>
      <c r="B143" s="44" t="s">
        <v>578</v>
      </c>
      <c r="C143" s="46">
        <v>44193</v>
      </c>
      <c r="D143" s="48">
        <v>63.3</v>
      </c>
      <c r="E143" s="48">
        <v>63.3</v>
      </c>
    </row>
    <row r="144" spans="1:5" x14ac:dyDescent="0.25">
      <c r="A144" s="44" t="s">
        <v>579</v>
      </c>
      <c r="B144" s="44" t="s">
        <v>580</v>
      </c>
      <c r="C144" s="46">
        <v>44193</v>
      </c>
      <c r="D144" s="48">
        <v>63.3</v>
      </c>
      <c r="E144" s="48">
        <v>63.3</v>
      </c>
    </row>
    <row r="145" spans="1:5" x14ac:dyDescent="0.25">
      <c r="A145" s="44" t="s">
        <v>581</v>
      </c>
      <c r="B145" s="44" t="s">
        <v>582</v>
      </c>
      <c r="C145" s="46">
        <v>44193</v>
      </c>
      <c r="D145" s="48">
        <v>58.53</v>
      </c>
      <c r="E145" s="48">
        <v>58.53</v>
      </c>
    </row>
    <row r="146" spans="1:5" x14ac:dyDescent="0.25">
      <c r="A146" s="44" t="s">
        <v>583</v>
      </c>
      <c r="B146" s="44" t="s">
        <v>584</v>
      </c>
      <c r="C146" s="46">
        <v>44193</v>
      </c>
      <c r="D146" s="48">
        <v>56.14</v>
      </c>
      <c r="E146" s="48">
        <v>56.14</v>
      </c>
    </row>
    <row r="147" spans="1:5" x14ac:dyDescent="0.25">
      <c r="A147" s="44" t="s">
        <v>585</v>
      </c>
      <c r="B147" s="44" t="s">
        <v>586</v>
      </c>
      <c r="C147" s="46">
        <v>44193</v>
      </c>
      <c r="D147" s="48">
        <v>54.94</v>
      </c>
      <c r="E147" s="48">
        <v>54.94</v>
      </c>
    </row>
    <row r="148" spans="1:5" x14ac:dyDescent="0.25">
      <c r="A148" s="44" t="s">
        <v>587</v>
      </c>
      <c r="B148" s="44" t="s">
        <v>588</v>
      </c>
      <c r="C148" s="46">
        <v>44193</v>
      </c>
      <c r="D148" s="48">
        <v>53.75</v>
      </c>
      <c r="E148" s="48">
        <v>53.75</v>
      </c>
    </row>
    <row r="149" spans="1:5" x14ac:dyDescent="0.25">
      <c r="A149" s="44" t="s">
        <v>589</v>
      </c>
      <c r="B149" s="44" t="s">
        <v>590</v>
      </c>
      <c r="C149" s="46">
        <v>44193</v>
      </c>
      <c r="D149" s="48">
        <v>59.72</v>
      </c>
      <c r="E149" s="48">
        <v>59.72</v>
      </c>
    </row>
    <row r="150" spans="1:5" x14ac:dyDescent="0.25">
      <c r="A150" s="44" t="s">
        <v>591</v>
      </c>
      <c r="B150" s="44" t="s">
        <v>592</v>
      </c>
      <c r="C150" s="46">
        <v>44193</v>
      </c>
      <c r="D150" s="48">
        <v>63.3</v>
      </c>
      <c r="E150" s="48">
        <v>63.3</v>
      </c>
    </row>
    <row r="151" spans="1:5" x14ac:dyDescent="0.25">
      <c r="A151" s="44" t="s">
        <v>593</v>
      </c>
      <c r="B151" s="44" t="s">
        <v>594</v>
      </c>
      <c r="C151" s="46">
        <v>44194</v>
      </c>
      <c r="D151" s="48">
        <v>59.72</v>
      </c>
      <c r="E151" s="48">
        <v>59.72</v>
      </c>
    </row>
    <row r="152" spans="1:5" x14ac:dyDescent="0.25">
      <c r="A152" s="44" t="s">
        <v>595</v>
      </c>
      <c r="B152" s="44" t="s">
        <v>596</v>
      </c>
      <c r="C152" s="46">
        <v>44195</v>
      </c>
      <c r="D152" s="48">
        <v>105.11</v>
      </c>
      <c r="E152" s="48">
        <v>105.11</v>
      </c>
    </row>
    <row r="153" spans="1:5" x14ac:dyDescent="0.25">
      <c r="A153" s="44" t="s">
        <v>597</v>
      </c>
      <c r="B153" s="44" t="s">
        <v>598</v>
      </c>
      <c r="C153" s="46">
        <v>44195</v>
      </c>
      <c r="D153" s="48">
        <v>107.5</v>
      </c>
      <c r="E153" s="48">
        <v>107.5</v>
      </c>
    </row>
    <row r="154" spans="1:5" x14ac:dyDescent="0.25">
      <c r="A154" s="44" t="s">
        <v>599</v>
      </c>
      <c r="B154" s="44" t="s">
        <v>600</v>
      </c>
      <c r="C154" s="46">
        <v>44195</v>
      </c>
      <c r="D154" s="48">
        <v>105.11</v>
      </c>
      <c r="E154" s="48">
        <v>105.11</v>
      </c>
    </row>
    <row r="155" spans="1:5" x14ac:dyDescent="0.25">
      <c r="A155" s="44" t="s">
        <v>601</v>
      </c>
      <c r="B155" s="44" t="s">
        <v>602</v>
      </c>
      <c r="C155" s="46">
        <v>44195</v>
      </c>
      <c r="D155" s="48">
        <v>350</v>
      </c>
      <c r="E155" s="48">
        <v>350</v>
      </c>
    </row>
    <row r="156" spans="1:5" x14ac:dyDescent="0.25">
      <c r="A156" s="44" t="s">
        <v>603</v>
      </c>
      <c r="B156" s="44" t="s">
        <v>604</v>
      </c>
      <c r="C156" s="46">
        <v>44195</v>
      </c>
      <c r="D156" s="48">
        <v>350</v>
      </c>
      <c r="E156" s="48">
        <v>350</v>
      </c>
    </row>
    <row r="157" spans="1:5" x14ac:dyDescent="0.25">
      <c r="A157" s="44" t="s">
        <v>605</v>
      </c>
      <c r="B157" s="44" t="s">
        <v>606</v>
      </c>
      <c r="C157" s="46">
        <v>44195</v>
      </c>
      <c r="D157" s="48">
        <v>350</v>
      </c>
      <c r="E157" s="48">
        <v>350</v>
      </c>
    </row>
    <row r="158" spans="1:5" x14ac:dyDescent="0.25">
      <c r="A158" s="44" t="s">
        <v>607</v>
      </c>
      <c r="B158" s="44" t="s">
        <v>608</v>
      </c>
      <c r="C158" s="46">
        <v>44195</v>
      </c>
      <c r="D158" s="48">
        <v>350</v>
      </c>
      <c r="E158" s="48">
        <v>350</v>
      </c>
    </row>
    <row r="159" spans="1:5" x14ac:dyDescent="0.25">
      <c r="A159" s="44" t="s">
        <v>609</v>
      </c>
      <c r="B159" s="44" t="s">
        <v>610</v>
      </c>
      <c r="C159" s="46">
        <v>44195</v>
      </c>
      <c r="D159" s="48">
        <v>57.33</v>
      </c>
      <c r="E159" s="48">
        <v>57.33</v>
      </c>
    </row>
    <row r="160" spans="1:5" x14ac:dyDescent="0.25">
      <c r="A160" s="44" t="s">
        <v>611</v>
      </c>
      <c r="B160" s="44" t="s">
        <v>612</v>
      </c>
      <c r="C160" s="46">
        <v>44195</v>
      </c>
      <c r="D160" s="48">
        <v>59.72</v>
      </c>
      <c r="E160" s="48">
        <v>59.72</v>
      </c>
    </row>
    <row r="161" spans="1:5" x14ac:dyDescent="0.25">
      <c r="A161" s="44" t="s">
        <v>613</v>
      </c>
      <c r="B161" s="44" t="s">
        <v>614</v>
      </c>
      <c r="C161" s="46">
        <v>44195</v>
      </c>
      <c r="D161" s="48">
        <v>56.14</v>
      </c>
      <c r="E161" s="48">
        <v>56.14</v>
      </c>
    </row>
    <row r="162" spans="1:5" x14ac:dyDescent="0.25">
      <c r="A162" s="44" t="s">
        <v>615</v>
      </c>
      <c r="B162" s="44" t="s">
        <v>616</v>
      </c>
      <c r="C162" s="46">
        <v>44195</v>
      </c>
      <c r="D162" s="48">
        <v>59.72</v>
      </c>
      <c r="E162" s="48">
        <v>59.72</v>
      </c>
    </row>
    <row r="163" spans="1:5" x14ac:dyDescent="0.25">
      <c r="A163" s="44" t="s">
        <v>617</v>
      </c>
      <c r="B163" s="44" t="s">
        <v>614</v>
      </c>
      <c r="C163" s="46">
        <v>44195</v>
      </c>
      <c r="D163" s="48">
        <v>23.89</v>
      </c>
      <c r="E163" s="48">
        <v>23.89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442F-EF5E-4ECB-BE5F-D62E08D98F29}">
  <dimension ref="A1:I28"/>
  <sheetViews>
    <sheetView workbookViewId="0">
      <selection activeCell="H7" sqref="H7:H8"/>
    </sheetView>
  </sheetViews>
  <sheetFormatPr baseColWidth="10" defaultRowHeight="15" x14ac:dyDescent="0.25"/>
  <sheetData>
    <row r="1" spans="1:9" x14ac:dyDescent="0.25">
      <c r="A1" s="50" t="s">
        <v>170</v>
      </c>
      <c r="B1" s="50" t="s">
        <v>1</v>
      </c>
      <c r="C1" s="52" t="s">
        <v>305</v>
      </c>
      <c r="D1" s="54" t="s">
        <v>171</v>
      </c>
      <c r="E1" s="54" t="s">
        <v>306</v>
      </c>
      <c r="F1" s="54" t="s">
        <v>307</v>
      </c>
      <c r="G1" s="54" t="s">
        <v>308</v>
      </c>
      <c r="H1" s="54" t="s">
        <v>309</v>
      </c>
      <c r="I1" s="50" t="s">
        <v>214</v>
      </c>
    </row>
    <row r="2" spans="1:9" x14ac:dyDescent="0.25">
      <c r="A2" s="51" t="s">
        <v>620</v>
      </c>
      <c r="B2" s="51" t="s">
        <v>621</v>
      </c>
      <c r="C2" s="53">
        <v>43896</v>
      </c>
      <c r="D2" s="55">
        <v>96.07</v>
      </c>
      <c r="E2" s="49"/>
      <c r="F2" s="49"/>
      <c r="G2" s="49"/>
      <c r="H2" s="55">
        <v>96.07</v>
      </c>
      <c r="I2" s="49"/>
    </row>
    <row r="3" spans="1:9" x14ac:dyDescent="0.25">
      <c r="A3" s="51" t="s">
        <v>181</v>
      </c>
      <c r="B3" s="51" t="s">
        <v>224</v>
      </c>
      <c r="C3" s="53">
        <v>43963</v>
      </c>
      <c r="D3" s="55">
        <v>-4370.55</v>
      </c>
      <c r="E3" s="55">
        <v>-4370.55</v>
      </c>
      <c r="F3" s="49"/>
      <c r="G3" s="49"/>
      <c r="H3" s="49"/>
      <c r="I3" s="49"/>
    </row>
    <row r="4" spans="1:9" x14ac:dyDescent="0.25">
      <c r="A4" s="51" t="s">
        <v>622</v>
      </c>
      <c r="B4" s="51" t="s">
        <v>623</v>
      </c>
      <c r="C4" s="53">
        <v>44020</v>
      </c>
      <c r="D4" s="55">
        <v>1419.39</v>
      </c>
      <c r="E4" s="49"/>
      <c r="F4" s="49"/>
      <c r="G4" s="49"/>
      <c r="H4" s="55">
        <v>1419.39</v>
      </c>
      <c r="I4" s="49"/>
    </row>
    <row r="5" spans="1:9" x14ac:dyDescent="0.25">
      <c r="A5" s="51" t="s">
        <v>624</v>
      </c>
      <c r="B5" s="51" t="s">
        <v>625</v>
      </c>
      <c r="C5" s="53">
        <v>44027</v>
      </c>
      <c r="D5" s="55">
        <v>35.65</v>
      </c>
      <c r="E5" s="49"/>
      <c r="F5" s="49"/>
      <c r="G5" s="49"/>
      <c r="H5" s="55">
        <v>35.65</v>
      </c>
      <c r="I5" s="49"/>
    </row>
    <row r="6" spans="1:9" x14ac:dyDescent="0.25">
      <c r="A6" s="51" t="s">
        <v>626</v>
      </c>
      <c r="B6" s="51" t="s">
        <v>627</v>
      </c>
      <c r="C6" s="53">
        <v>44043</v>
      </c>
      <c r="D6" s="55">
        <v>119.57</v>
      </c>
      <c r="E6" s="49"/>
      <c r="F6" s="49"/>
      <c r="G6" s="49"/>
      <c r="H6" s="55">
        <v>119.57</v>
      </c>
      <c r="I6" s="49"/>
    </row>
    <row r="7" spans="1:9" x14ac:dyDescent="0.25">
      <c r="A7" s="51" t="s">
        <v>628</v>
      </c>
      <c r="B7" s="51" t="s">
        <v>629</v>
      </c>
      <c r="C7" s="53">
        <v>44047</v>
      </c>
      <c r="D7" s="55">
        <v>1776.84</v>
      </c>
      <c r="E7" s="49"/>
      <c r="F7" s="49"/>
      <c r="G7" s="49"/>
      <c r="H7" s="55">
        <v>1776.84</v>
      </c>
      <c r="I7" s="51" t="s">
        <v>630</v>
      </c>
    </row>
    <row r="8" spans="1:9" x14ac:dyDescent="0.25">
      <c r="A8" s="51" t="s">
        <v>631</v>
      </c>
      <c r="B8" s="51" t="s">
        <v>632</v>
      </c>
      <c r="C8" s="53">
        <v>44062</v>
      </c>
      <c r="D8" s="55">
        <v>718.08</v>
      </c>
      <c r="E8" s="49"/>
      <c r="F8" s="49"/>
      <c r="G8" s="49"/>
      <c r="H8" s="55">
        <v>718.08</v>
      </c>
      <c r="I8" s="51" t="s">
        <v>633</v>
      </c>
    </row>
    <row r="9" spans="1:9" x14ac:dyDescent="0.25">
      <c r="A9" s="51" t="s">
        <v>634</v>
      </c>
      <c r="B9" s="51" t="s">
        <v>635</v>
      </c>
      <c r="C9" s="53">
        <v>44126</v>
      </c>
      <c r="D9" s="55">
        <v>160.97999999999999</v>
      </c>
      <c r="E9" s="49"/>
      <c r="F9" s="49"/>
      <c r="G9" s="55">
        <v>160.97999999999999</v>
      </c>
      <c r="H9" s="49"/>
      <c r="I9" s="51" t="s">
        <v>636</v>
      </c>
    </row>
    <row r="10" spans="1:9" x14ac:dyDescent="0.25">
      <c r="A10" s="51" t="s">
        <v>637</v>
      </c>
      <c r="B10" s="51" t="s">
        <v>638</v>
      </c>
      <c r="C10" s="53">
        <v>44132</v>
      </c>
      <c r="D10" s="55">
        <v>549.95000000000005</v>
      </c>
      <c r="E10" s="49"/>
      <c r="F10" s="49"/>
      <c r="G10" s="55">
        <v>549.95000000000005</v>
      </c>
      <c r="H10" s="49"/>
      <c r="I10" s="51" t="s">
        <v>639</v>
      </c>
    </row>
    <row r="11" spans="1:9" x14ac:dyDescent="0.25">
      <c r="A11" s="51" t="s">
        <v>640</v>
      </c>
      <c r="B11" s="51" t="s">
        <v>641</v>
      </c>
      <c r="C11" s="53">
        <v>44135</v>
      </c>
      <c r="D11" s="55">
        <v>1896.66</v>
      </c>
      <c r="E11" s="49"/>
      <c r="F11" s="55">
        <v>1896.66</v>
      </c>
      <c r="G11" s="49"/>
      <c r="H11" s="49"/>
      <c r="I11" s="51" t="s">
        <v>642</v>
      </c>
    </row>
    <row r="12" spans="1:9" x14ac:dyDescent="0.25">
      <c r="A12" s="51" t="s">
        <v>643</v>
      </c>
      <c r="B12" s="51" t="s">
        <v>644</v>
      </c>
      <c r="C12" s="53">
        <v>44137</v>
      </c>
      <c r="D12" s="55">
        <v>114.97</v>
      </c>
      <c r="E12" s="49"/>
      <c r="F12" s="49"/>
      <c r="G12" s="55">
        <v>114.97</v>
      </c>
      <c r="H12" s="49"/>
      <c r="I12" s="49"/>
    </row>
    <row r="13" spans="1:9" x14ac:dyDescent="0.25">
      <c r="A13" s="51" t="s">
        <v>645</v>
      </c>
      <c r="B13" s="51" t="s">
        <v>646</v>
      </c>
      <c r="C13" s="53">
        <v>44148</v>
      </c>
      <c r="D13" s="55">
        <v>373.49</v>
      </c>
      <c r="E13" s="49"/>
      <c r="F13" s="49"/>
      <c r="G13" s="55">
        <v>373.49</v>
      </c>
      <c r="H13" s="49"/>
      <c r="I13" s="49"/>
    </row>
    <row r="14" spans="1:9" x14ac:dyDescent="0.25">
      <c r="A14" s="51" t="s">
        <v>647</v>
      </c>
      <c r="B14" s="51" t="s">
        <v>648</v>
      </c>
      <c r="C14" s="53">
        <v>44148</v>
      </c>
      <c r="D14" s="55">
        <v>211.72</v>
      </c>
      <c r="E14" s="49"/>
      <c r="F14" s="49"/>
      <c r="G14" s="55">
        <v>211.72</v>
      </c>
      <c r="H14" s="49"/>
      <c r="I14" s="49"/>
    </row>
    <row r="15" spans="1:9" x14ac:dyDescent="0.25">
      <c r="A15" s="51" t="s">
        <v>649</v>
      </c>
      <c r="B15" s="51" t="s">
        <v>650</v>
      </c>
      <c r="C15" s="53">
        <v>44152</v>
      </c>
      <c r="D15" s="55">
        <v>272.38</v>
      </c>
      <c r="E15" s="49"/>
      <c r="F15" s="49"/>
      <c r="G15" s="55">
        <v>272.38</v>
      </c>
      <c r="H15" s="49"/>
      <c r="I15" s="49"/>
    </row>
    <row r="16" spans="1:9" x14ac:dyDescent="0.25">
      <c r="A16" s="51" t="s">
        <v>651</v>
      </c>
      <c r="B16" s="51" t="s">
        <v>652</v>
      </c>
      <c r="C16" s="53">
        <v>44158</v>
      </c>
      <c r="D16" s="55">
        <v>1325</v>
      </c>
      <c r="E16" s="49"/>
      <c r="F16" s="55">
        <v>1325</v>
      </c>
      <c r="G16" s="49"/>
      <c r="H16" s="49"/>
      <c r="I16" s="51" t="s">
        <v>653</v>
      </c>
    </row>
    <row r="17" spans="1:9" x14ac:dyDescent="0.25">
      <c r="A17" s="51" t="s">
        <v>654</v>
      </c>
      <c r="B17" s="51" t="s">
        <v>655</v>
      </c>
      <c r="C17" s="53">
        <v>44161</v>
      </c>
      <c r="D17" s="55">
        <v>357.17</v>
      </c>
      <c r="E17" s="49"/>
      <c r="F17" s="55">
        <v>357.17</v>
      </c>
      <c r="G17" s="49"/>
      <c r="H17" s="49"/>
      <c r="I17" s="51" t="s">
        <v>656</v>
      </c>
    </row>
    <row r="18" spans="1:9" x14ac:dyDescent="0.25">
      <c r="A18" s="51" t="s">
        <v>657</v>
      </c>
      <c r="B18" s="51" t="s">
        <v>658</v>
      </c>
      <c r="C18" s="53">
        <v>44161</v>
      </c>
      <c r="D18" s="55">
        <v>752.52</v>
      </c>
      <c r="E18" s="49"/>
      <c r="F18" s="55">
        <v>752.52</v>
      </c>
      <c r="G18" s="49"/>
      <c r="H18" s="49"/>
      <c r="I18" s="51" t="s">
        <v>633</v>
      </c>
    </row>
    <row r="19" spans="1:9" x14ac:dyDescent="0.25">
      <c r="A19" s="51" t="s">
        <v>659</v>
      </c>
      <c r="B19" s="51" t="s">
        <v>660</v>
      </c>
      <c r="C19" s="53">
        <v>44168</v>
      </c>
      <c r="D19" s="55">
        <v>1236.44</v>
      </c>
      <c r="E19" s="49"/>
      <c r="F19" s="55">
        <v>1236.44</v>
      </c>
      <c r="G19" s="49"/>
      <c r="H19" s="49"/>
      <c r="I19" s="49"/>
    </row>
    <row r="20" spans="1:9" x14ac:dyDescent="0.25">
      <c r="A20" s="51" t="s">
        <v>661</v>
      </c>
      <c r="B20" s="49"/>
      <c r="C20" s="53">
        <v>44173</v>
      </c>
      <c r="D20" s="55">
        <v>-241.39</v>
      </c>
      <c r="E20" s="55">
        <v>-241.39</v>
      </c>
      <c r="F20" s="49"/>
      <c r="G20" s="49"/>
      <c r="H20" s="49"/>
      <c r="I20" s="49"/>
    </row>
    <row r="21" spans="1:9" x14ac:dyDescent="0.25">
      <c r="A21" s="51" t="s">
        <v>662</v>
      </c>
      <c r="B21" s="51" t="s">
        <v>663</v>
      </c>
      <c r="C21" s="53">
        <v>44195</v>
      </c>
      <c r="D21" s="55">
        <v>492.96</v>
      </c>
      <c r="E21" s="55">
        <v>492.96</v>
      </c>
      <c r="F21" s="49"/>
      <c r="G21" s="49"/>
      <c r="H21" s="49"/>
      <c r="I21" s="49"/>
    </row>
    <row r="22" spans="1:9" x14ac:dyDescent="0.25">
      <c r="A22" s="51" t="s">
        <v>664</v>
      </c>
      <c r="B22" s="49"/>
      <c r="C22" s="53">
        <v>44204</v>
      </c>
      <c r="D22" s="55">
        <v>-500</v>
      </c>
      <c r="E22" s="55">
        <v>-500</v>
      </c>
      <c r="F22" s="49"/>
      <c r="G22" s="49"/>
      <c r="H22" s="49"/>
      <c r="I22" s="49"/>
    </row>
    <row r="23" spans="1:9" x14ac:dyDescent="0.25">
      <c r="A23" s="51" t="s">
        <v>665</v>
      </c>
      <c r="B23" s="49"/>
      <c r="C23" s="53">
        <v>44204</v>
      </c>
      <c r="D23" s="55">
        <v>-149.41</v>
      </c>
      <c r="E23" s="55">
        <v>-149.41</v>
      </c>
      <c r="F23" s="49"/>
      <c r="G23" s="49"/>
      <c r="H23" s="49"/>
      <c r="I23" s="49"/>
    </row>
    <row r="24" spans="1:9" x14ac:dyDescent="0.25">
      <c r="A24" s="51" t="s">
        <v>666</v>
      </c>
      <c r="B24" s="49"/>
      <c r="C24" s="53">
        <v>44207</v>
      </c>
      <c r="D24" s="55">
        <v>-218.8</v>
      </c>
      <c r="E24" s="55">
        <v>-218.8</v>
      </c>
      <c r="F24" s="49"/>
      <c r="G24" s="49"/>
      <c r="H24" s="49"/>
      <c r="I24" s="49"/>
    </row>
    <row r="25" spans="1:9" x14ac:dyDescent="0.25">
      <c r="A25" s="51" t="s">
        <v>667</v>
      </c>
      <c r="B25" s="49"/>
      <c r="C25" s="53">
        <v>44208</v>
      </c>
      <c r="D25" s="55">
        <v>-257.54000000000002</v>
      </c>
      <c r="E25" s="55">
        <v>-257.54000000000002</v>
      </c>
      <c r="F25" s="49"/>
      <c r="G25" s="49"/>
      <c r="H25" s="49"/>
      <c r="I25" s="49"/>
    </row>
    <row r="26" spans="1:9" x14ac:dyDescent="0.25">
      <c r="A26" s="51" t="s">
        <v>668</v>
      </c>
      <c r="B26" s="49"/>
      <c r="C26" s="53">
        <v>44211</v>
      </c>
      <c r="D26" s="55">
        <v>-539.12</v>
      </c>
      <c r="E26" s="55">
        <v>-539.12</v>
      </c>
      <c r="F26" s="49"/>
      <c r="G26" s="49"/>
      <c r="H26" s="49"/>
      <c r="I26" s="49"/>
    </row>
    <row r="27" spans="1:9" x14ac:dyDescent="0.25">
      <c r="A27" s="51" t="s">
        <v>669</v>
      </c>
      <c r="B27" s="51" t="s">
        <v>670</v>
      </c>
      <c r="C27" s="53">
        <v>44211</v>
      </c>
      <c r="D27" s="55">
        <v>509.77</v>
      </c>
      <c r="E27" s="55">
        <v>509.77</v>
      </c>
      <c r="F27" s="49"/>
      <c r="G27" s="49"/>
      <c r="H27" s="49"/>
      <c r="I27" s="49"/>
    </row>
    <row r="28" spans="1:9" x14ac:dyDescent="0.25">
      <c r="H28" s="41">
        <f>SUM(H4:H27)</f>
        <v>4069.5299999999997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8A82E-E97C-496D-A100-15DD26839E23}">
  <dimension ref="A1:H110"/>
  <sheetViews>
    <sheetView topLeftCell="A85" workbookViewId="0">
      <selection activeCell="D6" sqref="D6"/>
    </sheetView>
  </sheetViews>
  <sheetFormatPr baseColWidth="10" defaultRowHeight="15" x14ac:dyDescent="0.25"/>
  <cols>
    <col min="1" max="1" width="22.42578125" bestFit="1" customWidth="1"/>
    <col min="2" max="2" width="28.28515625" bestFit="1" customWidth="1"/>
    <col min="3" max="3" width="22.42578125" bestFit="1" customWidth="1"/>
    <col min="4" max="4" width="5.5703125" bestFit="1" customWidth="1"/>
    <col min="5" max="5" width="9.85546875" bestFit="1" customWidth="1"/>
    <col min="6" max="6" width="24" bestFit="1" customWidth="1"/>
  </cols>
  <sheetData>
    <row r="1" spans="1:8" x14ac:dyDescent="0.25">
      <c r="A1" s="58" t="s">
        <v>170</v>
      </c>
      <c r="B1" s="58" t="s">
        <v>1</v>
      </c>
      <c r="C1" s="58" t="s">
        <v>173</v>
      </c>
      <c r="D1" s="60" t="s">
        <v>172</v>
      </c>
      <c r="E1" s="62" t="s">
        <v>171</v>
      </c>
      <c r="F1" s="58" t="s">
        <v>214</v>
      </c>
      <c r="H1" t="s">
        <v>807</v>
      </c>
    </row>
    <row r="2" spans="1:8" x14ac:dyDescent="0.25">
      <c r="A2" s="59" t="s">
        <v>796</v>
      </c>
      <c r="B2" s="59" t="s">
        <v>696</v>
      </c>
      <c r="C2" s="59" t="s">
        <v>796</v>
      </c>
      <c r="D2" s="61">
        <v>384</v>
      </c>
      <c r="E2" s="63">
        <v>5000</v>
      </c>
      <c r="F2" s="59" t="s">
        <v>808</v>
      </c>
    </row>
    <row r="3" spans="1:8" x14ac:dyDescent="0.25">
      <c r="A3" s="59" t="s">
        <v>794</v>
      </c>
      <c r="B3" s="59" t="s">
        <v>696</v>
      </c>
      <c r="C3" s="59" t="s">
        <v>794</v>
      </c>
      <c r="D3" s="61">
        <v>315</v>
      </c>
      <c r="E3" s="63">
        <v>5000</v>
      </c>
      <c r="F3" s="59" t="s">
        <v>808</v>
      </c>
    </row>
    <row r="4" spans="1:8" x14ac:dyDescent="0.25">
      <c r="A4" s="59" t="s">
        <v>693</v>
      </c>
      <c r="B4" s="59" t="s">
        <v>694</v>
      </c>
      <c r="C4" s="59" t="s">
        <v>693</v>
      </c>
      <c r="D4" s="61">
        <v>266</v>
      </c>
      <c r="E4" s="63">
        <v>-500</v>
      </c>
      <c r="F4" s="57"/>
    </row>
    <row r="5" spans="1:8" x14ac:dyDescent="0.25">
      <c r="A5" s="59" t="s">
        <v>690</v>
      </c>
      <c r="B5" s="59" t="s">
        <v>681</v>
      </c>
      <c r="C5" s="59" t="s">
        <v>690</v>
      </c>
      <c r="D5" s="61">
        <v>174</v>
      </c>
      <c r="E5" s="63">
        <v>-500</v>
      </c>
      <c r="F5" s="57"/>
    </row>
    <row r="6" spans="1:8" x14ac:dyDescent="0.25">
      <c r="A6" s="59" t="s">
        <v>790</v>
      </c>
      <c r="B6" s="59" t="s">
        <v>696</v>
      </c>
      <c r="C6" s="59" t="s">
        <v>790</v>
      </c>
      <c r="D6" s="61">
        <v>111</v>
      </c>
      <c r="E6" s="63">
        <v>4400</v>
      </c>
      <c r="F6" s="57"/>
    </row>
    <row r="7" spans="1:8" x14ac:dyDescent="0.25">
      <c r="A7" s="59" t="s">
        <v>792</v>
      </c>
      <c r="B7" s="59" t="s">
        <v>696</v>
      </c>
      <c r="C7" s="59" t="s">
        <v>792</v>
      </c>
      <c r="D7" s="61">
        <v>69</v>
      </c>
      <c r="E7" s="63">
        <v>5000</v>
      </c>
      <c r="F7" s="59" t="s">
        <v>808</v>
      </c>
    </row>
    <row r="8" spans="1:8" x14ac:dyDescent="0.25">
      <c r="A8" s="59" t="s">
        <v>795</v>
      </c>
      <c r="B8" s="59" t="s">
        <v>696</v>
      </c>
      <c r="C8" s="59" t="s">
        <v>795</v>
      </c>
      <c r="D8" s="61">
        <v>69</v>
      </c>
      <c r="E8" s="63">
        <v>5000</v>
      </c>
      <c r="F8" s="59" t="s">
        <v>808</v>
      </c>
    </row>
    <row r="9" spans="1:8" x14ac:dyDescent="0.25">
      <c r="A9" s="59" t="s">
        <v>784</v>
      </c>
      <c r="B9" s="59" t="s">
        <v>684</v>
      </c>
      <c r="C9" s="59" t="s">
        <v>784</v>
      </c>
      <c r="D9" s="61">
        <v>63</v>
      </c>
      <c r="E9" s="63">
        <v>2500</v>
      </c>
      <c r="F9" s="57"/>
    </row>
    <row r="10" spans="1:8" x14ac:dyDescent="0.25">
      <c r="A10" s="59" t="s">
        <v>682</v>
      </c>
      <c r="B10" s="59" t="s">
        <v>681</v>
      </c>
      <c r="C10" s="59" t="s">
        <v>682</v>
      </c>
      <c r="D10" s="61">
        <v>62</v>
      </c>
      <c r="E10" s="63">
        <v>-2000</v>
      </c>
      <c r="F10" s="57"/>
    </row>
    <row r="11" spans="1:8" x14ac:dyDescent="0.25">
      <c r="A11" s="59" t="s">
        <v>780</v>
      </c>
      <c r="B11" s="59" t="s">
        <v>781</v>
      </c>
      <c r="C11" s="59" t="s">
        <v>780</v>
      </c>
      <c r="D11" s="61">
        <v>62</v>
      </c>
      <c r="E11" s="63">
        <v>1500</v>
      </c>
      <c r="F11" s="57"/>
    </row>
    <row r="12" spans="1:8" x14ac:dyDescent="0.25">
      <c r="A12" s="59" t="s">
        <v>683</v>
      </c>
      <c r="B12" s="59" t="s">
        <v>684</v>
      </c>
      <c r="C12" s="59" t="s">
        <v>683</v>
      </c>
      <c r="D12" s="61">
        <v>55</v>
      </c>
      <c r="E12" s="63">
        <v>-1000</v>
      </c>
      <c r="F12" s="57"/>
    </row>
    <row r="13" spans="1:8" x14ac:dyDescent="0.25">
      <c r="A13" s="59" t="s">
        <v>769</v>
      </c>
      <c r="B13" s="59" t="s">
        <v>681</v>
      </c>
      <c r="C13" s="59" t="s">
        <v>769</v>
      </c>
      <c r="D13" s="61">
        <v>37</v>
      </c>
      <c r="E13" s="63">
        <v>700</v>
      </c>
      <c r="F13" s="57"/>
    </row>
    <row r="14" spans="1:8" x14ac:dyDescent="0.25">
      <c r="A14" s="59" t="s">
        <v>793</v>
      </c>
      <c r="B14" s="59" t="s">
        <v>696</v>
      </c>
      <c r="C14" s="59" t="s">
        <v>793</v>
      </c>
      <c r="D14" s="61">
        <v>36</v>
      </c>
      <c r="E14" s="63">
        <v>5000</v>
      </c>
      <c r="F14" s="59" t="s">
        <v>808</v>
      </c>
    </row>
    <row r="15" spans="1:8" x14ac:dyDescent="0.25">
      <c r="A15" s="59" t="s">
        <v>680</v>
      </c>
      <c r="B15" s="59" t="s">
        <v>681</v>
      </c>
      <c r="C15" s="59" t="s">
        <v>680</v>
      </c>
      <c r="D15" s="61">
        <v>35</v>
      </c>
      <c r="E15" s="63">
        <v>-2000</v>
      </c>
      <c r="F15" s="57"/>
    </row>
    <row r="16" spans="1:8" x14ac:dyDescent="0.25">
      <c r="A16" s="59" t="s">
        <v>799</v>
      </c>
      <c r="B16" s="59" t="s">
        <v>696</v>
      </c>
      <c r="C16" s="59" t="s">
        <v>799</v>
      </c>
      <c r="D16" s="61">
        <v>35</v>
      </c>
      <c r="E16" s="63">
        <v>5496.59</v>
      </c>
      <c r="F16" s="57"/>
    </row>
    <row r="17" spans="1:5" x14ac:dyDescent="0.25">
      <c r="A17" s="59" t="s">
        <v>688</v>
      </c>
      <c r="B17" s="59" t="s">
        <v>681</v>
      </c>
      <c r="C17" s="59" t="s">
        <v>688</v>
      </c>
      <c r="D17" s="61">
        <v>34</v>
      </c>
      <c r="E17" s="63">
        <v>-700</v>
      </c>
    </row>
    <row r="18" spans="1:5" x14ac:dyDescent="0.25">
      <c r="A18" s="59" t="s">
        <v>764</v>
      </c>
      <c r="B18" s="59" t="s">
        <v>250</v>
      </c>
      <c r="C18" s="59" t="s">
        <v>764</v>
      </c>
      <c r="D18" s="61">
        <v>31</v>
      </c>
      <c r="E18" s="63">
        <v>700</v>
      </c>
    </row>
    <row r="19" spans="1:5" x14ac:dyDescent="0.25">
      <c r="A19" s="59" t="s">
        <v>765</v>
      </c>
      <c r="B19" s="59" t="s">
        <v>681</v>
      </c>
      <c r="C19" s="59" t="s">
        <v>765</v>
      </c>
      <c r="D19" s="61">
        <v>31</v>
      </c>
      <c r="E19" s="63">
        <v>700</v>
      </c>
    </row>
    <row r="20" spans="1:5" x14ac:dyDescent="0.25">
      <c r="A20" s="59" t="s">
        <v>766</v>
      </c>
      <c r="B20" s="59" t="s">
        <v>681</v>
      </c>
      <c r="C20" s="59" t="s">
        <v>766</v>
      </c>
      <c r="D20" s="61">
        <v>31</v>
      </c>
      <c r="E20" s="63">
        <v>700</v>
      </c>
    </row>
    <row r="21" spans="1:5" x14ac:dyDescent="0.25">
      <c r="A21" s="59" t="s">
        <v>767</v>
      </c>
      <c r="B21" s="59" t="s">
        <v>681</v>
      </c>
      <c r="C21" s="59" t="s">
        <v>767</v>
      </c>
      <c r="D21" s="61">
        <v>31</v>
      </c>
      <c r="E21" s="63">
        <v>700</v>
      </c>
    </row>
    <row r="22" spans="1:5" x14ac:dyDescent="0.25">
      <c r="A22" s="59" t="s">
        <v>768</v>
      </c>
      <c r="B22" s="59" t="s">
        <v>681</v>
      </c>
      <c r="C22" s="59" t="s">
        <v>768</v>
      </c>
      <c r="D22" s="61">
        <v>31</v>
      </c>
      <c r="E22" s="63">
        <v>700</v>
      </c>
    </row>
    <row r="23" spans="1:5" x14ac:dyDescent="0.25">
      <c r="A23" s="59" t="s">
        <v>687</v>
      </c>
      <c r="B23" s="59" t="s">
        <v>261</v>
      </c>
      <c r="C23" s="59" t="s">
        <v>687</v>
      </c>
      <c r="D23" s="61">
        <v>27</v>
      </c>
      <c r="E23" s="63">
        <v>-900</v>
      </c>
    </row>
    <row r="24" spans="1:5" x14ac:dyDescent="0.25">
      <c r="A24" s="59" t="s">
        <v>704</v>
      </c>
      <c r="B24" s="59" t="s">
        <v>261</v>
      </c>
      <c r="C24" s="59" t="s">
        <v>704</v>
      </c>
      <c r="D24" s="61">
        <v>27</v>
      </c>
      <c r="E24" s="63">
        <v>-275</v>
      </c>
    </row>
    <row r="25" spans="1:5" x14ac:dyDescent="0.25">
      <c r="A25" s="59" t="s">
        <v>705</v>
      </c>
      <c r="B25" s="59" t="s">
        <v>261</v>
      </c>
      <c r="C25" s="59" t="s">
        <v>705</v>
      </c>
      <c r="D25" s="61">
        <v>27</v>
      </c>
      <c r="E25" s="63">
        <v>-275</v>
      </c>
    </row>
    <row r="26" spans="1:5" x14ac:dyDescent="0.25">
      <c r="A26" s="59" t="s">
        <v>755</v>
      </c>
      <c r="B26" s="59" t="s">
        <v>681</v>
      </c>
      <c r="C26" s="59" t="s">
        <v>755</v>
      </c>
      <c r="D26" s="61">
        <v>27</v>
      </c>
      <c r="E26" s="63">
        <v>250</v>
      </c>
    </row>
    <row r="27" spans="1:5" x14ac:dyDescent="0.25">
      <c r="A27" s="59" t="s">
        <v>703</v>
      </c>
      <c r="B27" s="59" t="s">
        <v>261</v>
      </c>
      <c r="C27" s="59" t="s">
        <v>703</v>
      </c>
      <c r="D27" s="61">
        <v>27</v>
      </c>
      <c r="E27" s="63">
        <v>-315</v>
      </c>
    </row>
    <row r="28" spans="1:5" x14ac:dyDescent="0.25">
      <c r="A28" s="59" t="s">
        <v>706</v>
      </c>
      <c r="B28" s="59" t="s">
        <v>261</v>
      </c>
      <c r="C28" s="59" t="s">
        <v>706</v>
      </c>
      <c r="D28" s="61">
        <v>27</v>
      </c>
      <c r="E28" s="63">
        <v>-275</v>
      </c>
    </row>
    <row r="29" spans="1:5" x14ac:dyDescent="0.25">
      <c r="A29" s="59" t="s">
        <v>750</v>
      </c>
      <c r="B29" s="59" t="s">
        <v>699</v>
      </c>
      <c r="C29" s="59" t="s">
        <v>750</v>
      </c>
      <c r="D29" s="61">
        <v>27</v>
      </c>
      <c r="E29" s="63">
        <v>150</v>
      </c>
    </row>
    <row r="30" spans="1:5" x14ac:dyDescent="0.25">
      <c r="A30" s="59" t="s">
        <v>558</v>
      </c>
      <c r="B30" s="59" t="s">
        <v>699</v>
      </c>
      <c r="C30" s="59" t="s">
        <v>558</v>
      </c>
      <c r="D30" s="61">
        <v>27</v>
      </c>
      <c r="E30" s="63">
        <v>-320</v>
      </c>
    </row>
    <row r="31" spans="1:5" x14ac:dyDescent="0.25">
      <c r="A31" s="59" t="s">
        <v>701</v>
      </c>
      <c r="B31" s="59" t="s">
        <v>699</v>
      </c>
      <c r="C31" s="59" t="s">
        <v>701</v>
      </c>
      <c r="D31" s="61">
        <v>27</v>
      </c>
      <c r="E31" s="63">
        <v>-320</v>
      </c>
    </row>
    <row r="32" spans="1:5" x14ac:dyDescent="0.25">
      <c r="A32" s="59" t="s">
        <v>702</v>
      </c>
      <c r="B32" s="59" t="s">
        <v>699</v>
      </c>
      <c r="C32" s="59" t="s">
        <v>702</v>
      </c>
      <c r="D32" s="61">
        <v>27</v>
      </c>
      <c r="E32" s="63">
        <v>-320</v>
      </c>
    </row>
    <row r="33" spans="1:5" x14ac:dyDescent="0.25">
      <c r="A33" s="59" t="s">
        <v>698</v>
      </c>
      <c r="B33" s="59" t="s">
        <v>699</v>
      </c>
      <c r="C33" s="59" t="s">
        <v>698</v>
      </c>
      <c r="D33" s="61">
        <v>27</v>
      </c>
      <c r="E33" s="63">
        <v>-330</v>
      </c>
    </row>
    <row r="34" spans="1:5" x14ac:dyDescent="0.25">
      <c r="A34" s="59" t="s">
        <v>700</v>
      </c>
      <c r="B34" s="59" t="s">
        <v>699</v>
      </c>
      <c r="C34" s="59" t="s">
        <v>700</v>
      </c>
      <c r="D34" s="61">
        <v>27</v>
      </c>
      <c r="E34" s="63">
        <v>-330</v>
      </c>
    </row>
    <row r="35" spans="1:5" x14ac:dyDescent="0.25">
      <c r="A35" s="59" t="s">
        <v>697</v>
      </c>
      <c r="B35" s="59" t="s">
        <v>272</v>
      </c>
      <c r="C35" s="59" t="s">
        <v>697</v>
      </c>
      <c r="D35" s="61">
        <v>27</v>
      </c>
      <c r="E35" s="63">
        <v>-340</v>
      </c>
    </row>
    <row r="36" spans="1:5" x14ac:dyDescent="0.25">
      <c r="A36" s="59" t="s">
        <v>707</v>
      </c>
      <c r="B36" s="59" t="s">
        <v>241</v>
      </c>
      <c r="C36" s="59" t="s">
        <v>707</v>
      </c>
      <c r="D36" s="61">
        <v>27</v>
      </c>
      <c r="E36" s="63">
        <v>-260</v>
      </c>
    </row>
    <row r="37" spans="1:5" x14ac:dyDescent="0.25">
      <c r="A37" s="59" t="s">
        <v>708</v>
      </c>
      <c r="B37" s="59" t="s">
        <v>241</v>
      </c>
      <c r="C37" s="59" t="s">
        <v>708</v>
      </c>
      <c r="D37" s="61">
        <v>27</v>
      </c>
      <c r="E37" s="63">
        <v>-260</v>
      </c>
    </row>
    <row r="38" spans="1:5" x14ac:dyDescent="0.25">
      <c r="A38" s="59" t="s">
        <v>709</v>
      </c>
      <c r="B38" s="59" t="s">
        <v>241</v>
      </c>
      <c r="C38" s="59" t="s">
        <v>709</v>
      </c>
      <c r="D38" s="61">
        <v>27</v>
      </c>
      <c r="E38" s="63">
        <v>-260</v>
      </c>
    </row>
    <row r="39" spans="1:5" x14ac:dyDescent="0.25">
      <c r="A39" s="59" t="s">
        <v>710</v>
      </c>
      <c r="B39" s="59" t="s">
        <v>241</v>
      </c>
      <c r="C39" s="59" t="s">
        <v>710</v>
      </c>
      <c r="D39" s="61">
        <v>27</v>
      </c>
      <c r="E39" s="63">
        <v>-260</v>
      </c>
    </row>
    <row r="40" spans="1:5" x14ac:dyDescent="0.25">
      <c r="A40" s="59" t="s">
        <v>711</v>
      </c>
      <c r="B40" s="59" t="s">
        <v>241</v>
      </c>
      <c r="C40" s="59" t="s">
        <v>711</v>
      </c>
      <c r="D40" s="61">
        <v>27</v>
      </c>
      <c r="E40" s="63">
        <v>-260</v>
      </c>
    </row>
    <row r="41" spans="1:5" x14ac:dyDescent="0.25">
      <c r="A41" s="59" t="s">
        <v>712</v>
      </c>
      <c r="B41" s="59" t="s">
        <v>241</v>
      </c>
      <c r="C41" s="59" t="s">
        <v>712</v>
      </c>
      <c r="D41" s="61">
        <v>27</v>
      </c>
      <c r="E41" s="63">
        <v>-260</v>
      </c>
    </row>
    <row r="42" spans="1:5" x14ac:dyDescent="0.25">
      <c r="A42" s="59" t="s">
        <v>731</v>
      </c>
      <c r="B42" s="59" t="s">
        <v>241</v>
      </c>
      <c r="C42" s="59" t="s">
        <v>731</v>
      </c>
      <c r="D42" s="61">
        <v>27</v>
      </c>
      <c r="E42" s="63">
        <v>-30</v>
      </c>
    </row>
    <row r="43" spans="1:5" x14ac:dyDescent="0.25">
      <c r="A43" s="59" t="s">
        <v>732</v>
      </c>
      <c r="B43" s="59" t="s">
        <v>241</v>
      </c>
      <c r="C43" s="59" t="s">
        <v>732</v>
      </c>
      <c r="D43" s="61">
        <v>27</v>
      </c>
      <c r="E43" s="63">
        <v>-30</v>
      </c>
    </row>
    <row r="44" spans="1:5" x14ac:dyDescent="0.25">
      <c r="A44" s="59" t="s">
        <v>713</v>
      </c>
      <c r="B44" s="59" t="s">
        <v>241</v>
      </c>
      <c r="C44" s="59" t="s">
        <v>713</v>
      </c>
      <c r="D44" s="61">
        <v>27</v>
      </c>
      <c r="E44" s="63">
        <v>-260</v>
      </c>
    </row>
    <row r="45" spans="1:5" x14ac:dyDescent="0.25">
      <c r="A45" s="59" t="s">
        <v>714</v>
      </c>
      <c r="B45" s="59" t="s">
        <v>241</v>
      </c>
      <c r="C45" s="59" t="s">
        <v>714</v>
      </c>
      <c r="D45" s="61">
        <v>27</v>
      </c>
      <c r="E45" s="63">
        <v>-260</v>
      </c>
    </row>
    <row r="46" spans="1:5" x14ac:dyDescent="0.25">
      <c r="A46" s="59" t="s">
        <v>715</v>
      </c>
      <c r="B46" s="59" t="s">
        <v>241</v>
      </c>
      <c r="C46" s="59" t="s">
        <v>715</v>
      </c>
      <c r="D46" s="61">
        <v>27</v>
      </c>
      <c r="E46" s="63">
        <v>-260</v>
      </c>
    </row>
    <row r="47" spans="1:5" x14ac:dyDescent="0.25">
      <c r="A47" s="59" t="s">
        <v>716</v>
      </c>
      <c r="B47" s="59" t="s">
        <v>241</v>
      </c>
      <c r="C47" s="59" t="s">
        <v>716</v>
      </c>
      <c r="D47" s="61">
        <v>27</v>
      </c>
      <c r="E47" s="63">
        <v>-260</v>
      </c>
    </row>
    <row r="48" spans="1:5" x14ac:dyDescent="0.25">
      <c r="A48" s="59" t="s">
        <v>717</v>
      </c>
      <c r="B48" s="59" t="s">
        <v>241</v>
      </c>
      <c r="C48" s="59" t="s">
        <v>717</v>
      </c>
      <c r="D48" s="61">
        <v>27</v>
      </c>
      <c r="E48" s="63">
        <v>-260</v>
      </c>
    </row>
    <row r="49" spans="1:5" x14ac:dyDescent="0.25">
      <c r="A49" s="59" t="s">
        <v>733</v>
      </c>
      <c r="B49" s="59" t="s">
        <v>241</v>
      </c>
      <c r="C49" s="59" t="s">
        <v>733</v>
      </c>
      <c r="D49" s="61">
        <v>27</v>
      </c>
      <c r="E49" s="63">
        <v>-30</v>
      </c>
    </row>
    <row r="50" spans="1:5" x14ac:dyDescent="0.25">
      <c r="A50" s="59" t="s">
        <v>734</v>
      </c>
      <c r="B50" s="59" t="s">
        <v>241</v>
      </c>
      <c r="C50" s="59" t="s">
        <v>734</v>
      </c>
      <c r="D50" s="61">
        <v>27</v>
      </c>
      <c r="E50" s="63">
        <v>-30</v>
      </c>
    </row>
    <row r="51" spans="1:5" x14ac:dyDescent="0.25">
      <c r="A51" s="59" t="s">
        <v>735</v>
      </c>
      <c r="B51" s="59" t="s">
        <v>241</v>
      </c>
      <c r="C51" s="59" t="s">
        <v>735</v>
      </c>
      <c r="D51" s="61">
        <v>27</v>
      </c>
      <c r="E51" s="63">
        <v>-30</v>
      </c>
    </row>
    <row r="52" spans="1:5" x14ac:dyDescent="0.25">
      <c r="A52" s="59" t="s">
        <v>718</v>
      </c>
      <c r="B52" s="59" t="s">
        <v>241</v>
      </c>
      <c r="C52" s="59" t="s">
        <v>718</v>
      </c>
      <c r="D52" s="61">
        <v>27</v>
      </c>
      <c r="E52" s="63">
        <v>-260</v>
      </c>
    </row>
    <row r="53" spans="1:5" x14ac:dyDescent="0.25">
      <c r="A53" s="59" t="s">
        <v>736</v>
      </c>
      <c r="B53" s="59" t="s">
        <v>241</v>
      </c>
      <c r="C53" s="59" t="s">
        <v>736</v>
      </c>
      <c r="D53" s="61">
        <v>27</v>
      </c>
      <c r="E53" s="63">
        <v>-30</v>
      </c>
    </row>
    <row r="54" spans="1:5" x14ac:dyDescent="0.25">
      <c r="A54" s="59" t="s">
        <v>737</v>
      </c>
      <c r="B54" s="59" t="s">
        <v>241</v>
      </c>
      <c r="C54" s="59" t="s">
        <v>737</v>
      </c>
      <c r="D54" s="61">
        <v>27</v>
      </c>
      <c r="E54" s="63">
        <v>-30</v>
      </c>
    </row>
    <row r="55" spans="1:5" x14ac:dyDescent="0.25">
      <c r="A55" s="59" t="s">
        <v>719</v>
      </c>
      <c r="B55" s="59" t="s">
        <v>241</v>
      </c>
      <c r="C55" s="59" t="s">
        <v>719</v>
      </c>
      <c r="D55" s="61">
        <v>27</v>
      </c>
      <c r="E55" s="63">
        <v>-260</v>
      </c>
    </row>
    <row r="56" spans="1:5" x14ac:dyDescent="0.25">
      <c r="A56" s="59" t="s">
        <v>242</v>
      </c>
      <c r="B56" s="59" t="s">
        <v>241</v>
      </c>
      <c r="C56" s="59" t="s">
        <v>242</v>
      </c>
      <c r="D56" s="61">
        <v>27</v>
      </c>
      <c r="E56" s="63">
        <v>-30</v>
      </c>
    </row>
    <row r="57" spans="1:5" x14ac:dyDescent="0.25">
      <c r="A57" s="59" t="s">
        <v>738</v>
      </c>
      <c r="B57" s="59" t="s">
        <v>241</v>
      </c>
      <c r="C57" s="59" t="s">
        <v>738</v>
      </c>
      <c r="D57" s="61">
        <v>27</v>
      </c>
      <c r="E57" s="63">
        <v>-30</v>
      </c>
    </row>
    <row r="58" spans="1:5" x14ac:dyDescent="0.25">
      <c r="A58" s="59" t="s">
        <v>739</v>
      </c>
      <c r="B58" s="59" t="s">
        <v>241</v>
      </c>
      <c r="C58" s="59" t="s">
        <v>739</v>
      </c>
      <c r="D58" s="61">
        <v>27</v>
      </c>
      <c r="E58" s="63">
        <v>-30</v>
      </c>
    </row>
    <row r="59" spans="1:5" x14ac:dyDescent="0.25">
      <c r="A59" s="59" t="s">
        <v>740</v>
      </c>
      <c r="B59" s="59" t="s">
        <v>241</v>
      </c>
      <c r="C59" s="59" t="s">
        <v>740</v>
      </c>
      <c r="D59" s="61">
        <v>27</v>
      </c>
      <c r="E59" s="63">
        <v>-30</v>
      </c>
    </row>
    <row r="60" spans="1:5" x14ac:dyDescent="0.25">
      <c r="A60" s="59" t="s">
        <v>741</v>
      </c>
      <c r="B60" s="59" t="s">
        <v>241</v>
      </c>
      <c r="C60" s="59" t="s">
        <v>741</v>
      </c>
      <c r="D60" s="61">
        <v>27</v>
      </c>
      <c r="E60" s="63">
        <v>-30</v>
      </c>
    </row>
    <row r="61" spans="1:5" x14ac:dyDescent="0.25">
      <c r="A61" s="59" t="s">
        <v>724</v>
      </c>
      <c r="B61" s="59" t="s">
        <v>241</v>
      </c>
      <c r="C61" s="59" t="s">
        <v>724</v>
      </c>
      <c r="D61" s="61">
        <v>27</v>
      </c>
      <c r="E61" s="63">
        <v>-240</v>
      </c>
    </row>
    <row r="62" spans="1:5" x14ac:dyDescent="0.25">
      <c r="A62" s="59" t="s">
        <v>725</v>
      </c>
      <c r="B62" s="59" t="s">
        <v>241</v>
      </c>
      <c r="C62" s="59" t="s">
        <v>725</v>
      </c>
      <c r="D62" s="61">
        <v>27</v>
      </c>
      <c r="E62" s="63">
        <v>-240</v>
      </c>
    </row>
    <row r="63" spans="1:5" x14ac:dyDescent="0.25">
      <c r="A63" s="59" t="s">
        <v>726</v>
      </c>
      <c r="B63" s="59" t="s">
        <v>241</v>
      </c>
      <c r="C63" s="59" t="s">
        <v>726</v>
      </c>
      <c r="D63" s="61">
        <v>27</v>
      </c>
      <c r="E63" s="63">
        <v>-240</v>
      </c>
    </row>
    <row r="64" spans="1:5" x14ac:dyDescent="0.25">
      <c r="A64" s="59" t="s">
        <v>742</v>
      </c>
      <c r="B64" s="59" t="s">
        <v>241</v>
      </c>
      <c r="C64" s="59" t="s">
        <v>742</v>
      </c>
      <c r="D64" s="61">
        <v>27</v>
      </c>
      <c r="E64" s="63">
        <v>-30</v>
      </c>
    </row>
    <row r="65" spans="1:5" x14ac:dyDescent="0.25">
      <c r="A65" s="59" t="s">
        <v>743</v>
      </c>
      <c r="B65" s="59" t="s">
        <v>241</v>
      </c>
      <c r="C65" s="59" t="s">
        <v>743</v>
      </c>
      <c r="D65" s="61">
        <v>27</v>
      </c>
      <c r="E65" s="63">
        <v>-30</v>
      </c>
    </row>
    <row r="66" spans="1:5" x14ac:dyDescent="0.25">
      <c r="A66" s="59" t="s">
        <v>744</v>
      </c>
      <c r="B66" s="59" t="s">
        <v>241</v>
      </c>
      <c r="C66" s="59" t="s">
        <v>744</v>
      </c>
      <c r="D66" s="61">
        <v>27</v>
      </c>
      <c r="E66" s="63">
        <v>-30</v>
      </c>
    </row>
    <row r="67" spans="1:5" x14ac:dyDescent="0.25">
      <c r="A67" s="59" t="s">
        <v>745</v>
      </c>
      <c r="B67" s="59" t="s">
        <v>241</v>
      </c>
      <c r="C67" s="59" t="s">
        <v>745</v>
      </c>
      <c r="D67" s="61">
        <v>27</v>
      </c>
      <c r="E67" s="63">
        <v>-30</v>
      </c>
    </row>
    <row r="68" spans="1:5" x14ac:dyDescent="0.25">
      <c r="A68" s="59" t="s">
        <v>727</v>
      </c>
      <c r="B68" s="59" t="s">
        <v>241</v>
      </c>
      <c r="C68" s="59" t="s">
        <v>727</v>
      </c>
      <c r="D68" s="61">
        <v>27</v>
      </c>
      <c r="E68" s="63">
        <v>-240</v>
      </c>
    </row>
    <row r="69" spans="1:5" x14ac:dyDescent="0.25">
      <c r="A69" s="59" t="s">
        <v>728</v>
      </c>
      <c r="B69" s="59" t="s">
        <v>241</v>
      </c>
      <c r="C69" s="59" t="s">
        <v>728</v>
      </c>
      <c r="D69" s="61">
        <v>27</v>
      </c>
      <c r="E69" s="63">
        <v>-240</v>
      </c>
    </row>
    <row r="70" spans="1:5" x14ac:dyDescent="0.25">
      <c r="A70" s="59" t="s">
        <v>600</v>
      </c>
      <c r="B70" s="59" t="s">
        <v>241</v>
      </c>
      <c r="C70" s="59" t="s">
        <v>600</v>
      </c>
      <c r="D70" s="61">
        <v>27</v>
      </c>
      <c r="E70" s="63">
        <v>-240</v>
      </c>
    </row>
    <row r="71" spans="1:5" x14ac:dyDescent="0.25">
      <c r="A71" s="59" t="s">
        <v>785</v>
      </c>
      <c r="B71" s="59" t="s">
        <v>681</v>
      </c>
      <c r="C71" s="59" t="s">
        <v>785</v>
      </c>
      <c r="D71" s="61">
        <v>22</v>
      </c>
      <c r="E71" s="63">
        <v>3250</v>
      </c>
    </row>
    <row r="72" spans="1:5" x14ac:dyDescent="0.25">
      <c r="A72" s="59" t="s">
        <v>782</v>
      </c>
      <c r="B72" s="59" t="s">
        <v>681</v>
      </c>
      <c r="C72" s="59" t="s">
        <v>782</v>
      </c>
      <c r="D72" s="61">
        <v>21</v>
      </c>
      <c r="E72" s="63">
        <v>2000</v>
      </c>
    </row>
    <row r="73" spans="1:5" x14ac:dyDescent="0.25">
      <c r="A73" s="59" t="s">
        <v>763</v>
      </c>
      <c r="B73" s="59" t="s">
        <v>250</v>
      </c>
      <c r="C73" s="59" t="s">
        <v>763</v>
      </c>
      <c r="D73" s="61">
        <v>20</v>
      </c>
      <c r="E73" s="63">
        <v>700</v>
      </c>
    </row>
    <row r="74" spans="1:5" x14ac:dyDescent="0.25">
      <c r="A74" s="59" t="s">
        <v>749</v>
      </c>
      <c r="B74" s="59" t="s">
        <v>250</v>
      </c>
      <c r="C74" s="59" t="s">
        <v>749</v>
      </c>
      <c r="D74" s="61">
        <v>20</v>
      </c>
      <c r="E74" s="63">
        <v>150</v>
      </c>
    </row>
    <row r="75" spans="1:5" x14ac:dyDescent="0.25">
      <c r="A75" s="59" t="s">
        <v>775</v>
      </c>
      <c r="B75" s="59" t="s">
        <v>681</v>
      </c>
      <c r="C75" s="59" t="s">
        <v>775</v>
      </c>
      <c r="D75" s="61">
        <v>20</v>
      </c>
      <c r="E75" s="63">
        <v>1000</v>
      </c>
    </row>
    <row r="76" spans="1:5" x14ac:dyDescent="0.25">
      <c r="A76" s="59" t="s">
        <v>770</v>
      </c>
      <c r="B76" s="59" t="s">
        <v>694</v>
      </c>
      <c r="C76" s="59" t="s">
        <v>770</v>
      </c>
      <c r="D76" s="61">
        <v>17</v>
      </c>
      <c r="E76" s="63">
        <v>700</v>
      </c>
    </row>
    <row r="77" spans="1:5" x14ac:dyDescent="0.25">
      <c r="A77" s="59" t="s">
        <v>797</v>
      </c>
      <c r="B77" s="59" t="s">
        <v>694</v>
      </c>
      <c r="C77" s="59" t="s">
        <v>797</v>
      </c>
      <c r="D77" s="61">
        <v>16</v>
      </c>
      <c r="E77" s="63">
        <v>5050</v>
      </c>
    </row>
    <row r="78" spans="1:5" x14ac:dyDescent="0.25">
      <c r="A78" s="59" t="s">
        <v>791</v>
      </c>
      <c r="B78" s="59" t="s">
        <v>694</v>
      </c>
      <c r="C78" s="59" t="s">
        <v>791</v>
      </c>
      <c r="D78" s="61">
        <v>16</v>
      </c>
      <c r="E78" s="63">
        <v>4700</v>
      </c>
    </row>
    <row r="79" spans="1:5" x14ac:dyDescent="0.25">
      <c r="A79" s="59" t="s">
        <v>779</v>
      </c>
      <c r="B79" s="59" t="s">
        <v>250</v>
      </c>
      <c r="C79" s="59" t="s">
        <v>779</v>
      </c>
      <c r="D79" s="61">
        <v>15</v>
      </c>
      <c r="E79" s="63">
        <v>1500</v>
      </c>
    </row>
    <row r="80" spans="1:5" x14ac:dyDescent="0.25">
      <c r="A80" s="59" t="s">
        <v>227</v>
      </c>
      <c r="B80" s="59" t="s">
        <v>226</v>
      </c>
      <c r="C80" s="59" t="s">
        <v>227</v>
      </c>
      <c r="D80" s="61">
        <v>15</v>
      </c>
      <c r="E80" s="63">
        <v>2750</v>
      </c>
    </row>
    <row r="81" spans="1:5" x14ac:dyDescent="0.25">
      <c r="A81" s="59" t="s">
        <v>772</v>
      </c>
      <c r="B81" s="59" t="s">
        <v>681</v>
      </c>
      <c r="C81" s="59" t="s">
        <v>772</v>
      </c>
      <c r="D81" s="61">
        <v>15</v>
      </c>
      <c r="E81" s="63">
        <v>750</v>
      </c>
    </row>
    <row r="82" spans="1:5" x14ac:dyDescent="0.25">
      <c r="A82" s="59" t="s">
        <v>774</v>
      </c>
      <c r="B82" s="59" t="s">
        <v>681</v>
      </c>
      <c r="C82" s="59" t="s">
        <v>774</v>
      </c>
      <c r="D82" s="61">
        <v>15</v>
      </c>
      <c r="E82" s="63">
        <v>950</v>
      </c>
    </row>
    <row r="83" spans="1:5" x14ac:dyDescent="0.25">
      <c r="A83" s="59" t="s">
        <v>748</v>
      </c>
      <c r="B83" s="59" t="s">
        <v>250</v>
      </c>
      <c r="C83" s="59" t="s">
        <v>748</v>
      </c>
      <c r="D83" s="61">
        <v>14</v>
      </c>
      <c r="E83" s="63">
        <v>150</v>
      </c>
    </row>
    <row r="84" spans="1:5" x14ac:dyDescent="0.25">
      <c r="A84" s="59" t="s">
        <v>760</v>
      </c>
      <c r="B84" s="59" t="s">
        <v>692</v>
      </c>
      <c r="C84" s="59" t="s">
        <v>760</v>
      </c>
      <c r="D84" s="61">
        <v>14</v>
      </c>
      <c r="E84" s="63">
        <v>250</v>
      </c>
    </row>
    <row r="85" spans="1:5" x14ac:dyDescent="0.25">
      <c r="A85" s="59" t="s">
        <v>747</v>
      </c>
      <c r="B85" s="59" t="s">
        <v>250</v>
      </c>
      <c r="C85" s="59" t="s">
        <v>747</v>
      </c>
      <c r="D85" s="61">
        <v>13</v>
      </c>
      <c r="E85" s="63">
        <v>150</v>
      </c>
    </row>
    <row r="86" spans="1:5" x14ac:dyDescent="0.25">
      <c r="A86" s="59" t="s">
        <v>751</v>
      </c>
      <c r="B86" s="59" t="s">
        <v>226</v>
      </c>
      <c r="C86" s="59" t="s">
        <v>751</v>
      </c>
      <c r="D86" s="61">
        <v>13</v>
      </c>
      <c r="E86" s="63">
        <v>250</v>
      </c>
    </row>
    <row r="87" spans="1:5" x14ac:dyDescent="0.25">
      <c r="A87" s="59" t="s">
        <v>689</v>
      </c>
      <c r="B87" s="59" t="s">
        <v>684</v>
      </c>
      <c r="C87" s="59" t="s">
        <v>689</v>
      </c>
      <c r="D87" s="61">
        <v>13</v>
      </c>
      <c r="E87" s="63">
        <v>-500</v>
      </c>
    </row>
    <row r="88" spans="1:5" x14ac:dyDescent="0.25">
      <c r="A88" s="59" t="s">
        <v>771</v>
      </c>
      <c r="B88" s="59" t="s">
        <v>681</v>
      </c>
      <c r="C88" s="59" t="s">
        <v>771</v>
      </c>
      <c r="D88" s="61">
        <v>13</v>
      </c>
      <c r="E88" s="63">
        <v>750</v>
      </c>
    </row>
    <row r="89" spans="1:5" x14ac:dyDescent="0.25">
      <c r="A89" s="59" t="s">
        <v>776</v>
      </c>
      <c r="B89" s="59" t="s">
        <v>681</v>
      </c>
      <c r="C89" s="59" t="s">
        <v>776</v>
      </c>
      <c r="D89" s="61">
        <v>13</v>
      </c>
      <c r="E89" s="63">
        <v>1000</v>
      </c>
    </row>
    <row r="90" spans="1:5" x14ac:dyDescent="0.25">
      <c r="A90" s="59" t="s">
        <v>777</v>
      </c>
      <c r="B90" s="59" t="s">
        <v>681</v>
      </c>
      <c r="C90" s="59" t="s">
        <v>777</v>
      </c>
      <c r="D90" s="61">
        <v>13</v>
      </c>
      <c r="E90" s="63">
        <v>1000</v>
      </c>
    </row>
    <row r="91" spans="1:5" x14ac:dyDescent="0.25">
      <c r="A91" s="59" t="s">
        <v>756</v>
      </c>
      <c r="B91" s="59" t="s">
        <v>681</v>
      </c>
      <c r="C91" s="59" t="s">
        <v>756</v>
      </c>
      <c r="D91" s="61">
        <v>13</v>
      </c>
      <c r="E91" s="63">
        <v>250</v>
      </c>
    </row>
    <row r="92" spans="1:5" x14ac:dyDescent="0.25">
      <c r="A92" s="59" t="s">
        <v>729</v>
      </c>
      <c r="B92" s="59" t="s">
        <v>730</v>
      </c>
      <c r="C92" s="59" t="s">
        <v>729</v>
      </c>
      <c r="D92" s="61">
        <v>13</v>
      </c>
      <c r="E92" s="63">
        <v>-175</v>
      </c>
    </row>
    <row r="93" spans="1:5" x14ac:dyDescent="0.25">
      <c r="A93" s="59" t="s">
        <v>720</v>
      </c>
      <c r="B93" s="59" t="s">
        <v>721</v>
      </c>
      <c r="C93" s="59" t="s">
        <v>720</v>
      </c>
      <c r="D93" s="61">
        <v>13</v>
      </c>
      <c r="E93" s="63">
        <v>-250</v>
      </c>
    </row>
    <row r="94" spans="1:5" x14ac:dyDescent="0.25">
      <c r="A94" s="59" t="s">
        <v>722</v>
      </c>
      <c r="B94" s="59" t="s">
        <v>723</v>
      </c>
      <c r="C94" s="59" t="s">
        <v>722</v>
      </c>
      <c r="D94" s="61">
        <v>13</v>
      </c>
      <c r="E94" s="63">
        <v>-250</v>
      </c>
    </row>
    <row r="95" spans="1:5" x14ac:dyDescent="0.25">
      <c r="A95" s="59" t="s">
        <v>691</v>
      </c>
      <c r="B95" s="59" t="s">
        <v>692</v>
      </c>
      <c r="C95" s="59" t="s">
        <v>691</v>
      </c>
      <c r="D95" s="61">
        <v>13</v>
      </c>
      <c r="E95" s="63">
        <v>-500</v>
      </c>
    </row>
    <row r="96" spans="1:5" x14ac:dyDescent="0.25">
      <c r="A96" s="59" t="s">
        <v>695</v>
      </c>
      <c r="B96" s="59" t="s">
        <v>696</v>
      </c>
      <c r="C96" s="59" t="s">
        <v>695</v>
      </c>
      <c r="D96" s="61">
        <v>13</v>
      </c>
      <c r="E96" s="63">
        <v>-500</v>
      </c>
    </row>
    <row r="97" spans="1:5" x14ac:dyDescent="0.25">
      <c r="A97" s="59" t="s">
        <v>758</v>
      </c>
      <c r="B97" s="59" t="s">
        <v>681</v>
      </c>
      <c r="C97" s="59" t="s">
        <v>758</v>
      </c>
      <c r="D97" s="61">
        <v>9</v>
      </c>
      <c r="E97" s="63">
        <v>250</v>
      </c>
    </row>
    <row r="98" spans="1:5" x14ac:dyDescent="0.25">
      <c r="A98" s="59" t="s">
        <v>762</v>
      </c>
      <c r="B98" s="59" t="s">
        <v>696</v>
      </c>
      <c r="C98" s="59" t="s">
        <v>762</v>
      </c>
      <c r="D98" s="61">
        <v>9</v>
      </c>
      <c r="E98" s="63">
        <v>250</v>
      </c>
    </row>
    <row r="99" spans="1:5" x14ac:dyDescent="0.25">
      <c r="A99" s="59" t="s">
        <v>746</v>
      </c>
      <c r="B99" s="59" t="s">
        <v>250</v>
      </c>
      <c r="C99" s="59" t="s">
        <v>746</v>
      </c>
      <c r="D99" s="61">
        <v>8</v>
      </c>
      <c r="E99" s="63">
        <v>150</v>
      </c>
    </row>
    <row r="100" spans="1:5" x14ac:dyDescent="0.25">
      <c r="A100" s="59" t="s">
        <v>752</v>
      </c>
      <c r="B100" s="59" t="s">
        <v>226</v>
      </c>
      <c r="C100" s="59" t="s">
        <v>752</v>
      </c>
      <c r="D100" s="61">
        <v>8</v>
      </c>
      <c r="E100" s="63">
        <v>250</v>
      </c>
    </row>
    <row r="101" spans="1:5" x14ac:dyDescent="0.25">
      <c r="A101" s="59" t="s">
        <v>753</v>
      </c>
      <c r="B101" s="59" t="s">
        <v>226</v>
      </c>
      <c r="C101" s="59" t="s">
        <v>753</v>
      </c>
      <c r="D101" s="61">
        <v>8</v>
      </c>
      <c r="E101" s="63">
        <v>250</v>
      </c>
    </row>
    <row r="102" spans="1:5" x14ac:dyDescent="0.25">
      <c r="A102" s="59" t="s">
        <v>773</v>
      </c>
      <c r="B102" s="59" t="s">
        <v>681</v>
      </c>
      <c r="C102" s="59" t="s">
        <v>773</v>
      </c>
      <c r="D102" s="61">
        <v>8</v>
      </c>
      <c r="E102" s="63">
        <v>750</v>
      </c>
    </row>
    <row r="103" spans="1:5" x14ac:dyDescent="0.25">
      <c r="A103" s="59" t="s">
        <v>757</v>
      </c>
      <c r="B103" s="59" t="s">
        <v>681</v>
      </c>
      <c r="C103" s="59" t="s">
        <v>757</v>
      </c>
      <c r="D103" s="61">
        <v>8</v>
      </c>
      <c r="E103" s="63">
        <v>250</v>
      </c>
    </row>
    <row r="104" spans="1:5" x14ac:dyDescent="0.25">
      <c r="A104" s="59" t="s">
        <v>761</v>
      </c>
      <c r="B104" s="59" t="s">
        <v>696</v>
      </c>
      <c r="C104" s="59" t="s">
        <v>761</v>
      </c>
      <c r="D104" s="61">
        <v>8</v>
      </c>
      <c r="E104" s="63">
        <v>250</v>
      </c>
    </row>
    <row r="105" spans="1:5" x14ac:dyDescent="0.25">
      <c r="A105" s="59" t="s">
        <v>803</v>
      </c>
      <c r="B105" s="59" t="s">
        <v>696</v>
      </c>
      <c r="C105" s="59" t="s">
        <v>803</v>
      </c>
      <c r="D105" s="61">
        <v>8</v>
      </c>
      <c r="E105" s="63">
        <v>15750</v>
      </c>
    </row>
    <row r="106" spans="1:5" x14ac:dyDescent="0.25">
      <c r="A106" s="59" t="s">
        <v>804</v>
      </c>
      <c r="B106" s="59" t="s">
        <v>696</v>
      </c>
      <c r="C106" s="59" t="s">
        <v>804</v>
      </c>
      <c r="D106" s="61">
        <v>8</v>
      </c>
      <c r="E106" s="63">
        <v>15750</v>
      </c>
    </row>
    <row r="107" spans="1:5" x14ac:dyDescent="0.25">
      <c r="A107" s="59" t="s">
        <v>754</v>
      </c>
      <c r="B107" s="59" t="s">
        <v>226</v>
      </c>
      <c r="C107" s="59" t="s">
        <v>754</v>
      </c>
      <c r="D107" s="61">
        <v>0</v>
      </c>
      <c r="E107" s="63">
        <v>250</v>
      </c>
    </row>
    <row r="108" spans="1:5" x14ac:dyDescent="0.25">
      <c r="A108" s="59" t="s">
        <v>778</v>
      </c>
      <c r="B108" s="59" t="s">
        <v>681</v>
      </c>
      <c r="C108" s="59" t="s">
        <v>778</v>
      </c>
      <c r="D108" s="61">
        <v>0</v>
      </c>
      <c r="E108" s="63">
        <v>1000</v>
      </c>
    </row>
    <row r="109" spans="1:5" x14ac:dyDescent="0.25">
      <c r="A109" s="59" t="s">
        <v>759</v>
      </c>
      <c r="B109" s="59" t="s">
        <v>681</v>
      </c>
      <c r="C109" s="59" t="s">
        <v>759</v>
      </c>
      <c r="D109" s="61">
        <v>0</v>
      </c>
      <c r="E109" s="63">
        <v>250</v>
      </c>
    </row>
    <row r="110" spans="1:5" x14ac:dyDescent="0.25">
      <c r="E110" s="41">
        <f>SUM(E2:E109)</f>
        <v>88021.59</v>
      </c>
    </row>
  </sheetData>
  <autoFilter ref="A1:F109" xr:uid="{1C301C77-0AE0-4831-9FCF-49A42563A2AD}">
    <sortState xmlns:xlrd2="http://schemas.microsoft.com/office/spreadsheetml/2017/richdata2" ref="A2:F109">
      <sortCondition descending="1" ref="D1:D109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79D4-DF02-40AA-B2DF-3B49F778C75C}">
  <dimension ref="A1:F16"/>
  <sheetViews>
    <sheetView workbookViewId="0">
      <selection activeCell="E2" sqref="E2:E11"/>
    </sheetView>
  </sheetViews>
  <sheetFormatPr baseColWidth="10" defaultRowHeight="15" x14ac:dyDescent="0.25"/>
  <cols>
    <col min="1" max="5" width="23.7109375" customWidth="1"/>
  </cols>
  <sheetData>
    <row r="1" spans="1:6" x14ac:dyDescent="0.25">
      <c r="A1" s="58" t="s">
        <v>170</v>
      </c>
      <c r="B1" s="58" t="s">
        <v>1</v>
      </c>
      <c r="C1" s="58" t="s">
        <v>173</v>
      </c>
      <c r="D1" s="60" t="s">
        <v>172</v>
      </c>
      <c r="E1" s="62" t="s">
        <v>171</v>
      </c>
      <c r="F1" s="58" t="s">
        <v>214</v>
      </c>
    </row>
    <row r="2" spans="1:6" x14ac:dyDescent="0.25">
      <c r="A2" s="59" t="s">
        <v>672</v>
      </c>
      <c r="B2" s="57"/>
      <c r="C2" s="59" t="s">
        <v>672</v>
      </c>
      <c r="D2" s="61">
        <v>133</v>
      </c>
      <c r="E2" s="63">
        <v>-18965</v>
      </c>
      <c r="F2" t="s">
        <v>181</v>
      </c>
    </row>
    <row r="3" spans="1:6" x14ac:dyDescent="0.25">
      <c r="A3" s="59" t="s">
        <v>181</v>
      </c>
      <c r="B3" s="59" t="s">
        <v>673</v>
      </c>
      <c r="C3" s="59" t="s">
        <v>181</v>
      </c>
      <c r="D3" s="61">
        <v>127</v>
      </c>
      <c r="E3" s="63">
        <v>-12123.19</v>
      </c>
      <c r="F3" s="57" t="s">
        <v>181</v>
      </c>
    </row>
    <row r="4" spans="1:6" x14ac:dyDescent="0.25">
      <c r="A4" s="59" t="s">
        <v>674</v>
      </c>
      <c r="B4" s="59" t="s">
        <v>675</v>
      </c>
      <c r="C4" s="59" t="s">
        <v>674</v>
      </c>
      <c r="D4" s="61">
        <v>237</v>
      </c>
      <c r="E4" s="63">
        <v>-10325</v>
      </c>
      <c r="F4" s="57" t="s">
        <v>181</v>
      </c>
    </row>
    <row r="5" spans="1:6" x14ac:dyDescent="0.25">
      <c r="A5" s="59" t="s">
        <v>676</v>
      </c>
      <c r="B5" s="59" t="s">
        <v>677</v>
      </c>
      <c r="C5" s="59" t="s">
        <v>676</v>
      </c>
      <c r="D5" s="61">
        <v>36</v>
      </c>
      <c r="E5" s="63">
        <v>-8000</v>
      </c>
      <c r="F5" s="57" t="s">
        <v>181</v>
      </c>
    </row>
    <row r="6" spans="1:6" x14ac:dyDescent="0.25">
      <c r="A6" s="59" t="s">
        <v>685</v>
      </c>
      <c r="B6" s="59" t="s">
        <v>686</v>
      </c>
      <c r="C6" s="59" t="s">
        <v>685</v>
      </c>
      <c r="D6" s="61">
        <v>13</v>
      </c>
      <c r="E6" s="63">
        <v>-1000</v>
      </c>
      <c r="F6" s="57" t="s">
        <v>181</v>
      </c>
    </row>
    <row r="7" spans="1:6" x14ac:dyDescent="0.25">
      <c r="A7" s="59" t="s">
        <v>783</v>
      </c>
      <c r="B7" s="57"/>
      <c r="C7" s="59" t="s">
        <v>783</v>
      </c>
      <c r="D7" s="61">
        <v>125</v>
      </c>
      <c r="E7" s="63">
        <v>2476.59</v>
      </c>
      <c r="F7" s="57" t="s">
        <v>181</v>
      </c>
    </row>
    <row r="8" spans="1:6" x14ac:dyDescent="0.25">
      <c r="A8" s="59" t="s">
        <v>786</v>
      </c>
      <c r="B8" s="59" t="s">
        <v>787</v>
      </c>
      <c r="C8" s="59" t="s">
        <v>786</v>
      </c>
      <c r="D8" s="61">
        <v>184</v>
      </c>
      <c r="E8" s="63">
        <v>3740.48</v>
      </c>
      <c r="F8" s="57" t="s">
        <v>181</v>
      </c>
    </row>
    <row r="9" spans="1:6" x14ac:dyDescent="0.25">
      <c r="A9" s="59" t="s">
        <v>788</v>
      </c>
      <c r="B9" s="59" t="s">
        <v>789</v>
      </c>
      <c r="C9" s="59" t="s">
        <v>788</v>
      </c>
      <c r="D9" s="61">
        <v>122</v>
      </c>
      <c r="E9" s="63">
        <v>4000</v>
      </c>
      <c r="F9" s="57" t="s">
        <v>181</v>
      </c>
    </row>
    <row r="10" spans="1:6" x14ac:dyDescent="0.25">
      <c r="A10" s="59" t="s">
        <v>798</v>
      </c>
      <c r="B10" s="57"/>
      <c r="C10" s="59" t="s">
        <v>798</v>
      </c>
      <c r="D10" s="61">
        <v>153</v>
      </c>
      <c r="E10" s="63">
        <v>5130.9799999999996</v>
      </c>
      <c r="F10" s="57" t="s">
        <v>181</v>
      </c>
    </row>
    <row r="11" spans="1:6" x14ac:dyDescent="0.25">
      <c r="A11" s="59" t="s">
        <v>800</v>
      </c>
      <c r="B11" s="57"/>
      <c r="C11" s="59" t="s">
        <v>800</v>
      </c>
      <c r="D11" s="61">
        <v>195</v>
      </c>
      <c r="E11" s="63">
        <v>9368.27</v>
      </c>
      <c r="F11" s="57" t="s">
        <v>181</v>
      </c>
    </row>
    <row r="12" spans="1:6" s="57" customFormat="1" x14ac:dyDescent="0.25">
      <c r="A12" s="59"/>
      <c r="C12" s="59"/>
      <c r="D12" s="61"/>
      <c r="E12" s="63">
        <f>SUM(E2:E11)</f>
        <v>-25696.87</v>
      </c>
    </row>
    <row r="14" spans="1:6" s="57" customFormat="1" x14ac:dyDescent="0.25">
      <c r="A14" s="56" t="s">
        <v>678</v>
      </c>
      <c r="B14" s="56" t="s">
        <v>679</v>
      </c>
      <c r="C14" s="56" t="s">
        <v>678</v>
      </c>
      <c r="D14" s="64">
        <v>34</v>
      </c>
      <c r="E14" s="65">
        <v>-7247.72</v>
      </c>
    </row>
    <row r="15" spans="1:6" x14ac:dyDescent="0.25">
      <c r="A15" s="56" t="s">
        <v>801</v>
      </c>
      <c r="B15" s="56" t="s">
        <v>802</v>
      </c>
      <c r="C15" s="56" t="s">
        <v>801</v>
      </c>
      <c r="D15" s="64">
        <v>0</v>
      </c>
      <c r="E15" s="65">
        <v>15700</v>
      </c>
    </row>
    <row r="16" spans="1:6" x14ac:dyDescent="0.25">
      <c r="A16" s="56" t="s">
        <v>805</v>
      </c>
      <c r="B16" s="56" t="s">
        <v>806</v>
      </c>
      <c r="C16" s="56" t="s">
        <v>805</v>
      </c>
      <c r="D16" s="64">
        <v>0</v>
      </c>
      <c r="E16" s="65">
        <v>91105</v>
      </c>
    </row>
  </sheetData>
  <autoFilter ref="A1:F16" xr:uid="{CAF46375-0DE6-4759-8445-A30F869BC99D}">
    <sortState xmlns:xlrd2="http://schemas.microsoft.com/office/spreadsheetml/2017/richdata2" ref="A2:F16">
      <sortCondition ref="E1:E16"/>
    </sortState>
  </autoFilter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DFC2-C391-4809-8D53-DA6428C25C97}">
  <dimension ref="A1:F90"/>
  <sheetViews>
    <sheetView workbookViewId="0">
      <selection activeCell="E82" sqref="E82"/>
    </sheetView>
  </sheetViews>
  <sheetFormatPr baseColWidth="10" defaultRowHeight="15" x14ac:dyDescent="0.25"/>
  <cols>
    <col min="1" max="1" width="9.7109375" bestFit="1" customWidth="1"/>
    <col min="2" max="2" width="35.85546875" bestFit="1" customWidth="1"/>
    <col min="3" max="3" width="22.28515625" bestFit="1" customWidth="1"/>
    <col min="4" max="4" width="5.5703125" bestFit="1" customWidth="1"/>
    <col min="5" max="5" width="9.85546875" bestFit="1" customWidth="1"/>
    <col min="6" max="6" width="22.85546875" bestFit="1" customWidth="1"/>
  </cols>
  <sheetData>
    <row r="1" spans="1:6" x14ac:dyDescent="0.25">
      <c r="A1" s="67" t="s">
        <v>170</v>
      </c>
      <c r="B1" s="67" t="s">
        <v>1</v>
      </c>
      <c r="C1" s="67" t="s">
        <v>173</v>
      </c>
      <c r="D1" s="69" t="s">
        <v>172</v>
      </c>
      <c r="E1" s="71" t="s">
        <v>171</v>
      </c>
      <c r="F1" s="67" t="s">
        <v>214</v>
      </c>
    </row>
    <row r="2" spans="1:6" x14ac:dyDescent="0.25">
      <c r="A2" s="68" t="s">
        <v>989</v>
      </c>
      <c r="B2" s="68" t="s">
        <v>977</v>
      </c>
      <c r="C2" s="68" t="s">
        <v>990</v>
      </c>
      <c r="D2" s="70">
        <v>51</v>
      </c>
      <c r="E2" s="72">
        <v>31523.99</v>
      </c>
      <c r="F2" s="66"/>
    </row>
    <row r="3" spans="1:6" x14ac:dyDescent="0.25">
      <c r="A3" s="68" t="s">
        <v>987</v>
      </c>
      <c r="B3" s="68" t="s">
        <v>977</v>
      </c>
      <c r="C3" s="68" t="s">
        <v>988</v>
      </c>
      <c r="D3" s="70">
        <v>133</v>
      </c>
      <c r="E3" s="72">
        <v>31348.15</v>
      </c>
      <c r="F3" s="66"/>
    </row>
    <row r="4" spans="1:6" x14ac:dyDescent="0.25">
      <c r="A4" s="68" t="s">
        <v>985</v>
      </c>
      <c r="B4" s="68" t="s">
        <v>977</v>
      </c>
      <c r="C4" s="68" t="s">
        <v>986</v>
      </c>
      <c r="D4" s="70">
        <v>31</v>
      </c>
      <c r="E4" s="72">
        <v>30700.5</v>
      </c>
      <c r="F4" s="66"/>
    </row>
    <row r="5" spans="1:6" x14ac:dyDescent="0.25">
      <c r="A5" s="68" t="s">
        <v>984</v>
      </c>
      <c r="B5" s="68" t="s">
        <v>957</v>
      </c>
      <c r="C5" s="68" t="s">
        <v>432</v>
      </c>
      <c r="D5" s="70">
        <v>71</v>
      </c>
      <c r="E5" s="72">
        <v>29795.25</v>
      </c>
      <c r="F5" s="66"/>
    </row>
    <row r="6" spans="1:6" x14ac:dyDescent="0.25">
      <c r="A6" s="68" t="s">
        <v>983</v>
      </c>
      <c r="B6" s="68" t="s">
        <v>957</v>
      </c>
      <c r="C6" s="68" t="s">
        <v>474</v>
      </c>
      <c r="D6" s="70">
        <v>62</v>
      </c>
      <c r="E6" s="72">
        <v>29275.84</v>
      </c>
      <c r="F6" s="66"/>
    </row>
    <row r="7" spans="1:6" x14ac:dyDescent="0.25">
      <c r="A7" s="68" t="s">
        <v>982</v>
      </c>
      <c r="B7" s="68" t="s">
        <v>957</v>
      </c>
      <c r="C7" s="68" t="s">
        <v>480</v>
      </c>
      <c r="D7" s="70">
        <v>43</v>
      </c>
      <c r="E7" s="72">
        <v>29030.78</v>
      </c>
      <c r="F7" s="66"/>
    </row>
    <row r="8" spans="1:6" x14ac:dyDescent="0.25">
      <c r="A8" s="68" t="s">
        <v>979</v>
      </c>
      <c r="B8" s="68" t="s">
        <v>957</v>
      </c>
      <c r="C8" s="68" t="s">
        <v>980</v>
      </c>
      <c r="D8" s="70">
        <v>8</v>
      </c>
      <c r="E8" s="72">
        <v>29015</v>
      </c>
      <c r="F8" s="68" t="s">
        <v>981</v>
      </c>
    </row>
    <row r="9" spans="1:6" x14ac:dyDescent="0.25">
      <c r="A9" s="68" t="s">
        <v>976</v>
      </c>
      <c r="B9" s="68" t="s">
        <v>977</v>
      </c>
      <c r="C9" s="68" t="s">
        <v>978</v>
      </c>
      <c r="D9" s="70">
        <v>98</v>
      </c>
      <c r="E9" s="72">
        <v>29011.77</v>
      </c>
      <c r="F9" s="66"/>
    </row>
    <row r="10" spans="1:6" x14ac:dyDescent="0.25">
      <c r="A10" s="68" t="s">
        <v>974</v>
      </c>
      <c r="B10" s="68" t="s">
        <v>975</v>
      </c>
      <c r="C10" s="68" t="s">
        <v>523</v>
      </c>
      <c r="D10" s="70">
        <v>36</v>
      </c>
      <c r="E10" s="72">
        <v>28670.62</v>
      </c>
      <c r="F10" s="66"/>
    </row>
    <row r="11" spans="1:6" x14ac:dyDescent="0.25">
      <c r="A11" s="68" t="s">
        <v>972</v>
      </c>
      <c r="B11" s="68" t="s">
        <v>957</v>
      </c>
      <c r="C11" s="68" t="s">
        <v>973</v>
      </c>
      <c r="D11" s="70">
        <v>15</v>
      </c>
      <c r="E11" s="72">
        <v>28370</v>
      </c>
      <c r="F11" s="66"/>
    </row>
    <row r="12" spans="1:6" x14ac:dyDescent="0.25">
      <c r="A12" s="68" t="s">
        <v>970</v>
      </c>
      <c r="B12" s="68" t="s">
        <v>957</v>
      </c>
      <c r="C12" s="68" t="s">
        <v>971</v>
      </c>
      <c r="D12" s="70">
        <v>24</v>
      </c>
      <c r="E12" s="72">
        <v>26125.3</v>
      </c>
      <c r="F12" s="66"/>
    </row>
    <row r="13" spans="1:6" x14ac:dyDescent="0.25">
      <c r="A13" s="68" t="s">
        <v>969</v>
      </c>
      <c r="B13" s="68" t="s">
        <v>957</v>
      </c>
      <c r="C13" s="68" t="s">
        <v>538</v>
      </c>
      <c r="D13" s="70">
        <v>36</v>
      </c>
      <c r="E13" s="72">
        <v>24993.29</v>
      </c>
      <c r="F13" s="66"/>
    </row>
    <row r="14" spans="1:6" x14ac:dyDescent="0.25">
      <c r="A14" s="68" t="s">
        <v>967</v>
      </c>
      <c r="B14" s="68" t="s">
        <v>957</v>
      </c>
      <c r="C14" s="68" t="s">
        <v>968</v>
      </c>
      <c r="D14" s="70">
        <v>20</v>
      </c>
      <c r="E14" s="72">
        <v>24766.799999999999</v>
      </c>
      <c r="F14" s="66"/>
    </row>
    <row r="15" spans="1:6" x14ac:dyDescent="0.25">
      <c r="A15" s="68" t="s">
        <v>966</v>
      </c>
      <c r="B15" s="68" t="s">
        <v>830</v>
      </c>
      <c r="C15" s="68" t="s">
        <v>490</v>
      </c>
      <c r="D15" s="70">
        <v>51</v>
      </c>
      <c r="E15" s="72">
        <v>24609.08</v>
      </c>
      <c r="F15" s="66"/>
    </row>
    <row r="16" spans="1:6" x14ac:dyDescent="0.25">
      <c r="A16" s="68" t="s">
        <v>963</v>
      </c>
      <c r="B16" s="68" t="s">
        <v>964</v>
      </c>
      <c r="C16" s="68" t="s">
        <v>965</v>
      </c>
      <c r="D16" s="70">
        <v>0</v>
      </c>
      <c r="E16" s="72">
        <v>24415</v>
      </c>
      <c r="F16" s="66"/>
    </row>
    <row r="17" spans="1:6" x14ac:dyDescent="0.25">
      <c r="A17" s="68" t="s">
        <v>962</v>
      </c>
      <c r="B17" s="68" t="s">
        <v>957</v>
      </c>
      <c r="C17" s="68" t="s">
        <v>493</v>
      </c>
      <c r="D17" s="70">
        <v>61</v>
      </c>
      <c r="E17" s="72">
        <v>23667.55</v>
      </c>
      <c r="F17" s="66"/>
    </row>
    <row r="18" spans="1:6" x14ac:dyDescent="0.25">
      <c r="A18" s="68" t="s">
        <v>959</v>
      </c>
      <c r="B18" s="68" t="s">
        <v>960</v>
      </c>
      <c r="C18" s="68" t="s">
        <v>961</v>
      </c>
      <c r="D18" s="70">
        <v>1</v>
      </c>
      <c r="E18" s="72">
        <v>23415</v>
      </c>
      <c r="F18" s="66"/>
    </row>
    <row r="19" spans="1:6" x14ac:dyDescent="0.25">
      <c r="A19" s="68" t="s">
        <v>956</v>
      </c>
      <c r="B19" s="68" t="s">
        <v>957</v>
      </c>
      <c r="C19" s="68" t="s">
        <v>958</v>
      </c>
      <c r="D19" s="70">
        <v>8</v>
      </c>
      <c r="E19" s="72">
        <v>22915</v>
      </c>
      <c r="F19" s="66"/>
    </row>
    <row r="20" spans="1:6" x14ac:dyDescent="0.25">
      <c r="A20" s="68" t="s">
        <v>955</v>
      </c>
      <c r="B20" s="68" t="s">
        <v>937</v>
      </c>
      <c r="C20" s="68" t="s">
        <v>445</v>
      </c>
      <c r="D20" s="70">
        <v>71</v>
      </c>
      <c r="E20" s="72">
        <v>22625.3</v>
      </c>
      <c r="F20" s="66"/>
    </row>
    <row r="21" spans="1:6" x14ac:dyDescent="0.25">
      <c r="A21" s="68" t="s">
        <v>954</v>
      </c>
      <c r="B21" s="68" t="s">
        <v>941</v>
      </c>
      <c r="C21" s="68" t="s">
        <v>544</v>
      </c>
      <c r="D21" s="70">
        <v>29</v>
      </c>
      <c r="E21" s="72">
        <v>21135.86</v>
      </c>
      <c r="F21" s="66"/>
    </row>
    <row r="22" spans="1:6" x14ac:dyDescent="0.25">
      <c r="A22" s="68" t="s">
        <v>953</v>
      </c>
      <c r="B22" s="68" t="s">
        <v>941</v>
      </c>
      <c r="C22" s="68" t="s">
        <v>468</v>
      </c>
      <c r="D22" s="70">
        <v>65</v>
      </c>
      <c r="E22" s="72">
        <v>21032.3</v>
      </c>
      <c r="F22" s="66"/>
    </row>
    <row r="23" spans="1:6" x14ac:dyDescent="0.25">
      <c r="A23" s="68" t="s">
        <v>951</v>
      </c>
      <c r="B23" s="68" t="s">
        <v>952</v>
      </c>
      <c r="C23" s="68" t="s">
        <v>395</v>
      </c>
      <c r="D23" s="70">
        <v>93</v>
      </c>
      <c r="E23" s="72">
        <v>20755.25</v>
      </c>
      <c r="F23" s="66"/>
    </row>
    <row r="24" spans="1:6" x14ac:dyDescent="0.25">
      <c r="A24" s="68" t="s">
        <v>950</v>
      </c>
      <c r="B24" s="68" t="s">
        <v>937</v>
      </c>
      <c r="C24" s="68" t="s">
        <v>570</v>
      </c>
      <c r="D24" s="70">
        <v>20</v>
      </c>
      <c r="E24" s="72">
        <v>20365.3</v>
      </c>
      <c r="F24" s="66"/>
    </row>
    <row r="25" spans="1:6" x14ac:dyDescent="0.25">
      <c r="A25" s="68" t="s">
        <v>949</v>
      </c>
      <c r="B25" s="68" t="s">
        <v>937</v>
      </c>
      <c r="C25" s="68" t="s">
        <v>383</v>
      </c>
      <c r="D25" s="70">
        <v>122</v>
      </c>
      <c r="E25" s="72">
        <v>19701.2</v>
      </c>
      <c r="F25" s="66"/>
    </row>
    <row r="26" spans="1:6" x14ac:dyDescent="0.25">
      <c r="A26" s="68" t="s">
        <v>948</v>
      </c>
      <c r="B26" s="68" t="s">
        <v>813</v>
      </c>
      <c r="C26" s="68" t="s">
        <v>407</v>
      </c>
      <c r="D26" s="70">
        <v>105</v>
      </c>
      <c r="E26" s="72">
        <v>19462.95</v>
      </c>
      <c r="F26" s="66"/>
    </row>
    <row r="27" spans="1:6" x14ac:dyDescent="0.25">
      <c r="A27" s="68" t="s">
        <v>945</v>
      </c>
      <c r="B27" s="68" t="s">
        <v>946</v>
      </c>
      <c r="C27" s="68" t="s">
        <v>947</v>
      </c>
      <c r="D27" s="70">
        <v>1</v>
      </c>
      <c r="E27" s="72">
        <v>19415</v>
      </c>
      <c r="F27" s="66"/>
    </row>
    <row r="28" spans="1:6" x14ac:dyDescent="0.25">
      <c r="A28" s="68" t="s">
        <v>944</v>
      </c>
      <c r="B28" s="68" t="s">
        <v>813</v>
      </c>
      <c r="C28" s="68" t="s">
        <v>488</v>
      </c>
      <c r="D28" s="70">
        <v>57</v>
      </c>
      <c r="E28" s="72">
        <v>19057.740000000002</v>
      </c>
      <c r="F28" s="66"/>
    </row>
    <row r="29" spans="1:6" x14ac:dyDescent="0.25">
      <c r="A29" s="68" t="s">
        <v>942</v>
      </c>
      <c r="B29" s="68" t="s">
        <v>937</v>
      </c>
      <c r="C29" s="68" t="s">
        <v>943</v>
      </c>
      <c r="D29" s="70">
        <v>31</v>
      </c>
      <c r="E29" s="72">
        <v>18982.54</v>
      </c>
      <c r="F29" s="66"/>
    </row>
    <row r="30" spans="1:6" x14ac:dyDescent="0.25">
      <c r="A30" s="68" t="s">
        <v>940</v>
      </c>
      <c r="B30" s="68" t="s">
        <v>941</v>
      </c>
      <c r="C30" s="68" t="s">
        <v>424</v>
      </c>
      <c r="D30" s="70">
        <v>72</v>
      </c>
      <c r="E30" s="72">
        <v>18348.060000000001</v>
      </c>
      <c r="F30" s="66"/>
    </row>
    <row r="31" spans="1:6" x14ac:dyDescent="0.25">
      <c r="A31" s="68" t="s">
        <v>939</v>
      </c>
      <c r="B31" s="68" t="s">
        <v>937</v>
      </c>
      <c r="C31" s="68" t="s">
        <v>525</v>
      </c>
      <c r="D31" s="70">
        <v>31</v>
      </c>
      <c r="E31" s="72">
        <v>17939.14</v>
      </c>
      <c r="F31" s="66"/>
    </row>
    <row r="32" spans="1:6" x14ac:dyDescent="0.25">
      <c r="A32" s="68" t="s">
        <v>936</v>
      </c>
      <c r="B32" s="68" t="s">
        <v>937</v>
      </c>
      <c r="C32" s="68" t="s">
        <v>938</v>
      </c>
      <c r="D32" s="70">
        <v>1</v>
      </c>
      <c r="E32" s="72">
        <v>17915</v>
      </c>
      <c r="F32" s="66"/>
    </row>
    <row r="33" spans="1:6" x14ac:dyDescent="0.25">
      <c r="A33" s="68" t="s">
        <v>934</v>
      </c>
      <c r="B33" s="68" t="s">
        <v>813</v>
      </c>
      <c r="C33" s="68" t="s">
        <v>935</v>
      </c>
      <c r="D33" s="70">
        <v>35</v>
      </c>
      <c r="E33" s="72">
        <v>17839.75</v>
      </c>
      <c r="F33" s="66"/>
    </row>
    <row r="34" spans="1:6" x14ac:dyDescent="0.25">
      <c r="A34" s="68" t="s">
        <v>931</v>
      </c>
      <c r="B34" s="68" t="s">
        <v>932</v>
      </c>
      <c r="C34" s="68" t="s">
        <v>933</v>
      </c>
      <c r="D34" s="70">
        <v>21</v>
      </c>
      <c r="E34" s="72">
        <v>17665</v>
      </c>
      <c r="F34" s="66"/>
    </row>
    <row r="35" spans="1:6" x14ac:dyDescent="0.25">
      <c r="A35" s="68" t="s">
        <v>930</v>
      </c>
      <c r="B35" s="68" t="s">
        <v>904</v>
      </c>
      <c r="C35" s="68" t="s">
        <v>517</v>
      </c>
      <c r="D35" s="70">
        <v>48</v>
      </c>
      <c r="E35" s="72">
        <v>17567.59</v>
      </c>
      <c r="F35" s="66"/>
    </row>
    <row r="36" spans="1:6" x14ac:dyDescent="0.25">
      <c r="A36" s="68" t="s">
        <v>929</v>
      </c>
      <c r="B36" s="68" t="s">
        <v>813</v>
      </c>
      <c r="C36" s="68" t="s">
        <v>486</v>
      </c>
      <c r="D36" s="70">
        <v>59</v>
      </c>
      <c r="E36" s="72">
        <v>17541.099999999999</v>
      </c>
      <c r="F36" s="66"/>
    </row>
    <row r="37" spans="1:6" x14ac:dyDescent="0.25">
      <c r="A37" s="68" t="s">
        <v>928</v>
      </c>
      <c r="B37" s="68" t="s">
        <v>813</v>
      </c>
      <c r="C37" s="68" t="s">
        <v>434</v>
      </c>
      <c r="D37" s="70">
        <v>77</v>
      </c>
      <c r="E37" s="72">
        <v>16973.939999999999</v>
      </c>
      <c r="F37" s="66"/>
    </row>
    <row r="38" spans="1:6" x14ac:dyDescent="0.25">
      <c r="A38" s="68" t="s">
        <v>926</v>
      </c>
      <c r="B38" s="68" t="s">
        <v>899</v>
      </c>
      <c r="C38" s="68" t="s">
        <v>927</v>
      </c>
      <c r="D38" s="70">
        <v>27</v>
      </c>
      <c r="E38" s="72">
        <v>16695</v>
      </c>
      <c r="F38" s="66"/>
    </row>
    <row r="39" spans="1:6" x14ac:dyDescent="0.25">
      <c r="A39" s="68" t="s">
        <v>925</v>
      </c>
      <c r="B39" s="68" t="s">
        <v>914</v>
      </c>
      <c r="C39" s="68" t="s">
        <v>391</v>
      </c>
      <c r="D39" s="70">
        <v>111</v>
      </c>
      <c r="E39" s="72">
        <v>16376.59</v>
      </c>
      <c r="F39" s="66"/>
    </row>
    <row r="40" spans="1:6" x14ac:dyDescent="0.25">
      <c r="A40" s="68" t="s">
        <v>923</v>
      </c>
      <c r="B40" s="68" t="s">
        <v>924</v>
      </c>
      <c r="C40" s="68" t="s">
        <v>430</v>
      </c>
      <c r="D40" s="70">
        <v>76</v>
      </c>
      <c r="E40" s="72">
        <v>16092.94</v>
      </c>
      <c r="F40" s="66"/>
    </row>
    <row r="41" spans="1:6" x14ac:dyDescent="0.25">
      <c r="A41" s="68" t="s">
        <v>922</v>
      </c>
      <c r="B41" s="68" t="s">
        <v>813</v>
      </c>
      <c r="C41" s="68" t="s">
        <v>476</v>
      </c>
      <c r="D41" s="70">
        <v>59</v>
      </c>
      <c r="E41" s="72">
        <v>15915</v>
      </c>
      <c r="F41" s="66"/>
    </row>
    <row r="42" spans="1:6" x14ac:dyDescent="0.25">
      <c r="A42" s="68" t="s">
        <v>920</v>
      </c>
      <c r="B42" s="68" t="s">
        <v>813</v>
      </c>
      <c r="C42" s="68" t="s">
        <v>921</v>
      </c>
      <c r="D42" s="70">
        <v>45</v>
      </c>
      <c r="E42" s="72">
        <v>15803</v>
      </c>
      <c r="F42" s="66"/>
    </row>
    <row r="43" spans="1:6" x14ac:dyDescent="0.25">
      <c r="A43" s="68" t="s">
        <v>919</v>
      </c>
      <c r="B43" s="68" t="s">
        <v>887</v>
      </c>
      <c r="C43" s="68" t="s">
        <v>464</v>
      </c>
      <c r="D43" s="70">
        <v>70</v>
      </c>
      <c r="E43" s="72">
        <v>15762.18</v>
      </c>
      <c r="F43" s="66"/>
    </row>
    <row r="44" spans="1:6" x14ac:dyDescent="0.25">
      <c r="A44" s="68" t="s">
        <v>918</v>
      </c>
      <c r="B44" s="68" t="s">
        <v>887</v>
      </c>
      <c r="C44" s="68" t="s">
        <v>466</v>
      </c>
      <c r="D44" s="70">
        <v>61</v>
      </c>
      <c r="E44" s="72">
        <v>15668.63</v>
      </c>
      <c r="F44" s="66"/>
    </row>
    <row r="45" spans="1:6" x14ac:dyDescent="0.25">
      <c r="A45" s="68" t="s">
        <v>917</v>
      </c>
      <c r="B45" s="68" t="s">
        <v>887</v>
      </c>
      <c r="C45" s="68" t="s">
        <v>495</v>
      </c>
      <c r="D45" s="70">
        <v>43</v>
      </c>
      <c r="E45" s="72">
        <v>15492.75</v>
      </c>
      <c r="F45" s="66"/>
    </row>
    <row r="46" spans="1:6" x14ac:dyDescent="0.25">
      <c r="A46" s="68" t="s">
        <v>915</v>
      </c>
      <c r="B46" s="68" t="s">
        <v>916</v>
      </c>
      <c r="C46" s="68" t="s">
        <v>572</v>
      </c>
      <c r="D46" s="70">
        <v>16</v>
      </c>
      <c r="E46" s="72">
        <v>15355.3</v>
      </c>
      <c r="F46" s="66"/>
    </row>
    <row r="47" spans="1:6" x14ac:dyDescent="0.25">
      <c r="A47" s="68" t="s">
        <v>913</v>
      </c>
      <c r="B47" s="68" t="s">
        <v>914</v>
      </c>
      <c r="C47" s="68" t="s">
        <v>540</v>
      </c>
      <c r="D47" s="70">
        <v>24</v>
      </c>
      <c r="E47" s="72">
        <v>14735.25</v>
      </c>
      <c r="F47" s="66"/>
    </row>
    <row r="48" spans="1:6" x14ac:dyDescent="0.25">
      <c r="A48" s="68" t="s">
        <v>911</v>
      </c>
      <c r="B48" s="68" t="s">
        <v>912</v>
      </c>
      <c r="C48" s="68" t="s">
        <v>542</v>
      </c>
      <c r="D48" s="70">
        <v>48</v>
      </c>
      <c r="E48" s="72">
        <v>14672.4</v>
      </c>
      <c r="F48" s="66"/>
    </row>
    <row r="49" spans="1:6" x14ac:dyDescent="0.25">
      <c r="A49" s="68" t="s">
        <v>910</v>
      </c>
      <c r="B49" s="68" t="s">
        <v>887</v>
      </c>
      <c r="C49" s="68" t="s">
        <v>519</v>
      </c>
      <c r="D49" s="70">
        <v>49</v>
      </c>
      <c r="E49" s="72">
        <v>14654.01</v>
      </c>
      <c r="F49" s="66"/>
    </row>
    <row r="50" spans="1:6" x14ac:dyDescent="0.25">
      <c r="A50" s="68" t="s">
        <v>908</v>
      </c>
      <c r="B50" s="68" t="s">
        <v>887</v>
      </c>
      <c r="C50" s="68" t="s">
        <v>909</v>
      </c>
      <c r="D50" s="70">
        <v>23</v>
      </c>
      <c r="E50" s="72">
        <v>14460.47</v>
      </c>
      <c r="F50" s="66"/>
    </row>
    <row r="51" spans="1:6" x14ac:dyDescent="0.25">
      <c r="A51" s="68" t="s">
        <v>906</v>
      </c>
      <c r="B51" s="68" t="s">
        <v>887</v>
      </c>
      <c r="C51" s="68" t="s">
        <v>907</v>
      </c>
      <c r="D51" s="70">
        <v>30</v>
      </c>
      <c r="E51" s="72">
        <v>14195.45</v>
      </c>
      <c r="F51" s="66"/>
    </row>
    <row r="52" spans="1:6" x14ac:dyDescent="0.25">
      <c r="A52" s="68" t="s">
        <v>903</v>
      </c>
      <c r="B52" s="68" t="s">
        <v>904</v>
      </c>
      <c r="C52" s="68" t="s">
        <v>905</v>
      </c>
      <c r="D52" s="70">
        <v>31</v>
      </c>
      <c r="E52" s="72">
        <v>13840.3</v>
      </c>
      <c r="F52" s="66"/>
    </row>
    <row r="53" spans="1:6" x14ac:dyDescent="0.25">
      <c r="A53" s="68" t="s">
        <v>902</v>
      </c>
      <c r="B53" s="68" t="s">
        <v>232</v>
      </c>
      <c r="C53" s="68" t="s">
        <v>422</v>
      </c>
      <c r="D53" s="70">
        <v>63</v>
      </c>
      <c r="E53" s="72">
        <v>13697.43</v>
      </c>
      <c r="F53" s="66"/>
    </row>
    <row r="54" spans="1:6" x14ac:dyDescent="0.25">
      <c r="A54" s="68" t="s">
        <v>900</v>
      </c>
      <c r="B54" s="68" t="s">
        <v>887</v>
      </c>
      <c r="C54" s="68" t="s">
        <v>901</v>
      </c>
      <c r="D54" s="70">
        <v>31</v>
      </c>
      <c r="E54" s="72">
        <v>13654.86</v>
      </c>
      <c r="F54" s="66"/>
    </row>
    <row r="55" spans="1:6" x14ac:dyDescent="0.25">
      <c r="A55" s="68" t="s">
        <v>898</v>
      </c>
      <c r="B55" s="68" t="s">
        <v>899</v>
      </c>
      <c r="C55" s="68" t="s">
        <v>560</v>
      </c>
      <c r="D55" s="70">
        <v>31</v>
      </c>
      <c r="E55" s="72">
        <v>13494.13</v>
      </c>
      <c r="F55" s="66"/>
    </row>
    <row r="56" spans="1:6" x14ac:dyDescent="0.25">
      <c r="A56" s="68" t="s">
        <v>896</v>
      </c>
      <c r="B56" s="68" t="s">
        <v>723</v>
      </c>
      <c r="C56" s="68" t="s">
        <v>897</v>
      </c>
      <c r="D56" s="70">
        <v>14</v>
      </c>
      <c r="E56" s="72">
        <v>12295</v>
      </c>
      <c r="F56" s="66"/>
    </row>
    <row r="57" spans="1:6" x14ac:dyDescent="0.25">
      <c r="A57" s="68" t="s">
        <v>895</v>
      </c>
      <c r="B57" s="68" t="s">
        <v>887</v>
      </c>
      <c r="C57" s="68" t="s">
        <v>389</v>
      </c>
      <c r="D57" s="70">
        <v>97</v>
      </c>
      <c r="E57" s="72">
        <v>12237.68</v>
      </c>
      <c r="F57" s="66"/>
    </row>
    <row r="58" spans="1:6" x14ac:dyDescent="0.25">
      <c r="A58" s="68" t="s">
        <v>893</v>
      </c>
      <c r="B58" s="68" t="s">
        <v>887</v>
      </c>
      <c r="C58" s="68" t="s">
        <v>894</v>
      </c>
      <c r="D58" s="70">
        <v>13</v>
      </c>
      <c r="E58" s="72">
        <v>12165</v>
      </c>
      <c r="F58" s="66"/>
    </row>
    <row r="59" spans="1:6" x14ac:dyDescent="0.25">
      <c r="A59" s="68" t="s">
        <v>890</v>
      </c>
      <c r="B59" s="68" t="s">
        <v>891</v>
      </c>
      <c r="C59" s="68" t="s">
        <v>892</v>
      </c>
      <c r="D59" s="70">
        <v>14</v>
      </c>
      <c r="E59" s="72">
        <v>12115</v>
      </c>
      <c r="F59" s="66"/>
    </row>
    <row r="60" spans="1:6" x14ac:dyDescent="0.25">
      <c r="A60" s="68" t="s">
        <v>889</v>
      </c>
      <c r="B60" s="68" t="s">
        <v>887</v>
      </c>
      <c r="C60" s="68" t="s">
        <v>453</v>
      </c>
      <c r="D60" s="70">
        <v>65</v>
      </c>
      <c r="E60" s="72">
        <v>11890.17</v>
      </c>
      <c r="F60" s="66"/>
    </row>
    <row r="61" spans="1:6" x14ac:dyDescent="0.25">
      <c r="A61" s="68" t="s">
        <v>886</v>
      </c>
      <c r="B61" s="68" t="s">
        <v>887</v>
      </c>
      <c r="C61" s="68" t="s">
        <v>888</v>
      </c>
      <c r="D61" s="70">
        <v>8</v>
      </c>
      <c r="E61" s="72">
        <v>11815</v>
      </c>
      <c r="F61" s="66"/>
    </row>
    <row r="62" spans="1:6" x14ac:dyDescent="0.25">
      <c r="A62" s="68" t="s">
        <v>884</v>
      </c>
      <c r="B62" s="68" t="s">
        <v>723</v>
      </c>
      <c r="C62" s="68" t="s">
        <v>885</v>
      </c>
      <c r="D62" s="70">
        <v>8</v>
      </c>
      <c r="E62" s="72">
        <v>11415</v>
      </c>
      <c r="F62" s="66"/>
    </row>
    <row r="63" spans="1:6" x14ac:dyDescent="0.25">
      <c r="A63" s="68" t="s">
        <v>881</v>
      </c>
      <c r="B63" s="68" t="s">
        <v>882</v>
      </c>
      <c r="C63" s="68" t="s">
        <v>883</v>
      </c>
      <c r="D63" s="70">
        <v>13</v>
      </c>
      <c r="E63" s="72">
        <v>10115</v>
      </c>
      <c r="F63" s="66"/>
    </row>
    <row r="64" spans="1:6" x14ac:dyDescent="0.25">
      <c r="A64" s="68" t="s">
        <v>880</v>
      </c>
      <c r="B64" s="68" t="s">
        <v>730</v>
      </c>
      <c r="C64" s="68" t="s">
        <v>729</v>
      </c>
      <c r="D64" s="70">
        <v>41</v>
      </c>
      <c r="E64" s="72">
        <v>9371.2999999999993</v>
      </c>
      <c r="F64" s="66"/>
    </row>
    <row r="65" spans="1:6" x14ac:dyDescent="0.25">
      <c r="A65" s="68" t="s">
        <v>877</v>
      </c>
      <c r="B65" s="68" t="s">
        <v>878</v>
      </c>
      <c r="C65" s="68" t="s">
        <v>879</v>
      </c>
      <c r="D65" s="70">
        <v>8</v>
      </c>
      <c r="E65" s="72">
        <v>8915</v>
      </c>
      <c r="F65" s="66"/>
    </row>
    <row r="66" spans="1:6" x14ac:dyDescent="0.25">
      <c r="A66" s="68" t="s">
        <v>875</v>
      </c>
      <c r="B66" s="68" t="s">
        <v>723</v>
      </c>
      <c r="C66" s="68" t="s">
        <v>876</v>
      </c>
      <c r="D66" s="70">
        <v>63</v>
      </c>
      <c r="E66" s="72">
        <v>8415</v>
      </c>
      <c r="F66" s="66"/>
    </row>
    <row r="67" spans="1:6" x14ac:dyDescent="0.25">
      <c r="A67" s="68" t="s">
        <v>872</v>
      </c>
      <c r="B67" s="68" t="s">
        <v>873</v>
      </c>
      <c r="C67" s="68" t="s">
        <v>874</v>
      </c>
      <c r="D67" s="70">
        <v>575</v>
      </c>
      <c r="E67" s="72">
        <v>8076.36</v>
      </c>
      <c r="F67" s="66"/>
    </row>
    <row r="68" spans="1:6" x14ac:dyDescent="0.25">
      <c r="A68" s="68" t="s">
        <v>869</v>
      </c>
      <c r="B68" s="68" t="s">
        <v>870</v>
      </c>
      <c r="C68" s="68" t="s">
        <v>871</v>
      </c>
      <c r="D68" s="70">
        <v>13</v>
      </c>
      <c r="E68" s="72">
        <v>7215</v>
      </c>
      <c r="F68" s="66"/>
    </row>
    <row r="69" spans="1:6" x14ac:dyDescent="0.25">
      <c r="A69" s="68" t="s">
        <v>866</v>
      </c>
      <c r="B69" s="68" t="s">
        <v>867</v>
      </c>
      <c r="C69" s="68" t="s">
        <v>868</v>
      </c>
      <c r="D69" s="70">
        <v>9</v>
      </c>
      <c r="E69" s="72">
        <v>6215</v>
      </c>
      <c r="F69" s="66"/>
    </row>
    <row r="70" spans="1:6" x14ac:dyDescent="0.25">
      <c r="A70" s="68" t="s">
        <v>863</v>
      </c>
      <c r="B70" s="68" t="s">
        <v>864</v>
      </c>
      <c r="C70" s="68" t="s">
        <v>865</v>
      </c>
      <c r="D70" s="70">
        <v>69</v>
      </c>
      <c r="E70" s="72">
        <v>5915</v>
      </c>
      <c r="F70" s="66"/>
    </row>
    <row r="71" spans="1:6" x14ac:dyDescent="0.25">
      <c r="A71" s="68" t="s">
        <v>860</v>
      </c>
      <c r="B71" s="68" t="s">
        <v>861</v>
      </c>
      <c r="C71" s="68" t="s">
        <v>862</v>
      </c>
      <c r="D71" s="70">
        <v>69</v>
      </c>
      <c r="E71" s="72">
        <v>4915</v>
      </c>
      <c r="F71" s="66"/>
    </row>
    <row r="72" spans="1:6" x14ac:dyDescent="0.25">
      <c r="A72" s="68" t="s">
        <v>858</v>
      </c>
      <c r="B72" s="68" t="s">
        <v>833</v>
      </c>
      <c r="C72" s="68" t="s">
        <v>859</v>
      </c>
      <c r="D72" s="70">
        <v>41</v>
      </c>
      <c r="E72" s="72">
        <v>4715</v>
      </c>
      <c r="F72" s="66"/>
    </row>
    <row r="73" spans="1:6" x14ac:dyDescent="0.25">
      <c r="A73" s="68" t="s">
        <v>855</v>
      </c>
      <c r="B73" s="68" t="s">
        <v>856</v>
      </c>
      <c r="C73" s="68" t="s">
        <v>857</v>
      </c>
      <c r="D73" s="70">
        <v>31</v>
      </c>
      <c r="E73" s="72">
        <v>4415</v>
      </c>
      <c r="F73" s="66"/>
    </row>
    <row r="74" spans="1:6" x14ac:dyDescent="0.25">
      <c r="A74" s="68" t="s">
        <v>852</v>
      </c>
      <c r="B74" s="68" t="s">
        <v>853</v>
      </c>
      <c r="C74" s="68" t="s">
        <v>854</v>
      </c>
      <c r="D74" s="70">
        <v>31</v>
      </c>
      <c r="E74" s="72">
        <v>4165</v>
      </c>
      <c r="F74" s="66"/>
    </row>
    <row r="75" spans="1:6" x14ac:dyDescent="0.25">
      <c r="A75" s="68" t="s">
        <v>849</v>
      </c>
      <c r="B75" s="68" t="s">
        <v>850</v>
      </c>
      <c r="C75" s="68" t="s">
        <v>851</v>
      </c>
      <c r="D75" s="70">
        <v>23</v>
      </c>
      <c r="E75" s="72">
        <v>3165</v>
      </c>
      <c r="F75" s="66"/>
    </row>
    <row r="76" spans="1:6" x14ac:dyDescent="0.25">
      <c r="A76" s="68" t="s">
        <v>846</v>
      </c>
      <c r="B76" s="68" t="s">
        <v>847</v>
      </c>
      <c r="C76" s="68" t="s">
        <v>848</v>
      </c>
      <c r="D76" s="70">
        <v>8</v>
      </c>
      <c r="E76" s="72">
        <v>2000</v>
      </c>
      <c r="F76" s="66"/>
    </row>
    <row r="77" spans="1:6" x14ac:dyDescent="0.25">
      <c r="A77" s="68" t="s">
        <v>843</v>
      </c>
      <c r="B77" s="68" t="s">
        <v>844</v>
      </c>
      <c r="C77" s="68" t="s">
        <v>845</v>
      </c>
      <c r="D77" s="70">
        <v>62</v>
      </c>
      <c r="E77" s="72">
        <v>1415</v>
      </c>
      <c r="F77" s="66"/>
    </row>
    <row r="78" spans="1:6" s="66" customFormat="1" x14ac:dyDescent="0.25">
      <c r="A78" s="68"/>
      <c r="B78" s="68"/>
      <c r="C78" s="68"/>
      <c r="D78" s="70"/>
      <c r="E78" s="72"/>
    </row>
    <row r="79" spans="1:6" s="66" customFormat="1" x14ac:dyDescent="0.25">
      <c r="A79" s="68"/>
      <c r="B79" s="68"/>
      <c r="C79" s="68"/>
      <c r="D79" s="70"/>
      <c r="E79" s="72"/>
    </row>
    <row r="80" spans="1:6" x14ac:dyDescent="0.25">
      <c r="A80" s="68" t="s">
        <v>841</v>
      </c>
      <c r="B80" s="68" t="s">
        <v>730</v>
      </c>
      <c r="C80" s="68" t="s">
        <v>842</v>
      </c>
      <c r="D80" s="70">
        <v>61</v>
      </c>
      <c r="E80" s="72">
        <v>155</v>
      </c>
      <c r="F80" s="68" t="s">
        <v>839</v>
      </c>
    </row>
    <row r="81" spans="1:6" x14ac:dyDescent="0.25">
      <c r="A81" s="68" t="s">
        <v>840</v>
      </c>
      <c r="B81" s="68" t="s">
        <v>723</v>
      </c>
      <c r="C81" s="68" t="s">
        <v>722</v>
      </c>
      <c r="D81" s="70">
        <v>43</v>
      </c>
      <c r="E81" s="72">
        <v>125</v>
      </c>
      <c r="F81" s="66"/>
    </row>
    <row r="82" spans="1:6" x14ac:dyDescent="0.25">
      <c r="A82" s="68" t="s">
        <v>836</v>
      </c>
      <c r="B82" s="68" t="s">
        <v>837</v>
      </c>
      <c r="C82" s="68" t="s">
        <v>838</v>
      </c>
      <c r="D82" s="70">
        <v>58</v>
      </c>
      <c r="E82" s="72">
        <v>10</v>
      </c>
      <c r="F82" s="68" t="s">
        <v>839</v>
      </c>
    </row>
    <row r="83" spans="1:6" x14ac:dyDescent="0.25">
      <c r="A83" s="68" t="s">
        <v>832</v>
      </c>
      <c r="B83" s="68" t="s">
        <v>833</v>
      </c>
      <c r="C83" s="68" t="s">
        <v>834</v>
      </c>
      <c r="D83" s="70">
        <v>142</v>
      </c>
      <c r="E83" s="72">
        <v>-80.47</v>
      </c>
      <c r="F83" s="68" t="s">
        <v>835</v>
      </c>
    </row>
    <row r="84" spans="1:6" x14ac:dyDescent="0.25">
      <c r="A84" s="68" t="s">
        <v>829</v>
      </c>
      <c r="B84" s="68" t="s">
        <v>830</v>
      </c>
      <c r="C84" s="68" t="s">
        <v>831</v>
      </c>
      <c r="D84" s="70">
        <v>98</v>
      </c>
      <c r="E84" s="72">
        <v>-110.5</v>
      </c>
      <c r="F84" s="66"/>
    </row>
    <row r="85" spans="1:6" x14ac:dyDescent="0.25">
      <c r="A85" s="68" t="s">
        <v>826</v>
      </c>
      <c r="B85" s="68" t="s">
        <v>723</v>
      </c>
      <c r="C85" s="68" t="s">
        <v>827</v>
      </c>
      <c r="D85" s="70">
        <v>76</v>
      </c>
      <c r="E85" s="72">
        <v>-150</v>
      </c>
      <c r="F85" s="68" t="s">
        <v>828</v>
      </c>
    </row>
    <row r="86" spans="1:6" x14ac:dyDescent="0.25">
      <c r="A86" s="68" t="s">
        <v>822</v>
      </c>
      <c r="B86" s="68" t="s">
        <v>823</v>
      </c>
      <c r="C86" s="68" t="s">
        <v>824</v>
      </c>
      <c r="D86" s="70">
        <v>122</v>
      </c>
      <c r="E86" s="72">
        <v>-223.6</v>
      </c>
      <c r="F86" s="68" t="s">
        <v>825</v>
      </c>
    </row>
    <row r="87" spans="1:6" x14ac:dyDescent="0.25">
      <c r="A87" s="68" t="s">
        <v>819</v>
      </c>
      <c r="B87" s="68" t="s">
        <v>813</v>
      </c>
      <c r="C87" s="68" t="s">
        <v>820</v>
      </c>
      <c r="D87" s="70">
        <v>147</v>
      </c>
      <c r="E87" s="72">
        <v>-500</v>
      </c>
      <c r="F87" s="68" t="s">
        <v>821</v>
      </c>
    </row>
    <row r="88" spans="1:6" x14ac:dyDescent="0.25">
      <c r="A88" s="68" t="s">
        <v>815</v>
      </c>
      <c r="B88" s="68" t="s">
        <v>816</v>
      </c>
      <c r="C88" s="68" t="s">
        <v>817</v>
      </c>
      <c r="D88" s="70">
        <v>160</v>
      </c>
      <c r="E88" s="72">
        <v>-668.33</v>
      </c>
      <c r="F88" s="68" t="s">
        <v>818</v>
      </c>
    </row>
    <row r="89" spans="1:6" x14ac:dyDescent="0.25">
      <c r="A89" s="68" t="s">
        <v>812</v>
      </c>
      <c r="B89" s="68" t="s">
        <v>813</v>
      </c>
      <c r="C89" s="68" t="s">
        <v>814</v>
      </c>
      <c r="D89" s="70">
        <v>122</v>
      </c>
      <c r="E89" s="72">
        <v>-2645.31</v>
      </c>
      <c r="F89" s="68" t="s">
        <v>991</v>
      </c>
    </row>
    <row r="90" spans="1:6" x14ac:dyDescent="0.25">
      <c r="E90" s="41">
        <f>SUM(E80:E89)</f>
        <v>-4088.21</v>
      </c>
    </row>
  </sheetData>
  <autoFilter ref="A1:F90" xr:uid="{6DE6BF55-919D-4B90-8BF1-29E55FEA17C0}">
    <sortState xmlns:xlrd2="http://schemas.microsoft.com/office/spreadsheetml/2017/richdata2" ref="A2:F90">
      <sortCondition descending="1" ref="E1:E90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D3EA-FE48-4D0A-BC8F-4E900A70D573}">
  <dimension ref="A1:F3"/>
  <sheetViews>
    <sheetView workbookViewId="0">
      <selection activeCell="E3" sqref="E3"/>
    </sheetView>
  </sheetViews>
  <sheetFormatPr baseColWidth="10" defaultRowHeight="15" x14ac:dyDescent="0.25"/>
  <sheetData>
    <row r="1" spans="1:6" x14ac:dyDescent="0.25">
      <c r="A1" s="68" t="s">
        <v>810</v>
      </c>
      <c r="B1" s="68" t="s">
        <v>811</v>
      </c>
      <c r="C1" s="66"/>
      <c r="D1" s="70">
        <v>366</v>
      </c>
      <c r="E1" s="72">
        <v>-38334.120000000003</v>
      </c>
      <c r="F1" s="66"/>
    </row>
    <row r="2" spans="1:6" x14ac:dyDescent="0.25">
      <c r="A2" s="68" t="s">
        <v>181</v>
      </c>
      <c r="B2" s="68" t="s">
        <v>224</v>
      </c>
      <c r="C2" s="66"/>
      <c r="D2" s="70">
        <v>94</v>
      </c>
      <c r="E2" s="72">
        <v>-234.36</v>
      </c>
      <c r="F2" s="66"/>
    </row>
    <row r="3" spans="1:6" x14ac:dyDescent="0.25">
      <c r="E3" s="41">
        <f>SUM(E1:E2)</f>
        <v>-38568.480000000003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854F-CEAE-412C-9116-D07F4E971CE8}">
  <dimension ref="A1:G133"/>
  <sheetViews>
    <sheetView topLeftCell="A85" workbookViewId="0">
      <selection activeCell="E133" sqref="E133"/>
    </sheetView>
  </sheetViews>
  <sheetFormatPr baseColWidth="10" defaultRowHeight="15" x14ac:dyDescent="0.25"/>
  <cols>
    <col min="1" max="1" width="9.7109375" bestFit="1" customWidth="1"/>
    <col min="2" max="2" width="24" bestFit="1" customWidth="1"/>
    <col min="3" max="3" width="22.42578125" bestFit="1" customWidth="1"/>
    <col min="4" max="4" width="5.5703125" bestFit="1" customWidth="1"/>
    <col min="5" max="5" width="9.85546875" bestFit="1" customWidth="1"/>
    <col min="6" max="6" width="23.7109375" bestFit="1" customWidth="1"/>
  </cols>
  <sheetData>
    <row r="1" spans="1:6" x14ac:dyDescent="0.25">
      <c r="A1" s="74" t="s">
        <v>170</v>
      </c>
      <c r="B1" s="74" t="s">
        <v>1</v>
      </c>
      <c r="C1" s="74" t="s">
        <v>173</v>
      </c>
      <c r="D1" s="76" t="s">
        <v>172</v>
      </c>
      <c r="E1" s="78" t="s">
        <v>171</v>
      </c>
      <c r="F1" s="74" t="s">
        <v>214</v>
      </c>
    </row>
    <row r="2" spans="1:6" x14ac:dyDescent="0.25">
      <c r="A2" s="75" t="s">
        <v>1190</v>
      </c>
      <c r="B2" s="75" t="s">
        <v>250</v>
      </c>
      <c r="C2" s="75" t="s">
        <v>576</v>
      </c>
      <c r="D2" s="77">
        <v>9</v>
      </c>
      <c r="E2" s="79">
        <v>57474.16</v>
      </c>
      <c r="F2" s="73"/>
    </row>
    <row r="3" spans="1:6" x14ac:dyDescent="0.25">
      <c r="A3" s="75" t="s">
        <v>1188</v>
      </c>
      <c r="B3" s="75" t="s">
        <v>250</v>
      </c>
      <c r="C3" s="75" t="s">
        <v>254</v>
      </c>
      <c r="D3" s="77">
        <v>1</v>
      </c>
      <c r="E3" s="79">
        <v>54855</v>
      </c>
      <c r="F3" s="73"/>
    </row>
    <row r="4" spans="1:6" x14ac:dyDescent="0.25">
      <c r="A4" s="75" t="s">
        <v>1189</v>
      </c>
      <c r="B4" s="75" t="s">
        <v>250</v>
      </c>
      <c r="C4" s="75" t="s">
        <v>252</v>
      </c>
      <c r="D4" s="77">
        <v>1</v>
      </c>
      <c r="E4" s="79">
        <v>54855</v>
      </c>
      <c r="F4" s="73"/>
    </row>
    <row r="5" spans="1:6" x14ac:dyDescent="0.25">
      <c r="A5" s="75" t="s">
        <v>1185</v>
      </c>
      <c r="B5" s="75" t="s">
        <v>1186</v>
      </c>
      <c r="C5" s="75" t="s">
        <v>1187</v>
      </c>
      <c r="D5" s="77">
        <v>122</v>
      </c>
      <c r="E5" s="79">
        <v>54238.51</v>
      </c>
      <c r="F5" s="73"/>
    </row>
    <row r="6" spans="1:6" x14ac:dyDescent="0.25">
      <c r="A6" s="75" t="s">
        <v>1183</v>
      </c>
      <c r="B6" s="75" t="s">
        <v>250</v>
      </c>
      <c r="C6" s="75" t="s">
        <v>1184</v>
      </c>
      <c r="D6" s="77">
        <v>34</v>
      </c>
      <c r="E6" s="79">
        <v>52379.8</v>
      </c>
      <c r="F6" s="73"/>
    </row>
    <row r="7" spans="1:6" x14ac:dyDescent="0.25">
      <c r="A7" s="75" t="s">
        <v>1182</v>
      </c>
      <c r="B7" s="75" t="s">
        <v>250</v>
      </c>
      <c r="C7" s="75" t="s">
        <v>249</v>
      </c>
      <c r="D7" s="77">
        <v>21</v>
      </c>
      <c r="E7" s="79">
        <v>49577.46</v>
      </c>
      <c r="F7" s="73"/>
    </row>
    <row r="8" spans="1:6" x14ac:dyDescent="0.25">
      <c r="A8" s="75" t="s">
        <v>1181</v>
      </c>
      <c r="B8" s="75" t="s">
        <v>250</v>
      </c>
      <c r="C8" s="75" t="s">
        <v>258</v>
      </c>
      <c r="D8" s="77">
        <v>22</v>
      </c>
      <c r="E8" s="79">
        <v>45596.46</v>
      </c>
      <c r="F8" s="73"/>
    </row>
    <row r="9" spans="1:6" x14ac:dyDescent="0.25">
      <c r="A9" s="75" t="s">
        <v>1178</v>
      </c>
      <c r="B9" s="75" t="s">
        <v>250</v>
      </c>
      <c r="C9" s="75" t="s">
        <v>1179</v>
      </c>
      <c r="D9" s="77">
        <v>34</v>
      </c>
      <c r="E9" s="79">
        <v>43196</v>
      </c>
      <c r="F9" s="73"/>
    </row>
    <row r="10" spans="1:6" x14ac:dyDescent="0.25">
      <c r="A10" s="75" t="s">
        <v>1180</v>
      </c>
      <c r="B10" s="75" t="s">
        <v>250</v>
      </c>
      <c r="C10" s="75" t="s">
        <v>256</v>
      </c>
      <c r="D10" s="77">
        <v>1</v>
      </c>
      <c r="E10" s="79">
        <v>43196</v>
      </c>
      <c r="F10" s="73"/>
    </row>
    <row r="11" spans="1:6" x14ac:dyDescent="0.25">
      <c r="A11" s="75" t="s">
        <v>1176</v>
      </c>
      <c r="B11" s="75" t="s">
        <v>250</v>
      </c>
      <c r="C11" s="75" t="s">
        <v>1177</v>
      </c>
      <c r="D11" s="77">
        <v>15</v>
      </c>
      <c r="E11" s="79">
        <v>43011</v>
      </c>
      <c r="F11" s="73"/>
    </row>
    <row r="12" spans="1:6" x14ac:dyDescent="0.25">
      <c r="A12" s="75" t="s">
        <v>1174</v>
      </c>
      <c r="B12" s="75" t="s">
        <v>261</v>
      </c>
      <c r="C12" s="75" t="s">
        <v>1175</v>
      </c>
      <c r="D12" s="77">
        <v>63</v>
      </c>
      <c r="E12" s="79">
        <v>42850.71</v>
      </c>
      <c r="F12" s="73"/>
    </row>
    <row r="13" spans="1:6" x14ac:dyDescent="0.25">
      <c r="A13" s="75" t="s">
        <v>1172</v>
      </c>
      <c r="B13" s="75" t="s">
        <v>781</v>
      </c>
      <c r="C13" s="75" t="s">
        <v>1173</v>
      </c>
      <c r="D13" s="77">
        <v>161</v>
      </c>
      <c r="E13" s="79">
        <v>42591.24</v>
      </c>
      <c r="F13" s="73"/>
    </row>
    <row r="14" spans="1:6" x14ac:dyDescent="0.25">
      <c r="A14" s="75" t="s">
        <v>1170</v>
      </c>
      <c r="B14" s="75" t="s">
        <v>696</v>
      </c>
      <c r="C14" s="75" t="s">
        <v>1171</v>
      </c>
      <c r="D14" s="77">
        <v>35</v>
      </c>
      <c r="E14" s="79">
        <v>42552.29</v>
      </c>
      <c r="F14" s="73"/>
    </row>
    <row r="15" spans="1:6" x14ac:dyDescent="0.25">
      <c r="A15" s="75" t="s">
        <v>1169</v>
      </c>
      <c r="B15" s="75" t="s">
        <v>261</v>
      </c>
      <c r="C15" s="75" t="s">
        <v>596</v>
      </c>
      <c r="D15" s="77">
        <v>35</v>
      </c>
      <c r="E15" s="79">
        <v>41079.96</v>
      </c>
      <c r="F15" s="73"/>
    </row>
    <row r="16" spans="1:6" x14ac:dyDescent="0.25">
      <c r="A16" s="75" t="s">
        <v>1167</v>
      </c>
      <c r="B16" s="75" t="s">
        <v>696</v>
      </c>
      <c r="C16" s="75" t="s">
        <v>1168</v>
      </c>
      <c r="D16" s="77">
        <v>296</v>
      </c>
      <c r="E16" s="79">
        <v>40723.11</v>
      </c>
      <c r="F16" s="73"/>
    </row>
    <row r="17" spans="1:6" x14ac:dyDescent="0.25">
      <c r="A17" s="75" t="s">
        <v>1165</v>
      </c>
      <c r="B17" s="75" t="s">
        <v>696</v>
      </c>
      <c r="C17" s="75" t="s">
        <v>1166</v>
      </c>
      <c r="D17" s="77">
        <v>161</v>
      </c>
      <c r="E17" s="79">
        <v>40456.31</v>
      </c>
      <c r="F17" s="73"/>
    </row>
    <row r="18" spans="1:6" x14ac:dyDescent="0.25">
      <c r="A18" s="75" t="s">
        <v>1164</v>
      </c>
      <c r="B18" s="75" t="s">
        <v>261</v>
      </c>
      <c r="C18" s="75" t="s">
        <v>598</v>
      </c>
      <c r="D18" s="77">
        <v>35</v>
      </c>
      <c r="E18" s="79">
        <v>39405.96</v>
      </c>
      <c r="F18" s="73"/>
    </row>
    <row r="19" spans="1:6" x14ac:dyDescent="0.25">
      <c r="A19" s="75" t="s">
        <v>1163</v>
      </c>
      <c r="B19" s="75" t="s">
        <v>684</v>
      </c>
      <c r="C19" s="75" t="s">
        <v>689</v>
      </c>
      <c r="D19" s="77">
        <v>381</v>
      </c>
      <c r="E19" s="79">
        <v>38949.08</v>
      </c>
      <c r="F19" s="73"/>
    </row>
    <row r="20" spans="1:6" x14ac:dyDescent="0.25">
      <c r="A20" s="75" t="s">
        <v>1161</v>
      </c>
      <c r="B20" s="75" t="s">
        <v>696</v>
      </c>
      <c r="C20" s="75" t="s">
        <v>1162</v>
      </c>
      <c r="D20" s="77">
        <v>393</v>
      </c>
      <c r="E20" s="79">
        <v>38794.57</v>
      </c>
      <c r="F20" s="73"/>
    </row>
    <row r="21" spans="1:6" x14ac:dyDescent="0.25">
      <c r="A21" s="75" t="s">
        <v>1157</v>
      </c>
      <c r="B21" s="75" t="s">
        <v>696</v>
      </c>
      <c r="C21" s="75" t="s">
        <v>1158</v>
      </c>
      <c r="D21" s="77">
        <v>296</v>
      </c>
      <c r="E21" s="79">
        <v>38216.31</v>
      </c>
      <c r="F21" s="73"/>
    </row>
    <row r="22" spans="1:6" x14ac:dyDescent="0.25">
      <c r="A22" s="75" t="s">
        <v>1159</v>
      </c>
      <c r="B22" s="75" t="s">
        <v>696</v>
      </c>
      <c r="C22" s="75" t="s">
        <v>1160</v>
      </c>
      <c r="D22" s="77">
        <v>294</v>
      </c>
      <c r="E22" s="79">
        <v>38216.31</v>
      </c>
      <c r="F22" s="73"/>
    </row>
    <row r="23" spans="1:6" x14ac:dyDescent="0.25">
      <c r="A23" s="75" t="s">
        <v>1156</v>
      </c>
      <c r="B23" s="75" t="s">
        <v>261</v>
      </c>
      <c r="C23" s="75" t="s">
        <v>703</v>
      </c>
      <c r="D23" s="77">
        <v>35</v>
      </c>
      <c r="E23" s="79">
        <v>37967.71</v>
      </c>
      <c r="F23" s="73"/>
    </row>
    <row r="24" spans="1:6" x14ac:dyDescent="0.25">
      <c r="A24" s="75" t="s">
        <v>1152</v>
      </c>
      <c r="B24" s="75" t="s">
        <v>696</v>
      </c>
      <c r="C24" s="75" t="s">
        <v>1153</v>
      </c>
      <c r="D24" s="77">
        <v>352</v>
      </c>
      <c r="E24" s="79">
        <v>37918.31</v>
      </c>
      <c r="F24" s="73"/>
    </row>
    <row r="25" spans="1:6" x14ac:dyDescent="0.25">
      <c r="A25" s="75" t="s">
        <v>1154</v>
      </c>
      <c r="B25" s="75" t="s">
        <v>696</v>
      </c>
      <c r="C25" s="75" t="s">
        <v>1155</v>
      </c>
      <c r="D25" s="77">
        <v>350</v>
      </c>
      <c r="E25" s="79">
        <v>37918.31</v>
      </c>
      <c r="F25" s="73"/>
    </row>
    <row r="26" spans="1:6" x14ac:dyDescent="0.25">
      <c r="A26" s="75" t="s">
        <v>1146</v>
      </c>
      <c r="B26" s="75" t="s">
        <v>696</v>
      </c>
      <c r="C26" s="75" t="s">
        <v>1147</v>
      </c>
      <c r="D26" s="77">
        <v>401</v>
      </c>
      <c r="E26" s="79">
        <v>37903.31</v>
      </c>
      <c r="F26" s="73"/>
    </row>
    <row r="27" spans="1:6" x14ac:dyDescent="0.25">
      <c r="A27" s="75" t="s">
        <v>1148</v>
      </c>
      <c r="B27" s="75" t="s">
        <v>696</v>
      </c>
      <c r="C27" s="75" t="s">
        <v>1149</v>
      </c>
      <c r="D27" s="77">
        <v>381</v>
      </c>
      <c r="E27" s="79">
        <v>37903.31</v>
      </c>
      <c r="F27" s="73"/>
    </row>
    <row r="28" spans="1:6" x14ac:dyDescent="0.25">
      <c r="A28" s="75" t="s">
        <v>1150</v>
      </c>
      <c r="B28" s="75" t="s">
        <v>696</v>
      </c>
      <c r="C28" s="75" t="s">
        <v>1151</v>
      </c>
      <c r="D28" s="77">
        <v>349</v>
      </c>
      <c r="E28" s="79">
        <v>37903.31</v>
      </c>
      <c r="F28" s="73"/>
    </row>
    <row r="29" spans="1:6" x14ac:dyDescent="0.25">
      <c r="A29" s="75" t="s">
        <v>1138</v>
      </c>
      <c r="B29" s="75" t="s">
        <v>696</v>
      </c>
      <c r="C29" s="75" t="s">
        <v>1139</v>
      </c>
      <c r="D29" s="77">
        <v>296</v>
      </c>
      <c r="E29" s="79">
        <v>37793.31</v>
      </c>
      <c r="F29" s="73"/>
    </row>
    <row r="30" spans="1:6" x14ac:dyDescent="0.25">
      <c r="A30" s="75" t="s">
        <v>1140</v>
      </c>
      <c r="B30" s="75" t="s">
        <v>696</v>
      </c>
      <c r="C30" s="75" t="s">
        <v>1141</v>
      </c>
      <c r="D30" s="77">
        <v>296</v>
      </c>
      <c r="E30" s="79">
        <v>37793.31</v>
      </c>
      <c r="F30" s="73"/>
    </row>
    <row r="31" spans="1:6" x14ac:dyDescent="0.25">
      <c r="A31" s="75" t="s">
        <v>1142</v>
      </c>
      <c r="B31" s="75" t="s">
        <v>696</v>
      </c>
      <c r="C31" s="75" t="s">
        <v>1143</v>
      </c>
      <c r="D31" s="77">
        <v>296</v>
      </c>
      <c r="E31" s="79">
        <v>37793.31</v>
      </c>
      <c r="F31" s="73"/>
    </row>
    <row r="32" spans="1:6" x14ac:dyDescent="0.25">
      <c r="A32" s="75" t="s">
        <v>1144</v>
      </c>
      <c r="B32" s="75" t="s">
        <v>696</v>
      </c>
      <c r="C32" s="75" t="s">
        <v>1145</v>
      </c>
      <c r="D32" s="77">
        <v>153</v>
      </c>
      <c r="E32" s="79">
        <v>37793.31</v>
      </c>
      <c r="F32" s="73"/>
    </row>
    <row r="33" spans="1:5" x14ac:dyDescent="0.25">
      <c r="A33" s="75" t="s">
        <v>1136</v>
      </c>
      <c r="B33" s="75" t="s">
        <v>696</v>
      </c>
      <c r="C33" s="75" t="s">
        <v>1137</v>
      </c>
      <c r="D33" s="77">
        <v>35</v>
      </c>
      <c r="E33" s="79">
        <v>37594</v>
      </c>
    </row>
    <row r="34" spans="1:5" x14ac:dyDescent="0.25">
      <c r="A34" s="75" t="s">
        <v>1131</v>
      </c>
      <c r="B34" s="75" t="s">
        <v>696</v>
      </c>
      <c r="C34" s="75" t="s">
        <v>695</v>
      </c>
      <c r="D34" s="77">
        <v>352</v>
      </c>
      <c r="E34" s="79">
        <v>37566.31</v>
      </c>
    </row>
    <row r="35" spans="1:5" x14ac:dyDescent="0.25">
      <c r="A35" s="75" t="s">
        <v>1132</v>
      </c>
      <c r="B35" s="75" t="s">
        <v>696</v>
      </c>
      <c r="C35" s="75" t="s">
        <v>1133</v>
      </c>
      <c r="D35" s="77">
        <v>351</v>
      </c>
      <c r="E35" s="79">
        <v>37566.31</v>
      </c>
    </row>
    <row r="36" spans="1:5" x14ac:dyDescent="0.25">
      <c r="A36" s="75" t="s">
        <v>1134</v>
      </c>
      <c r="B36" s="75" t="s">
        <v>696</v>
      </c>
      <c r="C36" s="75" t="s">
        <v>1135</v>
      </c>
      <c r="D36" s="77">
        <v>350</v>
      </c>
      <c r="E36" s="79">
        <v>37566.31</v>
      </c>
    </row>
    <row r="37" spans="1:5" x14ac:dyDescent="0.25">
      <c r="A37" s="75" t="s">
        <v>1130</v>
      </c>
      <c r="B37" s="75" t="s">
        <v>261</v>
      </c>
      <c r="C37" s="75" t="s">
        <v>704</v>
      </c>
      <c r="D37" s="77">
        <v>34</v>
      </c>
      <c r="E37" s="79">
        <v>37223.71</v>
      </c>
    </row>
    <row r="38" spans="1:5" x14ac:dyDescent="0.25">
      <c r="A38" s="75" t="s">
        <v>1129</v>
      </c>
      <c r="B38" s="75" t="s">
        <v>699</v>
      </c>
      <c r="C38" s="75" t="s">
        <v>698</v>
      </c>
      <c r="D38" s="77">
        <v>62</v>
      </c>
      <c r="E38" s="79">
        <v>37100.11</v>
      </c>
    </row>
    <row r="39" spans="1:5" x14ac:dyDescent="0.25">
      <c r="A39" s="75" t="s">
        <v>1127</v>
      </c>
      <c r="B39" s="75" t="s">
        <v>681</v>
      </c>
      <c r="C39" s="75" t="s">
        <v>1128</v>
      </c>
      <c r="D39" s="77">
        <v>125</v>
      </c>
      <c r="E39" s="79">
        <v>36945.71</v>
      </c>
    </row>
    <row r="40" spans="1:5" x14ac:dyDescent="0.25">
      <c r="A40" s="75" t="s">
        <v>1126</v>
      </c>
      <c r="B40" s="75" t="s">
        <v>699</v>
      </c>
      <c r="C40" s="75" t="s">
        <v>700</v>
      </c>
      <c r="D40" s="77">
        <v>57</v>
      </c>
      <c r="E40" s="79">
        <v>36822</v>
      </c>
    </row>
    <row r="41" spans="1:5" x14ac:dyDescent="0.25">
      <c r="A41" s="75" t="s">
        <v>1124</v>
      </c>
      <c r="B41" s="75" t="s">
        <v>681</v>
      </c>
      <c r="C41" s="75" t="s">
        <v>1125</v>
      </c>
      <c r="D41" s="77">
        <v>125</v>
      </c>
      <c r="E41" s="79">
        <v>36791.96</v>
      </c>
    </row>
    <row r="42" spans="1:5" x14ac:dyDescent="0.25">
      <c r="A42" s="75" t="s">
        <v>1122</v>
      </c>
      <c r="B42" s="75" t="s">
        <v>681</v>
      </c>
      <c r="C42" s="75" t="s">
        <v>1123</v>
      </c>
      <c r="D42" s="77">
        <v>72</v>
      </c>
      <c r="E42" s="79">
        <v>36231</v>
      </c>
    </row>
    <row r="43" spans="1:5" x14ac:dyDescent="0.25">
      <c r="A43" s="75" t="s">
        <v>1121</v>
      </c>
      <c r="B43" s="75" t="s">
        <v>261</v>
      </c>
      <c r="C43" s="75" t="s">
        <v>706</v>
      </c>
      <c r="D43" s="77">
        <v>35</v>
      </c>
      <c r="E43" s="79">
        <v>36094.71</v>
      </c>
    </row>
    <row r="44" spans="1:5" x14ac:dyDescent="0.25">
      <c r="A44" s="75" t="s">
        <v>1116</v>
      </c>
      <c r="B44" s="75" t="s">
        <v>261</v>
      </c>
      <c r="C44" s="75" t="s">
        <v>705</v>
      </c>
      <c r="D44" s="77">
        <v>34</v>
      </c>
      <c r="E44" s="79">
        <v>35983</v>
      </c>
    </row>
    <row r="45" spans="1:5" x14ac:dyDescent="0.25">
      <c r="A45" s="75" t="s">
        <v>1117</v>
      </c>
      <c r="B45" s="75" t="s">
        <v>261</v>
      </c>
      <c r="C45" s="75" t="s">
        <v>265</v>
      </c>
      <c r="D45" s="77">
        <v>21</v>
      </c>
      <c r="E45" s="79">
        <v>35983</v>
      </c>
    </row>
    <row r="46" spans="1:5" x14ac:dyDescent="0.25">
      <c r="A46" s="75" t="s">
        <v>1118</v>
      </c>
      <c r="B46" s="75" t="s">
        <v>261</v>
      </c>
      <c r="C46" s="75" t="s">
        <v>263</v>
      </c>
      <c r="D46" s="77">
        <v>15</v>
      </c>
      <c r="E46" s="79">
        <v>35983</v>
      </c>
    </row>
    <row r="47" spans="1:5" x14ac:dyDescent="0.25">
      <c r="A47" s="75" t="s">
        <v>1119</v>
      </c>
      <c r="B47" s="75" t="s">
        <v>261</v>
      </c>
      <c r="C47" s="75" t="s">
        <v>267</v>
      </c>
      <c r="D47" s="77">
        <v>13</v>
      </c>
      <c r="E47" s="79">
        <v>35983</v>
      </c>
    </row>
    <row r="48" spans="1:5" x14ac:dyDescent="0.25">
      <c r="A48" s="75" t="s">
        <v>1120</v>
      </c>
      <c r="B48" s="75" t="s">
        <v>261</v>
      </c>
      <c r="C48" s="75" t="s">
        <v>269</v>
      </c>
      <c r="D48" s="77">
        <v>13</v>
      </c>
      <c r="E48" s="79">
        <v>35983</v>
      </c>
    </row>
    <row r="49" spans="1:6" x14ac:dyDescent="0.25">
      <c r="A49" s="75" t="s">
        <v>1114</v>
      </c>
      <c r="B49" s="75" t="s">
        <v>681</v>
      </c>
      <c r="C49" s="75" t="s">
        <v>1115</v>
      </c>
      <c r="D49" s="77">
        <v>31</v>
      </c>
      <c r="E49" s="79">
        <v>35905</v>
      </c>
    </row>
    <row r="50" spans="1:6" x14ac:dyDescent="0.25">
      <c r="A50" s="75" t="s">
        <v>1112</v>
      </c>
      <c r="B50" s="75" t="s">
        <v>699</v>
      </c>
      <c r="C50" s="75" t="s">
        <v>702</v>
      </c>
      <c r="D50" s="77">
        <v>35</v>
      </c>
      <c r="E50" s="79">
        <v>35767.31</v>
      </c>
    </row>
    <row r="51" spans="1:6" x14ac:dyDescent="0.25">
      <c r="A51" s="75" t="s">
        <v>1113</v>
      </c>
      <c r="B51" s="75" t="s">
        <v>699</v>
      </c>
      <c r="C51" s="75" t="s">
        <v>558</v>
      </c>
      <c r="D51" s="77">
        <v>35</v>
      </c>
      <c r="E51" s="79">
        <v>35767.31</v>
      </c>
    </row>
    <row r="52" spans="1:6" x14ac:dyDescent="0.25">
      <c r="A52" s="75" t="s">
        <v>1111</v>
      </c>
      <c r="B52" s="75" t="s">
        <v>684</v>
      </c>
      <c r="C52" s="75" t="s">
        <v>683</v>
      </c>
      <c r="D52" s="77">
        <v>317</v>
      </c>
      <c r="E52" s="79">
        <v>34695.760000000002</v>
      </c>
    </row>
    <row r="53" spans="1:6" x14ac:dyDescent="0.25">
      <c r="A53" s="75" t="s">
        <v>1110</v>
      </c>
      <c r="B53" s="75" t="s">
        <v>261</v>
      </c>
      <c r="C53" s="75" t="s">
        <v>687</v>
      </c>
      <c r="D53" s="77">
        <v>34</v>
      </c>
      <c r="E53" s="79">
        <v>33773.71</v>
      </c>
    </row>
    <row r="54" spans="1:6" x14ac:dyDescent="0.25">
      <c r="A54" s="75" t="s">
        <v>1108</v>
      </c>
      <c r="B54" s="75" t="s">
        <v>684</v>
      </c>
      <c r="C54" s="75" t="s">
        <v>1109</v>
      </c>
      <c r="D54" s="77">
        <v>38</v>
      </c>
      <c r="E54" s="79">
        <v>33387.83</v>
      </c>
    </row>
    <row r="55" spans="1:6" x14ac:dyDescent="0.25">
      <c r="A55" s="75" t="s">
        <v>1105</v>
      </c>
      <c r="B55" s="75" t="s">
        <v>681</v>
      </c>
      <c r="C55" s="75" t="s">
        <v>1106</v>
      </c>
      <c r="D55" s="77">
        <v>91</v>
      </c>
      <c r="E55" s="79">
        <v>32941.71</v>
      </c>
      <c r="F55" s="75" t="s">
        <v>1107</v>
      </c>
    </row>
    <row r="56" spans="1:6" x14ac:dyDescent="0.25">
      <c r="A56" s="75" t="s">
        <v>1101</v>
      </c>
      <c r="B56" s="75" t="s">
        <v>681</v>
      </c>
      <c r="C56" s="75" t="s">
        <v>1102</v>
      </c>
      <c r="D56" s="77">
        <v>94</v>
      </c>
      <c r="E56" s="79">
        <v>31904.959999999999</v>
      </c>
    </row>
    <row r="57" spans="1:6" x14ac:dyDescent="0.25">
      <c r="A57" s="75" t="s">
        <v>1103</v>
      </c>
      <c r="B57" s="75" t="s">
        <v>681</v>
      </c>
      <c r="C57" s="75" t="s">
        <v>1104</v>
      </c>
      <c r="D57" s="77">
        <v>76</v>
      </c>
      <c r="E57" s="79">
        <v>31904.959999999999</v>
      </c>
    </row>
    <row r="58" spans="1:6" x14ac:dyDescent="0.25">
      <c r="A58" s="75" t="s">
        <v>1100</v>
      </c>
      <c r="B58" s="75" t="s">
        <v>261</v>
      </c>
      <c r="C58" s="75" t="s">
        <v>260</v>
      </c>
      <c r="D58" s="77">
        <v>1</v>
      </c>
      <c r="E58" s="79">
        <v>30420</v>
      </c>
    </row>
    <row r="59" spans="1:6" x14ac:dyDescent="0.25">
      <c r="A59" s="75" t="s">
        <v>1099</v>
      </c>
      <c r="B59" s="75" t="s">
        <v>272</v>
      </c>
      <c r="C59" s="75" t="s">
        <v>298</v>
      </c>
      <c r="D59" s="77">
        <v>1</v>
      </c>
      <c r="E59" s="79">
        <v>28777</v>
      </c>
    </row>
    <row r="60" spans="1:6" x14ac:dyDescent="0.25">
      <c r="A60" s="75" t="s">
        <v>1098</v>
      </c>
      <c r="B60" s="75" t="s">
        <v>241</v>
      </c>
      <c r="C60" s="75" t="s">
        <v>735</v>
      </c>
      <c r="D60" s="77">
        <v>62</v>
      </c>
      <c r="E60" s="79">
        <v>28072.11</v>
      </c>
    </row>
    <row r="61" spans="1:6" x14ac:dyDescent="0.25">
      <c r="A61" s="75" t="s">
        <v>1090</v>
      </c>
      <c r="B61" s="75" t="s">
        <v>241</v>
      </c>
      <c r="C61" s="75" t="s">
        <v>736</v>
      </c>
      <c r="D61" s="77">
        <v>62</v>
      </c>
      <c r="E61" s="79">
        <v>27794</v>
      </c>
    </row>
    <row r="62" spans="1:6" x14ac:dyDescent="0.25">
      <c r="A62" s="75" t="s">
        <v>1091</v>
      </c>
      <c r="B62" s="75" t="s">
        <v>241</v>
      </c>
      <c r="C62" s="75" t="s">
        <v>737</v>
      </c>
      <c r="D62" s="77">
        <v>62</v>
      </c>
      <c r="E62" s="79">
        <v>27794</v>
      </c>
    </row>
    <row r="63" spans="1:6" x14ac:dyDescent="0.25">
      <c r="A63" s="75" t="s">
        <v>1092</v>
      </c>
      <c r="B63" s="75" t="s">
        <v>241</v>
      </c>
      <c r="C63" s="75" t="s">
        <v>733</v>
      </c>
      <c r="D63" s="77">
        <v>55</v>
      </c>
      <c r="E63" s="79">
        <v>27794</v>
      </c>
    </row>
    <row r="64" spans="1:6" x14ac:dyDescent="0.25">
      <c r="A64" s="75" t="s">
        <v>1093</v>
      </c>
      <c r="B64" s="75" t="s">
        <v>241</v>
      </c>
      <c r="C64" s="75" t="s">
        <v>738</v>
      </c>
      <c r="D64" s="77">
        <v>34</v>
      </c>
      <c r="E64" s="79">
        <v>27794</v>
      </c>
    </row>
    <row r="65" spans="1:5" x14ac:dyDescent="0.25">
      <c r="A65" s="75" t="s">
        <v>1094</v>
      </c>
      <c r="B65" s="75" t="s">
        <v>241</v>
      </c>
      <c r="C65" s="75" t="s">
        <v>734</v>
      </c>
      <c r="D65" s="77">
        <v>34</v>
      </c>
      <c r="E65" s="79">
        <v>27794</v>
      </c>
    </row>
    <row r="66" spans="1:5" x14ac:dyDescent="0.25">
      <c r="A66" s="75" t="s">
        <v>1095</v>
      </c>
      <c r="B66" s="75" t="s">
        <v>241</v>
      </c>
      <c r="C66" s="75" t="s">
        <v>732</v>
      </c>
      <c r="D66" s="77">
        <v>34</v>
      </c>
      <c r="E66" s="79">
        <v>27794</v>
      </c>
    </row>
    <row r="67" spans="1:5" x14ac:dyDescent="0.25">
      <c r="A67" s="75" t="s">
        <v>1096</v>
      </c>
      <c r="B67" s="75" t="s">
        <v>241</v>
      </c>
      <c r="C67" s="75" t="s">
        <v>731</v>
      </c>
      <c r="D67" s="77">
        <v>34</v>
      </c>
      <c r="E67" s="79">
        <v>27794</v>
      </c>
    </row>
    <row r="68" spans="1:5" x14ac:dyDescent="0.25">
      <c r="A68" s="75" t="s">
        <v>1097</v>
      </c>
      <c r="B68" s="75" t="s">
        <v>241</v>
      </c>
      <c r="C68" s="75" t="s">
        <v>296</v>
      </c>
      <c r="D68" s="77">
        <v>13</v>
      </c>
      <c r="E68" s="79">
        <v>27794</v>
      </c>
    </row>
    <row r="69" spans="1:5" x14ac:dyDescent="0.25">
      <c r="A69" s="75" t="s">
        <v>1088</v>
      </c>
      <c r="B69" s="75" t="s">
        <v>272</v>
      </c>
      <c r="C69" s="75" t="s">
        <v>286</v>
      </c>
      <c r="D69" s="77">
        <v>20</v>
      </c>
      <c r="E69" s="79">
        <v>27035</v>
      </c>
    </row>
    <row r="70" spans="1:5" x14ac:dyDescent="0.25">
      <c r="A70" s="75" t="s">
        <v>1089</v>
      </c>
      <c r="B70" s="75" t="s">
        <v>272</v>
      </c>
      <c r="C70" s="75" t="s">
        <v>280</v>
      </c>
      <c r="D70" s="77">
        <v>20</v>
      </c>
      <c r="E70" s="79">
        <v>27035</v>
      </c>
    </row>
    <row r="71" spans="1:5" x14ac:dyDescent="0.25">
      <c r="A71" s="75" t="s">
        <v>1082</v>
      </c>
      <c r="B71" s="75" t="s">
        <v>692</v>
      </c>
      <c r="C71" s="75" t="s">
        <v>1083</v>
      </c>
      <c r="D71" s="77">
        <v>126</v>
      </c>
      <c r="E71" s="79">
        <v>26993.67</v>
      </c>
    </row>
    <row r="72" spans="1:5" x14ac:dyDescent="0.25">
      <c r="A72" s="75" t="s">
        <v>1084</v>
      </c>
      <c r="B72" s="75" t="s">
        <v>692</v>
      </c>
      <c r="C72" s="75" t="s">
        <v>1085</v>
      </c>
      <c r="D72" s="77">
        <v>122</v>
      </c>
      <c r="E72" s="79">
        <v>26993.67</v>
      </c>
    </row>
    <row r="73" spans="1:5" x14ac:dyDescent="0.25">
      <c r="A73" s="75" t="s">
        <v>1086</v>
      </c>
      <c r="B73" s="75" t="s">
        <v>692</v>
      </c>
      <c r="C73" s="75" t="s">
        <v>1087</v>
      </c>
      <c r="D73" s="77">
        <v>122</v>
      </c>
      <c r="E73" s="79">
        <v>26993.67</v>
      </c>
    </row>
    <row r="74" spans="1:5" x14ac:dyDescent="0.25">
      <c r="A74" s="75" t="s">
        <v>1081</v>
      </c>
      <c r="B74" s="75" t="s">
        <v>241</v>
      </c>
      <c r="C74" s="75" t="s">
        <v>739</v>
      </c>
      <c r="D74" s="77">
        <v>62</v>
      </c>
      <c r="E74" s="79">
        <v>26756.11</v>
      </c>
    </row>
    <row r="75" spans="1:5" x14ac:dyDescent="0.25">
      <c r="A75" s="75" t="s">
        <v>1076</v>
      </c>
      <c r="B75" s="75" t="s">
        <v>241</v>
      </c>
      <c r="C75" s="75" t="s">
        <v>743</v>
      </c>
      <c r="D75" s="77">
        <v>55</v>
      </c>
      <c r="E75" s="79">
        <v>26478</v>
      </c>
    </row>
    <row r="76" spans="1:5" x14ac:dyDescent="0.25">
      <c r="A76" s="75" t="s">
        <v>1077</v>
      </c>
      <c r="B76" s="75" t="s">
        <v>241</v>
      </c>
      <c r="C76" s="75" t="s">
        <v>740</v>
      </c>
      <c r="D76" s="77">
        <v>34</v>
      </c>
      <c r="E76" s="79">
        <v>26478</v>
      </c>
    </row>
    <row r="77" spans="1:5" x14ac:dyDescent="0.25">
      <c r="A77" s="75" t="s">
        <v>1078</v>
      </c>
      <c r="B77" s="75" t="s">
        <v>241</v>
      </c>
      <c r="C77" s="75" t="s">
        <v>745</v>
      </c>
      <c r="D77" s="77">
        <v>34</v>
      </c>
      <c r="E77" s="79">
        <v>26478</v>
      </c>
    </row>
    <row r="78" spans="1:5" x14ac:dyDescent="0.25">
      <c r="A78" s="75" t="s">
        <v>1079</v>
      </c>
      <c r="B78" s="75" t="s">
        <v>241</v>
      </c>
      <c r="C78" s="75" t="s">
        <v>741</v>
      </c>
      <c r="D78" s="77">
        <v>34</v>
      </c>
      <c r="E78" s="79">
        <v>26478</v>
      </c>
    </row>
    <row r="79" spans="1:5" x14ac:dyDescent="0.25">
      <c r="A79" s="75" t="s">
        <v>1080</v>
      </c>
      <c r="B79" s="75" t="s">
        <v>241</v>
      </c>
      <c r="C79" s="75" t="s">
        <v>742</v>
      </c>
      <c r="D79" s="77">
        <v>34</v>
      </c>
      <c r="E79" s="79">
        <v>26478</v>
      </c>
    </row>
    <row r="80" spans="1:5" x14ac:dyDescent="0.25">
      <c r="A80" s="75" t="s">
        <v>1074</v>
      </c>
      <c r="B80" s="75" t="s">
        <v>692</v>
      </c>
      <c r="C80" s="75" t="s">
        <v>1075</v>
      </c>
      <c r="D80" s="77">
        <v>133</v>
      </c>
      <c r="E80" s="79">
        <v>26099.96</v>
      </c>
    </row>
    <row r="81" spans="1:6" x14ac:dyDescent="0.25">
      <c r="A81" s="75" t="s">
        <v>1071</v>
      </c>
      <c r="B81" s="75" t="s">
        <v>241</v>
      </c>
      <c r="C81" s="75" t="s">
        <v>707</v>
      </c>
      <c r="D81" s="77">
        <v>62</v>
      </c>
      <c r="E81" s="79">
        <v>26053.86</v>
      </c>
      <c r="F81" s="73"/>
    </row>
    <row r="82" spans="1:6" x14ac:dyDescent="0.25">
      <c r="A82" s="75" t="s">
        <v>1072</v>
      </c>
      <c r="B82" s="75" t="s">
        <v>241</v>
      </c>
      <c r="C82" s="75" t="s">
        <v>712</v>
      </c>
      <c r="D82" s="77">
        <v>62</v>
      </c>
      <c r="E82" s="79">
        <v>26053.86</v>
      </c>
      <c r="F82" s="73"/>
    </row>
    <row r="83" spans="1:6" x14ac:dyDescent="0.25">
      <c r="A83" s="75" t="s">
        <v>1073</v>
      </c>
      <c r="B83" s="75" t="s">
        <v>241</v>
      </c>
      <c r="C83" s="75" t="s">
        <v>719</v>
      </c>
      <c r="D83" s="77">
        <v>62</v>
      </c>
      <c r="E83" s="79">
        <v>26053.86</v>
      </c>
      <c r="F83" s="73"/>
    </row>
    <row r="84" spans="1:6" x14ac:dyDescent="0.25">
      <c r="A84" s="75" t="s">
        <v>1070</v>
      </c>
      <c r="B84" s="75" t="s">
        <v>241</v>
      </c>
      <c r="C84" s="75" t="s">
        <v>711</v>
      </c>
      <c r="D84" s="77">
        <v>62</v>
      </c>
      <c r="E84" s="79">
        <v>25927.86</v>
      </c>
      <c r="F84" s="73"/>
    </row>
    <row r="85" spans="1:6" x14ac:dyDescent="0.25">
      <c r="A85" s="75" t="s">
        <v>1064</v>
      </c>
      <c r="B85" s="75" t="s">
        <v>272</v>
      </c>
      <c r="C85" s="75" t="s">
        <v>282</v>
      </c>
      <c r="D85" s="77">
        <v>20</v>
      </c>
      <c r="E85" s="79">
        <v>25900</v>
      </c>
      <c r="F85" s="73"/>
    </row>
    <row r="86" spans="1:6" x14ac:dyDescent="0.25">
      <c r="A86" s="75" t="s">
        <v>1065</v>
      </c>
      <c r="B86" s="75" t="s">
        <v>272</v>
      </c>
      <c r="C86" s="75" t="s">
        <v>288</v>
      </c>
      <c r="D86" s="77">
        <v>20</v>
      </c>
      <c r="E86" s="79">
        <v>25900</v>
      </c>
      <c r="F86" s="73"/>
    </row>
    <row r="87" spans="1:6" x14ac:dyDescent="0.25">
      <c r="A87" s="75" t="s">
        <v>1066</v>
      </c>
      <c r="B87" s="75" t="s">
        <v>272</v>
      </c>
      <c r="C87" s="75" t="s">
        <v>290</v>
      </c>
      <c r="D87" s="77">
        <v>20</v>
      </c>
      <c r="E87" s="79">
        <v>25900</v>
      </c>
      <c r="F87" s="73"/>
    </row>
    <row r="88" spans="1:6" x14ac:dyDescent="0.25">
      <c r="A88" s="75" t="s">
        <v>1067</v>
      </c>
      <c r="B88" s="75" t="s">
        <v>272</v>
      </c>
      <c r="C88" s="75" t="s">
        <v>292</v>
      </c>
      <c r="D88" s="77">
        <v>20</v>
      </c>
      <c r="E88" s="79">
        <v>25900</v>
      </c>
      <c r="F88" s="73"/>
    </row>
    <row r="89" spans="1:6" x14ac:dyDescent="0.25">
      <c r="A89" s="75" t="s">
        <v>1068</v>
      </c>
      <c r="B89" s="75" t="s">
        <v>272</v>
      </c>
      <c r="C89" s="75" t="s">
        <v>294</v>
      </c>
      <c r="D89" s="77">
        <v>15</v>
      </c>
      <c r="E89" s="79">
        <v>25900</v>
      </c>
      <c r="F89" s="73"/>
    </row>
    <row r="90" spans="1:6" x14ac:dyDescent="0.25">
      <c r="A90" s="75" t="s">
        <v>1069</v>
      </c>
      <c r="B90" s="75" t="s">
        <v>272</v>
      </c>
      <c r="C90" s="75" t="s">
        <v>284</v>
      </c>
      <c r="D90" s="77">
        <v>1</v>
      </c>
      <c r="E90" s="79">
        <v>25900</v>
      </c>
      <c r="F90" s="73"/>
    </row>
    <row r="91" spans="1:6" x14ac:dyDescent="0.25">
      <c r="A91" s="75" t="s">
        <v>1063</v>
      </c>
      <c r="B91" s="75" t="s">
        <v>241</v>
      </c>
      <c r="C91" s="75" t="s">
        <v>715</v>
      </c>
      <c r="D91" s="77">
        <v>62</v>
      </c>
      <c r="E91" s="79">
        <v>25893.86</v>
      </c>
      <c r="F91" s="73"/>
    </row>
    <row r="92" spans="1:6" x14ac:dyDescent="0.25">
      <c r="A92" s="75" t="s">
        <v>1057</v>
      </c>
      <c r="B92" s="75" t="s">
        <v>692</v>
      </c>
      <c r="C92" s="75" t="s">
        <v>1058</v>
      </c>
      <c r="D92" s="77">
        <v>138</v>
      </c>
      <c r="E92" s="79">
        <v>25832</v>
      </c>
      <c r="F92" s="73"/>
    </row>
    <row r="93" spans="1:6" x14ac:dyDescent="0.25">
      <c r="A93" s="75" t="s">
        <v>1059</v>
      </c>
      <c r="B93" s="75" t="s">
        <v>692</v>
      </c>
      <c r="C93" s="75" t="s">
        <v>1060</v>
      </c>
      <c r="D93" s="77">
        <v>133</v>
      </c>
      <c r="E93" s="79">
        <v>25832</v>
      </c>
      <c r="F93" s="73"/>
    </row>
    <row r="94" spans="1:6" x14ac:dyDescent="0.25">
      <c r="A94" s="75" t="s">
        <v>1061</v>
      </c>
      <c r="B94" s="75" t="s">
        <v>692</v>
      </c>
      <c r="C94" s="75" t="s">
        <v>1062</v>
      </c>
      <c r="D94" s="77">
        <v>122</v>
      </c>
      <c r="E94" s="79">
        <v>25832</v>
      </c>
      <c r="F94" s="73"/>
    </row>
    <row r="95" spans="1:6" x14ac:dyDescent="0.25">
      <c r="A95" s="75" t="s">
        <v>1055</v>
      </c>
      <c r="B95" s="75" t="s">
        <v>241</v>
      </c>
      <c r="C95" s="75" t="s">
        <v>708</v>
      </c>
      <c r="D95" s="77">
        <v>31</v>
      </c>
      <c r="E95" s="79">
        <v>25102.31</v>
      </c>
      <c r="F95" s="73"/>
    </row>
    <row r="96" spans="1:6" x14ac:dyDescent="0.25">
      <c r="A96" s="75" t="s">
        <v>1056</v>
      </c>
      <c r="B96" s="75" t="s">
        <v>241</v>
      </c>
      <c r="C96" s="75" t="s">
        <v>709</v>
      </c>
      <c r="D96" s="77">
        <v>17</v>
      </c>
      <c r="E96" s="79">
        <v>25102.31</v>
      </c>
      <c r="F96" s="73"/>
    </row>
    <row r="97" spans="1:5" x14ac:dyDescent="0.25">
      <c r="A97" s="75" t="s">
        <v>1049</v>
      </c>
      <c r="B97" s="75" t="s">
        <v>241</v>
      </c>
      <c r="C97" s="75" t="s">
        <v>714</v>
      </c>
      <c r="D97" s="77">
        <v>62</v>
      </c>
      <c r="E97" s="79">
        <v>24839</v>
      </c>
    </row>
    <row r="98" spans="1:5" x14ac:dyDescent="0.25">
      <c r="A98" s="75" t="s">
        <v>1050</v>
      </c>
      <c r="B98" s="75" t="s">
        <v>241</v>
      </c>
      <c r="C98" s="75" t="s">
        <v>710</v>
      </c>
      <c r="D98" s="77">
        <v>57</v>
      </c>
      <c r="E98" s="79">
        <v>24839</v>
      </c>
    </row>
    <row r="99" spans="1:5" x14ac:dyDescent="0.25">
      <c r="A99" s="75" t="s">
        <v>1051</v>
      </c>
      <c r="B99" s="75" t="s">
        <v>241</v>
      </c>
      <c r="C99" s="75" t="s">
        <v>716</v>
      </c>
      <c r="D99" s="77">
        <v>57</v>
      </c>
      <c r="E99" s="79">
        <v>24839</v>
      </c>
    </row>
    <row r="100" spans="1:5" x14ac:dyDescent="0.25">
      <c r="A100" s="75" t="s">
        <v>1052</v>
      </c>
      <c r="B100" s="75" t="s">
        <v>241</v>
      </c>
      <c r="C100" s="75" t="s">
        <v>718</v>
      </c>
      <c r="D100" s="77">
        <v>34</v>
      </c>
      <c r="E100" s="79">
        <v>24839</v>
      </c>
    </row>
    <row r="101" spans="1:5" x14ac:dyDescent="0.25">
      <c r="A101" s="75" t="s">
        <v>1053</v>
      </c>
      <c r="B101" s="75" t="s">
        <v>241</v>
      </c>
      <c r="C101" s="75" t="s">
        <v>713</v>
      </c>
      <c r="D101" s="77">
        <v>34</v>
      </c>
      <c r="E101" s="79">
        <v>24839</v>
      </c>
    </row>
    <row r="102" spans="1:5" x14ac:dyDescent="0.25">
      <c r="A102" s="75" t="s">
        <v>1054</v>
      </c>
      <c r="B102" s="75" t="s">
        <v>241</v>
      </c>
      <c r="C102" s="75" t="s">
        <v>717</v>
      </c>
      <c r="D102" s="77">
        <v>34</v>
      </c>
      <c r="E102" s="79">
        <v>24839</v>
      </c>
    </row>
    <row r="103" spans="1:5" x14ac:dyDescent="0.25">
      <c r="A103" s="75" t="s">
        <v>1048</v>
      </c>
      <c r="B103" s="75" t="s">
        <v>272</v>
      </c>
      <c r="C103" s="75" t="s">
        <v>697</v>
      </c>
      <c r="D103" s="77">
        <v>31</v>
      </c>
      <c r="E103" s="79">
        <v>24752.87</v>
      </c>
    </row>
    <row r="104" spans="1:5" x14ac:dyDescent="0.25">
      <c r="A104" s="75" t="s">
        <v>1046</v>
      </c>
      <c r="B104" s="75" t="s">
        <v>692</v>
      </c>
      <c r="C104" s="75" t="s">
        <v>1047</v>
      </c>
      <c r="D104" s="77">
        <v>57</v>
      </c>
      <c r="E104" s="79">
        <v>24422</v>
      </c>
    </row>
    <row r="105" spans="1:5" x14ac:dyDescent="0.25">
      <c r="A105" s="75" t="s">
        <v>1044</v>
      </c>
      <c r="B105" s="75" t="s">
        <v>692</v>
      </c>
      <c r="C105" s="75" t="s">
        <v>1045</v>
      </c>
      <c r="D105" s="77">
        <v>133</v>
      </c>
      <c r="E105" s="79">
        <v>24317.07</v>
      </c>
    </row>
    <row r="106" spans="1:5" x14ac:dyDescent="0.25">
      <c r="A106" s="75" t="s">
        <v>1043</v>
      </c>
      <c r="B106" s="75" t="s">
        <v>241</v>
      </c>
      <c r="C106" s="75" t="s">
        <v>600</v>
      </c>
      <c r="D106" s="77">
        <v>31</v>
      </c>
      <c r="E106" s="79">
        <v>23789.11</v>
      </c>
    </row>
    <row r="107" spans="1:5" x14ac:dyDescent="0.25">
      <c r="A107" s="75" t="s">
        <v>1039</v>
      </c>
      <c r="B107" s="75" t="s">
        <v>272</v>
      </c>
      <c r="C107" s="75" t="s">
        <v>271</v>
      </c>
      <c r="D107" s="77">
        <v>21</v>
      </c>
      <c r="E107" s="79">
        <v>23606</v>
      </c>
    </row>
    <row r="108" spans="1:5" x14ac:dyDescent="0.25">
      <c r="A108" s="75" t="s">
        <v>1040</v>
      </c>
      <c r="B108" s="75" t="s">
        <v>272</v>
      </c>
      <c r="C108" s="75" t="s">
        <v>276</v>
      </c>
      <c r="D108" s="77">
        <v>21</v>
      </c>
      <c r="E108" s="79">
        <v>23606</v>
      </c>
    </row>
    <row r="109" spans="1:5" x14ac:dyDescent="0.25">
      <c r="A109" s="75" t="s">
        <v>1041</v>
      </c>
      <c r="B109" s="75" t="s">
        <v>272</v>
      </c>
      <c r="C109" s="75" t="s">
        <v>278</v>
      </c>
      <c r="D109" s="77">
        <v>21</v>
      </c>
      <c r="E109" s="79">
        <v>23606</v>
      </c>
    </row>
    <row r="110" spans="1:5" x14ac:dyDescent="0.25">
      <c r="A110" s="75" t="s">
        <v>1042</v>
      </c>
      <c r="B110" s="75" t="s">
        <v>272</v>
      </c>
      <c r="C110" s="75" t="s">
        <v>274</v>
      </c>
      <c r="D110" s="77">
        <v>21</v>
      </c>
      <c r="E110" s="79">
        <v>23606</v>
      </c>
    </row>
    <row r="111" spans="1:5" x14ac:dyDescent="0.25">
      <c r="A111" s="75" t="s">
        <v>1035</v>
      </c>
      <c r="B111" s="75" t="s">
        <v>241</v>
      </c>
      <c r="C111" s="75" t="s">
        <v>728</v>
      </c>
      <c r="D111" s="77">
        <v>62</v>
      </c>
      <c r="E111" s="79">
        <v>23511</v>
      </c>
    </row>
    <row r="112" spans="1:5" x14ac:dyDescent="0.25">
      <c r="A112" s="75" t="s">
        <v>1036</v>
      </c>
      <c r="B112" s="75" t="s">
        <v>241</v>
      </c>
      <c r="C112" s="75" t="s">
        <v>726</v>
      </c>
      <c r="D112" s="77">
        <v>62</v>
      </c>
      <c r="E112" s="79">
        <v>23511</v>
      </c>
    </row>
    <row r="113" spans="1:7" x14ac:dyDescent="0.25">
      <c r="A113" s="75" t="s">
        <v>1037</v>
      </c>
      <c r="B113" s="75" t="s">
        <v>241</v>
      </c>
      <c r="C113" s="75" t="s">
        <v>724</v>
      </c>
      <c r="D113" s="77">
        <v>62</v>
      </c>
      <c r="E113" s="79">
        <v>23511</v>
      </c>
    </row>
    <row r="114" spans="1:7" x14ac:dyDescent="0.25">
      <c r="A114" s="75" t="s">
        <v>1038</v>
      </c>
      <c r="B114" s="75" t="s">
        <v>241</v>
      </c>
      <c r="C114" s="75" t="s">
        <v>725</v>
      </c>
      <c r="D114" s="77">
        <v>55</v>
      </c>
      <c r="E114" s="79">
        <v>23511</v>
      </c>
    </row>
    <row r="115" spans="1:7" x14ac:dyDescent="0.25">
      <c r="A115" s="75" t="s">
        <v>1033</v>
      </c>
      <c r="B115" s="75" t="s">
        <v>692</v>
      </c>
      <c r="C115" s="75" t="s">
        <v>1034</v>
      </c>
      <c r="D115" s="77">
        <v>57</v>
      </c>
      <c r="E115" s="79">
        <v>23376.99</v>
      </c>
    </row>
    <row r="116" spans="1:7" s="73" customFormat="1" x14ac:dyDescent="0.25">
      <c r="A116" s="75"/>
      <c r="B116" s="75"/>
      <c r="C116" s="75"/>
      <c r="D116" s="77"/>
      <c r="E116" s="79"/>
    </row>
    <row r="117" spans="1:7" s="73" customFormat="1" x14ac:dyDescent="0.25">
      <c r="A117" s="75"/>
      <c r="B117" s="75"/>
      <c r="C117" s="75"/>
      <c r="D117" s="77"/>
      <c r="E117" s="79"/>
    </row>
    <row r="118" spans="1:7" x14ac:dyDescent="0.25">
      <c r="A118" s="75" t="s">
        <v>1031</v>
      </c>
      <c r="B118" s="75" t="s">
        <v>681</v>
      </c>
      <c r="C118" s="75" t="s">
        <v>758</v>
      </c>
      <c r="D118" s="77">
        <v>122</v>
      </c>
      <c r="E118" s="79">
        <v>500</v>
      </c>
      <c r="F118" s="75" t="s">
        <v>1032</v>
      </c>
      <c r="G118" s="75" t="s">
        <v>1191</v>
      </c>
    </row>
    <row r="119" spans="1:7" x14ac:dyDescent="0.25">
      <c r="A119" s="75" t="s">
        <v>1028</v>
      </c>
      <c r="B119" s="75" t="s">
        <v>692</v>
      </c>
      <c r="C119" s="75" t="s">
        <v>1029</v>
      </c>
      <c r="D119" s="77">
        <v>50</v>
      </c>
      <c r="E119" s="79">
        <v>-44.95</v>
      </c>
      <c r="F119" s="75" t="s">
        <v>1030</v>
      </c>
    </row>
    <row r="120" spans="1:7" x14ac:dyDescent="0.25">
      <c r="A120" s="75" t="s">
        <v>1025</v>
      </c>
      <c r="B120" s="75" t="s">
        <v>681</v>
      </c>
      <c r="C120" s="75" t="s">
        <v>1026</v>
      </c>
      <c r="D120" s="77">
        <v>184</v>
      </c>
      <c r="E120" s="79">
        <v>-135</v>
      </c>
      <c r="F120" s="75" t="s">
        <v>1027</v>
      </c>
    </row>
    <row r="121" spans="1:7" x14ac:dyDescent="0.25">
      <c r="A121" s="75" t="s">
        <v>1019</v>
      </c>
      <c r="B121" s="75" t="s">
        <v>937</v>
      </c>
      <c r="C121" s="75" t="s">
        <v>1020</v>
      </c>
      <c r="D121" s="77">
        <v>715</v>
      </c>
      <c r="E121" s="79">
        <v>-223.6</v>
      </c>
      <c r="F121" s="75" t="s">
        <v>1021</v>
      </c>
    </row>
    <row r="122" spans="1:7" x14ac:dyDescent="0.25">
      <c r="A122" s="75" t="s">
        <v>1022</v>
      </c>
      <c r="B122" s="75" t="s">
        <v>937</v>
      </c>
      <c r="C122" s="75" t="s">
        <v>1023</v>
      </c>
      <c r="D122" s="77">
        <v>709</v>
      </c>
      <c r="E122" s="79">
        <v>-223.6</v>
      </c>
      <c r="F122" s="75" t="s">
        <v>1024</v>
      </c>
    </row>
    <row r="123" spans="1:7" x14ac:dyDescent="0.25">
      <c r="A123" s="75" t="s">
        <v>1017</v>
      </c>
      <c r="B123" s="75" t="s">
        <v>696</v>
      </c>
      <c r="C123" s="75" t="s">
        <v>1018</v>
      </c>
      <c r="D123" s="77">
        <v>111</v>
      </c>
      <c r="E123" s="79">
        <v>-350</v>
      </c>
      <c r="F123" s="75" t="s">
        <v>828</v>
      </c>
    </row>
    <row r="124" spans="1:7" x14ac:dyDescent="0.25">
      <c r="A124" s="75" t="s">
        <v>240</v>
      </c>
      <c r="B124" s="75" t="s">
        <v>241</v>
      </c>
      <c r="C124" s="75" t="s">
        <v>242</v>
      </c>
      <c r="D124" s="77">
        <v>34</v>
      </c>
      <c r="E124" s="79">
        <v>-408.55</v>
      </c>
    </row>
    <row r="125" spans="1:7" x14ac:dyDescent="0.25">
      <c r="A125" s="75" t="s">
        <v>1014</v>
      </c>
      <c r="B125" s="75" t="s">
        <v>226</v>
      </c>
      <c r="C125" s="75" t="s">
        <v>1015</v>
      </c>
      <c r="D125" s="77">
        <v>34</v>
      </c>
      <c r="E125" s="79">
        <v>-458.85</v>
      </c>
      <c r="F125" s="75" t="s">
        <v>1016</v>
      </c>
    </row>
    <row r="126" spans="1:7" x14ac:dyDescent="0.25">
      <c r="A126" s="75" t="s">
        <v>1012</v>
      </c>
      <c r="B126" s="75" t="s">
        <v>681</v>
      </c>
      <c r="C126" s="75" t="s">
        <v>775</v>
      </c>
      <c r="D126" s="77">
        <v>57</v>
      </c>
      <c r="E126" s="79">
        <v>-615</v>
      </c>
      <c r="F126" s="75" t="s">
        <v>1013</v>
      </c>
    </row>
    <row r="127" spans="1:7" x14ac:dyDescent="0.25">
      <c r="A127" s="75" t="s">
        <v>1008</v>
      </c>
      <c r="B127" s="75" t="s">
        <v>1009</v>
      </c>
      <c r="C127" s="75" t="s">
        <v>1010</v>
      </c>
      <c r="D127" s="77">
        <v>605</v>
      </c>
      <c r="E127" s="79">
        <v>-808</v>
      </c>
      <c r="F127" s="75" t="s">
        <v>1011</v>
      </c>
    </row>
    <row r="128" spans="1:7" x14ac:dyDescent="0.25">
      <c r="A128" s="75" t="s">
        <v>1005</v>
      </c>
      <c r="B128" s="75" t="s">
        <v>681</v>
      </c>
      <c r="C128" s="75" t="s">
        <v>1006</v>
      </c>
      <c r="D128" s="77">
        <v>126</v>
      </c>
      <c r="E128" s="79">
        <v>-915.07</v>
      </c>
      <c r="F128" s="75" t="s">
        <v>1007</v>
      </c>
    </row>
    <row r="129" spans="1:6" x14ac:dyDescent="0.25">
      <c r="A129" s="75" t="s">
        <v>1003</v>
      </c>
      <c r="B129" s="75" t="s">
        <v>681</v>
      </c>
      <c r="C129" s="75" t="s">
        <v>757</v>
      </c>
      <c r="D129" s="77">
        <v>17</v>
      </c>
      <c r="E129" s="79">
        <v>-1061.57</v>
      </c>
      <c r="F129" s="75" t="s">
        <v>1004</v>
      </c>
    </row>
    <row r="130" spans="1:6" x14ac:dyDescent="0.25">
      <c r="A130" s="75" t="s">
        <v>1000</v>
      </c>
      <c r="B130" s="75" t="s">
        <v>837</v>
      </c>
      <c r="C130" s="75" t="s">
        <v>1001</v>
      </c>
      <c r="D130" s="77">
        <v>682</v>
      </c>
      <c r="E130" s="79">
        <v>-1074.95</v>
      </c>
      <c r="F130" s="75" t="s">
        <v>1002</v>
      </c>
    </row>
    <row r="131" spans="1:6" x14ac:dyDescent="0.25">
      <c r="A131" s="75" t="s">
        <v>999</v>
      </c>
      <c r="B131" s="75" t="s">
        <v>681</v>
      </c>
      <c r="C131" s="75" t="s">
        <v>759</v>
      </c>
      <c r="D131" s="77">
        <v>13</v>
      </c>
      <c r="E131" s="79">
        <v>-1370.98</v>
      </c>
    </row>
    <row r="132" spans="1:6" x14ac:dyDescent="0.25">
      <c r="A132" s="75" t="s">
        <v>998</v>
      </c>
      <c r="B132" s="75" t="s">
        <v>226</v>
      </c>
      <c r="C132" s="75" t="s">
        <v>754</v>
      </c>
      <c r="D132" s="77">
        <v>10</v>
      </c>
      <c r="E132" s="79">
        <v>-1571.71</v>
      </c>
    </row>
    <row r="133" spans="1:6" x14ac:dyDescent="0.25">
      <c r="A133" s="75" t="s">
        <v>996</v>
      </c>
      <c r="B133" s="75" t="s">
        <v>681</v>
      </c>
      <c r="C133" s="75" t="s">
        <v>778</v>
      </c>
      <c r="D133" s="77">
        <v>94</v>
      </c>
      <c r="E133" s="79">
        <v>-2143.0300000000002</v>
      </c>
      <c r="F133" s="75" t="s">
        <v>997</v>
      </c>
    </row>
  </sheetData>
  <autoFilter ref="A1:F135" xr:uid="{E2D6CFA1-77C2-4D10-A0AD-BEAB909A43E7}">
    <sortState xmlns:xlrd2="http://schemas.microsoft.com/office/spreadsheetml/2017/richdata2" ref="A2:F135">
      <sortCondition descending="1" ref="E1:E135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0469-74DF-413E-94DF-8E3A3DEBA4BF}">
  <dimension ref="A1:E3"/>
  <sheetViews>
    <sheetView workbookViewId="0">
      <selection activeCell="E3" sqref="E3"/>
    </sheetView>
  </sheetViews>
  <sheetFormatPr baseColWidth="10" defaultRowHeight="15" x14ac:dyDescent="0.25"/>
  <sheetData>
    <row r="1" spans="1:5" x14ac:dyDescent="0.25">
      <c r="A1" s="75" t="s">
        <v>994</v>
      </c>
      <c r="B1" s="75" t="s">
        <v>995</v>
      </c>
      <c r="C1" s="73"/>
      <c r="D1" s="77">
        <v>1096</v>
      </c>
      <c r="E1" s="79">
        <v>-33322.31</v>
      </c>
    </row>
    <row r="2" spans="1:5" x14ac:dyDescent="0.25">
      <c r="A2" s="75" t="s">
        <v>992</v>
      </c>
      <c r="B2" s="75" t="s">
        <v>993</v>
      </c>
      <c r="C2" s="73"/>
      <c r="D2" s="77">
        <v>233</v>
      </c>
      <c r="E2" s="79">
        <v>-37480.61</v>
      </c>
    </row>
    <row r="3" spans="1:5" x14ac:dyDescent="0.25">
      <c r="A3" s="75" t="s">
        <v>181</v>
      </c>
      <c r="B3" s="75" t="s">
        <v>673</v>
      </c>
      <c r="C3" s="73"/>
      <c r="D3" s="77">
        <v>280</v>
      </c>
      <c r="E3" s="79">
        <v>-1852.75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0F77-8946-4253-BAC8-642994304107}">
  <dimension ref="A1:I10"/>
  <sheetViews>
    <sheetView workbookViewId="0">
      <selection activeCell="H7" sqref="H7"/>
    </sheetView>
  </sheetViews>
  <sheetFormatPr baseColWidth="10" defaultRowHeight="15" x14ac:dyDescent="0.25"/>
  <cols>
    <col min="2" max="2" width="27.7109375" bestFit="1" customWidth="1"/>
    <col min="8" max="8" width="26.5703125" bestFit="1" customWidth="1"/>
  </cols>
  <sheetData>
    <row r="1" spans="1:9" x14ac:dyDescent="0.25">
      <c r="A1" s="82" t="s">
        <v>170</v>
      </c>
      <c r="B1" s="82" t="s">
        <v>1</v>
      </c>
      <c r="C1" s="84" t="s">
        <v>171</v>
      </c>
      <c r="D1" s="84" t="s">
        <v>135</v>
      </c>
      <c r="E1" s="86" t="s">
        <v>172</v>
      </c>
      <c r="F1" s="82" t="s">
        <v>173</v>
      </c>
      <c r="G1" s="82" t="s">
        <v>174</v>
      </c>
      <c r="H1" s="82" t="s">
        <v>214</v>
      </c>
    </row>
    <row r="2" spans="1:9" x14ac:dyDescent="0.25">
      <c r="A2" s="83" t="s">
        <v>1194</v>
      </c>
      <c r="B2" s="83" t="s">
        <v>1195</v>
      </c>
      <c r="C2" s="85">
        <v>35250.71</v>
      </c>
      <c r="D2" s="85">
        <v>35250.71</v>
      </c>
      <c r="E2" s="87">
        <v>28</v>
      </c>
      <c r="F2" s="81"/>
      <c r="G2" s="81"/>
      <c r="H2" s="83" t="s">
        <v>1211</v>
      </c>
      <c r="I2" s="80"/>
    </row>
    <row r="3" spans="1:9" x14ac:dyDescent="0.25">
      <c r="A3" s="83" t="s">
        <v>1203</v>
      </c>
      <c r="B3" s="83" t="s">
        <v>1204</v>
      </c>
      <c r="C3" s="85">
        <v>9989.9599999999991</v>
      </c>
      <c r="D3" s="85">
        <v>9989.9599999999991</v>
      </c>
      <c r="E3" s="87">
        <v>14</v>
      </c>
      <c r="F3" s="81"/>
      <c r="G3" s="81"/>
      <c r="H3" s="81" t="s">
        <v>1212</v>
      </c>
      <c r="I3" s="80"/>
    </row>
    <row r="4" spans="1:9" x14ac:dyDescent="0.25">
      <c r="A4" s="83" t="s">
        <v>1209</v>
      </c>
      <c r="B4" s="83" t="s">
        <v>1210</v>
      </c>
      <c r="C4" s="85">
        <v>-5.81</v>
      </c>
      <c r="D4" s="85">
        <v>-5.81</v>
      </c>
      <c r="E4" s="87">
        <v>0</v>
      </c>
      <c r="F4" s="81"/>
      <c r="G4" s="81"/>
      <c r="H4" s="81" t="s">
        <v>1213</v>
      </c>
    </row>
    <row r="5" spans="1:9" x14ac:dyDescent="0.25">
      <c r="A5" s="83" t="s">
        <v>1205</v>
      </c>
      <c r="B5" s="83" t="s">
        <v>1206</v>
      </c>
      <c r="C5" s="85">
        <v>-30</v>
      </c>
      <c r="D5" s="85">
        <v>-30</v>
      </c>
      <c r="E5" s="87">
        <v>0</v>
      </c>
      <c r="F5" s="81"/>
      <c r="G5" s="81"/>
      <c r="H5" s="81" t="s">
        <v>1213</v>
      </c>
    </row>
    <row r="6" spans="1:9" x14ac:dyDescent="0.25">
      <c r="A6" s="83" t="s">
        <v>1196</v>
      </c>
      <c r="B6" s="83" t="s">
        <v>1197</v>
      </c>
      <c r="C6" s="85">
        <v>-257.81</v>
      </c>
      <c r="D6" s="85">
        <v>-257.81</v>
      </c>
      <c r="E6" s="87">
        <v>23</v>
      </c>
      <c r="F6" s="81"/>
      <c r="G6" s="81"/>
      <c r="H6" s="81" t="s">
        <v>1214</v>
      </c>
    </row>
    <row r="7" spans="1:9" x14ac:dyDescent="0.25">
      <c r="A7" s="83" t="s">
        <v>1207</v>
      </c>
      <c r="B7" s="83" t="s">
        <v>1208</v>
      </c>
      <c r="C7" s="85">
        <v>-391.29</v>
      </c>
      <c r="D7" s="85">
        <v>-391.29</v>
      </c>
      <c r="E7" s="87">
        <v>0</v>
      </c>
      <c r="F7" s="81"/>
      <c r="G7" s="81"/>
      <c r="H7" s="81" t="s">
        <v>1213</v>
      </c>
    </row>
    <row r="8" spans="1:9" x14ac:dyDescent="0.25">
      <c r="A8" s="83" t="s">
        <v>1200</v>
      </c>
      <c r="B8" s="83" t="s">
        <v>1201</v>
      </c>
      <c r="C8" s="85">
        <v>-9698.41</v>
      </c>
      <c r="D8" s="85">
        <v>-9698.41</v>
      </c>
      <c r="E8" s="87">
        <v>15</v>
      </c>
      <c r="F8" s="81"/>
      <c r="G8" s="81"/>
      <c r="H8" s="83" t="s">
        <v>1202</v>
      </c>
    </row>
    <row r="9" spans="1:9" x14ac:dyDescent="0.25">
      <c r="A9" s="83" t="s">
        <v>212</v>
      </c>
      <c r="B9" s="83" t="s">
        <v>213</v>
      </c>
      <c r="C9" s="85">
        <v>-23756.23</v>
      </c>
      <c r="D9" s="85">
        <v>-23756.23</v>
      </c>
      <c r="E9" s="87">
        <v>0</v>
      </c>
      <c r="F9" s="81"/>
      <c r="G9" s="81"/>
      <c r="H9" s="81" t="s">
        <v>1215</v>
      </c>
    </row>
    <row r="10" spans="1:9" x14ac:dyDescent="0.25">
      <c r="A10" s="83" t="s">
        <v>1198</v>
      </c>
      <c r="B10" s="83" t="s">
        <v>1199</v>
      </c>
      <c r="C10" s="85">
        <v>-59853.33</v>
      </c>
      <c r="D10" s="85">
        <v>-59853.33</v>
      </c>
      <c r="E10" s="87">
        <v>15</v>
      </c>
      <c r="F10" s="81"/>
      <c r="G10" s="81"/>
      <c r="H10" s="81" t="s">
        <v>1215</v>
      </c>
    </row>
  </sheetData>
  <autoFilter ref="A1:H10" xr:uid="{89C35E2C-E575-4484-B69F-7BA2E3FE8DDB}">
    <sortState xmlns:xlrd2="http://schemas.microsoft.com/office/spreadsheetml/2017/richdata2" ref="A2:H10">
      <sortCondition descending="1" ref="D1:D10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A709-FB51-43B9-81BC-CB85489F7E8E}">
  <dimension ref="A1:F13"/>
  <sheetViews>
    <sheetView workbookViewId="0">
      <selection activeCell="C13" sqref="C13"/>
    </sheetView>
  </sheetViews>
  <sheetFormatPr baseColWidth="10" defaultRowHeight="15" x14ac:dyDescent="0.25"/>
  <cols>
    <col min="1" max="1" width="9.7109375" bestFit="1" customWidth="1"/>
    <col min="2" max="2" width="23.5703125" bestFit="1" customWidth="1"/>
    <col min="3" max="3" width="9.85546875" bestFit="1" customWidth="1"/>
    <col min="4" max="4" width="5.5703125" bestFit="1" customWidth="1"/>
    <col min="5" max="5" width="20.85546875" bestFit="1" customWidth="1"/>
    <col min="6" max="6" width="39.5703125" bestFit="1" customWidth="1"/>
  </cols>
  <sheetData>
    <row r="1" spans="1:6" x14ac:dyDescent="0.25">
      <c r="A1" s="90" t="s">
        <v>170</v>
      </c>
      <c r="B1" s="90" t="s">
        <v>1</v>
      </c>
      <c r="C1" s="92" t="s">
        <v>139</v>
      </c>
      <c r="D1" s="94" t="s">
        <v>172</v>
      </c>
      <c r="E1" s="90" t="s">
        <v>173</v>
      </c>
      <c r="F1" s="90" t="s">
        <v>214</v>
      </c>
    </row>
    <row r="3" spans="1:6" x14ac:dyDescent="0.25">
      <c r="A3" s="91" t="s">
        <v>1217</v>
      </c>
      <c r="B3" s="91" t="s">
        <v>681</v>
      </c>
      <c r="C3" s="93">
        <v>-44.1</v>
      </c>
      <c r="D3" s="95">
        <v>131</v>
      </c>
      <c r="E3" s="91" t="s">
        <v>1218</v>
      </c>
      <c r="F3" s="89"/>
    </row>
    <row r="4" spans="1:6" x14ac:dyDescent="0.25">
      <c r="A4" s="91" t="s">
        <v>1219</v>
      </c>
      <c r="B4" s="91" t="s">
        <v>250</v>
      </c>
      <c r="C4" s="93">
        <v>-714</v>
      </c>
      <c r="D4" s="95">
        <v>75</v>
      </c>
      <c r="E4" s="91" t="s">
        <v>1220</v>
      </c>
      <c r="F4" s="89"/>
    </row>
    <row r="5" spans="1:6" x14ac:dyDescent="0.25">
      <c r="A5" s="91" t="s">
        <v>1221</v>
      </c>
      <c r="B5" s="91" t="s">
        <v>681</v>
      </c>
      <c r="C5" s="93">
        <v>874</v>
      </c>
      <c r="D5" s="95">
        <v>61</v>
      </c>
      <c r="E5" s="91" t="s">
        <v>1222</v>
      </c>
      <c r="F5" s="91" t="s">
        <v>1227</v>
      </c>
    </row>
    <row r="6" spans="1:6" x14ac:dyDescent="0.25">
      <c r="A6" s="91" t="s">
        <v>1223</v>
      </c>
      <c r="B6" s="91" t="s">
        <v>681</v>
      </c>
      <c r="C6" s="93">
        <v>874</v>
      </c>
      <c r="D6" s="95">
        <v>43</v>
      </c>
      <c r="E6" s="91" t="s">
        <v>769</v>
      </c>
      <c r="F6" s="91" t="s">
        <v>1227</v>
      </c>
    </row>
    <row r="7" spans="1:6" x14ac:dyDescent="0.25">
      <c r="A7" s="91" t="s">
        <v>1224</v>
      </c>
      <c r="B7" s="91" t="s">
        <v>681</v>
      </c>
      <c r="C7" s="93">
        <v>874</v>
      </c>
      <c r="D7" s="95">
        <v>37</v>
      </c>
      <c r="E7" s="91" t="s">
        <v>1225</v>
      </c>
      <c r="F7" s="91" t="s">
        <v>1227</v>
      </c>
    </row>
    <row r="8" spans="1:6" x14ac:dyDescent="0.25">
      <c r="A8" s="91" t="s">
        <v>1226</v>
      </c>
      <c r="B8" s="91" t="s">
        <v>694</v>
      </c>
      <c r="C8" s="93">
        <v>-44.1</v>
      </c>
      <c r="D8" s="95">
        <v>22</v>
      </c>
      <c r="E8" s="91" t="s">
        <v>791</v>
      </c>
      <c r="F8" s="89"/>
    </row>
    <row r="9" spans="1:6" x14ac:dyDescent="0.25">
      <c r="A9" s="91" t="s">
        <v>1105</v>
      </c>
      <c r="B9" s="91" t="s">
        <v>681</v>
      </c>
      <c r="C9" s="93">
        <v>-377.18</v>
      </c>
      <c r="D9" s="95">
        <v>0</v>
      </c>
      <c r="E9" s="91" t="s">
        <v>1106</v>
      </c>
      <c r="F9" s="89"/>
    </row>
    <row r="13" spans="1:6" x14ac:dyDescent="0.25">
      <c r="A13" s="91" t="s">
        <v>181</v>
      </c>
      <c r="B13" s="91" t="s">
        <v>1216</v>
      </c>
      <c r="C13" s="93">
        <v>-10610.32</v>
      </c>
      <c r="D13" s="95">
        <v>230</v>
      </c>
      <c r="E13" s="89"/>
      <c r="F13" s="89" t="s">
        <v>1228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E812-667B-4B06-A406-5A376930E56F}">
  <dimension ref="A1:J4"/>
  <sheetViews>
    <sheetView workbookViewId="0">
      <selection activeCell="D4" sqref="D4"/>
    </sheetView>
  </sheetViews>
  <sheetFormatPr baseColWidth="10" defaultRowHeight="15" x14ac:dyDescent="0.25"/>
  <sheetData>
    <row r="1" spans="1:10" x14ac:dyDescent="0.25">
      <c r="A1" s="97" t="s">
        <v>170</v>
      </c>
      <c r="B1" s="97" t="s">
        <v>1</v>
      </c>
      <c r="C1" s="99" t="s">
        <v>171</v>
      </c>
      <c r="D1" s="99" t="s">
        <v>141</v>
      </c>
      <c r="E1" s="101" t="s">
        <v>172</v>
      </c>
      <c r="F1" s="97" t="s">
        <v>173</v>
      </c>
      <c r="G1" s="97" t="s">
        <v>174</v>
      </c>
      <c r="H1" s="97" t="s">
        <v>246</v>
      </c>
      <c r="I1" s="97" t="s">
        <v>247</v>
      </c>
      <c r="J1" s="97" t="s">
        <v>214</v>
      </c>
    </row>
    <row r="2" spans="1:10" x14ac:dyDescent="0.25">
      <c r="A2" s="98" t="s">
        <v>1230</v>
      </c>
      <c r="B2" s="98" t="s">
        <v>1231</v>
      </c>
      <c r="C2" s="100">
        <v>-486.28</v>
      </c>
      <c r="D2" s="100">
        <v>-486.28</v>
      </c>
      <c r="E2" s="102">
        <v>21</v>
      </c>
      <c r="F2" s="96"/>
      <c r="G2" s="96"/>
      <c r="H2" s="98" t="s">
        <v>1232</v>
      </c>
      <c r="I2" s="98" t="s">
        <v>1233</v>
      </c>
      <c r="J2" s="96"/>
    </row>
    <row r="3" spans="1:10" x14ac:dyDescent="0.25">
      <c r="A3" s="98" t="s">
        <v>1234</v>
      </c>
      <c r="B3" s="96"/>
      <c r="C3" s="100">
        <v>-1172.0899999999999</v>
      </c>
      <c r="D3" s="100">
        <v>-1172.0899999999999</v>
      </c>
      <c r="E3" s="102">
        <v>147</v>
      </c>
      <c r="F3" s="96"/>
      <c r="G3" s="96"/>
      <c r="H3" s="96"/>
      <c r="I3" s="96"/>
      <c r="J3" s="96"/>
    </row>
    <row r="4" spans="1:10" x14ac:dyDescent="0.25">
      <c r="A4" s="98" t="s">
        <v>181</v>
      </c>
      <c r="B4" s="96"/>
      <c r="C4" s="100">
        <v>-371.29</v>
      </c>
      <c r="D4" s="100">
        <v>-371.29</v>
      </c>
      <c r="E4" s="102">
        <v>104</v>
      </c>
      <c r="F4" s="96"/>
      <c r="G4" s="96"/>
      <c r="H4" s="96"/>
      <c r="I4" s="96"/>
      <c r="J4" s="9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A0DA-0D91-4306-B3DE-41B97A281975}">
  <dimension ref="A1:H3"/>
  <sheetViews>
    <sheetView workbookViewId="0">
      <selection activeCell="H7" sqref="H7"/>
    </sheetView>
  </sheetViews>
  <sheetFormatPr baseColWidth="10" defaultRowHeight="15" x14ac:dyDescent="0.25"/>
  <cols>
    <col min="1" max="1" width="9.7109375" bestFit="1" customWidth="1"/>
    <col min="2" max="2" width="28.28515625" bestFit="1" customWidth="1"/>
    <col min="3" max="3" width="9.85546875" bestFit="1" customWidth="1"/>
    <col min="4" max="4" width="5.5703125" bestFit="1" customWidth="1"/>
    <col min="5" max="5" width="20.7109375" bestFit="1" customWidth="1"/>
    <col min="6" max="6" width="13.28515625" bestFit="1" customWidth="1"/>
  </cols>
  <sheetData>
    <row r="1" spans="1:8" x14ac:dyDescent="0.25">
      <c r="A1" s="103" t="s">
        <v>170</v>
      </c>
      <c r="B1" s="103" t="s">
        <v>1</v>
      </c>
      <c r="C1" s="105" t="s">
        <v>145</v>
      </c>
      <c r="D1" s="107" t="s">
        <v>172</v>
      </c>
      <c r="E1" s="103" t="s">
        <v>173</v>
      </c>
      <c r="F1" s="103" t="s">
        <v>214</v>
      </c>
    </row>
    <row r="2" spans="1:8" x14ac:dyDescent="0.25">
      <c r="A2" s="104" t="s">
        <v>896</v>
      </c>
      <c r="B2" s="104" t="s">
        <v>723</v>
      </c>
      <c r="C2" s="106">
        <v>-10000</v>
      </c>
      <c r="D2" s="108">
        <v>0</v>
      </c>
      <c r="E2" s="104" t="s">
        <v>897</v>
      </c>
      <c r="F2" s="104" t="s">
        <v>1239</v>
      </c>
      <c r="H2" t="s">
        <v>1242</v>
      </c>
    </row>
    <row r="3" spans="1:8" x14ac:dyDescent="0.25">
      <c r="A3" s="104" t="s">
        <v>1237</v>
      </c>
      <c r="B3" s="104" t="s">
        <v>696</v>
      </c>
      <c r="C3" s="106">
        <v>-25559.99</v>
      </c>
      <c r="D3" s="108">
        <v>0</v>
      </c>
      <c r="E3" s="104" t="s">
        <v>1238</v>
      </c>
      <c r="F3" s="104" t="s">
        <v>1240</v>
      </c>
      <c r="H3" t="s">
        <v>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Suivi fin d'année</vt:lpstr>
      <vt:lpstr>RES cédule</vt:lpstr>
      <vt:lpstr>Réserve BEFORE</vt:lpstr>
      <vt:lpstr>Réserve FINAL</vt:lpstr>
      <vt:lpstr>BV</vt:lpstr>
      <vt:lpstr>1202</vt:lpstr>
      <vt:lpstr>1302</vt:lpstr>
      <vt:lpstr>1303</vt:lpstr>
      <vt:lpstr>1312</vt:lpstr>
      <vt:lpstr>1332</vt:lpstr>
      <vt:lpstr>1340</vt:lpstr>
      <vt:lpstr>1352 VIN</vt:lpstr>
      <vt:lpstr>1352 TOT</vt:lpstr>
      <vt:lpstr>1416</vt:lpstr>
      <vt:lpstr>RES</vt:lpstr>
      <vt:lpstr>1402</vt:lpstr>
      <vt:lpstr> RES NEUF</vt:lpstr>
      <vt:lpstr>2281</vt:lpstr>
      <vt:lpstr>2285</vt:lpstr>
      <vt:lpstr>2287</vt:lpstr>
      <vt:lpstr>2292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2021-01-20T17:52:27Z</cp:lastPrinted>
  <dcterms:created xsi:type="dcterms:W3CDTF">2021-01-19T13:28:52Z</dcterms:created>
  <dcterms:modified xsi:type="dcterms:W3CDTF">2021-04-13T19:59:19Z</dcterms:modified>
</cp:coreProperties>
</file>